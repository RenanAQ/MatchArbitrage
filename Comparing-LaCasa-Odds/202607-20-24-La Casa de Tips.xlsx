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719"/>
  <workbookPr showInkAnnotation="0" autoCompressPictures="0" defaultThemeVersion="202300"/>
  <mc:AlternateContent xmlns:mc="http://schemas.openxmlformats.org/markup-compatibility/2006">
    <mc:Choice Requires="x15">
      <x15ac:absPath xmlns:x15ac="http://schemas.microsoft.com/office/spreadsheetml/2010/11/ac" url="/Users/renanqueiroz/Downloads/"/>
    </mc:Choice>
  </mc:AlternateContent>
  <xr:revisionPtr revIDLastSave="0" documentId="13_ncr:1_{5B1728A9-E3FE-0944-8203-9574FBA8E76C}" xr6:coauthVersionLast="47" xr6:coauthVersionMax="47" xr10:uidLastSave="{00000000-0000-0000-0000-000000000000}"/>
  <bookViews>
    <workbookView xWindow="0" yWindow="660" windowWidth="29400" windowHeight="18460" tabRatio="500" xr2:uid="{00000000-000D-0000-FFFF-FFFF00000000}"/>
  </bookViews>
  <sheets>
    <sheet name="General-lacasa" sheetId="1" r:id="rId1"/>
    <sheet name="matches-results-oddspedia (old)" sheetId="3" state="hidden" r:id="rId2"/>
    <sheet name="oddspedia-matches" sheetId="5" r:id="rId3"/>
    <sheet name="Transform table" sheetId="4" r:id="rId4"/>
    <sheet name="Solid-Results" sheetId="11" r:id="rId5"/>
    <sheet name="Dashboard" sheetId="12" r:id="rId6"/>
  </sheets>
  <definedNames>
    <definedName name="_xlnm._FilterDatabase" localSheetId="0" hidden="1">'General-lacasa'!$A$3:$AQ$586</definedName>
    <definedName name="_xlnm._FilterDatabase" localSheetId="1" hidden="1">'matches-results-oddspedia (old)'!$A$1:$L$92</definedName>
    <definedName name="_xlnm._FilterDatabase" localSheetId="2" hidden="1">'oddspedia-matches'!$A$1:$AD$1</definedName>
    <definedName name="_xlnm._FilterDatabase" localSheetId="4" hidden="1">'Solid-Results'!$A$2:$AQ$121</definedName>
    <definedName name="_xlnm._FilterDatabase" localSheetId="3" hidden="1">'Transform table'!$A$1:$B$737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" i="12" l="1"/>
  <c r="K22" i="12" s="1"/>
  <c r="G22" i="12"/>
  <c r="H22" i="12" s="1"/>
  <c r="AW22" i="12"/>
  <c r="AX22" i="12" s="1"/>
  <c r="AT22" i="12"/>
  <c r="AU22" i="12" s="1"/>
  <c r="AQ22" i="12"/>
  <c r="AR22" i="12" s="1"/>
  <c r="AN22" i="12"/>
  <c r="AO22" i="12" s="1"/>
  <c r="AK22" i="12"/>
  <c r="AL22" i="12" s="1"/>
  <c r="AH22" i="12"/>
  <c r="AI22" i="12" s="1"/>
  <c r="AE22" i="12"/>
  <c r="AF22" i="12" s="1"/>
  <c r="AB22" i="12"/>
  <c r="AC22" i="12" s="1"/>
  <c r="Y22" i="12"/>
  <c r="Z22" i="12" s="1"/>
  <c r="V22" i="12"/>
  <c r="W22" i="12" s="1"/>
  <c r="S22" i="12"/>
  <c r="T22" i="12" s="1"/>
  <c r="P22" i="12"/>
  <c r="Q22" i="12" s="1"/>
  <c r="M22" i="12"/>
  <c r="N22" i="12" s="1"/>
  <c r="D22" i="12"/>
  <c r="BA23" i="12"/>
  <c r="AZ23" i="12"/>
  <c r="F22" i="12"/>
  <c r="I22" i="12"/>
  <c r="L22" i="12"/>
  <c r="O22" i="12"/>
  <c r="R22" i="12"/>
  <c r="U22" i="12"/>
  <c r="X22" i="12"/>
  <c r="AA22" i="12"/>
  <c r="AD22" i="12"/>
  <c r="AG22" i="12"/>
  <c r="AJ22" i="12"/>
  <c r="AM22" i="12"/>
  <c r="AP22" i="12"/>
  <c r="AS22" i="12"/>
  <c r="AV22" i="12"/>
  <c r="B23" i="12"/>
  <c r="A23" i="12"/>
  <c r="A1" i="11"/>
  <c r="C677" i="4"/>
  <c r="C656" i="4"/>
  <c r="C737" i="4"/>
  <c r="C736" i="4"/>
  <c r="C735" i="4"/>
  <c r="C734" i="4"/>
  <c r="C733" i="4"/>
  <c r="C732" i="4"/>
  <c r="C731" i="4"/>
  <c r="C730" i="4"/>
  <c r="C729" i="4"/>
  <c r="C728" i="4"/>
  <c r="C727" i="4"/>
  <c r="C726" i="4"/>
  <c r="C725" i="4"/>
  <c r="C724" i="4"/>
  <c r="C723" i="4"/>
  <c r="C722" i="4"/>
  <c r="C721" i="4"/>
  <c r="C720" i="4"/>
  <c r="C719" i="4"/>
  <c r="C718" i="4"/>
  <c r="C717" i="4"/>
  <c r="C716" i="4"/>
  <c r="C715" i="4"/>
  <c r="C714" i="4"/>
  <c r="C713" i="4"/>
  <c r="C712" i="4"/>
  <c r="C711" i="4"/>
  <c r="C710" i="4"/>
  <c r="C709" i="4"/>
  <c r="C708" i="4"/>
  <c r="C707" i="4"/>
  <c r="C706" i="4"/>
  <c r="C705" i="4"/>
  <c r="C704" i="4"/>
  <c r="C703" i="4"/>
  <c r="C702" i="4"/>
  <c r="C701" i="4"/>
  <c r="C700" i="4"/>
  <c r="C699" i="4"/>
  <c r="C698" i="4"/>
  <c r="C697" i="4"/>
  <c r="C696" i="4"/>
  <c r="C695" i="4"/>
  <c r="C694" i="4"/>
  <c r="C693" i="4"/>
  <c r="C692" i="4"/>
  <c r="C691" i="4"/>
  <c r="C690" i="4"/>
  <c r="C689" i="4"/>
  <c r="C688" i="4"/>
  <c r="C687" i="4"/>
  <c r="C686" i="4"/>
  <c r="C685" i="4"/>
  <c r="C684" i="4"/>
  <c r="C683" i="4"/>
  <c r="C682" i="4"/>
  <c r="C681" i="4"/>
  <c r="C680" i="4"/>
  <c r="C679" i="4"/>
  <c r="C678" i="4"/>
  <c r="C676" i="4"/>
  <c r="C675" i="4"/>
  <c r="C674" i="4"/>
  <c r="C673" i="4"/>
  <c r="C672" i="4"/>
  <c r="C671" i="4"/>
  <c r="C670" i="4"/>
  <c r="C669" i="4"/>
  <c r="C668" i="4"/>
  <c r="C667" i="4"/>
  <c r="C666" i="4"/>
  <c r="C665" i="4"/>
  <c r="C664" i="4"/>
  <c r="C663" i="4"/>
  <c r="C662" i="4"/>
  <c r="C661" i="4"/>
  <c r="C660" i="4"/>
  <c r="C659" i="4"/>
  <c r="C658" i="4"/>
  <c r="C657" i="4"/>
  <c r="C655" i="4"/>
  <c r="C654" i="4"/>
  <c r="C653" i="4"/>
  <c r="C652" i="4"/>
  <c r="C651" i="4"/>
  <c r="C650" i="4"/>
  <c r="C649" i="4"/>
  <c r="C648" i="4"/>
  <c r="C647" i="4"/>
  <c r="C646" i="4"/>
  <c r="C645" i="4"/>
  <c r="C644" i="4"/>
  <c r="C643" i="4"/>
  <c r="C642" i="4"/>
  <c r="C641" i="4"/>
  <c r="C640" i="4"/>
  <c r="C639" i="4"/>
  <c r="C638" i="4"/>
  <c r="C637" i="4"/>
  <c r="C636" i="4"/>
  <c r="C635" i="4"/>
  <c r="C634" i="4"/>
  <c r="C633" i="4"/>
  <c r="C632" i="4"/>
  <c r="C631" i="4"/>
  <c r="C630" i="4"/>
  <c r="C629" i="4"/>
  <c r="C628" i="4"/>
  <c r="C627" i="4"/>
  <c r="C626" i="4"/>
  <c r="C625" i="4"/>
  <c r="C624" i="4"/>
  <c r="C623" i="4"/>
  <c r="C622" i="4"/>
  <c r="C621" i="4"/>
  <c r="C620" i="4"/>
  <c r="C619" i="4"/>
  <c r="C618" i="4"/>
  <c r="C617" i="4"/>
  <c r="C616" i="4"/>
  <c r="C615" i="4"/>
  <c r="C614" i="4"/>
  <c r="C613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M1759" i="5"/>
  <c r="L1759" i="5"/>
  <c r="M1758" i="5"/>
  <c r="L1758" i="5"/>
  <c r="M1757" i="5"/>
  <c r="L1757" i="5"/>
  <c r="M1756" i="5"/>
  <c r="L1756" i="5"/>
  <c r="M1755" i="5"/>
  <c r="L1755" i="5"/>
  <c r="M1754" i="5"/>
  <c r="L1754" i="5"/>
  <c r="A1755" i="5" s="1"/>
  <c r="M1753" i="5"/>
  <c r="L1753" i="5"/>
  <c r="M1752" i="5"/>
  <c r="L1752" i="5"/>
  <c r="M1751" i="5"/>
  <c r="L1751" i="5"/>
  <c r="A1752" i="5" s="1"/>
  <c r="M1750" i="5"/>
  <c r="L1750" i="5"/>
  <c r="M1749" i="5"/>
  <c r="L1749" i="5"/>
  <c r="M1748" i="5"/>
  <c r="L1748" i="5"/>
  <c r="A1749" i="5" s="1"/>
  <c r="M1747" i="5"/>
  <c r="L1747" i="5"/>
  <c r="A1748" i="5" s="1"/>
  <c r="M1746" i="5"/>
  <c r="L1746" i="5"/>
  <c r="A1747" i="5" s="1"/>
  <c r="M1745" i="5"/>
  <c r="L1745" i="5"/>
  <c r="A1746" i="5" s="1"/>
  <c r="M1744" i="5"/>
  <c r="L1744" i="5"/>
  <c r="A1745" i="5" s="1"/>
  <c r="M1743" i="5"/>
  <c r="L1743" i="5"/>
  <c r="A1744" i="5" s="1"/>
  <c r="M1742" i="5"/>
  <c r="L1742" i="5"/>
  <c r="A1743" i="5" s="1"/>
  <c r="M1741" i="5"/>
  <c r="L1741" i="5"/>
  <c r="A1742" i="5" s="1"/>
  <c r="M1740" i="5"/>
  <c r="L1740" i="5"/>
  <c r="A1741" i="5" s="1"/>
  <c r="M1739" i="5"/>
  <c r="L1739" i="5"/>
  <c r="A1740" i="5" s="1"/>
  <c r="M1738" i="5"/>
  <c r="L1738" i="5"/>
  <c r="A1739" i="5" s="1"/>
  <c r="M1737" i="5"/>
  <c r="L1737" i="5"/>
  <c r="A1738" i="5" s="1"/>
  <c r="M1736" i="5"/>
  <c r="L1736" i="5"/>
  <c r="A1737" i="5" s="1"/>
  <c r="M1735" i="5"/>
  <c r="L1735" i="5"/>
  <c r="A1736" i="5" s="1"/>
  <c r="M1734" i="5"/>
  <c r="L1734" i="5"/>
  <c r="A1735" i="5" s="1"/>
  <c r="M1733" i="5"/>
  <c r="L1733" i="5"/>
  <c r="A1734" i="5" s="1"/>
  <c r="M1732" i="5"/>
  <c r="L1732" i="5"/>
  <c r="A1733" i="5" s="1"/>
  <c r="M1731" i="5"/>
  <c r="L1731" i="5"/>
  <c r="A1732" i="5" s="1"/>
  <c r="M1730" i="5"/>
  <c r="L1730" i="5"/>
  <c r="A1731" i="5" s="1"/>
  <c r="M1729" i="5"/>
  <c r="L1729" i="5"/>
  <c r="A1730" i="5" s="1"/>
  <c r="M1728" i="5"/>
  <c r="L1728" i="5"/>
  <c r="A1729" i="5" s="1"/>
  <c r="M1727" i="5"/>
  <c r="L1727" i="5"/>
  <c r="A1728" i="5" s="1"/>
  <c r="M1726" i="5"/>
  <c r="L1726" i="5"/>
  <c r="A1727" i="5" s="1"/>
  <c r="M1725" i="5"/>
  <c r="L1725" i="5"/>
  <c r="A1726" i="5" s="1"/>
  <c r="M1724" i="5"/>
  <c r="L1724" i="5"/>
  <c r="A1725" i="5" s="1"/>
  <c r="M1723" i="5"/>
  <c r="L1723" i="5"/>
  <c r="A1724" i="5" s="1"/>
  <c r="M1722" i="5"/>
  <c r="L1722" i="5"/>
  <c r="A1723" i="5" s="1"/>
  <c r="AD1772" i="5"/>
  <c r="AC1772" i="5"/>
  <c r="AB1772" i="5"/>
  <c r="AA1772" i="5"/>
  <c r="Z1772" i="5"/>
  <c r="Y1772" i="5"/>
  <c r="X1772" i="5"/>
  <c r="W1772" i="5"/>
  <c r="V1772" i="5"/>
  <c r="U1772" i="5"/>
  <c r="T1772" i="5"/>
  <c r="S1772" i="5"/>
  <c r="R1772" i="5"/>
  <c r="Q1772" i="5"/>
  <c r="P1772" i="5"/>
  <c r="O1772" i="5"/>
  <c r="N1772" i="5"/>
  <c r="M1772" i="5"/>
  <c r="L1772" i="5"/>
  <c r="AD1771" i="5"/>
  <c r="AC1771" i="5"/>
  <c r="AB1771" i="5"/>
  <c r="AA1771" i="5"/>
  <c r="Z1771" i="5"/>
  <c r="Y1771" i="5"/>
  <c r="X1771" i="5"/>
  <c r="W1771" i="5"/>
  <c r="V1771" i="5"/>
  <c r="U1771" i="5"/>
  <c r="T1771" i="5"/>
  <c r="S1771" i="5"/>
  <c r="R1771" i="5"/>
  <c r="Q1771" i="5"/>
  <c r="P1771" i="5"/>
  <c r="O1771" i="5"/>
  <c r="N1771" i="5"/>
  <c r="M1771" i="5"/>
  <c r="L1771" i="5"/>
  <c r="AD1770" i="5"/>
  <c r="AC1770" i="5"/>
  <c r="AB1770" i="5"/>
  <c r="AA1770" i="5"/>
  <c r="Z1770" i="5"/>
  <c r="Y1770" i="5"/>
  <c r="X1770" i="5"/>
  <c r="W1770" i="5"/>
  <c r="V1770" i="5"/>
  <c r="U1770" i="5"/>
  <c r="T1770" i="5"/>
  <c r="S1770" i="5"/>
  <c r="R1770" i="5"/>
  <c r="Q1770" i="5"/>
  <c r="P1770" i="5"/>
  <c r="O1770" i="5"/>
  <c r="N1770" i="5"/>
  <c r="M1770" i="5"/>
  <c r="L1770" i="5"/>
  <c r="AD1769" i="5"/>
  <c r="AC1769" i="5"/>
  <c r="AB1769" i="5"/>
  <c r="AA1769" i="5"/>
  <c r="Z1769" i="5"/>
  <c r="Y1769" i="5"/>
  <c r="X1769" i="5"/>
  <c r="W1769" i="5"/>
  <c r="V1769" i="5"/>
  <c r="U1769" i="5"/>
  <c r="T1769" i="5"/>
  <c r="S1769" i="5"/>
  <c r="R1769" i="5"/>
  <c r="Q1769" i="5"/>
  <c r="P1769" i="5"/>
  <c r="O1769" i="5"/>
  <c r="N1769" i="5"/>
  <c r="M1769" i="5"/>
  <c r="L1769" i="5"/>
  <c r="AD1768" i="5"/>
  <c r="AC1768" i="5"/>
  <c r="AB1768" i="5"/>
  <c r="AA1768" i="5"/>
  <c r="Z1768" i="5"/>
  <c r="Y1768" i="5"/>
  <c r="X1768" i="5"/>
  <c r="W1768" i="5"/>
  <c r="V1768" i="5"/>
  <c r="U1768" i="5"/>
  <c r="T1768" i="5"/>
  <c r="S1768" i="5"/>
  <c r="R1768" i="5"/>
  <c r="Q1768" i="5"/>
  <c r="P1768" i="5"/>
  <c r="O1768" i="5"/>
  <c r="N1768" i="5"/>
  <c r="M1768" i="5"/>
  <c r="L1768" i="5"/>
  <c r="AD1767" i="5"/>
  <c r="AC1767" i="5"/>
  <c r="AB1767" i="5"/>
  <c r="AA1767" i="5"/>
  <c r="Z1767" i="5"/>
  <c r="Y1767" i="5"/>
  <c r="X1767" i="5"/>
  <c r="W1767" i="5"/>
  <c r="V1767" i="5"/>
  <c r="U1767" i="5"/>
  <c r="T1767" i="5"/>
  <c r="S1767" i="5"/>
  <c r="R1767" i="5"/>
  <c r="Q1767" i="5"/>
  <c r="P1767" i="5"/>
  <c r="O1767" i="5"/>
  <c r="N1767" i="5"/>
  <c r="M1767" i="5"/>
  <c r="L1767" i="5"/>
  <c r="AD1766" i="5"/>
  <c r="AC1766" i="5"/>
  <c r="AB1766" i="5"/>
  <c r="AA1766" i="5"/>
  <c r="Z1766" i="5"/>
  <c r="Y1766" i="5"/>
  <c r="X1766" i="5"/>
  <c r="W1766" i="5"/>
  <c r="V1766" i="5"/>
  <c r="U1766" i="5"/>
  <c r="T1766" i="5"/>
  <c r="S1766" i="5"/>
  <c r="R1766" i="5"/>
  <c r="Q1766" i="5"/>
  <c r="P1766" i="5"/>
  <c r="O1766" i="5"/>
  <c r="N1766" i="5"/>
  <c r="M1766" i="5"/>
  <c r="L1766" i="5"/>
  <c r="AD1765" i="5"/>
  <c r="AC1765" i="5"/>
  <c r="AB1765" i="5"/>
  <c r="AA1765" i="5"/>
  <c r="Z1765" i="5"/>
  <c r="Y1765" i="5"/>
  <c r="X1765" i="5"/>
  <c r="W1765" i="5"/>
  <c r="V1765" i="5"/>
  <c r="U1765" i="5"/>
  <c r="T1765" i="5"/>
  <c r="S1765" i="5"/>
  <c r="R1765" i="5"/>
  <c r="Q1765" i="5"/>
  <c r="P1765" i="5"/>
  <c r="O1765" i="5"/>
  <c r="N1765" i="5"/>
  <c r="M1765" i="5"/>
  <c r="L1765" i="5"/>
  <c r="AD1764" i="5"/>
  <c r="AC1764" i="5"/>
  <c r="AB1764" i="5"/>
  <c r="AA1764" i="5"/>
  <c r="Z1764" i="5"/>
  <c r="Y1764" i="5"/>
  <c r="X1764" i="5"/>
  <c r="W1764" i="5"/>
  <c r="V1764" i="5"/>
  <c r="U1764" i="5"/>
  <c r="T1764" i="5"/>
  <c r="S1764" i="5"/>
  <c r="R1764" i="5"/>
  <c r="Q1764" i="5"/>
  <c r="P1764" i="5"/>
  <c r="O1764" i="5"/>
  <c r="N1764" i="5"/>
  <c r="M1764" i="5"/>
  <c r="L1764" i="5"/>
  <c r="AD1763" i="5"/>
  <c r="AC1763" i="5"/>
  <c r="AB1763" i="5"/>
  <c r="AA1763" i="5"/>
  <c r="Z1763" i="5"/>
  <c r="Y1763" i="5"/>
  <c r="X1763" i="5"/>
  <c r="W1763" i="5"/>
  <c r="V1763" i="5"/>
  <c r="U1763" i="5"/>
  <c r="T1763" i="5"/>
  <c r="S1763" i="5"/>
  <c r="R1763" i="5"/>
  <c r="Q1763" i="5"/>
  <c r="P1763" i="5"/>
  <c r="O1763" i="5"/>
  <c r="N1763" i="5"/>
  <c r="M1763" i="5"/>
  <c r="L1763" i="5"/>
  <c r="AD1762" i="5"/>
  <c r="AC1762" i="5"/>
  <c r="AB1762" i="5"/>
  <c r="AA1762" i="5"/>
  <c r="Z1762" i="5"/>
  <c r="Y1762" i="5"/>
  <c r="X1762" i="5"/>
  <c r="W1762" i="5"/>
  <c r="V1762" i="5"/>
  <c r="U1762" i="5"/>
  <c r="T1762" i="5"/>
  <c r="S1762" i="5"/>
  <c r="R1762" i="5"/>
  <c r="Q1762" i="5"/>
  <c r="P1762" i="5"/>
  <c r="O1762" i="5"/>
  <c r="N1762" i="5"/>
  <c r="M1762" i="5"/>
  <c r="L1762" i="5"/>
  <c r="AD1761" i="5"/>
  <c r="AC1761" i="5"/>
  <c r="AB1761" i="5"/>
  <c r="AA1761" i="5"/>
  <c r="Z1761" i="5"/>
  <c r="Y1761" i="5"/>
  <c r="X1761" i="5"/>
  <c r="W1761" i="5"/>
  <c r="V1761" i="5"/>
  <c r="U1761" i="5"/>
  <c r="T1761" i="5"/>
  <c r="S1761" i="5"/>
  <c r="R1761" i="5"/>
  <c r="Q1761" i="5"/>
  <c r="P1761" i="5"/>
  <c r="O1761" i="5"/>
  <c r="N1761" i="5"/>
  <c r="M1761" i="5"/>
  <c r="L1761" i="5"/>
  <c r="AD1760" i="5"/>
  <c r="AC1760" i="5"/>
  <c r="AB1760" i="5"/>
  <c r="AA1760" i="5"/>
  <c r="Z1760" i="5"/>
  <c r="Y1760" i="5"/>
  <c r="X1760" i="5"/>
  <c r="W1760" i="5"/>
  <c r="V1760" i="5"/>
  <c r="U1760" i="5"/>
  <c r="T1760" i="5"/>
  <c r="S1760" i="5"/>
  <c r="R1760" i="5"/>
  <c r="Q1760" i="5"/>
  <c r="P1760" i="5"/>
  <c r="O1760" i="5"/>
  <c r="N1760" i="5"/>
  <c r="M1760" i="5"/>
  <c r="L1760" i="5"/>
  <c r="AD1759" i="5"/>
  <c r="AC1759" i="5"/>
  <c r="AB1759" i="5"/>
  <c r="AA1759" i="5"/>
  <c r="Z1759" i="5"/>
  <c r="Y1759" i="5"/>
  <c r="X1759" i="5"/>
  <c r="W1759" i="5"/>
  <c r="V1759" i="5"/>
  <c r="U1759" i="5"/>
  <c r="T1759" i="5"/>
  <c r="S1759" i="5"/>
  <c r="R1759" i="5"/>
  <c r="Q1759" i="5"/>
  <c r="P1759" i="5"/>
  <c r="O1759" i="5"/>
  <c r="N1759" i="5"/>
  <c r="AD1758" i="5"/>
  <c r="AC1758" i="5"/>
  <c r="AB1758" i="5"/>
  <c r="AA1758" i="5"/>
  <c r="Z1758" i="5"/>
  <c r="Y1758" i="5"/>
  <c r="X1758" i="5"/>
  <c r="W1758" i="5"/>
  <c r="V1758" i="5"/>
  <c r="U1758" i="5"/>
  <c r="T1758" i="5"/>
  <c r="S1758" i="5"/>
  <c r="R1758" i="5"/>
  <c r="Q1758" i="5"/>
  <c r="P1758" i="5"/>
  <c r="O1758" i="5"/>
  <c r="N1758" i="5"/>
  <c r="AD1757" i="5"/>
  <c r="AC1757" i="5"/>
  <c r="AB1757" i="5"/>
  <c r="AA1757" i="5"/>
  <c r="Z1757" i="5"/>
  <c r="Y1757" i="5"/>
  <c r="X1757" i="5"/>
  <c r="W1757" i="5"/>
  <c r="V1757" i="5"/>
  <c r="U1757" i="5"/>
  <c r="T1757" i="5"/>
  <c r="S1757" i="5"/>
  <c r="R1757" i="5"/>
  <c r="Q1757" i="5"/>
  <c r="P1757" i="5"/>
  <c r="O1757" i="5"/>
  <c r="N1757" i="5"/>
  <c r="AD1756" i="5"/>
  <c r="AC1756" i="5"/>
  <c r="AB1756" i="5"/>
  <c r="AA1756" i="5"/>
  <c r="Z1756" i="5"/>
  <c r="Y1756" i="5"/>
  <c r="X1756" i="5"/>
  <c r="W1756" i="5"/>
  <c r="V1756" i="5"/>
  <c r="U1756" i="5"/>
  <c r="T1756" i="5"/>
  <c r="S1756" i="5"/>
  <c r="R1756" i="5"/>
  <c r="Q1756" i="5"/>
  <c r="P1756" i="5"/>
  <c r="O1756" i="5"/>
  <c r="N1756" i="5"/>
  <c r="AD1755" i="5"/>
  <c r="AC1755" i="5"/>
  <c r="AB1755" i="5"/>
  <c r="AA1755" i="5"/>
  <c r="Z1755" i="5"/>
  <c r="Y1755" i="5"/>
  <c r="X1755" i="5"/>
  <c r="W1755" i="5"/>
  <c r="V1755" i="5"/>
  <c r="U1755" i="5"/>
  <c r="T1755" i="5"/>
  <c r="S1755" i="5"/>
  <c r="R1755" i="5"/>
  <c r="Q1755" i="5"/>
  <c r="P1755" i="5"/>
  <c r="O1755" i="5"/>
  <c r="N1755" i="5"/>
  <c r="AD1754" i="5"/>
  <c r="AC1754" i="5"/>
  <c r="AB1754" i="5"/>
  <c r="AA1754" i="5"/>
  <c r="Z1754" i="5"/>
  <c r="Y1754" i="5"/>
  <c r="X1754" i="5"/>
  <c r="W1754" i="5"/>
  <c r="V1754" i="5"/>
  <c r="U1754" i="5"/>
  <c r="T1754" i="5"/>
  <c r="S1754" i="5"/>
  <c r="R1754" i="5"/>
  <c r="Q1754" i="5"/>
  <c r="P1754" i="5"/>
  <c r="O1754" i="5"/>
  <c r="N1754" i="5"/>
  <c r="AD1753" i="5"/>
  <c r="AC1753" i="5"/>
  <c r="AB1753" i="5"/>
  <c r="AA1753" i="5"/>
  <c r="Z1753" i="5"/>
  <c r="Y1753" i="5"/>
  <c r="X1753" i="5"/>
  <c r="W1753" i="5"/>
  <c r="V1753" i="5"/>
  <c r="U1753" i="5"/>
  <c r="T1753" i="5"/>
  <c r="S1753" i="5"/>
  <c r="R1753" i="5"/>
  <c r="Q1753" i="5"/>
  <c r="P1753" i="5"/>
  <c r="O1753" i="5"/>
  <c r="N1753" i="5"/>
  <c r="AD1752" i="5"/>
  <c r="AC1752" i="5"/>
  <c r="AB1752" i="5"/>
  <c r="AA1752" i="5"/>
  <c r="Z1752" i="5"/>
  <c r="Y1752" i="5"/>
  <c r="X1752" i="5"/>
  <c r="W1752" i="5"/>
  <c r="V1752" i="5"/>
  <c r="U1752" i="5"/>
  <c r="T1752" i="5"/>
  <c r="S1752" i="5"/>
  <c r="R1752" i="5"/>
  <c r="Q1752" i="5"/>
  <c r="P1752" i="5"/>
  <c r="O1752" i="5"/>
  <c r="N1752" i="5"/>
  <c r="AD1751" i="5"/>
  <c r="AC1751" i="5"/>
  <c r="AB1751" i="5"/>
  <c r="AA1751" i="5"/>
  <c r="Z1751" i="5"/>
  <c r="Y1751" i="5"/>
  <c r="X1751" i="5"/>
  <c r="W1751" i="5"/>
  <c r="V1751" i="5"/>
  <c r="U1751" i="5"/>
  <c r="T1751" i="5"/>
  <c r="S1751" i="5"/>
  <c r="R1751" i="5"/>
  <c r="Q1751" i="5"/>
  <c r="P1751" i="5"/>
  <c r="O1751" i="5"/>
  <c r="N1751" i="5"/>
  <c r="AD1750" i="5"/>
  <c r="AC1750" i="5"/>
  <c r="AB1750" i="5"/>
  <c r="AA1750" i="5"/>
  <c r="Z1750" i="5"/>
  <c r="Y1750" i="5"/>
  <c r="X1750" i="5"/>
  <c r="W1750" i="5"/>
  <c r="V1750" i="5"/>
  <c r="U1750" i="5"/>
  <c r="T1750" i="5"/>
  <c r="S1750" i="5"/>
  <c r="R1750" i="5"/>
  <c r="Q1750" i="5"/>
  <c r="P1750" i="5"/>
  <c r="O1750" i="5"/>
  <c r="N1750" i="5"/>
  <c r="AD1749" i="5"/>
  <c r="AC1749" i="5"/>
  <c r="AB1749" i="5"/>
  <c r="AA1749" i="5"/>
  <c r="Z1749" i="5"/>
  <c r="Y1749" i="5"/>
  <c r="X1749" i="5"/>
  <c r="W1749" i="5"/>
  <c r="V1749" i="5"/>
  <c r="U1749" i="5"/>
  <c r="T1749" i="5"/>
  <c r="S1749" i="5"/>
  <c r="R1749" i="5"/>
  <c r="Q1749" i="5"/>
  <c r="P1749" i="5"/>
  <c r="O1749" i="5"/>
  <c r="N1749" i="5"/>
  <c r="AD1748" i="5"/>
  <c r="AC1748" i="5"/>
  <c r="AB1748" i="5"/>
  <c r="AA1748" i="5"/>
  <c r="Z1748" i="5"/>
  <c r="Y1748" i="5"/>
  <c r="X1748" i="5"/>
  <c r="W1748" i="5"/>
  <c r="V1748" i="5"/>
  <c r="U1748" i="5"/>
  <c r="T1748" i="5"/>
  <c r="S1748" i="5"/>
  <c r="R1748" i="5"/>
  <c r="Q1748" i="5"/>
  <c r="P1748" i="5"/>
  <c r="O1748" i="5"/>
  <c r="N1748" i="5"/>
  <c r="AD1747" i="5"/>
  <c r="AC1747" i="5"/>
  <c r="AB1747" i="5"/>
  <c r="AA1747" i="5"/>
  <c r="Z1747" i="5"/>
  <c r="Y1747" i="5"/>
  <c r="X1747" i="5"/>
  <c r="W1747" i="5"/>
  <c r="V1747" i="5"/>
  <c r="U1747" i="5"/>
  <c r="T1747" i="5"/>
  <c r="S1747" i="5"/>
  <c r="R1747" i="5"/>
  <c r="Q1747" i="5"/>
  <c r="P1747" i="5"/>
  <c r="O1747" i="5"/>
  <c r="N1747" i="5"/>
  <c r="AD1746" i="5"/>
  <c r="AC1746" i="5"/>
  <c r="AB1746" i="5"/>
  <c r="AA1746" i="5"/>
  <c r="Z1746" i="5"/>
  <c r="Y1746" i="5"/>
  <c r="X1746" i="5"/>
  <c r="W1746" i="5"/>
  <c r="V1746" i="5"/>
  <c r="U1746" i="5"/>
  <c r="T1746" i="5"/>
  <c r="S1746" i="5"/>
  <c r="R1746" i="5"/>
  <c r="Q1746" i="5"/>
  <c r="P1746" i="5"/>
  <c r="O1746" i="5"/>
  <c r="N1746" i="5"/>
  <c r="AD1745" i="5"/>
  <c r="AC1745" i="5"/>
  <c r="AB1745" i="5"/>
  <c r="AA1745" i="5"/>
  <c r="Z1745" i="5"/>
  <c r="Y1745" i="5"/>
  <c r="X1745" i="5"/>
  <c r="W1745" i="5"/>
  <c r="V1745" i="5"/>
  <c r="U1745" i="5"/>
  <c r="T1745" i="5"/>
  <c r="S1745" i="5"/>
  <c r="R1745" i="5"/>
  <c r="Q1745" i="5"/>
  <c r="P1745" i="5"/>
  <c r="O1745" i="5"/>
  <c r="N1745" i="5"/>
  <c r="AD1744" i="5"/>
  <c r="AC1744" i="5"/>
  <c r="AB1744" i="5"/>
  <c r="AA1744" i="5"/>
  <c r="Z1744" i="5"/>
  <c r="Y1744" i="5"/>
  <c r="X1744" i="5"/>
  <c r="W1744" i="5"/>
  <c r="V1744" i="5"/>
  <c r="U1744" i="5"/>
  <c r="T1744" i="5"/>
  <c r="S1744" i="5"/>
  <c r="R1744" i="5"/>
  <c r="Q1744" i="5"/>
  <c r="P1744" i="5"/>
  <c r="O1744" i="5"/>
  <c r="N1744" i="5"/>
  <c r="AD1743" i="5"/>
  <c r="AC1743" i="5"/>
  <c r="AB1743" i="5"/>
  <c r="AA1743" i="5"/>
  <c r="Z1743" i="5"/>
  <c r="Y1743" i="5"/>
  <c r="X1743" i="5"/>
  <c r="W1743" i="5"/>
  <c r="V1743" i="5"/>
  <c r="U1743" i="5"/>
  <c r="T1743" i="5"/>
  <c r="S1743" i="5"/>
  <c r="R1743" i="5"/>
  <c r="Q1743" i="5"/>
  <c r="P1743" i="5"/>
  <c r="O1743" i="5"/>
  <c r="N1743" i="5"/>
  <c r="AD1742" i="5"/>
  <c r="AC1742" i="5"/>
  <c r="AB1742" i="5"/>
  <c r="AA1742" i="5"/>
  <c r="Z1742" i="5"/>
  <c r="Y1742" i="5"/>
  <c r="X1742" i="5"/>
  <c r="W1742" i="5"/>
  <c r="V1742" i="5"/>
  <c r="U1742" i="5"/>
  <c r="T1742" i="5"/>
  <c r="S1742" i="5"/>
  <c r="R1742" i="5"/>
  <c r="Q1742" i="5"/>
  <c r="P1742" i="5"/>
  <c r="O1742" i="5"/>
  <c r="N1742" i="5"/>
  <c r="AD1741" i="5"/>
  <c r="AC1741" i="5"/>
  <c r="AB1741" i="5"/>
  <c r="AA1741" i="5"/>
  <c r="Z1741" i="5"/>
  <c r="Y1741" i="5"/>
  <c r="X1741" i="5"/>
  <c r="W1741" i="5"/>
  <c r="V1741" i="5"/>
  <c r="U1741" i="5"/>
  <c r="T1741" i="5"/>
  <c r="S1741" i="5"/>
  <c r="R1741" i="5"/>
  <c r="Q1741" i="5"/>
  <c r="P1741" i="5"/>
  <c r="O1741" i="5"/>
  <c r="N1741" i="5"/>
  <c r="AD1740" i="5"/>
  <c r="AC1740" i="5"/>
  <c r="AB1740" i="5"/>
  <c r="AA1740" i="5"/>
  <c r="Z1740" i="5"/>
  <c r="Y1740" i="5"/>
  <c r="X1740" i="5"/>
  <c r="W1740" i="5"/>
  <c r="V1740" i="5"/>
  <c r="U1740" i="5"/>
  <c r="T1740" i="5"/>
  <c r="S1740" i="5"/>
  <c r="R1740" i="5"/>
  <c r="Q1740" i="5"/>
  <c r="P1740" i="5"/>
  <c r="O1740" i="5"/>
  <c r="N1740" i="5"/>
  <c r="AD1739" i="5"/>
  <c r="AC1739" i="5"/>
  <c r="AB1739" i="5"/>
  <c r="AA1739" i="5"/>
  <c r="Z1739" i="5"/>
  <c r="Y1739" i="5"/>
  <c r="X1739" i="5"/>
  <c r="W1739" i="5"/>
  <c r="V1739" i="5"/>
  <c r="U1739" i="5"/>
  <c r="T1739" i="5"/>
  <c r="S1739" i="5"/>
  <c r="R1739" i="5"/>
  <c r="Q1739" i="5"/>
  <c r="P1739" i="5"/>
  <c r="O1739" i="5"/>
  <c r="N1739" i="5"/>
  <c r="AD1738" i="5"/>
  <c r="AC1738" i="5"/>
  <c r="AB1738" i="5"/>
  <c r="AA1738" i="5"/>
  <c r="Z1738" i="5"/>
  <c r="Y1738" i="5"/>
  <c r="X1738" i="5"/>
  <c r="W1738" i="5"/>
  <c r="V1738" i="5"/>
  <c r="U1738" i="5"/>
  <c r="T1738" i="5"/>
  <c r="S1738" i="5"/>
  <c r="R1738" i="5"/>
  <c r="Q1738" i="5"/>
  <c r="P1738" i="5"/>
  <c r="O1738" i="5"/>
  <c r="N1738" i="5"/>
  <c r="AD1737" i="5"/>
  <c r="AC1737" i="5"/>
  <c r="AB1737" i="5"/>
  <c r="AA1737" i="5"/>
  <c r="Z1737" i="5"/>
  <c r="Y1737" i="5"/>
  <c r="X1737" i="5"/>
  <c r="W1737" i="5"/>
  <c r="V1737" i="5"/>
  <c r="U1737" i="5"/>
  <c r="T1737" i="5"/>
  <c r="S1737" i="5"/>
  <c r="R1737" i="5"/>
  <c r="Q1737" i="5"/>
  <c r="P1737" i="5"/>
  <c r="O1737" i="5"/>
  <c r="N1737" i="5"/>
  <c r="AD1736" i="5"/>
  <c r="AC1736" i="5"/>
  <c r="AB1736" i="5"/>
  <c r="AA1736" i="5"/>
  <c r="Z1736" i="5"/>
  <c r="Y1736" i="5"/>
  <c r="X1736" i="5"/>
  <c r="W1736" i="5"/>
  <c r="V1736" i="5"/>
  <c r="U1736" i="5"/>
  <c r="T1736" i="5"/>
  <c r="S1736" i="5"/>
  <c r="R1736" i="5"/>
  <c r="Q1736" i="5"/>
  <c r="P1736" i="5"/>
  <c r="O1736" i="5"/>
  <c r="N1736" i="5"/>
  <c r="AD1735" i="5"/>
  <c r="AC1735" i="5"/>
  <c r="AB1735" i="5"/>
  <c r="AA1735" i="5"/>
  <c r="Z1735" i="5"/>
  <c r="Y1735" i="5"/>
  <c r="X1735" i="5"/>
  <c r="W1735" i="5"/>
  <c r="V1735" i="5"/>
  <c r="U1735" i="5"/>
  <c r="T1735" i="5"/>
  <c r="S1735" i="5"/>
  <c r="R1735" i="5"/>
  <c r="Q1735" i="5"/>
  <c r="P1735" i="5"/>
  <c r="O1735" i="5"/>
  <c r="N1735" i="5"/>
  <c r="AD1734" i="5"/>
  <c r="AC1734" i="5"/>
  <c r="AB1734" i="5"/>
  <c r="AA1734" i="5"/>
  <c r="Z1734" i="5"/>
  <c r="Y1734" i="5"/>
  <c r="X1734" i="5"/>
  <c r="W1734" i="5"/>
  <c r="V1734" i="5"/>
  <c r="U1734" i="5"/>
  <c r="T1734" i="5"/>
  <c r="S1734" i="5"/>
  <c r="R1734" i="5"/>
  <c r="Q1734" i="5"/>
  <c r="P1734" i="5"/>
  <c r="O1734" i="5"/>
  <c r="N1734" i="5"/>
  <c r="AD1733" i="5"/>
  <c r="AC1733" i="5"/>
  <c r="AB1733" i="5"/>
  <c r="AA1733" i="5"/>
  <c r="Z1733" i="5"/>
  <c r="Y1733" i="5"/>
  <c r="X1733" i="5"/>
  <c r="W1733" i="5"/>
  <c r="V1733" i="5"/>
  <c r="U1733" i="5"/>
  <c r="T1733" i="5"/>
  <c r="S1733" i="5"/>
  <c r="R1733" i="5"/>
  <c r="Q1733" i="5"/>
  <c r="P1733" i="5"/>
  <c r="O1733" i="5"/>
  <c r="N1733" i="5"/>
  <c r="AD1732" i="5"/>
  <c r="AC1732" i="5"/>
  <c r="AB1732" i="5"/>
  <c r="AA1732" i="5"/>
  <c r="Z1732" i="5"/>
  <c r="Y1732" i="5"/>
  <c r="X1732" i="5"/>
  <c r="W1732" i="5"/>
  <c r="V1732" i="5"/>
  <c r="U1732" i="5"/>
  <c r="T1732" i="5"/>
  <c r="S1732" i="5"/>
  <c r="R1732" i="5"/>
  <c r="Q1732" i="5"/>
  <c r="P1732" i="5"/>
  <c r="O1732" i="5"/>
  <c r="N1732" i="5"/>
  <c r="AD1731" i="5"/>
  <c r="AC1731" i="5"/>
  <c r="AB1731" i="5"/>
  <c r="AA1731" i="5"/>
  <c r="Z1731" i="5"/>
  <c r="Y1731" i="5"/>
  <c r="X1731" i="5"/>
  <c r="W1731" i="5"/>
  <c r="V1731" i="5"/>
  <c r="U1731" i="5"/>
  <c r="T1731" i="5"/>
  <c r="S1731" i="5"/>
  <c r="R1731" i="5"/>
  <c r="Q1731" i="5"/>
  <c r="P1731" i="5"/>
  <c r="O1731" i="5"/>
  <c r="N1731" i="5"/>
  <c r="AD1730" i="5"/>
  <c r="AC1730" i="5"/>
  <c r="AB1730" i="5"/>
  <c r="AA1730" i="5"/>
  <c r="Z1730" i="5"/>
  <c r="Y1730" i="5"/>
  <c r="X1730" i="5"/>
  <c r="W1730" i="5"/>
  <c r="V1730" i="5"/>
  <c r="U1730" i="5"/>
  <c r="T1730" i="5"/>
  <c r="S1730" i="5"/>
  <c r="R1730" i="5"/>
  <c r="Q1730" i="5"/>
  <c r="P1730" i="5"/>
  <c r="O1730" i="5"/>
  <c r="N1730" i="5"/>
  <c r="AD1729" i="5"/>
  <c r="AC1729" i="5"/>
  <c r="AB1729" i="5"/>
  <c r="AA1729" i="5"/>
  <c r="Z1729" i="5"/>
  <c r="Y1729" i="5"/>
  <c r="X1729" i="5"/>
  <c r="W1729" i="5"/>
  <c r="V1729" i="5"/>
  <c r="U1729" i="5"/>
  <c r="T1729" i="5"/>
  <c r="S1729" i="5"/>
  <c r="R1729" i="5"/>
  <c r="Q1729" i="5"/>
  <c r="P1729" i="5"/>
  <c r="O1729" i="5"/>
  <c r="N1729" i="5"/>
  <c r="AD1728" i="5"/>
  <c r="AC1728" i="5"/>
  <c r="AB1728" i="5"/>
  <c r="AA1728" i="5"/>
  <c r="Z1728" i="5"/>
  <c r="Y1728" i="5"/>
  <c r="X1728" i="5"/>
  <c r="W1728" i="5"/>
  <c r="V1728" i="5"/>
  <c r="U1728" i="5"/>
  <c r="T1728" i="5"/>
  <c r="S1728" i="5"/>
  <c r="R1728" i="5"/>
  <c r="Q1728" i="5"/>
  <c r="P1728" i="5"/>
  <c r="O1728" i="5"/>
  <c r="N1728" i="5"/>
  <c r="AD1727" i="5"/>
  <c r="AC1727" i="5"/>
  <c r="AB1727" i="5"/>
  <c r="AA1727" i="5"/>
  <c r="Z1727" i="5"/>
  <c r="Y1727" i="5"/>
  <c r="X1727" i="5"/>
  <c r="W1727" i="5"/>
  <c r="V1727" i="5"/>
  <c r="U1727" i="5"/>
  <c r="T1727" i="5"/>
  <c r="S1727" i="5"/>
  <c r="R1727" i="5"/>
  <c r="Q1727" i="5"/>
  <c r="P1727" i="5"/>
  <c r="O1727" i="5"/>
  <c r="N1727" i="5"/>
  <c r="AD1726" i="5"/>
  <c r="AC1726" i="5"/>
  <c r="AB1726" i="5"/>
  <c r="AA1726" i="5"/>
  <c r="Z1726" i="5"/>
  <c r="Y1726" i="5"/>
  <c r="X1726" i="5"/>
  <c r="W1726" i="5"/>
  <c r="V1726" i="5"/>
  <c r="U1726" i="5"/>
  <c r="T1726" i="5"/>
  <c r="S1726" i="5"/>
  <c r="R1726" i="5"/>
  <c r="Q1726" i="5"/>
  <c r="P1726" i="5"/>
  <c r="O1726" i="5"/>
  <c r="N1726" i="5"/>
  <c r="AD1725" i="5"/>
  <c r="AC1725" i="5"/>
  <c r="AB1725" i="5"/>
  <c r="AA1725" i="5"/>
  <c r="Z1725" i="5"/>
  <c r="Y1725" i="5"/>
  <c r="X1725" i="5"/>
  <c r="W1725" i="5"/>
  <c r="V1725" i="5"/>
  <c r="U1725" i="5"/>
  <c r="T1725" i="5"/>
  <c r="S1725" i="5"/>
  <c r="R1725" i="5"/>
  <c r="Q1725" i="5"/>
  <c r="P1725" i="5"/>
  <c r="O1725" i="5"/>
  <c r="N1725" i="5"/>
  <c r="AD1724" i="5"/>
  <c r="AC1724" i="5"/>
  <c r="AB1724" i="5"/>
  <c r="AA1724" i="5"/>
  <c r="Z1724" i="5"/>
  <c r="Y1724" i="5"/>
  <c r="X1724" i="5"/>
  <c r="W1724" i="5"/>
  <c r="V1724" i="5"/>
  <c r="U1724" i="5"/>
  <c r="T1724" i="5"/>
  <c r="S1724" i="5"/>
  <c r="R1724" i="5"/>
  <c r="Q1724" i="5"/>
  <c r="P1724" i="5"/>
  <c r="O1724" i="5"/>
  <c r="N1724" i="5"/>
  <c r="AD1723" i="5"/>
  <c r="AC1723" i="5"/>
  <c r="AB1723" i="5"/>
  <c r="AA1723" i="5"/>
  <c r="Z1723" i="5"/>
  <c r="Y1723" i="5"/>
  <c r="X1723" i="5"/>
  <c r="W1723" i="5"/>
  <c r="V1723" i="5"/>
  <c r="U1723" i="5"/>
  <c r="T1723" i="5"/>
  <c r="S1723" i="5"/>
  <c r="R1723" i="5"/>
  <c r="Q1723" i="5"/>
  <c r="P1723" i="5"/>
  <c r="O1723" i="5"/>
  <c r="N1723" i="5"/>
  <c r="AD1722" i="5"/>
  <c r="AC1722" i="5"/>
  <c r="AB1722" i="5"/>
  <c r="AA1722" i="5"/>
  <c r="Z1722" i="5"/>
  <c r="Y1722" i="5"/>
  <c r="X1722" i="5"/>
  <c r="W1722" i="5"/>
  <c r="V1722" i="5"/>
  <c r="U1722" i="5"/>
  <c r="T1722" i="5"/>
  <c r="S1722" i="5"/>
  <c r="R1722" i="5"/>
  <c r="Q1722" i="5"/>
  <c r="P1722" i="5"/>
  <c r="O1722" i="5"/>
  <c r="N1722" i="5"/>
  <c r="AD1721" i="5"/>
  <c r="AC1721" i="5"/>
  <c r="AB1721" i="5"/>
  <c r="AA1721" i="5"/>
  <c r="Z1721" i="5"/>
  <c r="Y1721" i="5"/>
  <c r="X1721" i="5"/>
  <c r="W1721" i="5"/>
  <c r="V1721" i="5"/>
  <c r="U1721" i="5"/>
  <c r="T1721" i="5"/>
  <c r="S1721" i="5"/>
  <c r="R1721" i="5"/>
  <c r="Q1721" i="5"/>
  <c r="P1721" i="5"/>
  <c r="O1721" i="5"/>
  <c r="N1721" i="5"/>
  <c r="M1721" i="5"/>
  <c r="L1721" i="5"/>
  <c r="AD1720" i="5"/>
  <c r="AC1720" i="5"/>
  <c r="AB1720" i="5"/>
  <c r="AA1720" i="5"/>
  <c r="Z1720" i="5"/>
  <c r="Y1720" i="5"/>
  <c r="X1720" i="5"/>
  <c r="W1720" i="5"/>
  <c r="V1720" i="5"/>
  <c r="U1720" i="5"/>
  <c r="T1720" i="5"/>
  <c r="S1720" i="5"/>
  <c r="R1720" i="5"/>
  <c r="Q1720" i="5"/>
  <c r="P1720" i="5"/>
  <c r="O1720" i="5"/>
  <c r="N1720" i="5"/>
  <c r="M1720" i="5"/>
  <c r="L1720" i="5"/>
  <c r="AD1719" i="5"/>
  <c r="AC1719" i="5"/>
  <c r="AB1719" i="5"/>
  <c r="AA1719" i="5"/>
  <c r="Z1719" i="5"/>
  <c r="Y1719" i="5"/>
  <c r="X1719" i="5"/>
  <c r="W1719" i="5"/>
  <c r="V1719" i="5"/>
  <c r="U1719" i="5"/>
  <c r="T1719" i="5"/>
  <c r="S1719" i="5"/>
  <c r="R1719" i="5"/>
  <c r="Q1719" i="5"/>
  <c r="P1719" i="5"/>
  <c r="O1719" i="5"/>
  <c r="N1719" i="5"/>
  <c r="M1719" i="5"/>
  <c r="L1719" i="5"/>
  <c r="AD1718" i="5"/>
  <c r="AC1718" i="5"/>
  <c r="AB1718" i="5"/>
  <c r="AA1718" i="5"/>
  <c r="Z1718" i="5"/>
  <c r="Y1718" i="5"/>
  <c r="X1718" i="5"/>
  <c r="W1718" i="5"/>
  <c r="V1718" i="5"/>
  <c r="U1718" i="5"/>
  <c r="T1718" i="5"/>
  <c r="S1718" i="5"/>
  <c r="R1718" i="5"/>
  <c r="Q1718" i="5"/>
  <c r="P1718" i="5"/>
  <c r="O1718" i="5"/>
  <c r="N1718" i="5"/>
  <c r="M1718" i="5"/>
  <c r="L1718" i="5"/>
  <c r="AD1717" i="5"/>
  <c r="AC1717" i="5"/>
  <c r="AB1717" i="5"/>
  <c r="AA1717" i="5"/>
  <c r="Z1717" i="5"/>
  <c r="Y1717" i="5"/>
  <c r="X1717" i="5"/>
  <c r="W1717" i="5"/>
  <c r="V1717" i="5"/>
  <c r="U1717" i="5"/>
  <c r="T1717" i="5"/>
  <c r="S1717" i="5"/>
  <c r="R1717" i="5"/>
  <c r="Q1717" i="5"/>
  <c r="P1717" i="5"/>
  <c r="O1717" i="5"/>
  <c r="N1717" i="5"/>
  <c r="M1717" i="5"/>
  <c r="L1717" i="5"/>
  <c r="AD1716" i="5"/>
  <c r="AC1716" i="5"/>
  <c r="AB1716" i="5"/>
  <c r="AA1716" i="5"/>
  <c r="Z1716" i="5"/>
  <c r="Y1716" i="5"/>
  <c r="X1716" i="5"/>
  <c r="W1716" i="5"/>
  <c r="V1716" i="5"/>
  <c r="U1716" i="5"/>
  <c r="T1716" i="5"/>
  <c r="S1716" i="5"/>
  <c r="R1716" i="5"/>
  <c r="Q1716" i="5"/>
  <c r="P1716" i="5"/>
  <c r="O1716" i="5"/>
  <c r="N1716" i="5"/>
  <c r="M1716" i="5"/>
  <c r="L1716" i="5"/>
  <c r="AD1715" i="5"/>
  <c r="AC1715" i="5"/>
  <c r="AB1715" i="5"/>
  <c r="AA1715" i="5"/>
  <c r="Z1715" i="5"/>
  <c r="Y1715" i="5"/>
  <c r="X1715" i="5"/>
  <c r="W1715" i="5"/>
  <c r="V1715" i="5"/>
  <c r="U1715" i="5"/>
  <c r="T1715" i="5"/>
  <c r="S1715" i="5"/>
  <c r="R1715" i="5"/>
  <c r="Q1715" i="5"/>
  <c r="P1715" i="5"/>
  <c r="O1715" i="5"/>
  <c r="N1715" i="5"/>
  <c r="M1715" i="5"/>
  <c r="L1715" i="5"/>
  <c r="AD1714" i="5"/>
  <c r="AC1714" i="5"/>
  <c r="AB1714" i="5"/>
  <c r="AA1714" i="5"/>
  <c r="Z1714" i="5"/>
  <c r="Y1714" i="5"/>
  <c r="X1714" i="5"/>
  <c r="W1714" i="5"/>
  <c r="V1714" i="5"/>
  <c r="U1714" i="5"/>
  <c r="T1714" i="5"/>
  <c r="S1714" i="5"/>
  <c r="R1714" i="5"/>
  <c r="Q1714" i="5"/>
  <c r="P1714" i="5"/>
  <c r="O1714" i="5"/>
  <c r="N1714" i="5"/>
  <c r="M1714" i="5"/>
  <c r="L1714" i="5"/>
  <c r="AD1713" i="5"/>
  <c r="AC1713" i="5"/>
  <c r="AB1713" i="5"/>
  <c r="AA1713" i="5"/>
  <c r="Z1713" i="5"/>
  <c r="Y1713" i="5"/>
  <c r="X1713" i="5"/>
  <c r="W1713" i="5"/>
  <c r="V1713" i="5"/>
  <c r="U1713" i="5"/>
  <c r="T1713" i="5"/>
  <c r="S1713" i="5"/>
  <c r="R1713" i="5"/>
  <c r="Q1713" i="5"/>
  <c r="P1713" i="5"/>
  <c r="O1713" i="5"/>
  <c r="N1713" i="5"/>
  <c r="M1713" i="5"/>
  <c r="L1713" i="5"/>
  <c r="AD1712" i="5"/>
  <c r="AC1712" i="5"/>
  <c r="AB1712" i="5"/>
  <c r="AA1712" i="5"/>
  <c r="Z1712" i="5"/>
  <c r="Y1712" i="5"/>
  <c r="X1712" i="5"/>
  <c r="W1712" i="5"/>
  <c r="V1712" i="5"/>
  <c r="U1712" i="5"/>
  <c r="T1712" i="5"/>
  <c r="S1712" i="5"/>
  <c r="R1712" i="5"/>
  <c r="Q1712" i="5"/>
  <c r="P1712" i="5"/>
  <c r="O1712" i="5"/>
  <c r="N1712" i="5"/>
  <c r="M1712" i="5"/>
  <c r="L1712" i="5"/>
  <c r="AD1711" i="5"/>
  <c r="AC1711" i="5"/>
  <c r="AB1711" i="5"/>
  <c r="AA1711" i="5"/>
  <c r="Z1711" i="5"/>
  <c r="Y1711" i="5"/>
  <c r="X1711" i="5"/>
  <c r="W1711" i="5"/>
  <c r="V1711" i="5"/>
  <c r="U1711" i="5"/>
  <c r="T1711" i="5"/>
  <c r="S1711" i="5"/>
  <c r="R1711" i="5"/>
  <c r="Q1711" i="5"/>
  <c r="P1711" i="5"/>
  <c r="O1711" i="5"/>
  <c r="N1711" i="5"/>
  <c r="M1711" i="5"/>
  <c r="L1711" i="5"/>
  <c r="AD1710" i="5"/>
  <c r="AC1710" i="5"/>
  <c r="AB1710" i="5"/>
  <c r="AA1710" i="5"/>
  <c r="Z1710" i="5"/>
  <c r="Y1710" i="5"/>
  <c r="X1710" i="5"/>
  <c r="W1710" i="5"/>
  <c r="V1710" i="5"/>
  <c r="U1710" i="5"/>
  <c r="T1710" i="5"/>
  <c r="S1710" i="5"/>
  <c r="R1710" i="5"/>
  <c r="Q1710" i="5"/>
  <c r="P1710" i="5"/>
  <c r="O1710" i="5"/>
  <c r="N1710" i="5"/>
  <c r="M1710" i="5"/>
  <c r="L1710" i="5"/>
  <c r="AD1709" i="5"/>
  <c r="AC1709" i="5"/>
  <c r="AB1709" i="5"/>
  <c r="AA1709" i="5"/>
  <c r="Z1709" i="5"/>
  <c r="Y1709" i="5"/>
  <c r="X1709" i="5"/>
  <c r="W1709" i="5"/>
  <c r="V1709" i="5"/>
  <c r="U1709" i="5"/>
  <c r="T1709" i="5"/>
  <c r="S1709" i="5"/>
  <c r="R1709" i="5"/>
  <c r="Q1709" i="5"/>
  <c r="P1709" i="5"/>
  <c r="O1709" i="5"/>
  <c r="N1709" i="5"/>
  <c r="M1709" i="5"/>
  <c r="L1709" i="5"/>
  <c r="AD1708" i="5"/>
  <c r="AC1708" i="5"/>
  <c r="AB1708" i="5"/>
  <c r="AA1708" i="5"/>
  <c r="Z1708" i="5"/>
  <c r="Y1708" i="5"/>
  <c r="X1708" i="5"/>
  <c r="W1708" i="5"/>
  <c r="V1708" i="5"/>
  <c r="U1708" i="5"/>
  <c r="T1708" i="5"/>
  <c r="S1708" i="5"/>
  <c r="R1708" i="5"/>
  <c r="Q1708" i="5"/>
  <c r="P1708" i="5"/>
  <c r="O1708" i="5"/>
  <c r="N1708" i="5"/>
  <c r="M1708" i="5"/>
  <c r="L1708" i="5"/>
  <c r="AD1707" i="5"/>
  <c r="AC1707" i="5"/>
  <c r="AB1707" i="5"/>
  <c r="AA1707" i="5"/>
  <c r="Z1707" i="5"/>
  <c r="Y1707" i="5"/>
  <c r="X1707" i="5"/>
  <c r="W1707" i="5"/>
  <c r="V1707" i="5"/>
  <c r="U1707" i="5"/>
  <c r="T1707" i="5"/>
  <c r="S1707" i="5"/>
  <c r="R1707" i="5"/>
  <c r="Q1707" i="5"/>
  <c r="P1707" i="5"/>
  <c r="O1707" i="5"/>
  <c r="N1707" i="5"/>
  <c r="M1707" i="5"/>
  <c r="L1707" i="5"/>
  <c r="AD1706" i="5"/>
  <c r="AC1706" i="5"/>
  <c r="AB1706" i="5"/>
  <c r="AA1706" i="5"/>
  <c r="Z1706" i="5"/>
  <c r="Y1706" i="5"/>
  <c r="X1706" i="5"/>
  <c r="W1706" i="5"/>
  <c r="V1706" i="5"/>
  <c r="U1706" i="5"/>
  <c r="T1706" i="5"/>
  <c r="S1706" i="5"/>
  <c r="R1706" i="5"/>
  <c r="Q1706" i="5"/>
  <c r="P1706" i="5"/>
  <c r="O1706" i="5"/>
  <c r="N1706" i="5"/>
  <c r="M1706" i="5"/>
  <c r="L1706" i="5"/>
  <c r="AD1705" i="5"/>
  <c r="AC1705" i="5"/>
  <c r="AB1705" i="5"/>
  <c r="AA1705" i="5"/>
  <c r="Z1705" i="5"/>
  <c r="Y1705" i="5"/>
  <c r="X1705" i="5"/>
  <c r="W1705" i="5"/>
  <c r="V1705" i="5"/>
  <c r="U1705" i="5"/>
  <c r="T1705" i="5"/>
  <c r="S1705" i="5"/>
  <c r="R1705" i="5"/>
  <c r="Q1705" i="5"/>
  <c r="P1705" i="5"/>
  <c r="O1705" i="5"/>
  <c r="N1705" i="5"/>
  <c r="M1705" i="5"/>
  <c r="L1705" i="5"/>
  <c r="AD1704" i="5"/>
  <c r="AC1704" i="5"/>
  <c r="AB1704" i="5"/>
  <c r="AA1704" i="5"/>
  <c r="Z1704" i="5"/>
  <c r="Y1704" i="5"/>
  <c r="X1704" i="5"/>
  <c r="W1704" i="5"/>
  <c r="V1704" i="5"/>
  <c r="U1704" i="5"/>
  <c r="T1704" i="5"/>
  <c r="S1704" i="5"/>
  <c r="R1704" i="5"/>
  <c r="Q1704" i="5"/>
  <c r="P1704" i="5"/>
  <c r="O1704" i="5"/>
  <c r="N1704" i="5"/>
  <c r="M1704" i="5"/>
  <c r="L1704" i="5"/>
  <c r="AD1703" i="5"/>
  <c r="AC1703" i="5"/>
  <c r="AB1703" i="5"/>
  <c r="AA1703" i="5"/>
  <c r="Z1703" i="5"/>
  <c r="Y1703" i="5"/>
  <c r="X1703" i="5"/>
  <c r="W1703" i="5"/>
  <c r="V1703" i="5"/>
  <c r="U1703" i="5"/>
  <c r="T1703" i="5"/>
  <c r="S1703" i="5"/>
  <c r="R1703" i="5"/>
  <c r="Q1703" i="5"/>
  <c r="P1703" i="5"/>
  <c r="O1703" i="5"/>
  <c r="N1703" i="5"/>
  <c r="M1703" i="5"/>
  <c r="L1703" i="5"/>
  <c r="AD1702" i="5"/>
  <c r="AC1702" i="5"/>
  <c r="AB1702" i="5"/>
  <c r="AA1702" i="5"/>
  <c r="Z1702" i="5"/>
  <c r="Y1702" i="5"/>
  <c r="X1702" i="5"/>
  <c r="W1702" i="5"/>
  <c r="V1702" i="5"/>
  <c r="U1702" i="5"/>
  <c r="T1702" i="5"/>
  <c r="S1702" i="5"/>
  <c r="R1702" i="5"/>
  <c r="Q1702" i="5"/>
  <c r="P1702" i="5"/>
  <c r="O1702" i="5"/>
  <c r="N1702" i="5"/>
  <c r="M1702" i="5"/>
  <c r="L1702" i="5"/>
  <c r="AD1701" i="5"/>
  <c r="AC1701" i="5"/>
  <c r="AB1701" i="5"/>
  <c r="AA1701" i="5"/>
  <c r="Z1701" i="5"/>
  <c r="Y1701" i="5"/>
  <c r="X1701" i="5"/>
  <c r="W1701" i="5"/>
  <c r="V1701" i="5"/>
  <c r="U1701" i="5"/>
  <c r="T1701" i="5"/>
  <c r="S1701" i="5"/>
  <c r="R1701" i="5"/>
  <c r="Q1701" i="5"/>
  <c r="P1701" i="5"/>
  <c r="O1701" i="5"/>
  <c r="N1701" i="5"/>
  <c r="M1701" i="5"/>
  <c r="L1701" i="5"/>
  <c r="AD1700" i="5"/>
  <c r="AC1700" i="5"/>
  <c r="AB1700" i="5"/>
  <c r="AA1700" i="5"/>
  <c r="Z1700" i="5"/>
  <c r="Y1700" i="5"/>
  <c r="X1700" i="5"/>
  <c r="W1700" i="5"/>
  <c r="V1700" i="5"/>
  <c r="U1700" i="5"/>
  <c r="T1700" i="5"/>
  <c r="S1700" i="5"/>
  <c r="R1700" i="5"/>
  <c r="Q1700" i="5"/>
  <c r="P1700" i="5"/>
  <c r="O1700" i="5"/>
  <c r="N1700" i="5"/>
  <c r="M1700" i="5"/>
  <c r="L1700" i="5"/>
  <c r="AD1699" i="5"/>
  <c r="AC1699" i="5"/>
  <c r="AB1699" i="5"/>
  <c r="AA1699" i="5"/>
  <c r="Z1699" i="5"/>
  <c r="Y1699" i="5"/>
  <c r="X1699" i="5"/>
  <c r="W1699" i="5"/>
  <c r="V1699" i="5"/>
  <c r="U1699" i="5"/>
  <c r="T1699" i="5"/>
  <c r="S1699" i="5"/>
  <c r="R1699" i="5"/>
  <c r="Q1699" i="5"/>
  <c r="P1699" i="5"/>
  <c r="O1699" i="5"/>
  <c r="N1699" i="5"/>
  <c r="M1699" i="5"/>
  <c r="L1699" i="5"/>
  <c r="AD1698" i="5"/>
  <c r="AC1698" i="5"/>
  <c r="AB1698" i="5"/>
  <c r="AA1698" i="5"/>
  <c r="Z1698" i="5"/>
  <c r="Y1698" i="5"/>
  <c r="X1698" i="5"/>
  <c r="W1698" i="5"/>
  <c r="V1698" i="5"/>
  <c r="U1698" i="5"/>
  <c r="T1698" i="5"/>
  <c r="S1698" i="5"/>
  <c r="R1698" i="5"/>
  <c r="Q1698" i="5"/>
  <c r="P1698" i="5"/>
  <c r="O1698" i="5"/>
  <c r="N1698" i="5"/>
  <c r="M1698" i="5"/>
  <c r="L1698" i="5"/>
  <c r="AD1697" i="5"/>
  <c r="AC1697" i="5"/>
  <c r="AB1697" i="5"/>
  <c r="AA1697" i="5"/>
  <c r="Z1697" i="5"/>
  <c r="Y1697" i="5"/>
  <c r="X1697" i="5"/>
  <c r="W1697" i="5"/>
  <c r="V1697" i="5"/>
  <c r="U1697" i="5"/>
  <c r="T1697" i="5"/>
  <c r="S1697" i="5"/>
  <c r="R1697" i="5"/>
  <c r="Q1697" i="5"/>
  <c r="P1697" i="5"/>
  <c r="O1697" i="5"/>
  <c r="N1697" i="5"/>
  <c r="M1697" i="5"/>
  <c r="L1697" i="5"/>
  <c r="AD1696" i="5"/>
  <c r="AC1696" i="5"/>
  <c r="AB1696" i="5"/>
  <c r="AA1696" i="5"/>
  <c r="Z1696" i="5"/>
  <c r="Y1696" i="5"/>
  <c r="X1696" i="5"/>
  <c r="W1696" i="5"/>
  <c r="V1696" i="5"/>
  <c r="U1696" i="5"/>
  <c r="T1696" i="5"/>
  <c r="S1696" i="5"/>
  <c r="R1696" i="5"/>
  <c r="Q1696" i="5"/>
  <c r="P1696" i="5"/>
  <c r="O1696" i="5"/>
  <c r="N1696" i="5"/>
  <c r="M1696" i="5"/>
  <c r="L1696" i="5"/>
  <c r="AD1695" i="5"/>
  <c r="AC1695" i="5"/>
  <c r="AB1695" i="5"/>
  <c r="AA1695" i="5"/>
  <c r="Z1695" i="5"/>
  <c r="Y1695" i="5"/>
  <c r="X1695" i="5"/>
  <c r="W1695" i="5"/>
  <c r="V1695" i="5"/>
  <c r="U1695" i="5"/>
  <c r="T1695" i="5"/>
  <c r="S1695" i="5"/>
  <c r="R1695" i="5"/>
  <c r="Q1695" i="5"/>
  <c r="P1695" i="5"/>
  <c r="O1695" i="5"/>
  <c r="N1695" i="5"/>
  <c r="M1695" i="5"/>
  <c r="L1695" i="5"/>
  <c r="AD1694" i="5"/>
  <c r="AC1694" i="5"/>
  <c r="AB1694" i="5"/>
  <c r="AA1694" i="5"/>
  <c r="Z1694" i="5"/>
  <c r="Y1694" i="5"/>
  <c r="X1694" i="5"/>
  <c r="W1694" i="5"/>
  <c r="V1694" i="5"/>
  <c r="U1694" i="5"/>
  <c r="T1694" i="5"/>
  <c r="S1694" i="5"/>
  <c r="R1694" i="5"/>
  <c r="Q1694" i="5"/>
  <c r="P1694" i="5"/>
  <c r="O1694" i="5"/>
  <c r="N1694" i="5"/>
  <c r="M1694" i="5"/>
  <c r="L1694" i="5"/>
  <c r="AD1693" i="5"/>
  <c r="AC1693" i="5"/>
  <c r="AB1693" i="5"/>
  <c r="AA1693" i="5"/>
  <c r="Z1693" i="5"/>
  <c r="Y1693" i="5"/>
  <c r="X1693" i="5"/>
  <c r="W1693" i="5"/>
  <c r="V1693" i="5"/>
  <c r="U1693" i="5"/>
  <c r="T1693" i="5"/>
  <c r="S1693" i="5"/>
  <c r="R1693" i="5"/>
  <c r="Q1693" i="5"/>
  <c r="P1693" i="5"/>
  <c r="O1693" i="5"/>
  <c r="N1693" i="5"/>
  <c r="M1693" i="5"/>
  <c r="L1693" i="5"/>
  <c r="AD1692" i="5"/>
  <c r="AC1692" i="5"/>
  <c r="AB1692" i="5"/>
  <c r="AA1692" i="5"/>
  <c r="Z1692" i="5"/>
  <c r="Y1692" i="5"/>
  <c r="X1692" i="5"/>
  <c r="W1692" i="5"/>
  <c r="V1692" i="5"/>
  <c r="U1692" i="5"/>
  <c r="T1692" i="5"/>
  <c r="S1692" i="5"/>
  <c r="R1692" i="5"/>
  <c r="Q1692" i="5"/>
  <c r="P1692" i="5"/>
  <c r="O1692" i="5"/>
  <c r="N1692" i="5"/>
  <c r="M1692" i="5"/>
  <c r="L1692" i="5"/>
  <c r="AD1691" i="5"/>
  <c r="AC1691" i="5"/>
  <c r="AB1691" i="5"/>
  <c r="AA1691" i="5"/>
  <c r="Z1691" i="5"/>
  <c r="Y1691" i="5"/>
  <c r="X1691" i="5"/>
  <c r="W1691" i="5"/>
  <c r="V1691" i="5"/>
  <c r="U1691" i="5"/>
  <c r="T1691" i="5"/>
  <c r="S1691" i="5"/>
  <c r="R1691" i="5"/>
  <c r="Q1691" i="5"/>
  <c r="P1691" i="5"/>
  <c r="O1691" i="5"/>
  <c r="N1691" i="5"/>
  <c r="M1691" i="5"/>
  <c r="L1691" i="5"/>
  <c r="AD1690" i="5"/>
  <c r="AC1690" i="5"/>
  <c r="AB1690" i="5"/>
  <c r="AA1690" i="5"/>
  <c r="Z1690" i="5"/>
  <c r="Y1690" i="5"/>
  <c r="X1690" i="5"/>
  <c r="W1690" i="5"/>
  <c r="V1690" i="5"/>
  <c r="U1690" i="5"/>
  <c r="T1690" i="5"/>
  <c r="S1690" i="5"/>
  <c r="R1690" i="5"/>
  <c r="Q1690" i="5"/>
  <c r="P1690" i="5"/>
  <c r="O1690" i="5"/>
  <c r="N1690" i="5"/>
  <c r="M1690" i="5"/>
  <c r="L1690" i="5"/>
  <c r="AD1689" i="5"/>
  <c r="AC1689" i="5"/>
  <c r="AB1689" i="5"/>
  <c r="AA1689" i="5"/>
  <c r="Z1689" i="5"/>
  <c r="Y1689" i="5"/>
  <c r="X1689" i="5"/>
  <c r="W1689" i="5"/>
  <c r="V1689" i="5"/>
  <c r="U1689" i="5"/>
  <c r="T1689" i="5"/>
  <c r="S1689" i="5"/>
  <c r="R1689" i="5"/>
  <c r="Q1689" i="5"/>
  <c r="P1689" i="5"/>
  <c r="O1689" i="5"/>
  <c r="N1689" i="5"/>
  <c r="M1689" i="5"/>
  <c r="L1689" i="5"/>
  <c r="AD1688" i="5"/>
  <c r="AC1688" i="5"/>
  <c r="AB1688" i="5"/>
  <c r="AA1688" i="5"/>
  <c r="Z1688" i="5"/>
  <c r="Y1688" i="5"/>
  <c r="X1688" i="5"/>
  <c r="W1688" i="5"/>
  <c r="V1688" i="5"/>
  <c r="U1688" i="5"/>
  <c r="T1688" i="5"/>
  <c r="S1688" i="5"/>
  <c r="R1688" i="5"/>
  <c r="Q1688" i="5"/>
  <c r="P1688" i="5"/>
  <c r="O1688" i="5"/>
  <c r="N1688" i="5"/>
  <c r="M1688" i="5"/>
  <c r="L1688" i="5"/>
  <c r="AD1687" i="5"/>
  <c r="AC1687" i="5"/>
  <c r="AB1687" i="5"/>
  <c r="AA1687" i="5"/>
  <c r="Z1687" i="5"/>
  <c r="Y1687" i="5"/>
  <c r="X1687" i="5"/>
  <c r="W1687" i="5"/>
  <c r="V1687" i="5"/>
  <c r="U1687" i="5"/>
  <c r="T1687" i="5"/>
  <c r="S1687" i="5"/>
  <c r="R1687" i="5"/>
  <c r="Q1687" i="5"/>
  <c r="P1687" i="5"/>
  <c r="O1687" i="5"/>
  <c r="N1687" i="5"/>
  <c r="M1687" i="5"/>
  <c r="L1687" i="5"/>
  <c r="AD1686" i="5"/>
  <c r="AC1686" i="5"/>
  <c r="AB1686" i="5"/>
  <c r="AA1686" i="5"/>
  <c r="Z1686" i="5"/>
  <c r="Y1686" i="5"/>
  <c r="X1686" i="5"/>
  <c r="W1686" i="5"/>
  <c r="V1686" i="5"/>
  <c r="U1686" i="5"/>
  <c r="T1686" i="5"/>
  <c r="S1686" i="5"/>
  <c r="R1686" i="5"/>
  <c r="Q1686" i="5"/>
  <c r="P1686" i="5"/>
  <c r="O1686" i="5"/>
  <c r="N1686" i="5"/>
  <c r="M1686" i="5"/>
  <c r="L1686" i="5"/>
  <c r="AD1685" i="5"/>
  <c r="AC1685" i="5"/>
  <c r="AB1685" i="5"/>
  <c r="AA1685" i="5"/>
  <c r="Z1685" i="5"/>
  <c r="Y1685" i="5"/>
  <c r="X1685" i="5"/>
  <c r="W1685" i="5"/>
  <c r="V1685" i="5"/>
  <c r="U1685" i="5"/>
  <c r="T1685" i="5"/>
  <c r="S1685" i="5"/>
  <c r="R1685" i="5"/>
  <c r="Q1685" i="5"/>
  <c r="P1685" i="5"/>
  <c r="O1685" i="5"/>
  <c r="N1685" i="5"/>
  <c r="M1685" i="5"/>
  <c r="L1685" i="5"/>
  <c r="AD1684" i="5"/>
  <c r="AC1684" i="5"/>
  <c r="AB1684" i="5"/>
  <c r="AA1684" i="5"/>
  <c r="Z1684" i="5"/>
  <c r="Y1684" i="5"/>
  <c r="X1684" i="5"/>
  <c r="W1684" i="5"/>
  <c r="V1684" i="5"/>
  <c r="U1684" i="5"/>
  <c r="T1684" i="5"/>
  <c r="S1684" i="5"/>
  <c r="R1684" i="5"/>
  <c r="Q1684" i="5"/>
  <c r="P1684" i="5"/>
  <c r="O1684" i="5"/>
  <c r="N1684" i="5"/>
  <c r="M1684" i="5"/>
  <c r="L1684" i="5"/>
  <c r="AD1683" i="5"/>
  <c r="AC1683" i="5"/>
  <c r="AB1683" i="5"/>
  <c r="AA1683" i="5"/>
  <c r="Z1683" i="5"/>
  <c r="Y1683" i="5"/>
  <c r="X1683" i="5"/>
  <c r="W1683" i="5"/>
  <c r="V1683" i="5"/>
  <c r="U1683" i="5"/>
  <c r="T1683" i="5"/>
  <c r="S1683" i="5"/>
  <c r="R1683" i="5"/>
  <c r="Q1683" i="5"/>
  <c r="P1683" i="5"/>
  <c r="O1683" i="5"/>
  <c r="N1683" i="5"/>
  <c r="M1683" i="5"/>
  <c r="L1683" i="5"/>
  <c r="AD1682" i="5"/>
  <c r="AC1682" i="5"/>
  <c r="AB1682" i="5"/>
  <c r="AA1682" i="5"/>
  <c r="Z1682" i="5"/>
  <c r="Y1682" i="5"/>
  <c r="X1682" i="5"/>
  <c r="W1682" i="5"/>
  <c r="V1682" i="5"/>
  <c r="U1682" i="5"/>
  <c r="T1682" i="5"/>
  <c r="S1682" i="5"/>
  <c r="R1682" i="5"/>
  <c r="Q1682" i="5"/>
  <c r="P1682" i="5"/>
  <c r="O1682" i="5"/>
  <c r="N1682" i="5"/>
  <c r="M1682" i="5"/>
  <c r="L1682" i="5"/>
  <c r="AD1681" i="5"/>
  <c r="AC1681" i="5"/>
  <c r="AB1681" i="5"/>
  <c r="AA1681" i="5"/>
  <c r="Z1681" i="5"/>
  <c r="Y1681" i="5"/>
  <c r="X1681" i="5"/>
  <c r="W1681" i="5"/>
  <c r="V1681" i="5"/>
  <c r="U1681" i="5"/>
  <c r="T1681" i="5"/>
  <c r="S1681" i="5"/>
  <c r="R1681" i="5"/>
  <c r="Q1681" i="5"/>
  <c r="P1681" i="5"/>
  <c r="O1681" i="5"/>
  <c r="N1681" i="5"/>
  <c r="M1681" i="5"/>
  <c r="L1681" i="5"/>
  <c r="AD1680" i="5"/>
  <c r="AC1680" i="5"/>
  <c r="AB1680" i="5"/>
  <c r="AA1680" i="5"/>
  <c r="Z1680" i="5"/>
  <c r="Y1680" i="5"/>
  <c r="X1680" i="5"/>
  <c r="W1680" i="5"/>
  <c r="V1680" i="5"/>
  <c r="U1680" i="5"/>
  <c r="T1680" i="5"/>
  <c r="S1680" i="5"/>
  <c r="R1680" i="5"/>
  <c r="Q1680" i="5"/>
  <c r="P1680" i="5"/>
  <c r="O1680" i="5"/>
  <c r="N1680" i="5"/>
  <c r="M1680" i="5"/>
  <c r="L1680" i="5"/>
  <c r="AD1679" i="5"/>
  <c r="AC1679" i="5"/>
  <c r="AB1679" i="5"/>
  <c r="AA1679" i="5"/>
  <c r="Z1679" i="5"/>
  <c r="Y1679" i="5"/>
  <c r="X1679" i="5"/>
  <c r="W1679" i="5"/>
  <c r="V1679" i="5"/>
  <c r="U1679" i="5"/>
  <c r="T1679" i="5"/>
  <c r="S1679" i="5"/>
  <c r="R1679" i="5"/>
  <c r="Q1679" i="5"/>
  <c r="P1679" i="5"/>
  <c r="O1679" i="5"/>
  <c r="N1679" i="5"/>
  <c r="M1679" i="5"/>
  <c r="L1679" i="5"/>
  <c r="AD1678" i="5"/>
  <c r="AC1678" i="5"/>
  <c r="AB1678" i="5"/>
  <c r="AA1678" i="5"/>
  <c r="Z1678" i="5"/>
  <c r="Y1678" i="5"/>
  <c r="X1678" i="5"/>
  <c r="W1678" i="5"/>
  <c r="V1678" i="5"/>
  <c r="U1678" i="5"/>
  <c r="T1678" i="5"/>
  <c r="S1678" i="5"/>
  <c r="R1678" i="5"/>
  <c r="Q1678" i="5"/>
  <c r="P1678" i="5"/>
  <c r="O1678" i="5"/>
  <c r="N1678" i="5"/>
  <c r="M1678" i="5"/>
  <c r="L1678" i="5"/>
  <c r="AD1677" i="5"/>
  <c r="AC1677" i="5"/>
  <c r="AB1677" i="5"/>
  <c r="AA1677" i="5"/>
  <c r="Z1677" i="5"/>
  <c r="Y1677" i="5"/>
  <c r="X1677" i="5"/>
  <c r="W1677" i="5"/>
  <c r="V1677" i="5"/>
  <c r="U1677" i="5"/>
  <c r="T1677" i="5"/>
  <c r="S1677" i="5"/>
  <c r="R1677" i="5"/>
  <c r="Q1677" i="5"/>
  <c r="P1677" i="5"/>
  <c r="O1677" i="5"/>
  <c r="N1677" i="5"/>
  <c r="M1677" i="5"/>
  <c r="L1677" i="5"/>
  <c r="AD1676" i="5"/>
  <c r="AC1676" i="5"/>
  <c r="AB1676" i="5"/>
  <c r="AA1676" i="5"/>
  <c r="Z1676" i="5"/>
  <c r="Y1676" i="5"/>
  <c r="X1676" i="5"/>
  <c r="W1676" i="5"/>
  <c r="V1676" i="5"/>
  <c r="U1676" i="5"/>
  <c r="T1676" i="5"/>
  <c r="S1676" i="5"/>
  <c r="R1676" i="5"/>
  <c r="Q1676" i="5"/>
  <c r="P1676" i="5"/>
  <c r="O1676" i="5"/>
  <c r="N1676" i="5"/>
  <c r="M1676" i="5"/>
  <c r="L1676" i="5"/>
  <c r="AD1675" i="5"/>
  <c r="AC1675" i="5"/>
  <c r="AB1675" i="5"/>
  <c r="AA1675" i="5"/>
  <c r="Z1675" i="5"/>
  <c r="Y1675" i="5"/>
  <c r="X1675" i="5"/>
  <c r="W1675" i="5"/>
  <c r="V1675" i="5"/>
  <c r="U1675" i="5"/>
  <c r="T1675" i="5"/>
  <c r="S1675" i="5"/>
  <c r="R1675" i="5"/>
  <c r="Q1675" i="5"/>
  <c r="P1675" i="5"/>
  <c r="O1675" i="5"/>
  <c r="N1675" i="5"/>
  <c r="M1675" i="5"/>
  <c r="L1675" i="5"/>
  <c r="AD1674" i="5"/>
  <c r="AC1674" i="5"/>
  <c r="AB1674" i="5"/>
  <c r="AA1674" i="5"/>
  <c r="Z1674" i="5"/>
  <c r="Y1674" i="5"/>
  <c r="X1674" i="5"/>
  <c r="W1674" i="5"/>
  <c r="V1674" i="5"/>
  <c r="U1674" i="5"/>
  <c r="T1674" i="5"/>
  <c r="S1674" i="5"/>
  <c r="R1674" i="5"/>
  <c r="Q1674" i="5"/>
  <c r="P1674" i="5"/>
  <c r="O1674" i="5"/>
  <c r="N1674" i="5"/>
  <c r="M1674" i="5"/>
  <c r="L1674" i="5"/>
  <c r="AD1673" i="5"/>
  <c r="AC1673" i="5"/>
  <c r="AB1673" i="5"/>
  <c r="AA1673" i="5"/>
  <c r="Z1673" i="5"/>
  <c r="Y1673" i="5"/>
  <c r="X1673" i="5"/>
  <c r="W1673" i="5"/>
  <c r="V1673" i="5"/>
  <c r="U1673" i="5"/>
  <c r="T1673" i="5"/>
  <c r="S1673" i="5"/>
  <c r="R1673" i="5"/>
  <c r="Q1673" i="5"/>
  <c r="P1673" i="5"/>
  <c r="O1673" i="5"/>
  <c r="N1673" i="5"/>
  <c r="M1673" i="5"/>
  <c r="L1673" i="5"/>
  <c r="AD1672" i="5"/>
  <c r="AC1672" i="5"/>
  <c r="AB1672" i="5"/>
  <c r="AA1672" i="5"/>
  <c r="Z1672" i="5"/>
  <c r="Y1672" i="5"/>
  <c r="X1672" i="5"/>
  <c r="W1672" i="5"/>
  <c r="V1672" i="5"/>
  <c r="U1672" i="5"/>
  <c r="T1672" i="5"/>
  <c r="S1672" i="5"/>
  <c r="R1672" i="5"/>
  <c r="Q1672" i="5"/>
  <c r="P1672" i="5"/>
  <c r="O1672" i="5"/>
  <c r="N1672" i="5"/>
  <c r="M1672" i="5"/>
  <c r="L1672" i="5"/>
  <c r="AD1671" i="5"/>
  <c r="AC1671" i="5"/>
  <c r="AB1671" i="5"/>
  <c r="AA1671" i="5"/>
  <c r="Z1671" i="5"/>
  <c r="Y1671" i="5"/>
  <c r="X1671" i="5"/>
  <c r="W1671" i="5"/>
  <c r="V1671" i="5"/>
  <c r="U1671" i="5"/>
  <c r="T1671" i="5"/>
  <c r="S1671" i="5"/>
  <c r="R1671" i="5"/>
  <c r="Q1671" i="5"/>
  <c r="P1671" i="5"/>
  <c r="O1671" i="5"/>
  <c r="N1671" i="5"/>
  <c r="M1671" i="5"/>
  <c r="L1671" i="5"/>
  <c r="AD1670" i="5"/>
  <c r="AC1670" i="5"/>
  <c r="AB1670" i="5"/>
  <c r="AA1670" i="5"/>
  <c r="Z1670" i="5"/>
  <c r="Y1670" i="5"/>
  <c r="X1670" i="5"/>
  <c r="W1670" i="5"/>
  <c r="V1670" i="5"/>
  <c r="U1670" i="5"/>
  <c r="T1670" i="5"/>
  <c r="S1670" i="5"/>
  <c r="R1670" i="5"/>
  <c r="Q1670" i="5"/>
  <c r="P1670" i="5"/>
  <c r="O1670" i="5"/>
  <c r="N1670" i="5"/>
  <c r="M1670" i="5"/>
  <c r="L1670" i="5"/>
  <c r="AD1669" i="5"/>
  <c r="AC1669" i="5"/>
  <c r="AB1669" i="5"/>
  <c r="AA1669" i="5"/>
  <c r="Z1669" i="5"/>
  <c r="Y1669" i="5"/>
  <c r="X1669" i="5"/>
  <c r="W1669" i="5"/>
  <c r="V1669" i="5"/>
  <c r="U1669" i="5"/>
  <c r="T1669" i="5"/>
  <c r="S1669" i="5"/>
  <c r="R1669" i="5"/>
  <c r="Q1669" i="5"/>
  <c r="P1669" i="5"/>
  <c r="O1669" i="5"/>
  <c r="N1669" i="5"/>
  <c r="M1669" i="5"/>
  <c r="L1669" i="5"/>
  <c r="AD1668" i="5"/>
  <c r="AC1668" i="5"/>
  <c r="AB1668" i="5"/>
  <c r="AA1668" i="5"/>
  <c r="Z1668" i="5"/>
  <c r="Y1668" i="5"/>
  <c r="X1668" i="5"/>
  <c r="W1668" i="5"/>
  <c r="V1668" i="5"/>
  <c r="U1668" i="5"/>
  <c r="T1668" i="5"/>
  <c r="S1668" i="5"/>
  <c r="R1668" i="5"/>
  <c r="Q1668" i="5"/>
  <c r="P1668" i="5"/>
  <c r="O1668" i="5"/>
  <c r="N1668" i="5"/>
  <c r="M1668" i="5"/>
  <c r="L1668" i="5"/>
  <c r="AD1667" i="5"/>
  <c r="AC1667" i="5"/>
  <c r="AB1667" i="5"/>
  <c r="AA1667" i="5"/>
  <c r="Z1667" i="5"/>
  <c r="Y1667" i="5"/>
  <c r="X1667" i="5"/>
  <c r="W1667" i="5"/>
  <c r="V1667" i="5"/>
  <c r="U1667" i="5"/>
  <c r="T1667" i="5"/>
  <c r="S1667" i="5"/>
  <c r="R1667" i="5"/>
  <c r="Q1667" i="5"/>
  <c r="P1667" i="5"/>
  <c r="O1667" i="5"/>
  <c r="N1667" i="5"/>
  <c r="M1667" i="5"/>
  <c r="L1667" i="5"/>
  <c r="AD1666" i="5"/>
  <c r="AC1666" i="5"/>
  <c r="AB1666" i="5"/>
  <c r="AA1666" i="5"/>
  <c r="Z1666" i="5"/>
  <c r="Y1666" i="5"/>
  <c r="X1666" i="5"/>
  <c r="W1666" i="5"/>
  <c r="V1666" i="5"/>
  <c r="U1666" i="5"/>
  <c r="T1666" i="5"/>
  <c r="S1666" i="5"/>
  <c r="R1666" i="5"/>
  <c r="Q1666" i="5"/>
  <c r="P1666" i="5"/>
  <c r="O1666" i="5"/>
  <c r="N1666" i="5"/>
  <c r="M1666" i="5"/>
  <c r="L1666" i="5"/>
  <c r="AD1665" i="5"/>
  <c r="AC1665" i="5"/>
  <c r="AB1665" i="5"/>
  <c r="AA1665" i="5"/>
  <c r="Z1665" i="5"/>
  <c r="Y1665" i="5"/>
  <c r="X1665" i="5"/>
  <c r="W1665" i="5"/>
  <c r="V1665" i="5"/>
  <c r="U1665" i="5"/>
  <c r="T1665" i="5"/>
  <c r="S1665" i="5"/>
  <c r="R1665" i="5"/>
  <c r="Q1665" i="5"/>
  <c r="P1665" i="5"/>
  <c r="O1665" i="5"/>
  <c r="N1665" i="5"/>
  <c r="M1665" i="5"/>
  <c r="L1665" i="5"/>
  <c r="AD1664" i="5"/>
  <c r="AC1664" i="5"/>
  <c r="AB1664" i="5"/>
  <c r="AA1664" i="5"/>
  <c r="Z1664" i="5"/>
  <c r="Y1664" i="5"/>
  <c r="X1664" i="5"/>
  <c r="W1664" i="5"/>
  <c r="V1664" i="5"/>
  <c r="U1664" i="5"/>
  <c r="T1664" i="5"/>
  <c r="S1664" i="5"/>
  <c r="R1664" i="5"/>
  <c r="Q1664" i="5"/>
  <c r="P1664" i="5"/>
  <c r="O1664" i="5"/>
  <c r="N1664" i="5"/>
  <c r="M1664" i="5"/>
  <c r="L1664" i="5"/>
  <c r="AD1663" i="5"/>
  <c r="AC1663" i="5"/>
  <c r="AB1663" i="5"/>
  <c r="AA1663" i="5"/>
  <c r="Z1663" i="5"/>
  <c r="Y1663" i="5"/>
  <c r="X1663" i="5"/>
  <c r="W1663" i="5"/>
  <c r="V1663" i="5"/>
  <c r="U1663" i="5"/>
  <c r="T1663" i="5"/>
  <c r="S1663" i="5"/>
  <c r="R1663" i="5"/>
  <c r="Q1663" i="5"/>
  <c r="P1663" i="5"/>
  <c r="O1663" i="5"/>
  <c r="N1663" i="5"/>
  <c r="M1663" i="5"/>
  <c r="L1663" i="5"/>
  <c r="AD1662" i="5"/>
  <c r="AC1662" i="5"/>
  <c r="AB1662" i="5"/>
  <c r="AA1662" i="5"/>
  <c r="Z1662" i="5"/>
  <c r="Y1662" i="5"/>
  <c r="X1662" i="5"/>
  <c r="W1662" i="5"/>
  <c r="V1662" i="5"/>
  <c r="U1662" i="5"/>
  <c r="T1662" i="5"/>
  <c r="S1662" i="5"/>
  <c r="R1662" i="5"/>
  <c r="Q1662" i="5"/>
  <c r="P1662" i="5"/>
  <c r="O1662" i="5"/>
  <c r="N1662" i="5"/>
  <c r="M1662" i="5"/>
  <c r="L1662" i="5"/>
  <c r="AD1661" i="5"/>
  <c r="AC1661" i="5"/>
  <c r="AB1661" i="5"/>
  <c r="AA1661" i="5"/>
  <c r="Z1661" i="5"/>
  <c r="Y1661" i="5"/>
  <c r="X1661" i="5"/>
  <c r="W1661" i="5"/>
  <c r="V1661" i="5"/>
  <c r="U1661" i="5"/>
  <c r="T1661" i="5"/>
  <c r="S1661" i="5"/>
  <c r="R1661" i="5"/>
  <c r="Q1661" i="5"/>
  <c r="P1661" i="5"/>
  <c r="O1661" i="5"/>
  <c r="N1661" i="5"/>
  <c r="M1661" i="5"/>
  <c r="L1661" i="5"/>
  <c r="AD1660" i="5"/>
  <c r="AC1660" i="5"/>
  <c r="AB1660" i="5"/>
  <c r="AA1660" i="5"/>
  <c r="Z1660" i="5"/>
  <c r="Y1660" i="5"/>
  <c r="X1660" i="5"/>
  <c r="W1660" i="5"/>
  <c r="V1660" i="5"/>
  <c r="U1660" i="5"/>
  <c r="T1660" i="5"/>
  <c r="S1660" i="5"/>
  <c r="R1660" i="5"/>
  <c r="Q1660" i="5"/>
  <c r="P1660" i="5"/>
  <c r="O1660" i="5"/>
  <c r="N1660" i="5"/>
  <c r="M1660" i="5"/>
  <c r="L1660" i="5"/>
  <c r="AD1659" i="5"/>
  <c r="AC1659" i="5"/>
  <c r="AB1659" i="5"/>
  <c r="AA1659" i="5"/>
  <c r="Z1659" i="5"/>
  <c r="Y1659" i="5"/>
  <c r="X1659" i="5"/>
  <c r="W1659" i="5"/>
  <c r="V1659" i="5"/>
  <c r="U1659" i="5"/>
  <c r="T1659" i="5"/>
  <c r="S1659" i="5"/>
  <c r="R1659" i="5"/>
  <c r="Q1659" i="5"/>
  <c r="P1659" i="5"/>
  <c r="O1659" i="5"/>
  <c r="N1659" i="5"/>
  <c r="M1659" i="5"/>
  <c r="L1659" i="5"/>
  <c r="AD1658" i="5"/>
  <c r="AC1658" i="5"/>
  <c r="AB1658" i="5"/>
  <c r="AA1658" i="5"/>
  <c r="Z1658" i="5"/>
  <c r="Y1658" i="5"/>
  <c r="X1658" i="5"/>
  <c r="W1658" i="5"/>
  <c r="V1658" i="5"/>
  <c r="U1658" i="5"/>
  <c r="T1658" i="5"/>
  <c r="S1658" i="5"/>
  <c r="R1658" i="5"/>
  <c r="Q1658" i="5"/>
  <c r="P1658" i="5"/>
  <c r="O1658" i="5"/>
  <c r="N1658" i="5"/>
  <c r="M1658" i="5"/>
  <c r="L1658" i="5"/>
  <c r="AD1657" i="5"/>
  <c r="AC1657" i="5"/>
  <c r="AB1657" i="5"/>
  <c r="AA1657" i="5"/>
  <c r="Z1657" i="5"/>
  <c r="Y1657" i="5"/>
  <c r="X1657" i="5"/>
  <c r="W1657" i="5"/>
  <c r="V1657" i="5"/>
  <c r="U1657" i="5"/>
  <c r="T1657" i="5"/>
  <c r="S1657" i="5"/>
  <c r="R1657" i="5"/>
  <c r="Q1657" i="5"/>
  <c r="P1657" i="5"/>
  <c r="O1657" i="5"/>
  <c r="N1657" i="5"/>
  <c r="M1657" i="5"/>
  <c r="L1657" i="5"/>
  <c r="AD1656" i="5"/>
  <c r="AC1656" i="5"/>
  <c r="AB1656" i="5"/>
  <c r="AA1656" i="5"/>
  <c r="Z1656" i="5"/>
  <c r="Y1656" i="5"/>
  <c r="X1656" i="5"/>
  <c r="W1656" i="5"/>
  <c r="V1656" i="5"/>
  <c r="U1656" i="5"/>
  <c r="T1656" i="5"/>
  <c r="S1656" i="5"/>
  <c r="R1656" i="5"/>
  <c r="Q1656" i="5"/>
  <c r="P1656" i="5"/>
  <c r="O1656" i="5"/>
  <c r="N1656" i="5"/>
  <c r="M1656" i="5"/>
  <c r="L1656" i="5"/>
  <c r="AD1655" i="5"/>
  <c r="AC1655" i="5"/>
  <c r="AB1655" i="5"/>
  <c r="AA1655" i="5"/>
  <c r="Z1655" i="5"/>
  <c r="Y1655" i="5"/>
  <c r="X1655" i="5"/>
  <c r="W1655" i="5"/>
  <c r="V1655" i="5"/>
  <c r="U1655" i="5"/>
  <c r="T1655" i="5"/>
  <c r="S1655" i="5"/>
  <c r="R1655" i="5"/>
  <c r="Q1655" i="5"/>
  <c r="P1655" i="5"/>
  <c r="O1655" i="5"/>
  <c r="N1655" i="5"/>
  <c r="M1655" i="5"/>
  <c r="L1655" i="5"/>
  <c r="AD1654" i="5"/>
  <c r="AC1654" i="5"/>
  <c r="AB1654" i="5"/>
  <c r="AA1654" i="5"/>
  <c r="Z1654" i="5"/>
  <c r="Y1654" i="5"/>
  <c r="X1654" i="5"/>
  <c r="W1654" i="5"/>
  <c r="V1654" i="5"/>
  <c r="U1654" i="5"/>
  <c r="T1654" i="5"/>
  <c r="S1654" i="5"/>
  <c r="R1654" i="5"/>
  <c r="Q1654" i="5"/>
  <c r="P1654" i="5"/>
  <c r="O1654" i="5"/>
  <c r="N1654" i="5"/>
  <c r="M1654" i="5"/>
  <c r="L1654" i="5"/>
  <c r="AD1653" i="5"/>
  <c r="AC1653" i="5"/>
  <c r="AB1653" i="5"/>
  <c r="AA1653" i="5"/>
  <c r="Z1653" i="5"/>
  <c r="Y1653" i="5"/>
  <c r="X1653" i="5"/>
  <c r="W1653" i="5"/>
  <c r="V1653" i="5"/>
  <c r="U1653" i="5"/>
  <c r="T1653" i="5"/>
  <c r="S1653" i="5"/>
  <c r="R1653" i="5"/>
  <c r="Q1653" i="5"/>
  <c r="P1653" i="5"/>
  <c r="O1653" i="5"/>
  <c r="N1653" i="5"/>
  <c r="M1653" i="5"/>
  <c r="L1653" i="5"/>
  <c r="AD1652" i="5"/>
  <c r="AC1652" i="5"/>
  <c r="AB1652" i="5"/>
  <c r="AA1652" i="5"/>
  <c r="Z1652" i="5"/>
  <c r="Y1652" i="5"/>
  <c r="X1652" i="5"/>
  <c r="W1652" i="5"/>
  <c r="V1652" i="5"/>
  <c r="U1652" i="5"/>
  <c r="T1652" i="5"/>
  <c r="S1652" i="5"/>
  <c r="R1652" i="5"/>
  <c r="Q1652" i="5"/>
  <c r="P1652" i="5"/>
  <c r="O1652" i="5"/>
  <c r="N1652" i="5"/>
  <c r="M1652" i="5"/>
  <c r="L1652" i="5"/>
  <c r="AD1651" i="5"/>
  <c r="AC1651" i="5"/>
  <c r="AB1651" i="5"/>
  <c r="AA1651" i="5"/>
  <c r="Z1651" i="5"/>
  <c r="Y1651" i="5"/>
  <c r="X1651" i="5"/>
  <c r="W1651" i="5"/>
  <c r="V1651" i="5"/>
  <c r="U1651" i="5"/>
  <c r="T1651" i="5"/>
  <c r="S1651" i="5"/>
  <c r="R1651" i="5"/>
  <c r="Q1651" i="5"/>
  <c r="P1651" i="5"/>
  <c r="O1651" i="5"/>
  <c r="N1651" i="5"/>
  <c r="M1651" i="5"/>
  <c r="L1651" i="5"/>
  <c r="AD1650" i="5"/>
  <c r="AC1650" i="5"/>
  <c r="AB1650" i="5"/>
  <c r="AA1650" i="5"/>
  <c r="Z1650" i="5"/>
  <c r="Y1650" i="5"/>
  <c r="X1650" i="5"/>
  <c r="W1650" i="5"/>
  <c r="V1650" i="5"/>
  <c r="U1650" i="5"/>
  <c r="T1650" i="5"/>
  <c r="S1650" i="5"/>
  <c r="R1650" i="5"/>
  <c r="Q1650" i="5"/>
  <c r="P1650" i="5"/>
  <c r="O1650" i="5"/>
  <c r="N1650" i="5"/>
  <c r="M1650" i="5"/>
  <c r="L1650" i="5"/>
  <c r="AD1649" i="5"/>
  <c r="AC1649" i="5"/>
  <c r="AB1649" i="5"/>
  <c r="AA1649" i="5"/>
  <c r="Z1649" i="5"/>
  <c r="Y1649" i="5"/>
  <c r="X1649" i="5"/>
  <c r="W1649" i="5"/>
  <c r="V1649" i="5"/>
  <c r="U1649" i="5"/>
  <c r="T1649" i="5"/>
  <c r="S1649" i="5"/>
  <c r="R1649" i="5"/>
  <c r="Q1649" i="5"/>
  <c r="P1649" i="5"/>
  <c r="O1649" i="5"/>
  <c r="N1649" i="5"/>
  <c r="M1649" i="5"/>
  <c r="L1649" i="5"/>
  <c r="AD1648" i="5"/>
  <c r="AC1648" i="5"/>
  <c r="AB1648" i="5"/>
  <c r="AA1648" i="5"/>
  <c r="Z1648" i="5"/>
  <c r="Y1648" i="5"/>
  <c r="X1648" i="5"/>
  <c r="W1648" i="5"/>
  <c r="V1648" i="5"/>
  <c r="U1648" i="5"/>
  <c r="T1648" i="5"/>
  <c r="S1648" i="5"/>
  <c r="R1648" i="5"/>
  <c r="Q1648" i="5"/>
  <c r="P1648" i="5"/>
  <c r="O1648" i="5"/>
  <c r="N1648" i="5"/>
  <c r="M1648" i="5"/>
  <c r="L1648" i="5"/>
  <c r="AD1647" i="5"/>
  <c r="AC1647" i="5"/>
  <c r="AB1647" i="5"/>
  <c r="AA1647" i="5"/>
  <c r="Z1647" i="5"/>
  <c r="Y1647" i="5"/>
  <c r="X1647" i="5"/>
  <c r="W1647" i="5"/>
  <c r="V1647" i="5"/>
  <c r="U1647" i="5"/>
  <c r="T1647" i="5"/>
  <c r="S1647" i="5"/>
  <c r="R1647" i="5"/>
  <c r="Q1647" i="5"/>
  <c r="P1647" i="5"/>
  <c r="O1647" i="5"/>
  <c r="N1647" i="5"/>
  <c r="M1647" i="5"/>
  <c r="L1647" i="5"/>
  <c r="AD1646" i="5"/>
  <c r="AC1646" i="5"/>
  <c r="AB1646" i="5"/>
  <c r="AA1646" i="5"/>
  <c r="Z1646" i="5"/>
  <c r="Y1646" i="5"/>
  <c r="X1646" i="5"/>
  <c r="W1646" i="5"/>
  <c r="V1646" i="5"/>
  <c r="U1646" i="5"/>
  <c r="T1646" i="5"/>
  <c r="S1646" i="5"/>
  <c r="R1646" i="5"/>
  <c r="Q1646" i="5"/>
  <c r="P1646" i="5"/>
  <c r="O1646" i="5"/>
  <c r="N1646" i="5"/>
  <c r="M1646" i="5"/>
  <c r="L1646" i="5"/>
  <c r="AD1645" i="5"/>
  <c r="AC1645" i="5"/>
  <c r="AB1645" i="5"/>
  <c r="AA1645" i="5"/>
  <c r="Z1645" i="5"/>
  <c r="Y1645" i="5"/>
  <c r="X1645" i="5"/>
  <c r="W1645" i="5"/>
  <c r="V1645" i="5"/>
  <c r="U1645" i="5"/>
  <c r="T1645" i="5"/>
  <c r="S1645" i="5"/>
  <c r="R1645" i="5"/>
  <c r="Q1645" i="5"/>
  <c r="P1645" i="5"/>
  <c r="O1645" i="5"/>
  <c r="N1645" i="5"/>
  <c r="M1645" i="5"/>
  <c r="L1645" i="5"/>
  <c r="AD1644" i="5"/>
  <c r="AC1644" i="5"/>
  <c r="AB1644" i="5"/>
  <c r="AA1644" i="5"/>
  <c r="Z1644" i="5"/>
  <c r="Y1644" i="5"/>
  <c r="X1644" i="5"/>
  <c r="W1644" i="5"/>
  <c r="V1644" i="5"/>
  <c r="U1644" i="5"/>
  <c r="T1644" i="5"/>
  <c r="S1644" i="5"/>
  <c r="R1644" i="5"/>
  <c r="Q1644" i="5"/>
  <c r="P1644" i="5"/>
  <c r="O1644" i="5"/>
  <c r="N1644" i="5"/>
  <c r="M1644" i="5"/>
  <c r="L1644" i="5"/>
  <c r="AD1643" i="5"/>
  <c r="AC1643" i="5"/>
  <c r="AB1643" i="5"/>
  <c r="AA1643" i="5"/>
  <c r="Z1643" i="5"/>
  <c r="Y1643" i="5"/>
  <c r="X1643" i="5"/>
  <c r="W1643" i="5"/>
  <c r="V1643" i="5"/>
  <c r="U1643" i="5"/>
  <c r="T1643" i="5"/>
  <c r="S1643" i="5"/>
  <c r="R1643" i="5"/>
  <c r="Q1643" i="5"/>
  <c r="P1643" i="5"/>
  <c r="O1643" i="5"/>
  <c r="N1643" i="5"/>
  <c r="M1643" i="5"/>
  <c r="L1643" i="5"/>
  <c r="AD1642" i="5"/>
  <c r="AC1642" i="5"/>
  <c r="AB1642" i="5"/>
  <c r="AA1642" i="5"/>
  <c r="Z1642" i="5"/>
  <c r="Y1642" i="5"/>
  <c r="X1642" i="5"/>
  <c r="W1642" i="5"/>
  <c r="V1642" i="5"/>
  <c r="U1642" i="5"/>
  <c r="T1642" i="5"/>
  <c r="S1642" i="5"/>
  <c r="R1642" i="5"/>
  <c r="Q1642" i="5"/>
  <c r="P1642" i="5"/>
  <c r="O1642" i="5"/>
  <c r="N1642" i="5"/>
  <c r="M1642" i="5"/>
  <c r="L1642" i="5"/>
  <c r="AD1641" i="5"/>
  <c r="AC1641" i="5"/>
  <c r="AB1641" i="5"/>
  <c r="AA1641" i="5"/>
  <c r="Z1641" i="5"/>
  <c r="Y1641" i="5"/>
  <c r="X1641" i="5"/>
  <c r="W1641" i="5"/>
  <c r="V1641" i="5"/>
  <c r="U1641" i="5"/>
  <c r="T1641" i="5"/>
  <c r="S1641" i="5"/>
  <c r="R1641" i="5"/>
  <c r="Q1641" i="5"/>
  <c r="P1641" i="5"/>
  <c r="O1641" i="5"/>
  <c r="N1641" i="5"/>
  <c r="M1641" i="5"/>
  <c r="L1641" i="5"/>
  <c r="AD1640" i="5"/>
  <c r="AC1640" i="5"/>
  <c r="AB1640" i="5"/>
  <c r="AA1640" i="5"/>
  <c r="Z1640" i="5"/>
  <c r="Y1640" i="5"/>
  <c r="X1640" i="5"/>
  <c r="W1640" i="5"/>
  <c r="V1640" i="5"/>
  <c r="U1640" i="5"/>
  <c r="T1640" i="5"/>
  <c r="S1640" i="5"/>
  <c r="R1640" i="5"/>
  <c r="Q1640" i="5"/>
  <c r="P1640" i="5"/>
  <c r="O1640" i="5"/>
  <c r="N1640" i="5"/>
  <c r="M1640" i="5"/>
  <c r="L1640" i="5"/>
  <c r="AD1639" i="5"/>
  <c r="AC1639" i="5"/>
  <c r="AB1639" i="5"/>
  <c r="AA1639" i="5"/>
  <c r="Z1639" i="5"/>
  <c r="Y1639" i="5"/>
  <c r="X1639" i="5"/>
  <c r="W1639" i="5"/>
  <c r="V1639" i="5"/>
  <c r="U1639" i="5"/>
  <c r="T1639" i="5"/>
  <c r="S1639" i="5"/>
  <c r="R1639" i="5"/>
  <c r="Q1639" i="5"/>
  <c r="P1639" i="5"/>
  <c r="O1639" i="5"/>
  <c r="N1639" i="5"/>
  <c r="M1639" i="5"/>
  <c r="L1639" i="5"/>
  <c r="AD1638" i="5"/>
  <c r="AC1638" i="5"/>
  <c r="AB1638" i="5"/>
  <c r="AA1638" i="5"/>
  <c r="Z1638" i="5"/>
  <c r="Y1638" i="5"/>
  <c r="X1638" i="5"/>
  <c r="W1638" i="5"/>
  <c r="V1638" i="5"/>
  <c r="U1638" i="5"/>
  <c r="T1638" i="5"/>
  <c r="S1638" i="5"/>
  <c r="R1638" i="5"/>
  <c r="Q1638" i="5"/>
  <c r="P1638" i="5"/>
  <c r="O1638" i="5"/>
  <c r="N1638" i="5"/>
  <c r="M1638" i="5"/>
  <c r="L1638" i="5"/>
  <c r="AD1637" i="5"/>
  <c r="AC1637" i="5"/>
  <c r="AB1637" i="5"/>
  <c r="AA1637" i="5"/>
  <c r="Z1637" i="5"/>
  <c r="Y1637" i="5"/>
  <c r="X1637" i="5"/>
  <c r="W1637" i="5"/>
  <c r="V1637" i="5"/>
  <c r="U1637" i="5"/>
  <c r="T1637" i="5"/>
  <c r="S1637" i="5"/>
  <c r="R1637" i="5"/>
  <c r="Q1637" i="5"/>
  <c r="P1637" i="5"/>
  <c r="O1637" i="5"/>
  <c r="N1637" i="5"/>
  <c r="M1637" i="5"/>
  <c r="L1637" i="5"/>
  <c r="AD1636" i="5"/>
  <c r="AC1636" i="5"/>
  <c r="AB1636" i="5"/>
  <c r="AA1636" i="5"/>
  <c r="Z1636" i="5"/>
  <c r="Y1636" i="5"/>
  <c r="X1636" i="5"/>
  <c r="W1636" i="5"/>
  <c r="V1636" i="5"/>
  <c r="U1636" i="5"/>
  <c r="T1636" i="5"/>
  <c r="S1636" i="5"/>
  <c r="R1636" i="5"/>
  <c r="Q1636" i="5"/>
  <c r="P1636" i="5"/>
  <c r="O1636" i="5"/>
  <c r="N1636" i="5"/>
  <c r="M1636" i="5"/>
  <c r="L1636" i="5"/>
  <c r="AD1635" i="5"/>
  <c r="AC1635" i="5"/>
  <c r="AB1635" i="5"/>
  <c r="AA1635" i="5"/>
  <c r="Z1635" i="5"/>
  <c r="Y1635" i="5"/>
  <c r="X1635" i="5"/>
  <c r="W1635" i="5"/>
  <c r="V1635" i="5"/>
  <c r="U1635" i="5"/>
  <c r="T1635" i="5"/>
  <c r="S1635" i="5"/>
  <c r="R1635" i="5"/>
  <c r="Q1635" i="5"/>
  <c r="P1635" i="5"/>
  <c r="O1635" i="5"/>
  <c r="N1635" i="5"/>
  <c r="M1635" i="5"/>
  <c r="L1635" i="5"/>
  <c r="AD1634" i="5"/>
  <c r="AC1634" i="5"/>
  <c r="AB1634" i="5"/>
  <c r="AA1634" i="5"/>
  <c r="Z1634" i="5"/>
  <c r="Y1634" i="5"/>
  <c r="X1634" i="5"/>
  <c r="W1634" i="5"/>
  <c r="V1634" i="5"/>
  <c r="U1634" i="5"/>
  <c r="T1634" i="5"/>
  <c r="S1634" i="5"/>
  <c r="R1634" i="5"/>
  <c r="Q1634" i="5"/>
  <c r="P1634" i="5"/>
  <c r="O1634" i="5"/>
  <c r="N1634" i="5"/>
  <c r="M1634" i="5"/>
  <c r="L1634" i="5"/>
  <c r="AD1633" i="5"/>
  <c r="AC1633" i="5"/>
  <c r="AB1633" i="5"/>
  <c r="AA1633" i="5"/>
  <c r="Z1633" i="5"/>
  <c r="Y1633" i="5"/>
  <c r="X1633" i="5"/>
  <c r="W1633" i="5"/>
  <c r="V1633" i="5"/>
  <c r="U1633" i="5"/>
  <c r="T1633" i="5"/>
  <c r="S1633" i="5"/>
  <c r="R1633" i="5"/>
  <c r="Q1633" i="5"/>
  <c r="P1633" i="5"/>
  <c r="O1633" i="5"/>
  <c r="N1633" i="5"/>
  <c r="M1633" i="5"/>
  <c r="L1633" i="5"/>
  <c r="AD1632" i="5"/>
  <c r="AC1632" i="5"/>
  <c r="AB1632" i="5"/>
  <c r="AA1632" i="5"/>
  <c r="Z1632" i="5"/>
  <c r="Y1632" i="5"/>
  <c r="X1632" i="5"/>
  <c r="W1632" i="5"/>
  <c r="V1632" i="5"/>
  <c r="U1632" i="5"/>
  <c r="T1632" i="5"/>
  <c r="S1632" i="5"/>
  <c r="R1632" i="5"/>
  <c r="Q1632" i="5"/>
  <c r="P1632" i="5"/>
  <c r="O1632" i="5"/>
  <c r="N1632" i="5"/>
  <c r="M1632" i="5"/>
  <c r="L1632" i="5"/>
  <c r="AD1631" i="5"/>
  <c r="AC1631" i="5"/>
  <c r="AB1631" i="5"/>
  <c r="AA1631" i="5"/>
  <c r="Z1631" i="5"/>
  <c r="Y1631" i="5"/>
  <c r="X1631" i="5"/>
  <c r="W1631" i="5"/>
  <c r="V1631" i="5"/>
  <c r="U1631" i="5"/>
  <c r="T1631" i="5"/>
  <c r="S1631" i="5"/>
  <c r="R1631" i="5"/>
  <c r="Q1631" i="5"/>
  <c r="P1631" i="5"/>
  <c r="O1631" i="5"/>
  <c r="N1631" i="5"/>
  <c r="M1631" i="5"/>
  <c r="L1631" i="5"/>
  <c r="AD1630" i="5"/>
  <c r="AC1630" i="5"/>
  <c r="AB1630" i="5"/>
  <c r="AA1630" i="5"/>
  <c r="Z1630" i="5"/>
  <c r="Y1630" i="5"/>
  <c r="X1630" i="5"/>
  <c r="W1630" i="5"/>
  <c r="V1630" i="5"/>
  <c r="U1630" i="5"/>
  <c r="T1630" i="5"/>
  <c r="S1630" i="5"/>
  <c r="R1630" i="5"/>
  <c r="Q1630" i="5"/>
  <c r="P1630" i="5"/>
  <c r="O1630" i="5"/>
  <c r="N1630" i="5"/>
  <c r="M1630" i="5"/>
  <c r="L1630" i="5"/>
  <c r="AD1629" i="5"/>
  <c r="AC1629" i="5"/>
  <c r="AB1629" i="5"/>
  <c r="AA1629" i="5"/>
  <c r="Z1629" i="5"/>
  <c r="Y1629" i="5"/>
  <c r="X1629" i="5"/>
  <c r="W1629" i="5"/>
  <c r="V1629" i="5"/>
  <c r="U1629" i="5"/>
  <c r="T1629" i="5"/>
  <c r="S1629" i="5"/>
  <c r="R1629" i="5"/>
  <c r="Q1629" i="5"/>
  <c r="P1629" i="5"/>
  <c r="O1629" i="5"/>
  <c r="N1629" i="5"/>
  <c r="M1629" i="5"/>
  <c r="L1629" i="5"/>
  <c r="AD1628" i="5"/>
  <c r="AC1628" i="5"/>
  <c r="AB1628" i="5"/>
  <c r="AA1628" i="5"/>
  <c r="Z1628" i="5"/>
  <c r="Y1628" i="5"/>
  <c r="X1628" i="5"/>
  <c r="W1628" i="5"/>
  <c r="V1628" i="5"/>
  <c r="U1628" i="5"/>
  <c r="T1628" i="5"/>
  <c r="S1628" i="5"/>
  <c r="R1628" i="5"/>
  <c r="Q1628" i="5"/>
  <c r="P1628" i="5"/>
  <c r="O1628" i="5"/>
  <c r="N1628" i="5"/>
  <c r="M1628" i="5"/>
  <c r="L1628" i="5"/>
  <c r="AD1627" i="5"/>
  <c r="AC1627" i="5"/>
  <c r="AB1627" i="5"/>
  <c r="AA1627" i="5"/>
  <c r="Z1627" i="5"/>
  <c r="Y1627" i="5"/>
  <c r="X1627" i="5"/>
  <c r="W1627" i="5"/>
  <c r="V1627" i="5"/>
  <c r="U1627" i="5"/>
  <c r="T1627" i="5"/>
  <c r="S1627" i="5"/>
  <c r="R1627" i="5"/>
  <c r="Q1627" i="5"/>
  <c r="P1627" i="5"/>
  <c r="O1627" i="5"/>
  <c r="N1627" i="5"/>
  <c r="M1627" i="5"/>
  <c r="L1627" i="5"/>
  <c r="AD1626" i="5"/>
  <c r="AC1626" i="5"/>
  <c r="AB1626" i="5"/>
  <c r="AA1626" i="5"/>
  <c r="Z1626" i="5"/>
  <c r="Y1626" i="5"/>
  <c r="X1626" i="5"/>
  <c r="W1626" i="5"/>
  <c r="V1626" i="5"/>
  <c r="U1626" i="5"/>
  <c r="T1626" i="5"/>
  <c r="S1626" i="5"/>
  <c r="R1626" i="5"/>
  <c r="Q1626" i="5"/>
  <c r="P1626" i="5"/>
  <c r="O1626" i="5"/>
  <c r="N1626" i="5"/>
  <c r="M1626" i="5"/>
  <c r="L1626" i="5"/>
  <c r="AD1625" i="5"/>
  <c r="AC1625" i="5"/>
  <c r="AB1625" i="5"/>
  <c r="AA1625" i="5"/>
  <c r="Z1625" i="5"/>
  <c r="Y1625" i="5"/>
  <c r="X1625" i="5"/>
  <c r="W1625" i="5"/>
  <c r="V1625" i="5"/>
  <c r="U1625" i="5"/>
  <c r="T1625" i="5"/>
  <c r="S1625" i="5"/>
  <c r="R1625" i="5"/>
  <c r="Q1625" i="5"/>
  <c r="P1625" i="5"/>
  <c r="O1625" i="5"/>
  <c r="N1625" i="5"/>
  <c r="M1625" i="5"/>
  <c r="L1625" i="5"/>
  <c r="AD1624" i="5"/>
  <c r="AC1624" i="5"/>
  <c r="AB1624" i="5"/>
  <c r="AA1624" i="5"/>
  <c r="Z1624" i="5"/>
  <c r="Y1624" i="5"/>
  <c r="X1624" i="5"/>
  <c r="W1624" i="5"/>
  <c r="V1624" i="5"/>
  <c r="U1624" i="5"/>
  <c r="T1624" i="5"/>
  <c r="S1624" i="5"/>
  <c r="R1624" i="5"/>
  <c r="Q1624" i="5"/>
  <c r="P1624" i="5"/>
  <c r="O1624" i="5"/>
  <c r="N1624" i="5"/>
  <c r="M1624" i="5"/>
  <c r="L1624" i="5"/>
  <c r="AD1623" i="5"/>
  <c r="AC1623" i="5"/>
  <c r="AB1623" i="5"/>
  <c r="AA1623" i="5"/>
  <c r="Z1623" i="5"/>
  <c r="Y1623" i="5"/>
  <c r="X1623" i="5"/>
  <c r="W1623" i="5"/>
  <c r="V1623" i="5"/>
  <c r="U1623" i="5"/>
  <c r="T1623" i="5"/>
  <c r="S1623" i="5"/>
  <c r="R1623" i="5"/>
  <c r="Q1623" i="5"/>
  <c r="P1623" i="5"/>
  <c r="O1623" i="5"/>
  <c r="N1623" i="5"/>
  <c r="M1623" i="5"/>
  <c r="L1623" i="5"/>
  <c r="AD1622" i="5"/>
  <c r="AC1622" i="5"/>
  <c r="AB1622" i="5"/>
  <c r="AA1622" i="5"/>
  <c r="Z1622" i="5"/>
  <c r="Y1622" i="5"/>
  <c r="X1622" i="5"/>
  <c r="W1622" i="5"/>
  <c r="V1622" i="5"/>
  <c r="U1622" i="5"/>
  <c r="T1622" i="5"/>
  <c r="S1622" i="5"/>
  <c r="R1622" i="5"/>
  <c r="Q1622" i="5"/>
  <c r="P1622" i="5"/>
  <c r="O1622" i="5"/>
  <c r="N1622" i="5"/>
  <c r="M1622" i="5"/>
  <c r="L1622" i="5"/>
  <c r="AD1621" i="5"/>
  <c r="AC1621" i="5"/>
  <c r="AB1621" i="5"/>
  <c r="AA1621" i="5"/>
  <c r="Z1621" i="5"/>
  <c r="Y1621" i="5"/>
  <c r="X1621" i="5"/>
  <c r="W1621" i="5"/>
  <c r="V1621" i="5"/>
  <c r="U1621" i="5"/>
  <c r="T1621" i="5"/>
  <c r="S1621" i="5"/>
  <c r="R1621" i="5"/>
  <c r="Q1621" i="5"/>
  <c r="P1621" i="5"/>
  <c r="O1621" i="5"/>
  <c r="N1621" i="5"/>
  <c r="M1621" i="5"/>
  <c r="L1621" i="5"/>
  <c r="AD1620" i="5"/>
  <c r="AC1620" i="5"/>
  <c r="AB1620" i="5"/>
  <c r="AA1620" i="5"/>
  <c r="Z1620" i="5"/>
  <c r="Y1620" i="5"/>
  <c r="X1620" i="5"/>
  <c r="W1620" i="5"/>
  <c r="V1620" i="5"/>
  <c r="U1620" i="5"/>
  <c r="T1620" i="5"/>
  <c r="S1620" i="5"/>
  <c r="R1620" i="5"/>
  <c r="Q1620" i="5"/>
  <c r="P1620" i="5"/>
  <c r="O1620" i="5"/>
  <c r="N1620" i="5"/>
  <c r="M1620" i="5"/>
  <c r="L1620" i="5"/>
  <c r="AD1619" i="5"/>
  <c r="AC1619" i="5"/>
  <c r="AB1619" i="5"/>
  <c r="AA1619" i="5"/>
  <c r="Z1619" i="5"/>
  <c r="Y1619" i="5"/>
  <c r="X1619" i="5"/>
  <c r="W1619" i="5"/>
  <c r="V1619" i="5"/>
  <c r="U1619" i="5"/>
  <c r="T1619" i="5"/>
  <c r="S1619" i="5"/>
  <c r="R1619" i="5"/>
  <c r="Q1619" i="5"/>
  <c r="P1619" i="5"/>
  <c r="O1619" i="5"/>
  <c r="N1619" i="5"/>
  <c r="M1619" i="5"/>
  <c r="L1619" i="5"/>
  <c r="AD1618" i="5"/>
  <c r="AC1618" i="5"/>
  <c r="AB1618" i="5"/>
  <c r="AA1618" i="5"/>
  <c r="Z1618" i="5"/>
  <c r="Y1618" i="5"/>
  <c r="X1618" i="5"/>
  <c r="W1618" i="5"/>
  <c r="V1618" i="5"/>
  <c r="U1618" i="5"/>
  <c r="T1618" i="5"/>
  <c r="S1618" i="5"/>
  <c r="R1618" i="5"/>
  <c r="Q1618" i="5"/>
  <c r="P1618" i="5"/>
  <c r="O1618" i="5"/>
  <c r="N1618" i="5"/>
  <c r="M1618" i="5"/>
  <c r="L1618" i="5"/>
  <c r="AD1617" i="5"/>
  <c r="AC1617" i="5"/>
  <c r="AB1617" i="5"/>
  <c r="AA1617" i="5"/>
  <c r="Z1617" i="5"/>
  <c r="Y1617" i="5"/>
  <c r="X1617" i="5"/>
  <c r="W1617" i="5"/>
  <c r="V1617" i="5"/>
  <c r="U1617" i="5"/>
  <c r="T1617" i="5"/>
  <c r="S1617" i="5"/>
  <c r="R1617" i="5"/>
  <c r="Q1617" i="5"/>
  <c r="P1617" i="5"/>
  <c r="O1617" i="5"/>
  <c r="N1617" i="5"/>
  <c r="M1617" i="5"/>
  <c r="L1617" i="5"/>
  <c r="AD1616" i="5"/>
  <c r="AC1616" i="5"/>
  <c r="AB1616" i="5"/>
  <c r="AA1616" i="5"/>
  <c r="Z1616" i="5"/>
  <c r="Y1616" i="5"/>
  <c r="X1616" i="5"/>
  <c r="W1616" i="5"/>
  <c r="V1616" i="5"/>
  <c r="U1616" i="5"/>
  <c r="T1616" i="5"/>
  <c r="S1616" i="5"/>
  <c r="R1616" i="5"/>
  <c r="Q1616" i="5"/>
  <c r="P1616" i="5"/>
  <c r="O1616" i="5"/>
  <c r="N1616" i="5"/>
  <c r="M1616" i="5"/>
  <c r="L1616" i="5"/>
  <c r="AD1615" i="5"/>
  <c r="AC1615" i="5"/>
  <c r="AB1615" i="5"/>
  <c r="AA1615" i="5"/>
  <c r="Z1615" i="5"/>
  <c r="Y1615" i="5"/>
  <c r="X1615" i="5"/>
  <c r="W1615" i="5"/>
  <c r="V1615" i="5"/>
  <c r="U1615" i="5"/>
  <c r="T1615" i="5"/>
  <c r="S1615" i="5"/>
  <c r="R1615" i="5"/>
  <c r="Q1615" i="5"/>
  <c r="P1615" i="5"/>
  <c r="O1615" i="5"/>
  <c r="N1615" i="5"/>
  <c r="M1615" i="5"/>
  <c r="L1615" i="5"/>
  <c r="AD1614" i="5"/>
  <c r="AC1614" i="5"/>
  <c r="AB1614" i="5"/>
  <c r="AA1614" i="5"/>
  <c r="Z1614" i="5"/>
  <c r="Y1614" i="5"/>
  <c r="X1614" i="5"/>
  <c r="W1614" i="5"/>
  <c r="V1614" i="5"/>
  <c r="U1614" i="5"/>
  <c r="T1614" i="5"/>
  <c r="S1614" i="5"/>
  <c r="R1614" i="5"/>
  <c r="Q1614" i="5"/>
  <c r="P1614" i="5"/>
  <c r="O1614" i="5"/>
  <c r="N1614" i="5"/>
  <c r="M1614" i="5"/>
  <c r="L1614" i="5"/>
  <c r="AD1613" i="5"/>
  <c r="AC1613" i="5"/>
  <c r="AB1613" i="5"/>
  <c r="AA1613" i="5"/>
  <c r="Z1613" i="5"/>
  <c r="Y1613" i="5"/>
  <c r="X1613" i="5"/>
  <c r="W1613" i="5"/>
  <c r="V1613" i="5"/>
  <c r="U1613" i="5"/>
  <c r="T1613" i="5"/>
  <c r="S1613" i="5"/>
  <c r="R1613" i="5"/>
  <c r="Q1613" i="5"/>
  <c r="P1613" i="5"/>
  <c r="O1613" i="5"/>
  <c r="N1613" i="5"/>
  <c r="M1613" i="5"/>
  <c r="L1613" i="5"/>
  <c r="AD1612" i="5"/>
  <c r="AC1612" i="5"/>
  <c r="AB1612" i="5"/>
  <c r="AA1612" i="5"/>
  <c r="Z1612" i="5"/>
  <c r="Y1612" i="5"/>
  <c r="X1612" i="5"/>
  <c r="W1612" i="5"/>
  <c r="V1612" i="5"/>
  <c r="U1612" i="5"/>
  <c r="T1612" i="5"/>
  <c r="S1612" i="5"/>
  <c r="R1612" i="5"/>
  <c r="Q1612" i="5"/>
  <c r="P1612" i="5"/>
  <c r="O1612" i="5"/>
  <c r="N1612" i="5"/>
  <c r="M1612" i="5"/>
  <c r="L1612" i="5"/>
  <c r="AD1611" i="5"/>
  <c r="AC1611" i="5"/>
  <c r="AB1611" i="5"/>
  <c r="AA1611" i="5"/>
  <c r="Z1611" i="5"/>
  <c r="Y1611" i="5"/>
  <c r="X1611" i="5"/>
  <c r="W1611" i="5"/>
  <c r="V1611" i="5"/>
  <c r="U1611" i="5"/>
  <c r="T1611" i="5"/>
  <c r="S1611" i="5"/>
  <c r="R1611" i="5"/>
  <c r="Q1611" i="5"/>
  <c r="P1611" i="5"/>
  <c r="O1611" i="5"/>
  <c r="N1611" i="5"/>
  <c r="M1611" i="5"/>
  <c r="L1611" i="5"/>
  <c r="AD1610" i="5"/>
  <c r="AC1610" i="5"/>
  <c r="AB1610" i="5"/>
  <c r="AA1610" i="5"/>
  <c r="Z1610" i="5"/>
  <c r="Y1610" i="5"/>
  <c r="X1610" i="5"/>
  <c r="W1610" i="5"/>
  <c r="V1610" i="5"/>
  <c r="U1610" i="5"/>
  <c r="T1610" i="5"/>
  <c r="S1610" i="5"/>
  <c r="R1610" i="5"/>
  <c r="Q1610" i="5"/>
  <c r="P1610" i="5"/>
  <c r="O1610" i="5"/>
  <c r="N1610" i="5"/>
  <c r="M1610" i="5"/>
  <c r="L1610" i="5"/>
  <c r="AD1609" i="5"/>
  <c r="AC1609" i="5"/>
  <c r="AB1609" i="5"/>
  <c r="AA1609" i="5"/>
  <c r="Z1609" i="5"/>
  <c r="Y1609" i="5"/>
  <c r="X1609" i="5"/>
  <c r="W1609" i="5"/>
  <c r="V1609" i="5"/>
  <c r="U1609" i="5"/>
  <c r="T1609" i="5"/>
  <c r="S1609" i="5"/>
  <c r="R1609" i="5"/>
  <c r="Q1609" i="5"/>
  <c r="P1609" i="5"/>
  <c r="O1609" i="5"/>
  <c r="N1609" i="5"/>
  <c r="M1609" i="5"/>
  <c r="L1609" i="5"/>
  <c r="AD1608" i="5"/>
  <c r="AC1608" i="5"/>
  <c r="AB1608" i="5"/>
  <c r="AA1608" i="5"/>
  <c r="Z1608" i="5"/>
  <c r="Y1608" i="5"/>
  <c r="X1608" i="5"/>
  <c r="W1608" i="5"/>
  <c r="V1608" i="5"/>
  <c r="U1608" i="5"/>
  <c r="T1608" i="5"/>
  <c r="S1608" i="5"/>
  <c r="R1608" i="5"/>
  <c r="Q1608" i="5"/>
  <c r="P1608" i="5"/>
  <c r="O1608" i="5"/>
  <c r="N1608" i="5"/>
  <c r="M1608" i="5"/>
  <c r="L1608" i="5"/>
  <c r="AD1607" i="5"/>
  <c r="AC1607" i="5"/>
  <c r="AB1607" i="5"/>
  <c r="AA1607" i="5"/>
  <c r="Z1607" i="5"/>
  <c r="Y1607" i="5"/>
  <c r="X1607" i="5"/>
  <c r="W1607" i="5"/>
  <c r="V1607" i="5"/>
  <c r="U1607" i="5"/>
  <c r="T1607" i="5"/>
  <c r="S1607" i="5"/>
  <c r="R1607" i="5"/>
  <c r="Q1607" i="5"/>
  <c r="P1607" i="5"/>
  <c r="O1607" i="5"/>
  <c r="N1607" i="5"/>
  <c r="M1607" i="5"/>
  <c r="L1607" i="5"/>
  <c r="AD1606" i="5"/>
  <c r="AC1606" i="5"/>
  <c r="AB1606" i="5"/>
  <c r="AA1606" i="5"/>
  <c r="Z1606" i="5"/>
  <c r="Y1606" i="5"/>
  <c r="X1606" i="5"/>
  <c r="W1606" i="5"/>
  <c r="V1606" i="5"/>
  <c r="U1606" i="5"/>
  <c r="T1606" i="5"/>
  <c r="S1606" i="5"/>
  <c r="R1606" i="5"/>
  <c r="Q1606" i="5"/>
  <c r="P1606" i="5"/>
  <c r="O1606" i="5"/>
  <c r="N1606" i="5"/>
  <c r="M1606" i="5"/>
  <c r="L1606" i="5"/>
  <c r="AD1605" i="5"/>
  <c r="AC1605" i="5"/>
  <c r="AB1605" i="5"/>
  <c r="AA1605" i="5"/>
  <c r="Z1605" i="5"/>
  <c r="Y1605" i="5"/>
  <c r="X1605" i="5"/>
  <c r="W1605" i="5"/>
  <c r="V1605" i="5"/>
  <c r="U1605" i="5"/>
  <c r="T1605" i="5"/>
  <c r="S1605" i="5"/>
  <c r="R1605" i="5"/>
  <c r="Q1605" i="5"/>
  <c r="P1605" i="5"/>
  <c r="O1605" i="5"/>
  <c r="N1605" i="5"/>
  <c r="M1605" i="5"/>
  <c r="L1605" i="5"/>
  <c r="AD1604" i="5"/>
  <c r="AC1604" i="5"/>
  <c r="AB1604" i="5"/>
  <c r="AA1604" i="5"/>
  <c r="Z1604" i="5"/>
  <c r="Y1604" i="5"/>
  <c r="X1604" i="5"/>
  <c r="W1604" i="5"/>
  <c r="V1604" i="5"/>
  <c r="U1604" i="5"/>
  <c r="T1604" i="5"/>
  <c r="S1604" i="5"/>
  <c r="R1604" i="5"/>
  <c r="Q1604" i="5"/>
  <c r="P1604" i="5"/>
  <c r="O1604" i="5"/>
  <c r="N1604" i="5"/>
  <c r="M1604" i="5"/>
  <c r="L1604" i="5"/>
  <c r="AD1603" i="5"/>
  <c r="AC1603" i="5"/>
  <c r="AB1603" i="5"/>
  <c r="AA1603" i="5"/>
  <c r="Z1603" i="5"/>
  <c r="Y1603" i="5"/>
  <c r="X1603" i="5"/>
  <c r="W1603" i="5"/>
  <c r="V1603" i="5"/>
  <c r="U1603" i="5"/>
  <c r="T1603" i="5"/>
  <c r="S1603" i="5"/>
  <c r="R1603" i="5"/>
  <c r="Q1603" i="5"/>
  <c r="P1603" i="5"/>
  <c r="O1603" i="5"/>
  <c r="N1603" i="5"/>
  <c r="M1603" i="5"/>
  <c r="L1603" i="5"/>
  <c r="AD1602" i="5"/>
  <c r="AC1602" i="5"/>
  <c r="AB1602" i="5"/>
  <c r="AA1602" i="5"/>
  <c r="Z1602" i="5"/>
  <c r="Y1602" i="5"/>
  <c r="X1602" i="5"/>
  <c r="W1602" i="5"/>
  <c r="V1602" i="5"/>
  <c r="U1602" i="5"/>
  <c r="T1602" i="5"/>
  <c r="S1602" i="5"/>
  <c r="R1602" i="5"/>
  <c r="Q1602" i="5"/>
  <c r="P1602" i="5"/>
  <c r="O1602" i="5"/>
  <c r="N1602" i="5"/>
  <c r="M1602" i="5"/>
  <c r="L1602" i="5"/>
  <c r="AD1601" i="5"/>
  <c r="AC1601" i="5"/>
  <c r="AB1601" i="5"/>
  <c r="AA1601" i="5"/>
  <c r="Z1601" i="5"/>
  <c r="Y1601" i="5"/>
  <c r="X1601" i="5"/>
  <c r="W1601" i="5"/>
  <c r="V1601" i="5"/>
  <c r="U1601" i="5"/>
  <c r="T1601" i="5"/>
  <c r="S1601" i="5"/>
  <c r="R1601" i="5"/>
  <c r="Q1601" i="5"/>
  <c r="P1601" i="5"/>
  <c r="O1601" i="5"/>
  <c r="N1601" i="5"/>
  <c r="M1601" i="5"/>
  <c r="L1601" i="5"/>
  <c r="AD1600" i="5"/>
  <c r="AC1600" i="5"/>
  <c r="AB1600" i="5"/>
  <c r="AA1600" i="5"/>
  <c r="Z1600" i="5"/>
  <c r="Y1600" i="5"/>
  <c r="X1600" i="5"/>
  <c r="W1600" i="5"/>
  <c r="V1600" i="5"/>
  <c r="U1600" i="5"/>
  <c r="T1600" i="5"/>
  <c r="S1600" i="5"/>
  <c r="R1600" i="5"/>
  <c r="Q1600" i="5"/>
  <c r="P1600" i="5"/>
  <c r="O1600" i="5"/>
  <c r="N1600" i="5"/>
  <c r="M1600" i="5"/>
  <c r="L1600" i="5"/>
  <c r="AD1599" i="5"/>
  <c r="AC1599" i="5"/>
  <c r="AB1599" i="5"/>
  <c r="AA1599" i="5"/>
  <c r="Z1599" i="5"/>
  <c r="Y1599" i="5"/>
  <c r="X1599" i="5"/>
  <c r="W1599" i="5"/>
  <c r="V1599" i="5"/>
  <c r="U1599" i="5"/>
  <c r="T1599" i="5"/>
  <c r="S1599" i="5"/>
  <c r="R1599" i="5"/>
  <c r="Q1599" i="5"/>
  <c r="P1599" i="5"/>
  <c r="O1599" i="5"/>
  <c r="N1599" i="5"/>
  <c r="M1599" i="5"/>
  <c r="L1599" i="5"/>
  <c r="AD1598" i="5"/>
  <c r="AC1598" i="5"/>
  <c r="AB1598" i="5"/>
  <c r="AA1598" i="5"/>
  <c r="Z1598" i="5"/>
  <c r="Y1598" i="5"/>
  <c r="X1598" i="5"/>
  <c r="W1598" i="5"/>
  <c r="V1598" i="5"/>
  <c r="U1598" i="5"/>
  <c r="T1598" i="5"/>
  <c r="S1598" i="5"/>
  <c r="R1598" i="5"/>
  <c r="Q1598" i="5"/>
  <c r="P1598" i="5"/>
  <c r="O1598" i="5"/>
  <c r="N1598" i="5"/>
  <c r="M1598" i="5"/>
  <c r="L1598" i="5"/>
  <c r="AD1597" i="5"/>
  <c r="AC1597" i="5"/>
  <c r="AB1597" i="5"/>
  <c r="AA1597" i="5"/>
  <c r="Z1597" i="5"/>
  <c r="Y1597" i="5"/>
  <c r="X1597" i="5"/>
  <c r="W1597" i="5"/>
  <c r="V1597" i="5"/>
  <c r="U1597" i="5"/>
  <c r="T1597" i="5"/>
  <c r="S1597" i="5"/>
  <c r="R1597" i="5"/>
  <c r="Q1597" i="5"/>
  <c r="P1597" i="5"/>
  <c r="O1597" i="5"/>
  <c r="N1597" i="5"/>
  <c r="M1597" i="5"/>
  <c r="L1597" i="5"/>
  <c r="AD1596" i="5"/>
  <c r="AC1596" i="5"/>
  <c r="AB1596" i="5"/>
  <c r="AA1596" i="5"/>
  <c r="Z1596" i="5"/>
  <c r="Y1596" i="5"/>
  <c r="X1596" i="5"/>
  <c r="W1596" i="5"/>
  <c r="V1596" i="5"/>
  <c r="U1596" i="5"/>
  <c r="T1596" i="5"/>
  <c r="S1596" i="5"/>
  <c r="R1596" i="5"/>
  <c r="Q1596" i="5"/>
  <c r="P1596" i="5"/>
  <c r="O1596" i="5"/>
  <c r="N1596" i="5"/>
  <c r="M1596" i="5"/>
  <c r="L1596" i="5"/>
  <c r="AD1595" i="5"/>
  <c r="AC1595" i="5"/>
  <c r="AB1595" i="5"/>
  <c r="AA1595" i="5"/>
  <c r="Z1595" i="5"/>
  <c r="Y1595" i="5"/>
  <c r="X1595" i="5"/>
  <c r="W1595" i="5"/>
  <c r="V1595" i="5"/>
  <c r="U1595" i="5"/>
  <c r="T1595" i="5"/>
  <c r="S1595" i="5"/>
  <c r="R1595" i="5"/>
  <c r="Q1595" i="5"/>
  <c r="P1595" i="5"/>
  <c r="O1595" i="5"/>
  <c r="N1595" i="5"/>
  <c r="M1595" i="5"/>
  <c r="L1595" i="5"/>
  <c r="AD1594" i="5"/>
  <c r="AC1594" i="5"/>
  <c r="AB1594" i="5"/>
  <c r="AA1594" i="5"/>
  <c r="Z1594" i="5"/>
  <c r="Y1594" i="5"/>
  <c r="X1594" i="5"/>
  <c r="W1594" i="5"/>
  <c r="V1594" i="5"/>
  <c r="U1594" i="5"/>
  <c r="T1594" i="5"/>
  <c r="S1594" i="5"/>
  <c r="R1594" i="5"/>
  <c r="Q1594" i="5"/>
  <c r="P1594" i="5"/>
  <c r="O1594" i="5"/>
  <c r="N1594" i="5"/>
  <c r="M1594" i="5"/>
  <c r="L1594" i="5"/>
  <c r="AD1593" i="5"/>
  <c r="AC1593" i="5"/>
  <c r="AB1593" i="5"/>
  <c r="AA1593" i="5"/>
  <c r="Z1593" i="5"/>
  <c r="Y1593" i="5"/>
  <c r="X1593" i="5"/>
  <c r="W1593" i="5"/>
  <c r="V1593" i="5"/>
  <c r="U1593" i="5"/>
  <c r="T1593" i="5"/>
  <c r="S1593" i="5"/>
  <c r="R1593" i="5"/>
  <c r="Q1593" i="5"/>
  <c r="P1593" i="5"/>
  <c r="O1593" i="5"/>
  <c r="N1593" i="5"/>
  <c r="M1593" i="5"/>
  <c r="L1593" i="5"/>
  <c r="AD1592" i="5"/>
  <c r="AC1592" i="5"/>
  <c r="AB1592" i="5"/>
  <c r="AA1592" i="5"/>
  <c r="Z1592" i="5"/>
  <c r="Y1592" i="5"/>
  <c r="X1592" i="5"/>
  <c r="W1592" i="5"/>
  <c r="V1592" i="5"/>
  <c r="U1592" i="5"/>
  <c r="T1592" i="5"/>
  <c r="S1592" i="5"/>
  <c r="R1592" i="5"/>
  <c r="Q1592" i="5"/>
  <c r="P1592" i="5"/>
  <c r="O1592" i="5"/>
  <c r="N1592" i="5"/>
  <c r="M1592" i="5"/>
  <c r="L1592" i="5"/>
  <c r="AD1591" i="5"/>
  <c r="AC1591" i="5"/>
  <c r="AB1591" i="5"/>
  <c r="AA1591" i="5"/>
  <c r="Z1591" i="5"/>
  <c r="Y1591" i="5"/>
  <c r="X1591" i="5"/>
  <c r="W1591" i="5"/>
  <c r="V1591" i="5"/>
  <c r="U1591" i="5"/>
  <c r="T1591" i="5"/>
  <c r="S1591" i="5"/>
  <c r="R1591" i="5"/>
  <c r="Q1591" i="5"/>
  <c r="P1591" i="5"/>
  <c r="O1591" i="5"/>
  <c r="N1591" i="5"/>
  <c r="M1591" i="5"/>
  <c r="L1591" i="5"/>
  <c r="AD1590" i="5"/>
  <c r="AC1590" i="5"/>
  <c r="AB1590" i="5"/>
  <c r="AA1590" i="5"/>
  <c r="Z1590" i="5"/>
  <c r="Y1590" i="5"/>
  <c r="X1590" i="5"/>
  <c r="W1590" i="5"/>
  <c r="V1590" i="5"/>
  <c r="U1590" i="5"/>
  <c r="T1590" i="5"/>
  <c r="S1590" i="5"/>
  <c r="R1590" i="5"/>
  <c r="Q1590" i="5"/>
  <c r="P1590" i="5"/>
  <c r="O1590" i="5"/>
  <c r="N1590" i="5"/>
  <c r="M1590" i="5"/>
  <c r="L1590" i="5"/>
  <c r="AD1589" i="5"/>
  <c r="AC1589" i="5"/>
  <c r="AB1589" i="5"/>
  <c r="AA1589" i="5"/>
  <c r="Z1589" i="5"/>
  <c r="Y1589" i="5"/>
  <c r="X1589" i="5"/>
  <c r="W1589" i="5"/>
  <c r="V1589" i="5"/>
  <c r="U1589" i="5"/>
  <c r="T1589" i="5"/>
  <c r="S1589" i="5"/>
  <c r="R1589" i="5"/>
  <c r="Q1589" i="5"/>
  <c r="P1589" i="5"/>
  <c r="O1589" i="5"/>
  <c r="N1589" i="5"/>
  <c r="M1589" i="5"/>
  <c r="L1589" i="5"/>
  <c r="AD1588" i="5"/>
  <c r="AC1588" i="5"/>
  <c r="AB1588" i="5"/>
  <c r="AA1588" i="5"/>
  <c r="Z1588" i="5"/>
  <c r="Y1588" i="5"/>
  <c r="X1588" i="5"/>
  <c r="W1588" i="5"/>
  <c r="V1588" i="5"/>
  <c r="U1588" i="5"/>
  <c r="T1588" i="5"/>
  <c r="S1588" i="5"/>
  <c r="R1588" i="5"/>
  <c r="Q1588" i="5"/>
  <c r="P1588" i="5"/>
  <c r="O1588" i="5"/>
  <c r="N1588" i="5"/>
  <c r="M1588" i="5"/>
  <c r="L1588" i="5"/>
  <c r="AD1587" i="5"/>
  <c r="AC1587" i="5"/>
  <c r="AB1587" i="5"/>
  <c r="AA1587" i="5"/>
  <c r="Z1587" i="5"/>
  <c r="Y1587" i="5"/>
  <c r="X1587" i="5"/>
  <c r="W1587" i="5"/>
  <c r="V1587" i="5"/>
  <c r="U1587" i="5"/>
  <c r="T1587" i="5"/>
  <c r="S1587" i="5"/>
  <c r="R1587" i="5"/>
  <c r="Q1587" i="5"/>
  <c r="P1587" i="5"/>
  <c r="O1587" i="5"/>
  <c r="N1587" i="5"/>
  <c r="M1587" i="5"/>
  <c r="L1587" i="5"/>
  <c r="AD1586" i="5"/>
  <c r="AC1586" i="5"/>
  <c r="AB1586" i="5"/>
  <c r="AA1586" i="5"/>
  <c r="Z1586" i="5"/>
  <c r="Y1586" i="5"/>
  <c r="X1586" i="5"/>
  <c r="W1586" i="5"/>
  <c r="V1586" i="5"/>
  <c r="U1586" i="5"/>
  <c r="T1586" i="5"/>
  <c r="S1586" i="5"/>
  <c r="R1586" i="5"/>
  <c r="Q1586" i="5"/>
  <c r="P1586" i="5"/>
  <c r="O1586" i="5"/>
  <c r="N1586" i="5"/>
  <c r="M1586" i="5"/>
  <c r="L1586" i="5"/>
  <c r="AD1585" i="5"/>
  <c r="AC1585" i="5"/>
  <c r="AB1585" i="5"/>
  <c r="AA1585" i="5"/>
  <c r="Z1585" i="5"/>
  <c r="Y1585" i="5"/>
  <c r="X1585" i="5"/>
  <c r="W1585" i="5"/>
  <c r="V1585" i="5"/>
  <c r="U1585" i="5"/>
  <c r="T1585" i="5"/>
  <c r="S1585" i="5"/>
  <c r="R1585" i="5"/>
  <c r="Q1585" i="5"/>
  <c r="P1585" i="5"/>
  <c r="O1585" i="5"/>
  <c r="N1585" i="5"/>
  <c r="M1585" i="5"/>
  <c r="L1585" i="5"/>
  <c r="AD1584" i="5"/>
  <c r="AC1584" i="5"/>
  <c r="AB1584" i="5"/>
  <c r="AA1584" i="5"/>
  <c r="Z1584" i="5"/>
  <c r="Y1584" i="5"/>
  <c r="X1584" i="5"/>
  <c r="W1584" i="5"/>
  <c r="V1584" i="5"/>
  <c r="U1584" i="5"/>
  <c r="T1584" i="5"/>
  <c r="S1584" i="5"/>
  <c r="R1584" i="5"/>
  <c r="Q1584" i="5"/>
  <c r="P1584" i="5"/>
  <c r="O1584" i="5"/>
  <c r="N1584" i="5"/>
  <c r="M1584" i="5"/>
  <c r="L1584" i="5"/>
  <c r="AD1583" i="5"/>
  <c r="AC1583" i="5"/>
  <c r="AB1583" i="5"/>
  <c r="AA1583" i="5"/>
  <c r="Z1583" i="5"/>
  <c r="Y1583" i="5"/>
  <c r="X1583" i="5"/>
  <c r="W1583" i="5"/>
  <c r="V1583" i="5"/>
  <c r="U1583" i="5"/>
  <c r="T1583" i="5"/>
  <c r="S1583" i="5"/>
  <c r="R1583" i="5"/>
  <c r="Q1583" i="5"/>
  <c r="P1583" i="5"/>
  <c r="O1583" i="5"/>
  <c r="N1583" i="5"/>
  <c r="M1583" i="5"/>
  <c r="L1583" i="5"/>
  <c r="AD1582" i="5"/>
  <c r="AC1582" i="5"/>
  <c r="AB1582" i="5"/>
  <c r="AA1582" i="5"/>
  <c r="Z1582" i="5"/>
  <c r="Y1582" i="5"/>
  <c r="X1582" i="5"/>
  <c r="W1582" i="5"/>
  <c r="V1582" i="5"/>
  <c r="U1582" i="5"/>
  <c r="T1582" i="5"/>
  <c r="S1582" i="5"/>
  <c r="R1582" i="5"/>
  <c r="Q1582" i="5"/>
  <c r="P1582" i="5"/>
  <c r="O1582" i="5"/>
  <c r="N1582" i="5"/>
  <c r="M1582" i="5"/>
  <c r="L1582" i="5"/>
  <c r="AD1581" i="5"/>
  <c r="AC1581" i="5"/>
  <c r="AB1581" i="5"/>
  <c r="AA1581" i="5"/>
  <c r="Z1581" i="5"/>
  <c r="Y1581" i="5"/>
  <c r="X1581" i="5"/>
  <c r="W1581" i="5"/>
  <c r="V1581" i="5"/>
  <c r="U1581" i="5"/>
  <c r="T1581" i="5"/>
  <c r="S1581" i="5"/>
  <c r="R1581" i="5"/>
  <c r="Q1581" i="5"/>
  <c r="P1581" i="5"/>
  <c r="O1581" i="5"/>
  <c r="N1581" i="5"/>
  <c r="M1581" i="5"/>
  <c r="L1581" i="5"/>
  <c r="AD1580" i="5"/>
  <c r="AC1580" i="5"/>
  <c r="AB1580" i="5"/>
  <c r="AA1580" i="5"/>
  <c r="Z1580" i="5"/>
  <c r="Y1580" i="5"/>
  <c r="X1580" i="5"/>
  <c r="W1580" i="5"/>
  <c r="V1580" i="5"/>
  <c r="U1580" i="5"/>
  <c r="T1580" i="5"/>
  <c r="S1580" i="5"/>
  <c r="R1580" i="5"/>
  <c r="Q1580" i="5"/>
  <c r="P1580" i="5"/>
  <c r="O1580" i="5"/>
  <c r="N1580" i="5"/>
  <c r="M1580" i="5"/>
  <c r="L1580" i="5"/>
  <c r="AD1579" i="5"/>
  <c r="AC1579" i="5"/>
  <c r="AB1579" i="5"/>
  <c r="AA1579" i="5"/>
  <c r="Z1579" i="5"/>
  <c r="Y1579" i="5"/>
  <c r="X1579" i="5"/>
  <c r="W1579" i="5"/>
  <c r="V1579" i="5"/>
  <c r="U1579" i="5"/>
  <c r="T1579" i="5"/>
  <c r="S1579" i="5"/>
  <c r="R1579" i="5"/>
  <c r="Q1579" i="5"/>
  <c r="P1579" i="5"/>
  <c r="O1579" i="5"/>
  <c r="N1579" i="5"/>
  <c r="M1579" i="5"/>
  <c r="L1579" i="5"/>
  <c r="AD1578" i="5"/>
  <c r="AC1578" i="5"/>
  <c r="AB1578" i="5"/>
  <c r="AA1578" i="5"/>
  <c r="Z1578" i="5"/>
  <c r="Y1578" i="5"/>
  <c r="X1578" i="5"/>
  <c r="W1578" i="5"/>
  <c r="V1578" i="5"/>
  <c r="U1578" i="5"/>
  <c r="T1578" i="5"/>
  <c r="S1578" i="5"/>
  <c r="R1578" i="5"/>
  <c r="Q1578" i="5"/>
  <c r="P1578" i="5"/>
  <c r="O1578" i="5"/>
  <c r="N1578" i="5"/>
  <c r="M1578" i="5"/>
  <c r="L1578" i="5"/>
  <c r="AD1577" i="5"/>
  <c r="AC1577" i="5"/>
  <c r="AB1577" i="5"/>
  <c r="AA1577" i="5"/>
  <c r="Z1577" i="5"/>
  <c r="Y1577" i="5"/>
  <c r="X1577" i="5"/>
  <c r="W1577" i="5"/>
  <c r="V1577" i="5"/>
  <c r="U1577" i="5"/>
  <c r="T1577" i="5"/>
  <c r="S1577" i="5"/>
  <c r="R1577" i="5"/>
  <c r="Q1577" i="5"/>
  <c r="P1577" i="5"/>
  <c r="O1577" i="5"/>
  <c r="N1577" i="5"/>
  <c r="M1577" i="5"/>
  <c r="L1577" i="5"/>
  <c r="AD1576" i="5"/>
  <c r="AC1576" i="5"/>
  <c r="AB1576" i="5"/>
  <c r="AA1576" i="5"/>
  <c r="Z1576" i="5"/>
  <c r="Y1576" i="5"/>
  <c r="X1576" i="5"/>
  <c r="W1576" i="5"/>
  <c r="V1576" i="5"/>
  <c r="U1576" i="5"/>
  <c r="T1576" i="5"/>
  <c r="S1576" i="5"/>
  <c r="R1576" i="5"/>
  <c r="Q1576" i="5"/>
  <c r="P1576" i="5"/>
  <c r="O1576" i="5"/>
  <c r="N1576" i="5"/>
  <c r="M1576" i="5"/>
  <c r="L1576" i="5"/>
  <c r="AD1575" i="5"/>
  <c r="AC1575" i="5"/>
  <c r="AB1575" i="5"/>
  <c r="AA1575" i="5"/>
  <c r="Z1575" i="5"/>
  <c r="Y1575" i="5"/>
  <c r="X1575" i="5"/>
  <c r="W1575" i="5"/>
  <c r="V1575" i="5"/>
  <c r="U1575" i="5"/>
  <c r="T1575" i="5"/>
  <c r="S1575" i="5"/>
  <c r="R1575" i="5"/>
  <c r="Q1575" i="5"/>
  <c r="P1575" i="5"/>
  <c r="O1575" i="5"/>
  <c r="N1575" i="5"/>
  <c r="M1575" i="5"/>
  <c r="L1575" i="5"/>
  <c r="AD1574" i="5"/>
  <c r="AC1574" i="5"/>
  <c r="AB1574" i="5"/>
  <c r="AA1574" i="5"/>
  <c r="Z1574" i="5"/>
  <c r="Y1574" i="5"/>
  <c r="X1574" i="5"/>
  <c r="W1574" i="5"/>
  <c r="V1574" i="5"/>
  <c r="U1574" i="5"/>
  <c r="T1574" i="5"/>
  <c r="S1574" i="5"/>
  <c r="R1574" i="5"/>
  <c r="Q1574" i="5"/>
  <c r="P1574" i="5"/>
  <c r="O1574" i="5"/>
  <c r="N1574" i="5"/>
  <c r="M1574" i="5"/>
  <c r="L1574" i="5"/>
  <c r="AD1573" i="5"/>
  <c r="AC1573" i="5"/>
  <c r="AB1573" i="5"/>
  <c r="AA1573" i="5"/>
  <c r="Z1573" i="5"/>
  <c r="Y1573" i="5"/>
  <c r="X1573" i="5"/>
  <c r="W1573" i="5"/>
  <c r="V1573" i="5"/>
  <c r="U1573" i="5"/>
  <c r="T1573" i="5"/>
  <c r="S1573" i="5"/>
  <c r="R1573" i="5"/>
  <c r="Q1573" i="5"/>
  <c r="P1573" i="5"/>
  <c r="O1573" i="5"/>
  <c r="N1573" i="5"/>
  <c r="M1573" i="5"/>
  <c r="L1573" i="5"/>
  <c r="AD1572" i="5"/>
  <c r="AC1572" i="5"/>
  <c r="AB1572" i="5"/>
  <c r="AA1572" i="5"/>
  <c r="Z1572" i="5"/>
  <c r="Y1572" i="5"/>
  <c r="X1572" i="5"/>
  <c r="W1572" i="5"/>
  <c r="V1572" i="5"/>
  <c r="U1572" i="5"/>
  <c r="T1572" i="5"/>
  <c r="S1572" i="5"/>
  <c r="R1572" i="5"/>
  <c r="Q1572" i="5"/>
  <c r="P1572" i="5"/>
  <c r="O1572" i="5"/>
  <c r="N1572" i="5"/>
  <c r="M1572" i="5"/>
  <c r="L1572" i="5"/>
  <c r="AD1571" i="5"/>
  <c r="AC1571" i="5"/>
  <c r="AB1571" i="5"/>
  <c r="AA1571" i="5"/>
  <c r="Z1571" i="5"/>
  <c r="Y1571" i="5"/>
  <c r="X1571" i="5"/>
  <c r="W1571" i="5"/>
  <c r="V1571" i="5"/>
  <c r="U1571" i="5"/>
  <c r="T1571" i="5"/>
  <c r="S1571" i="5"/>
  <c r="R1571" i="5"/>
  <c r="Q1571" i="5"/>
  <c r="P1571" i="5"/>
  <c r="O1571" i="5"/>
  <c r="N1571" i="5"/>
  <c r="M1571" i="5"/>
  <c r="L1571" i="5"/>
  <c r="AD1570" i="5"/>
  <c r="AC1570" i="5"/>
  <c r="AB1570" i="5"/>
  <c r="AA1570" i="5"/>
  <c r="Z1570" i="5"/>
  <c r="Y1570" i="5"/>
  <c r="X1570" i="5"/>
  <c r="W1570" i="5"/>
  <c r="V1570" i="5"/>
  <c r="U1570" i="5"/>
  <c r="T1570" i="5"/>
  <c r="S1570" i="5"/>
  <c r="R1570" i="5"/>
  <c r="Q1570" i="5"/>
  <c r="P1570" i="5"/>
  <c r="O1570" i="5"/>
  <c r="N1570" i="5"/>
  <c r="M1570" i="5"/>
  <c r="L1570" i="5"/>
  <c r="AD1569" i="5"/>
  <c r="AC1569" i="5"/>
  <c r="AB1569" i="5"/>
  <c r="AA1569" i="5"/>
  <c r="Z1569" i="5"/>
  <c r="Y1569" i="5"/>
  <c r="X1569" i="5"/>
  <c r="W1569" i="5"/>
  <c r="V1569" i="5"/>
  <c r="U1569" i="5"/>
  <c r="T1569" i="5"/>
  <c r="S1569" i="5"/>
  <c r="R1569" i="5"/>
  <c r="Q1569" i="5"/>
  <c r="P1569" i="5"/>
  <c r="O1569" i="5"/>
  <c r="N1569" i="5"/>
  <c r="M1569" i="5"/>
  <c r="L1569" i="5"/>
  <c r="AD1568" i="5"/>
  <c r="AC1568" i="5"/>
  <c r="AB1568" i="5"/>
  <c r="AA1568" i="5"/>
  <c r="Z1568" i="5"/>
  <c r="Y1568" i="5"/>
  <c r="X1568" i="5"/>
  <c r="W1568" i="5"/>
  <c r="V1568" i="5"/>
  <c r="U1568" i="5"/>
  <c r="T1568" i="5"/>
  <c r="S1568" i="5"/>
  <c r="R1568" i="5"/>
  <c r="Q1568" i="5"/>
  <c r="P1568" i="5"/>
  <c r="O1568" i="5"/>
  <c r="N1568" i="5"/>
  <c r="M1568" i="5"/>
  <c r="L1568" i="5"/>
  <c r="AD1567" i="5"/>
  <c r="AC1567" i="5"/>
  <c r="AB1567" i="5"/>
  <c r="AA1567" i="5"/>
  <c r="Z1567" i="5"/>
  <c r="Y1567" i="5"/>
  <c r="X1567" i="5"/>
  <c r="W1567" i="5"/>
  <c r="V1567" i="5"/>
  <c r="U1567" i="5"/>
  <c r="T1567" i="5"/>
  <c r="S1567" i="5"/>
  <c r="R1567" i="5"/>
  <c r="Q1567" i="5"/>
  <c r="P1567" i="5"/>
  <c r="O1567" i="5"/>
  <c r="N1567" i="5"/>
  <c r="M1567" i="5"/>
  <c r="L1567" i="5"/>
  <c r="AD1566" i="5"/>
  <c r="AC1566" i="5"/>
  <c r="AB1566" i="5"/>
  <c r="AA1566" i="5"/>
  <c r="Z1566" i="5"/>
  <c r="Y1566" i="5"/>
  <c r="X1566" i="5"/>
  <c r="W1566" i="5"/>
  <c r="V1566" i="5"/>
  <c r="U1566" i="5"/>
  <c r="T1566" i="5"/>
  <c r="S1566" i="5"/>
  <c r="R1566" i="5"/>
  <c r="Q1566" i="5"/>
  <c r="P1566" i="5"/>
  <c r="O1566" i="5"/>
  <c r="N1566" i="5"/>
  <c r="M1566" i="5"/>
  <c r="L1566" i="5"/>
  <c r="AD1565" i="5"/>
  <c r="AC1565" i="5"/>
  <c r="AB1565" i="5"/>
  <c r="AA1565" i="5"/>
  <c r="Z1565" i="5"/>
  <c r="Y1565" i="5"/>
  <c r="X1565" i="5"/>
  <c r="W1565" i="5"/>
  <c r="V1565" i="5"/>
  <c r="U1565" i="5"/>
  <c r="T1565" i="5"/>
  <c r="S1565" i="5"/>
  <c r="R1565" i="5"/>
  <c r="Q1565" i="5"/>
  <c r="P1565" i="5"/>
  <c r="O1565" i="5"/>
  <c r="N1565" i="5"/>
  <c r="M1565" i="5"/>
  <c r="L1565" i="5"/>
  <c r="AD1564" i="5"/>
  <c r="AC1564" i="5"/>
  <c r="AB1564" i="5"/>
  <c r="AA1564" i="5"/>
  <c r="Z1564" i="5"/>
  <c r="Y1564" i="5"/>
  <c r="X1564" i="5"/>
  <c r="W1564" i="5"/>
  <c r="V1564" i="5"/>
  <c r="U1564" i="5"/>
  <c r="T1564" i="5"/>
  <c r="S1564" i="5"/>
  <c r="R1564" i="5"/>
  <c r="Q1564" i="5"/>
  <c r="P1564" i="5"/>
  <c r="O1564" i="5"/>
  <c r="N1564" i="5"/>
  <c r="M1564" i="5"/>
  <c r="L1564" i="5"/>
  <c r="AD1563" i="5"/>
  <c r="AC1563" i="5"/>
  <c r="AB1563" i="5"/>
  <c r="AA1563" i="5"/>
  <c r="Z1563" i="5"/>
  <c r="Y1563" i="5"/>
  <c r="X1563" i="5"/>
  <c r="W1563" i="5"/>
  <c r="V1563" i="5"/>
  <c r="U1563" i="5"/>
  <c r="T1563" i="5"/>
  <c r="S1563" i="5"/>
  <c r="R1563" i="5"/>
  <c r="Q1563" i="5"/>
  <c r="P1563" i="5"/>
  <c r="O1563" i="5"/>
  <c r="N1563" i="5"/>
  <c r="M1563" i="5"/>
  <c r="L1563" i="5"/>
  <c r="AD1562" i="5"/>
  <c r="AC1562" i="5"/>
  <c r="AB1562" i="5"/>
  <c r="AA1562" i="5"/>
  <c r="Z1562" i="5"/>
  <c r="Y1562" i="5"/>
  <c r="X1562" i="5"/>
  <c r="W1562" i="5"/>
  <c r="V1562" i="5"/>
  <c r="U1562" i="5"/>
  <c r="T1562" i="5"/>
  <c r="S1562" i="5"/>
  <c r="R1562" i="5"/>
  <c r="Q1562" i="5"/>
  <c r="P1562" i="5"/>
  <c r="O1562" i="5"/>
  <c r="N1562" i="5"/>
  <c r="M1562" i="5"/>
  <c r="L1562" i="5"/>
  <c r="AD1561" i="5"/>
  <c r="AC1561" i="5"/>
  <c r="AB1561" i="5"/>
  <c r="AA1561" i="5"/>
  <c r="Z1561" i="5"/>
  <c r="Y1561" i="5"/>
  <c r="X1561" i="5"/>
  <c r="W1561" i="5"/>
  <c r="V1561" i="5"/>
  <c r="U1561" i="5"/>
  <c r="T1561" i="5"/>
  <c r="S1561" i="5"/>
  <c r="R1561" i="5"/>
  <c r="Q1561" i="5"/>
  <c r="P1561" i="5"/>
  <c r="O1561" i="5"/>
  <c r="N1561" i="5"/>
  <c r="M1561" i="5"/>
  <c r="L1561" i="5"/>
  <c r="AD1560" i="5"/>
  <c r="AC1560" i="5"/>
  <c r="AB1560" i="5"/>
  <c r="AA1560" i="5"/>
  <c r="Z1560" i="5"/>
  <c r="Y1560" i="5"/>
  <c r="X1560" i="5"/>
  <c r="W1560" i="5"/>
  <c r="V1560" i="5"/>
  <c r="U1560" i="5"/>
  <c r="T1560" i="5"/>
  <c r="S1560" i="5"/>
  <c r="R1560" i="5"/>
  <c r="Q1560" i="5"/>
  <c r="P1560" i="5"/>
  <c r="O1560" i="5"/>
  <c r="N1560" i="5"/>
  <c r="M1560" i="5"/>
  <c r="L1560" i="5"/>
  <c r="AD1559" i="5"/>
  <c r="AC1559" i="5"/>
  <c r="AB1559" i="5"/>
  <c r="AA1559" i="5"/>
  <c r="Z1559" i="5"/>
  <c r="Y1559" i="5"/>
  <c r="X1559" i="5"/>
  <c r="W1559" i="5"/>
  <c r="V1559" i="5"/>
  <c r="U1559" i="5"/>
  <c r="T1559" i="5"/>
  <c r="S1559" i="5"/>
  <c r="R1559" i="5"/>
  <c r="Q1559" i="5"/>
  <c r="P1559" i="5"/>
  <c r="O1559" i="5"/>
  <c r="N1559" i="5"/>
  <c r="M1559" i="5"/>
  <c r="L1559" i="5"/>
  <c r="AD1558" i="5"/>
  <c r="AC1558" i="5"/>
  <c r="AB1558" i="5"/>
  <c r="AA1558" i="5"/>
  <c r="Z1558" i="5"/>
  <c r="Y1558" i="5"/>
  <c r="X1558" i="5"/>
  <c r="W1558" i="5"/>
  <c r="V1558" i="5"/>
  <c r="U1558" i="5"/>
  <c r="T1558" i="5"/>
  <c r="S1558" i="5"/>
  <c r="R1558" i="5"/>
  <c r="Q1558" i="5"/>
  <c r="P1558" i="5"/>
  <c r="O1558" i="5"/>
  <c r="N1558" i="5"/>
  <c r="M1558" i="5"/>
  <c r="L1558" i="5"/>
  <c r="AD1557" i="5"/>
  <c r="AC1557" i="5"/>
  <c r="AB1557" i="5"/>
  <c r="AA1557" i="5"/>
  <c r="Z1557" i="5"/>
  <c r="Y1557" i="5"/>
  <c r="X1557" i="5"/>
  <c r="W1557" i="5"/>
  <c r="V1557" i="5"/>
  <c r="U1557" i="5"/>
  <c r="T1557" i="5"/>
  <c r="S1557" i="5"/>
  <c r="R1557" i="5"/>
  <c r="Q1557" i="5"/>
  <c r="P1557" i="5"/>
  <c r="O1557" i="5"/>
  <c r="N1557" i="5"/>
  <c r="M1557" i="5"/>
  <c r="L1557" i="5"/>
  <c r="AD1556" i="5"/>
  <c r="AC1556" i="5"/>
  <c r="AB1556" i="5"/>
  <c r="AA1556" i="5"/>
  <c r="Z1556" i="5"/>
  <c r="Y1556" i="5"/>
  <c r="X1556" i="5"/>
  <c r="W1556" i="5"/>
  <c r="V1556" i="5"/>
  <c r="U1556" i="5"/>
  <c r="T1556" i="5"/>
  <c r="S1556" i="5"/>
  <c r="R1556" i="5"/>
  <c r="Q1556" i="5"/>
  <c r="P1556" i="5"/>
  <c r="O1556" i="5"/>
  <c r="N1556" i="5"/>
  <c r="M1556" i="5"/>
  <c r="L1556" i="5"/>
  <c r="AD1555" i="5"/>
  <c r="AC1555" i="5"/>
  <c r="AB1555" i="5"/>
  <c r="AA1555" i="5"/>
  <c r="Z1555" i="5"/>
  <c r="Y1555" i="5"/>
  <c r="X1555" i="5"/>
  <c r="W1555" i="5"/>
  <c r="V1555" i="5"/>
  <c r="U1555" i="5"/>
  <c r="T1555" i="5"/>
  <c r="S1555" i="5"/>
  <c r="R1555" i="5"/>
  <c r="Q1555" i="5"/>
  <c r="P1555" i="5"/>
  <c r="O1555" i="5"/>
  <c r="N1555" i="5"/>
  <c r="M1555" i="5"/>
  <c r="L1555" i="5"/>
  <c r="AD1554" i="5"/>
  <c r="AC1554" i="5"/>
  <c r="AB1554" i="5"/>
  <c r="AA1554" i="5"/>
  <c r="Z1554" i="5"/>
  <c r="Y1554" i="5"/>
  <c r="X1554" i="5"/>
  <c r="W1554" i="5"/>
  <c r="V1554" i="5"/>
  <c r="U1554" i="5"/>
  <c r="T1554" i="5"/>
  <c r="S1554" i="5"/>
  <c r="R1554" i="5"/>
  <c r="Q1554" i="5"/>
  <c r="P1554" i="5"/>
  <c r="O1554" i="5"/>
  <c r="N1554" i="5"/>
  <c r="M1554" i="5"/>
  <c r="L1554" i="5"/>
  <c r="AD1553" i="5"/>
  <c r="AC1553" i="5"/>
  <c r="AB1553" i="5"/>
  <c r="AA1553" i="5"/>
  <c r="Z1553" i="5"/>
  <c r="Y1553" i="5"/>
  <c r="X1553" i="5"/>
  <c r="W1553" i="5"/>
  <c r="V1553" i="5"/>
  <c r="U1553" i="5"/>
  <c r="T1553" i="5"/>
  <c r="S1553" i="5"/>
  <c r="R1553" i="5"/>
  <c r="Q1553" i="5"/>
  <c r="P1553" i="5"/>
  <c r="O1553" i="5"/>
  <c r="N1553" i="5"/>
  <c r="M1553" i="5"/>
  <c r="L1553" i="5"/>
  <c r="AD1552" i="5"/>
  <c r="AC1552" i="5"/>
  <c r="AB1552" i="5"/>
  <c r="AA1552" i="5"/>
  <c r="Z1552" i="5"/>
  <c r="Y1552" i="5"/>
  <c r="X1552" i="5"/>
  <c r="W1552" i="5"/>
  <c r="V1552" i="5"/>
  <c r="U1552" i="5"/>
  <c r="T1552" i="5"/>
  <c r="S1552" i="5"/>
  <c r="R1552" i="5"/>
  <c r="Q1552" i="5"/>
  <c r="P1552" i="5"/>
  <c r="O1552" i="5"/>
  <c r="N1552" i="5"/>
  <c r="M1552" i="5"/>
  <c r="L1552" i="5"/>
  <c r="AD1551" i="5"/>
  <c r="AC1551" i="5"/>
  <c r="AB1551" i="5"/>
  <c r="AA1551" i="5"/>
  <c r="Z1551" i="5"/>
  <c r="Y1551" i="5"/>
  <c r="X1551" i="5"/>
  <c r="W1551" i="5"/>
  <c r="V1551" i="5"/>
  <c r="U1551" i="5"/>
  <c r="T1551" i="5"/>
  <c r="S1551" i="5"/>
  <c r="R1551" i="5"/>
  <c r="Q1551" i="5"/>
  <c r="P1551" i="5"/>
  <c r="O1551" i="5"/>
  <c r="N1551" i="5"/>
  <c r="M1551" i="5"/>
  <c r="L1551" i="5"/>
  <c r="AD1550" i="5"/>
  <c r="AC1550" i="5"/>
  <c r="AB1550" i="5"/>
  <c r="AA1550" i="5"/>
  <c r="Z1550" i="5"/>
  <c r="Y1550" i="5"/>
  <c r="X1550" i="5"/>
  <c r="W1550" i="5"/>
  <c r="V1550" i="5"/>
  <c r="U1550" i="5"/>
  <c r="T1550" i="5"/>
  <c r="S1550" i="5"/>
  <c r="R1550" i="5"/>
  <c r="Q1550" i="5"/>
  <c r="P1550" i="5"/>
  <c r="O1550" i="5"/>
  <c r="N1550" i="5"/>
  <c r="M1550" i="5"/>
  <c r="L1550" i="5"/>
  <c r="AD1549" i="5"/>
  <c r="AC1549" i="5"/>
  <c r="AB1549" i="5"/>
  <c r="AA1549" i="5"/>
  <c r="Z1549" i="5"/>
  <c r="Y1549" i="5"/>
  <c r="X1549" i="5"/>
  <c r="W1549" i="5"/>
  <c r="V1549" i="5"/>
  <c r="U1549" i="5"/>
  <c r="T1549" i="5"/>
  <c r="S1549" i="5"/>
  <c r="R1549" i="5"/>
  <c r="Q1549" i="5"/>
  <c r="P1549" i="5"/>
  <c r="O1549" i="5"/>
  <c r="N1549" i="5"/>
  <c r="M1549" i="5"/>
  <c r="L1549" i="5"/>
  <c r="AD1548" i="5"/>
  <c r="AC1548" i="5"/>
  <c r="AB1548" i="5"/>
  <c r="AA1548" i="5"/>
  <c r="Z1548" i="5"/>
  <c r="Y1548" i="5"/>
  <c r="X1548" i="5"/>
  <c r="W1548" i="5"/>
  <c r="V1548" i="5"/>
  <c r="U1548" i="5"/>
  <c r="T1548" i="5"/>
  <c r="S1548" i="5"/>
  <c r="R1548" i="5"/>
  <c r="Q1548" i="5"/>
  <c r="P1548" i="5"/>
  <c r="O1548" i="5"/>
  <c r="N1548" i="5"/>
  <c r="M1548" i="5"/>
  <c r="L1548" i="5"/>
  <c r="AD1547" i="5"/>
  <c r="AC1547" i="5"/>
  <c r="AB1547" i="5"/>
  <c r="AA1547" i="5"/>
  <c r="Z1547" i="5"/>
  <c r="Y1547" i="5"/>
  <c r="X1547" i="5"/>
  <c r="W1547" i="5"/>
  <c r="V1547" i="5"/>
  <c r="U1547" i="5"/>
  <c r="T1547" i="5"/>
  <c r="S1547" i="5"/>
  <c r="R1547" i="5"/>
  <c r="Q1547" i="5"/>
  <c r="P1547" i="5"/>
  <c r="O1547" i="5"/>
  <c r="N1547" i="5"/>
  <c r="M1547" i="5"/>
  <c r="L1547" i="5"/>
  <c r="AD1546" i="5"/>
  <c r="AC1546" i="5"/>
  <c r="AB1546" i="5"/>
  <c r="AA1546" i="5"/>
  <c r="Z1546" i="5"/>
  <c r="Y1546" i="5"/>
  <c r="X1546" i="5"/>
  <c r="W1546" i="5"/>
  <c r="V1546" i="5"/>
  <c r="U1546" i="5"/>
  <c r="T1546" i="5"/>
  <c r="S1546" i="5"/>
  <c r="R1546" i="5"/>
  <c r="Q1546" i="5"/>
  <c r="P1546" i="5"/>
  <c r="O1546" i="5"/>
  <c r="N1546" i="5"/>
  <c r="M1546" i="5"/>
  <c r="L1546" i="5"/>
  <c r="AD1545" i="5"/>
  <c r="AC1545" i="5"/>
  <c r="AB1545" i="5"/>
  <c r="AA1545" i="5"/>
  <c r="Z1545" i="5"/>
  <c r="Y1545" i="5"/>
  <c r="X1545" i="5"/>
  <c r="W1545" i="5"/>
  <c r="V1545" i="5"/>
  <c r="U1545" i="5"/>
  <c r="T1545" i="5"/>
  <c r="S1545" i="5"/>
  <c r="R1545" i="5"/>
  <c r="Q1545" i="5"/>
  <c r="P1545" i="5"/>
  <c r="O1545" i="5"/>
  <c r="N1545" i="5"/>
  <c r="M1545" i="5"/>
  <c r="L1545" i="5"/>
  <c r="AD1544" i="5"/>
  <c r="AC1544" i="5"/>
  <c r="AB1544" i="5"/>
  <c r="AA1544" i="5"/>
  <c r="Z1544" i="5"/>
  <c r="Y1544" i="5"/>
  <c r="X1544" i="5"/>
  <c r="W1544" i="5"/>
  <c r="V1544" i="5"/>
  <c r="U1544" i="5"/>
  <c r="T1544" i="5"/>
  <c r="S1544" i="5"/>
  <c r="R1544" i="5"/>
  <c r="Q1544" i="5"/>
  <c r="P1544" i="5"/>
  <c r="O1544" i="5"/>
  <c r="N1544" i="5"/>
  <c r="M1544" i="5"/>
  <c r="L1544" i="5"/>
  <c r="AD1543" i="5"/>
  <c r="AC1543" i="5"/>
  <c r="AB1543" i="5"/>
  <c r="AA1543" i="5"/>
  <c r="Z1543" i="5"/>
  <c r="Y1543" i="5"/>
  <c r="X1543" i="5"/>
  <c r="W1543" i="5"/>
  <c r="V1543" i="5"/>
  <c r="U1543" i="5"/>
  <c r="T1543" i="5"/>
  <c r="S1543" i="5"/>
  <c r="R1543" i="5"/>
  <c r="Q1543" i="5"/>
  <c r="P1543" i="5"/>
  <c r="O1543" i="5"/>
  <c r="N1543" i="5"/>
  <c r="M1543" i="5"/>
  <c r="L1543" i="5"/>
  <c r="AD1542" i="5"/>
  <c r="AC1542" i="5"/>
  <c r="AB1542" i="5"/>
  <c r="AA1542" i="5"/>
  <c r="Z1542" i="5"/>
  <c r="Y1542" i="5"/>
  <c r="X1542" i="5"/>
  <c r="W1542" i="5"/>
  <c r="V1542" i="5"/>
  <c r="U1542" i="5"/>
  <c r="T1542" i="5"/>
  <c r="S1542" i="5"/>
  <c r="R1542" i="5"/>
  <c r="Q1542" i="5"/>
  <c r="P1542" i="5"/>
  <c r="O1542" i="5"/>
  <c r="N1542" i="5"/>
  <c r="M1542" i="5"/>
  <c r="L1542" i="5"/>
  <c r="AD1541" i="5"/>
  <c r="AC1541" i="5"/>
  <c r="AB1541" i="5"/>
  <c r="AA1541" i="5"/>
  <c r="Z1541" i="5"/>
  <c r="Y1541" i="5"/>
  <c r="X1541" i="5"/>
  <c r="W1541" i="5"/>
  <c r="V1541" i="5"/>
  <c r="U1541" i="5"/>
  <c r="T1541" i="5"/>
  <c r="S1541" i="5"/>
  <c r="R1541" i="5"/>
  <c r="Q1541" i="5"/>
  <c r="P1541" i="5"/>
  <c r="O1541" i="5"/>
  <c r="N1541" i="5"/>
  <c r="M1541" i="5"/>
  <c r="L1541" i="5"/>
  <c r="AD1540" i="5"/>
  <c r="AC1540" i="5"/>
  <c r="AB1540" i="5"/>
  <c r="AA1540" i="5"/>
  <c r="Z1540" i="5"/>
  <c r="Y1540" i="5"/>
  <c r="X1540" i="5"/>
  <c r="W1540" i="5"/>
  <c r="V1540" i="5"/>
  <c r="U1540" i="5"/>
  <c r="T1540" i="5"/>
  <c r="S1540" i="5"/>
  <c r="R1540" i="5"/>
  <c r="Q1540" i="5"/>
  <c r="P1540" i="5"/>
  <c r="O1540" i="5"/>
  <c r="N1540" i="5"/>
  <c r="M1540" i="5"/>
  <c r="L1540" i="5"/>
  <c r="AD1539" i="5"/>
  <c r="AC1539" i="5"/>
  <c r="AB1539" i="5"/>
  <c r="AA1539" i="5"/>
  <c r="Z1539" i="5"/>
  <c r="Y1539" i="5"/>
  <c r="X1539" i="5"/>
  <c r="W1539" i="5"/>
  <c r="V1539" i="5"/>
  <c r="U1539" i="5"/>
  <c r="T1539" i="5"/>
  <c r="S1539" i="5"/>
  <c r="R1539" i="5"/>
  <c r="Q1539" i="5"/>
  <c r="P1539" i="5"/>
  <c r="O1539" i="5"/>
  <c r="N1539" i="5"/>
  <c r="M1539" i="5"/>
  <c r="L1539" i="5"/>
  <c r="AD1538" i="5"/>
  <c r="AC1538" i="5"/>
  <c r="AB1538" i="5"/>
  <c r="AA1538" i="5"/>
  <c r="Z1538" i="5"/>
  <c r="Y1538" i="5"/>
  <c r="X1538" i="5"/>
  <c r="W1538" i="5"/>
  <c r="V1538" i="5"/>
  <c r="U1538" i="5"/>
  <c r="T1538" i="5"/>
  <c r="S1538" i="5"/>
  <c r="R1538" i="5"/>
  <c r="Q1538" i="5"/>
  <c r="P1538" i="5"/>
  <c r="O1538" i="5"/>
  <c r="N1538" i="5"/>
  <c r="M1538" i="5"/>
  <c r="L1538" i="5"/>
  <c r="AD1537" i="5"/>
  <c r="AC1537" i="5"/>
  <c r="AB1537" i="5"/>
  <c r="AA1537" i="5"/>
  <c r="Z1537" i="5"/>
  <c r="Y1537" i="5"/>
  <c r="X1537" i="5"/>
  <c r="W1537" i="5"/>
  <c r="V1537" i="5"/>
  <c r="U1537" i="5"/>
  <c r="T1537" i="5"/>
  <c r="S1537" i="5"/>
  <c r="R1537" i="5"/>
  <c r="Q1537" i="5"/>
  <c r="P1537" i="5"/>
  <c r="O1537" i="5"/>
  <c r="N1537" i="5"/>
  <c r="M1537" i="5"/>
  <c r="L1537" i="5"/>
  <c r="AD1536" i="5"/>
  <c r="AC1536" i="5"/>
  <c r="AB1536" i="5"/>
  <c r="AA1536" i="5"/>
  <c r="Z1536" i="5"/>
  <c r="Y1536" i="5"/>
  <c r="X1536" i="5"/>
  <c r="W1536" i="5"/>
  <c r="V1536" i="5"/>
  <c r="U1536" i="5"/>
  <c r="T1536" i="5"/>
  <c r="S1536" i="5"/>
  <c r="R1536" i="5"/>
  <c r="Q1536" i="5"/>
  <c r="P1536" i="5"/>
  <c r="O1536" i="5"/>
  <c r="N1536" i="5"/>
  <c r="M1536" i="5"/>
  <c r="L1536" i="5"/>
  <c r="AD1535" i="5"/>
  <c r="AC1535" i="5"/>
  <c r="AB1535" i="5"/>
  <c r="AA1535" i="5"/>
  <c r="Z1535" i="5"/>
  <c r="Y1535" i="5"/>
  <c r="X1535" i="5"/>
  <c r="W1535" i="5"/>
  <c r="V1535" i="5"/>
  <c r="U1535" i="5"/>
  <c r="T1535" i="5"/>
  <c r="S1535" i="5"/>
  <c r="R1535" i="5"/>
  <c r="Q1535" i="5"/>
  <c r="P1535" i="5"/>
  <c r="O1535" i="5"/>
  <c r="N1535" i="5"/>
  <c r="M1535" i="5"/>
  <c r="L1535" i="5"/>
  <c r="AD1534" i="5"/>
  <c r="AC1534" i="5"/>
  <c r="AB1534" i="5"/>
  <c r="AA1534" i="5"/>
  <c r="Z1534" i="5"/>
  <c r="Y1534" i="5"/>
  <c r="X1534" i="5"/>
  <c r="W1534" i="5"/>
  <c r="V1534" i="5"/>
  <c r="U1534" i="5"/>
  <c r="T1534" i="5"/>
  <c r="S1534" i="5"/>
  <c r="R1534" i="5"/>
  <c r="Q1534" i="5"/>
  <c r="P1534" i="5"/>
  <c r="O1534" i="5"/>
  <c r="N1534" i="5"/>
  <c r="M1534" i="5"/>
  <c r="L1534" i="5"/>
  <c r="AD1533" i="5"/>
  <c r="AC1533" i="5"/>
  <c r="AB1533" i="5"/>
  <c r="AA1533" i="5"/>
  <c r="Z1533" i="5"/>
  <c r="Y1533" i="5"/>
  <c r="X1533" i="5"/>
  <c r="W1533" i="5"/>
  <c r="V1533" i="5"/>
  <c r="U1533" i="5"/>
  <c r="T1533" i="5"/>
  <c r="S1533" i="5"/>
  <c r="R1533" i="5"/>
  <c r="Q1533" i="5"/>
  <c r="P1533" i="5"/>
  <c r="O1533" i="5"/>
  <c r="N1533" i="5"/>
  <c r="M1533" i="5"/>
  <c r="L1533" i="5"/>
  <c r="AD1532" i="5"/>
  <c r="AC1532" i="5"/>
  <c r="AB1532" i="5"/>
  <c r="AA1532" i="5"/>
  <c r="Z1532" i="5"/>
  <c r="Y1532" i="5"/>
  <c r="X1532" i="5"/>
  <c r="W1532" i="5"/>
  <c r="V1532" i="5"/>
  <c r="U1532" i="5"/>
  <c r="T1532" i="5"/>
  <c r="S1532" i="5"/>
  <c r="R1532" i="5"/>
  <c r="Q1532" i="5"/>
  <c r="P1532" i="5"/>
  <c r="O1532" i="5"/>
  <c r="N1532" i="5"/>
  <c r="M1532" i="5"/>
  <c r="L1532" i="5"/>
  <c r="AD1531" i="5"/>
  <c r="AC1531" i="5"/>
  <c r="AB1531" i="5"/>
  <c r="AA1531" i="5"/>
  <c r="Z1531" i="5"/>
  <c r="Y1531" i="5"/>
  <c r="X1531" i="5"/>
  <c r="W1531" i="5"/>
  <c r="V1531" i="5"/>
  <c r="U1531" i="5"/>
  <c r="T1531" i="5"/>
  <c r="S1531" i="5"/>
  <c r="R1531" i="5"/>
  <c r="Q1531" i="5"/>
  <c r="P1531" i="5"/>
  <c r="O1531" i="5"/>
  <c r="N1531" i="5"/>
  <c r="M1531" i="5"/>
  <c r="L1531" i="5"/>
  <c r="AD1530" i="5"/>
  <c r="AC1530" i="5"/>
  <c r="AB1530" i="5"/>
  <c r="AA1530" i="5"/>
  <c r="Z1530" i="5"/>
  <c r="Y1530" i="5"/>
  <c r="X1530" i="5"/>
  <c r="W1530" i="5"/>
  <c r="V1530" i="5"/>
  <c r="U1530" i="5"/>
  <c r="T1530" i="5"/>
  <c r="S1530" i="5"/>
  <c r="R1530" i="5"/>
  <c r="Q1530" i="5"/>
  <c r="P1530" i="5"/>
  <c r="O1530" i="5"/>
  <c r="N1530" i="5"/>
  <c r="M1530" i="5"/>
  <c r="L1530" i="5"/>
  <c r="AD1529" i="5"/>
  <c r="AC1529" i="5"/>
  <c r="AB1529" i="5"/>
  <c r="AA1529" i="5"/>
  <c r="Z1529" i="5"/>
  <c r="Y1529" i="5"/>
  <c r="X1529" i="5"/>
  <c r="W1529" i="5"/>
  <c r="V1529" i="5"/>
  <c r="U1529" i="5"/>
  <c r="T1529" i="5"/>
  <c r="S1529" i="5"/>
  <c r="R1529" i="5"/>
  <c r="Q1529" i="5"/>
  <c r="P1529" i="5"/>
  <c r="O1529" i="5"/>
  <c r="N1529" i="5"/>
  <c r="M1529" i="5"/>
  <c r="L1529" i="5"/>
  <c r="AD1528" i="5"/>
  <c r="AC1528" i="5"/>
  <c r="AB1528" i="5"/>
  <c r="AA1528" i="5"/>
  <c r="Z1528" i="5"/>
  <c r="Y1528" i="5"/>
  <c r="X1528" i="5"/>
  <c r="W1528" i="5"/>
  <c r="V1528" i="5"/>
  <c r="U1528" i="5"/>
  <c r="T1528" i="5"/>
  <c r="S1528" i="5"/>
  <c r="R1528" i="5"/>
  <c r="Q1528" i="5"/>
  <c r="P1528" i="5"/>
  <c r="O1528" i="5"/>
  <c r="N1528" i="5"/>
  <c r="M1528" i="5"/>
  <c r="L1528" i="5"/>
  <c r="AD1527" i="5"/>
  <c r="AC1527" i="5"/>
  <c r="AB1527" i="5"/>
  <c r="AA1527" i="5"/>
  <c r="Z1527" i="5"/>
  <c r="Y1527" i="5"/>
  <c r="X1527" i="5"/>
  <c r="W1527" i="5"/>
  <c r="V1527" i="5"/>
  <c r="U1527" i="5"/>
  <c r="T1527" i="5"/>
  <c r="S1527" i="5"/>
  <c r="R1527" i="5"/>
  <c r="Q1527" i="5"/>
  <c r="P1527" i="5"/>
  <c r="O1527" i="5"/>
  <c r="N1527" i="5"/>
  <c r="M1527" i="5"/>
  <c r="L1527" i="5"/>
  <c r="AD1526" i="5"/>
  <c r="AC1526" i="5"/>
  <c r="AB1526" i="5"/>
  <c r="AA1526" i="5"/>
  <c r="Z1526" i="5"/>
  <c r="Y1526" i="5"/>
  <c r="X1526" i="5"/>
  <c r="W1526" i="5"/>
  <c r="V1526" i="5"/>
  <c r="U1526" i="5"/>
  <c r="T1526" i="5"/>
  <c r="S1526" i="5"/>
  <c r="R1526" i="5"/>
  <c r="Q1526" i="5"/>
  <c r="P1526" i="5"/>
  <c r="O1526" i="5"/>
  <c r="N1526" i="5"/>
  <c r="M1526" i="5"/>
  <c r="L1526" i="5"/>
  <c r="AD1525" i="5"/>
  <c r="AC1525" i="5"/>
  <c r="AB1525" i="5"/>
  <c r="AA1525" i="5"/>
  <c r="Z1525" i="5"/>
  <c r="Y1525" i="5"/>
  <c r="X1525" i="5"/>
  <c r="W1525" i="5"/>
  <c r="V1525" i="5"/>
  <c r="U1525" i="5"/>
  <c r="T1525" i="5"/>
  <c r="S1525" i="5"/>
  <c r="R1525" i="5"/>
  <c r="Q1525" i="5"/>
  <c r="P1525" i="5"/>
  <c r="O1525" i="5"/>
  <c r="N1525" i="5"/>
  <c r="M1525" i="5"/>
  <c r="L1525" i="5"/>
  <c r="AD1524" i="5"/>
  <c r="AC1524" i="5"/>
  <c r="AB1524" i="5"/>
  <c r="AA1524" i="5"/>
  <c r="Z1524" i="5"/>
  <c r="Y1524" i="5"/>
  <c r="X1524" i="5"/>
  <c r="W1524" i="5"/>
  <c r="V1524" i="5"/>
  <c r="U1524" i="5"/>
  <c r="T1524" i="5"/>
  <c r="S1524" i="5"/>
  <c r="R1524" i="5"/>
  <c r="Q1524" i="5"/>
  <c r="P1524" i="5"/>
  <c r="O1524" i="5"/>
  <c r="N1524" i="5"/>
  <c r="M1524" i="5"/>
  <c r="L1524" i="5"/>
  <c r="AD1523" i="5"/>
  <c r="AC1523" i="5"/>
  <c r="AB1523" i="5"/>
  <c r="AA1523" i="5"/>
  <c r="Z1523" i="5"/>
  <c r="Y1523" i="5"/>
  <c r="X1523" i="5"/>
  <c r="W1523" i="5"/>
  <c r="V1523" i="5"/>
  <c r="U1523" i="5"/>
  <c r="T1523" i="5"/>
  <c r="S1523" i="5"/>
  <c r="R1523" i="5"/>
  <c r="Q1523" i="5"/>
  <c r="P1523" i="5"/>
  <c r="O1523" i="5"/>
  <c r="N1523" i="5"/>
  <c r="M1523" i="5"/>
  <c r="L1523" i="5"/>
  <c r="AD1522" i="5"/>
  <c r="AC1522" i="5"/>
  <c r="AB1522" i="5"/>
  <c r="AA1522" i="5"/>
  <c r="Z1522" i="5"/>
  <c r="Y1522" i="5"/>
  <c r="X1522" i="5"/>
  <c r="W1522" i="5"/>
  <c r="V1522" i="5"/>
  <c r="U1522" i="5"/>
  <c r="T1522" i="5"/>
  <c r="S1522" i="5"/>
  <c r="R1522" i="5"/>
  <c r="Q1522" i="5"/>
  <c r="P1522" i="5"/>
  <c r="O1522" i="5"/>
  <c r="N1522" i="5"/>
  <c r="M1522" i="5"/>
  <c r="L1522" i="5"/>
  <c r="AD1521" i="5"/>
  <c r="AC1521" i="5"/>
  <c r="AB1521" i="5"/>
  <c r="AA1521" i="5"/>
  <c r="Z1521" i="5"/>
  <c r="Y1521" i="5"/>
  <c r="X1521" i="5"/>
  <c r="W1521" i="5"/>
  <c r="V1521" i="5"/>
  <c r="U1521" i="5"/>
  <c r="T1521" i="5"/>
  <c r="S1521" i="5"/>
  <c r="R1521" i="5"/>
  <c r="Q1521" i="5"/>
  <c r="P1521" i="5"/>
  <c r="O1521" i="5"/>
  <c r="N1521" i="5"/>
  <c r="M1521" i="5"/>
  <c r="L1521" i="5"/>
  <c r="AD1520" i="5"/>
  <c r="AC1520" i="5"/>
  <c r="AB1520" i="5"/>
  <c r="AA1520" i="5"/>
  <c r="Z1520" i="5"/>
  <c r="Y1520" i="5"/>
  <c r="X1520" i="5"/>
  <c r="W1520" i="5"/>
  <c r="V1520" i="5"/>
  <c r="U1520" i="5"/>
  <c r="T1520" i="5"/>
  <c r="S1520" i="5"/>
  <c r="R1520" i="5"/>
  <c r="Q1520" i="5"/>
  <c r="P1520" i="5"/>
  <c r="O1520" i="5"/>
  <c r="N1520" i="5"/>
  <c r="M1520" i="5"/>
  <c r="L1520" i="5"/>
  <c r="AD1519" i="5"/>
  <c r="AC1519" i="5"/>
  <c r="AB1519" i="5"/>
  <c r="AA1519" i="5"/>
  <c r="Z1519" i="5"/>
  <c r="Y1519" i="5"/>
  <c r="X1519" i="5"/>
  <c r="W1519" i="5"/>
  <c r="V1519" i="5"/>
  <c r="U1519" i="5"/>
  <c r="T1519" i="5"/>
  <c r="S1519" i="5"/>
  <c r="R1519" i="5"/>
  <c r="Q1519" i="5"/>
  <c r="P1519" i="5"/>
  <c r="O1519" i="5"/>
  <c r="N1519" i="5"/>
  <c r="M1519" i="5"/>
  <c r="L1519" i="5"/>
  <c r="AD1518" i="5"/>
  <c r="AC1518" i="5"/>
  <c r="AB1518" i="5"/>
  <c r="AA1518" i="5"/>
  <c r="Z1518" i="5"/>
  <c r="Y1518" i="5"/>
  <c r="X1518" i="5"/>
  <c r="W1518" i="5"/>
  <c r="V1518" i="5"/>
  <c r="U1518" i="5"/>
  <c r="T1518" i="5"/>
  <c r="S1518" i="5"/>
  <c r="R1518" i="5"/>
  <c r="Q1518" i="5"/>
  <c r="P1518" i="5"/>
  <c r="O1518" i="5"/>
  <c r="N1518" i="5"/>
  <c r="M1518" i="5"/>
  <c r="L1518" i="5"/>
  <c r="AD1517" i="5"/>
  <c r="AC1517" i="5"/>
  <c r="AB1517" i="5"/>
  <c r="AA1517" i="5"/>
  <c r="Z1517" i="5"/>
  <c r="Y1517" i="5"/>
  <c r="X1517" i="5"/>
  <c r="W1517" i="5"/>
  <c r="V1517" i="5"/>
  <c r="U1517" i="5"/>
  <c r="T1517" i="5"/>
  <c r="S1517" i="5"/>
  <c r="R1517" i="5"/>
  <c r="Q1517" i="5"/>
  <c r="P1517" i="5"/>
  <c r="O1517" i="5"/>
  <c r="N1517" i="5"/>
  <c r="M1517" i="5"/>
  <c r="L1517" i="5"/>
  <c r="AD1516" i="5"/>
  <c r="AC1516" i="5"/>
  <c r="AB1516" i="5"/>
  <c r="AA1516" i="5"/>
  <c r="Z1516" i="5"/>
  <c r="Y1516" i="5"/>
  <c r="X1516" i="5"/>
  <c r="W1516" i="5"/>
  <c r="V1516" i="5"/>
  <c r="U1516" i="5"/>
  <c r="T1516" i="5"/>
  <c r="S1516" i="5"/>
  <c r="R1516" i="5"/>
  <c r="Q1516" i="5"/>
  <c r="P1516" i="5"/>
  <c r="O1516" i="5"/>
  <c r="N1516" i="5"/>
  <c r="M1516" i="5"/>
  <c r="L1516" i="5"/>
  <c r="AD1515" i="5"/>
  <c r="AC1515" i="5"/>
  <c r="AB1515" i="5"/>
  <c r="AA1515" i="5"/>
  <c r="Z1515" i="5"/>
  <c r="Y1515" i="5"/>
  <c r="X1515" i="5"/>
  <c r="W1515" i="5"/>
  <c r="V1515" i="5"/>
  <c r="U1515" i="5"/>
  <c r="T1515" i="5"/>
  <c r="S1515" i="5"/>
  <c r="R1515" i="5"/>
  <c r="Q1515" i="5"/>
  <c r="P1515" i="5"/>
  <c r="O1515" i="5"/>
  <c r="N1515" i="5"/>
  <c r="M1515" i="5"/>
  <c r="L1515" i="5"/>
  <c r="AD1514" i="5"/>
  <c r="AC1514" i="5"/>
  <c r="AB1514" i="5"/>
  <c r="AA1514" i="5"/>
  <c r="Z1514" i="5"/>
  <c r="Y1514" i="5"/>
  <c r="X1514" i="5"/>
  <c r="W1514" i="5"/>
  <c r="V1514" i="5"/>
  <c r="U1514" i="5"/>
  <c r="T1514" i="5"/>
  <c r="S1514" i="5"/>
  <c r="R1514" i="5"/>
  <c r="Q1514" i="5"/>
  <c r="P1514" i="5"/>
  <c r="O1514" i="5"/>
  <c r="N1514" i="5"/>
  <c r="M1514" i="5"/>
  <c r="L1514" i="5"/>
  <c r="AD1513" i="5"/>
  <c r="AC1513" i="5"/>
  <c r="AB1513" i="5"/>
  <c r="AA1513" i="5"/>
  <c r="Z1513" i="5"/>
  <c r="Y1513" i="5"/>
  <c r="X1513" i="5"/>
  <c r="W1513" i="5"/>
  <c r="V1513" i="5"/>
  <c r="U1513" i="5"/>
  <c r="T1513" i="5"/>
  <c r="S1513" i="5"/>
  <c r="R1513" i="5"/>
  <c r="Q1513" i="5"/>
  <c r="P1513" i="5"/>
  <c r="O1513" i="5"/>
  <c r="N1513" i="5"/>
  <c r="M1513" i="5"/>
  <c r="L1513" i="5"/>
  <c r="AD1512" i="5"/>
  <c r="AC1512" i="5"/>
  <c r="AB1512" i="5"/>
  <c r="AA1512" i="5"/>
  <c r="Z1512" i="5"/>
  <c r="Y1512" i="5"/>
  <c r="X1512" i="5"/>
  <c r="W1512" i="5"/>
  <c r="V1512" i="5"/>
  <c r="U1512" i="5"/>
  <c r="T1512" i="5"/>
  <c r="S1512" i="5"/>
  <c r="R1512" i="5"/>
  <c r="Q1512" i="5"/>
  <c r="P1512" i="5"/>
  <c r="O1512" i="5"/>
  <c r="N1512" i="5"/>
  <c r="M1512" i="5"/>
  <c r="L1512" i="5"/>
  <c r="AD1511" i="5"/>
  <c r="AC1511" i="5"/>
  <c r="AB1511" i="5"/>
  <c r="AA1511" i="5"/>
  <c r="Z1511" i="5"/>
  <c r="Y1511" i="5"/>
  <c r="X1511" i="5"/>
  <c r="W1511" i="5"/>
  <c r="V1511" i="5"/>
  <c r="U1511" i="5"/>
  <c r="T1511" i="5"/>
  <c r="S1511" i="5"/>
  <c r="R1511" i="5"/>
  <c r="Q1511" i="5"/>
  <c r="P1511" i="5"/>
  <c r="O1511" i="5"/>
  <c r="N1511" i="5"/>
  <c r="M1511" i="5"/>
  <c r="L1511" i="5"/>
  <c r="AD1510" i="5"/>
  <c r="AC1510" i="5"/>
  <c r="AB1510" i="5"/>
  <c r="AA1510" i="5"/>
  <c r="Z1510" i="5"/>
  <c r="Y1510" i="5"/>
  <c r="X1510" i="5"/>
  <c r="W1510" i="5"/>
  <c r="V1510" i="5"/>
  <c r="U1510" i="5"/>
  <c r="T1510" i="5"/>
  <c r="S1510" i="5"/>
  <c r="R1510" i="5"/>
  <c r="Q1510" i="5"/>
  <c r="P1510" i="5"/>
  <c r="O1510" i="5"/>
  <c r="N1510" i="5"/>
  <c r="M1510" i="5"/>
  <c r="L1510" i="5"/>
  <c r="AD1509" i="5"/>
  <c r="AC1509" i="5"/>
  <c r="AB1509" i="5"/>
  <c r="AA1509" i="5"/>
  <c r="Z1509" i="5"/>
  <c r="Y1509" i="5"/>
  <c r="X1509" i="5"/>
  <c r="W1509" i="5"/>
  <c r="V1509" i="5"/>
  <c r="U1509" i="5"/>
  <c r="T1509" i="5"/>
  <c r="S1509" i="5"/>
  <c r="R1509" i="5"/>
  <c r="Q1509" i="5"/>
  <c r="P1509" i="5"/>
  <c r="O1509" i="5"/>
  <c r="N1509" i="5"/>
  <c r="M1509" i="5"/>
  <c r="L1509" i="5"/>
  <c r="AD1508" i="5"/>
  <c r="AC1508" i="5"/>
  <c r="AB1508" i="5"/>
  <c r="AA1508" i="5"/>
  <c r="Z1508" i="5"/>
  <c r="Y1508" i="5"/>
  <c r="X1508" i="5"/>
  <c r="W1508" i="5"/>
  <c r="V1508" i="5"/>
  <c r="U1508" i="5"/>
  <c r="T1508" i="5"/>
  <c r="S1508" i="5"/>
  <c r="R1508" i="5"/>
  <c r="Q1508" i="5"/>
  <c r="P1508" i="5"/>
  <c r="O1508" i="5"/>
  <c r="N1508" i="5"/>
  <c r="M1508" i="5"/>
  <c r="L1508" i="5"/>
  <c r="AD1507" i="5"/>
  <c r="AC1507" i="5"/>
  <c r="AB1507" i="5"/>
  <c r="AA1507" i="5"/>
  <c r="Z1507" i="5"/>
  <c r="Y1507" i="5"/>
  <c r="X1507" i="5"/>
  <c r="W1507" i="5"/>
  <c r="V1507" i="5"/>
  <c r="U1507" i="5"/>
  <c r="T1507" i="5"/>
  <c r="S1507" i="5"/>
  <c r="R1507" i="5"/>
  <c r="Q1507" i="5"/>
  <c r="P1507" i="5"/>
  <c r="O1507" i="5"/>
  <c r="N1507" i="5"/>
  <c r="M1507" i="5"/>
  <c r="L1507" i="5"/>
  <c r="AD1506" i="5"/>
  <c r="AC1506" i="5"/>
  <c r="AB1506" i="5"/>
  <c r="AA1506" i="5"/>
  <c r="Z1506" i="5"/>
  <c r="Y1506" i="5"/>
  <c r="X1506" i="5"/>
  <c r="W1506" i="5"/>
  <c r="V1506" i="5"/>
  <c r="U1506" i="5"/>
  <c r="T1506" i="5"/>
  <c r="S1506" i="5"/>
  <c r="R1506" i="5"/>
  <c r="Q1506" i="5"/>
  <c r="P1506" i="5"/>
  <c r="O1506" i="5"/>
  <c r="N1506" i="5"/>
  <c r="M1506" i="5"/>
  <c r="L1506" i="5"/>
  <c r="AD1505" i="5"/>
  <c r="AC1505" i="5"/>
  <c r="AB1505" i="5"/>
  <c r="AA1505" i="5"/>
  <c r="Z1505" i="5"/>
  <c r="Y1505" i="5"/>
  <c r="X1505" i="5"/>
  <c r="W1505" i="5"/>
  <c r="V1505" i="5"/>
  <c r="U1505" i="5"/>
  <c r="T1505" i="5"/>
  <c r="S1505" i="5"/>
  <c r="R1505" i="5"/>
  <c r="Q1505" i="5"/>
  <c r="P1505" i="5"/>
  <c r="O1505" i="5"/>
  <c r="N1505" i="5"/>
  <c r="M1505" i="5"/>
  <c r="L1505" i="5"/>
  <c r="AD1504" i="5"/>
  <c r="AC1504" i="5"/>
  <c r="AB1504" i="5"/>
  <c r="AA1504" i="5"/>
  <c r="Z1504" i="5"/>
  <c r="Y1504" i="5"/>
  <c r="X1504" i="5"/>
  <c r="W1504" i="5"/>
  <c r="V1504" i="5"/>
  <c r="U1504" i="5"/>
  <c r="T1504" i="5"/>
  <c r="S1504" i="5"/>
  <c r="R1504" i="5"/>
  <c r="Q1504" i="5"/>
  <c r="P1504" i="5"/>
  <c r="O1504" i="5"/>
  <c r="N1504" i="5"/>
  <c r="M1504" i="5"/>
  <c r="L1504" i="5"/>
  <c r="AD1503" i="5"/>
  <c r="AC1503" i="5"/>
  <c r="AB1503" i="5"/>
  <c r="AA1503" i="5"/>
  <c r="Z1503" i="5"/>
  <c r="Y1503" i="5"/>
  <c r="X1503" i="5"/>
  <c r="W1503" i="5"/>
  <c r="V1503" i="5"/>
  <c r="U1503" i="5"/>
  <c r="T1503" i="5"/>
  <c r="S1503" i="5"/>
  <c r="R1503" i="5"/>
  <c r="Q1503" i="5"/>
  <c r="P1503" i="5"/>
  <c r="O1503" i="5"/>
  <c r="N1503" i="5"/>
  <c r="M1503" i="5"/>
  <c r="L1503" i="5"/>
  <c r="AD1502" i="5"/>
  <c r="AC1502" i="5"/>
  <c r="AB1502" i="5"/>
  <c r="AA1502" i="5"/>
  <c r="Z1502" i="5"/>
  <c r="Y1502" i="5"/>
  <c r="X1502" i="5"/>
  <c r="W1502" i="5"/>
  <c r="V1502" i="5"/>
  <c r="U1502" i="5"/>
  <c r="T1502" i="5"/>
  <c r="S1502" i="5"/>
  <c r="R1502" i="5"/>
  <c r="Q1502" i="5"/>
  <c r="P1502" i="5"/>
  <c r="O1502" i="5"/>
  <c r="N1502" i="5"/>
  <c r="M1502" i="5"/>
  <c r="L1502" i="5"/>
  <c r="AD1501" i="5"/>
  <c r="AC1501" i="5"/>
  <c r="AB1501" i="5"/>
  <c r="AA1501" i="5"/>
  <c r="Z1501" i="5"/>
  <c r="Y1501" i="5"/>
  <c r="X1501" i="5"/>
  <c r="W1501" i="5"/>
  <c r="V1501" i="5"/>
  <c r="U1501" i="5"/>
  <c r="T1501" i="5"/>
  <c r="S1501" i="5"/>
  <c r="R1501" i="5"/>
  <c r="Q1501" i="5"/>
  <c r="P1501" i="5"/>
  <c r="O1501" i="5"/>
  <c r="N1501" i="5"/>
  <c r="M1501" i="5"/>
  <c r="L1501" i="5"/>
  <c r="AD1500" i="5"/>
  <c r="AC1500" i="5"/>
  <c r="AB1500" i="5"/>
  <c r="AA1500" i="5"/>
  <c r="Z1500" i="5"/>
  <c r="Y1500" i="5"/>
  <c r="X1500" i="5"/>
  <c r="W1500" i="5"/>
  <c r="V1500" i="5"/>
  <c r="U1500" i="5"/>
  <c r="T1500" i="5"/>
  <c r="S1500" i="5"/>
  <c r="R1500" i="5"/>
  <c r="Q1500" i="5"/>
  <c r="P1500" i="5"/>
  <c r="O1500" i="5"/>
  <c r="N1500" i="5"/>
  <c r="M1500" i="5"/>
  <c r="L1500" i="5"/>
  <c r="AD1499" i="5"/>
  <c r="AC1499" i="5"/>
  <c r="AB1499" i="5"/>
  <c r="AA1499" i="5"/>
  <c r="Z1499" i="5"/>
  <c r="Y1499" i="5"/>
  <c r="X1499" i="5"/>
  <c r="W1499" i="5"/>
  <c r="V1499" i="5"/>
  <c r="U1499" i="5"/>
  <c r="T1499" i="5"/>
  <c r="S1499" i="5"/>
  <c r="R1499" i="5"/>
  <c r="Q1499" i="5"/>
  <c r="P1499" i="5"/>
  <c r="O1499" i="5"/>
  <c r="N1499" i="5"/>
  <c r="M1499" i="5"/>
  <c r="L1499" i="5"/>
  <c r="AD1498" i="5"/>
  <c r="AC1498" i="5"/>
  <c r="AB1498" i="5"/>
  <c r="AA1498" i="5"/>
  <c r="Z1498" i="5"/>
  <c r="Y1498" i="5"/>
  <c r="X1498" i="5"/>
  <c r="W1498" i="5"/>
  <c r="V1498" i="5"/>
  <c r="U1498" i="5"/>
  <c r="T1498" i="5"/>
  <c r="S1498" i="5"/>
  <c r="R1498" i="5"/>
  <c r="Q1498" i="5"/>
  <c r="P1498" i="5"/>
  <c r="O1498" i="5"/>
  <c r="N1498" i="5"/>
  <c r="M1498" i="5"/>
  <c r="L1498" i="5"/>
  <c r="AD1497" i="5"/>
  <c r="AC1497" i="5"/>
  <c r="AB1497" i="5"/>
  <c r="AA1497" i="5"/>
  <c r="Z1497" i="5"/>
  <c r="Y1497" i="5"/>
  <c r="X1497" i="5"/>
  <c r="W1497" i="5"/>
  <c r="V1497" i="5"/>
  <c r="U1497" i="5"/>
  <c r="T1497" i="5"/>
  <c r="S1497" i="5"/>
  <c r="R1497" i="5"/>
  <c r="Q1497" i="5"/>
  <c r="P1497" i="5"/>
  <c r="O1497" i="5"/>
  <c r="N1497" i="5"/>
  <c r="M1497" i="5"/>
  <c r="L1497" i="5"/>
  <c r="AD1496" i="5"/>
  <c r="AC1496" i="5"/>
  <c r="AB1496" i="5"/>
  <c r="AA1496" i="5"/>
  <c r="Z1496" i="5"/>
  <c r="Y1496" i="5"/>
  <c r="X1496" i="5"/>
  <c r="W1496" i="5"/>
  <c r="V1496" i="5"/>
  <c r="U1496" i="5"/>
  <c r="T1496" i="5"/>
  <c r="S1496" i="5"/>
  <c r="R1496" i="5"/>
  <c r="Q1496" i="5"/>
  <c r="P1496" i="5"/>
  <c r="O1496" i="5"/>
  <c r="N1496" i="5"/>
  <c r="M1496" i="5"/>
  <c r="L1496" i="5"/>
  <c r="AD1495" i="5"/>
  <c r="AC1495" i="5"/>
  <c r="AB1495" i="5"/>
  <c r="AA1495" i="5"/>
  <c r="Z1495" i="5"/>
  <c r="Y1495" i="5"/>
  <c r="X1495" i="5"/>
  <c r="W1495" i="5"/>
  <c r="V1495" i="5"/>
  <c r="U1495" i="5"/>
  <c r="T1495" i="5"/>
  <c r="S1495" i="5"/>
  <c r="R1495" i="5"/>
  <c r="Q1495" i="5"/>
  <c r="P1495" i="5"/>
  <c r="O1495" i="5"/>
  <c r="N1495" i="5"/>
  <c r="M1495" i="5"/>
  <c r="L1495" i="5"/>
  <c r="AD1494" i="5"/>
  <c r="AC1494" i="5"/>
  <c r="AB1494" i="5"/>
  <c r="AA1494" i="5"/>
  <c r="Z1494" i="5"/>
  <c r="Y1494" i="5"/>
  <c r="X1494" i="5"/>
  <c r="W1494" i="5"/>
  <c r="V1494" i="5"/>
  <c r="U1494" i="5"/>
  <c r="T1494" i="5"/>
  <c r="S1494" i="5"/>
  <c r="R1494" i="5"/>
  <c r="Q1494" i="5"/>
  <c r="P1494" i="5"/>
  <c r="O1494" i="5"/>
  <c r="N1494" i="5"/>
  <c r="M1494" i="5"/>
  <c r="L1494" i="5"/>
  <c r="AD1493" i="5"/>
  <c r="AC1493" i="5"/>
  <c r="AB1493" i="5"/>
  <c r="AA1493" i="5"/>
  <c r="Z1493" i="5"/>
  <c r="Y1493" i="5"/>
  <c r="X1493" i="5"/>
  <c r="W1493" i="5"/>
  <c r="V1493" i="5"/>
  <c r="U1493" i="5"/>
  <c r="T1493" i="5"/>
  <c r="S1493" i="5"/>
  <c r="R1493" i="5"/>
  <c r="Q1493" i="5"/>
  <c r="P1493" i="5"/>
  <c r="O1493" i="5"/>
  <c r="N1493" i="5"/>
  <c r="M1493" i="5"/>
  <c r="L1493" i="5"/>
  <c r="AD1492" i="5"/>
  <c r="AC1492" i="5"/>
  <c r="AB1492" i="5"/>
  <c r="AA1492" i="5"/>
  <c r="Z1492" i="5"/>
  <c r="Y1492" i="5"/>
  <c r="X1492" i="5"/>
  <c r="W1492" i="5"/>
  <c r="V1492" i="5"/>
  <c r="U1492" i="5"/>
  <c r="T1492" i="5"/>
  <c r="S1492" i="5"/>
  <c r="R1492" i="5"/>
  <c r="Q1492" i="5"/>
  <c r="P1492" i="5"/>
  <c r="O1492" i="5"/>
  <c r="N1492" i="5"/>
  <c r="M1492" i="5"/>
  <c r="L1492" i="5"/>
  <c r="AD1491" i="5"/>
  <c r="AC1491" i="5"/>
  <c r="AB1491" i="5"/>
  <c r="AA1491" i="5"/>
  <c r="Z1491" i="5"/>
  <c r="Y1491" i="5"/>
  <c r="X1491" i="5"/>
  <c r="W1491" i="5"/>
  <c r="V1491" i="5"/>
  <c r="U1491" i="5"/>
  <c r="T1491" i="5"/>
  <c r="S1491" i="5"/>
  <c r="R1491" i="5"/>
  <c r="Q1491" i="5"/>
  <c r="P1491" i="5"/>
  <c r="O1491" i="5"/>
  <c r="N1491" i="5"/>
  <c r="M1491" i="5"/>
  <c r="L1491" i="5"/>
  <c r="AD1490" i="5"/>
  <c r="AC1490" i="5"/>
  <c r="AB1490" i="5"/>
  <c r="AA1490" i="5"/>
  <c r="Z1490" i="5"/>
  <c r="Y1490" i="5"/>
  <c r="X1490" i="5"/>
  <c r="W1490" i="5"/>
  <c r="V1490" i="5"/>
  <c r="U1490" i="5"/>
  <c r="T1490" i="5"/>
  <c r="S1490" i="5"/>
  <c r="R1490" i="5"/>
  <c r="Q1490" i="5"/>
  <c r="P1490" i="5"/>
  <c r="O1490" i="5"/>
  <c r="N1490" i="5"/>
  <c r="M1490" i="5"/>
  <c r="L1490" i="5"/>
  <c r="AD1489" i="5"/>
  <c r="AC1489" i="5"/>
  <c r="AB1489" i="5"/>
  <c r="AA1489" i="5"/>
  <c r="Z1489" i="5"/>
  <c r="Y1489" i="5"/>
  <c r="X1489" i="5"/>
  <c r="W1489" i="5"/>
  <c r="V1489" i="5"/>
  <c r="U1489" i="5"/>
  <c r="T1489" i="5"/>
  <c r="S1489" i="5"/>
  <c r="R1489" i="5"/>
  <c r="Q1489" i="5"/>
  <c r="P1489" i="5"/>
  <c r="O1489" i="5"/>
  <c r="N1489" i="5"/>
  <c r="M1489" i="5"/>
  <c r="L1489" i="5"/>
  <c r="AD1488" i="5"/>
  <c r="AC1488" i="5"/>
  <c r="AB1488" i="5"/>
  <c r="AA1488" i="5"/>
  <c r="Z1488" i="5"/>
  <c r="Y1488" i="5"/>
  <c r="X1488" i="5"/>
  <c r="W1488" i="5"/>
  <c r="V1488" i="5"/>
  <c r="U1488" i="5"/>
  <c r="T1488" i="5"/>
  <c r="S1488" i="5"/>
  <c r="R1488" i="5"/>
  <c r="Q1488" i="5"/>
  <c r="P1488" i="5"/>
  <c r="O1488" i="5"/>
  <c r="N1488" i="5"/>
  <c r="M1488" i="5"/>
  <c r="L1488" i="5"/>
  <c r="AD1487" i="5"/>
  <c r="AC1487" i="5"/>
  <c r="AB1487" i="5"/>
  <c r="AA1487" i="5"/>
  <c r="Z1487" i="5"/>
  <c r="Y1487" i="5"/>
  <c r="X1487" i="5"/>
  <c r="W1487" i="5"/>
  <c r="V1487" i="5"/>
  <c r="U1487" i="5"/>
  <c r="T1487" i="5"/>
  <c r="S1487" i="5"/>
  <c r="R1487" i="5"/>
  <c r="Q1487" i="5"/>
  <c r="P1487" i="5"/>
  <c r="O1487" i="5"/>
  <c r="N1487" i="5"/>
  <c r="M1487" i="5"/>
  <c r="L1487" i="5"/>
  <c r="AD1486" i="5"/>
  <c r="AC1486" i="5"/>
  <c r="AB1486" i="5"/>
  <c r="AA1486" i="5"/>
  <c r="Z1486" i="5"/>
  <c r="Y1486" i="5"/>
  <c r="X1486" i="5"/>
  <c r="W1486" i="5"/>
  <c r="V1486" i="5"/>
  <c r="U1486" i="5"/>
  <c r="T1486" i="5"/>
  <c r="S1486" i="5"/>
  <c r="R1486" i="5"/>
  <c r="Q1486" i="5"/>
  <c r="P1486" i="5"/>
  <c r="O1486" i="5"/>
  <c r="N1486" i="5"/>
  <c r="M1486" i="5"/>
  <c r="L1486" i="5"/>
  <c r="AD1485" i="5"/>
  <c r="AC1485" i="5"/>
  <c r="AB1485" i="5"/>
  <c r="AA1485" i="5"/>
  <c r="Z1485" i="5"/>
  <c r="Y1485" i="5"/>
  <c r="X1485" i="5"/>
  <c r="W1485" i="5"/>
  <c r="V1485" i="5"/>
  <c r="U1485" i="5"/>
  <c r="T1485" i="5"/>
  <c r="S1485" i="5"/>
  <c r="R1485" i="5"/>
  <c r="Q1485" i="5"/>
  <c r="P1485" i="5"/>
  <c r="O1485" i="5"/>
  <c r="N1485" i="5"/>
  <c r="M1485" i="5"/>
  <c r="L1485" i="5"/>
  <c r="AD1484" i="5"/>
  <c r="AC1484" i="5"/>
  <c r="AB1484" i="5"/>
  <c r="AA1484" i="5"/>
  <c r="Z1484" i="5"/>
  <c r="Y1484" i="5"/>
  <c r="X1484" i="5"/>
  <c r="W1484" i="5"/>
  <c r="V1484" i="5"/>
  <c r="U1484" i="5"/>
  <c r="T1484" i="5"/>
  <c r="S1484" i="5"/>
  <c r="R1484" i="5"/>
  <c r="Q1484" i="5"/>
  <c r="P1484" i="5"/>
  <c r="O1484" i="5"/>
  <c r="N1484" i="5"/>
  <c r="M1484" i="5"/>
  <c r="L1484" i="5"/>
  <c r="AD1483" i="5"/>
  <c r="AC1483" i="5"/>
  <c r="AB1483" i="5"/>
  <c r="AA1483" i="5"/>
  <c r="Z1483" i="5"/>
  <c r="Y1483" i="5"/>
  <c r="X1483" i="5"/>
  <c r="W1483" i="5"/>
  <c r="V1483" i="5"/>
  <c r="U1483" i="5"/>
  <c r="T1483" i="5"/>
  <c r="S1483" i="5"/>
  <c r="R1483" i="5"/>
  <c r="Q1483" i="5"/>
  <c r="P1483" i="5"/>
  <c r="O1483" i="5"/>
  <c r="N1483" i="5"/>
  <c r="M1483" i="5"/>
  <c r="L1483" i="5"/>
  <c r="AD1482" i="5"/>
  <c r="AC1482" i="5"/>
  <c r="AB1482" i="5"/>
  <c r="AA1482" i="5"/>
  <c r="Z1482" i="5"/>
  <c r="Y1482" i="5"/>
  <c r="X1482" i="5"/>
  <c r="W1482" i="5"/>
  <c r="V1482" i="5"/>
  <c r="U1482" i="5"/>
  <c r="T1482" i="5"/>
  <c r="S1482" i="5"/>
  <c r="R1482" i="5"/>
  <c r="Q1482" i="5"/>
  <c r="P1482" i="5"/>
  <c r="O1482" i="5"/>
  <c r="N1482" i="5"/>
  <c r="M1482" i="5"/>
  <c r="L1482" i="5"/>
  <c r="AD1481" i="5"/>
  <c r="AC1481" i="5"/>
  <c r="AB1481" i="5"/>
  <c r="AA1481" i="5"/>
  <c r="Z1481" i="5"/>
  <c r="Y1481" i="5"/>
  <c r="X1481" i="5"/>
  <c r="W1481" i="5"/>
  <c r="V1481" i="5"/>
  <c r="U1481" i="5"/>
  <c r="T1481" i="5"/>
  <c r="S1481" i="5"/>
  <c r="R1481" i="5"/>
  <c r="Q1481" i="5"/>
  <c r="P1481" i="5"/>
  <c r="O1481" i="5"/>
  <c r="N1481" i="5"/>
  <c r="M1481" i="5"/>
  <c r="L1481" i="5"/>
  <c r="AD1480" i="5"/>
  <c r="AC1480" i="5"/>
  <c r="AB1480" i="5"/>
  <c r="AA1480" i="5"/>
  <c r="Z1480" i="5"/>
  <c r="Y1480" i="5"/>
  <c r="X1480" i="5"/>
  <c r="W1480" i="5"/>
  <c r="V1480" i="5"/>
  <c r="U1480" i="5"/>
  <c r="T1480" i="5"/>
  <c r="S1480" i="5"/>
  <c r="R1480" i="5"/>
  <c r="Q1480" i="5"/>
  <c r="P1480" i="5"/>
  <c r="O1480" i="5"/>
  <c r="N1480" i="5"/>
  <c r="M1480" i="5"/>
  <c r="L1480" i="5"/>
  <c r="AD1479" i="5"/>
  <c r="AC1479" i="5"/>
  <c r="AB1479" i="5"/>
  <c r="AA1479" i="5"/>
  <c r="Z1479" i="5"/>
  <c r="Y1479" i="5"/>
  <c r="X1479" i="5"/>
  <c r="W1479" i="5"/>
  <c r="V1479" i="5"/>
  <c r="U1479" i="5"/>
  <c r="T1479" i="5"/>
  <c r="S1479" i="5"/>
  <c r="R1479" i="5"/>
  <c r="Q1479" i="5"/>
  <c r="P1479" i="5"/>
  <c r="O1479" i="5"/>
  <c r="N1479" i="5"/>
  <c r="M1479" i="5"/>
  <c r="L1479" i="5"/>
  <c r="AD1478" i="5"/>
  <c r="AC1478" i="5"/>
  <c r="AB1478" i="5"/>
  <c r="AA1478" i="5"/>
  <c r="Z1478" i="5"/>
  <c r="Y1478" i="5"/>
  <c r="X1478" i="5"/>
  <c r="W1478" i="5"/>
  <c r="V1478" i="5"/>
  <c r="U1478" i="5"/>
  <c r="T1478" i="5"/>
  <c r="S1478" i="5"/>
  <c r="R1478" i="5"/>
  <c r="Q1478" i="5"/>
  <c r="P1478" i="5"/>
  <c r="O1478" i="5"/>
  <c r="N1478" i="5"/>
  <c r="M1478" i="5"/>
  <c r="L1478" i="5"/>
  <c r="AD1477" i="5"/>
  <c r="AC1477" i="5"/>
  <c r="AB1477" i="5"/>
  <c r="AA1477" i="5"/>
  <c r="Z1477" i="5"/>
  <c r="Y1477" i="5"/>
  <c r="X1477" i="5"/>
  <c r="W1477" i="5"/>
  <c r="V1477" i="5"/>
  <c r="U1477" i="5"/>
  <c r="T1477" i="5"/>
  <c r="S1477" i="5"/>
  <c r="R1477" i="5"/>
  <c r="Q1477" i="5"/>
  <c r="P1477" i="5"/>
  <c r="O1477" i="5"/>
  <c r="N1477" i="5"/>
  <c r="M1477" i="5"/>
  <c r="L1477" i="5"/>
  <c r="AD1476" i="5"/>
  <c r="AC1476" i="5"/>
  <c r="AB1476" i="5"/>
  <c r="AA1476" i="5"/>
  <c r="Z1476" i="5"/>
  <c r="Y1476" i="5"/>
  <c r="X1476" i="5"/>
  <c r="W1476" i="5"/>
  <c r="V1476" i="5"/>
  <c r="U1476" i="5"/>
  <c r="T1476" i="5"/>
  <c r="S1476" i="5"/>
  <c r="R1476" i="5"/>
  <c r="Q1476" i="5"/>
  <c r="P1476" i="5"/>
  <c r="O1476" i="5"/>
  <c r="N1476" i="5"/>
  <c r="M1476" i="5"/>
  <c r="L1476" i="5"/>
  <c r="AD1475" i="5"/>
  <c r="AC1475" i="5"/>
  <c r="AB1475" i="5"/>
  <c r="AA1475" i="5"/>
  <c r="Z1475" i="5"/>
  <c r="Y1475" i="5"/>
  <c r="X1475" i="5"/>
  <c r="W1475" i="5"/>
  <c r="V1475" i="5"/>
  <c r="U1475" i="5"/>
  <c r="T1475" i="5"/>
  <c r="S1475" i="5"/>
  <c r="R1475" i="5"/>
  <c r="Q1475" i="5"/>
  <c r="P1475" i="5"/>
  <c r="O1475" i="5"/>
  <c r="N1475" i="5"/>
  <c r="M1475" i="5"/>
  <c r="L1475" i="5"/>
  <c r="AD1474" i="5"/>
  <c r="AC1474" i="5"/>
  <c r="AB1474" i="5"/>
  <c r="AA1474" i="5"/>
  <c r="Z1474" i="5"/>
  <c r="Y1474" i="5"/>
  <c r="X1474" i="5"/>
  <c r="W1474" i="5"/>
  <c r="V1474" i="5"/>
  <c r="U1474" i="5"/>
  <c r="T1474" i="5"/>
  <c r="S1474" i="5"/>
  <c r="R1474" i="5"/>
  <c r="Q1474" i="5"/>
  <c r="P1474" i="5"/>
  <c r="O1474" i="5"/>
  <c r="N1474" i="5"/>
  <c r="M1474" i="5"/>
  <c r="L1474" i="5"/>
  <c r="AD1473" i="5"/>
  <c r="AC1473" i="5"/>
  <c r="AB1473" i="5"/>
  <c r="AA1473" i="5"/>
  <c r="Z1473" i="5"/>
  <c r="Y1473" i="5"/>
  <c r="X1473" i="5"/>
  <c r="W1473" i="5"/>
  <c r="V1473" i="5"/>
  <c r="U1473" i="5"/>
  <c r="T1473" i="5"/>
  <c r="S1473" i="5"/>
  <c r="R1473" i="5"/>
  <c r="Q1473" i="5"/>
  <c r="P1473" i="5"/>
  <c r="O1473" i="5"/>
  <c r="N1473" i="5"/>
  <c r="M1473" i="5"/>
  <c r="L1473" i="5"/>
  <c r="AD1472" i="5"/>
  <c r="AC1472" i="5"/>
  <c r="AB1472" i="5"/>
  <c r="AA1472" i="5"/>
  <c r="Z1472" i="5"/>
  <c r="Y1472" i="5"/>
  <c r="X1472" i="5"/>
  <c r="W1472" i="5"/>
  <c r="V1472" i="5"/>
  <c r="U1472" i="5"/>
  <c r="T1472" i="5"/>
  <c r="S1472" i="5"/>
  <c r="R1472" i="5"/>
  <c r="Q1472" i="5"/>
  <c r="P1472" i="5"/>
  <c r="O1472" i="5"/>
  <c r="N1472" i="5"/>
  <c r="M1472" i="5"/>
  <c r="L1472" i="5"/>
  <c r="AD1471" i="5"/>
  <c r="AC1471" i="5"/>
  <c r="AB1471" i="5"/>
  <c r="AA1471" i="5"/>
  <c r="Z1471" i="5"/>
  <c r="Y1471" i="5"/>
  <c r="X1471" i="5"/>
  <c r="W1471" i="5"/>
  <c r="V1471" i="5"/>
  <c r="U1471" i="5"/>
  <c r="T1471" i="5"/>
  <c r="S1471" i="5"/>
  <c r="R1471" i="5"/>
  <c r="Q1471" i="5"/>
  <c r="P1471" i="5"/>
  <c r="O1471" i="5"/>
  <c r="N1471" i="5"/>
  <c r="M1471" i="5"/>
  <c r="L1471" i="5"/>
  <c r="AD1470" i="5"/>
  <c r="AC1470" i="5"/>
  <c r="AB1470" i="5"/>
  <c r="AA1470" i="5"/>
  <c r="Z1470" i="5"/>
  <c r="Y1470" i="5"/>
  <c r="X1470" i="5"/>
  <c r="W1470" i="5"/>
  <c r="V1470" i="5"/>
  <c r="U1470" i="5"/>
  <c r="T1470" i="5"/>
  <c r="S1470" i="5"/>
  <c r="R1470" i="5"/>
  <c r="Q1470" i="5"/>
  <c r="P1470" i="5"/>
  <c r="O1470" i="5"/>
  <c r="N1470" i="5"/>
  <c r="M1470" i="5"/>
  <c r="L1470" i="5"/>
  <c r="AD1469" i="5"/>
  <c r="AC1469" i="5"/>
  <c r="AB1469" i="5"/>
  <c r="AA1469" i="5"/>
  <c r="Z1469" i="5"/>
  <c r="Y1469" i="5"/>
  <c r="X1469" i="5"/>
  <c r="W1469" i="5"/>
  <c r="V1469" i="5"/>
  <c r="U1469" i="5"/>
  <c r="T1469" i="5"/>
  <c r="S1469" i="5"/>
  <c r="R1469" i="5"/>
  <c r="Q1469" i="5"/>
  <c r="P1469" i="5"/>
  <c r="O1469" i="5"/>
  <c r="N1469" i="5"/>
  <c r="M1469" i="5"/>
  <c r="L1469" i="5"/>
  <c r="AD1468" i="5"/>
  <c r="AC1468" i="5"/>
  <c r="AB1468" i="5"/>
  <c r="AA1468" i="5"/>
  <c r="Z1468" i="5"/>
  <c r="Y1468" i="5"/>
  <c r="X1468" i="5"/>
  <c r="W1468" i="5"/>
  <c r="V1468" i="5"/>
  <c r="U1468" i="5"/>
  <c r="T1468" i="5"/>
  <c r="S1468" i="5"/>
  <c r="R1468" i="5"/>
  <c r="Q1468" i="5"/>
  <c r="P1468" i="5"/>
  <c r="O1468" i="5"/>
  <c r="N1468" i="5"/>
  <c r="M1468" i="5"/>
  <c r="L1468" i="5"/>
  <c r="AD1467" i="5"/>
  <c r="AC1467" i="5"/>
  <c r="AB1467" i="5"/>
  <c r="AA1467" i="5"/>
  <c r="Z1467" i="5"/>
  <c r="Y1467" i="5"/>
  <c r="X1467" i="5"/>
  <c r="W1467" i="5"/>
  <c r="V1467" i="5"/>
  <c r="U1467" i="5"/>
  <c r="T1467" i="5"/>
  <c r="S1467" i="5"/>
  <c r="R1467" i="5"/>
  <c r="Q1467" i="5"/>
  <c r="P1467" i="5"/>
  <c r="O1467" i="5"/>
  <c r="N1467" i="5"/>
  <c r="M1467" i="5"/>
  <c r="L1467" i="5"/>
  <c r="AD1466" i="5"/>
  <c r="AC1466" i="5"/>
  <c r="AB1466" i="5"/>
  <c r="AA1466" i="5"/>
  <c r="Z1466" i="5"/>
  <c r="Y1466" i="5"/>
  <c r="X1466" i="5"/>
  <c r="W1466" i="5"/>
  <c r="V1466" i="5"/>
  <c r="U1466" i="5"/>
  <c r="T1466" i="5"/>
  <c r="S1466" i="5"/>
  <c r="R1466" i="5"/>
  <c r="Q1466" i="5"/>
  <c r="P1466" i="5"/>
  <c r="O1466" i="5"/>
  <c r="N1466" i="5"/>
  <c r="M1466" i="5"/>
  <c r="L1466" i="5"/>
  <c r="AD1465" i="5"/>
  <c r="AC1465" i="5"/>
  <c r="AB1465" i="5"/>
  <c r="AA1465" i="5"/>
  <c r="Z1465" i="5"/>
  <c r="Y1465" i="5"/>
  <c r="X1465" i="5"/>
  <c r="W1465" i="5"/>
  <c r="V1465" i="5"/>
  <c r="U1465" i="5"/>
  <c r="T1465" i="5"/>
  <c r="S1465" i="5"/>
  <c r="R1465" i="5"/>
  <c r="Q1465" i="5"/>
  <c r="P1465" i="5"/>
  <c r="O1465" i="5"/>
  <c r="N1465" i="5"/>
  <c r="M1465" i="5"/>
  <c r="L1465" i="5"/>
  <c r="AD1464" i="5"/>
  <c r="AC1464" i="5"/>
  <c r="AB1464" i="5"/>
  <c r="AA1464" i="5"/>
  <c r="Z1464" i="5"/>
  <c r="Y1464" i="5"/>
  <c r="X1464" i="5"/>
  <c r="W1464" i="5"/>
  <c r="V1464" i="5"/>
  <c r="U1464" i="5"/>
  <c r="T1464" i="5"/>
  <c r="S1464" i="5"/>
  <c r="R1464" i="5"/>
  <c r="Q1464" i="5"/>
  <c r="P1464" i="5"/>
  <c r="O1464" i="5"/>
  <c r="N1464" i="5"/>
  <c r="M1464" i="5"/>
  <c r="L1464" i="5"/>
  <c r="AD1463" i="5"/>
  <c r="AC1463" i="5"/>
  <c r="AB1463" i="5"/>
  <c r="AA1463" i="5"/>
  <c r="Z1463" i="5"/>
  <c r="Y1463" i="5"/>
  <c r="X1463" i="5"/>
  <c r="W1463" i="5"/>
  <c r="V1463" i="5"/>
  <c r="U1463" i="5"/>
  <c r="T1463" i="5"/>
  <c r="S1463" i="5"/>
  <c r="R1463" i="5"/>
  <c r="Q1463" i="5"/>
  <c r="P1463" i="5"/>
  <c r="O1463" i="5"/>
  <c r="N1463" i="5"/>
  <c r="M1463" i="5"/>
  <c r="L1463" i="5"/>
  <c r="AD1462" i="5"/>
  <c r="AC1462" i="5"/>
  <c r="AB1462" i="5"/>
  <c r="AA1462" i="5"/>
  <c r="Z1462" i="5"/>
  <c r="Y1462" i="5"/>
  <c r="X1462" i="5"/>
  <c r="W1462" i="5"/>
  <c r="V1462" i="5"/>
  <c r="U1462" i="5"/>
  <c r="T1462" i="5"/>
  <c r="S1462" i="5"/>
  <c r="R1462" i="5"/>
  <c r="Q1462" i="5"/>
  <c r="P1462" i="5"/>
  <c r="O1462" i="5"/>
  <c r="N1462" i="5"/>
  <c r="M1462" i="5"/>
  <c r="L1462" i="5"/>
  <c r="AD1461" i="5"/>
  <c r="AC1461" i="5"/>
  <c r="AB1461" i="5"/>
  <c r="AA1461" i="5"/>
  <c r="Z1461" i="5"/>
  <c r="Y1461" i="5"/>
  <c r="X1461" i="5"/>
  <c r="W1461" i="5"/>
  <c r="V1461" i="5"/>
  <c r="U1461" i="5"/>
  <c r="T1461" i="5"/>
  <c r="S1461" i="5"/>
  <c r="R1461" i="5"/>
  <c r="Q1461" i="5"/>
  <c r="P1461" i="5"/>
  <c r="O1461" i="5"/>
  <c r="N1461" i="5"/>
  <c r="M1461" i="5"/>
  <c r="L1461" i="5"/>
  <c r="AD1460" i="5"/>
  <c r="AC1460" i="5"/>
  <c r="AB1460" i="5"/>
  <c r="AA1460" i="5"/>
  <c r="Z1460" i="5"/>
  <c r="Y1460" i="5"/>
  <c r="X1460" i="5"/>
  <c r="W1460" i="5"/>
  <c r="V1460" i="5"/>
  <c r="U1460" i="5"/>
  <c r="T1460" i="5"/>
  <c r="S1460" i="5"/>
  <c r="R1460" i="5"/>
  <c r="Q1460" i="5"/>
  <c r="P1460" i="5"/>
  <c r="O1460" i="5"/>
  <c r="N1460" i="5"/>
  <c r="M1460" i="5"/>
  <c r="L1460" i="5"/>
  <c r="AD1459" i="5"/>
  <c r="AC1459" i="5"/>
  <c r="AB1459" i="5"/>
  <c r="AA1459" i="5"/>
  <c r="Z1459" i="5"/>
  <c r="Y1459" i="5"/>
  <c r="X1459" i="5"/>
  <c r="W1459" i="5"/>
  <c r="V1459" i="5"/>
  <c r="U1459" i="5"/>
  <c r="T1459" i="5"/>
  <c r="S1459" i="5"/>
  <c r="R1459" i="5"/>
  <c r="Q1459" i="5"/>
  <c r="P1459" i="5"/>
  <c r="O1459" i="5"/>
  <c r="N1459" i="5"/>
  <c r="M1459" i="5"/>
  <c r="L1459" i="5"/>
  <c r="AD1458" i="5"/>
  <c r="AC1458" i="5"/>
  <c r="AB1458" i="5"/>
  <c r="AA1458" i="5"/>
  <c r="Z1458" i="5"/>
  <c r="Y1458" i="5"/>
  <c r="X1458" i="5"/>
  <c r="W1458" i="5"/>
  <c r="V1458" i="5"/>
  <c r="U1458" i="5"/>
  <c r="T1458" i="5"/>
  <c r="S1458" i="5"/>
  <c r="R1458" i="5"/>
  <c r="Q1458" i="5"/>
  <c r="P1458" i="5"/>
  <c r="O1458" i="5"/>
  <c r="N1458" i="5"/>
  <c r="M1458" i="5"/>
  <c r="L1458" i="5"/>
  <c r="AD1457" i="5"/>
  <c r="AC1457" i="5"/>
  <c r="AB1457" i="5"/>
  <c r="AA1457" i="5"/>
  <c r="Z1457" i="5"/>
  <c r="Y1457" i="5"/>
  <c r="X1457" i="5"/>
  <c r="W1457" i="5"/>
  <c r="V1457" i="5"/>
  <c r="U1457" i="5"/>
  <c r="T1457" i="5"/>
  <c r="S1457" i="5"/>
  <c r="R1457" i="5"/>
  <c r="Q1457" i="5"/>
  <c r="P1457" i="5"/>
  <c r="O1457" i="5"/>
  <c r="N1457" i="5"/>
  <c r="M1457" i="5"/>
  <c r="L1457" i="5"/>
  <c r="AD1456" i="5"/>
  <c r="AC1456" i="5"/>
  <c r="AB1456" i="5"/>
  <c r="AA1456" i="5"/>
  <c r="Z1456" i="5"/>
  <c r="Y1456" i="5"/>
  <c r="X1456" i="5"/>
  <c r="W1456" i="5"/>
  <c r="V1456" i="5"/>
  <c r="U1456" i="5"/>
  <c r="T1456" i="5"/>
  <c r="S1456" i="5"/>
  <c r="R1456" i="5"/>
  <c r="Q1456" i="5"/>
  <c r="P1456" i="5"/>
  <c r="O1456" i="5"/>
  <c r="N1456" i="5"/>
  <c r="M1456" i="5"/>
  <c r="L1456" i="5"/>
  <c r="AD1455" i="5"/>
  <c r="AC1455" i="5"/>
  <c r="AB1455" i="5"/>
  <c r="AA1455" i="5"/>
  <c r="Z1455" i="5"/>
  <c r="Y1455" i="5"/>
  <c r="X1455" i="5"/>
  <c r="W1455" i="5"/>
  <c r="V1455" i="5"/>
  <c r="U1455" i="5"/>
  <c r="T1455" i="5"/>
  <c r="S1455" i="5"/>
  <c r="R1455" i="5"/>
  <c r="Q1455" i="5"/>
  <c r="P1455" i="5"/>
  <c r="O1455" i="5"/>
  <c r="N1455" i="5"/>
  <c r="M1455" i="5"/>
  <c r="L1455" i="5"/>
  <c r="AD1454" i="5"/>
  <c r="AC1454" i="5"/>
  <c r="AB1454" i="5"/>
  <c r="AA1454" i="5"/>
  <c r="Z1454" i="5"/>
  <c r="Y1454" i="5"/>
  <c r="X1454" i="5"/>
  <c r="W1454" i="5"/>
  <c r="V1454" i="5"/>
  <c r="U1454" i="5"/>
  <c r="T1454" i="5"/>
  <c r="S1454" i="5"/>
  <c r="R1454" i="5"/>
  <c r="Q1454" i="5"/>
  <c r="P1454" i="5"/>
  <c r="O1454" i="5"/>
  <c r="N1454" i="5"/>
  <c r="M1454" i="5"/>
  <c r="L1454" i="5"/>
  <c r="AD1453" i="5"/>
  <c r="AC1453" i="5"/>
  <c r="AB1453" i="5"/>
  <c r="AA1453" i="5"/>
  <c r="Z1453" i="5"/>
  <c r="Y1453" i="5"/>
  <c r="X1453" i="5"/>
  <c r="W1453" i="5"/>
  <c r="V1453" i="5"/>
  <c r="U1453" i="5"/>
  <c r="T1453" i="5"/>
  <c r="S1453" i="5"/>
  <c r="R1453" i="5"/>
  <c r="Q1453" i="5"/>
  <c r="P1453" i="5"/>
  <c r="O1453" i="5"/>
  <c r="N1453" i="5"/>
  <c r="M1453" i="5"/>
  <c r="L1453" i="5"/>
  <c r="AD1452" i="5"/>
  <c r="AC1452" i="5"/>
  <c r="AB1452" i="5"/>
  <c r="AA1452" i="5"/>
  <c r="Z1452" i="5"/>
  <c r="Y1452" i="5"/>
  <c r="X1452" i="5"/>
  <c r="W1452" i="5"/>
  <c r="V1452" i="5"/>
  <c r="U1452" i="5"/>
  <c r="T1452" i="5"/>
  <c r="S1452" i="5"/>
  <c r="R1452" i="5"/>
  <c r="Q1452" i="5"/>
  <c r="P1452" i="5"/>
  <c r="O1452" i="5"/>
  <c r="N1452" i="5"/>
  <c r="M1452" i="5"/>
  <c r="L1452" i="5"/>
  <c r="AD1451" i="5"/>
  <c r="AC1451" i="5"/>
  <c r="AB1451" i="5"/>
  <c r="AA1451" i="5"/>
  <c r="Z1451" i="5"/>
  <c r="Y1451" i="5"/>
  <c r="X1451" i="5"/>
  <c r="W1451" i="5"/>
  <c r="V1451" i="5"/>
  <c r="U1451" i="5"/>
  <c r="T1451" i="5"/>
  <c r="S1451" i="5"/>
  <c r="R1451" i="5"/>
  <c r="Q1451" i="5"/>
  <c r="P1451" i="5"/>
  <c r="O1451" i="5"/>
  <c r="N1451" i="5"/>
  <c r="M1451" i="5"/>
  <c r="L1451" i="5"/>
  <c r="AD1450" i="5"/>
  <c r="AC1450" i="5"/>
  <c r="AB1450" i="5"/>
  <c r="AA1450" i="5"/>
  <c r="Z1450" i="5"/>
  <c r="Y1450" i="5"/>
  <c r="X1450" i="5"/>
  <c r="W1450" i="5"/>
  <c r="V1450" i="5"/>
  <c r="U1450" i="5"/>
  <c r="T1450" i="5"/>
  <c r="S1450" i="5"/>
  <c r="R1450" i="5"/>
  <c r="Q1450" i="5"/>
  <c r="P1450" i="5"/>
  <c r="O1450" i="5"/>
  <c r="N1450" i="5"/>
  <c r="M1450" i="5"/>
  <c r="L1450" i="5"/>
  <c r="AD1449" i="5"/>
  <c r="AC1449" i="5"/>
  <c r="AB1449" i="5"/>
  <c r="AA1449" i="5"/>
  <c r="Z1449" i="5"/>
  <c r="Y1449" i="5"/>
  <c r="X1449" i="5"/>
  <c r="W1449" i="5"/>
  <c r="V1449" i="5"/>
  <c r="U1449" i="5"/>
  <c r="T1449" i="5"/>
  <c r="S1449" i="5"/>
  <c r="R1449" i="5"/>
  <c r="Q1449" i="5"/>
  <c r="P1449" i="5"/>
  <c r="O1449" i="5"/>
  <c r="N1449" i="5"/>
  <c r="M1449" i="5"/>
  <c r="L1449" i="5"/>
  <c r="AD1448" i="5"/>
  <c r="AC1448" i="5"/>
  <c r="AB1448" i="5"/>
  <c r="AA1448" i="5"/>
  <c r="Z1448" i="5"/>
  <c r="Y1448" i="5"/>
  <c r="X1448" i="5"/>
  <c r="W1448" i="5"/>
  <c r="V1448" i="5"/>
  <c r="U1448" i="5"/>
  <c r="T1448" i="5"/>
  <c r="S1448" i="5"/>
  <c r="R1448" i="5"/>
  <c r="Q1448" i="5"/>
  <c r="P1448" i="5"/>
  <c r="O1448" i="5"/>
  <c r="N1448" i="5"/>
  <c r="M1448" i="5"/>
  <c r="L1448" i="5"/>
  <c r="AD1447" i="5"/>
  <c r="AC1447" i="5"/>
  <c r="AB1447" i="5"/>
  <c r="AA1447" i="5"/>
  <c r="Z1447" i="5"/>
  <c r="Y1447" i="5"/>
  <c r="X1447" i="5"/>
  <c r="W1447" i="5"/>
  <c r="V1447" i="5"/>
  <c r="U1447" i="5"/>
  <c r="T1447" i="5"/>
  <c r="S1447" i="5"/>
  <c r="R1447" i="5"/>
  <c r="Q1447" i="5"/>
  <c r="P1447" i="5"/>
  <c r="O1447" i="5"/>
  <c r="N1447" i="5"/>
  <c r="M1447" i="5"/>
  <c r="L1447" i="5"/>
  <c r="AD1446" i="5"/>
  <c r="AC1446" i="5"/>
  <c r="AB1446" i="5"/>
  <c r="AA1446" i="5"/>
  <c r="Z1446" i="5"/>
  <c r="Y1446" i="5"/>
  <c r="X1446" i="5"/>
  <c r="W1446" i="5"/>
  <c r="V1446" i="5"/>
  <c r="U1446" i="5"/>
  <c r="T1446" i="5"/>
  <c r="S1446" i="5"/>
  <c r="R1446" i="5"/>
  <c r="Q1446" i="5"/>
  <c r="P1446" i="5"/>
  <c r="O1446" i="5"/>
  <c r="N1446" i="5"/>
  <c r="M1446" i="5"/>
  <c r="L1446" i="5"/>
  <c r="AD1445" i="5"/>
  <c r="AC1445" i="5"/>
  <c r="AB1445" i="5"/>
  <c r="AA1445" i="5"/>
  <c r="Z1445" i="5"/>
  <c r="Y1445" i="5"/>
  <c r="X1445" i="5"/>
  <c r="W1445" i="5"/>
  <c r="V1445" i="5"/>
  <c r="U1445" i="5"/>
  <c r="T1445" i="5"/>
  <c r="S1445" i="5"/>
  <c r="R1445" i="5"/>
  <c r="Q1445" i="5"/>
  <c r="P1445" i="5"/>
  <c r="O1445" i="5"/>
  <c r="N1445" i="5"/>
  <c r="M1445" i="5"/>
  <c r="L1445" i="5"/>
  <c r="AD1444" i="5"/>
  <c r="AC1444" i="5"/>
  <c r="AB1444" i="5"/>
  <c r="AA1444" i="5"/>
  <c r="Z1444" i="5"/>
  <c r="Y1444" i="5"/>
  <c r="X1444" i="5"/>
  <c r="W1444" i="5"/>
  <c r="V1444" i="5"/>
  <c r="U1444" i="5"/>
  <c r="T1444" i="5"/>
  <c r="S1444" i="5"/>
  <c r="R1444" i="5"/>
  <c r="Q1444" i="5"/>
  <c r="P1444" i="5"/>
  <c r="O1444" i="5"/>
  <c r="N1444" i="5"/>
  <c r="M1444" i="5"/>
  <c r="L1444" i="5"/>
  <c r="AD1443" i="5"/>
  <c r="AC1443" i="5"/>
  <c r="AB1443" i="5"/>
  <c r="AA1443" i="5"/>
  <c r="Z1443" i="5"/>
  <c r="Y1443" i="5"/>
  <c r="X1443" i="5"/>
  <c r="W1443" i="5"/>
  <c r="V1443" i="5"/>
  <c r="U1443" i="5"/>
  <c r="T1443" i="5"/>
  <c r="S1443" i="5"/>
  <c r="R1443" i="5"/>
  <c r="Q1443" i="5"/>
  <c r="P1443" i="5"/>
  <c r="O1443" i="5"/>
  <c r="N1443" i="5"/>
  <c r="M1443" i="5"/>
  <c r="L1443" i="5"/>
  <c r="AD1442" i="5"/>
  <c r="AC1442" i="5"/>
  <c r="AB1442" i="5"/>
  <c r="AA1442" i="5"/>
  <c r="Z1442" i="5"/>
  <c r="Y1442" i="5"/>
  <c r="X1442" i="5"/>
  <c r="W1442" i="5"/>
  <c r="V1442" i="5"/>
  <c r="U1442" i="5"/>
  <c r="T1442" i="5"/>
  <c r="S1442" i="5"/>
  <c r="R1442" i="5"/>
  <c r="Q1442" i="5"/>
  <c r="P1442" i="5"/>
  <c r="O1442" i="5"/>
  <c r="N1442" i="5"/>
  <c r="M1442" i="5"/>
  <c r="L1442" i="5"/>
  <c r="AD1441" i="5"/>
  <c r="AC1441" i="5"/>
  <c r="AB1441" i="5"/>
  <c r="AA1441" i="5"/>
  <c r="Z1441" i="5"/>
  <c r="Y1441" i="5"/>
  <c r="X1441" i="5"/>
  <c r="W1441" i="5"/>
  <c r="V1441" i="5"/>
  <c r="U1441" i="5"/>
  <c r="T1441" i="5"/>
  <c r="S1441" i="5"/>
  <c r="R1441" i="5"/>
  <c r="Q1441" i="5"/>
  <c r="P1441" i="5"/>
  <c r="O1441" i="5"/>
  <c r="N1441" i="5"/>
  <c r="M1441" i="5"/>
  <c r="L1441" i="5"/>
  <c r="AD1440" i="5"/>
  <c r="AC1440" i="5"/>
  <c r="AB1440" i="5"/>
  <c r="AA1440" i="5"/>
  <c r="Z1440" i="5"/>
  <c r="Y1440" i="5"/>
  <c r="X1440" i="5"/>
  <c r="W1440" i="5"/>
  <c r="V1440" i="5"/>
  <c r="U1440" i="5"/>
  <c r="T1440" i="5"/>
  <c r="S1440" i="5"/>
  <c r="R1440" i="5"/>
  <c r="Q1440" i="5"/>
  <c r="P1440" i="5"/>
  <c r="O1440" i="5"/>
  <c r="N1440" i="5"/>
  <c r="M1440" i="5"/>
  <c r="L1440" i="5"/>
  <c r="AD1439" i="5"/>
  <c r="AC1439" i="5"/>
  <c r="AB1439" i="5"/>
  <c r="AA1439" i="5"/>
  <c r="Z1439" i="5"/>
  <c r="Y1439" i="5"/>
  <c r="X1439" i="5"/>
  <c r="W1439" i="5"/>
  <c r="V1439" i="5"/>
  <c r="U1439" i="5"/>
  <c r="T1439" i="5"/>
  <c r="S1439" i="5"/>
  <c r="R1439" i="5"/>
  <c r="Q1439" i="5"/>
  <c r="P1439" i="5"/>
  <c r="O1439" i="5"/>
  <c r="N1439" i="5"/>
  <c r="M1439" i="5"/>
  <c r="L1439" i="5"/>
  <c r="AD1438" i="5"/>
  <c r="AC1438" i="5"/>
  <c r="AB1438" i="5"/>
  <c r="AA1438" i="5"/>
  <c r="Z1438" i="5"/>
  <c r="Y1438" i="5"/>
  <c r="X1438" i="5"/>
  <c r="W1438" i="5"/>
  <c r="V1438" i="5"/>
  <c r="U1438" i="5"/>
  <c r="T1438" i="5"/>
  <c r="S1438" i="5"/>
  <c r="R1438" i="5"/>
  <c r="Q1438" i="5"/>
  <c r="P1438" i="5"/>
  <c r="O1438" i="5"/>
  <c r="N1438" i="5"/>
  <c r="M1438" i="5"/>
  <c r="L1438" i="5"/>
  <c r="AD1437" i="5"/>
  <c r="AC1437" i="5"/>
  <c r="AB1437" i="5"/>
  <c r="AA1437" i="5"/>
  <c r="Z1437" i="5"/>
  <c r="Y1437" i="5"/>
  <c r="X1437" i="5"/>
  <c r="W1437" i="5"/>
  <c r="V1437" i="5"/>
  <c r="U1437" i="5"/>
  <c r="T1437" i="5"/>
  <c r="S1437" i="5"/>
  <c r="R1437" i="5"/>
  <c r="Q1437" i="5"/>
  <c r="P1437" i="5"/>
  <c r="O1437" i="5"/>
  <c r="N1437" i="5"/>
  <c r="M1437" i="5"/>
  <c r="L1437" i="5"/>
  <c r="AD1436" i="5"/>
  <c r="AC1436" i="5"/>
  <c r="AB1436" i="5"/>
  <c r="AA1436" i="5"/>
  <c r="Z1436" i="5"/>
  <c r="Y1436" i="5"/>
  <c r="X1436" i="5"/>
  <c r="W1436" i="5"/>
  <c r="V1436" i="5"/>
  <c r="U1436" i="5"/>
  <c r="T1436" i="5"/>
  <c r="S1436" i="5"/>
  <c r="R1436" i="5"/>
  <c r="Q1436" i="5"/>
  <c r="P1436" i="5"/>
  <c r="O1436" i="5"/>
  <c r="N1436" i="5"/>
  <c r="M1436" i="5"/>
  <c r="L1436" i="5"/>
  <c r="AD1435" i="5"/>
  <c r="AC1435" i="5"/>
  <c r="AB1435" i="5"/>
  <c r="AA1435" i="5"/>
  <c r="Z1435" i="5"/>
  <c r="Y1435" i="5"/>
  <c r="X1435" i="5"/>
  <c r="W1435" i="5"/>
  <c r="V1435" i="5"/>
  <c r="U1435" i="5"/>
  <c r="T1435" i="5"/>
  <c r="S1435" i="5"/>
  <c r="R1435" i="5"/>
  <c r="Q1435" i="5"/>
  <c r="P1435" i="5"/>
  <c r="O1435" i="5"/>
  <c r="N1435" i="5"/>
  <c r="M1435" i="5"/>
  <c r="L1435" i="5"/>
  <c r="AD1434" i="5"/>
  <c r="AC1434" i="5"/>
  <c r="AB1434" i="5"/>
  <c r="AA1434" i="5"/>
  <c r="Z1434" i="5"/>
  <c r="Y1434" i="5"/>
  <c r="X1434" i="5"/>
  <c r="W1434" i="5"/>
  <c r="V1434" i="5"/>
  <c r="U1434" i="5"/>
  <c r="T1434" i="5"/>
  <c r="S1434" i="5"/>
  <c r="R1434" i="5"/>
  <c r="Q1434" i="5"/>
  <c r="P1434" i="5"/>
  <c r="O1434" i="5"/>
  <c r="N1434" i="5"/>
  <c r="M1434" i="5"/>
  <c r="L1434" i="5"/>
  <c r="AD1433" i="5"/>
  <c r="AC1433" i="5"/>
  <c r="AB1433" i="5"/>
  <c r="AA1433" i="5"/>
  <c r="Z1433" i="5"/>
  <c r="Y1433" i="5"/>
  <c r="X1433" i="5"/>
  <c r="W1433" i="5"/>
  <c r="V1433" i="5"/>
  <c r="U1433" i="5"/>
  <c r="T1433" i="5"/>
  <c r="S1433" i="5"/>
  <c r="R1433" i="5"/>
  <c r="Q1433" i="5"/>
  <c r="P1433" i="5"/>
  <c r="O1433" i="5"/>
  <c r="N1433" i="5"/>
  <c r="M1433" i="5"/>
  <c r="L1433" i="5"/>
  <c r="AD1432" i="5"/>
  <c r="AC1432" i="5"/>
  <c r="AB1432" i="5"/>
  <c r="AA1432" i="5"/>
  <c r="Z1432" i="5"/>
  <c r="Y1432" i="5"/>
  <c r="X1432" i="5"/>
  <c r="W1432" i="5"/>
  <c r="V1432" i="5"/>
  <c r="U1432" i="5"/>
  <c r="T1432" i="5"/>
  <c r="S1432" i="5"/>
  <c r="R1432" i="5"/>
  <c r="Q1432" i="5"/>
  <c r="P1432" i="5"/>
  <c r="O1432" i="5"/>
  <c r="N1432" i="5"/>
  <c r="M1432" i="5"/>
  <c r="L1432" i="5"/>
  <c r="AD1431" i="5"/>
  <c r="AC1431" i="5"/>
  <c r="AB1431" i="5"/>
  <c r="AA1431" i="5"/>
  <c r="Z1431" i="5"/>
  <c r="Y1431" i="5"/>
  <c r="X1431" i="5"/>
  <c r="W1431" i="5"/>
  <c r="V1431" i="5"/>
  <c r="U1431" i="5"/>
  <c r="T1431" i="5"/>
  <c r="S1431" i="5"/>
  <c r="R1431" i="5"/>
  <c r="Q1431" i="5"/>
  <c r="P1431" i="5"/>
  <c r="O1431" i="5"/>
  <c r="N1431" i="5"/>
  <c r="M1431" i="5"/>
  <c r="L1431" i="5"/>
  <c r="AD1430" i="5"/>
  <c r="AC1430" i="5"/>
  <c r="AB1430" i="5"/>
  <c r="AA1430" i="5"/>
  <c r="Z1430" i="5"/>
  <c r="Y1430" i="5"/>
  <c r="X1430" i="5"/>
  <c r="W1430" i="5"/>
  <c r="V1430" i="5"/>
  <c r="U1430" i="5"/>
  <c r="T1430" i="5"/>
  <c r="S1430" i="5"/>
  <c r="R1430" i="5"/>
  <c r="Q1430" i="5"/>
  <c r="P1430" i="5"/>
  <c r="O1430" i="5"/>
  <c r="N1430" i="5"/>
  <c r="M1430" i="5"/>
  <c r="L1430" i="5"/>
  <c r="AD1429" i="5"/>
  <c r="AC1429" i="5"/>
  <c r="AB1429" i="5"/>
  <c r="AA1429" i="5"/>
  <c r="Z1429" i="5"/>
  <c r="Y1429" i="5"/>
  <c r="X1429" i="5"/>
  <c r="W1429" i="5"/>
  <c r="V1429" i="5"/>
  <c r="U1429" i="5"/>
  <c r="T1429" i="5"/>
  <c r="S1429" i="5"/>
  <c r="R1429" i="5"/>
  <c r="Q1429" i="5"/>
  <c r="P1429" i="5"/>
  <c r="O1429" i="5"/>
  <c r="N1429" i="5"/>
  <c r="M1429" i="5"/>
  <c r="L1429" i="5"/>
  <c r="AD1428" i="5"/>
  <c r="AC1428" i="5"/>
  <c r="AB1428" i="5"/>
  <c r="AA1428" i="5"/>
  <c r="Z1428" i="5"/>
  <c r="Y1428" i="5"/>
  <c r="X1428" i="5"/>
  <c r="W1428" i="5"/>
  <c r="V1428" i="5"/>
  <c r="U1428" i="5"/>
  <c r="T1428" i="5"/>
  <c r="S1428" i="5"/>
  <c r="R1428" i="5"/>
  <c r="Q1428" i="5"/>
  <c r="P1428" i="5"/>
  <c r="O1428" i="5"/>
  <c r="N1428" i="5"/>
  <c r="M1428" i="5"/>
  <c r="L1428" i="5"/>
  <c r="AD1427" i="5"/>
  <c r="AC1427" i="5"/>
  <c r="AB1427" i="5"/>
  <c r="AA1427" i="5"/>
  <c r="Z1427" i="5"/>
  <c r="Y1427" i="5"/>
  <c r="X1427" i="5"/>
  <c r="W1427" i="5"/>
  <c r="V1427" i="5"/>
  <c r="U1427" i="5"/>
  <c r="T1427" i="5"/>
  <c r="S1427" i="5"/>
  <c r="R1427" i="5"/>
  <c r="Q1427" i="5"/>
  <c r="P1427" i="5"/>
  <c r="O1427" i="5"/>
  <c r="N1427" i="5"/>
  <c r="M1427" i="5"/>
  <c r="L1427" i="5"/>
  <c r="AD1426" i="5"/>
  <c r="AC1426" i="5"/>
  <c r="AB1426" i="5"/>
  <c r="AA1426" i="5"/>
  <c r="Z1426" i="5"/>
  <c r="Y1426" i="5"/>
  <c r="X1426" i="5"/>
  <c r="W1426" i="5"/>
  <c r="V1426" i="5"/>
  <c r="U1426" i="5"/>
  <c r="T1426" i="5"/>
  <c r="S1426" i="5"/>
  <c r="R1426" i="5"/>
  <c r="Q1426" i="5"/>
  <c r="P1426" i="5"/>
  <c r="O1426" i="5"/>
  <c r="N1426" i="5"/>
  <c r="M1426" i="5"/>
  <c r="L1426" i="5"/>
  <c r="AD1425" i="5"/>
  <c r="AC1425" i="5"/>
  <c r="AB1425" i="5"/>
  <c r="AA1425" i="5"/>
  <c r="Z1425" i="5"/>
  <c r="Y1425" i="5"/>
  <c r="X1425" i="5"/>
  <c r="W1425" i="5"/>
  <c r="V1425" i="5"/>
  <c r="U1425" i="5"/>
  <c r="T1425" i="5"/>
  <c r="S1425" i="5"/>
  <c r="R1425" i="5"/>
  <c r="Q1425" i="5"/>
  <c r="P1425" i="5"/>
  <c r="O1425" i="5"/>
  <c r="N1425" i="5"/>
  <c r="M1425" i="5"/>
  <c r="L1425" i="5"/>
  <c r="AD1424" i="5"/>
  <c r="AC1424" i="5"/>
  <c r="AB1424" i="5"/>
  <c r="AA1424" i="5"/>
  <c r="Z1424" i="5"/>
  <c r="Y1424" i="5"/>
  <c r="X1424" i="5"/>
  <c r="W1424" i="5"/>
  <c r="V1424" i="5"/>
  <c r="U1424" i="5"/>
  <c r="T1424" i="5"/>
  <c r="S1424" i="5"/>
  <c r="R1424" i="5"/>
  <c r="Q1424" i="5"/>
  <c r="P1424" i="5"/>
  <c r="O1424" i="5"/>
  <c r="N1424" i="5"/>
  <c r="M1424" i="5"/>
  <c r="L1424" i="5"/>
  <c r="AD1423" i="5"/>
  <c r="AC1423" i="5"/>
  <c r="AB1423" i="5"/>
  <c r="AA1423" i="5"/>
  <c r="Z1423" i="5"/>
  <c r="Y1423" i="5"/>
  <c r="X1423" i="5"/>
  <c r="W1423" i="5"/>
  <c r="V1423" i="5"/>
  <c r="U1423" i="5"/>
  <c r="T1423" i="5"/>
  <c r="S1423" i="5"/>
  <c r="R1423" i="5"/>
  <c r="Q1423" i="5"/>
  <c r="P1423" i="5"/>
  <c r="O1423" i="5"/>
  <c r="N1423" i="5"/>
  <c r="M1423" i="5"/>
  <c r="L1423" i="5"/>
  <c r="AD1422" i="5"/>
  <c r="AC1422" i="5"/>
  <c r="AB1422" i="5"/>
  <c r="AA1422" i="5"/>
  <c r="Z1422" i="5"/>
  <c r="Y1422" i="5"/>
  <c r="X1422" i="5"/>
  <c r="W1422" i="5"/>
  <c r="V1422" i="5"/>
  <c r="U1422" i="5"/>
  <c r="T1422" i="5"/>
  <c r="S1422" i="5"/>
  <c r="R1422" i="5"/>
  <c r="Q1422" i="5"/>
  <c r="P1422" i="5"/>
  <c r="O1422" i="5"/>
  <c r="N1422" i="5"/>
  <c r="M1422" i="5"/>
  <c r="L1422" i="5"/>
  <c r="AD1421" i="5"/>
  <c r="AC1421" i="5"/>
  <c r="AB1421" i="5"/>
  <c r="AA1421" i="5"/>
  <c r="Z1421" i="5"/>
  <c r="Y1421" i="5"/>
  <c r="X1421" i="5"/>
  <c r="W1421" i="5"/>
  <c r="V1421" i="5"/>
  <c r="U1421" i="5"/>
  <c r="T1421" i="5"/>
  <c r="S1421" i="5"/>
  <c r="R1421" i="5"/>
  <c r="Q1421" i="5"/>
  <c r="P1421" i="5"/>
  <c r="O1421" i="5"/>
  <c r="N1421" i="5"/>
  <c r="M1421" i="5"/>
  <c r="L1421" i="5"/>
  <c r="AD1420" i="5"/>
  <c r="AC1420" i="5"/>
  <c r="AB1420" i="5"/>
  <c r="AA1420" i="5"/>
  <c r="Z1420" i="5"/>
  <c r="Y1420" i="5"/>
  <c r="X1420" i="5"/>
  <c r="W1420" i="5"/>
  <c r="V1420" i="5"/>
  <c r="U1420" i="5"/>
  <c r="T1420" i="5"/>
  <c r="S1420" i="5"/>
  <c r="R1420" i="5"/>
  <c r="Q1420" i="5"/>
  <c r="P1420" i="5"/>
  <c r="O1420" i="5"/>
  <c r="N1420" i="5"/>
  <c r="M1420" i="5"/>
  <c r="L1420" i="5"/>
  <c r="AD1419" i="5"/>
  <c r="AC1419" i="5"/>
  <c r="AB1419" i="5"/>
  <c r="AA1419" i="5"/>
  <c r="Z1419" i="5"/>
  <c r="Y1419" i="5"/>
  <c r="X1419" i="5"/>
  <c r="W1419" i="5"/>
  <c r="V1419" i="5"/>
  <c r="U1419" i="5"/>
  <c r="T1419" i="5"/>
  <c r="S1419" i="5"/>
  <c r="R1419" i="5"/>
  <c r="Q1419" i="5"/>
  <c r="P1419" i="5"/>
  <c r="O1419" i="5"/>
  <c r="N1419" i="5"/>
  <c r="M1419" i="5"/>
  <c r="L1419" i="5"/>
  <c r="AD1418" i="5"/>
  <c r="AC1418" i="5"/>
  <c r="AB1418" i="5"/>
  <c r="AA1418" i="5"/>
  <c r="Z1418" i="5"/>
  <c r="Y1418" i="5"/>
  <c r="X1418" i="5"/>
  <c r="W1418" i="5"/>
  <c r="V1418" i="5"/>
  <c r="U1418" i="5"/>
  <c r="T1418" i="5"/>
  <c r="S1418" i="5"/>
  <c r="R1418" i="5"/>
  <c r="Q1418" i="5"/>
  <c r="P1418" i="5"/>
  <c r="O1418" i="5"/>
  <c r="N1418" i="5"/>
  <c r="M1418" i="5"/>
  <c r="L1418" i="5"/>
  <c r="AD1417" i="5"/>
  <c r="AC1417" i="5"/>
  <c r="AB1417" i="5"/>
  <c r="AA1417" i="5"/>
  <c r="Z1417" i="5"/>
  <c r="Y1417" i="5"/>
  <c r="X1417" i="5"/>
  <c r="W1417" i="5"/>
  <c r="V1417" i="5"/>
  <c r="U1417" i="5"/>
  <c r="T1417" i="5"/>
  <c r="S1417" i="5"/>
  <c r="R1417" i="5"/>
  <c r="Q1417" i="5"/>
  <c r="P1417" i="5"/>
  <c r="O1417" i="5"/>
  <c r="N1417" i="5"/>
  <c r="M1417" i="5"/>
  <c r="L1417" i="5"/>
  <c r="AD1416" i="5"/>
  <c r="AC1416" i="5"/>
  <c r="AB1416" i="5"/>
  <c r="AA1416" i="5"/>
  <c r="Z1416" i="5"/>
  <c r="Y1416" i="5"/>
  <c r="X1416" i="5"/>
  <c r="W1416" i="5"/>
  <c r="V1416" i="5"/>
  <c r="U1416" i="5"/>
  <c r="T1416" i="5"/>
  <c r="S1416" i="5"/>
  <c r="R1416" i="5"/>
  <c r="Q1416" i="5"/>
  <c r="P1416" i="5"/>
  <c r="O1416" i="5"/>
  <c r="N1416" i="5"/>
  <c r="M1416" i="5"/>
  <c r="L1416" i="5"/>
  <c r="AD1415" i="5"/>
  <c r="AC1415" i="5"/>
  <c r="AB1415" i="5"/>
  <c r="AA1415" i="5"/>
  <c r="Z1415" i="5"/>
  <c r="Y1415" i="5"/>
  <c r="X1415" i="5"/>
  <c r="W1415" i="5"/>
  <c r="V1415" i="5"/>
  <c r="U1415" i="5"/>
  <c r="T1415" i="5"/>
  <c r="S1415" i="5"/>
  <c r="R1415" i="5"/>
  <c r="Q1415" i="5"/>
  <c r="P1415" i="5"/>
  <c r="O1415" i="5"/>
  <c r="N1415" i="5"/>
  <c r="M1415" i="5"/>
  <c r="L1415" i="5"/>
  <c r="AD1414" i="5"/>
  <c r="AC1414" i="5"/>
  <c r="AB1414" i="5"/>
  <c r="AA1414" i="5"/>
  <c r="Z1414" i="5"/>
  <c r="Y1414" i="5"/>
  <c r="X1414" i="5"/>
  <c r="W1414" i="5"/>
  <c r="V1414" i="5"/>
  <c r="U1414" i="5"/>
  <c r="T1414" i="5"/>
  <c r="S1414" i="5"/>
  <c r="R1414" i="5"/>
  <c r="Q1414" i="5"/>
  <c r="P1414" i="5"/>
  <c r="O1414" i="5"/>
  <c r="N1414" i="5"/>
  <c r="M1414" i="5"/>
  <c r="L1414" i="5"/>
  <c r="AD1413" i="5"/>
  <c r="AC1413" i="5"/>
  <c r="AB1413" i="5"/>
  <c r="AA1413" i="5"/>
  <c r="Z1413" i="5"/>
  <c r="Y1413" i="5"/>
  <c r="X1413" i="5"/>
  <c r="W1413" i="5"/>
  <c r="V1413" i="5"/>
  <c r="U1413" i="5"/>
  <c r="T1413" i="5"/>
  <c r="S1413" i="5"/>
  <c r="R1413" i="5"/>
  <c r="Q1413" i="5"/>
  <c r="P1413" i="5"/>
  <c r="O1413" i="5"/>
  <c r="N1413" i="5"/>
  <c r="M1413" i="5"/>
  <c r="L1413" i="5"/>
  <c r="AD1412" i="5"/>
  <c r="AC1412" i="5"/>
  <c r="AB1412" i="5"/>
  <c r="AA1412" i="5"/>
  <c r="Z1412" i="5"/>
  <c r="Y1412" i="5"/>
  <c r="X1412" i="5"/>
  <c r="W1412" i="5"/>
  <c r="V1412" i="5"/>
  <c r="U1412" i="5"/>
  <c r="T1412" i="5"/>
  <c r="S1412" i="5"/>
  <c r="R1412" i="5"/>
  <c r="Q1412" i="5"/>
  <c r="P1412" i="5"/>
  <c r="O1412" i="5"/>
  <c r="N1412" i="5"/>
  <c r="M1412" i="5"/>
  <c r="L1412" i="5"/>
  <c r="AD1411" i="5"/>
  <c r="AC1411" i="5"/>
  <c r="AB1411" i="5"/>
  <c r="AA1411" i="5"/>
  <c r="Z1411" i="5"/>
  <c r="Y1411" i="5"/>
  <c r="X1411" i="5"/>
  <c r="W1411" i="5"/>
  <c r="V1411" i="5"/>
  <c r="U1411" i="5"/>
  <c r="T1411" i="5"/>
  <c r="S1411" i="5"/>
  <c r="R1411" i="5"/>
  <c r="Q1411" i="5"/>
  <c r="P1411" i="5"/>
  <c r="O1411" i="5"/>
  <c r="N1411" i="5"/>
  <c r="M1411" i="5"/>
  <c r="L1411" i="5"/>
  <c r="AD1410" i="5"/>
  <c r="AC1410" i="5"/>
  <c r="AB1410" i="5"/>
  <c r="AA1410" i="5"/>
  <c r="Z1410" i="5"/>
  <c r="Y1410" i="5"/>
  <c r="X1410" i="5"/>
  <c r="W1410" i="5"/>
  <c r="V1410" i="5"/>
  <c r="U1410" i="5"/>
  <c r="T1410" i="5"/>
  <c r="S1410" i="5"/>
  <c r="R1410" i="5"/>
  <c r="Q1410" i="5"/>
  <c r="P1410" i="5"/>
  <c r="O1410" i="5"/>
  <c r="N1410" i="5"/>
  <c r="M1410" i="5"/>
  <c r="L1410" i="5"/>
  <c r="AD1409" i="5"/>
  <c r="AC1409" i="5"/>
  <c r="AB1409" i="5"/>
  <c r="AA1409" i="5"/>
  <c r="Z1409" i="5"/>
  <c r="Y1409" i="5"/>
  <c r="X1409" i="5"/>
  <c r="W1409" i="5"/>
  <c r="V1409" i="5"/>
  <c r="U1409" i="5"/>
  <c r="T1409" i="5"/>
  <c r="S1409" i="5"/>
  <c r="R1409" i="5"/>
  <c r="Q1409" i="5"/>
  <c r="P1409" i="5"/>
  <c r="O1409" i="5"/>
  <c r="N1409" i="5"/>
  <c r="M1409" i="5"/>
  <c r="L1409" i="5"/>
  <c r="AD1408" i="5"/>
  <c r="AC1408" i="5"/>
  <c r="AB1408" i="5"/>
  <c r="AA1408" i="5"/>
  <c r="Z1408" i="5"/>
  <c r="Y1408" i="5"/>
  <c r="X1408" i="5"/>
  <c r="W1408" i="5"/>
  <c r="V1408" i="5"/>
  <c r="U1408" i="5"/>
  <c r="T1408" i="5"/>
  <c r="S1408" i="5"/>
  <c r="R1408" i="5"/>
  <c r="Q1408" i="5"/>
  <c r="P1408" i="5"/>
  <c r="O1408" i="5"/>
  <c r="N1408" i="5"/>
  <c r="M1408" i="5"/>
  <c r="L1408" i="5"/>
  <c r="AD1407" i="5"/>
  <c r="AC1407" i="5"/>
  <c r="AB1407" i="5"/>
  <c r="AA1407" i="5"/>
  <c r="Z1407" i="5"/>
  <c r="Y1407" i="5"/>
  <c r="X1407" i="5"/>
  <c r="W1407" i="5"/>
  <c r="V1407" i="5"/>
  <c r="U1407" i="5"/>
  <c r="T1407" i="5"/>
  <c r="S1407" i="5"/>
  <c r="R1407" i="5"/>
  <c r="Q1407" i="5"/>
  <c r="P1407" i="5"/>
  <c r="O1407" i="5"/>
  <c r="N1407" i="5"/>
  <c r="M1407" i="5"/>
  <c r="L1407" i="5"/>
  <c r="AD1406" i="5"/>
  <c r="AC1406" i="5"/>
  <c r="AB1406" i="5"/>
  <c r="AA1406" i="5"/>
  <c r="Z1406" i="5"/>
  <c r="Y1406" i="5"/>
  <c r="X1406" i="5"/>
  <c r="W1406" i="5"/>
  <c r="V1406" i="5"/>
  <c r="U1406" i="5"/>
  <c r="T1406" i="5"/>
  <c r="S1406" i="5"/>
  <c r="R1406" i="5"/>
  <c r="Q1406" i="5"/>
  <c r="P1406" i="5"/>
  <c r="O1406" i="5"/>
  <c r="N1406" i="5"/>
  <c r="M1406" i="5"/>
  <c r="L1406" i="5"/>
  <c r="AD1405" i="5"/>
  <c r="AC1405" i="5"/>
  <c r="AB1405" i="5"/>
  <c r="AA1405" i="5"/>
  <c r="Z1405" i="5"/>
  <c r="Y1405" i="5"/>
  <c r="X1405" i="5"/>
  <c r="W1405" i="5"/>
  <c r="V1405" i="5"/>
  <c r="U1405" i="5"/>
  <c r="T1405" i="5"/>
  <c r="S1405" i="5"/>
  <c r="R1405" i="5"/>
  <c r="Q1405" i="5"/>
  <c r="P1405" i="5"/>
  <c r="O1405" i="5"/>
  <c r="N1405" i="5"/>
  <c r="M1405" i="5"/>
  <c r="L1405" i="5"/>
  <c r="AD1404" i="5"/>
  <c r="AC1404" i="5"/>
  <c r="AB1404" i="5"/>
  <c r="AA1404" i="5"/>
  <c r="Z1404" i="5"/>
  <c r="Y1404" i="5"/>
  <c r="X1404" i="5"/>
  <c r="W1404" i="5"/>
  <c r="V1404" i="5"/>
  <c r="U1404" i="5"/>
  <c r="T1404" i="5"/>
  <c r="S1404" i="5"/>
  <c r="R1404" i="5"/>
  <c r="Q1404" i="5"/>
  <c r="P1404" i="5"/>
  <c r="O1404" i="5"/>
  <c r="N1404" i="5"/>
  <c r="M1404" i="5"/>
  <c r="L1404" i="5"/>
  <c r="AD1403" i="5"/>
  <c r="AC1403" i="5"/>
  <c r="AB1403" i="5"/>
  <c r="AA1403" i="5"/>
  <c r="Z1403" i="5"/>
  <c r="Y1403" i="5"/>
  <c r="X1403" i="5"/>
  <c r="W1403" i="5"/>
  <c r="V1403" i="5"/>
  <c r="U1403" i="5"/>
  <c r="T1403" i="5"/>
  <c r="S1403" i="5"/>
  <c r="R1403" i="5"/>
  <c r="Q1403" i="5"/>
  <c r="P1403" i="5"/>
  <c r="O1403" i="5"/>
  <c r="N1403" i="5"/>
  <c r="M1403" i="5"/>
  <c r="L1403" i="5"/>
  <c r="AD1402" i="5"/>
  <c r="AC1402" i="5"/>
  <c r="AB1402" i="5"/>
  <c r="AA1402" i="5"/>
  <c r="Z1402" i="5"/>
  <c r="Y1402" i="5"/>
  <c r="X1402" i="5"/>
  <c r="W1402" i="5"/>
  <c r="V1402" i="5"/>
  <c r="U1402" i="5"/>
  <c r="T1402" i="5"/>
  <c r="S1402" i="5"/>
  <c r="R1402" i="5"/>
  <c r="Q1402" i="5"/>
  <c r="P1402" i="5"/>
  <c r="O1402" i="5"/>
  <c r="N1402" i="5"/>
  <c r="M1402" i="5"/>
  <c r="L1402" i="5"/>
  <c r="AD1401" i="5"/>
  <c r="AC1401" i="5"/>
  <c r="AB1401" i="5"/>
  <c r="AA1401" i="5"/>
  <c r="Z1401" i="5"/>
  <c r="Y1401" i="5"/>
  <c r="X1401" i="5"/>
  <c r="W1401" i="5"/>
  <c r="V1401" i="5"/>
  <c r="U1401" i="5"/>
  <c r="T1401" i="5"/>
  <c r="S1401" i="5"/>
  <c r="R1401" i="5"/>
  <c r="Q1401" i="5"/>
  <c r="P1401" i="5"/>
  <c r="O1401" i="5"/>
  <c r="N1401" i="5"/>
  <c r="M1401" i="5"/>
  <c r="L1401" i="5"/>
  <c r="AD1400" i="5"/>
  <c r="AC1400" i="5"/>
  <c r="AB1400" i="5"/>
  <c r="AA1400" i="5"/>
  <c r="Z1400" i="5"/>
  <c r="Y1400" i="5"/>
  <c r="X1400" i="5"/>
  <c r="W1400" i="5"/>
  <c r="V1400" i="5"/>
  <c r="U1400" i="5"/>
  <c r="T1400" i="5"/>
  <c r="S1400" i="5"/>
  <c r="R1400" i="5"/>
  <c r="Q1400" i="5"/>
  <c r="P1400" i="5"/>
  <c r="O1400" i="5"/>
  <c r="N1400" i="5"/>
  <c r="M1400" i="5"/>
  <c r="L1400" i="5"/>
  <c r="AD1399" i="5"/>
  <c r="AC1399" i="5"/>
  <c r="AB1399" i="5"/>
  <c r="AA1399" i="5"/>
  <c r="Z1399" i="5"/>
  <c r="Y1399" i="5"/>
  <c r="X1399" i="5"/>
  <c r="W1399" i="5"/>
  <c r="V1399" i="5"/>
  <c r="U1399" i="5"/>
  <c r="T1399" i="5"/>
  <c r="S1399" i="5"/>
  <c r="R1399" i="5"/>
  <c r="Q1399" i="5"/>
  <c r="P1399" i="5"/>
  <c r="O1399" i="5"/>
  <c r="N1399" i="5"/>
  <c r="M1399" i="5"/>
  <c r="L1399" i="5"/>
  <c r="AD1398" i="5"/>
  <c r="AC1398" i="5"/>
  <c r="AB1398" i="5"/>
  <c r="AA1398" i="5"/>
  <c r="Z1398" i="5"/>
  <c r="Y1398" i="5"/>
  <c r="X1398" i="5"/>
  <c r="W1398" i="5"/>
  <c r="V1398" i="5"/>
  <c r="U1398" i="5"/>
  <c r="T1398" i="5"/>
  <c r="S1398" i="5"/>
  <c r="R1398" i="5"/>
  <c r="Q1398" i="5"/>
  <c r="P1398" i="5"/>
  <c r="O1398" i="5"/>
  <c r="N1398" i="5"/>
  <c r="M1398" i="5"/>
  <c r="L1398" i="5"/>
  <c r="AD1397" i="5"/>
  <c r="AC1397" i="5"/>
  <c r="AB1397" i="5"/>
  <c r="AA1397" i="5"/>
  <c r="Z1397" i="5"/>
  <c r="Y1397" i="5"/>
  <c r="X1397" i="5"/>
  <c r="W1397" i="5"/>
  <c r="V1397" i="5"/>
  <c r="U1397" i="5"/>
  <c r="T1397" i="5"/>
  <c r="S1397" i="5"/>
  <c r="R1397" i="5"/>
  <c r="Q1397" i="5"/>
  <c r="P1397" i="5"/>
  <c r="O1397" i="5"/>
  <c r="N1397" i="5"/>
  <c r="M1397" i="5"/>
  <c r="L1397" i="5"/>
  <c r="AD1396" i="5"/>
  <c r="AC1396" i="5"/>
  <c r="AB1396" i="5"/>
  <c r="AA1396" i="5"/>
  <c r="Z1396" i="5"/>
  <c r="Y1396" i="5"/>
  <c r="X1396" i="5"/>
  <c r="W1396" i="5"/>
  <c r="V1396" i="5"/>
  <c r="U1396" i="5"/>
  <c r="T1396" i="5"/>
  <c r="S1396" i="5"/>
  <c r="R1396" i="5"/>
  <c r="Q1396" i="5"/>
  <c r="P1396" i="5"/>
  <c r="O1396" i="5"/>
  <c r="N1396" i="5"/>
  <c r="M1396" i="5"/>
  <c r="L1396" i="5"/>
  <c r="AD1395" i="5"/>
  <c r="AC1395" i="5"/>
  <c r="AB1395" i="5"/>
  <c r="AA1395" i="5"/>
  <c r="Z1395" i="5"/>
  <c r="Y1395" i="5"/>
  <c r="X1395" i="5"/>
  <c r="W1395" i="5"/>
  <c r="V1395" i="5"/>
  <c r="U1395" i="5"/>
  <c r="T1395" i="5"/>
  <c r="S1395" i="5"/>
  <c r="R1395" i="5"/>
  <c r="Q1395" i="5"/>
  <c r="P1395" i="5"/>
  <c r="O1395" i="5"/>
  <c r="N1395" i="5"/>
  <c r="M1395" i="5"/>
  <c r="L1395" i="5"/>
  <c r="AD1394" i="5"/>
  <c r="AC1394" i="5"/>
  <c r="AB1394" i="5"/>
  <c r="AA1394" i="5"/>
  <c r="Z1394" i="5"/>
  <c r="Y1394" i="5"/>
  <c r="X1394" i="5"/>
  <c r="W1394" i="5"/>
  <c r="V1394" i="5"/>
  <c r="U1394" i="5"/>
  <c r="T1394" i="5"/>
  <c r="S1394" i="5"/>
  <c r="R1394" i="5"/>
  <c r="Q1394" i="5"/>
  <c r="P1394" i="5"/>
  <c r="O1394" i="5"/>
  <c r="N1394" i="5"/>
  <c r="M1394" i="5"/>
  <c r="L1394" i="5"/>
  <c r="AD1393" i="5"/>
  <c r="AC1393" i="5"/>
  <c r="AB1393" i="5"/>
  <c r="AA1393" i="5"/>
  <c r="Z1393" i="5"/>
  <c r="Y1393" i="5"/>
  <c r="X1393" i="5"/>
  <c r="W1393" i="5"/>
  <c r="V1393" i="5"/>
  <c r="U1393" i="5"/>
  <c r="T1393" i="5"/>
  <c r="S1393" i="5"/>
  <c r="R1393" i="5"/>
  <c r="Q1393" i="5"/>
  <c r="P1393" i="5"/>
  <c r="O1393" i="5"/>
  <c r="N1393" i="5"/>
  <c r="M1393" i="5"/>
  <c r="L1393" i="5"/>
  <c r="AD1392" i="5"/>
  <c r="AC1392" i="5"/>
  <c r="AB1392" i="5"/>
  <c r="AA1392" i="5"/>
  <c r="Z1392" i="5"/>
  <c r="Y1392" i="5"/>
  <c r="X1392" i="5"/>
  <c r="W1392" i="5"/>
  <c r="V1392" i="5"/>
  <c r="U1392" i="5"/>
  <c r="T1392" i="5"/>
  <c r="S1392" i="5"/>
  <c r="R1392" i="5"/>
  <c r="Q1392" i="5"/>
  <c r="P1392" i="5"/>
  <c r="O1392" i="5"/>
  <c r="N1392" i="5"/>
  <c r="M1392" i="5"/>
  <c r="L1392" i="5"/>
  <c r="AD1391" i="5"/>
  <c r="AC1391" i="5"/>
  <c r="AB1391" i="5"/>
  <c r="AA1391" i="5"/>
  <c r="Z1391" i="5"/>
  <c r="Y1391" i="5"/>
  <c r="X1391" i="5"/>
  <c r="W1391" i="5"/>
  <c r="V1391" i="5"/>
  <c r="U1391" i="5"/>
  <c r="T1391" i="5"/>
  <c r="S1391" i="5"/>
  <c r="R1391" i="5"/>
  <c r="Q1391" i="5"/>
  <c r="P1391" i="5"/>
  <c r="O1391" i="5"/>
  <c r="N1391" i="5"/>
  <c r="M1391" i="5"/>
  <c r="L1391" i="5"/>
  <c r="AD1390" i="5"/>
  <c r="AC1390" i="5"/>
  <c r="AB1390" i="5"/>
  <c r="AA1390" i="5"/>
  <c r="Z1390" i="5"/>
  <c r="Y1390" i="5"/>
  <c r="X1390" i="5"/>
  <c r="W1390" i="5"/>
  <c r="V1390" i="5"/>
  <c r="U1390" i="5"/>
  <c r="T1390" i="5"/>
  <c r="S1390" i="5"/>
  <c r="R1390" i="5"/>
  <c r="Q1390" i="5"/>
  <c r="P1390" i="5"/>
  <c r="O1390" i="5"/>
  <c r="N1390" i="5"/>
  <c r="M1390" i="5"/>
  <c r="L1390" i="5"/>
  <c r="AD1389" i="5"/>
  <c r="AC1389" i="5"/>
  <c r="AB1389" i="5"/>
  <c r="AA1389" i="5"/>
  <c r="Z1389" i="5"/>
  <c r="Y1389" i="5"/>
  <c r="X1389" i="5"/>
  <c r="W1389" i="5"/>
  <c r="V1389" i="5"/>
  <c r="U1389" i="5"/>
  <c r="T1389" i="5"/>
  <c r="S1389" i="5"/>
  <c r="R1389" i="5"/>
  <c r="Q1389" i="5"/>
  <c r="P1389" i="5"/>
  <c r="O1389" i="5"/>
  <c r="N1389" i="5"/>
  <c r="M1389" i="5"/>
  <c r="L1389" i="5"/>
  <c r="AD1388" i="5"/>
  <c r="AC1388" i="5"/>
  <c r="AB1388" i="5"/>
  <c r="AA1388" i="5"/>
  <c r="Z1388" i="5"/>
  <c r="Y1388" i="5"/>
  <c r="X1388" i="5"/>
  <c r="W1388" i="5"/>
  <c r="V1388" i="5"/>
  <c r="U1388" i="5"/>
  <c r="T1388" i="5"/>
  <c r="S1388" i="5"/>
  <c r="R1388" i="5"/>
  <c r="Q1388" i="5"/>
  <c r="P1388" i="5"/>
  <c r="O1388" i="5"/>
  <c r="N1388" i="5"/>
  <c r="M1388" i="5"/>
  <c r="L1388" i="5"/>
  <c r="AD1387" i="5"/>
  <c r="AC1387" i="5"/>
  <c r="AB1387" i="5"/>
  <c r="AA1387" i="5"/>
  <c r="Z1387" i="5"/>
  <c r="Y1387" i="5"/>
  <c r="X1387" i="5"/>
  <c r="W1387" i="5"/>
  <c r="V1387" i="5"/>
  <c r="U1387" i="5"/>
  <c r="T1387" i="5"/>
  <c r="S1387" i="5"/>
  <c r="R1387" i="5"/>
  <c r="Q1387" i="5"/>
  <c r="P1387" i="5"/>
  <c r="O1387" i="5"/>
  <c r="N1387" i="5"/>
  <c r="M1387" i="5"/>
  <c r="L1387" i="5"/>
  <c r="AD1386" i="5"/>
  <c r="AC1386" i="5"/>
  <c r="AB1386" i="5"/>
  <c r="AA1386" i="5"/>
  <c r="Z1386" i="5"/>
  <c r="Y1386" i="5"/>
  <c r="X1386" i="5"/>
  <c r="W1386" i="5"/>
  <c r="V1386" i="5"/>
  <c r="U1386" i="5"/>
  <c r="T1386" i="5"/>
  <c r="S1386" i="5"/>
  <c r="R1386" i="5"/>
  <c r="Q1386" i="5"/>
  <c r="P1386" i="5"/>
  <c r="O1386" i="5"/>
  <c r="N1386" i="5"/>
  <c r="M1386" i="5"/>
  <c r="L1386" i="5"/>
  <c r="AD1385" i="5"/>
  <c r="AC1385" i="5"/>
  <c r="AB1385" i="5"/>
  <c r="AA1385" i="5"/>
  <c r="Z1385" i="5"/>
  <c r="Y1385" i="5"/>
  <c r="X1385" i="5"/>
  <c r="W1385" i="5"/>
  <c r="V1385" i="5"/>
  <c r="U1385" i="5"/>
  <c r="T1385" i="5"/>
  <c r="S1385" i="5"/>
  <c r="R1385" i="5"/>
  <c r="Q1385" i="5"/>
  <c r="P1385" i="5"/>
  <c r="O1385" i="5"/>
  <c r="N1385" i="5"/>
  <c r="M1385" i="5"/>
  <c r="L1385" i="5"/>
  <c r="AD1384" i="5"/>
  <c r="AC1384" i="5"/>
  <c r="AB1384" i="5"/>
  <c r="AA1384" i="5"/>
  <c r="Z1384" i="5"/>
  <c r="Y1384" i="5"/>
  <c r="X1384" i="5"/>
  <c r="W1384" i="5"/>
  <c r="V1384" i="5"/>
  <c r="U1384" i="5"/>
  <c r="T1384" i="5"/>
  <c r="S1384" i="5"/>
  <c r="R1384" i="5"/>
  <c r="Q1384" i="5"/>
  <c r="P1384" i="5"/>
  <c r="O1384" i="5"/>
  <c r="N1384" i="5"/>
  <c r="M1384" i="5"/>
  <c r="L1384" i="5"/>
  <c r="AD1383" i="5"/>
  <c r="AC1383" i="5"/>
  <c r="AB1383" i="5"/>
  <c r="AA1383" i="5"/>
  <c r="Z1383" i="5"/>
  <c r="Y1383" i="5"/>
  <c r="X1383" i="5"/>
  <c r="W1383" i="5"/>
  <c r="V1383" i="5"/>
  <c r="U1383" i="5"/>
  <c r="T1383" i="5"/>
  <c r="S1383" i="5"/>
  <c r="R1383" i="5"/>
  <c r="Q1383" i="5"/>
  <c r="P1383" i="5"/>
  <c r="O1383" i="5"/>
  <c r="N1383" i="5"/>
  <c r="M1383" i="5"/>
  <c r="L1383" i="5"/>
  <c r="AD1382" i="5"/>
  <c r="AC1382" i="5"/>
  <c r="AB1382" i="5"/>
  <c r="AA1382" i="5"/>
  <c r="Z1382" i="5"/>
  <c r="Y1382" i="5"/>
  <c r="X1382" i="5"/>
  <c r="W1382" i="5"/>
  <c r="V1382" i="5"/>
  <c r="U1382" i="5"/>
  <c r="T1382" i="5"/>
  <c r="S1382" i="5"/>
  <c r="R1382" i="5"/>
  <c r="Q1382" i="5"/>
  <c r="P1382" i="5"/>
  <c r="O1382" i="5"/>
  <c r="N1382" i="5"/>
  <c r="M1382" i="5"/>
  <c r="L1382" i="5"/>
  <c r="AD1381" i="5"/>
  <c r="AC1381" i="5"/>
  <c r="AB1381" i="5"/>
  <c r="AA1381" i="5"/>
  <c r="Z1381" i="5"/>
  <c r="Y1381" i="5"/>
  <c r="X1381" i="5"/>
  <c r="W1381" i="5"/>
  <c r="V1381" i="5"/>
  <c r="U1381" i="5"/>
  <c r="T1381" i="5"/>
  <c r="S1381" i="5"/>
  <c r="R1381" i="5"/>
  <c r="Q1381" i="5"/>
  <c r="P1381" i="5"/>
  <c r="O1381" i="5"/>
  <c r="N1381" i="5"/>
  <c r="M1381" i="5"/>
  <c r="L1381" i="5"/>
  <c r="AD1380" i="5"/>
  <c r="AC1380" i="5"/>
  <c r="AB1380" i="5"/>
  <c r="AA1380" i="5"/>
  <c r="Z1380" i="5"/>
  <c r="Y1380" i="5"/>
  <c r="X1380" i="5"/>
  <c r="W1380" i="5"/>
  <c r="V1380" i="5"/>
  <c r="U1380" i="5"/>
  <c r="T1380" i="5"/>
  <c r="S1380" i="5"/>
  <c r="R1380" i="5"/>
  <c r="Q1380" i="5"/>
  <c r="P1380" i="5"/>
  <c r="O1380" i="5"/>
  <c r="N1380" i="5"/>
  <c r="M1380" i="5"/>
  <c r="L1380" i="5"/>
  <c r="AD1379" i="5"/>
  <c r="AC1379" i="5"/>
  <c r="AB1379" i="5"/>
  <c r="AA1379" i="5"/>
  <c r="Z1379" i="5"/>
  <c r="Y1379" i="5"/>
  <c r="X1379" i="5"/>
  <c r="W1379" i="5"/>
  <c r="V1379" i="5"/>
  <c r="U1379" i="5"/>
  <c r="T1379" i="5"/>
  <c r="S1379" i="5"/>
  <c r="R1379" i="5"/>
  <c r="Q1379" i="5"/>
  <c r="P1379" i="5"/>
  <c r="O1379" i="5"/>
  <c r="N1379" i="5"/>
  <c r="M1379" i="5"/>
  <c r="L1379" i="5"/>
  <c r="AD1378" i="5"/>
  <c r="AC1378" i="5"/>
  <c r="AB1378" i="5"/>
  <c r="AA1378" i="5"/>
  <c r="Z1378" i="5"/>
  <c r="Y1378" i="5"/>
  <c r="X1378" i="5"/>
  <c r="W1378" i="5"/>
  <c r="V1378" i="5"/>
  <c r="U1378" i="5"/>
  <c r="T1378" i="5"/>
  <c r="S1378" i="5"/>
  <c r="R1378" i="5"/>
  <c r="Q1378" i="5"/>
  <c r="P1378" i="5"/>
  <c r="O1378" i="5"/>
  <c r="N1378" i="5"/>
  <c r="M1378" i="5"/>
  <c r="L1378" i="5"/>
  <c r="AD1377" i="5"/>
  <c r="AC1377" i="5"/>
  <c r="AB1377" i="5"/>
  <c r="AA1377" i="5"/>
  <c r="Z1377" i="5"/>
  <c r="Y1377" i="5"/>
  <c r="X1377" i="5"/>
  <c r="W1377" i="5"/>
  <c r="V1377" i="5"/>
  <c r="U1377" i="5"/>
  <c r="T1377" i="5"/>
  <c r="S1377" i="5"/>
  <c r="R1377" i="5"/>
  <c r="Q1377" i="5"/>
  <c r="P1377" i="5"/>
  <c r="O1377" i="5"/>
  <c r="N1377" i="5"/>
  <c r="M1377" i="5"/>
  <c r="L1377" i="5"/>
  <c r="AD1376" i="5"/>
  <c r="AC1376" i="5"/>
  <c r="AB1376" i="5"/>
  <c r="AA1376" i="5"/>
  <c r="Z1376" i="5"/>
  <c r="Y1376" i="5"/>
  <c r="X1376" i="5"/>
  <c r="W1376" i="5"/>
  <c r="V1376" i="5"/>
  <c r="U1376" i="5"/>
  <c r="T1376" i="5"/>
  <c r="S1376" i="5"/>
  <c r="R1376" i="5"/>
  <c r="Q1376" i="5"/>
  <c r="P1376" i="5"/>
  <c r="O1376" i="5"/>
  <c r="N1376" i="5"/>
  <c r="M1376" i="5"/>
  <c r="L1376" i="5"/>
  <c r="AD1375" i="5"/>
  <c r="AC1375" i="5"/>
  <c r="AB1375" i="5"/>
  <c r="AA1375" i="5"/>
  <c r="Z1375" i="5"/>
  <c r="Y1375" i="5"/>
  <c r="X1375" i="5"/>
  <c r="W1375" i="5"/>
  <c r="V1375" i="5"/>
  <c r="U1375" i="5"/>
  <c r="T1375" i="5"/>
  <c r="S1375" i="5"/>
  <c r="R1375" i="5"/>
  <c r="Q1375" i="5"/>
  <c r="P1375" i="5"/>
  <c r="O1375" i="5"/>
  <c r="N1375" i="5"/>
  <c r="M1375" i="5"/>
  <c r="L1375" i="5"/>
  <c r="AD1374" i="5"/>
  <c r="AC1374" i="5"/>
  <c r="AB1374" i="5"/>
  <c r="AA1374" i="5"/>
  <c r="Z1374" i="5"/>
  <c r="Y1374" i="5"/>
  <c r="X1374" i="5"/>
  <c r="W1374" i="5"/>
  <c r="V1374" i="5"/>
  <c r="U1374" i="5"/>
  <c r="T1374" i="5"/>
  <c r="S1374" i="5"/>
  <c r="R1374" i="5"/>
  <c r="Q1374" i="5"/>
  <c r="P1374" i="5"/>
  <c r="O1374" i="5"/>
  <c r="N1374" i="5"/>
  <c r="M1374" i="5"/>
  <c r="L1374" i="5"/>
  <c r="AD1373" i="5"/>
  <c r="AC1373" i="5"/>
  <c r="AB1373" i="5"/>
  <c r="AA1373" i="5"/>
  <c r="Z1373" i="5"/>
  <c r="Y1373" i="5"/>
  <c r="X1373" i="5"/>
  <c r="W1373" i="5"/>
  <c r="V1373" i="5"/>
  <c r="U1373" i="5"/>
  <c r="T1373" i="5"/>
  <c r="S1373" i="5"/>
  <c r="R1373" i="5"/>
  <c r="Q1373" i="5"/>
  <c r="P1373" i="5"/>
  <c r="O1373" i="5"/>
  <c r="N1373" i="5"/>
  <c r="M1373" i="5"/>
  <c r="L1373" i="5"/>
  <c r="AD1372" i="5"/>
  <c r="AC1372" i="5"/>
  <c r="AB1372" i="5"/>
  <c r="AA1372" i="5"/>
  <c r="Z1372" i="5"/>
  <c r="Y1372" i="5"/>
  <c r="X1372" i="5"/>
  <c r="W1372" i="5"/>
  <c r="V1372" i="5"/>
  <c r="U1372" i="5"/>
  <c r="T1372" i="5"/>
  <c r="S1372" i="5"/>
  <c r="R1372" i="5"/>
  <c r="Q1372" i="5"/>
  <c r="P1372" i="5"/>
  <c r="O1372" i="5"/>
  <c r="N1372" i="5"/>
  <c r="M1372" i="5"/>
  <c r="L1372" i="5"/>
  <c r="AD1371" i="5"/>
  <c r="AC1371" i="5"/>
  <c r="AB1371" i="5"/>
  <c r="AA1371" i="5"/>
  <c r="Z1371" i="5"/>
  <c r="Y1371" i="5"/>
  <c r="X1371" i="5"/>
  <c r="W1371" i="5"/>
  <c r="V1371" i="5"/>
  <c r="U1371" i="5"/>
  <c r="T1371" i="5"/>
  <c r="S1371" i="5"/>
  <c r="R1371" i="5"/>
  <c r="Q1371" i="5"/>
  <c r="P1371" i="5"/>
  <c r="O1371" i="5"/>
  <c r="N1371" i="5"/>
  <c r="M1371" i="5"/>
  <c r="L1371" i="5"/>
  <c r="AD1370" i="5"/>
  <c r="AC1370" i="5"/>
  <c r="AB1370" i="5"/>
  <c r="AA1370" i="5"/>
  <c r="Z1370" i="5"/>
  <c r="Y1370" i="5"/>
  <c r="X1370" i="5"/>
  <c r="W1370" i="5"/>
  <c r="V1370" i="5"/>
  <c r="U1370" i="5"/>
  <c r="T1370" i="5"/>
  <c r="S1370" i="5"/>
  <c r="R1370" i="5"/>
  <c r="Q1370" i="5"/>
  <c r="P1370" i="5"/>
  <c r="O1370" i="5"/>
  <c r="N1370" i="5"/>
  <c r="M1370" i="5"/>
  <c r="L1370" i="5"/>
  <c r="AD1369" i="5"/>
  <c r="AC1369" i="5"/>
  <c r="AB1369" i="5"/>
  <c r="AA1369" i="5"/>
  <c r="Z1369" i="5"/>
  <c r="Y1369" i="5"/>
  <c r="X1369" i="5"/>
  <c r="W1369" i="5"/>
  <c r="V1369" i="5"/>
  <c r="U1369" i="5"/>
  <c r="T1369" i="5"/>
  <c r="S1369" i="5"/>
  <c r="R1369" i="5"/>
  <c r="Q1369" i="5"/>
  <c r="P1369" i="5"/>
  <c r="O1369" i="5"/>
  <c r="N1369" i="5"/>
  <c r="M1369" i="5"/>
  <c r="L1369" i="5"/>
  <c r="AD1368" i="5"/>
  <c r="AC1368" i="5"/>
  <c r="AB1368" i="5"/>
  <c r="AA1368" i="5"/>
  <c r="Z1368" i="5"/>
  <c r="Y1368" i="5"/>
  <c r="X1368" i="5"/>
  <c r="W1368" i="5"/>
  <c r="V1368" i="5"/>
  <c r="U1368" i="5"/>
  <c r="T1368" i="5"/>
  <c r="S1368" i="5"/>
  <c r="R1368" i="5"/>
  <c r="Q1368" i="5"/>
  <c r="P1368" i="5"/>
  <c r="O1368" i="5"/>
  <c r="N1368" i="5"/>
  <c r="M1368" i="5"/>
  <c r="L1368" i="5"/>
  <c r="AD1367" i="5"/>
  <c r="AC1367" i="5"/>
  <c r="AB1367" i="5"/>
  <c r="AA1367" i="5"/>
  <c r="Z1367" i="5"/>
  <c r="Y1367" i="5"/>
  <c r="X1367" i="5"/>
  <c r="W1367" i="5"/>
  <c r="V1367" i="5"/>
  <c r="U1367" i="5"/>
  <c r="T1367" i="5"/>
  <c r="S1367" i="5"/>
  <c r="R1367" i="5"/>
  <c r="Q1367" i="5"/>
  <c r="P1367" i="5"/>
  <c r="O1367" i="5"/>
  <c r="N1367" i="5"/>
  <c r="M1367" i="5"/>
  <c r="L1367" i="5"/>
  <c r="AD1366" i="5"/>
  <c r="AC1366" i="5"/>
  <c r="AB1366" i="5"/>
  <c r="AA1366" i="5"/>
  <c r="Z1366" i="5"/>
  <c r="Y1366" i="5"/>
  <c r="X1366" i="5"/>
  <c r="W1366" i="5"/>
  <c r="V1366" i="5"/>
  <c r="U1366" i="5"/>
  <c r="T1366" i="5"/>
  <c r="S1366" i="5"/>
  <c r="R1366" i="5"/>
  <c r="Q1366" i="5"/>
  <c r="P1366" i="5"/>
  <c r="O1366" i="5"/>
  <c r="N1366" i="5"/>
  <c r="M1366" i="5"/>
  <c r="L1366" i="5"/>
  <c r="AD1365" i="5"/>
  <c r="AC1365" i="5"/>
  <c r="AB1365" i="5"/>
  <c r="AA1365" i="5"/>
  <c r="Z1365" i="5"/>
  <c r="Y1365" i="5"/>
  <c r="X1365" i="5"/>
  <c r="W1365" i="5"/>
  <c r="V1365" i="5"/>
  <c r="U1365" i="5"/>
  <c r="T1365" i="5"/>
  <c r="S1365" i="5"/>
  <c r="R1365" i="5"/>
  <c r="Q1365" i="5"/>
  <c r="P1365" i="5"/>
  <c r="O1365" i="5"/>
  <c r="N1365" i="5"/>
  <c r="M1365" i="5"/>
  <c r="L1365" i="5"/>
  <c r="AD1364" i="5"/>
  <c r="AC1364" i="5"/>
  <c r="AB1364" i="5"/>
  <c r="AA1364" i="5"/>
  <c r="Z1364" i="5"/>
  <c r="Y1364" i="5"/>
  <c r="X1364" i="5"/>
  <c r="W1364" i="5"/>
  <c r="V1364" i="5"/>
  <c r="U1364" i="5"/>
  <c r="T1364" i="5"/>
  <c r="S1364" i="5"/>
  <c r="R1364" i="5"/>
  <c r="Q1364" i="5"/>
  <c r="P1364" i="5"/>
  <c r="O1364" i="5"/>
  <c r="N1364" i="5"/>
  <c r="M1364" i="5"/>
  <c r="L1364" i="5"/>
  <c r="AD1363" i="5"/>
  <c r="AC1363" i="5"/>
  <c r="AB1363" i="5"/>
  <c r="AA1363" i="5"/>
  <c r="Z1363" i="5"/>
  <c r="Y1363" i="5"/>
  <c r="X1363" i="5"/>
  <c r="W1363" i="5"/>
  <c r="V1363" i="5"/>
  <c r="U1363" i="5"/>
  <c r="T1363" i="5"/>
  <c r="S1363" i="5"/>
  <c r="R1363" i="5"/>
  <c r="Q1363" i="5"/>
  <c r="P1363" i="5"/>
  <c r="O1363" i="5"/>
  <c r="N1363" i="5"/>
  <c r="M1363" i="5"/>
  <c r="L1363" i="5"/>
  <c r="AD1362" i="5"/>
  <c r="AC1362" i="5"/>
  <c r="AB1362" i="5"/>
  <c r="AA1362" i="5"/>
  <c r="Z1362" i="5"/>
  <c r="Y1362" i="5"/>
  <c r="X1362" i="5"/>
  <c r="W1362" i="5"/>
  <c r="V1362" i="5"/>
  <c r="U1362" i="5"/>
  <c r="T1362" i="5"/>
  <c r="S1362" i="5"/>
  <c r="R1362" i="5"/>
  <c r="Q1362" i="5"/>
  <c r="P1362" i="5"/>
  <c r="O1362" i="5"/>
  <c r="N1362" i="5"/>
  <c r="M1362" i="5"/>
  <c r="L1362" i="5"/>
  <c r="AD1361" i="5"/>
  <c r="AC1361" i="5"/>
  <c r="AB1361" i="5"/>
  <c r="AA1361" i="5"/>
  <c r="Z1361" i="5"/>
  <c r="Y1361" i="5"/>
  <c r="X1361" i="5"/>
  <c r="W1361" i="5"/>
  <c r="V1361" i="5"/>
  <c r="U1361" i="5"/>
  <c r="T1361" i="5"/>
  <c r="S1361" i="5"/>
  <c r="R1361" i="5"/>
  <c r="Q1361" i="5"/>
  <c r="P1361" i="5"/>
  <c r="O1361" i="5"/>
  <c r="N1361" i="5"/>
  <c r="M1361" i="5"/>
  <c r="L1361" i="5"/>
  <c r="AD1360" i="5"/>
  <c r="AC1360" i="5"/>
  <c r="AB1360" i="5"/>
  <c r="AA1360" i="5"/>
  <c r="Z1360" i="5"/>
  <c r="Y1360" i="5"/>
  <c r="X1360" i="5"/>
  <c r="W1360" i="5"/>
  <c r="V1360" i="5"/>
  <c r="U1360" i="5"/>
  <c r="T1360" i="5"/>
  <c r="S1360" i="5"/>
  <c r="R1360" i="5"/>
  <c r="Q1360" i="5"/>
  <c r="P1360" i="5"/>
  <c r="O1360" i="5"/>
  <c r="N1360" i="5"/>
  <c r="M1360" i="5"/>
  <c r="L1360" i="5"/>
  <c r="AD1359" i="5"/>
  <c r="AC1359" i="5"/>
  <c r="AB1359" i="5"/>
  <c r="AA1359" i="5"/>
  <c r="Z1359" i="5"/>
  <c r="Y1359" i="5"/>
  <c r="X1359" i="5"/>
  <c r="W1359" i="5"/>
  <c r="V1359" i="5"/>
  <c r="U1359" i="5"/>
  <c r="T1359" i="5"/>
  <c r="S1359" i="5"/>
  <c r="R1359" i="5"/>
  <c r="Q1359" i="5"/>
  <c r="P1359" i="5"/>
  <c r="O1359" i="5"/>
  <c r="N1359" i="5"/>
  <c r="M1359" i="5"/>
  <c r="L1359" i="5"/>
  <c r="AD1358" i="5"/>
  <c r="AC1358" i="5"/>
  <c r="AB1358" i="5"/>
  <c r="AA1358" i="5"/>
  <c r="Z1358" i="5"/>
  <c r="Y1358" i="5"/>
  <c r="X1358" i="5"/>
  <c r="W1358" i="5"/>
  <c r="V1358" i="5"/>
  <c r="U1358" i="5"/>
  <c r="T1358" i="5"/>
  <c r="S1358" i="5"/>
  <c r="R1358" i="5"/>
  <c r="Q1358" i="5"/>
  <c r="P1358" i="5"/>
  <c r="O1358" i="5"/>
  <c r="N1358" i="5"/>
  <c r="M1358" i="5"/>
  <c r="L1358" i="5"/>
  <c r="AD1357" i="5"/>
  <c r="AC1357" i="5"/>
  <c r="AB1357" i="5"/>
  <c r="AA1357" i="5"/>
  <c r="Z1357" i="5"/>
  <c r="Y1357" i="5"/>
  <c r="X1357" i="5"/>
  <c r="W1357" i="5"/>
  <c r="V1357" i="5"/>
  <c r="U1357" i="5"/>
  <c r="T1357" i="5"/>
  <c r="S1357" i="5"/>
  <c r="R1357" i="5"/>
  <c r="Q1357" i="5"/>
  <c r="P1357" i="5"/>
  <c r="O1357" i="5"/>
  <c r="N1357" i="5"/>
  <c r="M1357" i="5"/>
  <c r="L1357" i="5"/>
  <c r="AD1356" i="5"/>
  <c r="AC1356" i="5"/>
  <c r="AB1356" i="5"/>
  <c r="AA1356" i="5"/>
  <c r="Z1356" i="5"/>
  <c r="Y1356" i="5"/>
  <c r="X1356" i="5"/>
  <c r="W1356" i="5"/>
  <c r="V1356" i="5"/>
  <c r="U1356" i="5"/>
  <c r="T1356" i="5"/>
  <c r="S1356" i="5"/>
  <c r="R1356" i="5"/>
  <c r="Q1356" i="5"/>
  <c r="P1356" i="5"/>
  <c r="O1356" i="5"/>
  <c r="N1356" i="5"/>
  <c r="M1356" i="5"/>
  <c r="L1356" i="5"/>
  <c r="AD1355" i="5"/>
  <c r="AC1355" i="5"/>
  <c r="AB1355" i="5"/>
  <c r="AA1355" i="5"/>
  <c r="Z1355" i="5"/>
  <c r="Y1355" i="5"/>
  <c r="X1355" i="5"/>
  <c r="W1355" i="5"/>
  <c r="V1355" i="5"/>
  <c r="U1355" i="5"/>
  <c r="T1355" i="5"/>
  <c r="S1355" i="5"/>
  <c r="R1355" i="5"/>
  <c r="Q1355" i="5"/>
  <c r="P1355" i="5"/>
  <c r="O1355" i="5"/>
  <c r="N1355" i="5"/>
  <c r="M1355" i="5"/>
  <c r="L1355" i="5"/>
  <c r="AD1354" i="5"/>
  <c r="AC1354" i="5"/>
  <c r="AB1354" i="5"/>
  <c r="AA1354" i="5"/>
  <c r="Z1354" i="5"/>
  <c r="Y1354" i="5"/>
  <c r="X1354" i="5"/>
  <c r="W1354" i="5"/>
  <c r="V1354" i="5"/>
  <c r="U1354" i="5"/>
  <c r="T1354" i="5"/>
  <c r="S1354" i="5"/>
  <c r="R1354" i="5"/>
  <c r="Q1354" i="5"/>
  <c r="P1354" i="5"/>
  <c r="O1354" i="5"/>
  <c r="N1354" i="5"/>
  <c r="M1354" i="5"/>
  <c r="L1354" i="5"/>
  <c r="AD1353" i="5"/>
  <c r="AC1353" i="5"/>
  <c r="AB1353" i="5"/>
  <c r="AA1353" i="5"/>
  <c r="Z1353" i="5"/>
  <c r="Y1353" i="5"/>
  <c r="X1353" i="5"/>
  <c r="W1353" i="5"/>
  <c r="V1353" i="5"/>
  <c r="U1353" i="5"/>
  <c r="T1353" i="5"/>
  <c r="S1353" i="5"/>
  <c r="R1353" i="5"/>
  <c r="Q1353" i="5"/>
  <c r="P1353" i="5"/>
  <c r="O1353" i="5"/>
  <c r="N1353" i="5"/>
  <c r="M1353" i="5"/>
  <c r="L1353" i="5"/>
  <c r="AD1352" i="5"/>
  <c r="AC1352" i="5"/>
  <c r="AB1352" i="5"/>
  <c r="AA1352" i="5"/>
  <c r="Z1352" i="5"/>
  <c r="Y1352" i="5"/>
  <c r="X1352" i="5"/>
  <c r="W1352" i="5"/>
  <c r="V1352" i="5"/>
  <c r="U1352" i="5"/>
  <c r="T1352" i="5"/>
  <c r="S1352" i="5"/>
  <c r="R1352" i="5"/>
  <c r="Q1352" i="5"/>
  <c r="P1352" i="5"/>
  <c r="O1352" i="5"/>
  <c r="N1352" i="5"/>
  <c r="M1352" i="5"/>
  <c r="L1352" i="5"/>
  <c r="AD1351" i="5"/>
  <c r="AC1351" i="5"/>
  <c r="AB1351" i="5"/>
  <c r="AA1351" i="5"/>
  <c r="Z1351" i="5"/>
  <c r="Y1351" i="5"/>
  <c r="X1351" i="5"/>
  <c r="W1351" i="5"/>
  <c r="V1351" i="5"/>
  <c r="U1351" i="5"/>
  <c r="T1351" i="5"/>
  <c r="S1351" i="5"/>
  <c r="R1351" i="5"/>
  <c r="Q1351" i="5"/>
  <c r="P1351" i="5"/>
  <c r="O1351" i="5"/>
  <c r="N1351" i="5"/>
  <c r="M1351" i="5"/>
  <c r="L1351" i="5"/>
  <c r="AD1350" i="5"/>
  <c r="AC1350" i="5"/>
  <c r="AB1350" i="5"/>
  <c r="AA1350" i="5"/>
  <c r="Z1350" i="5"/>
  <c r="Y1350" i="5"/>
  <c r="X1350" i="5"/>
  <c r="W1350" i="5"/>
  <c r="V1350" i="5"/>
  <c r="U1350" i="5"/>
  <c r="T1350" i="5"/>
  <c r="S1350" i="5"/>
  <c r="R1350" i="5"/>
  <c r="Q1350" i="5"/>
  <c r="P1350" i="5"/>
  <c r="O1350" i="5"/>
  <c r="N1350" i="5"/>
  <c r="M1350" i="5"/>
  <c r="L1350" i="5"/>
  <c r="AD1349" i="5"/>
  <c r="AC1349" i="5"/>
  <c r="AB1349" i="5"/>
  <c r="AA1349" i="5"/>
  <c r="Z1349" i="5"/>
  <c r="Y1349" i="5"/>
  <c r="X1349" i="5"/>
  <c r="W1349" i="5"/>
  <c r="V1349" i="5"/>
  <c r="U1349" i="5"/>
  <c r="T1349" i="5"/>
  <c r="S1349" i="5"/>
  <c r="R1349" i="5"/>
  <c r="Q1349" i="5"/>
  <c r="P1349" i="5"/>
  <c r="O1349" i="5"/>
  <c r="N1349" i="5"/>
  <c r="M1349" i="5"/>
  <c r="L1349" i="5"/>
  <c r="AD1348" i="5"/>
  <c r="AC1348" i="5"/>
  <c r="AB1348" i="5"/>
  <c r="AA1348" i="5"/>
  <c r="Z1348" i="5"/>
  <c r="Y1348" i="5"/>
  <c r="X1348" i="5"/>
  <c r="W1348" i="5"/>
  <c r="V1348" i="5"/>
  <c r="U1348" i="5"/>
  <c r="T1348" i="5"/>
  <c r="S1348" i="5"/>
  <c r="R1348" i="5"/>
  <c r="Q1348" i="5"/>
  <c r="P1348" i="5"/>
  <c r="O1348" i="5"/>
  <c r="N1348" i="5"/>
  <c r="M1348" i="5"/>
  <c r="L1348" i="5"/>
  <c r="AD1347" i="5"/>
  <c r="AC1347" i="5"/>
  <c r="AB1347" i="5"/>
  <c r="AA1347" i="5"/>
  <c r="Z1347" i="5"/>
  <c r="Y1347" i="5"/>
  <c r="X1347" i="5"/>
  <c r="W1347" i="5"/>
  <c r="V1347" i="5"/>
  <c r="U1347" i="5"/>
  <c r="T1347" i="5"/>
  <c r="S1347" i="5"/>
  <c r="R1347" i="5"/>
  <c r="Q1347" i="5"/>
  <c r="P1347" i="5"/>
  <c r="O1347" i="5"/>
  <c r="N1347" i="5"/>
  <c r="M1347" i="5"/>
  <c r="L1347" i="5"/>
  <c r="AD1346" i="5"/>
  <c r="AC1346" i="5"/>
  <c r="AB1346" i="5"/>
  <c r="AA1346" i="5"/>
  <c r="Z1346" i="5"/>
  <c r="Y1346" i="5"/>
  <c r="X1346" i="5"/>
  <c r="W1346" i="5"/>
  <c r="V1346" i="5"/>
  <c r="U1346" i="5"/>
  <c r="T1346" i="5"/>
  <c r="S1346" i="5"/>
  <c r="R1346" i="5"/>
  <c r="Q1346" i="5"/>
  <c r="P1346" i="5"/>
  <c r="O1346" i="5"/>
  <c r="N1346" i="5"/>
  <c r="M1346" i="5"/>
  <c r="L1346" i="5"/>
  <c r="AD1345" i="5"/>
  <c r="AC1345" i="5"/>
  <c r="AB1345" i="5"/>
  <c r="AA1345" i="5"/>
  <c r="Z1345" i="5"/>
  <c r="Y1345" i="5"/>
  <c r="X1345" i="5"/>
  <c r="W1345" i="5"/>
  <c r="V1345" i="5"/>
  <c r="U1345" i="5"/>
  <c r="T1345" i="5"/>
  <c r="S1345" i="5"/>
  <c r="R1345" i="5"/>
  <c r="Q1345" i="5"/>
  <c r="P1345" i="5"/>
  <c r="O1345" i="5"/>
  <c r="N1345" i="5"/>
  <c r="M1345" i="5"/>
  <c r="L1345" i="5"/>
  <c r="AD1344" i="5"/>
  <c r="AC1344" i="5"/>
  <c r="AB1344" i="5"/>
  <c r="AA1344" i="5"/>
  <c r="Z1344" i="5"/>
  <c r="Y1344" i="5"/>
  <c r="X1344" i="5"/>
  <c r="W1344" i="5"/>
  <c r="V1344" i="5"/>
  <c r="U1344" i="5"/>
  <c r="T1344" i="5"/>
  <c r="S1344" i="5"/>
  <c r="R1344" i="5"/>
  <c r="Q1344" i="5"/>
  <c r="P1344" i="5"/>
  <c r="O1344" i="5"/>
  <c r="N1344" i="5"/>
  <c r="M1344" i="5"/>
  <c r="L1344" i="5"/>
  <c r="AD1343" i="5"/>
  <c r="AC1343" i="5"/>
  <c r="AB1343" i="5"/>
  <c r="AA1343" i="5"/>
  <c r="Z1343" i="5"/>
  <c r="Y1343" i="5"/>
  <c r="X1343" i="5"/>
  <c r="W1343" i="5"/>
  <c r="V1343" i="5"/>
  <c r="U1343" i="5"/>
  <c r="T1343" i="5"/>
  <c r="S1343" i="5"/>
  <c r="R1343" i="5"/>
  <c r="Q1343" i="5"/>
  <c r="P1343" i="5"/>
  <c r="O1343" i="5"/>
  <c r="N1343" i="5"/>
  <c r="M1343" i="5"/>
  <c r="L1343" i="5"/>
  <c r="AD1342" i="5"/>
  <c r="AC1342" i="5"/>
  <c r="AB1342" i="5"/>
  <c r="AA1342" i="5"/>
  <c r="Z1342" i="5"/>
  <c r="Y1342" i="5"/>
  <c r="X1342" i="5"/>
  <c r="W1342" i="5"/>
  <c r="V1342" i="5"/>
  <c r="U1342" i="5"/>
  <c r="T1342" i="5"/>
  <c r="S1342" i="5"/>
  <c r="R1342" i="5"/>
  <c r="Q1342" i="5"/>
  <c r="P1342" i="5"/>
  <c r="O1342" i="5"/>
  <c r="N1342" i="5"/>
  <c r="M1342" i="5"/>
  <c r="L1342" i="5"/>
  <c r="AD1341" i="5"/>
  <c r="AC1341" i="5"/>
  <c r="AB1341" i="5"/>
  <c r="AA1341" i="5"/>
  <c r="Z1341" i="5"/>
  <c r="Y1341" i="5"/>
  <c r="X1341" i="5"/>
  <c r="W1341" i="5"/>
  <c r="V1341" i="5"/>
  <c r="U1341" i="5"/>
  <c r="T1341" i="5"/>
  <c r="S1341" i="5"/>
  <c r="R1341" i="5"/>
  <c r="Q1341" i="5"/>
  <c r="P1341" i="5"/>
  <c r="O1341" i="5"/>
  <c r="N1341" i="5"/>
  <c r="M1341" i="5"/>
  <c r="L1341" i="5"/>
  <c r="AD1340" i="5"/>
  <c r="AC1340" i="5"/>
  <c r="AB1340" i="5"/>
  <c r="AA1340" i="5"/>
  <c r="Z1340" i="5"/>
  <c r="Y1340" i="5"/>
  <c r="X1340" i="5"/>
  <c r="W1340" i="5"/>
  <c r="V1340" i="5"/>
  <c r="U1340" i="5"/>
  <c r="T1340" i="5"/>
  <c r="S1340" i="5"/>
  <c r="R1340" i="5"/>
  <c r="Q1340" i="5"/>
  <c r="P1340" i="5"/>
  <c r="O1340" i="5"/>
  <c r="N1340" i="5"/>
  <c r="M1340" i="5"/>
  <c r="L1340" i="5"/>
  <c r="AD1339" i="5"/>
  <c r="AC1339" i="5"/>
  <c r="AB1339" i="5"/>
  <c r="AA1339" i="5"/>
  <c r="Z1339" i="5"/>
  <c r="Y1339" i="5"/>
  <c r="X1339" i="5"/>
  <c r="W1339" i="5"/>
  <c r="V1339" i="5"/>
  <c r="U1339" i="5"/>
  <c r="T1339" i="5"/>
  <c r="S1339" i="5"/>
  <c r="R1339" i="5"/>
  <c r="Q1339" i="5"/>
  <c r="P1339" i="5"/>
  <c r="O1339" i="5"/>
  <c r="N1339" i="5"/>
  <c r="M1339" i="5"/>
  <c r="L1339" i="5"/>
  <c r="AD1338" i="5"/>
  <c r="AC1338" i="5"/>
  <c r="AB1338" i="5"/>
  <c r="AA1338" i="5"/>
  <c r="Z1338" i="5"/>
  <c r="Y1338" i="5"/>
  <c r="X1338" i="5"/>
  <c r="W1338" i="5"/>
  <c r="V1338" i="5"/>
  <c r="U1338" i="5"/>
  <c r="T1338" i="5"/>
  <c r="S1338" i="5"/>
  <c r="R1338" i="5"/>
  <c r="Q1338" i="5"/>
  <c r="P1338" i="5"/>
  <c r="O1338" i="5"/>
  <c r="N1338" i="5"/>
  <c r="M1338" i="5"/>
  <c r="L1338" i="5"/>
  <c r="AD1337" i="5"/>
  <c r="AC1337" i="5"/>
  <c r="AB1337" i="5"/>
  <c r="AA1337" i="5"/>
  <c r="Z1337" i="5"/>
  <c r="Y1337" i="5"/>
  <c r="X1337" i="5"/>
  <c r="W1337" i="5"/>
  <c r="V1337" i="5"/>
  <c r="U1337" i="5"/>
  <c r="T1337" i="5"/>
  <c r="S1337" i="5"/>
  <c r="R1337" i="5"/>
  <c r="Q1337" i="5"/>
  <c r="P1337" i="5"/>
  <c r="O1337" i="5"/>
  <c r="N1337" i="5"/>
  <c r="M1337" i="5"/>
  <c r="L1337" i="5"/>
  <c r="AD1336" i="5"/>
  <c r="AC1336" i="5"/>
  <c r="AB1336" i="5"/>
  <c r="AA1336" i="5"/>
  <c r="Z1336" i="5"/>
  <c r="Y1336" i="5"/>
  <c r="X1336" i="5"/>
  <c r="W1336" i="5"/>
  <c r="V1336" i="5"/>
  <c r="U1336" i="5"/>
  <c r="T1336" i="5"/>
  <c r="S1336" i="5"/>
  <c r="R1336" i="5"/>
  <c r="Q1336" i="5"/>
  <c r="P1336" i="5"/>
  <c r="O1336" i="5"/>
  <c r="N1336" i="5"/>
  <c r="M1336" i="5"/>
  <c r="L1336" i="5"/>
  <c r="AD1335" i="5"/>
  <c r="AC1335" i="5"/>
  <c r="AB1335" i="5"/>
  <c r="AA1335" i="5"/>
  <c r="Z1335" i="5"/>
  <c r="Y1335" i="5"/>
  <c r="X1335" i="5"/>
  <c r="W1335" i="5"/>
  <c r="V1335" i="5"/>
  <c r="U1335" i="5"/>
  <c r="T1335" i="5"/>
  <c r="S1335" i="5"/>
  <c r="R1335" i="5"/>
  <c r="Q1335" i="5"/>
  <c r="P1335" i="5"/>
  <c r="O1335" i="5"/>
  <c r="N1335" i="5"/>
  <c r="M1335" i="5"/>
  <c r="L1335" i="5"/>
  <c r="AD1334" i="5"/>
  <c r="AC1334" i="5"/>
  <c r="AB1334" i="5"/>
  <c r="AA1334" i="5"/>
  <c r="Z1334" i="5"/>
  <c r="Y1334" i="5"/>
  <c r="X1334" i="5"/>
  <c r="W1334" i="5"/>
  <c r="V1334" i="5"/>
  <c r="U1334" i="5"/>
  <c r="T1334" i="5"/>
  <c r="S1334" i="5"/>
  <c r="R1334" i="5"/>
  <c r="Q1334" i="5"/>
  <c r="P1334" i="5"/>
  <c r="O1334" i="5"/>
  <c r="N1334" i="5"/>
  <c r="M1334" i="5"/>
  <c r="L1334" i="5"/>
  <c r="AD1333" i="5"/>
  <c r="AC1333" i="5"/>
  <c r="AB1333" i="5"/>
  <c r="AA1333" i="5"/>
  <c r="Z1333" i="5"/>
  <c r="Y1333" i="5"/>
  <c r="X1333" i="5"/>
  <c r="W1333" i="5"/>
  <c r="V1333" i="5"/>
  <c r="U1333" i="5"/>
  <c r="T1333" i="5"/>
  <c r="S1333" i="5"/>
  <c r="R1333" i="5"/>
  <c r="Q1333" i="5"/>
  <c r="P1333" i="5"/>
  <c r="O1333" i="5"/>
  <c r="N1333" i="5"/>
  <c r="M1333" i="5"/>
  <c r="L1333" i="5"/>
  <c r="AD1332" i="5"/>
  <c r="AC1332" i="5"/>
  <c r="AB1332" i="5"/>
  <c r="AA1332" i="5"/>
  <c r="Z1332" i="5"/>
  <c r="Y1332" i="5"/>
  <c r="X1332" i="5"/>
  <c r="W1332" i="5"/>
  <c r="V1332" i="5"/>
  <c r="U1332" i="5"/>
  <c r="T1332" i="5"/>
  <c r="S1332" i="5"/>
  <c r="R1332" i="5"/>
  <c r="Q1332" i="5"/>
  <c r="P1332" i="5"/>
  <c r="O1332" i="5"/>
  <c r="N1332" i="5"/>
  <c r="M1332" i="5"/>
  <c r="L1332" i="5"/>
  <c r="AD1331" i="5"/>
  <c r="AC1331" i="5"/>
  <c r="AB1331" i="5"/>
  <c r="AA1331" i="5"/>
  <c r="Z1331" i="5"/>
  <c r="Y1331" i="5"/>
  <c r="X1331" i="5"/>
  <c r="W1331" i="5"/>
  <c r="V1331" i="5"/>
  <c r="U1331" i="5"/>
  <c r="T1331" i="5"/>
  <c r="S1331" i="5"/>
  <c r="R1331" i="5"/>
  <c r="Q1331" i="5"/>
  <c r="P1331" i="5"/>
  <c r="O1331" i="5"/>
  <c r="N1331" i="5"/>
  <c r="M1331" i="5"/>
  <c r="L1331" i="5"/>
  <c r="AD1330" i="5"/>
  <c r="AC1330" i="5"/>
  <c r="AB1330" i="5"/>
  <c r="AA1330" i="5"/>
  <c r="Z1330" i="5"/>
  <c r="Y1330" i="5"/>
  <c r="X1330" i="5"/>
  <c r="W1330" i="5"/>
  <c r="V1330" i="5"/>
  <c r="U1330" i="5"/>
  <c r="T1330" i="5"/>
  <c r="S1330" i="5"/>
  <c r="R1330" i="5"/>
  <c r="Q1330" i="5"/>
  <c r="P1330" i="5"/>
  <c r="O1330" i="5"/>
  <c r="N1330" i="5"/>
  <c r="M1330" i="5"/>
  <c r="L1330" i="5"/>
  <c r="AD1329" i="5"/>
  <c r="AC1329" i="5"/>
  <c r="AB1329" i="5"/>
  <c r="AA1329" i="5"/>
  <c r="Z1329" i="5"/>
  <c r="Y1329" i="5"/>
  <c r="X1329" i="5"/>
  <c r="W1329" i="5"/>
  <c r="V1329" i="5"/>
  <c r="U1329" i="5"/>
  <c r="T1329" i="5"/>
  <c r="S1329" i="5"/>
  <c r="R1329" i="5"/>
  <c r="Q1329" i="5"/>
  <c r="P1329" i="5"/>
  <c r="O1329" i="5"/>
  <c r="N1329" i="5"/>
  <c r="M1329" i="5"/>
  <c r="L1329" i="5"/>
  <c r="AD1328" i="5"/>
  <c r="AC1328" i="5"/>
  <c r="AB1328" i="5"/>
  <c r="AA1328" i="5"/>
  <c r="Z1328" i="5"/>
  <c r="Y1328" i="5"/>
  <c r="X1328" i="5"/>
  <c r="W1328" i="5"/>
  <c r="V1328" i="5"/>
  <c r="U1328" i="5"/>
  <c r="T1328" i="5"/>
  <c r="S1328" i="5"/>
  <c r="R1328" i="5"/>
  <c r="Q1328" i="5"/>
  <c r="P1328" i="5"/>
  <c r="O1328" i="5"/>
  <c r="N1328" i="5"/>
  <c r="M1328" i="5"/>
  <c r="L1328" i="5"/>
  <c r="AD1327" i="5"/>
  <c r="AC1327" i="5"/>
  <c r="AB1327" i="5"/>
  <c r="AA1327" i="5"/>
  <c r="Z1327" i="5"/>
  <c r="Y1327" i="5"/>
  <c r="X1327" i="5"/>
  <c r="W1327" i="5"/>
  <c r="V1327" i="5"/>
  <c r="U1327" i="5"/>
  <c r="T1327" i="5"/>
  <c r="S1327" i="5"/>
  <c r="R1327" i="5"/>
  <c r="Q1327" i="5"/>
  <c r="P1327" i="5"/>
  <c r="O1327" i="5"/>
  <c r="N1327" i="5"/>
  <c r="M1327" i="5"/>
  <c r="L1327" i="5"/>
  <c r="AD1326" i="5"/>
  <c r="AC1326" i="5"/>
  <c r="AB1326" i="5"/>
  <c r="AA1326" i="5"/>
  <c r="Z1326" i="5"/>
  <c r="Y1326" i="5"/>
  <c r="X1326" i="5"/>
  <c r="W1326" i="5"/>
  <c r="V1326" i="5"/>
  <c r="U1326" i="5"/>
  <c r="T1326" i="5"/>
  <c r="S1326" i="5"/>
  <c r="R1326" i="5"/>
  <c r="Q1326" i="5"/>
  <c r="P1326" i="5"/>
  <c r="O1326" i="5"/>
  <c r="N1326" i="5"/>
  <c r="M1326" i="5"/>
  <c r="L1326" i="5"/>
  <c r="AD1325" i="5"/>
  <c r="AC1325" i="5"/>
  <c r="AB1325" i="5"/>
  <c r="AA1325" i="5"/>
  <c r="Z1325" i="5"/>
  <c r="Y1325" i="5"/>
  <c r="X1325" i="5"/>
  <c r="W1325" i="5"/>
  <c r="V1325" i="5"/>
  <c r="U1325" i="5"/>
  <c r="T1325" i="5"/>
  <c r="S1325" i="5"/>
  <c r="R1325" i="5"/>
  <c r="Q1325" i="5"/>
  <c r="P1325" i="5"/>
  <c r="O1325" i="5"/>
  <c r="N1325" i="5"/>
  <c r="M1325" i="5"/>
  <c r="L1325" i="5"/>
  <c r="AD1324" i="5"/>
  <c r="AC1324" i="5"/>
  <c r="AB1324" i="5"/>
  <c r="AA1324" i="5"/>
  <c r="Z1324" i="5"/>
  <c r="Y1324" i="5"/>
  <c r="X1324" i="5"/>
  <c r="W1324" i="5"/>
  <c r="V1324" i="5"/>
  <c r="U1324" i="5"/>
  <c r="T1324" i="5"/>
  <c r="S1324" i="5"/>
  <c r="R1324" i="5"/>
  <c r="Q1324" i="5"/>
  <c r="P1324" i="5"/>
  <c r="O1324" i="5"/>
  <c r="N1324" i="5"/>
  <c r="M1324" i="5"/>
  <c r="L1324" i="5"/>
  <c r="AD1323" i="5"/>
  <c r="AC1323" i="5"/>
  <c r="AB1323" i="5"/>
  <c r="AA1323" i="5"/>
  <c r="Z1323" i="5"/>
  <c r="Y1323" i="5"/>
  <c r="X1323" i="5"/>
  <c r="W1323" i="5"/>
  <c r="V1323" i="5"/>
  <c r="U1323" i="5"/>
  <c r="T1323" i="5"/>
  <c r="S1323" i="5"/>
  <c r="R1323" i="5"/>
  <c r="Q1323" i="5"/>
  <c r="P1323" i="5"/>
  <c r="O1323" i="5"/>
  <c r="N1323" i="5"/>
  <c r="M1323" i="5"/>
  <c r="L1323" i="5"/>
  <c r="AD1322" i="5"/>
  <c r="AC1322" i="5"/>
  <c r="AB1322" i="5"/>
  <c r="AA1322" i="5"/>
  <c r="Z1322" i="5"/>
  <c r="Y1322" i="5"/>
  <c r="X1322" i="5"/>
  <c r="W1322" i="5"/>
  <c r="V1322" i="5"/>
  <c r="U1322" i="5"/>
  <c r="T1322" i="5"/>
  <c r="S1322" i="5"/>
  <c r="R1322" i="5"/>
  <c r="Q1322" i="5"/>
  <c r="P1322" i="5"/>
  <c r="O1322" i="5"/>
  <c r="N1322" i="5"/>
  <c r="M1322" i="5"/>
  <c r="L1322" i="5"/>
  <c r="AD1321" i="5"/>
  <c r="AC1321" i="5"/>
  <c r="AB1321" i="5"/>
  <c r="AA1321" i="5"/>
  <c r="Z1321" i="5"/>
  <c r="Y1321" i="5"/>
  <c r="X1321" i="5"/>
  <c r="W1321" i="5"/>
  <c r="V1321" i="5"/>
  <c r="U1321" i="5"/>
  <c r="T1321" i="5"/>
  <c r="S1321" i="5"/>
  <c r="R1321" i="5"/>
  <c r="Q1321" i="5"/>
  <c r="P1321" i="5"/>
  <c r="O1321" i="5"/>
  <c r="N1321" i="5"/>
  <c r="M1321" i="5"/>
  <c r="L1321" i="5"/>
  <c r="AD1320" i="5"/>
  <c r="AC1320" i="5"/>
  <c r="AB1320" i="5"/>
  <c r="AA1320" i="5"/>
  <c r="Z1320" i="5"/>
  <c r="Y1320" i="5"/>
  <c r="X1320" i="5"/>
  <c r="W1320" i="5"/>
  <c r="V1320" i="5"/>
  <c r="U1320" i="5"/>
  <c r="T1320" i="5"/>
  <c r="S1320" i="5"/>
  <c r="R1320" i="5"/>
  <c r="Q1320" i="5"/>
  <c r="P1320" i="5"/>
  <c r="O1320" i="5"/>
  <c r="N1320" i="5"/>
  <c r="M1320" i="5"/>
  <c r="L1320" i="5"/>
  <c r="AD1319" i="5"/>
  <c r="AC1319" i="5"/>
  <c r="AB1319" i="5"/>
  <c r="AA1319" i="5"/>
  <c r="Z1319" i="5"/>
  <c r="Y1319" i="5"/>
  <c r="X1319" i="5"/>
  <c r="W1319" i="5"/>
  <c r="V1319" i="5"/>
  <c r="U1319" i="5"/>
  <c r="T1319" i="5"/>
  <c r="S1319" i="5"/>
  <c r="R1319" i="5"/>
  <c r="Q1319" i="5"/>
  <c r="P1319" i="5"/>
  <c r="O1319" i="5"/>
  <c r="N1319" i="5"/>
  <c r="M1319" i="5"/>
  <c r="L1319" i="5"/>
  <c r="AD1318" i="5"/>
  <c r="AC1318" i="5"/>
  <c r="AB1318" i="5"/>
  <c r="AA1318" i="5"/>
  <c r="Z1318" i="5"/>
  <c r="Y1318" i="5"/>
  <c r="X1318" i="5"/>
  <c r="W1318" i="5"/>
  <c r="V1318" i="5"/>
  <c r="U1318" i="5"/>
  <c r="T1318" i="5"/>
  <c r="S1318" i="5"/>
  <c r="R1318" i="5"/>
  <c r="Q1318" i="5"/>
  <c r="P1318" i="5"/>
  <c r="O1318" i="5"/>
  <c r="N1318" i="5"/>
  <c r="M1318" i="5"/>
  <c r="L1318" i="5"/>
  <c r="AD1317" i="5"/>
  <c r="AC1317" i="5"/>
  <c r="AB1317" i="5"/>
  <c r="AA1317" i="5"/>
  <c r="Z1317" i="5"/>
  <c r="Y1317" i="5"/>
  <c r="X1317" i="5"/>
  <c r="W1317" i="5"/>
  <c r="V1317" i="5"/>
  <c r="U1317" i="5"/>
  <c r="T1317" i="5"/>
  <c r="S1317" i="5"/>
  <c r="R1317" i="5"/>
  <c r="Q1317" i="5"/>
  <c r="P1317" i="5"/>
  <c r="O1317" i="5"/>
  <c r="N1317" i="5"/>
  <c r="M1317" i="5"/>
  <c r="L1317" i="5"/>
  <c r="AD1316" i="5"/>
  <c r="AC1316" i="5"/>
  <c r="AB1316" i="5"/>
  <c r="AA1316" i="5"/>
  <c r="Z1316" i="5"/>
  <c r="Y1316" i="5"/>
  <c r="X1316" i="5"/>
  <c r="W1316" i="5"/>
  <c r="V1316" i="5"/>
  <c r="U1316" i="5"/>
  <c r="T1316" i="5"/>
  <c r="S1316" i="5"/>
  <c r="R1316" i="5"/>
  <c r="Q1316" i="5"/>
  <c r="P1316" i="5"/>
  <c r="O1316" i="5"/>
  <c r="N1316" i="5"/>
  <c r="M1316" i="5"/>
  <c r="L1316" i="5"/>
  <c r="AD1315" i="5"/>
  <c r="AC1315" i="5"/>
  <c r="AB1315" i="5"/>
  <c r="AA1315" i="5"/>
  <c r="Z1315" i="5"/>
  <c r="Y1315" i="5"/>
  <c r="X1315" i="5"/>
  <c r="W1315" i="5"/>
  <c r="V1315" i="5"/>
  <c r="U1315" i="5"/>
  <c r="T1315" i="5"/>
  <c r="S1315" i="5"/>
  <c r="R1315" i="5"/>
  <c r="Q1315" i="5"/>
  <c r="P1315" i="5"/>
  <c r="O1315" i="5"/>
  <c r="N1315" i="5"/>
  <c r="M1315" i="5"/>
  <c r="L1315" i="5"/>
  <c r="AD1314" i="5"/>
  <c r="AC1314" i="5"/>
  <c r="AB1314" i="5"/>
  <c r="AA1314" i="5"/>
  <c r="Z1314" i="5"/>
  <c r="Y1314" i="5"/>
  <c r="X1314" i="5"/>
  <c r="W1314" i="5"/>
  <c r="V1314" i="5"/>
  <c r="U1314" i="5"/>
  <c r="T1314" i="5"/>
  <c r="S1314" i="5"/>
  <c r="R1314" i="5"/>
  <c r="Q1314" i="5"/>
  <c r="P1314" i="5"/>
  <c r="O1314" i="5"/>
  <c r="N1314" i="5"/>
  <c r="M1314" i="5"/>
  <c r="L1314" i="5"/>
  <c r="AD1313" i="5"/>
  <c r="AC1313" i="5"/>
  <c r="AB1313" i="5"/>
  <c r="AA1313" i="5"/>
  <c r="Z1313" i="5"/>
  <c r="Y1313" i="5"/>
  <c r="X1313" i="5"/>
  <c r="W1313" i="5"/>
  <c r="V1313" i="5"/>
  <c r="U1313" i="5"/>
  <c r="T1313" i="5"/>
  <c r="S1313" i="5"/>
  <c r="R1313" i="5"/>
  <c r="Q1313" i="5"/>
  <c r="P1313" i="5"/>
  <c r="O1313" i="5"/>
  <c r="N1313" i="5"/>
  <c r="M1313" i="5"/>
  <c r="L1313" i="5"/>
  <c r="AD1312" i="5"/>
  <c r="AC1312" i="5"/>
  <c r="AB1312" i="5"/>
  <c r="AA1312" i="5"/>
  <c r="Z1312" i="5"/>
  <c r="Y1312" i="5"/>
  <c r="X1312" i="5"/>
  <c r="W1312" i="5"/>
  <c r="V1312" i="5"/>
  <c r="U1312" i="5"/>
  <c r="T1312" i="5"/>
  <c r="S1312" i="5"/>
  <c r="R1312" i="5"/>
  <c r="Q1312" i="5"/>
  <c r="P1312" i="5"/>
  <c r="O1312" i="5"/>
  <c r="N1312" i="5"/>
  <c r="M1312" i="5"/>
  <c r="L1312" i="5"/>
  <c r="AD1311" i="5"/>
  <c r="AC1311" i="5"/>
  <c r="AB1311" i="5"/>
  <c r="AA1311" i="5"/>
  <c r="Z1311" i="5"/>
  <c r="Y1311" i="5"/>
  <c r="X1311" i="5"/>
  <c r="W1311" i="5"/>
  <c r="V1311" i="5"/>
  <c r="U1311" i="5"/>
  <c r="T1311" i="5"/>
  <c r="S1311" i="5"/>
  <c r="R1311" i="5"/>
  <c r="Q1311" i="5"/>
  <c r="P1311" i="5"/>
  <c r="O1311" i="5"/>
  <c r="N1311" i="5"/>
  <c r="M1311" i="5"/>
  <c r="L1311" i="5"/>
  <c r="AD1310" i="5"/>
  <c r="AC1310" i="5"/>
  <c r="AB1310" i="5"/>
  <c r="AA1310" i="5"/>
  <c r="Z1310" i="5"/>
  <c r="Y1310" i="5"/>
  <c r="X1310" i="5"/>
  <c r="W1310" i="5"/>
  <c r="V1310" i="5"/>
  <c r="U1310" i="5"/>
  <c r="T1310" i="5"/>
  <c r="S1310" i="5"/>
  <c r="R1310" i="5"/>
  <c r="Q1310" i="5"/>
  <c r="P1310" i="5"/>
  <c r="O1310" i="5"/>
  <c r="N1310" i="5"/>
  <c r="M1310" i="5"/>
  <c r="L1310" i="5"/>
  <c r="AD1309" i="5"/>
  <c r="AC1309" i="5"/>
  <c r="AB1309" i="5"/>
  <c r="AA1309" i="5"/>
  <c r="Z1309" i="5"/>
  <c r="Y1309" i="5"/>
  <c r="X1309" i="5"/>
  <c r="W1309" i="5"/>
  <c r="V1309" i="5"/>
  <c r="U1309" i="5"/>
  <c r="T1309" i="5"/>
  <c r="S1309" i="5"/>
  <c r="R1309" i="5"/>
  <c r="Q1309" i="5"/>
  <c r="P1309" i="5"/>
  <c r="O1309" i="5"/>
  <c r="N1309" i="5"/>
  <c r="M1309" i="5"/>
  <c r="L1309" i="5"/>
  <c r="AD1308" i="5"/>
  <c r="AC1308" i="5"/>
  <c r="AB1308" i="5"/>
  <c r="AA1308" i="5"/>
  <c r="Z1308" i="5"/>
  <c r="Y1308" i="5"/>
  <c r="X1308" i="5"/>
  <c r="W1308" i="5"/>
  <c r="V1308" i="5"/>
  <c r="U1308" i="5"/>
  <c r="T1308" i="5"/>
  <c r="S1308" i="5"/>
  <c r="R1308" i="5"/>
  <c r="Q1308" i="5"/>
  <c r="P1308" i="5"/>
  <c r="O1308" i="5"/>
  <c r="N1308" i="5"/>
  <c r="M1308" i="5"/>
  <c r="L1308" i="5"/>
  <c r="AD1307" i="5"/>
  <c r="AC1307" i="5"/>
  <c r="AB1307" i="5"/>
  <c r="AA1307" i="5"/>
  <c r="Z1307" i="5"/>
  <c r="Y1307" i="5"/>
  <c r="X1307" i="5"/>
  <c r="W1307" i="5"/>
  <c r="V1307" i="5"/>
  <c r="U1307" i="5"/>
  <c r="T1307" i="5"/>
  <c r="S1307" i="5"/>
  <c r="R1307" i="5"/>
  <c r="Q1307" i="5"/>
  <c r="P1307" i="5"/>
  <c r="O1307" i="5"/>
  <c r="N1307" i="5"/>
  <c r="M1307" i="5"/>
  <c r="L1307" i="5"/>
  <c r="AD1306" i="5"/>
  <c r="AC1306" i="5"/>
  <c r="AB1306" i="5"/>
  <c r="AA1306" i="5"/>
  <c r="Z1306" i="5"/>
  <c r="Y1306" i="5"/>
  <c r="X1306" i="5"/>
  <c r="W1306" i="5"/>
  <c r="V1306" i="5"/>
  <c r="U1306" i="5"/>
  <c r="T1306" i="5"/>
  <c r="S1306" i="5"/>
  <c r="R1306" i="5"/>
  <c r="Q1306" i="5"/>
  <c r="P1306" i="5"/>
  <c r="O1306" i="5"/>
  <c r="N1306" i="5"/>
  <c r="M1306" i="5"/>
  <c r="L1306" i="5"/>
  <c r="AD1305" i="5"/>
  <c r="AC1305" i="5"/>
  <c r="AB1305" i="5"/>
  <c r="AA1305" i="5"/>
  <c r="Z1305" i="5"/>
  <c r="Y1305" i="5"/>
  <c r="X1305" i="5"/>
  <c r="W1305" i="5"/>
  <c r="V1305" i="5"/>
  <c r="U1305" i="5"/>
  <c r="T1305" i="5"/>
  <c r="S1305" i="5"/>
  <c r="R1305" i="5"/>
  <c r="Q1305" i="5"/>
  <c r="P1305" i="5"/>
  <c r="O1305" i="5"/>
  <c r="N1305" i="5"/>
  <c r="M1305" i="5"/>
  <c r="L1305" i="5"/>
  <c r="AD1304" i="5"/>
  <c r="AC1304" i="5"/>
  <c r="AB1304" i="5"/>
  <c r="AA1304" i="5"/>
  <c r="Z1304" i="5"/>
  <c r="Y1304" i="5"/>
  <c r="X1304" i="5"/>
  <c r="W1304" i="5"/>
  <c r="V1304" i="5"/>
  <c r="U1304" i="5"/>
  <c r="T1304" i="5"/>
  <c r="S1304" i="5"/>
  <c r="R1304" i="5"/>
  <c r="Q1304" i="5"/>
  <c r="P1304" i="5"/>
  <c r="O1304" i="5"/>
  <c r="N1304" i="5"/>
  <c r="M1304" i="5"/>
  <c r="L1304" i="5"/>
  <c r="AD1303" i="5"/>
  <c r="AC1303" i="5"/>
  <c r="AB1303" i="5"/>
  <c r="AA1303" i="5"/>
  <c r="Z1303" i="5"/>
  <c r="Y1303" i="5"/>
  <c r="X1303" i="5"/>
  <c r="W1303" i="5"/>
  <c r="V1303" i="5"/>
  <c r="U1303" i="5"/>
  <c r="T1303" i="5"/>
  <c r="S1303" i="5"/>
  <c r="R1303" i="5"/>
  <c r="Q1303" i="5"/>
  <c r="P1303" i="5"/>
  <c r="O1303" i="5"/>
  <c r="N1303" i="5"/>
  <c r="M1303" i="5"/>
  <c r="L1303" i="5"/>
  <c r="AD1302" i="5"/>
  <c r="AC1302" i="5"/>
  <c r="AB1302" i="5"/>
  <c r="AA1302" i="5"/>
  <c r="Z1302" i="5"/>
  <c r="Y1302" i="5"/>
  <c r="X1302" i="5"/>
  <c r="W1302" i="5"/>
  <c r="V1302" i="5"/>
  <c r="U1302" i="5"/>
  <c r="T1302" i="5"/>
  <c r="S1302" i="5"/>
  <c r="R1302" i="5"/>
  <c r="Q1302" i="5"/>
  <c r="P1302" i="5"/>
  <c r="O1302" i="5"/>
  <c r="N1302" i="5"/>
  <c r="M1302" i="5"/>
  <c r="L1302" i="5"/>
  <c r="AD1301" i="5"/>
  <c r="AC1301" i="5"/>
  <c r="AB1301" i="5"/>
  <c r="AA1301" i="5"/>
  <c r="Z1301" i="5"/>
  <c r="Y1301" i="5"/>
  <c r="X1301" i="5"/>
  <c r="W1301" i="5"/>
  <c r="V1301" i="5"/>
  <c r="U1301" i="5"/>
  <c r="T1301" i="5"/>
  <c r="S1301" i="5"/>
  <c r="R1301" i="5"/>
  <c r="Q1301" i="5"/>
  <c r="P1301" i="5"/>
  <c r="O1301" i="5"/>
  <c r="N1301" i="5"/>
  <c r="M1301" i="5"/>
  <c r="L1301" i="5"/>
  <c r="AD1300" i="5"/>
  <c r="AC1300" i="5"/>
  <c r="AB1300" i="5"/>
  <c r="AA1300" i="5"/>
  <c r="Z1300" i="5"/>
  <c r="Y1300" i="5"/>
  <c r="X1300" i="5"/>
  <c r="W1300" i="5"/>
  <c r="V1300" i="5"/>
  <c r="U1300" i="5"/>
  <c r="T1300" i="5"/>
  <c r="S1300" i="5"/>
  <c r="R1300" i="5"/>
  <c r="Q1300" i="5"/>
  <c r="P1300" i="5"/>
  <c r="O1300" i="5"/>
  <c r="N1300" i="5"/>
  <c r="M1300" i="5"/>
  <c r="L1300" i="5"/>
  <c r="AD1299" i="5"/>
  <c r="AC1299" i="5"/>
  <c r="AB1299" i="5"/>
  <c r="AA1299" i="5"/>
  <c r="Z1299" i="5"/>
  <c r="Y1299" i="5"/>
  <c r="X1299" i="5"/>
  <c r="W1299" i="5"/>
  <c r="V1299" i="5"/>
  <c r="U1299" i="5"/>
  <c r="T1299" i="5"/>
  <c r="S1299" i="5"/>
  <c r="R1299" i="5"/>
  <c r="Q1299" i="5"/>
  <c r="P1299" i="5"/>
  <c r="O1299" i="5"/>
  <c r="N1299" i="5"/>
  <c r="M1299" i="5"/>
  <c r="L1299" i="5"/>
  <c r="AD1298" i="5"/>
  <c r="AC1298" i="5"/>
  <c r="AB1298" i="5"/>
  <c r="AA1298" i="5"/>
  <c r="Z1298" i="5"/>
  <c r="Y1298" i="5"/>
  <c r="X1298" i="5"/>
  <c r="W1298" i="5"/>
  <c r="V1298" i="5"/>
  <c r="U1298" i="5"/>
  <c r="T1298" i="5"/>
  <c r="S1298" i="5"/>
  <c r="R1298" i="5"/>
  <c r="Q1298" i="5"/>
  <c r="P1298" i="5"/>
  <c r="O1298" i="5"/>
  <c r="N1298" i="5"/>
  <c r="M1298" i="5"/>
  <c r="L1298" i="5"/>
  <c r="AD1297" i="5"/>
  <c r="AC1297" i="5"/>
  <c r="AB1297" i="5"/>
  <c r="AA1297" i="5"/>
  <c r="Z1297" i="5"/>
  <c r="Y1297" i="5"/>
  <c r="X1297" i="5"/>
  <c r="W1297" i="5"/>
  <c r="V1297" i="5"/>
  <c r="U1297" i="5"/>
  <c r="T1297" i="5"/>
  <c r="S1297" i="5"/>
  <c r="R1297" i="5"/>
  <c r="Q1297" i="5"/>
  <c r="P1297" i="5"/>
  <c r="O1297" i="5"/>
  <c r="N1297" i="5"/>
  <c r="M1297" i="5"/>
  <c r="L1297" i="5"/>
  <c r="AD1296" i="5"/>
  <c r="AC1296" i="5"/>
  <c r="AB1296" i="5"/>
  <c r="AA1296" i="5"/>
  <c r="Z1296" i="5"/>
  <c r="Y1296" i="5"/>
  <c r="X1296" i="5"/>
  <c r="W1296" i="5"/>
  <c r="V1296" i="5"/>
  <c r="U1296" i="5"/>
  <c r="T1296" i="5"/>
  <c r="S1296" i="5"/>
  <c r="R1296" i="5"/>
  <c r="Q1296" i="5"/>
  <c r="P1296" i="5"/>
  <c r="O1296" i="5"/>
  <c r="N1296" i="5"/>
  <c r="M1296" i="5"/>
  <c r="L1296" i="5"/>
  <c r="AD1295" i="5"/>
  <c r="AC1295" i="5"/>
  <c r="AB1295" i="5"/>
  <c r="AA1295" i="5"/>
  <c r="Z1295" i="5"/>
  <c r="Y1295" i="5"/>
  <c r="X1295" i="5"/>
  <c r="W1295" i="5"/>
  <c r="V1295" i="5"/>
  <c r="U1295" i="5"/>
  <c r="T1295" i="5"/>
  <c r="S1295" i="5"/>
  <c r="R1295" i="5"/>
  <c r="Q1295" i="5"/>
  <c r="P1295" i="5"/>
  <c r="O1295" i="5"/>
  <c r="N1295" i="5"/>
  <c r="M1295" i="5"/>
  <c r="L1295" i="5"/>
  <c r="AD1294" i="5"/>
  <c r="AC1294" i="5"/>
  <c r="AB1294" i="5"/>
  <c r="AA1294" i="5"/>
  <c r="Z1294" i="5"/>
  <c r="Y1294" i="5"/>
  <c r="X1294" i="5"/>
  <c r="W1294" i="5"/>
  <c r="V1294" i="5"/>
  <c r="U1294" i="5"/>
  <c r="T1294" i="5"/>
  <c r="S1294" i="5"/>
  <c r="R1294" i="5"/>
  <c r="Q1294" i="5"/>
  <c r="P1294" i="5"/>
  <c r="O1294" i="5"/>
  <c r="N1294" i="5"/>
  <c r="M1294" i="5"/>
  <c r="L1294" i="5"/>
  <c r="AD1293" i="5"/>
  <c r="AC1293" i="5"/>
  <c r="AB1293" i="5"/>
  <c r="AA1293" i="5"/>
  <c r="Z1293" i="5"/>
  <c r="Y1293" i="5"/>
  <c r="X1293" i="5"/>
  <c r="W1293" i="5"/>
  <c r="V1293" i="5"/>
  <c r="U1293" i="5"/>
  <c r="T1293" i="5"/>
  <c r="S1293" i="5"/>
  <c r="R1293" i="5"/>
  <c r="Q1293" i="5"/>
  <c r="P1293" i="5"/>
  <c r="O1293" i="5"/>
  <c r="N1293" i="5"/>
  <c r="M1293" i="5"/>
  <c r="L1293" i="5"/>
  <c r="AD1292" i="5"/>
  <c r="AC1292" i="5"/>
  <c r="AB1292" i="5"/>
  <c r="AA1292" i="5"/>
  <c r="Z1292" i="5"/>
  <c r="Y1292" i="5"/>
  <c r="X1292" i="5"/>
  <c r="W1292" i="5"/>
  <c r="V1292" i="5"/>
  <c r="U1292" i="5"/>
  <c r="T1292" i="5"/>
  <c r="S1292" i="5"/>
  <c r="R1292" i="5"/>
  <c r="Q1292" i="5"/>
  <c r="P1292" i="5"/>
  <c r="O1292" i="5"/>
  <c r="N1292" i="5"/>
  <c r="M1292" i="5"/>
  <c r="L1292" i="5"/>
  <c r="AD1291" i="5"/>
  <c r="AC1291" i="5"/>
  <c r="AB1291" i="5"/>
  <c r="AA1291" i="5"/>
  <c r="Z1291" i="5"/>
  <c r="Y1291" i="5"/>
  <c r="X1291" i="5"/>
  <c r="W1291" i="5"/>
  <c r="V1291" i="5"/>
  <c r="U1291" i="5"/>
  <c r="T1291" i="5"/>
  <c r="S1291" i="5"/>
  <c r="R1291" i="5"/>
  <c r="Q1291" i="5"/>
  <c r="P1291" i="5"/>
  <c r="O1291" i="5"/>
  <c r="N1291" i="5"/>
  <c r="M1291" i="5"/>
  <c r="L1291" i="5"/>
  <c r="AD1290" i="5"/>
  <c r="AC1290" i="5"/>
  <c r="AB1290" i="5"/>
  <c r="AA1290" i="5"/>
  <c r="Z1290" i="5"/>
  <c r="Y1290" i="5"/>
  <c r="X1290" i="5"/>
  <c r="W1290" i="5"/>
  <c r="V1290" i="5"/>
  <c r="U1290" i="5"/>
  <c r="T1290" i="5"/>
  <c r="S1290" i="5"/>
  <c r="R1290" i="5"/>
  <c r="Q1290" i="5"/>
  <c r="P1290" i="5"/>
  <c r="O1290" i="5"/>
  <c r="N1290" i="5"/>
  <c r="M1290" i="5"/>
  <c r="L1290" i="5"/>
  <c r="AD1289" i="5"/>
  <c r="AC1289" i="5"/>
  <c r="AB1289" i="5"/>
  <c r="AA1289" i="5"/>
  <c r="Z1289" i="5"/>
  <c r="Y1289" i="5"/>
  <c r="X1289" i="5"/>
  <c r="W1289" i="5"/>
  <c r="V1289" i="5"/>
  <c r="U1289" i="5"/>
  <c r="T1289" i="5"/>
  <c r="S1289" i="5"/>
  <c r="R1289" i="5"/>
  <c r="Q1289" i="5"/>
  <c r="P1289" i="5"/>
  <c r="O1289" i="5"/>
  <c r="N1289" i="5"/>
  <c r="M1289" i="5"/>
  <c r="L1289" i="5"/>
  <c r="AD1288" i="5"/>
  <c r="AC1288" i="5"/>
  <c r="AB1288" i="5"/>
  <c r="AA1288" i="5"/>
  <c r="Z1288" i="5"/>
  <c r="Y1288" i="5"/>
  <c r="X1288" i="5"/>
  <c r="W1288" i="5"/>
  <c r="V1288" i="5"/>
  <c r="U1288" i="5"/>
  <c r="T1288" i="5"/>
  <c r="S1288" i="5"/>
  <c r="R1288" i="5"/>
  <c r="Q1288" i="5"/>
  <c r="P1288" i="5"/>
  <c r="O1288" i="5"/>
  <c r="N1288" i="5"/>
  <c r="M1288" i="5"/>
  <c r="L1288" i="5"/>
  <c r="AD1287" i="5"/>
  <c r="AC1287" i="5"/>
  <c r="AB1287" i="5"/>
  <c r="AA1287" i="5"/>
  <c r="Z1287" i="5"/>
  <c r="Y1287" i="5"/>
  <c r="X1287" i="5"/>
  <c r="W1287" i="5"/>
  <c r="V1287" i="5"/>
  <c r="U1287" i="5"/>
  <c r="T1287" i="5"/>
  <c r="S1287" i="5"/>
  <c r="R1287" i="5"/>
  <c r="Q1287" i="5"/>
  <c r="P1287" i="5"/>
  <c r="O1287" i="5"/>
  <c r="N1287" i="5"/>
  <c r="M1287" i="5"/>
  <c r="L1287" i="5"/>
  <c r="AD1286" i="5"/>
  <c r="AC1286" i="5"/>
  <c r="AB1286" i="5"/>
  <c r="AA1286" i="5"/>
  <c r="Z1286" i="5"/>
  <c r="Y1286" i="5"/>
  <c r="X1286" i="5"/>
  <c r="W1286" i="5"/>
  <c r="V1286" i="5"/>
  <c r="U1286" i="5"/>
  <c r="T1286" i="5"/>
  <c r="S1286" i="5"/>
  <c r="R1286" i="5"/>
  <c r="Q1286" i="5"/>
  <c r="P1286" i="5"/>
  <c r="O1286" i="5"/>
  <c r="N1286" i="5"/>
  <c r="M1286" i="5"/>
  <c r="L1286" i="5"/>
  <c r="AD1285" i="5"/>
  <c r="AC1285" i="5"/>
  <c r="AB1285" i="5"/>
  <c r="AA1285" i="5"/>
  <c r="Z1285" i="5"/>
  <c r="Y1285" i="5"/>
  <c r="X1285" i="5"/>
  <c r="W1285" i="5"/>
  <c r="V1285" i="5"/>
  <c r="U1285" i="5"/>
  <c r="T1285" i="5"/>
  <c r="S1285" i="5"/>
  <c r="R1285" i="5"/>
  <c r="Q1285" i="5"/>
  <c r="P1285" i="5"/>
  <c r="O1285" i="5"/>
  <c r="N1285" i="5"/>
  <c r="M1285" i="5"/>
  <c r="L1285" i="5"/>
  <c r="AD1284" i="5"/>
  <c r="AC1284" i="5"/>
  <c r="AB1284" i="5"/>
  <c r="AA1284" i="5"/>
  <c r="Z1284" i="5"/>
  <c r="Y1284" i="5"/>
  <c r="X1284" i="5"/>
  <c r="W1284" i="5"/>
  <c r="V1284" i="5"/>
  <c r="U1284" i="5"/>
  <c r="T1284" i="5"/>
  <c r="S1284" i="5"/>
  <c r="R1284" i="5"/>
  <c r="Q1284" i="5"/>
  <c r="P1284" i="5"/>
  <c r="O1284" i="5"/>
  <c r="N1284" i="5"/>
  <c r="M1284" i="5"/>
  <c r="L1284" i="5"/>
  <c r="AD1283" i="5"/>
  <c r="AC1283" i="5"/>
  <c r="AB1283" i="5"/>
  <c r="AA1283" i="5"/>
  <c r="Z1283" i="5"/>
  <c r="Y1283" i="5"/>
  <c r="X1283" i="5"/>
  <c r="W1283" i="5"/>
  <c r="V1283" i="5"/>
  <c r="U1283" i="5"/>
  <c r="T1283" i="5"/>
  <c r="S1283" i="5"/>
  <c r="R1283" i="5"/>
  <c r="Q1283" i="5"/>
  <c r="P1283" i="5"/>
  <c r="O1283" i="5"/>
  <c r="N1283" i="5"/>
  <c r="M1283" i="5"/>
  <c r="L1283" i="5"/>
  <c r="AD1282" i="5"/>
  <c r="AC1282" i="5"/>
  <c r="AB1282" i="5"/>
  <c r="AA1282" i="5"/>
  <c r="Z1282" i="5"/>
  <c r="Y1282" i="5"/>
  <c r="X1282" i="5"/>
  <c r="W1282" i="5"/>
  <c r="V1282" i="5"/>
  <c r="U1282" i="5"/>
  <c r="T1282" i="5"/>
  <c r="S1282" i="5"/>
  <c r="R1282" i="5"/>
  <c r="Q1282" i="5"/>
  <c r="P1282" i="5"/>
  <c r="O1282" i="5"/>
  <c r="N1282" i="5"/>
  <c r="M1282" i="5"/>
  <c r="L1282" i="5"/>
  <c r="AD1281" i="5"/>
  <c r="AC1281" i="5"/>
  <c r="AB1281" i="5"/>
  <c r="AA1281" i="5"/>
  <c r="Z1281" i="5"/>
  <c r="Y1281" i="5"/>
  <c r="X1281" i="5"/>
  <c r="W1281" i="5"/>
  <c r="V1281" i="5"/>
  <c r="U1281" i="5"/>
  <c r="T1281" i="5"/>
  <c r="S1281" i="5"/>
  <c r="R1281" i="5"/>
  <c r="Q1281" i="5"/>
  <c r="P1281" i="5"/>
  <c r="O1281" i="5"/>
  <c r="N1281" i="5"/>
  <c r="M1281" i="5"/>
  <c r="L1281" i="5"/>
  <c r="AD1280" i="5"/>
  <c r="AC1280" i="5"/>
  <c r="AB1280" i="5"/>
  <c r="AA1280" i="5"/>
  <c r="Z1280" i="5"/>
  <c r="Y1280" i="5"/>
  <c r="X1280" i="5"/>
  <c r="W1280" i="5"/>
  <c r="V1280" i="5"/>
  <c r="U1280" i="5"/>
  <c r="T1280" i="5"/>
  <c r="S1280" i="5"/>
  <c r="R1280" i="5"/>
  <c r="Q1280" i="5"/>
  <c r="P1280" i="5"/>
  <c r="O1280" i="5"/>
  <c r="N1280" i="5"/>
  <c r="M1280" i="5"/>
  <c r="L1280" i="5"/>
  <c r="AD1279" i="5"/>
  <c r="AC1279" i="5"/>
  <c r="AB1279" i="5"/>
  <c r="AA1279" i="5"/>
  <c r="Z1279" i="5"/>
  <c r="Y1279" i="5"/>
  <c r="X1279" i="5"/>
  <c r="W1279" i="5"/>
  <c r="V1279" i="5"/>
  <c r="U1279" i="5"/>
  <c r="T1279" i="5"/>
  <c r="S1279" i="5"/>
  <c r="R1279" i="5"/>
  <c r="Q1279" i="5"/>
  <c r="P1279" i="5"/>
  <c r="O1279" i="5"/>
  <c r="N1279" i="5"/>
  <c r="M1279" i="5"/>
  <c r="L1279" i="5"/>
  <c r="AD1278" i="5"/>
  <c r="AC1278" i="5"/>
  <c r="AB1278" i="5"/>
  <c r="AA1278" i="5"/>
  <c r="Z1278" i="5"/>
  <c r="Y1278" i="5"/>
  <c r="X1278" i="5"/>
  <c r="W1278" i="5"/>
  <c r="V1278" i="5"/>
  <c r="U1278" i="5"/>
  <c r="T1278" i="5"/>
  <c r="S1278" i="5"/>
  <c r="R1278" i="5"/>
  <c r="Q1278" i="5"/>
  <c r="P1278" i="5"/>
  <c r="O1278" i="5"/>
  <c r="N1278" i="5"/>
  <c r="M1278" i="5"/>
  <c r="L1278" i="5"/>
  <c r="AD1277" i="5"/>
  <c r="AC1277" i="5"/>
  <c r="AB1277" i="5"/>
  <c r="AA1277" i="5"/>
  <c r="Z1277" i="5"/>
  <c r="Y1277" i="5"/>
  <c r="X1277" i="5"/>
  <c r="W1277" i="5"/>
  <c r="V1277" i="5"/>
  <c r="U1277" i="5"/>
  <c r="T1277" i="5"/>
  <c r="S1277" i="5"/>
  <c r="R1277" i="5"/>
  <c r="Q1277" i="5"/>
  <c r="P1277" i="5"/>
  <c r="O1277" i="5"/>
  <c r="N1277" i="5"/>
  <c r="M1277" i="5"/>
  <c r="L1277" i="5"/>
  <c r="AD1276" i="5"/>
  <c r="AC1276" i="5"/>
  <c r="AB1276" i="5"/>
  <c r="AA1276" i="5"/>
  <c r="Z1276" i="5"/>
  <c r="Y1276" i="5"/>
  <c r="X1276" i="5"/>
  <c r="W1276" i="5"/>
  <c r="V1276" i="5"/>
  <c r="U1276" i="5"/>
  <c r="T1276" i="5"/>
  <c r="S1276" i="5"/>
  <c r="R1276" i="5"/>
  <c r="Q1276" i="5"/>
  <c r="P1276" i="5"/>
  <c r="O1276" i="5"/>
  <c r="N1276" i="5"/>
  <c r="M1276" i="5"/>
  <c r="L1276" i="5"/>
  <c r="AD1275" i="5"/>
  <c r="AC1275" i="5"/>
  <c r="AB1275" i="5"/>
  <c r="AA1275" i="5"/>
  <c r="Z1275" i="5"/>
  <c r="Y1275" i="5"/>
  <c r="X1275" i="5"/>
  <c r="W1275" i="5"/>
  <c r="V1275" i="5"/>
  <c r="U1275" i="5"/>
  <c r="T1275" i="5"/>
  <c r="S1275" i="5"/>
  <c r="R1275" i="5"/>
  <c r="Q1275" i="5"/>
  <c r="P1275" i="5"/>
  <c r="O1275" i="5"/>
  <c r="N1275" i="5"/>
  <c r="M1275" i="5"/>
  <c r="L1275" i="5"/>
  <c r="AD1274" i="5"/>
  <c r="AC1274" i="5"/>
  <c r="AB1274" i="5"/>
  <c r="AA1274" i="5"/>
  <c r="Z1274" i="5"/>
  <c r="Y1274" i="5"/>
  <c r="X1274" i="5"/>
  <c r="W1274" i="5"/>
  <c r="V1274" i="5"/>
  <c r="U1274" i="5"/>
  <c r="T1274" i="5"/>
  <c r="S1274" i="5"/>
  <c r="R1274" i="5"/>
  <c r="Q1274" i="5"/>
  <c r="P1274" i="5"/>
  <c r="O1274" i="5"/>
  <c r="N1274" i="5"/>
  <c r="M1274" i="5"/>
  <c r="L1274" i="5"/>
  <c r="AD1273" i="5"/>
  <c r="AC1273" i="5"/>
  <c r="AB1273" i="5"/>
  <c r="AA1273" i="5"/>
  <c r="Z1273" i="5"/>
  <c r="Y1273" i="5"/>
  <c r="X1273" i="5"/>
  <c r="W1273" i="5"/>
  <c r="V1273" i="5"/>
  <c r="U1273" i="5"/>
  <c r="T1273" i="5"/>
  <c r="S1273" i="5"/>
  <c r="R1273" i="5"/>
  <c r="Q1273" i="5"/>
  <c r="P1273" i="5"/>
  <c r="O1273" i="5"/>
  <c r="N1273" i="5"/>
  <c r="M1273" i="5"/>
  <c r="L1273" i="5"/>
  <c r="AD1272" i="5"/>
  <c r="AC1272" i="5"/>
  <c r="AB1272" i="5"/>
  <c r="AA1272" i="5"/>
  <c r="Z1272" i="5"/>
  <c r="Y1272" i="5"/>
  <c r="X1272" i="5"/>
  <c r="W1272" i="5"/>
  <c r="V1272" i="5"/>
  <c r="U1272" i="5"/>
  <c r="T1272" i="5"/>
  <c r="S1272" i="5"/>
  <c r="R1272" i="5"/>
  <c r="Q1272" i="5"/>
  <c r="P1272" i="5"/>
  <c r="O1272" i="5"/>
  <c r="N1272" i="5"/>
  <c r="M1272" i="5"/>
  <c r="L1272" i="5"/>
  <c r="AD1271" i="5"/>
  <c r="AC1271" i="5"/>
  <c r="AB1271" i="5"/>
  <c r="AA1271" i="5"/>
  <c r="Z1271" i="5"/>
  <c r="Y1271" i="5"/>
  <c r="X1271" i="5"/>
  <c r="W1271" i="5"/>
  <c r="V1271" i="5"/>
  <c r="U1271" i="5"/>
  <c r="T1271" i="5"/>
  <c r="S1271" i="5"/>
  <c r="R1271" i="5"/>
  <c r="Q1271" i="5"/>
  <c r="P1271" i="5"/>
  <c r="O1271" i="5"/>
  <c r="N1271" i="5"/>
  <c r="M1271" i="5"/>
  <c r="L1271" i="5"/>
  <c r="AD1270" i="5"/>
  <c r="AC1270" i="5"/>
  <c r="AB1270" i="5"/>
  <c r="AA1270" i="5"/>
  <c r="Z1270" i="5"/>
  <c r="Y1270" i="5"/>
  <c r="X1270" i="5"/>
  <c r="W1270" i="5"/>
  <c r="V1270" i="5"/>
  <c r="U1270" i="5"/>
  <c r="T1270" i="5"/>
  <c r="S1270" i="5"/>
  <c r="R1270" i="5"/>
  <c r="Q1270" i="5"/>
  <c r="P1270" i="5"/>
  <c r="O1270" i="5"/>
  <c r="N1270" i="5"/>
  <c r="M1270" i="5"/>
  <c r="L1270" i="5"/>
  <c r="AD1269" i="5"/>
  <c r="AC1269" i="5"/>
  <c r="AB1269" i="5"/>
  <c r="AA1269" i="5"/>
  <c r="Z1269" i="5"/>
  <c r="Y1269" i="5"/>
  <c r="X1269" i="5"/>
  <c r="W1269" i="5"/>
  <c r="V1269" i="5"/>
  <c r="U1269" i="5"/>
  <c r="T1269" i="5"/>
  <c r="S1269" i="5"/>
  <c r="R1269" i="5"/>
  <c r="Q1269" i="5"/>
  <c r="P1269" i="5"/>
  <c r="O1269" i="5"/>
  <c r="N1269" i="5"/>
  <c r="M1269" i="5"/>
  <c r="L1269" i="5"/>
  <c r="AD1268" i="5"/>
  <c r="AC1268" i="5"/>
  <c r="AB1268" i="5"/>
  <c r="AA1268" i="5"/>
  <c r="Z1268" i="5"/>
  <c r="Y1268" i="5"/>
  <c r="X1268" i="5"/>
  <c r="W1268" i="5"/>
  <c r="V1268" i="5"/>
  <c r="U1268" i="5"/>
  <c r="T1268" i="5"/>
  <c r="S1268" i="5"/>
  <c r="R1268" i="5"/>
  <c r="Q1268" i="5"/>
  <c r="P1268" i="5"/>
  <c r="O1268" i="5"/>
  <c r="N1268" i="5"/>
  <c r="M1268" i="5"/>
  <c r="L1268" i="5"/>
  <c r="AD1267" i="5"/>
  <c r="AC1267" i="5"/>
  <c r="AB1267" i="5"/>
  <c r="AA1267" i="5"/>
  <c r="Z1267" i="5"/>
  <c r="Y1267" i="5"/>
  <c r="X1267" i="5"/>
  <c r="W1267" i="5"/>
  <c r="V1267" i="5"/>
  <c r="U1267" i="5"/>
  <c r="T1267" i="5"/>
  <c r="S1267" i="5"/>
  <c r="R1267" i="5"/>
  <c r="Q1267" i="5"/>
  <c r="P1267" i="5"/>
  <c r="O1267" i="5"/>
  <c r="N1267" i="5"/>
  <c r="M1267" i="5"/>
  <c r="L1267" i="5"/>
  <c r="AD1266" i="5"/>
  <c r="AC1266" i="5"/>
  <c r="AB1266" i="5"/>
  <c r="AA1266" i="5"/>
  <c r="Z1266" i="5"/>
  <c r="Y1266" i="5"/>
  <c r="X1266" i="5"/>
  <c r="W1266" i="5"/>
  <c r="V1266" i="5"/>
  <c r="U1266" i="5"/>
  <c r="T1266" i="5"/>
  <c r="S1266" i="5"/>
  <c r="R1266" i="5"/>
  <c r="Q1266" i="5"/>
  <c r="P1266" i="5"/>
  <c r="O1266" i="5"/>
  <c r="N1266" i="5"/>
  <c r="M1266" i="5"/>
  <c r="L1266" i="5"/>
  <c r="AD1265" i="5"/>
  <c r="AC1265" i="5"/>
  <c r="AB1265" i="5"/>
  <c r="AA1265" i="5"/>
  <c r="Z1265" i="5"/>
  <c r="Y1265" i="5"/>
  <c r="X1265" i="5"/>
  <c r="W1265" i="5"/>
  <c r="V1265" i="5"/>
  <c r="U1265" i="5"/>
  <c r="T1265" i="5"/>
  <c r="S1265" i="5"/>
  <c r="R1265" i="5"/>
  <c r="Q1265" i="5"/>
  <c r="P1265" i="5"/>
  <c r="O1265" i="5"/>
  <c r="N1265" i="5"/>
  <c r="M1265" i="5"/>
  <c r="L1265" i="5"/>
  <c r="AD1264" i="5"/>
  <c r="AC1264" i="5"/>
  <c r="AB1264" i="5"/>
  <c r="AA1264" i="5"/>
  <c r="Z1264" i="5"/>
  <c r="Y1264" i="5"/>
  <c r="X1264" i="5"/>
  <c r="W1264" i="5"/>
  <c r="V1264" i="5"/>
  <c r="U1264" i="5"/>
  <c r="T1264" i="5"/>
  <c r="S1264" i="5"/>
  <c r="R1264" i="5"/>
  <c r="Q1264" i="5"/>
  <c r="P1264" i="5"/>
  <c r="O1264" i="5"/>
  <c r="N1264" i="5"/>
  <c r="M1264" i="5"/>
  <c r="L1264" i="5"/>
  <c r="AD1263" i="5"/>
  <c r="AC1263" i="5"/>
  <c r="AB1263" i="5"/>
  <c r="AA1263" i="5"/>
  <c r="Z1263" i="5"/>
  <c r="Y1263" i="5"/>
  <c r="X1263" i="5"/>
  <c r="W1263" i="5"/>
  <c r="V1263" i="5"/>
  <c r="U1263" i="5"/>
  <c r="T1263" i="5"/>
  <c r="S1263" i="5"/>
  <c r="R1263" i="5"/>
  <c r="Q1263" i="5"/>
  <c r="P1263" i="5"/>
  <c r="O1263" i="5"/>
  <c r="N1263" i="5"/>
  <c r="M1263" i="5"/>
  <c r="L1263" i="5"/>
  <c r="AD1262" i="5"/>
  <c r="AC1262" i="5"/>
  <c r="AB1262" i="5"/>
  <c r="AA1262" i="5"/>
  <c r="Z1262" i="5"/>
  <c r="Y1262" i="5"/>
  <c r="X1262" i="5"/>
  <c r="W1262" i="5"/>
  <c r="V1262" i="5"/>
  <c r="U1262" i="5"/>
  <c r="T1262" i="5"/>
  <c r="S1262" i="5"/>
  <c r="R1262" i="5"/>
  <c r="Q1262" i="5"/>
  <c r="P1262" i="5"/>
  <c r="O1262" i="5"/>
  <c r="N1262" i="5"/>
  <c r="M1262" i="5"/>
  <c r="L1262" i="5"/>
  <c r="AD1261" i="5"/>
  <c r="AC1261" i="5"/>
  <c r="AB1261" i="5"/>
  <c r="AA1261" i="5"/>
  <c r="Z1261" i="5"/>
  <c r="Y1261" i="5"/>
  <c r="X1261" i="5"/>
  <c r="W1261" i="5"/>
  <c r="V1261" i="5"/>
  <c r="U1261" i="5"/>
  <c r="T1261" i="5"/>
  <c r="S1261" i="5"/>
  <c r="R1261" i="5"/>
  <c r="Q1261" i="5"/>
  <c r="P1261" i="5"/>
  <c r="O1261" i="5"/>
  <c r="N1261" i="5"/>
  <c r="M1261" i="5"/>
  <c r="L1261" i="5"/>
  <c r="AD1260" i="5"/>
  <c r="AC1260" i="5"/>
  <c r="AB1260" i="5"/>
  <c r="AA1260" i="5"/>
  <c r="Z1260" i="5"/>
  <c r="Y1260" i="5"/>
  <c r="X1260" i="5"/>
  <c r="W1260" i="5"/>
  <c r="V1260" i="5"/>
  <c r="U1260" i="5"/>
  <c r="T1260" i="5"/>
  <c r="S1260" i="5"/>
  <c r="R1260" i="5"/>
  <c r="Q1260" i="5"/>
  <c r="P1260" i="5"/>
  <c r="O1260" i="5"/>
  <c r="N1260" i="5"/>
  <c r="M1260" i="5"/>
  <c r="L1260" i="5"/>
  <c r="AD1259" i="5"/>
  <c r="AC1259" i="5"/>
  <c r="AB1259" i="5"/>
  <c r="AA1259" i="5"/>
  <c r="Z1259" i="5"/>
  <c r="Y1259" i="5"/>
  <c r="X1259" i="5"/>
  <c r="W1259" i="5"/>
  <c r="V1259" i="5"/>
  <c r="U1259" i="5"/>
  <c r="T1259" i="5"/>
  <c r="S1259" i="5"/>
  <c r="R1259" i="5"/>
  <c r="Q1259" i="5"/>
  <c r="P1259" i="5"/>
  <c r="O1259" i="5"/>
  <c r="N1259" i="5"/>
  <c r="M1259" i="5"/>
  <c r="L1259" i="5"/>
  <c r="AD1258" i="5"/>
  <c r="AC1258" i="5"/>
  <c r="AB1258" i="5"/>
  <c r="AA1258" i="5"/>
  <c r="Z1258" i="5"/>
  <c r="Y1258" i="5"/>
  <c r="X1258" i="5"/>
  <c r="W1258" i="5"/>
  <c r="V1258" i="5"/>
  <c r="U1258" i="5"/>
  <c r="T1258" i="5"/>
  <c r="S1258" i="5"/>
  <c r="R1258" i="5"/>
  <c r="Q1258" i="5"/>
  <c r="P1258" i="5"/>
  <c r="O1258" i="5"/>
  <c r="N1258" i="5"/>
  <c r="M1258" i="5"/>
  <c r="L1258" i="5"/>
  <c r="AD1257" i="5"/>
  <c r="AC1257" i="5"/>
  <c r="AB1257" i="5"/>
  <c r="AA1257" i="5"/>
  <c r="Z1257" i="5"/>
  <c r="Y1257" i="5"/>
  <c r="X1257" i="5"/>
  <c r="W1257" i="5"/>
  <c r="V1257" i="5"/>
  <c r="U1257" i="5"/>
  <c r="T1257" i="5"/>
  <c r="S1257" i="5"/>
  <c r="R1257" i="5"/>
  <c r="Q1257" i="5"/>
  <c r="P1257" i="5"/>
  <c r="O1257" i="5"/>
  <c r="N1257" i="5"/>
  <c r="M1257" i="5"/>
  <c r="L1257" i="5"/>
  <c r="AD1256" i="5"/>
  <c r="AC1256" i="5"/>
  <c r="AB1256" i="5"/>
  <c r="AA1256" i="5"/>
  <c r="Z1256" i="5"/>
  <c r="Y1256" i="5"/>
  <c r="X1256" i="5"/>
  <c r="W1256" i="5"/>
  <c r="V1256" i="5"/>
  <c r="U1256" i="5"/>
  <c r="T1256" i="5"/>
  <c r="S1256" i="5"/>
  <c r="R1256" i="5"/>
  <c r="Q1256" i="5"/>
  <c r="P1256" i="5"/>
  <c r="O1256" i="5"/>
  <c r="N1256" i="5"/>
  <c r="M1256" i="5"/>
  <c r="L1256" i="5"/>
  <c r="AD1255" i="5"/>
  <c r="AC1255" i="5"/>
  <c r="AB1255" i="5"/>
  <c r="AA1255" i="5"/>
  <c r="Z1255" i="5"/>
  <c r="Y1255" i="5"/>
  <c r="X1255" i="5"/>
  <c r="W1255" i="5"/>
  <c r="V1255" i="5"/>
  <c r="U1255" i="5"/>
  <c r="T1255" i="5"/>
  <c r="S1255" i="5"/>
  <c r="R1255" i="5"/>
  <c r="Q1255" i="5"/>
  <c r="P1255" i="5"/>
  <c r="O1255" i="5"/>
  <c r="N1255" i="5"/>
  <c r="M1255" i="5"/>
  <c r="L1255" i="5"/>
  <c r="AD1254" i="5"/>
  <c r="AC1254" i="5"/>
  <c r="AB1254" i="5"/>
  <c r="AA1254" i="5"/>
  <c r="Z1254" i="5"/>
  <c r="Y1254" i="5"/>
  <c r="X1254" i="5"/>
  <c r="W1254" i="5"/>
  <c r="V1254" i="5"/>
  <c r="U1254" i="5"/>
  <c r="T1254" i="5"/>
  <c r="S1254" i="5"/>
  <c r="R1254" i="5"/>
  <c r="Q1254" i="5"/>
  <c r="P1254" i="5"/>
  <c r="O1254" i="5"/>
  <c r="N1254" i="5"/>
  <c r="M1254" i="5"/>
  <c r="L1254" i="5"/>
  <c r="AD1253" i="5"/>
  <c r="AC1253" i="5"/>
  <c r="AB1253" i="5"/>
  <c r="AA1253" i="5"/>
  <c r="Z1253" i="5"/>
  <c r="Y1253" i="5"/>
  <c r="X1253" i="5"/>
  <c r="W1253" i="5"/>
  <c r="V1253" i="5"/>
  <c r="U1253" i="5"/>
  <c r="T1253" i="5"/>
  <c r="S1253" i="5"/>
  <c r="R1253" i="5"/>
  <c r="Q1253" i="5"/>
  <c r="P1253" i="5"/>
  <c r="O1253" i="5"/>
  <c r="N1253" i="5"/>
  <c r="M1253" i="5"/>
  <c r="L1253" i="5"/>
  <c r="AD1252" i="5"/>
  <c r="AC1252" i="5"/>
  <c r="AB1252" i="5"/>
  <c r="AA1252" i="5"/>
  <c r="Z1252" i="5"/>
  <c r="Y1252" i="5"/>
  <c r="X1252" i="5"/>
  <c r="W1252" i="5"/>
  <c r="V1252" i="5"/>
  <c r="U1252" i="5"/>
  <c r="T1252" i="5"/>
  <c r="S1252" i="5"/>
  <c r="R1252" i="5"/>
  <c r="Q1252" i="5"/>
  <c r="P1252" i="5"/>
  <c r="O1252" i="5"/>
  <c r="N1252" i="5"/>
  <c r="M1252" i="5"/>
  <c r="L1252" i="5"/>
  <c r="AD1251" i="5"/>
  <c r="AC1251" i="5"/>
  <c r="AB1251" i="5"/>
  <c r="AA1251" i="5"/>
  <c r="Z1251" i="5"/>
  <c r="Y1251" i="5"/>
  <c r="X1251" i="5"/>
  <c r="W1251" i="5"/>
  <c r="V1251" i="5"/>
  <c r="U1251" i="5"/>
  <c r="T1251" i="5"/>
  <c r="S1251" i="5"/>
  <c r="R1251" i="5"/>
  <c r="Q1251" i="5"/>
  <c r="P1251" i="5"/>
  <c r="O1251" i="5"/>
  <c r="N1251" i="5"/>
  <c r="M1251" i="5"/>
  <c r="L1251" i="5"/>
  <c r="AD1250" i="5"/>
  <c r="AC1250" i="5"/>
  <c r="AB1250" i="5"/>
  <c r="AA1250" i="5"/>
  <c r="Z1250" i="5"/>
  <c r="Y1250" i="5"/>
  <c r="X1250" i="5"/>
  <c r="W1250" i="5"/>
  <c r="V1250" i="5"/>
  <c r="U1250" i="5"/>
  <c r="T1250" i="5"/>
  <c r="S1250" i="5"/>
  <c r="R1250" i="5"/>
  <c r="Q1250" i="5"/>
  <c r="P1250" i="5"/>
  <c r="O1250" i="5"/>
  <c r="N1250" i="5"/>
  <c r="M1250" i="5"/>
  <c r="L1250" i="5"/>
  <c r="AD1249" i="5"/>
  <c r="AC1249" i="5"/>
  <c r="AB1249" i="5"/>
  <c r="AA1249" i="5"/>
  <c r="Z1249" i="5"/>
  <c r="Y1249" i="5"/>
  <c r="X1249" i="5"/>
  <c r="W1249" i="5"/>
  <c r="V1249" i="5"/>
  <c r="U1249" i="5"/>
  <c r="T1249" i="5"/>
  <c r="S1249" i="5"/>
  <c r="R1249" i="5"/>
  <c r="Q1249" i="5"/>
  <c r="P1249" i="5"/>
  <c r="O1249" i="5"/>
  <c r="N1249" i="5"/>
  <c r="M1249" i="5"/>
  <c r="L1249" i="5"/>
  <c r="AD1248" i="5"/>
  <c r="AC1248" i="5"/>
  <c r="AB1248" i="5"/>
  <c r="AA1248" i="5"/>
  <c r="Z1248" i="5"/>
  <c r="Y1248" i="5"/>
  <c r="X1248" i="5"/>
  <c r="W1248" i="5"/>
  <c r="V1248" i="5"/>
  <c r="U1248" i="5"/>
  <c r="T1248" i="5"/>
  <c r="S1248" i="5"/>
  <c r="R1248" i="5"/>
  <c r="Q1248" i="5"/>
  <c r="P1248" i="5"/>
  <c r="O1248" i="5"/>
  <c r="N1248" i="5"/>
  <c r="M1248" i="5"/>
  <c r="L1248" i="5"/>
  <c r="AD1247" i="5"/>
  <c r="AC1247" i="5"/>
  <c r="AB1247" i="5"/>
  <c r="AA1247" i="5"/>
  <c r="Z1247" i="5"/>
  <c r="Y1247" i="5"/>
  <c r="X1247" i="5"/>
  <c r="W1247" i="5"/>
  <c r="V1247" i="5"/>
  <c r="U1247" i="5"/>
  <c r="T1247" i="5"/>
  <c r="S1247" i="5"/>
  <c r="R1247" i="5"/>
  <c r="Q1247" i="5"/>
  <c r="P1247" i="5"/>
  <c r="O1247" i="5"/>
  <c r="N1247" i="5"/>
  <c r="M1247" i="5"/>
  <c r="L1247" i="5"/>
  <c r="AD1246" i="5"/>
  <c r="AC1246" i="5"/>
  <c r="AB1246" i="5"/>
  <c r="AA1246" i="5"/>
  <c r="Z1246" i="5"/>
  <c r="Y1246" i="5"/>
  <c r="X1246" i="5"/>
  <c r="W1246" i="5"/>
  <c r="V1246" i="5"/>
  <c r="U1246" i="5"/>
  <c r="T1246" i="5"/>
  <c r="S1246" i="5"/>
  <c r="R1246" i="5"/>
  <c r="Q1246" i="5"/>
  <c r="P1246" i="5"/>
  <c r="O1246" i="5"/>
  <c r="N1246" i="5"/>
  <c r="M1246" i="5"/>
  <c r="L1246" i="5"/>
  <c r="AD1245" i="5"/>
  <c r="AC1245" i="5"/>
  <c r="AB1245" i="5"/>
  <c r="AA1245" i="5"/>
  <c r="Z1245" i="5"/>
  <c r="Y1245" i="5"/>
  <c r="X1245" i="5"/>
  <c r="W1245" i="5"/>
  <c r="V1245" i="5"/>
  <c r="U1245" i="5"/>
  <c r="T1245" i="5"/>
  <c r="S1245" i="5"/>
  <c r="R1245" i="5"/>
  <c r="Q1245" i="5"/>
  <c r="P1245" i="5"/>
  <c r="O1245" i="5"/>
  <c r="N1245" i="5"/>
  <c r="M1245" i="5"/>
  <c r="L1245" i="5"/>
  <c r="AD1244" i="5"/>
  <c r="AC1244" i="5"/>
  <c r="AB1244" i="5"/>
  <c r="AA1244" i="5"/>
  <c r="Z1244" i="5"/>
  <c r="Y1244" i="5"/>
  <c r="X1244" i="5"/>
  <c r="W1244" i="5"/>
  <c r="V1244" i="5"/>
  <c r="U1244" i="5"/>
  <c r="T1244" i="5"/>
  <c r="S1244" i="5"/>
  <c r="R1244" i="5"/>
  <c r="Q1244" i="5"/>
  <c r="P1244" i="5"/>
  <c r="O1244" i="5"/>
  <c r="N1244" i="5"/>
  <c r="M1244" i="5"/>
  <c r="L1244" i="5"/>
  <c r="AD1243" i="5"/>
  <c r="AC1243" i="5"/>
  <c r="AB1243" i="5"/>
  <c r="AA1243" i="5"/>
  <c r="Z1243" i="5"/>
  <c r="Y1243" i="5"/>
  <c r="X1243" i="5"/>
  <c r="W1243" i="5"/>
  <c r="V1243" i="5"/>
  <c r="U1243" i="5"/>
  <c r="T1243" i="5"/>
  <c r="S1243" i="5"/>
  <c r="R1243" i="5"/>
  <c r="Q1243" i="5"/>
  <c r="P1243" i="5"/>
  <c r="O1243" i="5"/>
  <c r="N1243" i="5"/>
  <c r="M1243" i="5"/>
  <c r="L1243" i="5"/>
  <c r="AD1242" i="5"/>
  <c r="AC1242" i="5"/>
  <c r="AB1242" i="5"/>
  <c r="AA1242" i="5"/>
  <c r="Z1242" i="5"/>
  <c r="Y1242" i="5"/>
  <c r="X1242" i="5"/>
  <c r="W1242" i="5"/>
  <c r="V1242" i="5"/>
  <c r="U1242" i="5"/>
  <c r="T1242" i="5"/>
  <c r="S1242" i="5"/>
  <c r="R1242" i="5"/>
  <c r="Q1242" i="5"/>
  <c r="P1242" i="5"/>
  <c r="O1242" i="5"/>
  <c r="N1242" i="5"/>
  <c r="M1242" i="5"/>
  <c r="L1242" i="5"/>
  <c r="AD1241" i="5"/>
  <c r="AC1241" i="5"/>
  <c r="AB1241" i="5"/>
  <c r="AA1241" i="5"/>
  <c r="Z1241" i="5"/>
  <c r="Y1241" i="5"/>
  <c r="X1241" i="5"/>
  <c r="W1241" i="5"/>
  <c r="V1241" i="5"/>
  <c r="U1241" i="5"/>
  <c r="T1241" i="5"/>
  <c r="S1241" i="5"/>
  <c r="R1241" i="5"/>
  <c r="Q1241" i="5"/>
  <c r="P1241" i="5"/>
  <c r="O1241" i="5"/>
  <c r="N1241" i="5"/>
  <c r="M1241" i="5"/>
  <c r="L1241" i="5"/>
  <c r="AD1240" i="5"/>
  <c r="AC1240" i="5"/>
  <c r="AB1240" i="5"/>
  <c r="AA1240" i="5"/>
  <c r="Z1240" i="5"/>
  <c r="Y1240" i="5"/>
  <c r="X1240" i="5"/>
  <c r="W1240" i="5"/>
  <c r="V1240" i="5"/>
  <c r="U1240" i="5"/>
  <c r="T1240" i="5"/>
  <c r="S1240" i="5"/>
  <c r="R1240" i="5"/>
  <c r="Q1240" i="5"/>
  <c r="P1240" i="5"/>
  <c r="O1240" i="5"/>
  <c r="N1240" i="5"/>
  <c r="M1240" i="5"/>
  <c r="L1240" i="5"/>
  <c r="AD1239" i="5"/>
  <c r="AC1239" i="5"/>
  <c r="AB1239" i="5"/>
  <c r="AA1239" i="5"/>
  <c r="Z1239" i="5"/>
  <c r="Y1239" i="5"/>
  <c r="X1239" i="5"/>
  <c r="W1239" i="5"/>
  <c r="V1239" i="5"/>
  <c r="U1239" i="5"/>
  <c r="T1239" i="5"/>
  <c r="S1239" i="5"/>
  <c r="R1239" i="5"/>
  <c r="Q1239" i="5"/>
  <c r="P1239" i="5"/>
  <c r="O1239" i="5"/>
  <c r="N1239" i="5"/>
  <c r="M1239" i="5"/>
  <c r="L1239" i="5"/>
  <c r="AD1238" i="5"/>
  <c r="AC1238" i="5"/>
  <c r="AB1238" i="5"/>
  <c r="AA1238" i="5"/>
  <c r="Z1238" i="5"/>
  <c r="Y1238" i="5"/>
  <c r="X1238" i="5"/>
  <c r="W1238" i="5"/>
  <c r="V1238" i="5"/>
  <c r="U1238" i="5"/>
  <c r="T1238" i="5"/>
  <c r="S1238" i="5"/>
  <c r="R1238" i="5"/>
  <c r="Q1238" i="5"/>
  <c r="P1238" i="5"/>
  <c r="O1238" i="5"/>
  <c r="N1238" i="5"/>
  <c r="M1238" i="5"/>
  <c r="L1238" i="5"/>
  <c r="AD1237" i="5"/>
  <c r="AC1237" i="5"/>
  <c r="AB1237" i="5"/>
  <c r="AA1237" i="5"/>
  <c r="Z1237" i="5"/>
  <c r="Y1237" i="5"/>
  <c r="X1237" i="5"/>
  <c r="W1237" i="5"/>
  <c r="V1237" i="5"/>
  <c r="U1237" i="5"/>
  <c r="T1237" i="5"/>
  <c r="S1237" i="5"/>
  <c r="R1237" i="5"/>
  <c r="Q1237" i="5"/>
  <c r="P1237" i="5"/>
  <c r="O1237" i="5"/>
  <c r="N1237" i="5"/>
  <c r="M1237" i="5"/>
  <c r="L1237" i="5"/>
  <c r="AD1236" i="5"/>
  <c r="AC1236" i="5"/>
  <c r="AB1236" i="5"/>
  <c r="AA1236" i="5"/>
  <c r="Z1236" i="5"/>
  <c r="Y1236" i="5"/>
  <c r="X1236" i="5"/>
  <c r="W1236" i="5"/>
  <c r="V1236" i="5"/>
  <c r="U1236" i="5"/>
  <c r="T1236" i="5"/>
  <c r="S1236" i="5"/>
  <c r="R1236" i="5"/>
  <c r="Q1236" i="5"/>
  <c r="P1236" i="5"/>
  <c r="O1236" i="5"/>
  <c r="N1236" i="5"/>
  <c r="M1236" i="5"/>
  <c r="L1236" i="5"/>
  <c r="AD1235" i="5"/>
  <c r="AC1235" i="5"/>
  <c r="AB1235" i="5"/>
  <c r="AA1235" i="5"/>
  <c r="Z1235" i="5"/>
  <c r="Y1235" i="5"/>
  <c r="X1235" i="5"/>
  <c r="W1235" i="5"/>
  <c r="V1235" i="5"/>
  <c r="U1235" i="5"/>
  <c r="T1235" i="5"/>
  <c r="S1235" i="5"/>
  <c r="R1235" i="5"/>
  <c r="Q1235" i="5"/>
  <c r="P1235" i="5"/>
  <c r="O1235" i="5"/>
  <c r="N1235" i="5"/>
  <c r="M1235" i="5"/>
  <c r="L1235" i="5"/>
  <c r="AD1234" i="5"/>
  <c r="AC1234" i="5"/>
  <c r="AB1234" i="5"/>
  <c r="AA1234" i="5"/>
  <c r="Z1234" i="5"/>
  <c r="Y1234" i="5"/>
  <c r="X1234" i="5"/>
  <c r="W1234" i="5"/>
  <c r="V1234" i="5"/>
  <c r="U1234" i="5"/>
  <c r="T1234" i="5"/>
  <c r="S1234" i="5"/>
  <c r="R1234" i="5"/>
  <c r="Q1234" i="5"/>
  <c r="P1234" i="5"/>
  <c r="O1234" i="5"/>
  <c r="N1234" i="5"/>
  <c r="M1234" i="5"/>
  <c r="L1234" i="5"/>
  <c r="AD1233" i="5"/>
  <c r="AC1233" i="5"/>
  <c r="AB1233" i="5"/>
  <c r="AA1233" i="5"/>
  <c r="Z1233" i="5"/>
  <c r="Y1233" i="5"/>
  <c r="X1233" i="5"/>
  <c r="W1233" i="5"/>
  <c r="V1233" i="5"/>
  <c r="U1233" i="5"/>
  <c r="T1233" i="5"/>
  <c r="S1233" i="5"/>
  <c r="R1233" i="5"/>
  <c r="Q1233" i="5"/>
  <c r="P1233" i="5"/>
  <c r="O1233" i="5"/>
  <c r="N1233" i="5"/>
  <c r="M1233" i="5"/>
  <c r="L1233" i="5"/>
  <c r="AD1232" i="5"/>
  <c r="AC1232" i="5"/>
  <c r="AB1232" i="5"/>
  <c r="AA1232" i="5"/>
  <c r="Z1232" i="5"/>
  <c r="Y1232" i="5"/>
  <c r="X1232" i="5"/>
  <c r="W1232" i="5"/>
  <c r="V1232" i="5"/>
  <c r="U1232" i="5"/>
  <c r="T1232" i="5"/>
  <c r="S1232" i="5"/>
  <c r="R1232" i="5"/>
  <c r="Q1232" i="5"/>
  <c r="P1232" i="5"/>
  <c r="O1232" i="5"/>
  <c r="N1232" i="5"/>
  <c r="M1232" i="5"/>
  <c r="L1232" i="5"/>
  <c r="AD1231" i="5"/>
  <c r="AC1231" i="5"/>
  <c r="AB1231" i="5"/>
  <c r="AA1231" i="5"/>
  <c r="Z1231" i="5"/>
  <c r="Y1231" i="5"/>
  <c r="X1231" i="5"/>
  <c r="W1231" i="5"/>
  <c r="V1231" i="5"/>
  <c r="U1231" i="5"/>
  <c r="T1231" i="5"/>
  <c r="S1231" i="5"/>
  <c r="R1231" i="5"/>
  <c r="Q1231" i="5"/>
  <c r="P1231" i="5"/>
  <c r="O1231" i="5"/>
  <c r="N1231" i="5"/>
  <c r="M1231" i="5"/>
  <c r="L1231" i="5"/>
  <c r="AD1230" i="5"/>
  <c r="AC1230" i="5"/>
  <c r="AB1230" i="5"/>
  <c r="AA1230" i="5"/>
  <c r="Z1230" i="5"/>
  <c r="Y1230" i="5"/>
  <c r="X1230" i="5"/>
  <c r="W1230" i="5"/>
  <c r="V1230" i="5"/>
  <c r="U1230" i="5"/>
  <c r="T1230" i="5"/>
  <c r="S1230" i="5"/>
  <c r="R1230" i="5"/>
  <c r="Q1230" i="5"/>
  <c r="P1230" i="5"/>
  <c r="O1230" i="5"/>
  <c r="N1230" i="5"/>
  <c r="M1230" i="5"/>
  <c r="L1230" i="5"/>
  <c r="AD1229" i="5"/>
  <c r="AC1229" i="5"/>
  <c r="AB1229" i="5"/>
  <c r="AA1229" i="5"/>
  <c r="Z1229" i="5"/>
  <c r="Y1229" i="5"/>
  <c r="X1229" i="5"/>
  <c r="W1229" i="5"/>
  <c r="V1229" i="5"/>
  <c r="U1229" i="5"/>
  <c r="T1229" i="5"/>
  <c r="S1229" i="5"/>
  <c r="R1229" i="5"/>
  <c r="Q1229" i="5"/>
  <c r="P1229" i="5"/>
  <c r="O1229" i="5"/>
  <c r="N1229" i="5"/>
  <c r="M1229" i="5"/>
  <c r="L1229" i="5"/>
  <c r="AD1228" i="5"/>
  <c r="AC1228" i="5"/>
  <c r="AB1228" i="5"/>
  <c r="AA1228" i="5"/>
  <c r="Z1228" i="5"/>
  <c r="Y1228" i="5"/>
  <c r="X1228" i="5"/>
  <c r="W1228" i="5"/>
  <c r="V1228" i="5"/>
  <c r="U1228" i="5"/>
  <c r="T1228" i="5"/>
  <c r="S1228" i="5"/>
  <c r="R1228" i="5"/>
  <c r="Q1228" i="5"/>
  <c r="P1228" i="5"/>
  <c r="O1228" i="5"/>
  <c r="N1228" i="5"/>
  <c r="M1228" i="5"/>
  <c r="L1228" i="5"/>
  <c r="AD1227" i="5"/>
  <c r="AC1227" i="5"/>
  <c r="AB1227" i="5"/>
  <c r="AA1227" i="5"/>
  <c r="Z1227" i="5"/>
  <c r="Y1227" i="5"/>
  <c r="X1227" i="5"/>
  <c r="W1227" i="5"/>
  <c r="V1227" i="5"/>
  <c r="U1227" i="5"/>
  <c r="T1227" i="5"/>
  <c r="S1227" i="5"/>
  <c r="R1227" i="5"/>
  <c r="Q1227" i="5"/>
  <c r="P1227" i="5"/>
  <c r="O1227" i="5"/>
  <c r="N1227" i="5"/>
  <c r="M1227" i="5"/>
  <c r="L1227" i="5"/>
  <c r="AD1226" i="5"/>
  <c r="AC1226" i="5"/>
  <c r="AB1226" i="5"/>
  <c r="AA1226" i="5"/>
  <c r="Z1226" i="5"/>
  <c r="Y1226" i="5"/>
  <c r="X1226" i="5"/>
  <c r="W1226" i="5"/>
  <c r="V1226" i="5"/>
  <c r="U1226" i="5"/>
  <c r="T1226" i="5"/>
  <c r="S1226" i="5"/>
  <c r="R1226" i="5"/>
  <c r="Q1226" i="5"/>
  <c r="P1226" i="5"/>
  <c r="O1226" i="5"/>
  <c r="N1226" i="5"/>
  <c r="M1226" i="5"/>
  <c r="L1226" i="5"/>
  <c r="AD1225" i="5"/>
  <c r="AC1225" i="5"/>
  <c r="AB1225" i="5"/>
  <c r="AA1225" i="5"/>
  <c r="Z1225" i="5"/>
  <c r="Y1225" i="5"/>
  <c r="X1225" i="5"/>
  <c r="W1225" i="5"/>
  <c r="V1225" i="5"/>
  <c r="U1225" i="5"/>
  <c r="T1225" i="5"/>
  <c r="S1225" i="5"/>
  <c r="R1225" i="5"/>
  <c r="Q1225" i="5"/>
  <c r="P1225" i="5"/>
  <c r="O1225" i="5"/>
  <c r="N1225" i="5"/>
  <c r="M1225" i="5"/>
  <c r="L1225" i="5"/>
  <c r="AD1224" i="5"/>
  <c r="AC1224" i="5"/>
  <c r="AB1224" i="5"/>
  <c r="AA1224" i="5"/>
  <c r="Z1224" i="5"/>
  <c r="Y1224" i="5"/>
  <c r="X1224" i="5"/>
  <c r="W1224" i="5"/>
  <c r="V1224" i="5"/>
  <c r="U1224" i="5"/>
  <c r="T1224" i="5"/>
  <c r="S1224" i="5"/>
  <c r="R1224" i="5"/>
  <c r="Q1224" i="5"/>
  <c r="P1224" i="5"/>
  <c r="O1224" i="5"/>
  <c r="N1224" i="5"/>
  <c r="M1224" i="5"/>
  <c r="L1224" i="5"/>
  <c r="AD1223" i="5"/>
  <c r="AC1223" i="5"/>
  <c r="AB1223" i="5"/>
  <c r="AA1223" i="5"/>
  <c r="Z1223" i="5"/>
  <c r="Y1223" i="5"/>
  <c r="X1223" i="5"/>
  <c r="W1223" i="5"/>
  <c r="V1223" i="5"/>
  <c r="U1223" i="5"/>
  <c r="T1223" i="5"/>
  <c r="S1223" i="5"/>
  <c r="R1223" i="5"/>
  <c r="Q1223" i="5"/>
  <c r="P1223" i="5"/>
  <c r="O1223" i="5"/>
  <c r="N1223" i="5"/>
  <c r="M1223" i="5"/>
  <c r="L1223" i="5"/>
  <c r="AD1222" i="5"/>
  <c r="AC1222" i="5"/>
  <c r="AB1222" i="5"/>
  <c r="AA1222" i="5"/>
  <c r="Z1222" i="5"/>
  <c r="Y1222" i="5"/>
  <c r="X1222" i="5"/>
  <c r="W1222" i="5"/>
  <c r="V1222" i="5"/>
  <c r="U1222" i="5"/>
  <c r="T1222" i="5"/>
  <c r="S1222" i="5"/>
  <c r="R1222" i="5"/>
  <c r="Q1222" i="5"/>
  <c r="P1222" i="5"/>
  <c r="O1222" i="5"/>
  <c r="N1222" i="5"/>
  <c r="M1222" i="5"/>
  <c r="L1222" i="5"/>
  <c r="AD1221" i="5"/>
  <c r="AC1221" i="5"/>
  <c r="AB1221" i="5"/>
  <c r="AA1221" i="5"/>
  <c r="Z1221" i="5"/>
  <c r="Y1221" i="5"/>
  <c r="X1221" i="5"/>
  <c r="W1221" i="5"/>
  <c r="V1221" i="5"/>
  <c r="U1221" i="5"/>
  <c r="T1221" i="5"/>
  <c r="S1221" i="5"/>
  <c r="R1221" i="5"/>
  <c r="Q1221" i="5"/>
  <c r="P1221" i="5"/>
  <c r="O1221" i="5"/>
  <c r="N1221" i="5"/>
  <c r="M1221" i="5"/>
  <c r="L1221" i="5"/>
  <c r="AD1220" i="5"/>
  <c r="AC1220" i="5"/>
  <c r="AB1220" i="5"/>
  <c r="AA1220" i="5"/>
  <c r="Z1220" i="5"/>
  <c r="Y1220" i="5"/>
  <c r="X1220" i="5"/>
  <c r="W1220" i="5"/>
  <c r="V1220" i="5"/>
  <c r="U1220" i="5"/>
  <c r="T1220" i="5"/>
  <c r="S1220" i="5"/>
  <c r="R1220" i="5"/>
  <c r="Q1220" i="5"/>
  <c r="P1220" i="5"/>
  <c r="O1220" i="5"/>
  <c r="N1220" i="5"/>
  <c r="M1220" i="5"/>
  <c r="L1220" i="5"/>
  <c r="AD1219" i="5"/>
  <c r="AC1219" i="5"/>
  <c r="AB1219" i="5"/>
  <c r="AA1219" i="5"/>
  <c r="Z1219" i="5"/>
  <c r="Y1219" i="5"/>
  <c r="X1219" i="5"/>
  <c r="W1219" i="5"/>
  <c r="V1219" i="5"/>
  <c r="U1219" i="5"/>
  <c r="T1219" i="5"/>
  <c r="S1219" i="5"/>
  <c r="R1219" i="5"/>
  <c r="Q1219" i="5"/>
  <c r="P1219" i="5"/>
  <c r="O1219" i="5"/>
  <c r="N1219" i="5"/>
  <c r="M1219" i="5"/>
  <c r="L1219" i="5"/>
  <c r="AD1218" i="5"/>
  <c r="AC1218" i="5"/>
  <c r="AB1218" i="5"/>
  <c r="AA1218" i="5"/>
  <c r="Z1218" i="5"/>
  <c r="Y1218" i="5"/>
  <c r="X1218" i="5"/>
  <c r="W1218" i="5"/>
  <c r="V1218" i="5"/>
  <c r="U1218" i="5"/>
  <c r="T1218" i="5"/>
  <c r="S1218" i="5"/>
  <c r="R1218" i="5"/>
  <c r="Q1218" i="5"/>
  <c r="P1218" i="5"/>
  <c r="O1218" i="5"/>
  <c r="N1218" i="5"/>
  <c r="M1218" i="5"/>
  <c r="L1218" i="5"/>
  <c r="AD1217" i="5"/>
  <c r="AC1217" i="5"/>
  <c r="AB1217" i="5"/>
  <c r="AA1217" i="5"/>
  <c r="Z1217" i="5"/>
  <c r="Y1217" i="5"/>
  <c r="X1217" i="5"/>
  <c r="W1217" i="5"/>
  <c r="V1217" i="5"/>
  <c r="U1217" i="5"/>
  <c r="T1217" i="5"/>
  <c r="S1217" i="5"/>
  <c r="R1217" i="5"/>
  <c r="Q1217" i="5"/>
  <c r="P1217" i="5"/>
  <c r="O1217" i="5"/>
  <c r="N1217" i="5"/>
  <c r="M1217" i="5"/>
  <c r="L1217" i="5"/>
  <c r="AD1216" i="5"/>
  <c r="AC1216" i="5"/>
  <c r="AB1216" i="5"/>
  <c r="AA1216" i="5"/>
  <c r="Z1216" i="5"/>
  <c r="Y1216" i="5"/>
  <c r="X1216" i="5"/>
  <c r="W1216" i="5"/>
  <c r="V1216" i="5"/>
  <c r="U1216" i="5"/>
  <c r="T1216" i="5"/>
  <c r="S1216" i="5"/>
  <c r="R1216" i="5"/>
  <c r="Q1216" i="5"/>
  <c r="P1216" i="5"/>
  <c r="O1216" i="5"/>
  <c r="N1216" i="5"/>
  <c r="M1216" i="5"/>
  <c r="L1216" i="5"/>
  <c r="AD1215" i="5"/>
  <c r="AC1215" i="5"/>
  <c r="AB1215" i="5"/>
  <c r="AA1215" i="5"/>
  <c r="Z1215" i="5"/>
  <c r="Y1215" i="5"/>
  <c r="X1215" i="5"/>
  <c r="W1215" i="5"/>
  <c r="V1215" i="5"/>
  <c r="U1215" i="5"/>
  <c r="T1215" i="5"/>
  <c r="S1215" i="5"/>
  <c r="R1215" i="5"/>
  <c r="Q1215" i="5"/>
  <c r="P1215" i="5"/>
  <c r="O1215" i="5"/>
  <c r="N1215" i="5"/>
  <c r="M1215" i="5"/>
  <c r="L1215" i="5"/>
  <c r="AD1214" i="5"/>
  <c r="AC1214" i="5"/>
  <c r="AB1214" i="5"/>
  <c r="AA1214" i="5"/>
  <c r="Z1214" i="5"/>
  <c r="Y1214" i="5"/>
  <c r="X1214" i="5"/>
  <c r="W1214" i="5"/>
  <c r="V1214" i="5"/>
  <c r="U1214" i="5"/>
  <c r="T1214" i="5"/>
  <c r="S1214" i="5"/>
  <c r="R1214" i="5"/>
  <c r="Q1214" i="5"/>
  <c r="P1214" i="5"/>
  <c r="O1214" i="5"/>
  <c r="N1214" i="5"/>
  <c r="M1214" i="5"/>
  <c r="L1214" i="5"/>
  <c r="AD1213" i="5"/>
  <c r="AC1213" i="5"/>
  <c r="AB1213" i="5"/>
  <c r="AA1213" i="5"/>
  <c r="Z1213" i="5"/>
  <c r="Y1213" i="5"/>
  <c r="X1213" i="5"/>
  <c r="W1213" i="5"/>
  <c r="V1213" i="5"/>
  <c r="U1213" i="5"/>
  <c r="T1213" i="5"/>
  <c r="S1213" i="5"/>
  <c r="R1213" i="5"/>
  <c r="Q1213" i="5"/>
  <c r="P1213" i="5"/>
  <c r="O1213" i="5"/>
  <c r="N1213" i="5"/>
  <c r="M1213" i="5"/>
  <c r="L1213" i="5"/>
  <c r="AD1212" i="5"/>
  <c r="AC1212" i="5"/>
  <c r="AB1212" i="5"/>
  <c r="AA1212" i="5"/>
  <c r="Z1212" i="5"/>
  <c r="Y1212" i="5"/>
  <c r="X1212" i="5"/>
  <c r="W1212" i="5"/>
  <c r="V1212" i="5"/>
  <c r="U1212" i="5"/>
  <c r="T1212" i="5"/>
  <c r="S1212" i="5"/>
  <c r="R1212" i="5"/>
  <c r="Q1212" i="5"/>
  <c r="P1212" i="5"/>
  <c r="O1212" i="5"/>
  <c r="N1212" i="5"/>
  <c r="M1212" i="5"/>
  <c r="L1212" i="5"/>
  <c r="AD1211" i="5"/>
  <c r="AC1211" i="5"/>
  <c r="AB1211" i="5"/>
  <c r="AA1211" i="5"/>
  <c r="Z1211" i="5"/>
  <c r="Y1211" i="5"/>
  <c r="X1211" i="5"/>
  <c r="W1211" i="5"/>
  <c r="V1211" i="5"/>
  <c r="U1211" i="5"/>
  <c r="T1211" i="5"/>
  <c r="S1211" i="5"/>
  <c r="R1211" i="5"/>
  <c r="Q1211" i="5"/>
  <c r="P1211" i="5"/>
  <c r="O1211" i="5"/>
  <c r="N1211" i="5"/>
  <c r="M1211" i="5"/>
  <c r="L1211" i="5"/>
  <c r="AD1210" i="5"/>
  <c r="AC1210" i="5"/>
  <c r="AB1210" i="5"/>
  <c r="AA1210" i="5"/>
  <c r="Z1210" i="5"/>
  <c r="Y1210" i="5"/>
  <c r="X1210" i="5"/>
  <c r="W1210" i="5"/>
  <c r="V1210" i="5"/>
  <c r="U1210" i="5"/>
  <c r="T1210" i="5"/>
  <c r="S1210" i="5"/>
  <c r="R1210" i="5"/>
  <c r="Q1210" i="5"/>
  <c r="P1210" i="5"/>
  <c r="O1210" i="5"/>
  <c r="N1210" i="5"/>
  <c r="M1210" i="5"/>
  <c r="L1210" i="5"/>
  <c r="AD1209" i="5"/>
  <c r="AC1209" i="5"/>
  <c r="AB1209" i="5"/>
  <c r="AA1209" i="5"/>
  <c r="Z1209" i="5"/>
  <c r="Y1209" i="5"/>
  <c r="X1209" i="5"/>
  <c r="W1209" i="5"/>
  <c r="V1209" i="5"/>
  <c r="U1209" i="5"/>
  <c r="T1209" i="5"/>
  <c r="S1209" i="5"/>
  <c r="R1209" i="5"/>
  <c r="Q1209" i="5"/>
  <c r="P1209" i="5"/>
  <c r="O1209" i="5"/>
  <c r="N1209" i="5"/>
  <c r="M1209" i="5"/>
  <c r="L1209" i="5"/>
  <c r="AD1208" i="5"/>
  <c r="AC1208" i="5"/>
  <c r="AB1208" i="5"/>
  <c r="AA1208" i="5"/>
  <c r="Z1208" i="5"/>
  <c r="Y1208" i="5"/>
  <c r="X1208" i="5"/>
  <c r="W1208" i="5"/>
  <c r="V1208" i="5"/>
  <c r="U1208" i="5"/>
  <c r="T1208" i="5"/>
  <c r="S1208" i="5"/>
  <c r="R1208" i="5"/>
  <c r="Q1208" i="5"/>
  <c r="P1208" i="5"/>
  <c r="O1208" i="5"/>
  <c r="N1208" i="5"/>
  <c r="M1208" i="5"/>
  <c r="L1208" i="5"/>
  <c r="AD1207" i="5"/>
  <c r="AC1207" i="5"/>
  <c r="AB1207" i="5"/>
  <c r="AA1207" i="5"/>
  <c r="Z1207" i="5"/>
  <c r="Y1207" i="5"/>
  <c r="X1207" i="5"/>
  <c r="W1207" i="5"/>
  <c r="V1207" i="5"/>
  <c r="U1207" i="5"/>
  <c r="T1207" i="5"/>
  <c r="S1207" i="5"/>
  <c r="R1207" i="5"/>
  <c r="Q1207" i="5"/>
  <c r="P1207" i="5"/>
  <c r="O1207" i="5"/>
  <c r="N1207" i="5"/>
  <c r="M1207" i="5"/>
  <c r="L1207" i="5"/>
  <c r="AD1206" i="5"/>
  <c r="AC1206" i="5"/>
  <c r="AB1206" i="5"/>
  <c r="AA1206" i="5"/>
  <c r="Z1206" i="5"/>
  <c r="Y1206" i="5"/>
  <c r="X1206" i="5"/>
  <c r="W1206" i="5"/>
  <c r="V1206" i="5"/>
  <c r="U1206" i="5"/>
  <c r="T1206" i="5"/>
  <c r="S1206" i="5"/>
  <c r="R1206" i="5"/>
  <c r="Q1206" i="5"/>
  <c r="P1206" i="5"/>
  <c r="O1206" i="5"/>
  <c r="N1206" i="5"/>
  <c r="M1206" i="5"/>
  <c r="L1206" i="5"/>
  <c r="AD1205" i="5"/>
  <c r="AC1205" i="5"/>
  <c r="AB1205" i="5"/>
  <c r="AA1205" i="5"/>
  <c r="Z1205" i="5"/>
  <c r="Y1205" i="5"/>
  <c r="X1205" i="5"/>
  <c r="W1205" i="5"/>
  <c r="V1205" i="5"/>
  <c r="U1205" i="5"/>
  <c r="T1205" i="5"/>
  <c r="S1205" i="5"/>
  <c r="R1205" i="5"/>
  <c r="Q1205" i="5"/>
  <c r="P1205" i="5"/>
  <c r="O1205" i="5"/>
  <c r="N1205" i="5"/>
  <c r="M1205" i="5"/>
  <c r="L1205" i="5"/>
  <c r="AD1204" i="5"/>
  <c r="AC1204" i="5"/>
  <c r="AB1204" i="5"/>
  <c r="AA1204" i="5"/>
  <c r="Z1204" i="5"/>
  <c r="Y1204" i="5"/>
  <c r="X1204" i="5"/>
  <c r="W1204" i="5"/>
  <c r="V1204" i="5"/>
  <c r="U1204" i="5"/>
  <c r="T1204" i="5"/>
  <c r="S1204" i="5"/>
  <c r="R1204" i="5"/>
  <c r="Q1204" i="5"/>
  <c r="P1204" i="5"/>
  <c r="O1204" i="5"/>
  <c r="N1204" i="5"/>
  <c r="M1204" i="5"/>
  <c r="L1204" i="5"/>
  <c r="AD1203" i="5"/>
  <c r="AC1203" i="5"/>
  <c r="AB1203" i="5"/>
  <c r="AA1203" i="5"/>
  <c r="Z1203" i="5"/>
  <c r="Y1203" i="5"/>
  <c r="X1203" i="5"/>
  <c r="W1203" i="5"/>
  <c r="V1203" i="5"/>
  <c r="U1203" i="5"/>
  <c r="T1203" i="5"/>
  <c r="S1203" i="5"/>
  <c r="R1203" i="5"/>
  <c r="Q1203" i="5"/>
  <c r="P1203" i="5"/>
  <c r="O1203" i="5"/>
  <c r="N1203" i="5"/>
  <c r="M1203" i="5"/>
  <c r="L1203" i="5"/>
  <c r="AD1202" i="5"/>
  <c r="AC1202" i="5"/>
  <c r="AB1202" i="5"/>
  <c r="AA1202" i="5"/>
  <c r="Z1202" i="5"/>
  <c r="Y1202" i="5"/>
  <c r="X1202" i="5"/>
  <c r="W1202" i="5"/>
  <c r="V1202" i="5"/>
  <c r="U1202" i="5"/>
  <c r="T1202" i="5"/>
  <c r="S1202" i="5"/>
  <c r="R1202" i="5"/>
  <c r="Q1202" i="5"/>
  <c r="P1202" i="5"/>
  <c r="O1202" i="5"/>
  <c r="N1202" i="5"/>
  <c r="M1202" i="5"/>
  <c r="L1202" i="5"/>
  <c r="AD1201" i="5"/>
  <c r="AC1201" i="5"/>
  <c r="AB1201" i="5"/>
  <c r="AA1201" i="5"/>
  <c r="Z1201" i="5"/>
  <c r="Y1201" i="5"/>
  <c r="X1201" i="5"/>
  <c r="W1201" i="5"/>
  <c r="V1201" i="5"/>
  <c r="U1201" i="5"/>
  <c r="T1201" i="5"/>
  <c r="S1201" i="5"/>
  <c r="R1201" i="5"/>
  <c r="Q1201" i="5"/>
  <c r="P1201" i="5"/>
  <c r="O1201" i="5"/>
  <c r="N1201" i="5"/>
  <c r="M1201" i="5"/>
  <c r="L1201" i="5"/>
  <c r="AD1200" i="5"/>
  <c r="AC1200" i="5"/>
  <c r="AB1200" i="5"/>
  <c r="AA1200" i="5"/>
  <c r="Z1200" i="5"/>
  <c r="Y1200" i="5"/>
  <c r="X1200" i="5"/>
  <c r="W1200" i="5"/>
  <c r="V1200" i="5"/>
  <c r="U1200" i="5"/>
  <c r="T1200" i="5"/>
  <c r="S1200" i="5"/>
  <c r="R1200" i="5"/>
  <c r="Q1200" i="5"/>
  <c r="P1200" i="5"/>
  <c r="O1200" i="5"/>
  <c r="N1200" i="5"/>
  <c r="M1200" i="5"/>
  <c r="L1200" i="5"/>
  <c r="AD1199" i="5"/>
  <c r="AC1199" i="5"/>
  <c r="AB1199" i="5"/>
  <c r="AA1199" i="5"/>
  <c r="Z1199" i="5"/>
  <c r="Y1199" i="5"/>
  <c r="X1199" i="5"/>
  <c r="W1199" i="5"/>
  <c r="V1199" i="5"/>
  <c r="U1199" i="5"/>
  <c r="T1199" i="5"/>
  <c r="S1199" i="5"/>
  <c r="R1199" i="5"/>
  <c r="Q1199" i="5"/>
  <c r="P1199" i="5"/>
  <c r="O1199" i="5"/>
  <c r="N1199" i="5"/>
  <c r="M1199" i="5"/>
  <c r="L1199" i="5"/>
  <c r="AD1198" i="5"/>
  <c r="AC1198" i="5"/>
  <c r="AB1198" i="5"/>
  <c r="AA1198" i="5"/>
  <c r="Z1198" i="5"/>
  <c r="Y1198" i="5"/>
  <c r="X1198" i="5"/>
  <c r="W1198" i="5"/>
  <c r="V1198" i="5"/>
  <c r="U1198" i="5"/>
  <c r="T1198" i="5"/>
  <c r="S1198" i="5"/>
  <c r="R1198" i="5"/>
  <c r="Q1198" i="5"/>
  <c r="P1198" i="5"/>
  <c r="O1198" i="5"/>
  <c r="N1198" i="5"/>
  <c r="M1198" i="5"/>
  <c r="L1198" i="5"/>
  <c r="AD1197" i="5"/>
  <c r="AC1197" i="5"/>
  <c r="AB1197" i="5"/>
  <c r="AA1197" i="5"/>
  <c r="Z1197" i="5"/>
  <c r="Y1197" i="5"/>
  <c r="X1197" i="5"/>
  <c r="W1197" i="5"/>
  <c r="V1197" i="5"/>
  <c r="U1197" i="5"/>
  <c r="T1197" i="5"/>
  <c r="S1197" i="5"/>
  <c r="R1197" i="5"/>
  <c r="Q1197" i="5"/>
  <c r="P1197" i="5"/>
  <c r="O1197" i="5"/>
  <c r="N1197" i="5"/>
  <c r="M1197" i="5"/>
  <c r="L1197" i="5"/>
  <c r="AD1196" i="5"/>
  <c r="AC1196" i="5"/>
  <c r="AB1196" i="5"/>
  <c r="AA1196" i="5"/>
  <c r="Z1196" i="5"/>
  <c r="Y1196" i="5"/>
  <c r="X1196" i="5"/>
  <c r="W1196" i="5"/>
  <c r="V1196" i="5"/>
  <c r="U1196" i="5"/>
  <c r="T1196" i="5"/>
  <c r="S1196" i="5"/>
  <c r="R1196" i="5"/>
  <c r="Q1196" i="5"/>
  <c r="P1196" i="5"/>
  <c r="O1196" i="5"/>
  <c r="N1196" i="5"/>
  <c r="M1196" i="5"/>
  <c r="L1196" i="5"/>
  <c r="AD1195" i="5"/>
  <c r="AC1195" i="5"/>
  <c r="AB1195" i="5"/>
  <c r="AA1195" i="5"/>
  <c r="Z1195" i="5"/>
  <c r="Y1195" i="5"/>
  <c r="X1195" i="5"/>
  <c r="W1195" i="5"/>
  <c r="V1195" i="5"/>
  <c r="U1195" i="5"/>
  <c r="T1195" i="5"/>
  <c r="S1195" i="5"/>
  <c r="R1195" i="5"/>
  <c r="Q1195" i="5"/>
  <c r="P1195" i="5"/>
  <c r="O1195" i="5"/>
  <c r="N1195" i="5"/>
  <c r="M1195" i="5"/>
  <c r="L1195" i="5"/>
  <c r="AD1194" i="5"/>
  <c r="AC1194" i="5"/>
  <c r="AB1194" i="5"/>
  <c r="AA1194" i="5"/>
  <c r="Z1194" i="5"/>
  <c r="Y1194" i="5"/>
  <c r="X1194" i="5"/>
  <c r="W1194" i="5"/>
  <c r="V1194" i="5"/>
  <c r="U1194" i="5"/>
  <c r="T1194" i="5"/>
  <c r="S1194" i="5"/>
  <c r="R1194" i="5"/>
  <c r="Q1194" i="5"/>
  <c r="P1194" i="5"/>
  <c r="O1194" i="5"/>
  <c r="N1194" i="5"/>
  <c r="M1194" i="5"/>
  <c r="L1194" i="5"/>
  <c r="AD1193" i="5"/>
  <c r="AC1193" i="5"/>
  <c r="AB1193" i="5"/>
  <c r="AA1193" i="5"/>
  <c r="Z1193" i="5"/>
  <c r="Y1193" i="5"/>
  <c r="X1193" i="5"/>
  <c r="W1193" i="5"/>
  <c r="V1193" i="5"/>
  <c r="U1193" i="5"/>
  <c r="T1193" i="5"/>
  <c r="S1193" i="5"/>
  <c r="R1193" i="5"/>
  <c r="Q1193" i="5"/>
  <c r="P1193" i="5"/>
  <c r="O1193" i="5"/>
  <c r="N1193" i="5"/>
  <c r="M1193" i="5"/>
  <c r="L1193" i="5"/>
  <c r="AD1192" i="5"/>
  <c r="AC1192" i="5"/>
  <c r="AB1192" i="5"/>
  <c r="AA1192" i="5"/>
  <c r="Z1192" i="5"/>
  <c r="Y1192" i="5"/>
  <c r="X1192" i="5"/>
  <c r="W1192" i="5"/>
  <c r="V1192" i="5"/>
  <c r="U1192" i="5"/>
  <c r="T1192" i="5"/>
  <c r="S1192" i="5"/>
  <c r="R1192" i="5"/>
  <c r="Q1192" i="5"/>
  <c r="P1192" i="5"/>
  <c r="O1192" i="5"/>
  <c r="N1192" i="5"/>
  <c r="M1192" i="5"/>
  <c r="L1192" i="5"/>
  <c r="AD1191" i="5"/>
  <c r="AC1191" i="5"/>
  <c r="AB1191" i="5"/>
  <c r="AA1191" i="5"/>
  <c r="Z1191" i="5"/>
  <c r="Y1191" i="5"/>
  <c r="X1191" i="5"/>
  <c r="W1191" i="5"/>
  <c r="V1191" i="5"/>
  <c r="U1191" i="5"/>
  <c r="T1191" i="5"/>
  <c r="S1191" i="5"/>
  <c r="R1191" i="5"/>
  <c r="Q1191" i="5"/>
  <c r="P1191" i="5"/>
  <c r="O1191" i="5"/>
  <c r="N1191" i="5"/>
  <c r="M1191" i="5"/>
  <c r="L1191" i="5"/>
  <c r="AD1190" i="5"/>
  <c r="AC1190" i="5"/>
  <c r="AB1190" i="5"/>
  <c r="AA1190" i="5"/>
  <c r="Z1190" i="5"/>
  <c r="Y1190" i="5"/>
  <c r="X1190" i="5"/>
  <c r="W1190" i="5"/>
  <c r="V1190" i="5"/>
  <c r="U1190" i="5"/>
  <c r="T1190" i="5"/>
  <c r="S1190" i="5"/>
  <c r="R1190" i="5"/>
  <c r="Q1190" i="5"/>
  <c r="P1190" i="5"/>
  <c r="O1190" i="5"/>
  <c r="N1190" i="5"/>
  <c r="M1190" i="5"/>
  <c r="L1190" i="5"/>
  <c r="AD1189" i="5"/>
  <c r="AC1189" i="5"/>
  <c r="AB1189" i="5"/>
  <c r="AA1189" i="5"/>
  <c r="Z1189" i="5"/>
  <c r="Y1189" i="5"/>
  <c r="X1189" i="5"/>
  <c r="W1189" i="5"/>
  <c r="V1189" i="5"/>
  <c r="U1189" i="5"/>
  <c r="T1189" i="5"/>
  <c r="S1189" i="5"/>
  <c r="R1189" i="5"/>
  <c r="Q1189" i="5"/>
  <c r="P1189" i="5"/>
  <c r="O1189" i="5"/>
  <c r="N1189" i="5"/>
  <c r="M1189" i="5"/>
  <c r="L1189" i="5"/>
  <c r="AD1188" i="5"/>
  <c r="AC1188" i="5"/>
  <c r="AB1188" i="5"/>
  <c r="AA1188" i="5"/>
  <c r="Z1188" i="5"/>
  <c r="Y1188" i="5"/>
  <c r="X1188" i="5"/>
  <c r="W1188" i="5"/>
  <c r="V1188" i="5"/>
  <c r="U1188" i="5"/>
  <c r="T1188" i="5"/>
  <c r="S1188" i="5"/>
  <c r="R1188" i="5"/>
  <c r="Q1188" i="5"/>
  <c r="P1188" i="5"/>
  <c r="O1188" i="5"/>
  <c r="N1188" i="5"/>
  <c r="M1188" i="5"/>
  <c r="L1188" i="5"/>
  <c r="AD1187" i="5"/>
  <c r="AC1187" i="5"/>
  <c r="AB1187" i="5"/>
  <c r="AA1187" i="5"/>
  <c r="Z1187" i="5"/>
  <c r="Y1187" i="5"/>
  <c r="X1187" i="5"/>
  <c r="W1187" i="5"/>
  <c r="V1187" i="5"/>
  <c r="U1187" i="5"/>
  <c r="T1187" i="5"/>
  <c r="S1187" i="5"/>
  <c r="R1187" i="5"/>
  <c r="Q1187" i="5"/>
  <c r="P1187" i="5"/>
  <c r="O1187" i="5"/>
  <c r="N1187" i="5"/>
  <c r="M1187" i="5"/>
  <c r="L1187" i="5"/>
  <c r="AD1186" i="5"/>
  <c r="AC1186" i="5"/>
  <c r="AB1186" i="5"/>
  <c r="AA1186" i="5"/>
  <c r="Z1186" i="5"/>
  <c r="Y1186" i="5"/>
  <c r="X1186" i="5"/>
  <c r="W1186" i="5"/>
  <c r="V1186" i="5"/>
  <c r="U1186" i="5"/>
  <c r="T1186" i="5"/>
  <c r="S1186" i="5"/>
  <c r="R1186" i="5"/>
  <c r="Q1186" i="5"/>
  <c r="P1186" i="5"/>
  <c r="O1186" i="5"/>
  <c r="N1186" i="5"/>
  <c r="M1186" i="5"/>
  <c r="L1186" i="5"/>
  <c r="AD1185" i="5"/>
  <c r="AC1185" i="5"/>
  <c r="AB1185" i="5"/>
  <c r="AA1185" i="5"/>
  <c r="Z1185" i="5"/>
  <c r="Y1185" i="5"/>
  <c r="X1185" i="5"/>
  <c r="W1185" i="5"/>
  <c r="V1185" i="5"/>
  <c r="U1185" i="5"/>
  <c r="T1185" i="5"/>
  <c r="S1185" i="5"/>
  <c r="R1185" i="5"/>
  <c r="Q1185" i="5"/>
  <c r="P1185" i="5"/>
  <c r="O1185" i="5"/>
  <c r="N1185" i="5"/>
  <c r="M1185" i="5"/>
  <c r="L1185" i="5"/>
  <c r="AD1184" i="5"/>
  <c r="AC1184" i="5"/>
  <c r="AB1184" i="5"/>
  <c r="AA1184" i="5"/>
  <c r="Z1184" i="5"/>
  <c r="Y1184" i="5"/>
  <c r="X1184" i="5"/>
  <c r="W1184" i="5"/>
  <c r="V1184" i="5"/>
  <c r="U1184" i="5"/>
  <c r="T1184" i="5"/>
  <c r="S1184" i="5"/>
  <c r="R1184" i="5"/>
  <c r="Q1184" i="5"/>
  <c r="P1184" i="5"/>
  <c r="O1184" i="5"/>
  <c r="N1184" i="5"/>
  <c r="M1184" i="5"/>
  <c r="L1184" i="5"/>
  <c r="AD1183" i="5"/>
  <c r="AC1183" i="5"/>
  <c r="AB1183" i="5"/>
  <c r="AA1183" i="5"/>
  <c r="Z1183" i="5"/>
  <c r="Y1183" i="5"/>
  <c r="X1183" i="5"/>
  <c r="W1183" i="5"/>
  <c r="V1183" i="5"/>
  <c r="U1183" i="5"/>
  <c r="T1183" i="5"/>
  <c r="S1183" i="5"/>
  <c r="R1183" i="5"/>
  <c r="Q1183" i="5"/>
  <c r="P1183" i="5"/>
  <c r="O1183" i="5"/>
  <c r="N1183" i="5"/>
  <c r="M1183" i="5"/>
  <c r="L1183" i="5"/>
  <c r="AD1182" i="5"/>
  <c r="AC1182" i="5"/>
  <c r="AB1182" i="5"/>
  <c r="AA1182" i="5"/>
  <c r="Z1182" i="5"/>
  <c r="Y1182" i="5"/>
  <c r="X1182" i="5"/>
  <c r="W1182" i="5"/>
  <c r="V1182" i="5"/>
  <c r="U1182" i="5"/>
  <c r="T1182" i="5"/>
  <c r="S1182" i="5"/>
  <c r="R1182" i="5"/>
  <c r="Q1182" i="5"/>
  <c r="P1182" i="5"/>
  <c r="O1182" i="5"/>
  <c r="N1182" i="5"/>
  <c r="M1182" i="5"/>
  <c r="L1182" i="5"/>
  <c r="AD1181" i="5"/>
  <c r="AC1181" i="5"/>
  <c r="AB1181" i="5"/>
  <c r="AA1181" i="5"/>
  <c r="Z1181" i="5"/>
  <c r="Y1181" i="5"/>
  <c r="X1181" i="5"/>
  <c r="W1181" i="5"/>
  <c r="V1181" i="5"/>
  <c r="U1181" i="5"/>
  <c r="T1181" i="5"/>
  <c r="S1181" i="5"/>
  <c r="R1181" i="5"/>
  <c r="Q1181" i="5"/>
  <c r="P1181" i="5"/>
  <c r="O1181" i="5"/>
  <c r="N1181" i="5"/>
  <c r="M1181" i="5"/>
  <c r="L1181" i="5"/>
  <c r="AD1180" i="5"/>
  <c r="AC1180" i="5"/>
  <c r="AB1180" i="5"/>
  <c r="AA1180" i="5"/>
  <c r="Z1180" i="5"/>
  <c r="Y1180" i="5"/>
  <c r="X1180" i="5"/>
  <c r="W1180" i="5"/>
  <c r="V1180" i="5"/>
  <c r="U1180" i="5"/>
  <c r="T1180" i="5"/>
  <c r="S1180" i="5"/>
  <c r="R1180" i="5"/>
  <c r="Q1180" i="5"/>
  <c r="P1180" i="5"/>
  <c r="O1180" i="5"/>
  <c r="N1180" i="5"/>
  <c r="M1180" i="5"/>
  <c r="L1180" i="5"/>
  <c r="AD1179" i="5"/>
  <c r="AC1179" i="5"/>
  <c r="AB1179" i="5"/>
  <c r="AA1179" i="5"/>
  <c r="Z1179" i="5"/>
  <c r="Y1179" i="5"/>
  <c r="X1179" i="5"/>
  <c r="W1179" i="5"/>
  <c r="V1179" i="5"/>
  <c r="U1179" i="5"/>
  <c r="T1179" i="5"/>
  <c r="S1179" i="5"/>
  <c r="R1179" i="5"/>
  <c r="Q1179" i="5"/>
  <c r="P1179" i="5"/>
  <c r="O1179" i="5"/>
  <c r="N1179" i="5"/>
  <c r="M1179" i="5"/>
  <c r="L1179" i="5"/>
  <c r="AD1178" i="5"/>
  <c r="AC1178" i="5"/>
  <c r="AB1178" i="5"/>
  <c r="AA1178" i="5"/>
  <c r="Z1178" i="5"/>
  <c r="Y1178" i="5"/>
  <c r="X1178" i="5"/>
  <c r="W1178" i="5"/>
  <c r="V1178" i="5"/>
  <c r="U1178" i="5"/>
  <c r="T1178" i="5"/>
  <c r="S1178" i="5"/>
  <c r="R1178" i="5"/>
  <c r="Q1178" i="5"/>
  <c r="P1178" i="5"/>
  <c r="O1178" i="5"/>
  <c r="N1178" i="5"/>
  <c r="M1178" i="5"/>
  <c r="L1178" i="5"/>
  <c r="AD1177" i="5"/>
  <c r="AC1177" i="5"/>
  <c r="AB1177" i="5"/>
  <c r="AA1177" i="5"/>
  <c r="Z1177" i="5"/>
  <c r="Y1177" i="5"/>
  <c r="X1177" i="5"/>
  <c r="W1177" i="5"/>
  <c r="V1177" i="5"/>
  <c r="U1177" i="5"/>
  <c r="T1177" i="5"/>
  <c r="S1177" i="5"/>
  <c r="R1177" i="5"/>
  <c r="Q1177" i="5"/>
  <c r="P1177" i="5"/>
  <c r="O1177" i="5"/>
  <c r="N1177" i="5"/>
  <c r="M1177" i="5"/>
  <c r="L1177" i="5"/>
  <c r="AD1176" i="5"/>
  <c r="AC1176" i="5"/>
  <c r="AB1176" i="5"/>
  <c r="AA1176" i="5"/>
  <c r="Z1176" i="5"/>
  <c r="Y1176" i="5"/>
  <c r="X1176" i="5"/>
  <c r="W1176" i="5"/>
  <c r="V1176" i="5"/>
  <c r="U1176" i="5"/>
  <c r="T1176" i="5"/>
  <c r="S1176" i="5"/>
  <c r="R1176" i="5"/>
  <c r="Q1176" i="5"/>
  <c r="P1176" i="5"/>
  <c r="O1176" i="5"/>
  <c r="N1176" i="5"/>
  <c r="M1176" i="5"/>
  <c r="L1176" i="5"/>
  <c r="AD1175" i="5"/>
  <c r="AC1175" i="5"/>
  <c r="AB1175" i="5"/>
  <c r="AA1175" i="5"/>
  <c r="Z1175" i="5"/>
  <c r="Y1175" i="5"/>
  <c r="X1175" i="5"/>
  <c r="W1175" i="5"/>
  <c r="V1175" i="5"/>
  <c r="U1175" i="5"/>
  <c r="T1175" i="5"/>
  <c r="S1175" i="5"/>
  <c r="R1175" i="5"/>
  <c r="Q1175" i="5"/>
  <c r="P1175" i="5"/>
  <c r="O1175" i="5"/>
  <c r="N1175" i="5"/>
  <c r="M1175" i="5"/>
  <c r="L1175" i="5"/>
  <c r="AD1174" i="5"/>
  <c r="AC1174" i="5"/>
  <c r="AB1174" i="5"/>
  <c r="AA1174" i="5"/>
  <c r="Z1174" i="5"/>
  <c r="Y1174" i="5"/>
  <c r="X1174" i="5"/>
  <c r="W1174" i="5"/>
  <c r="V1174" i="5"/>
  <c r="U1174" i="5"/>
  <c r="T1174" i="5"/>
  <c r="S1174" i="5"/>
  <c r="R1174" i="5"/>
  <c r="Q1174" i="5"/>
  <c r="P1174" i="5"/>
  <c r="O1174" i="5"/>
  <c r="N1174" i="5"/>
  <c r="M1174" i="5"/>
  <c r="L1174" i="5"/>
  <c r="AD1173" i="5"/>
  <c r="AC1173" i="5"/>
  <c r="AB1173" i="5"/>
  <c r="AA1173" i="5"/>
  <c r="Z1173" i="5"/>
  <c r="Y1173" i="5"/>
  <c r="X1173" i="5"/>
  <c r="W1173" i="5"/>
  <c r="V1173" i="5"/>
  <c r="U1173" i="5"/>
  <c r="T1173" i="5"/>
  <c r="S1173" i="5"/>
  <c r="R1173" i="5"/>
  <c r="Q1173" i="5"/>
  <c r="P1173" i="5"/>
  <c r="O1173" i="5"/>
  <c r="N1173" i="5"/>
  <c r="M1173" i="5"/>
  <c r="L1173" i="5"/>
  <c r="AD1172" i="5"/>
  <c r="AC1172" i="5"/>
  <c r="AB1172" i="5"/>
  <c r="AA1172" i="5"/>
  <c r="Z1172" i="5"/>
  <c r="Y1172" i="5"/>
  <c r="X1172" i="5"/>
  <c r="W1172" i="5"/>
  <c r="V1172" i="5"/>
  <c r="U1172" i="5"/>
  <c r="T1172" i="5"/>
  <c r="S1172" i="5"/>
  <c r="R1172" i="5"/>
  <c r="Q1172" i="5"/>
  <c r="P1172" i="5"/>
  <c r="O1172" i="5"/>
  <c r="N1172" i="5"/>
  <c r="M1172" i="5"/>
  <c r="L1172" i="5"/>
  <c r="AD1171" i="5"/>
  <c r="AC1171" i="5"/>
  <c r="AB1171" i="5"/>
  <c r="AA1171" i="5"/>
  <c r="Z1171" i="5"/>
  <c r="Y1171" i="5"/>
  <c r="X1171" i="5"/>
  <c r="W1171" i="5"/>
  <c r="V1171" i="5"/>
  <c r="U1171" i="5"/>
  <c r="T1171" i="5"/>
  <c r="S1171" i="5"/>
  <c r="R1171" i="5"/>
  <c r="Q1171" i="5"/>
  <c r="P1171" i="5"/>
  <c r="O1171" i="5"/>
  <c r="N1171" i="5"/>
  <c r="M1171" i="5"/>
  <c r="L1171" i="5"/>
  <c r="AD1170" i="5"/>
  <c r="AC1170" i="5"/>
  <c r="AB1170" i="5"/>
  <c r="AA1170" i="5"/>
  <c r="Z1170" i="5"/>
  <c r="Y1170" i="5"/>
  <c r="X1170" i="5"/>
  <c r="W1170" i="5"/>
  <c r="V1170" i="5"/>
  <c r="U1170" i="5"/>
  <c r="T1170" i="5"/>
  <c r="S1170" i="5"/>
  <c r="R1170" i="5"/>
  <c r="Q1170" i="5"/>
  <c r="P1170" i="5"/>
  <c r="O1170" i="5"/>
  <c r="N1170" i="5"/>
  <c r="M1170" i="5"/>
  <c r="L1170" i="5"/>
  <c r="AD1169" i="5"/>
  <c r="AC1169" i="5"/>
  <c r="AB1169" i="5"/>
  <c r="AA1169" i="5"/>
  <c r="Z1169" i="5"/>
  <c r="Y1169" i="5"/>
  <c r="X1169" i="5"/>
  <c r="W1169" i="5"/>
  <c r="V1169" i="5"/>
  <c r="U1169" i="5"/>
  <c r="T1169" i="5"/>
  <c r="S1169" i="5"/>
  <c r="R1169" i="5"/>
  <c r="Q1169" i="5"/>
  <c r="P1169" i="5"/>
  <c r="O1169" i="5"/>
  <c r="N1169" i="5"/>
  <c r="M1169" i="5"/>
  <c r="L1169" i="5"/>
  <c r="AD1168" i="5"/>
  <c r="AC1168" i="5"/>
  <c r="AB1168" i="5"/>
  <c r="AA1168" i="5"/>
  <c r="Z1168" i="5"/>
  <c r="Y1168" i="5"/>
  <c r="X1168" i="5"/>
  <c r="W1168" i="5"/>
  <c r="V1168" i="5"/>
  <c r="U1168" i="5"/>
  <c r="T1168" i="5"/>
  <c r="S1168" i="5"/>
  <c r="R1168" i="5"/>
  <c r="Q1168" i="5"/>
  <c r="P1168" i="5"/>
  <c r="O1168" i="5"/>
  <c r="N1168" i="5"/>
  <c r="M1168" i="5"/>
  <c r="L1168" i="5"/>
  <c r="AD1167" i="5"/>
  <c r="AC1167" i="5"/>
  <c r="AB1167" i="5"/>
  <c r="AA1167" i="5"/>
  <c r="Z1167" i="5"/>
  <c r="Y1167" i="5"/>
  <c r="X1167" i="5"/>
  <c r="W1167" i="5"/>
  <c r="V1167" i="5"/>
  <c r="U1167" i="5"/>
  <c r="T1167" i="5"/>
  <c r="S1167" i="5"/>
  <c r="R1167" i="5"/>
  <c r="Q1167" i="5"/>
  <c r="P1167" i="5"/>
  <c r="O1167" i="5"/>
  <c r="N1167" i="5"/>
  <c r="M1167" i="5"/>
  <c r="L1167" i="5"/>
  <c r="AD1166" i="5"/>
  <c r="AC1166" i="5"/>
  <c r="AB1166" i="5"/>
  <c r="AA1166" i="5"/>
  <c r="Z1166" i="5"/>
  <c r="Y1166" i="5"/>
  <c r="X1166" i="5"/>
  <c r="W1166" i="5"/>
  <c r="V1166" i="5"/>
  <c r="U1166" i="5"/>
  <c r="T1166" i="5"/>
  <c r="S1166" i="5"/>
  <c r="R1166" i="5"/>
  <c r="Q1166" i="5"/>
  <c r="P1166" i="5"/>
  <c r="O1166" i="5"/>
  <c r="N1166" i="5"/>
  <c r="M1166" i="5"/>
  <c r="L1166" i="5"/>
  <c r="AD1165" i="5"/>
  <c r="AC1165" i="5"/>
  <c r="AB1165" i="5"/>
  <c r="AA1165" i="5"/>
  <c r="Z1165" i="5"/>
  <c r="Y1165" i="5"/>
  <c r="X1165" i="5"/>
  <c r="W1165" i="5"/>
  <c r="V1165" i="5"/>
  <c r="U1165" i="5"/>
  <c r="T1165" i="5"/>
  <c r="S1165" i="5"/>
  <c r="R1165" i="5"/>
  <c r="Q1165" i="5"/>
  <c r="P1165" i="5"/>
  <c r="O1165" i="5"/>
  <c r="N1165" i="5"/>
  <c r="M1165" i="5"/>
  <c r="L1165" i="5"/>
  <c r="AD1164" i="5"/>
  <c r="AC1164" i="5"/>
  <c r="AB1164" i="5"/>
  <c r="AA1164" i="5"/>
  <c r="Z1164" i="5"/>
  <c r="Y1164" i="5"/>
  <c r="X1164" i="5"/>
  <c r="W1164" i="5"/>
  <c r="V1164" i="5"/>
  <c r="U1164" i="5"/>
  <c r="T1164" i="5"/>
  <c r="S1164" i="5"/>
  <c r="R1164" i="5"/>
  <c r="Q1164" i="5"/>
  <c r="P1164" i="5"/>
  <c r="O1164" i="5"/>
  <c r="N1164" i="5"/>
  <c r="M1164" i="5"/>
  <c r="L1164" i="5"/>
  <c r="AD1163" i="5"/>
  <c r="AC1163" i="5"/>
  <c r="AB1163" i="5"/>
  <c r="AA1163" i="5"/>
  <c r="Z1163" i="5"/>
  <c r="Y1163" i="5"/>
  <c r="X1163" i="5"/>
  <c r="W1163" i="5"/>
  <c r="V1163" i="5"/>
  <c r="U1163" i="5"/>
  <c r="T1163" i="5"/>
  <c r="S1163" i="5"/>
  <c r="R1163" i="5"/>
  <c r="Q1163" i="5"/>
  <c r="P1163" i="5"/>
  <c r="O1163" i="5"/>
  <c r="N1163" i="5"/>
  <c r="M1163" i="5"/>
  <c r="L1163" i="5"/>
  <c r="AD1162" i="5"/>
  <c r="AC1162" i="5"/>
  <c r="AB1162" i="5"/>
  <c r="AA1162" i="5"/>
  <c r="Z1162" i="5"/>
  <c r="Y1162" i="5"/>
  <c r="X1162" i="5"/>
  <c r="W1162" i="5"/>
  <c r="V1162" i="5"/>
  <c r="U1162" i="5"/>
  <c r="T1162" i="5"/>
  <c r="S1162" i="5"/>
  <c r="R1162" i="5"/>
  <c r="Q1162" i="5"/>
  <c r="P1162" i="5"/>
  <c r="O1162" i="5"/>
  <c r="N1162" i="5"/>
  <c r="M1162" i="5"/>
  <c r="L1162" i="5"/>
  <c r="AD1161" i="5"/>
  <c r="AC1161" i="5"/>
  <c r="AB1161" i="5"/>
  <c r="AA1161" i="5"/>
  <c r="Z1161" i="5"/>
  <c r="Y1161" i="5"/>
  <c r="X1161" i="5"/>
  <c r="W1161" i="5"/>
  <c r="V1161" i="5"/>
  <c r="U1161" i="5"/>
  <c r="T1161" i="5"/>
  <c r="S1161" i="5"/>
  <c r="R1161" i="5"/>
  <c r="Q1161" i="5"/>
  <c r="P1161" i="5"/>
  <c r="O1161" i="5"/>
  <c r="N1161" i="5"/>
  <c r="M1161" i="5"/>
  <c r="L1161" i="5"/>
  <c r="AD1160" i="5"/>
  <c r="AC1160" i="5"/>
  <c r="AB1160" i="5"/>
  <c r="AA1160" i="5"/>
  <c r="Z1160" i="5"/>
  <c r="Y1160" i="5"/>
  <c r="X1160" i="5"/>
  <c r="W1160" i="5"/>
  <c r="V1160" i="5"/>
  <c r="U1160" i="5"/>
  <c r="T1160" i="5"/>
  <c r="S1160" i="5"/>
  <c r="R1160" i="5"/>
  <c r="Q1160" i="5"/>
  <c r="P1160" i="5"/>
  <c r="O1160" i="5"/>
  <c r="N1160" i="5"/>
  <c r="M1160" i="5"/>
  <c r="L1160" i="5"/>
  <c r="AD1159" i="5"/>
  <c r="AC1159" i="5"/>
  <c r="AB1159" i="5"/>
  <c r="AA1159" i="5"/>
  <c r="Z1159" i="5"/>
  <c r="Y1159" i="5"/>
  <c r="X1159" i="5"/>
  <c r="W1159" i="5"/>
  <c r="V1159" i="5"/>
  <c r="U1159" i="5"/>
  <c r="T1159" i="5"/>
  <c r="S1159" i="5"/>
  <c r="R1159" i="5"/>
  <c r="Q1159" i="5"/>
  <c r="P1159" i="5"/>
  <c r="O1159" i="5"/>
  <c r="N1159" i="5"/>
  <c r="M1159" i="5"/>
  <c r="L1159" i="5"/>
  <c r="AD1158" i="5"/>
  <c r="AC1158" i="5"/>
  <c r="AB1158" i="5"/>
  <c r="AA1158" i="5"/>
  <c r="Z1158" i="5"/>
  <c r="Y1158" i="5"/>
  <c r="X1158" i="5"/>
  <c r="W1158" i="5"/>
  <c r="V1158" i="5"/>
  <c r="U1158" i="5"/>
  <c r="T1158" i="5"/>
  <c r="S1158" i="5"/>
  <c r="R1158" i="5"/>
  <c r="Q1158" i="5"/>
  <c r="P1158" i="5"/>
  <c r="O1158" i="5"/>
  <c r="N1158" i="5"/>
  <c r="M1158" i="5"/>
  <c r="L1158" i="5"/>
  <c r="AD1157" i="5"/>
  <c r="AC1157" i="5"/>
  <c r="AB1157" i="5"/>
  <c r="AA1157" i="5"/>
  <c r="Z1157" i="5"/>
  <c r="Y1157" i="5"/>
  <c r="X1157" i="5"/>
  <c r="W1157" i="5"/>
  <c r="V1157" i="5"/>
  <c r="U1157" i="5"/>
  <c r="T1157" i="5"/>
  <c r="S1157" i="5"/>
  <c r="R1157" i="5"/>
  <c r="Q1157" i="5"/>
  <c r="P1157" i="5"/>
  <c r="O1157" i="5"/>
  <c r="N1157" i="5"/>
  <c r="M1157" i="5"/>
  <c r="L1157" i="5"/>
  <c r="AD1156" i="5"/>
  <c r="AC1156" i="5"/>
  <c r="AB1156" i="5"/>
  <c r="AA1156" i="5"/>
  <c r="Z1156" i="5"/>
  <c r="Y1156" i="5"/>
  <c r="X1156" i="5"/>
  <c r="W1156" i="5"/>
  <c r="V1156" i="5"/>
  <c r="U1156" i="5"/>
  <c r="T1156" i="5"/>
  <c r="S1156" i="5"/>
  <c r="R1156" i="5"/>
  <c r="Q1156" i="5"/>
  <c r="P1156" i="5"/>
  <c r="O1156" i="5"/>
  <c r="N1156" i="5"/>
  <c r="M1156" i="5"/>
  <c r="L1156" i="5"/>
  <c r="AD1155" i="5"/>
  <c r="AC1155" i="5"/>
  <c r="AB1155" i="5"/>
  <c r="AA1155" i="5"/>
  <c r="Z1155" i="5"/>
  <c r="Y1155" i="5"/>
  <c r="X1155" i="5"/>
  <c r="W1155" i="5"/>
  <c r="V1155" i="5"/>
  <c r="U1155" i="5"/>
  <c r="T1155" i="5"/>
  <c r="S1155" i="5"/>
  <c r="R1155" i="5"/>
  <c r="Q1155" i="5"/>
  <c r="P1155" i="5"/>
  <c r="O1155" i="5"/>
  <c r="N1155" i="5"/>
  <c r="M1155" i="5"/>
  <c r="L1155" i="5"/>
  <c r="AD1154" i="5"/>
  <c r="AC1154" i="5"/>
  <c r="AB1154" i="5"/>
  <c r="AA1154" i="5"/>
  <c r="Z1154" i="5"/>
  <c r="Y1154" i="5"/>
  <c r="X1154" i="5"/>
  <c r="W1154" i="5"/>
  <c r="V1154" i="5"/>
  <c r="U1154" i="5"/>
  <c r="T1154" i="5"/>
  <c r="S1154" i="5"/>
  <c r="R1154" i="5"/>
  <c r="Q1154" i="5"/>
  <c r="P1154" i="5"/>
  <c r="O1154" i="5"/>
  <c r="N1154" i="5"/>
  <c r="M1154" i="5"/>
  <c r="L1154" i="5"/>
  <c r="AD1153" i="5"/>
  <c r="AC1153" i="5"/>
  <c r="AB1153" i="5"/>
  <c r="AA1153" i="5"/>
  <c r="Z1153" i="5"/>
  <c r="Y1153" i="5"/>
  <c r="X1153" i="5"/>
  <c r="W1153" i="5"/>
  <c r="V1153" i="5"/>
  <c r="U1153" i="5"/>
  <c r="T1153" i="5"/>
  <c r="S1153" i="5"/>
  <c r="R1153" i="5"/>
  <c r="Q1153" i="5"/>
  <c r="P1153" i="5"/>
  <c r="O1153" i="5"/>
  <c r="N1153" i="5"/>
  <c r="M1153" i="5"/>
  <c r="L1153" i="5"/>
  <c r="AD1152" i="5"/>
  <c r="AC1152" i="5"/>
  <c r="AB1152" i="5"/>
  <c r="AA1152" i="5"/>
  <c r="Z1152" i="5"/>
  <c r="Y1152" i="5"/>
  <c r="X1152" i="5"/>
  <c r="W1152" i="5"/>
  <c r="V1152" i="5"/>
  <c r="U1152" i="5"/>
  <c r="T1152" i="5"/>
  <c r="S1152" i="5"/>
  <c r="R1152" i="5"/>
  <c r="Q1152" i="5"/>
  <c r="P1152" i="5"/>
  <c r="O1152" i="5"/>
  <c r="N1152" i="5"/>
  <c r="M1152" i="5"/>
  <c r="L1152" i="5"/>
  <c r="AD1151" i="5"/>
  <c r="AC1151" i="5"/>
  <c r="AB1151" i="5"/>
  <c r="AA1151" i="5"/>
  <c r="Z1151" i="5"/>
  <c r="Y1151" i="5"/>
  <c r="X1151" i="5"/>
  <c r="W1151" i="5"/>
  <c r="V1151" i="5"/>
  <c r="U1151" i="5"/>
  <c r="T1151" i="5"/>
  <c r="S1151" i="5"/>
  <c r="R1151" i="5"/>
  <c r="Q1151" i="5"/>
  <c r="P1151" i="5"/>
  <c r="O1151" i="5"/>
  <c r="N1151" i="5"/>
  <c r="M1151" i="5"/>
  <c r="L1151" i="5"/>
  <c r="AD1150" i="5"/>
  <c r="AC1150" i="5"/>
  <c r="AB1150" i="5"/>
  <c r="AA1150" i="5"/>
  <c r="Z1150" i="5"/>
  <c r="Y1150" i="5"/>
  <c r="X1150" i="5"/>
  <c r="W1150" i="5"/>
  <c r="V1150" i="5"/>
  <c r="U1150" i="5"/>
  <c r="T1150" i="5"/>
  <c r="S1150" i="5"/>
  <c r="R1150" i="5"/>
  <c r="Q1150" i="5"/>
  <c r="P1150" i="5"/>
  <c r="O1150" i="5"/>
  <c r="N1150" i="5"/>
  <c r="M1150" i="5"/>
  <c r="L1150" i="5"/>
  <c r="AD1149" i="5"/>
  <c r="AC1149" i="5"/>
  <c r="AB1149" i="5"/>
  <c r="AA1149" i="5"/>
  <c r="Z1149" i="5"/>
  <c r="Y1149" i="5"/>
  <c r="X1149" i="5"/>
  <c r="W1149" i="5"/>
  <c r="V1149" i="5"/>
  <c r="U1149" i="5"/>
  <c r="T1149" i="5"/>
  <c r="S1149" i="5"/>
  <c r="R1149" i="5"/>
  <c r="Q1149" i="5"/>
  <c r="P1149" i="5"/>
  <c r="O1149" i="5"/>
  <c r="N1149" i="5"/>
  <c r="M1149" i="5"/>
  <c r="L1149" i="5"/>
  <c r="AD1148" i="5"/>
  <c r="AC1148" i="5"/>
  <c r="AB1148" i="5"/>
  <c r="AA1148" i="5"/>
  <c r="Z1148" i="5"/>
  <c r="Y1148" i="5"/>
  <c r="X1148" i="5"/>
  <c r="W1148" i="5"/>
  <c r="V1148" i="5"/>
  <c r="U1148" i="5"/>
  <c r="T1148" i="5"/>
  <c r="S1148" i="5"/>
  <c r="R1148" i="5"/>
  <c r="Q1148" i="5"/>
  <c r="P1148" i="5"/>
  <c r="O1148" i="5"/>
  <c r="N1148" i="5"/>
  <c r="M1148" i="5"/>
  <c r="L1148" i="5"/>
  <c r="AD1147" i="5"/>
  <c r="AC1147" i="5"/>
  <c r="AB1147" i="5"/>
  <c r="AA1147" i="5"/>
  <c r="Z1147" i="5"/>
  <c r="Y1147" i="5"/>
  <c r="X1147" i="5"/>
  <c r="W1147" i="5"/>
  <c r="V1147" i="5"/>
  <c r="U1147" i="5"/>
  <c r="T1147" i="5"/>
  <c r="S1147" i="5"/>
  <c r="R1147" i="5"/>
  <c r="Q1147" i="5"/>
  <c r="P1147" i="5"/>
  <c r="O1147" i="5"/>
  <c r="N1147" i="5"/>
  <c r="M1147" i="5"/>
  <c r="L1147" i="5"/>
  <c r="AD1146" i="5"/>
  <c r="AC1146" i="5"/>
  <c r="AB1146" i="5"/>
  <c r="AA1146" i="5"/>
  <c r="Z1146" i="5"/>
  <c r="Y1146" i="5"/>
  <c r="X1146" i="5"/>
  <c r="W1146" i="5"/>
  <c r="V1146" i="5"/>
  <c r="U1146" i="5"/>
  <c r="T1146" i="5"/>
  <c r="S1146" i="5"/>
  <c r="R1146" i="5"/>
  <c r="Q1146" i="5"/>
  <c r="P1146" i="5"/>
  <c r="O1146" i="5"/>
  <c r="N1146" i="5"/>
  <c r="M1146" i="5"/>
  <c r="L1146" i="5"/>
  <c r="AD1145" i="5"/>
  <c r="AC1145" i="5"/>
  <c r="AB1145" i="5"/>
  <c r="AA1145" i="5"/>
  <c r="Z1145" i="5"/>
  <c r="Y1145" i="5"/>
  <c r="X1145" i="5"/>
  <c r="W1145" i="5"/>
  <c r="V1145" i="5"/>
  <c r="U1145" i="5"/>
  <c r="T1145" i="5"/>
  <c r="S1145" i="5"/>
  <c r="R1145" i="5"/>
  <c r="Q1145" i="5"/>
  <c r="P1145" i="5"/>
  <c r="O1145" i="5"/>
  <c r="N1145" i="5"/>
  <c r="M1145" i="5"/>
  <c r="L1145" i="5"/>
  <c r="AD1144" i="5"/>
  <c r="AC1144" i="5"/>
  <c r="AB1144" i="5"/>
  <c r="AA1144" i="5"/>
  <c r="Z1144" i="5"/>
  <c r="Y1144" i="5"/>
  <c r="X1144" i="5"/>
  <c r="W1144" i="5"/>
  <c r="V1144" i="5"/>
  <c r="U1144" i="5"/>
  <c r="T1144" i="5"/>
  <c r="S1144" i="5"/>
  <c r="R1144" i="5"/>
  <c r="Q1144" i="5"/>
  <c r="P1144" i="5"/>
  <c r="O1144" i="5"/>
  <c r="N1144" i="5"/>
  <c r="M1144" i="5"/>
  <c r="L1144" i="5"/>
  <c r="AD1143" i="5"/>
  <c r="AC1143" i="5"/>
  <c r="AB1143" i="5"/>
  <c r="AA1143" i="5"/>
  <c r="Z1143" i="5"/>
  <c r="Y1143" i="5"/>
  <c r="X1143" i="5"/>
  <c r="W1143" i="5"/>
  <c r="V1143" i="5"/>
  <c r="U1143" i="5"/>
  <c r="T1143" i="5"/>
  <c r="S1143" i="5"/>
  <c r="R1143" i="5"/>
  <c r="Q1143" i="5"/>
  <c r="P1143" i="5"/>
  <c r="O1143" i="5"/>
  <c r="N1143" i="5"/>
  <c r="M1143" i="5"/>
  <c r="L1143" i="5"/>
  <c r="AD1142" i="5"/>
  <c r="AC1142" i="5"/>
  <c r="AB1142" i="5"/>
  <c r="AA1142" i="5"/>
  <c r="Z1142" i="5"/>
  <c r="Y1142" i="5"/>
  <c r="X1142" i="5"/>
  <c r="W1142" i="5"/>
  <c r="V1142" i="5"/>
  <c r="U1142" i="5"/>
  <c r="T1142" i="5"/>
  <c r="S1142" i="5"/>
  <c r="R1142" i="5"/>
  <c r="Q1142" i="5"/>
  <c r="P1142" i="5"/>
  <c r="O1142" i="5"/>
  <c r="N1142" i="5"/>
  <c r="M1142" i="5"/>
  <c r="L1142" i="5"/>
  <c r="AD1141" i="5"/>
  <c r="AC1141" i="5"/>
  <c r="AB1141" i="5"/>
  <c r="AA1141" i="5"/>
  <c r="Z1141" i="5"/>
  <c r="Y1141" i="5"/>
  <c r="X1141" i="5"/>
  <c r="W1141" i="5"/>
  <c r="V1141" i="5"/>
  <c r="U1141" i="5"/>
  <c r="T1141" i="5"/>
  <c r="S1141" i="5"/>
  <c r="R1141" i="5"/>
  <c r="Q1141" i="5"/>
  <c r="P1141" i="5"/>
  <c r="O1141" i="5"/>
  <c r="N1141" i="5"/>
  <c r="M1141" i="5"/>
  <c r="L1141" i="5"/>
  <c r="AD1140" i="5"/>
  <c r="AC1140" i="5"/>
  <c r="AB1140" i="5"/>
  <c r="AA1140" i="5"/>
  <c r="Z1140" i="5"/>
  <c r="Y1140" i="5"/>
  <c r="X1140" i="5"/>
  <c r="W1140" i="5"/>
  <c r="V1140" i="5"/>
  <c r="U1140" i="5"/>
  <c r="T1140" i="5"/>
  <c r="S1140" i="5"/>
  <c r="R1140" i="5"/>
  <c r="Q1140" i="5"/>
  <c r="P1140" i="5"/>
  <c r="O1140" i="5"/>
  <c r="N1140" i="5"/>
  <c r="M1140" i="5"/>
  <c r="L1140" i="5"/>
  <c r="AD1139" i="5"/>
  <c r="AC1139" i="5"/>
  <c r="AB1139" i="5"/>
  <c r="AA1139" i="5"/>
  <c r="Z1139" i="5"/>
  <c r="Y1139" i="5"/>
  <c r="X1139" i="5"/>
  <c r="W1139" i="5"/>
  <c r="V1139" i="5"/>
  <c r="U1139" i="5"/>
  <c r="T1139" i="5"/>
  <c r="S1139" i="5"/>
  <c r="R1139" i="5"/>
  <c r="Q1139" i="5"/>
  <c r="P1139" i="5"/>
  <c r="O1139" i="5"/>
  <c r="N1139" i="5"/>
  <c r="M1139" i="5"/>
  <c r="L1139" i="5"/>
  <c r="AD1138" i="5"/>
  <c r="AC1138" i="5"/>
  <c r="AB1138" i="5"/>
  <c r="AA1138" i="5"/>
  <c r="Z1138" i="5"/>
  <c r="Y1138" i="5"/>
  <c r="X1138" i="5"/>
  <c r="W1138" i="5"/>
  <c r="V1138" i="5"/>
  <c r="U1138" i="5"/>
  <c r="T1138" i="5"/>
  <c r="S1138" i="5"/>
  <c r="R1138" i="5"/>
  <c r="Q1138" i="5"/>
  <c r="P1138" i="5"/>
  <c r="O1138" i="5"/>
  <c r="N1138" i="5"/>
  <c r="M1138" i="5"/>
  <c r="L1138" i="5"/>
  <c r="AD1137" i="5"/>
  <c r="AC1137" i="5"/>
  <c r="AB1137" i="5"/>
  <c r="AA1137" i="5"/>
  <c r="Z1137" i="5"/>
  <c r="Y1137" i="5"/>
  <c r="X1137" i="5"/>
  <c r="W1137" i="5"/>
  <c r="V1137" i="5"/>
  <c r="U1137" i="5"/>
  <c r="T1137" i="5"/>
  <c r="S1137" i="5"/>
  <c r="R1137" i="5"/>
  <c r="Q1137" i="5"/>
  <c r="P1137" i="5"/>
  <c r="O1137" i="5"/>
  <c r="N1137" i="5"/>
  <c r="M1137" i="5"/>
  <c r="L1137" i="5"/>
  <c r="AD1136" i="5"/>
  <c r="AC1136" i="5"/>
  <c r="AB1136" i="5"/>
  <c r="AA1136" i="5"/>
  <c r="Z1136" i="5"/>
  <c r="Y1136" i="5"/>
  <c r="X1136" i="5"/>
  <c r="W1136" i="5"/>
  <c r="V1136" i="5"/>
  <c r="U1136" i="5"/>
  <c r="T1136" i="5"/>
  <c r="S1136" i="5"/>
  <c r="R1136" i="5"/>
  <c r="Q1136" i="5"/>
  <c r="P1136" i="5"/>
  <c r="O1136" i="5"/>
  <c r="N1136" i="5"/>
  <c r="M1136" i="5"/>
  <c r="L1136" i="5"/>
  <c r="AD1135" i="5"/>
  <c r="AC1135" i="5"/>
  <c r="AB1135" i="5"/>
  <c r="AA1135" i="5"/>
  <c r="Z1135" i="5"/>
  <c r="Y1135" i="5"/>
  <c r="X1135" i="5"/>
  <c r="W1135" i="5"/>
  <c r="V1135" i="5"/>
  <c r="U1135" i="5"/>
  <c r="T1135" i="5"/>
  <c r="S1135" i="5"/>
  <c r="R1135" i="5"/>
  <c r="Q1135" i="5"/>
  <c r="P1135" i="5"/>
  <c r="O1135" i="5"/>
  <c r="N1135" i="5"/>
  <c r="M1135" i="5"/>
  <c r="L1135" i="5"/>
  <c r="AD1134" i="5"/>
  <c r="AC1134" i="5"/>
  <c r="AB1134" i="5"/>
  <c r="AA1134" i="5"/>
  <c r="Z1134" i="5"/>
  <c r="Y1134" i="5"/>
  <c r="X1134" i="5"/>
  <c r="W1134" i="5"/>
  <c r="V1134" i="5"/>
  <c r="U1134" i="5"/>
  <c r="T1134" i="5"/>
  <c r="S1134" i="5"/>
  <c r="R1134" i="5"/>
  <c r="Q1134" i="5"/>
  <c r="P1134" i="5"/>
  <c r="O1134" i="5"/>
  <c r="N1134" i="5"/>
  <c r="M1134" i="5"/>
  <c r="L1134" i="5"/>
  <c r="AD1133" i="5"/>
  <c r="AC1133" i="5"/>
  <c r="AB1133" i="5"/>
  <c r="AA1133" i="5"/>
  <c r="Z1133" i="5"/>
  <c r="Y1133" i="5"/>
  <c r="X1133" i="5"/>
  <c r="W1133" i="5"/>
  <c r="V1133" i="5"/>
  <c r="U1133" i="5"/>
  <c r="T1133" i="5"/>
  <c r="S1133" i="5"/>
  <c r="R1133" i="5"/>
  <c r="Q1133" i="5"/>
  <c r="P1133" i="5"/>
  <c r="O1133" i="5"/>
  <c r="N1133" i="5"/>
  <c r="M1133" i="5"/>
  <c r="L1133" i="5"/>
  <c r="AD1132" i="5"/>
  <c r="AC1132" i="5"/>
  <c r="AB1132" i="5"/>
  <c r="AA1132" i="5"/>
  <c r="Z1132" i="5"/>
  <c r="Y1132" i="5"/>
  <c r="X1132" i="5"/>
  <c r="W1132" i="5"/>
  <c r="V1132" i="5"/>
  <c r="U1132" i="5"/>
  <c r="T1132" i="5"/>
  <c r="S1132" i="5"/>
  <c r="R1132" i="5"/>
  <c r="Q1132" i="5"/>
  <c r="P1132" i="5"/>
  <c r="O1132" i="5"/>
  <c r="N1132" i="5"/>
  <c r="M1132" i="5"/>
  <c r="L1132" i="5"/>
  <c r="AD1131" i="5"/>
  <c r="AC1131" i="5"/>
  <c r="AB1131" i="5"/>
  <c r="AA1131" i="5"/>
  <c r="Z1131" i="5"/>
  <c r="Y1131" i="5"/>
  <c r="X1131" i="5"/>
  <c r="W1131" i="5"/>
  <c r="V1131" i="5"/>
  <c r="U1131" i="5"/>
  <c r="T1131" i="5"/>
  <c r="S1131" i="5"/>
  <c r="R1131" i="5"/>
  <c r="Q1131" i="5"/>
  <c r="P1131" i="5"/>
  <c r="O1131" i="5"/>
  <c r="N1131" i="5"/>
  <c r="M1131" i="5"/>
  <c r="L1131" i="5"/>
  <c r="AD1130" i="5"/>
  <c r="AC1130" i="5"/>
  <c r="AB1130" i="5"/>
  <c r="AA1130" i="5"/>
  <c r="Z1130" i="5"/>
  <c r="Y1130" i="5"/>
  <c r="X1130" i="5"/>
  <c r="W1130" i="5"/>
  <c r="V1130" i="5"/>
  <c r="U1130" i="5"/>
  <c r="T1130" i="5"/>
  <c r="S1130" i="5"/>
  <c r="R1130" i="5"/>
  <c r="Q1130" i="5"/>
  <c r="P1130" i="5"/>
  <c r="O1130" i="5"/>
  <c r="N1130" i="5"/>
  <c r="M1130" i="5"/>
  <c r="L1130" i="5"/>
  <c r="AD1129" i="5"/>
  <c r="AC1129" i="5"/>
  <c r="AB1129" i="5"/>
  <c r="AA1129" i="5"/>
  <c r="Z1129" i="5"/>
  <c r="Y1129" i="5"/>
  <c r="X1129" i="5"/>
  <c r="W1129" i="5"/>
  <c r="V1129" i="5"/>
  <c r="U1129" i="5"/>
  <c r="T1129" i="5"/>
  <c r="S1129" i="5"/>
  <c r="R1129" i="5"/>
  <c r="Q1129" i="5"/>
  <c r="P1129" i="5"/>
  <c r="O1129" i="5"/>
  <c r="N1129" i="5"/>
  <c r="M1129" i="5"/>
  <c r="L1129" i="5"/>
  <c r="AD1128" i="5"/>
  <c r="AC1128" i="5"/>
  <c r="AB1128" i="5"/>
  <c r="AA1128" i="5"/>
  <c r="Z1128" i="5"/>
  <c r="Y1128" i="5"/>
  <c r="X1128" i="5"/>
  <c r="W1128" i="5"/>
  <c r="V1128" i="5"/>
  <c r="U1128" i="5"/>
  <c r="T1128" i="5"/>
  <c r="S1128" i="5"/>
  <c r="R1128" i="5"/>
  <c r="Q1128" i="5"/>
  <c r="P1128" i="5"/>
  <c r="O1128" i="5"/>
  <c r="N1128" i="5"/>
  <c r="M1128" i="5"/>
  <c r="L1128" i="5"/>
  <c r="AD1127" i="5"/>
  <c r="AC1127" i="5"/>
  <c r="AB1127" i="5"/>
  <c r="AA1127" i="5"/>
  <c r="Z1127" i="5"/>
  <c r="Y1127" i="5"/>
  <c r="X1127" i="5"/>
  <c r="W1127" i="5"/>
  <c r="V1127" i="5"/>
  <c r="U1127" i="5"/>
  <c r="T1127" i="5"/>
  <c r="S1127" i="5"/>
  <c r="R1127" i="5"/>
  <c r="Q1127" i="5"/>
  <c r="P1127" i="5"/>
  <c r="O1127" i="5"/>
  <c r="N1127" i="5"/>
  <c r="M1127" i="5"/>
  <c r="L1127" i="5"/>
  <c r="AD1126" i="5"/>
  <c r="AC1126" i="5"/>
  <c r="AB1126" i="5"/>
  <c r="AA1126" i="5"/>
  <c r="Z1126" i="5"/>
  <c r="Y1126" i="5"/>
  <c r="X1126" i="5"/>
  <c r="W1126" i="5"/>
  <c r="V1126" i="5"/>
  <c r="U1126" i="5"/>
  <c r="T1126" i="5"/>
  <c r="S1126" i="5"/>
  <c r="R1126" i="5"/>
  <c r="Q1126" i="5"/>
  <c r="P1126" i="5"/>
  <c r="O1126" i="5"/>
  <c r="N1126" i="5"/>
  <c r="M1126" i="5"/>
  <c r="L1126" i="5"/>
  <c r="AD1125" i="5"/>
  <c r="AC1125" i="5"/>
  <c r="AB1125" i="5"/>
  <c r="AA1125" i="5"/>
  <c r="Z1125" i="5"/>
  <c r="Y1125" i="5"/>
  <c r="X1125" i="5"/>
  <c r="W1125" i="5"/>
  <c r="V1125" i="5"/>
  <c r="U1125" i="5"/>
  <c r="T1125" i="5"/>
  <c r="S1125" i="5"/>
  <c r="R1125" i="5"/>
  <c r="Q1125" i="5"/>
  <c r="P1125" i="5"/>
  <c r="O1125" i="5"/>
  <c r="N1125" i="5"/>
  <c r="M1125" i="5"/>
  <c r="L1125" i="5"/>
  <c r="AD1124" i="5"/>
  <c r="AC1124" i="5"/>
  <c r="AB1124" i="5"/>
  <c r="AA1124" i="5"/>
  <c r="Z1124" i="5"/>
  <c r="Y1124" i="5"/>
  <c r="X1124" i="5"/>
  <c r="W1124" i="5"/>
  <c r="V1124" i="5"/>
  <c r="U1124" i="5"/>
  <c r="T1124" i="5"/>
  <c r="S1124" i="5"/>
  <c r="R1124" i="5"/>
  <c r="Q1124" i="5"/>
  <c r="P1124" i="5"/>
  <c r="O1124" i="5"/>
  <c r="N1124" i="5"/>
  <c r="M1124" i="5"/>
  <c r="L1124" i="5"/>
  <c r="AD1123" i="5"/>
  <c r="AC1123" i="5"/>
  <c r="AB1123" i="5"/>
  <c r="AA1123" i="5"/>
  <c r="Z1123" i="5"/>
  <c r="Y1123" i="5"/>
  <c r="X1123" i="5"/>
  <c r="W1123" i="5"/>
  <c r="V1123" i="5"/>
  <c r="U1123" i="5"/>
  <c r="T1123" i="5"/>
  <c r="S1123" i="5"/>
  <c r="R1123" i="5"/>
  <c r="Q1123" i="5"/>
  <c r="P1123" i="5"/>
  <c r="O1123" i="5"/>
  <c r="N1123" i="5"/>
  <c r="M1123" i="5"/>
  <c r="L1123" i="5"/>
  <c r="AD1122" i="5"/>
  <c r="AC1122" i="5"/>
  <c r="AB1122" i="5"/>
  <c r="AA1122" i="5"/>
  <c r="Z1122" i="5"/>
  <c r="Y1122" i="5"/>
  <c r="X1122" i="5"/>
  <c r="W1122" i="5"/>
  <c r="V1122" i="5"/>
  <c r="U1122" i="5"/>
  <c r="T1122" i="5"/>
  <c r="S1122" i="5"/>
  <c r="R1122" i="5"/>
  <c r="Q1122" i="5"/>
  <c r="P1122" i="5"/>
  <c r="O1122" i="5"/>
  <c r="N1122" i="5"/>
  <c r="M1122" i="5"/>
  <c r="L1122" i="5"/>
  <c r="AD1121" i="5"/>
  <c r="AC1121" i="5"/>
  <c r="AB1121" i="5"/>
  <c r="AA1121" i="5"/>
  <c r="Z1121" i="5"/>
  <c r="Y1121" i="5"/>
  <c r="X1121" i="5"/>
  <c r="W1121" i="5"/>
  <c r="V1121" i="5"/>
  <c r="U1121" i="5"/>
  <c r="T1121" i="5"/>
  <c r="S1121" i="5"/>
  <c r="R1121" i="5"/>
  <c r="Q1121" i="5"/>
  <c r="P1121" i="5"/>
  <c r="O1121" i="5"/>
  <c r="N1121" i="5"/>
  <c r="M1121" i="5"/>
  <c r="L1121" i="5"/>
  <c r="AD1120" i="5"/>
  <c r="AC1120" i="5"/>
  <c r="AB1120" i="5"/>
  <c r="AA1120" i="5"/>
  <c r="Z1120" i="5"/>
  <c r="Y1120" i="5"/>
  <c r="X1120" i="5"/>
  <c r="W1120" i="5"/>
  <c r="V1120" i="5"/>
  <c r="U1120" i="5"/>
  <c r="T1120" i="5"/>
  <c r="S1120" i="5"/>
  <c r="R1120" i="5"/>
  <c r="Q1120" i="5"/>
  <c r="P1120" i="5"/>
  <c r="O1120" i="5"/>
  <c r="N1120" i="5"/>
  <c r="M1120" i="5"/>
  <c r="L1120" i="5"/>
  <c r="AD1119" i="5"/>
  <c r="AC1119" i="5"/>
  <c r="AB1119" i="5"/>
  <c r="AA1119" i="5"/>
  <c r="Z1119" i="5"/>
  <c r="Y1119" i="5"/>
  <c r="X1119" i="5"/>
  <c r="W1119" i="5"/>
  <c r="V1119" i="5"/>
  <c r="U1119" i="5"/>
  <c r="T1119" i="5"/>
  <c r="S1119" i="5"/>
  <c r="R1119" i="5"/>
  <c r="Q1119" i="5"/>
  <c r="P1119" i="5"/>
  <c r="O1119" i="5"/>
  <c r="N1119" i="5"/>
  <c r="M1119" i="5"/>
  <c r="L1119" i="5"/>
  <c r="AD1118" i="5"/>
  <c r="AC1118" i="5"/>
  <c r="AB1118" i="5"/>
  <c r="AA1118" i="5"/>
  <c r="Z1118" i="5"/>
  <c r="Y1118" i="5"/>
  <c r="X1118" i="5"/>
  <c r="W1118" i="5"/>
  <c r="V1118" i="5"/>
  <c r="U1118" i="5"/>
  <c r="T1118" i="5"/>
  <c r="S1118" i="5"/>
  <c r="R1118" i="5"/>
  <c r="Q1118" i="5"/>
  <c r="P1118" i="5"/>
  <c r="O1118" i="5"/>
  <c r="N1118" i="5"/>
  <c r="M1118" i="5"/>
  <c r="L1118" i="5"/>
  <c r="AD1117" i="5"/>
  <c r="AC1117" i="5"/>
  <c r="AB1117" i="5"/>
  <c r="AA1117" i="5"/>
  <c r="Z1117" i="5"/>
  <c r="Y1117" i="5"/>
  <c r="X1117" i="5"/>
  <c r="W1117" i="5"/>
  <c r="V1117" i="5"/>
  <c r="U1117" i="5"/>
  <c r="T1117" i="5"/>
  <c r="S1117" i="5"/>
  <c r="R1117" i="5"/>
  <c r="Q1117" i="5"/>
  <c r="P1117" i="5"/>
  <c r="O1117" i="5"/>
  <c r="N1117" i="5"/>
  <c r="M1117" i="5"/>
  <c r="L1117" i="5"/>
  <c r="AD1116" i="5"/>
  <c r="AC1116" i="5"/>
  <c r="AB1116" i="5"/>
  <c r="AA1116" i="5"/>
  <c r="Z1116" i="5"/>
  <c r="Y1116" i="5"/>
  <c r="X1116" i="5"/>
  <c r="W1116" i="5"/>
  <c r="V1116" i="5"/>
  <c r="U1116" i="5"/>
  <c r="T1116" i="5"/>
  <c r="S1116" i="5"/>
  <c r="R1116" i="5"/>
  <c r="Q1116" i="5"/>
  <c r="P1116" i="5"/>
  <c r="O1116" i="5"/>
  <c r="N1116" i="5"/>
  <c r="M1116" i="5"/>
  <c r="L1116" i="5"/>
  <c r="AD1115" i="5"/>
  <c r="AC1115" i="5"/>
  <c r="AB1115" i="5"/>
  <c r="AA1115" i="5"/>
  <c r="Z1115" i="5"/>
  <c r="Y1115" i="5"/>
  <c r="X1115" i="5"/>
  <c r="W1115" i="5"/>
  <c r="V1115" i="5"/>
  <c r="U1115" i="5"/>
  <c r="T1115" i="5"/>
  <c r="S1115" i="5"/>
  <c r="R1115" i="5"/>
  <c r="Q1115" i="5"/>
  <c r="P1115" i="5"/>
  <c r="O1115" i="5"/>
  <c r="N1115" i="5"/>
  <c r="M1115" i="5"/>
  <c r="L1115" i="5"/>
  <c r="AD1114" i="5"/>
  <c r="AC1114" i="5"/>
  <c r="AB1114" i="5"/>
  <c r="AA1114" i="5"/>
  <c r="Z1114" i="5"/>
  <c r="Y1114" i="5"/>
  <c r="X1114" i="5"/>
  <c r="W1114" i="5"/>
  <c r="V1114" i="5"/>
  <c r="U1114" i="5"/>
  <c r="T1114" i="5"/>
  <c r="S1114" i="5"/>
  <c r="R1114" i="5"/>
  <c r="Q1114" i="5"/>
  <c r="P1114" i="5"/>
  <c r="O1114" i="5"/>
  <c r="N1114" i="5"/>
  <c r="M1114" i="5"/>
  <c r="L1114" i="5"/>
  <c r="AD1113" i="5"/>
  <c r="AC1113" i="5"/>
  <c r="AB1113" i="5"/>
  <c r="AA1113" i="5"/>
  <c r="Z1113" i="5"/>
  <c r="Y1113" i="5"/>
  <c r="X1113" i="5"/>
  <c r="W1113" i="5"/>
  <c r="V1113" i="5"/>
  <c r="U1113" i="5"/>
  <c r="T1113" i="5"/>
  <c r="S1113" i="5"/>
  <c r="R1113" i="5"/>
  <c r="Q1113" i="5"/>
  <c r="P1113" i="5"/>
  <c r="O1113" i="5"/>
  <c r="N1113" i="5"/>
  <c r="M1113" i="5"/>
  <c r="L1113" i="5"/>
  <c r="AD1112" i="5"/>
  <c r="AC1112" i="5"/>
  <c r="AB1112" i="5"/>
  <c r="AA1112" i="5"/>
  <c r="Z1112" i="5"/>
  <c r="Y1112" i="5"/>
  <c r="X1112" i="5"/>
  <c r="W1112" i="5"/>
  <c r="V1112" i="5"/>
  <c r="U1112" i="5"/>
  <c r="T1112" i="5"/>
  <c r="S1112" i="5"/>
  <c r="R1112" i="5"/>
  <c r="Q1112" i="5"/>
  <c r="P1112" i="5"/>
  <c r="O1112" i="5"/>
  <c r="N1112" i="5"/>
  <c r="M1112" i="5"/>
  <c r="L1112" i="5"/>
  <c r="AD1111" i="5"/>
  <c r="AC1111" i="5"/>
  <c r="AB1111" i="5"/>
  <c r="AA1111" i="5"/>
  <c r="Z1111" i="5"/>
  <c r="Y1111" i="5"/>
  <c r="X1111" i="5"/>
  <c r="W1111" i="5"/>
  <c r="V1111" i="5"/>
  <c r="U1111" i="5"/>
  <c r="T1111" i="5"/>
  <c r="S1111" i="5"/>
  <c r="R1111" i="5"/>
  <c r="Q1111" i="5"/>
  <c r="P1111" i="5"/>
  <c r="O1111" i="5"/>
  <c r="N1111" i="5"/>
  <c r="M1111" i="5"/>
  <c r="L1111" i="5"/>
  <c r="AD1110" i="5"/>
  <c r="AC1110" i="5"/>
  <c r="AB1110" i="5"/>
  <c r="AA1110" i="5"/>
  <c r="Z1110" i="5"/>
  <c r="Y1110" i="5"/>
  <c r="X1110" i="5"/>
  <c r="W1110" i="5"/>
  <c r="V1110" i="5"/>
  <c r="U1110" i="5"/>
  <c r="T1110" i="5"/>
  <c r="S1110" i="5"/>
  <c r="R1110" i="5"/>
  <c r="Q1110" i="5"/>
  <c r="P1110" i="5"/>
  <c r="O1110" i="5"/>
  <c r="N1110" i="5"/>
  <c r="M1110" i="5"/>
  <c r="L1110" i="5"/>
  <c r="AD1109" i="5"/>
  <c r="AC1109" i="5"/>
  <c r="AB1109" i="5"/>
  <c r="AA1109" i="5"/>
  <c r="Z1109" i="5"/>
  <c r="Y1109" i="5"/>
  <c r="X1109" i="5"/>
  <c r="W1109" i="5"/>
  <c r="V1109" i="5"/>
  <c r="U1109" i="5"/>
  <c r="T1109" i="5"/>
  <c r="S1109" i="5"/>
  <c r="R1109" i="5"/>
  <c r="Q1109" i="5"/>
  <c r="P1109" i="5"/>
  <c r="O1109" i="5"/>
  <c r="N1109" i="5"/>
  <c r="M1109" i="5"/>
  <c r="L1109" i="5"/>
  <c r="AD1108" i="5"/>
  <c r="AC1108" i="5"/>
  <c r="AB1108" i="5"/>
  <c r="AA1108" i="5"/>
  <c r="Z1108" i="5"/>
  <c r="Y1108" i="5"/>
  <c r="X1108" i="5"/>
  <c r="W1108" i="5"/>
  <c r="V1108" i="5"/>
  <c r="U1108" i="5"/>
  <c r="T1108" i="5"/>
  <c r="S1108" i="5"/>
  <c r="R1108" i="5"/>
  <c r="Q1108" i="5"/>
  <c r="P1108" i="5"/>
  <c r="O1108" i="5"/>
  <c r="N1108" i="5"/>
  <c r="M1108" i="5"/>
  <c r="L1108" i="5"/>
  <c r="AD1107" i="5"/>
  <c r="AC1107" i="5"/>
  <c r="AB1107" i="5"/>
  <c r="AA1107" i="5"/>
  <c r="Z1107" i="5"/>
  <c r="Y1107" i="5"/>
  <c r="X1107" i="5"/>
  <c r="W1107" i="5"/>
  <c r="V1107" i="5"/>
  <c r="U1107" i="5"/>
  <c r="T1107" i="5"/>
  <c r="S1107" i="5"/>
  <c r="R1107" i="5"/>
  <c r="Q1107" i="5"/>
  <c r="P1107" i="5"/>
  <c r="O1107" i="5"/>
  <c r="N1107" i="5"/>
  <c r="M1107" i="5"/>
  <c r="L1107" i="5"/>
  <c r="AD1106" i="5"/>
  <c r="AC1106" i="5"/>
  <c r="AB1106" i="5"/>
  <c r="AA1106" i="5"/>
  <c r="Z1106" i="5"/>
  <c r="Y1106" i="5"/>
  <c r="X1106" i="5"/>
  <c r="W1106" i="5"/>
  <c r="V1106" i="5"/>
  <c r="U1106" i="5"/>
  <c r="T1106" i="5"/>
  <c r="S1106" i="5"/>
  <c r="R1106" i="5"/>
  <c r="Q1106" i="5"/>
  <c r="P1106" i="5"/>
  <c r="O1106" i="5"/>
  <c r="N1106" i="5"/>
  <c r="M1106" i="5"/>
  <c r="L1106" i="5"/>
  <c r="AD1105" i="5"/>
  <c r="AC1105" i="5"/>
  <c r="AB1105" i="5"/>
  <c r="AA1105" i="5"/>
  <c r="Z1105" i="5"/>
  <c r="Y1105" i="5"/>
  <c r="X1105" i="5"/>
  <c r="W1105" i="5"/>
  <c r="V1105" i="5"/>
  <c r="U1105" i="5"/>
  <c r="T1105" i="5"/>
  <c r="S1105" i="5"/>
  <c r="R1105" i="5"/>
  <c r="Q1105" i="5"/>
  <c r="P1105" i="5"/>
  <c r="O1105" i="5"/>
  <c r="N1105" i="5"/>
  <c r="M1105" i="5"/>
  <c r="L1105" i="5"/>
  <c r="AD1104" i="5"/>
  <c r="AC1104" i="5"/>
  <c r="AB1104" i="5"/>
  <c r="AA1104" i="5"/>
  <c r="Z1104" i="5"/>
  <c r="Y1104" i="5"/>
  <c r="X1104" i="5"/>
  <c r="W1104" i="5"/>
  <c r="V1104" i="5"/>
  <c r="U1104" i="5"/>
  <c r="T1104" i="5"/>
  <c r="S1104" i="5"/>
  <c r="R1104" i="5"/>
  <c r="Q1104" i="5"/>
  <c r="P1104" i="5"/>
  <c r="O1104" i="5"/>
  <c r="N1104" i="5"/>
  <c r="M1104" i="5"/>
  <c r="L1104" i="5"/>
  <c r="AD1103" i="5"/>
  <c r="AC1103" i="5"/>
  <c r="AB1103" i="5"/>
  <c r="AA1103" i="5"/>
  <c r="Z1103" i="5"/>
  <c r="Y1103" i="5"/>
  <c r="X1103" i="5"/>
  <c r="W1103" i="5"/>
  <c r="V1103" i="5"/>
  <c r="U1103" i="5"/>
  <c r="T1103" i="5"/>
  <c r="S1103" i="5"/>
  <c r="R1103" i="5"/>
  <c r="Q1103" i="5"/>
  <c r="P1103" i="5"/>
  <c r="O1103" i="5"/>
  <c r="N1103" i="5"/>
  <c r="M1103" i="5"/>
  <c r="L1103" i="5"/>
  <c r="AD1102" i="5"/>
  <c r="AC1102" i="5"/>
  <c r="AB1102" i="5"/>
  <c r="AA1102" i="5"/>
  <c r="Z1102" i="5"/>
  <c r="Y1102" i="5"/>
  <c r="X1102" i="5"/>
  <c r="W1102" i="5"/>
  <c r="V1102" i="5"/>
  <c r="U1102" i="5"/>
  <c r="T1102" i="5"/>
  <c r="S1102" i="5"/>
  <c r="R1102" i="5"/>
  <c r="Q1102" i="5"/>
  <c r="P1102" i="5"/>
  <c r="O1102" i="5"/>
  <c r="N1102" i="5"/>
  <c r="M1102" i="5"/>
  <c r="L1102" i="5"/>
  <c r="AD1101" i="5"/>
  <c r="AC1101" i="5"/>
  <c r="AB1101" i="5"/>
  <c r="AA1101" i="5"/>
  <c r="Z1101" i="5"/>
  <c r="Y1101" i="5"/>
  <c r="X1101" i="5"/>
  <c r="W1101" i="5"/>
  <c r="V1101" i="5"/>
  <c r="U1101" i="5"/>
  <c r="T1101" i="5"/>
  <c r="S1101" i="5"/>
  <c r="R1101" i="5"/>
  <c r="Q1101" i="5"/>
  <c r="P1101" i="5"/>
  <c r="O1101" i="5"/>
  <c r="N1101" i="5"/>
  <c r="M1101" i="5"/>
  <c r="L1101" i="5"/>
  <c r="AD1100" i="5"/>
  <c r="AC1100" i="5"/>
  <c r="AB1100" i="5"/>
  <c r="AA1100" i="5"/>
  <c r="Z1100" i="5"/>
  <c r="Y1100" i="5"/>
  <c r="X1100" i="5"/>
  <c r="W1100" i="5"/>
  <c r="V1100" i="5"/>
  <c r="U1100" i="5"/>
  <c r="T1100" i="5"/>
  <c r="S1100" i="5"/>
  <c r="R1100" i="5"/>
  <c r="Q1100" i="5"/>
  <c r="P1100" i="5"/>
  <c r="O1100" i="5"/>
  <c r="N1100" i="5"/>
  <c r="M1100" i="5"/>
  <c r="L1100" i="5"/>
  <c r="AD1099" i="5"/>
  <c r="AC1099" i="5"/>
  <c r="AB1099" i="5"/>
  <c r="AA1099" i="5"/>
  <c r="Z1099" i="5"/>
  <c r="Y1099" i="5"/>
  <c r="X1099" i="5"/>
  <c r="W1099" i="5"/>
  <c r="V1099" i="5"/>
  <c r="U1099" i="5"/>
  <c r="T1099" i="5"/>
  <c r="S1099" i="5"/>
  <c r="R1099" i="5"/>
  <c r="Q1099" i="5"/>
  <c r="P1099" i="5"/>
  <c r="O1099" i="5"/>
  <c r="N1099" i="5"/>
  <c r="M1099" i="5"/>
  <c r="L1099" i="5"/>
  <c r="AD1098" i="5"/>
  <c r="AC1098" i="5"/>
  <c r="AB1098" i="5"/>
  <c r="AA1098" i="5"/>
  <c r="Z1098" i="5"/>
  <c r="Y1098" i="5"/>
  <c r="X1098" i="5"/>
  <c r="W1098" i="5"/>
  <c r="V1098" i="5"/>
  <c r="U1098" i="5"/>
  <c r="T1098" i="5"/>
  <c r="S1098" i="5"/>
  <c r="R1098" i="5"/>
  <c r="Q1098" i="5"/>
  <c r="P1098" i="5"/>
  <c r="O1098" i="5"/>
  <c r="N1098" i="5"/>
  <c r="M1098" i="5"/>
  <c r="L1098" i="5"/>
  <c r="AD1097" i="5"/>
  <c r="AC1097" i="5"/>
  <c r="AB1097" i="5"/>
  <c r="AA1097" i="5"/>
  <c r="Z1097" i="5"/>
  <c r="Y1097" i="5"/>
  <c r="X1097" i="5"/>
  <c r="W1097" i="5"/>
  <c r="V1097" i="5"/>
  <c r="U1097" i="5"/>
  <c r="T1097" i="5"/>
  <c r="S1097" i="5"/>
  <c r="R1097" i="5"/>
  <c r="Q1097" i="5"/>
  <c r="P1097" i="5"/>
  <c r="O1097" i="5"/>
  <c r="N1097" i="5"/>
  <c r="M1097" i="5"/>
  <c r="L1097" i="5"/>
  <c r="AD1096" i="5"/>
  <c r="AC1096" i="5"/>
  <c r="AB1096" i="5"/>
  <c r="AA1096" i="5"/>
  <c r="Z1096" i="5"/>
  <c r="Y1096" i="5"/>
  <c r="X1096" i="5"/>
  <c r="W1096" i="5"/>
  <c r="V1096" i="5"/>
  <c r="U1096" i="5"/>
  <c r="T1096" i="5"/>
  <c r="S1096" i="5"/>
  <c r="R1096" i="5"/>
  <c r="Q1096" i="5"/>
  <c r="P1096" i="5"/>
  <c r="O1096" i="5"/>
  <c r="N1096" i="5"/>
  <c r="M1096" i="5"/>
  <c r="L1096" i="5"/>
  <c r="AD1095" i="5"/>
  <c r="AC1095" i="5"/>
  <c r="AB1095" i="5"/>
  <c r="AA1095" i="5"/>
  <c r="Z1095" i="5"/>
  <c r="Y1095" i="5"/>
  <c r="X1095" i="5"/>
  <c r="W1095" i="5"/>
  <c r="V1095" i="5"/>
  <c r="U1095" i="5"/>
  <c r="T1095" i="5"/>
  <c r="S1095" i="5"/>
  <c r="R1095" i="5"/>
  <c r="Q1095" i="5"/>
  <c r="P1095" i="5"/>
  <c r="O1095" i="5"/>
  <c r="N1095" i="5"/>
  <c r="M1095" i="5"/>
  <c r="L1095" i="5"/>
  <c r="AD1094" i="5"/>
  <c r="AC1094" i="5"/>
  <c r="AB1094" i="5"/>
  <c r="AA1094" i="5"/>
  <c r="Z1094" i="5"/>
  <c r="Y1094" i="5"/>
  <c r="X1094" i="5"/>
  <c r="W1094" i="5"/>
  <c r="V1094" i="5"/>
  <c r="U1094" i="5"/>
  <c r="T1094" i="5"/>
  <c r="S1094" i="5"/>
  <c r="R1094" i="5"/>
  <c r="Q1094" i="5"/>
  <c r="P1094" i="5"/>
  <c r="O1094" i="5"/>
  <c r="N1094" i="5"/>
  <c r="M1094" i="5"/>
  <c r="L1094" i="5"/>
  <c r="AD1093" i="5"/>
  <c r="AC1093" i="5"/>
  <c r="AB1093" i="5"/>
  <c r="AA1093" i="5"/>
  <c r="Z1093" i="5"/>
  <c r="Y1093" i="5"/>
  <c r="X1093" i="5"/>
  <c r="W1093" i="5"/>
  <c r="V1093" i="5"/>
  <c r="U1093" i="5"/>
  <c r="T1093" i="5"/>
  <c r="S1093" i="5"/>
  <c r="R1093" i="5"/>
  <c r="Q1093" i="5"/>
  <c r="P1093" i="5"/>
  <c r="O1093" i="5"/>
  <c r="N1093" i="5"/>
  <c r="M1093" i="5"/>
  <c r="L1093" i="5"/>
  <c r="AD1092" i="5"/>
  <c r="AC1092" i="5"/>
  <c r="AB1092" i="5"/>
  <c r="AA1092" i="5"/>
  <c r="Z1092" i="5"/>
  <c r="Y1092" i="5"/>
  <c r="X1092" i="5"/>
  <c r="W1092" i="5"/>
  <c r="V1092" i="5"/>
  <c r="U1092" i="5"/>
  <c r="T1092" i="5"/>
  <c r="S1092" i="5"/>
  <c r="R1092" i="5"/>
  <c r="Q1092" i="5"/>
  <c r="P1092" i="5"/>
  <c r="O1092" i="5"/>
  <c r="N1092" i="5"/>
  <c r="M1092" i="5"/>
  <c r="L1092" i="5"/>
  <c r="AD1091" i="5"/>
  <c r="AC1091" i="5"/>
  <c r="AB1091" i="5"/>
  <c r="AA1091" i="5"/>
  <c r="Z1091" i="5"/>
  <c r="Y1091" i="5"/>
  <c r="X1091" i="5"/>
  <c r="W1091" i="5"/>
  <c r="V1091" i="5"/>
  <c r="U1091" i="5"/>
  <c r="T1091" i="5"/>
  <c r="S1091" i="5"/>
  <c r="R1091" i="5"/>
  <c r="Q1091" i="5"/>
  <c r="P1091" i="5"/>
  <c r="O1091" i="5"/>
  <c r="N1091" i="5"/>
  <c r="M1091" i="5"/>
  <c r="L1091" i="5"/>
  <c r="AD1090" i="5"/>
  <c r="AC1090" i="5"/>
  <c r="AB1090" i="5"/>
  <c r="AA1090" i="5"/>
  <c r="Z1090" i="5"/>
  <c r="Y1090" i="5"/>
  <c r="X1090" i="5"/>
  <c r="W1090" i="5"/>
  <c r="V1090" i="5"/>
  <c r="U1090" i="5"/>
  <c r="T1090" i="5"/>
  <c r="S1090" i="5"/>
  <c r="R1090" i="5"/>
  <c r="Q1090" i="5"/>
  <c r="P1090" i="5"/>
  <c r="O1090" i="5"/>
  <c r="N1090" i="5"/>
  <c r="M1090" i="5"/>
  <c r="L1090" i="5"/>
  <c r="AD1089" i="5"/>
  <c r="AC1089" i="5"/>
  <c r="AB1089" i="5"/>
  <c r="AA1089" i="5"/>
  <c r="Z1089" i="5"/>
  <c r="Y1089" i="5"/>
  <c r="X1089" i="5"/>
  <c r="W1089" i="5"/>
  <c r="V1089" i="5"/>
  <c r="U1089" i="5"/>
  <c r="T1089" i="5"/>
  <c r="S1089" i="5"/>
  <c r="R1089" i="5"/>
  <c r="Q1089" i="5"/>
  <c r="P1089" i="5"/>
  <c r="O1089" i="5"/>
  <c r="N1089" i="5"/>
  <c r="M1089" i="5"/>
  <c r="L1089" i="5"/>
  <c r="AD1088" i="5"/>
  <c r="AC1088" i="5"/>
  <c r="AB1088" i="5"/>
  <c r="AA1088" i="5"/>
  <c r="Z1088" i="5"/>
  <c r="Y1088" i="5"/>
  <c r="X1088" i="5"/>
  <c r="W1088" i="5"/>
  <c r="V1088" i="5"/>
  <c r="U1088" i="5"/>
  <c r="T1088" i="5"/>
  <c r="S1088" i="5"/>
  <c r="R1088" i="5"/>
  <c r="Q1088" i="5"/>
  <c r="P1088" i="5"/>
  <c r="O1088" i="5"/>
  <c r="N1088" i="5"/>
  <c r="M1088" i="5"/>
  <c r="L1088" i="5"/>
  <c r="AD1087" i="5"/>
  <c r="AC1087" i="5"/>
  <c r="AB1087" i="5"/>
  <c r="AA1087" i="5"/>
  <c r="Z1087" i="5"/>
  <c r="Y1087" i="5"/>
  <c r="X1087" i="5"/>
  <c r="W1087" i="5"/>
  <c r="V1087" i="5"/>
  <c r="U1087" i="5"/>
  <c r="T1087" i="5"/>
  <c r="S1087" i="5"/>
  <c r="R1087" i="5"/>
  <c r="Q1087" i="5"/>
  <c r="P1087" i="5"/>
  <c r="O1087" i="5"/>
  <c r="N1087" i="5"/>
  <c r="M1087" i="5"/>
  <c r="L1087" i="5"/>
  <c r="AD1086" i="5"/>
  <c r="AC1086" i="5"/>
  <c r="AB1086" i="5"/>
  <c r="AA1086" i="5"/>
  <c r="Z1086" i="5"/>
  <c r="Y1086" i="5"/>
  <c r="X1086" i="5"/>
  <c r="W1086" i="5"/>
  <c r="V1086" i="5"/>
  <c r="U1086" i="5"/>
  <c r="T1086" i="5"/>
  <c r="S1086" i="5"/>
  <c r="R1086" i="5"/>
  <c r="Q1086" i="5"/>
  <c r="P1086" i="5"/>
  <c r="O1086" i="5"/>
  <c r="N1086" i="5"/>
  <c r="M1086" i="5"/>
  <c r="L1086" i="5"/>
  <c r="AD1085" i="5"/>
  <c r="AC1085" i="5"/>
  <c r="AB1085" i="5"/>
  <c r="AA1085" i="5"/>
  <c r="Z1085" i="5"/>
  <c r="Y1085" i="5"/>
  <c r="X1085" i="5"/>
  <c r="W1085" i="5"/>
  <c r="V1085" i="5"/>
  <c r="U1085" i="5"/>
  <c r="T1085" i="5"/>
  <c r="S1085" i="5"/>
  <c r="R1085" i="5"/>
  <c r="Q1085" i="5"/>
  <c r="P1085" i="5"/>
  <c r="O1085" i="5"/>
  <c r="N1085" i="5"/>
  <c r="M1085" i="5"/>
  <c r="L1085" i="5"/>
  <c r="AD1084" i="5"/>
  <c r="AC1084" i="5"/>
  <c r="AB1084" i="5"/>
  <c r="AA1084" i="5"/>
  <c r="Z1084" i="5"/>
  <c r="Y1084" i="5"/>
  <c r="X1084" i="5"/>
  <c r="W1084" i="5"/>
  <c r="V1084" i="5"/>
  <c r="U1084" i="5"/>
  <c r="T1084" i="5"/>
  <c r="S1084" i="5"/>
  <c r="R1084" i="5"/>
  <c r="Q1084" i="5"/>
  <c r="P1084" i="5"/>
  <c r="O1084" i="5"/>
  <c r="N1084" i="5"/>
  <c r="M1084" i="5"/>
  <c r="L1084" i="5"/>
  <c r="AD1083" i="5"/>
  <c r="AC1083" i="5"/>
  <c r="AB1083" i="5"/>
  <c r="AA1083" i="5"/>
  <c r="Z1083" i="5"/>
  <c r="Y1083" i="5"/>
  <c r="X1083" i="5"/>
  <c r="W1083" i="5"/>
  <c r="V1083" i="5"/>
  <c r="U1083" i="5"/>
  <c r="T1083" i="5"/>
  <c r="S1083" i="5"/>
  <c r="R1083" i="5"/>
  <c r="Q1083" i="5"/>
  <c r="P1083" i="5"/>
  <c r="O1083" i="5"/>
  <c r="N1083" i="5"/>
  <c r="M1083" i="5"/>
  <c r="L1083" i="5"/>
  <c r="AD1082" i="5"/>
  <c r="AC1082" i="5"/>
  <c r="AB1082" i="5"/>
  <c r="AA1082" i="5"/>
  <c r="Z1082" i="5"/>
  <c r="Y1082" i="5"/>
  <c r="X1082" i="5"/>
  <c r="W1082" i="5"/>
  <c r="V1082" i="5"/>
  <c r="U1082" i="5"/>
  <c r="T1082" i="5"/>
  <c r="S1082" i="5"/>
  <c r="R1082" i="5"/>
  <c r="Q1082" i="5"/>
  <c r="P1082" i="5"/>
  <c r="O1082" i="5"/>
  <c r="N1082" i="5"/>
  <c r="M1082" i="5"/>
  <c r="L1082" i="5"/>
  <c r="AD1081" i="5"/>
  <c r="AC1081" i="5"/>
  <c r="AB1081" i="5"/>
  <c r="AA1081" i="5"/>
  <c r="Z1081" i="5"/>
  <c r="Y1081" i="5"/>
  <c r="X1081" i="5"/>
  <c r="W1081" i="5"/>
  <c r="V1081" i="5"/>
  <c r="U1081" i="5"/>
  <c r="T1081" i="5"/>
  <c r="S1081" i="5"/>
  <c r="R1081" i="5"/>
  <c r="Q1081" i="5"/>
  <c r="P1081" i="5"/>
  <c r="O1081" i="5"/>
  <c r="N1081" i="5"/>
  <c r="M1081" i="5"/>
  <c r="L1081" i="5"/>
  <c r="AD1080" i="5"/>
  <c r="AC1080" i="5"/>
  <c r="AB1080" i="5"/>
  <c r="AA1080" i="5"/>
  <c r="Z1080" i="5"/>
  <c r="Y1080" i="5"/>
  <c r="X1080" i="5"/>
  <c r="W1080" i="5"/>
  <c r="V1080" i="5"/>
  <c r="U1080" i="5"/>
  <c r="T1080" i="5"/>
  <c r="S1080" i="5"/>
  <c r="R1080" i="5"/>
  <c r="Q1080" i="5"/>
  <c r="P1080" i="5"/>
  <c r="O1080" i="5"/>
  <c r="N1080" i="5"/>
  <c r="M1080" i="5"/>
  <c r="L1080" i="5"/>
  <c r="AD1079" i="5"/>
  <c r="AC1079" i="5"/>
  <c r="AB1079" i="5"/>
  <c r="AA1079" i="5"/>
  <c r="Z1079" i="5"/>
  <c r="Y1079" i="5"/>
  <c r="X1079" i="5"/>
  <c r="W1079" i="5"/>
  <c r="V1079" i="5"/>
  <c r="U1079" i="5"/>
  <c r="T1079" i="5"/>
  <c r="S1079" i="5"/>
  <c r="R1079" i="5"/>
  <c r="Q1079" i="5"/>
  <c r="P1079" i="5"/>
  <c r="O1079" i="5"/>
  <c r="N1079" i="5"/>
  <c r="M1079" i="5"/>
  <c r="L1079" i="5"/>
  <c r="AD1078" i="5"/>
  <c r="AC1078" i="5"/>
  <c r="AB1078" i="5"/>
  <c r="AA1078" i="5"/>
  <c r="Z1078" i="5"/>
  <c r="Y1078" i="5"/>
  <c r="X1078" i="5"/>
  <c r="W1078" i="5"/>
  <c r="V1078" i="5"/>
  <c r="U1078" i="5"/>
  <c r="T1078" i="5"/>
  <c r="S1078" i="5"/>
  <c r="R1078" i="5"/>
  <c r="Q1078" i="5"/>
  <c r="P1078" i="5"/>
  <c r="O1078" i="5"/>
  <c r="N1078" i="5"/>
  <c r="M1078" i="5"/>
  <c r="L1078" i="5"/>
  <c r="AD1077" i="5"/>
  <c r="AC1077" i="5"/>
  <c r="AB1077" i="5"/>
  <c r="AA1077" i="5"/>
  <c r="Z1077" i="5"/>
  <c r="Y1077" i="5"/>
  <c r="X1077" i="5"/>
  <c r="W1077" i="5"/>
  <c r="V1077" i="5"/>
  <c r="U1077" i="5"/>
  <c r="T1077" i="5"/>
  <c r="S1077" i="5"/>
  <c r="R1077" i="5"/>
  <c r="Q1077" i="5"/>
  <c r="P1077" i="5"/>
  <c r="O1077" i="5"/>
  <c r="N1077" i="5"/>
  <c r="M1077" i="5"/>
  <c r="L1077" i="5"/>
  <c r="AD1076" i="5"/>
  <c r="AC1076" i="5"/>
  <c r="AB1076" i="5"/>
  <c r="AA1076" i="5"/>
  <c r="Z1076" i="5"/>
  <c r="Y1076" i="5"/>
  <c r="X1076" i="5"/>
  <c r="W1076" i="5"/>
  <c r="V1076" i="5"/>
  <c r="U1076" i="5"/>
  <c r="T1076" i="5"/>
  <c r="S1076" i="5"/>
  <c r="R1076" i="5"/>
  <c r="Q1076" i="5"/>
  <c r="P1076" i="5"/>
  <c r="O1076" i="5"/>
  <c r="N1076" i="5"/>
  <c r="M1076" i="5"/>
  <c r="L1076" i="5"/>
  <c r="AD1075" i="5"/>
  <c r="AC1075" i="5"/>
  <c r="AB1075" i="5"/>
  <c r="AA1075" i="5"/>
  <c r="Z1075" i="5"/>
  <c r="Y1075" i="5"/>
  <c r="X1075" i="5"/>
  <c r="W1075" i="5"/>
  <c r="V1075" i="5"/>
  <c r="U1075" i="5"/>
  <c r="T1075" i="5"/>
  <c r="S1075" i="5"/>
  <c r="R1075" i="5"/>
  <c r="Q1075" i="5"/>
  <c r="P1075" i="5"/>
  <c r="O1075" i="5"/>
  <c r="N1075" i="5"/>
  <c r="M1075" i="5"/>
  <c r="L1075" i="5"/>
  <c r="AD1074" i="5"/>
  <c r="AC1074" i="5"/>
  <c r="AB1074" i="5"/>
  <c r="AA1074" i="5"/>
  <c r="Z1074" i="5"/>
  <c r="Y1074" i="5"/>
  <c r="X1074" i="5"/>
  <c r="W1074" i="5"/>
  <c r="V1074" i="5"/>
  <c r="U1074" i="5"/>
  <c r="T1074" i="5"/>
  <c r="S1074" i="5"/>
  <c r="R1074" i="5"/>
  <c r="Q1074" i="5"/>
  <c r="P1074" i="5"/>
  <c r="O1074" i="5"/>
  <c r="N1074" i="5"/>
  <c r="M1074" i="5"/>
  <c r="L1074" i="5"/>
  <c r="AD1073" i="5"/>
  <c r="AC1073" i="5"/>
  <c r="AB1073" i="5"/>
  <c r="AA1073" i="5"/>
  <c r="Z1073" i="5"/>
  <c r="Y1073" i="5"/>
  <c r="X1073" i="5"/>
  <c r="W1073" i="5"/>
  <c r="V1073" i="5"/>
  <c r="U1073" i="5"/>
  <c r="T1073" i="5"/>
  <c r="S1073" i="5"/>
  <c r="R1073" i="5"/>
  <c r="Q1073" i="5"/>
  <c r="P1073" i="5"/>
  <c r="O1073" i="5"/>
  <c r="N1073" i="5"/>
  <c r="M1073" i="5"/>
  <c r="L1073" i="5"/>
  <c r="AD1072" i="5"/>
  <c r="AC1072" i="5"/>
  <c r="AB1072" i="5"/>
  <c r="AA1072" i="5"/>
  <c r="Z1072" i="5"/>
  <c r="Y1072" i="5"/>
  <c r="X1072" i="5"/>
  <c r="W1072" i="5"/>
  <c r="V1072" i="5"/>
  <c r="U1072" i="5"/>
  <c r="T1072" i="5"/>
  <c r="S1072" i="5"/>
  <c r="R1072" i="5"/>
  <c r="Q1072" i="5"/>
  <c r="P1072" i="5"/>
  <c r="O1072" i="5"/>
  <c r="N1072" i="5"/>
  <c r="M1072" i="5"/>
  <c r="L1072" i="5"/>
  <c r="AD1071" i="5"/>
  <c r="AC1071" i="5"/>
  <c r="AB1071" i="5"/>
  <c r="AA1071" i="5"/>
  <c r="Z1071" i="5"/>
  <c r="Y1071" i="5"/>
  <c r="X1071" i="5"/>
  <c r="W1071" i="5"/>
  <c r="V1071" i="5"/>
  <c r="U1071" i="5"/>
  <c r="T1071" i="5"/>
  <c r="S1071" i="5"/>
  <c r="R1071" i="5"/>
  <c r="Q1071" i="5"/>
  <c r="P1071" i="5"/>
  <c r="O1071" i="5"/>
  <c r="N1071" i="5"/>
  <c r="M1071" i="5"/>
  <c r="L1071" i="5"/>
  <c r="AD1070" i="5"/>
  <c r="AC1070" i="5"/>
  <c r="AB1070" i="5"/>
  <c r="AA1070" i="5"/>
  <c r="Z1070" i="5"/>
  <c r="Y1070" i="5"/>
  <c r="X1070" i="5"/>
  <c r="W1070" i="5"/>
  <c r="V1070" i="5"/>
  <c r="U1070" i="5"/>
  <c r="T1070" i="5"/>
  <c r="S1070" i="5"/>
  <c r="R1070" i="5"/>
  <c r="Q1070" i="5"/>
  <c r="P1070" i="5"/>
  <c r="O1070" i="5"/>
  <c r="N1070" i="5"/>
  <c r="M1070" i="5"/>
  <c r="L1070" i="5"/>
  <c r="AD1069" i="5"/>
  <c r="AC1069" i="5"/>
  <c r="AB1069" i="5"/>
  <c r="AA1069" i="5"/>
  <c r="Z1069" i="5"/>
  <c r="Y1069" i="5"/>
  <c r="X1069" i="5"/>
  <c r="W1069" i="5"/>
  <c r="V1069" i="5"/>
  <c r="U1069" i="5"/>
  <c r="T1069" i="5"/>
  <c r="S1069" i="5"/>
  <c r="R1069" i="5"/>
  <c r="Q1069" i="5"/>
  <c r="P1069" i="5"/>
  <c r="O1069" i="5"/>
  <c r="N1069" i="5"/>
  <c r="M1069" i="5"/>
  <c r="L1069" i="5"/>
  <c r="AD1068" i="5"/>
  <c r="AC1068" i="5"/>
  <c r="AB1068" i="5"/>
  <c r="AA1068" i="5"/>
  <c r="Z1068" i="5"/>
  <c r="Y1068" i="5"/>
  <c r="X1068" i="5"/>
  <c r="W1068" i="5"/>
  <c r="V1068" i="5"/>
  <c r="U1068" i="5"/>
  <c r="T1068" i="5"/>
  <c r="S1068" i="5"/>
  <c r="R1068" i="5"/>
  <c r="Q1068" i="5"/>
  <c r="P1068" i="5"/>
  <c r="O1068" i="5"/>
  <c r="N1068" i="5"/>
  <c r="M1068" i="5"/>
  <c r="L1068" i="5"/>
  <c r="AD1067" i="5"/>
  <c r="AC1067" i="5"/>
  <c r="AB1067" i="5"/>
  <c r="AA1067" i="5"/>
  <c r="Z1067" i="5"/>
  <c r="Y1067" i="5"/>
  <c r="X1067" i="5"/>
  <c r="W1067" i="5"/>
  <c r="V1067" i="5"/>
  <c r="U1067" i="5"/>
  <c r="T1067" i="5"/>
  <c r="S1067" i="5"/>
  <c r="R1067" i="5"/>
  <c r="Q1067" i="5"/>
  <c r="P1067" i="5"/>
  <c r="O1067" i="5"/>
  <c r="N1067" i="5"/>
  <c r="M1067" i="5"/>
  <c r="L1067" i="5"/>
  <c r="AD1066" i="5"/>
  <c r="AC1066" i="5"/>
  <c r="AB1066" i="5"/>
  <c r="AA1066" i="5"/>
  <c r="Z1066" i="5"/>
  <c r="Y1066" i="5"/>
  <c r="X1066" i="5"/>
  <c r="W1066" i="5"/>
  <c r="V1066" i="5"/>
  <c r="U1066" i="5"/>
  <c r="T1066" i="5"/>
  <c r="S1066" i="5"/>
  <c r="R1066" i="5"/>
  <c r="Q1066" i="5"/>
  <c r="P1066" i="5"/>
  <c r="O1066" i="5"/>
  <c r="N1066" i="5"/>
  <c r="M1066" i="5"/>
  <c r="L1066" i="5"/>
  <c r="AD1065" i="5"/>
  <c r="AC1065" i="5"/>
  <c r="AB1065" i="5"/>
  <c r="AA1065" i="5"/>
  <c r="Z1065" i="5"/>
  <c r="Y1065" i="5"/>
  <c r="X1065" i="5"/>
  <c r="W1065" i="5"/>
  <c r="V1065" i="5"/>
  <c r="U1065" i="5"/>
  <c r="T1065" i="5"/>
  <c r="S1065" i="5"/>
  <c r="R1065" i="5"/>
  <c r="Q1065" i="5"/>
  <c r="P1065" i="5"/>
  <c r="O1065" i="5"/>
  <c r="N1065" i="5"/>
  <c r="M1065" i="5"/>
  <c r="L1065" i="5"/>
  <c r="AD1064" i="5"/>
  <c r="AC1064" i="5"/>
  <c r="AB1064" i="5"/>
  <c r="AA1064" i="5"/>
  <c r="Z1064" i="5"/>
  <c r="Y1064" i="5"/>
  <c r="X1064" i="5"/>
  <c r="W1064" i="5"/>
  <c r="V1064" i="5"/>
  <c r="U1064" i="5"/>
  <c r="T1064" i="5"/>
  <c r="S1064" i="5"/>
  <c r="R1064" i="5"/>
  <c r="Q1064" i="5"/>
  <c r="P1064" i="5"/>
  <c r="O1064" i="5"/>
  <c r="N1064" i="5"/>
  <c r="M1064" i="5"/>
  <c r="L1064" i="5"/>
  <c r="AD1063" i="5"/>
  <c r="AC1063" i="5"/>
  <c r="AB1063" i="5"/>
  <c r="AA1063" i="5"/>
  <c r="Z1063" i="5"/>
  <c r="Y1063" i="5"/>
  <c r="X1063" i="5"/>
  <c r="W1063" i="5"/>
  <c r="V1063" i="5"/>
  <c r="U1063" i="5"/>
  <c r="T1063" i="5"/>
  <c r="S1063" i="5"/>
  <c r="R1063" i="5"/>
  <c r="Q1063" i="5"/>
  <c r="P1063" i="5"/>
  <c r="O1063" i="5"/>
  <c r="N1063" i="5"/>
  <c r="M1063" i="5"/>
  <c r="L1063" i="5"/>
  <c r="AD1062" i="5"/>
  <c r="AC1062" i="5"/>
  <c r="AB1062" i="5"/>
  <c r="AA1062" i="5"/>
  <c r="Z1062" i="5"/>
  <c r="Y1062" i="5"/>
  <c r="X1062" i="5"/>
  <c r="W1062" i="5"/>
  <c r="V1062" i="5"/>
  <c r="U1062" i="5"/>
  <c r="T1062" i="5"/>
  <c r="S1062" i="5"/>
  <c r="R1062" i="5"/>
  <c r="Q1062" i="5"/>
  <c r="P1062" i="5"/>
  <c r="O1062" i="5"/>
  <c r="N1062" i="5"/>
  <c r="M1062" i="5"/>
  <c r="L1062" i="5"/>
  <c r="AD1061" i="5"/>
  <c r="AC1061" i="5"/>
  <c r="AB1061" i="5"/>
  <c r="AA1061" i="5"/>
  <c r="Z1061" i="5"/>
  <c r="Y1061" i="5"/>
  <c r="X1061" i="5"/>
  <c r="W1061" i="5"/>
  <c r="V1061" i="5"/>
  <c r="U1061" i="5"/>
  <c r="T1061" i="5"/>
  <c r="S1061" i="5"/>
  <c r="R1061" i="5"/>
  <c r="Q1061" i="5"/>
  <c r="P1061" i="5"/>
  <c r="O1061" i="5"/>
  <c r="N1061" i="5"/>
  <c r="M1061" i="5"/>
  <c r="L1061" i="5"/>
  <c r="AD1060" i="5"/>
  <c r="AC1060" i="5"/>
  <c r="AB1060" i="5"/>
  <c r="AA1060" i="5"/>
  <c r="Z1060" i="5"/>
  <c r="Y1060" i="5"/>
  <c r="X1060" i="5"/>
  <c r="W1060" i="5"/>
  <c r="V1060" i="5"/>
  <c r="U1060" i="5"/>
  <c r="T1060" i="5"/>
  <c r="S1060" i="5"/>
  <c r="R1060" i="5"/>
  <c r="Q1060" i="5"/>
  <c r="P1060" i="5"/>
  <c r="O1060" i="5"/>
  <c r="N1060" i="5"/>
  <c r="M1060" i="5"/>
  <c r="L1060" i="5"/>
  <c r="AD1059" i="5"/>
  <c r="AC1059" i="5"/>
  <c r="AB1059" i="5"/>
  <c r="AA1059" i="5"/>
  <c r="Z1059" i="5"/>
  <c r="Y1059" i="5"/>
  <c r="X1059" i="5"/>
  <c r="W1059" i="5"/>
  <c r="V1059" i="5"/>
  <c r="U1059" i="5"/>
  <c r="T1059" i="5"/>
  <c r="S1059" i="5"/>
  <c r="R1059" i="5"/>
  <c r="Q1059" i="5"/>
  <c r="P1059" i="5"/>
  <c r="O1059" i="5"/>
  <c r="N1059" i="5"/>
  <c r="M1059" i="5"/>
  <c r="L1059" i="5"/>
  <c r="AD1058" i="5"/>
  <c r="AC1058" i="5"/>
  <c r="AB1058" i="5"/>
  <c r="AA1058" i="5"/>
  <c r="Z1058" i="5"/>
  <c r="Y1058" i="5"/>
  <c r="X1058" i="5"/>
  <c r="W1058" i="5"/>
  <c r="V1058" i="5"/>
  <c r="U1058" i="5"/>
  <c r="T1058" i="5"/>
  <c r="S1058" i="5"/>
  <c r="R1058" i="5"/>
  <c r="Q1058" i="5"/>
  <c r="P1058" i="5"/>
  <c r="O1058" i="5"/>
  <c r="N1058" i="5"/>
  <c r="M1058" i="5"/>
  <c r="L1058" i="5"/>
  <c r="AD1057" i="5"/>
  <c r="AC1057" i="5"/>
  <c r="AB1057" i="5"/>
  <c r="AA1057" i="5"/>
  <c r="Z1057" i="5"/>
  <c r="Y1057" i="5"/>
  <c r="X1057" i="5"/>
  <c r="W1057" i="5"/>
  <c r="V1057" i="5"/>
  <c r="U1057" i="5"/>
  <c r="T1057" i="5"/>
  <c r="S1057" i="5"/>
  <c r="R1057" i="5"/>
  <c r="Q1057" i="5"/>
  <c r="P1057" i="5"/>
  <c r="O1057" i="5"/>
  <c r="N1057" i="5"/>
  <c r="M1057" i="5"/>
  <c r="L1057" i="5"/>
  <c r="AD1056" i="5"/>
  <c r="AC1056" i="5"/>
  <c r="AB1056" i="5"/>
  <c r="AA1056" i="5"/>
  <c r="Z1056" i="5"/>
  <c r="Y1056" i="5"/>
  <c r="X1056" i="5"/>
  <c r="W1056" i="5"/>
  <c r="V1056" i="5"/>
  <c r="U1056" i="5"/>
  <c r="T1056" i="5"/>
  <c r="S1056" i="5"/>
  <c r="R1056" i="5"/>
  <c r="Q1056" i="5"/>
  <c r="P1056" i="5"/>
  <c r="O1056" i="5"/>
  <c r="N1056" i="5"/>
  <c r="M1056" i="5"/>
  <c r="L1056" i="5"/>
  <c r="AD1055" i="5"/>
  <c r="AC1055" i="5"/>
  <c r="AB1055" i="5"/>
  <c r="AA1055" i="5"/>
  <c r="Z1055" i="5"/>
  <c r="Y1055" i="5"/>
  <c r="X1055" i="5"/>
  <c r="W1055" i="5"/>
  <c r="V1055" i="5"/>
  <c r="U1055" i="5"/>
  <c r="T1055" i="5"/>
  <c r="S1055" i="5"/>
  <c r="R1055" i="5"/>
  <c r="Q1055" i="5"/>
  <c r="P1055" i="5"/>
  <c r="O1055" i="5"/>
  <c r="N1055" i="5"/>
  <c r="M1055" i="5"/>
  <c r="L1055" i="5"/>
  <c r="AD1054" i="5"/>
  <c r="AC1054" i="5"/>
  <c r="AB1054" i="5"/>
  <c r="AA1054" i="5"/>
  <c r="Z1054" i="5"/>
  <c r="Y1054" i="5"/>
  <c r="X1054" i="5"/>
  <c r="W1054" i="5"/>
  <c r="V1054" i="5"/>
  <c r="U1054" i="5"/>
  <c r="T1054" i="5"/>
  <c r="S1054" i="5"/>
  <c r="R1054" i="5"/>
  <c r="Q1054" i="5"/>
  <c r="P1054" i="5"/>
  <c r="O1054" i="5"/>
  <c r="N1054" i="5"/>
  <c r="M1054" i="5"/>
  <c r="L1054" i="5"/>
  <c r="AD1053" i="5"/>
  <c r="AC1053" i="5"/>
  <c r="AB1053" i="5"/>
  <c r="AA1053" i="5"/>
  <c r="Z1053" i="5"/>
  <c r="Y1053" i="5"/>
  <c r="X1053" i="5"/>
  <c r="W1053" i="5"/>
  <c r="V1053" i="5"/>
  <c r="U1053" i="5"/>
  <c r="T1053" i="5"/>
  <c r="S1053" i="5"/>
  <c r="R1053" i="5"/>
  <c r="Q1053" i="5"/>
  <c r="P1053" i="5"/>
  <c r="O1053" i="5"/>
  <c r="N1053" i="5"/>
  <c r="M1053" i="5"/>
  <c r="L1053" i="5"/>
  <c r="AD1052" i="5"/>
  <c r="AC1052" i="5"/>
  <c r="AB1052" i="5"/>
  <c r="AA1052" i="5"/>
  <c r="Z1052" i="5"/>
  <c r="Y1052" i="5"/>
  <c r="X1052" i="5"/>
  <c r="W1052" i="5"/>
  <c r="V1052" i="5"/>
  <c r="U1052" i="5"/>
  <c r="T1052" i="5"/>
  <c r="S1052" i="5"/>
  <c r="R1052" i="5"/>
  <c r="Q1052" i="5"/>
  <c r="P1052" i="5"/>
  <c r="O1052" i="5"/>
  <c r="N1052" i="5"/>
  <c r="M1052" i="5"/>
  <c r="L1052" i="5"/>
  <c r="AD1051" i="5"/>
  <c r="AC1051" i="5"/>
  <c r="AB1051" i="5"/>
  <c r="AA1051" i="5"/>
  <c r="Z1051" i="5"/>
  <c r="Y1051" i="5"/>
  <c r="X1051" i="5"/>
  <c r="W1051" i="5"/>
  <c r="V1051" i="5"/>
  <c r="U1051" i="5"/>
  <c r="T1051" i="5"/>
  <c r="S1051" i="5"/>
  <c r="R1051" i="5"/>
  <c r="Q1051" i="5"/>
  <c r="P1051" i="5"/>
  <c r="O1051" i="5"/>
  <c r="N1051" i="5"/>
  <c r="M1051" i="5"/>
  <c r="L1051" i="5"/>
  <c r="AD1050" i="5"/>
  <c r="AC1050" i="5"/>
  <c r="AB1050" i="5"/>
  <c r="AA1050" i="5"/>
  <c r="Z1050" i="5"/>
  <c r="Y1050" i="5"/>
  <c r="X1050" i="5"/>
  <c r="W1050" i="5"/>
  <c r="V1050" i="5"/>
  <c r="U1050" i="5"/>
  <c r="T1050" i="5"/>
  <c r="S1050" i="5"/>
  <c r="R1050" i="5"/>
  <c r="Q1050" i="5"/>
  <c r="P1050" i="5"/>
  <c r="O1050" i="5"/>
  <c r="N1050" i="5"/>
  <c r="M1050" i="5"/>
  <c r="L1050" i="5"/>
  <c r="AD1049" i="5"/>
  <c r="AC1049" i="5"/>
  <c r="AB1049" i="5"/>
  <c r="AA1049" i="5"/>
  <c r="Z1049" i="5"/>
  <c r="Y1049" i="5"/>
  <c r="X1049" i="5"/>
  <c r="W1049" i="5"/>
  <c r="V1049" i="5"/>
  <c r="U1049" i="5"/>
  <c r="T1049" i="5"/>
  <c r="S1049" i="5"/>
  <c r="R1049" i="5"/>
  <c r="Q1049" i="5"/>
  <c r="P1049" i="5"/>
  <c r="O1049" i="5"/>
  <c r="N1049" i="5"/>
  <c r="M1049" i="5"/>
  <c r="L1049" i="5"/>
  <c r="AD1048" i="5"/>
  <c r="AC1048" i="5"/>
  <c r="AB1048" i="5"/>
  <c r="AA1048" i="5"/>
  <c r="Z1048" i="5"/>
  <c r="Y1048" i="5"/>
  <c r="X1048" i="5"/>
  <c r="W1048" i="5"/>
  <c r="V1048" i="5"/>
  <c r="U1048" i="5"/>
  <c r="T1048" i="5"/>
  <c r="S1048" i="5"/>
  <c r="R1048" i="5"/>
  <c r="Q1048" i="5"/>
  <c r="P1048" i="5"/>
  <c r="O1048" i="5"/>
  <c r="N1048" i="5"/>
  <c r="M1048" i="5"/>
  <c r="L1048" i="5"/>
  <c r="AD1047" i="5"/>
  <c r="AC1047" i="5"/>
  <c r="AB1047" i="5"/>
  <c r="AA1047" i="5"/>
  <c r="Z1047" i="5"/>
  <c r="Y1047" i="5"/>
  <c r="X1047" i="5"/>
  <c r="W1047" i="5"/>
  <c r="V1047" i="5"/>
  <c r="U1047" i="5"/>
  <c r="T1047" i="5"/>
  <c r="S1047" i="5"/>
  <c r="R1047" i="5"/>
  <c r="Q1047" i="5"/>
  <c r="P1047" i="5"/>
  <c r="O1047" i="5"/>
  <c r="N1047" i="5"/>
  <c r="M1047" i="5"/>
  <c r="L1047" i="5"/>
  <c r="AD1046" i="5"/>
  <c r="AC1046" i="5"/>
  <c r="AB1046" i="5"/>
  <c r="AA1046" i="5"/>
  <c r="Z1046" i="5"/>
  <c r="Y1046" i="5"/>
  <c r="X1046" i="5"/>
  <c r="W1046" i="5"/>
  <c r="V1046" i="5"/>
  <c r="U1046" i="5"/>
  <c r="T1046" i="5"/>
  <c r="S1046" i="5"/>
  <c r="R1046" i="5"/>
  <c r="Q1046" i="5"/>
  <c r="P1046" i="5"/>
  <c r="O1046" i="5"/>
  <c r="N1046" i="5"/>
  <c r="M1046" i="5"/>
  <c r="L1046" i="5"/>
  <c r="AD1045" i="5"/>
  <c r="AC1045" i="5"/>
  <c r="AB1045" i="5"/>
  <c r="AA1045" i="5"/>
  <c r="Z1045" i="5"/>
  <c r="Y1045" i="5"/>
  <c r="X1045" i="5"/>
  <c r="W1045" i="5"/>
  <c r="V1045" i="5"/>
  <c r="U1045" i="5"/>
  <c r="T1045" i="5"/>
  <c r="S1045" i="5"/>
  <c r="R1045" i="5"/>
  <c r="Q1045" i="5"/>
  <c r="P1045" i="5"/>
  <c r="O1045" i="5"/>
  <c r="N1045" i="5"/>
  <c r="M1045" i="5"/>
  <c r="L1045" i="5"/>
  <c r="AD1044" i="5"/>
  <c r="AC1044" i="5"/>
  <c r="AB1044" i="5"/>
  <c r="AA1044" i="5"/>
  <c r="Z1044" i="5"/>
  <c r="Y1044" i="5"/>
  <c r="X1044" i="5"/>
  <c r="W1044" i="5"/>
  <c r="V1044" i="5"/>
  <c r="U1044" i="5"/>
  <c r="T1044" i="5"/>
  <c r="S1044" i="5"/>
  <c r="R1044" i="5"/>
  <c r="Q1044" i="5"/>
  <c r="P1044" i="5"/>
  <c r="O1044" i="5"/>
  <c r="N1044" i="5"/>
  <c r="M1044" i="5"/>
  <c r="L1044" i="5"/>
  <c r="AD1043" i="5"/>
  <c r="AC1043" i="5"/>
  <c r="AB1043" i="5"/>
  <c r="AA1043" i="5"/>
  <c r="Z1043" i="5"/>
  <c r="Y1043" i="5"/>
  <c r="X1043" i="5"/>
  <c r="W1043" i="5"/>
  <c r="V1043" i="5"/>
  <c r="U1043" i="5"/>
  <c r="T1043" i="5"/>
  <c r="S1043" i="5"/>
  <c r="R1043" i="5"/>
  <c r="Q1043" i="5"/>
  <c r="P1043" i="5"/>
  <c r="O1043" i="5"/>
  <c r="N1043" i="5"/>
  <c r="M1043" i="5"/>
  <c r="L1043" i="5"/>
  <c r="AD1042" i="5"/>
  <c r="AC1042" i="5"/>
  <c r="AB1042" i="5"/>
  <c r="AA1042" i="5"/>
  <c r="Z1042" i="5"/>
  <c r="Y1042" i="5"/>
  <c r="X1042" i="5"/>
  <c r="W1042" i="5"/>
  <c r="V1042" i="5"/>
  <c r="U1042" i="5"/>
  <c r="T1042" i="5"/>
  <c r="S1042" i="5"/>
  <c r="R1042" i="5"/>
  <c r="Q1042" i="5"/>
  <c r="P1042" i="5"/>
  <c r="O1042" i="5"/>
  <c r="N1042" i="5"/>
  <c r="M1042" i="5"/>
  <c r="L1042" i="5"/>
  <c r="AD1041" i="5"/>
  <c r="AC1041" i="5"/>
  <c r="AB1041" i="5"/>
  <c r="AA1041" i="5"/>
  <c r="Z1041" i="5"/>
  <c r="Y1041" i="5"/>
  <c r="X1041" i="5"/>
  <c r="W1041" i="5"/>
  <c r="V1041" i="5"/>
  <c r="U1041" i="5"/>
  <c r="T1041" i="5"/>
  <c r="S1041" i="5"/>
  <c r="R1041" i="5"/>
  <c r="Q1041" i="5"/>
  <c r="P1041" i="5"/>
  <c r="O1041" i="5"/>
  <c r="N1041" i="5"/>
  <c r="M1041" i="5"/>
  <c r="L1041" i="5"/>
  <c r="AD1040" i="5"/>
  <c r="AC1040" i="5"/>
  <c r="AB1040" i="5"/>
  <c r="AA1040" i="5"/>
  <c r="Z1040" i="5"/>
  <c r="Y1040" i="5"/>
  <c r="X1040" i="5"/>
  <c r="W1040" i="5"/>
  <c r="V1040" i="5"/>
  <c r="U1040" i="5"/>
  <c r="T1040" i="5"/>
  <c r="S1040" i="5"/>
  <c r="R1040" i="5"/>
  <c r="Q1040" i="5"/>
  <c r="P1040" i="5"/>
  <c r="O1040" i="5"/>
  <c r="N1040" i="5"/>
  <c r="M1040" i="5"/>
  <c r="L1040" i="5"/>
  <c r="AD1039" i="5"/>
  <c r="AC1039" i="5"/>
  <c r="AB1039" i="5"/>
  <c r="AA1039" i="5"/>
  <c r="Z1039" i="5"/>
  <c r="Y1039" i="5"/>
  <c r="X1039" i="5"/>
  <c r="W1039" i="5"/>
  <c r="V1039" i="5"/>
  <c r="U1039" i="5"/>
  <c r="T1039" i="5"/>
  <c r="S1039" i="5"/>
  <c r="R1039" i="5"/>
  <c r="Q1039" i="5"/>
  <c r="P1039" i="5"/>
  <c r="O1039" i="5"/>
  <c r="N1039" i="5"/>
  <c r="M1039" i="5"/>
  <c r="L1039" i="5"/>
  <c r="AD1038" i="5"/>
  <c r="AC1038" i="5"/>
  <c r="AB1038" i="5"/>
  <c r="AA1038" i="5"/>
  <c r="Z1038" i="5"/>
  <c r="Y1038" i="5"/>
  <c r="X1038" i="5"/>
  <c r="W1038" i="5"/>
  <c r="V1038" i="5"/>
  <c r="U1038" i="5"/>
  <c r="T1038" i="5"/>
  <c r="S1038" i="5"/>
  <c r="R1038" i="5"/>
  <c r="Q1038" i="5"/>
  <c r="P1038" i="5"/>
  <c r="O1038" i="5"/>
  <c r="N1038" i="5"/>
  <c r="M1038" i="5"/>
  <c r="L1038" i="5"/>
  <c r="AD1037" i="5"/>
  <c r="AC1037" i="5"/>
  <c r="AB1037" i="5"/>
  <c r="AA1037" i="5"/>
  <c r="Z1037" i="5"/>
  <c r="Y1037" i="5"/>
  <c r="X1037" i="5"/>
  <c r="W1037" i="5"/>
  <c r="V1037" i="5"/>
  <c r="U1037" i="5"/>
  <c r="T1037" i="5"/>
  <c r="S1037" i="5"/>
  <c r="R1037" i="5"/>
  <c r="Q1037" i="5"/>
  <c r="P1037" i="5"/>
  <c r="O1037" i="5"/>
  <c r="N1037" i="5"/>
  <c r="M1037" i="5"/>
  <c r="L1037" i="5"/>
  <c r="AD1036" i="5"/>
  <c r="AC1036" i="5"/>
  <c r="AB1036" i="5"/>
  <c r="AA1036" i="5"/>
  <c r="Z1036" i="5"/>
  <c r="Y1036" i="5"/>
  <c r="X1036" i="5"/>
  <c r="W1036" i="5"/>
  <c r="V1036" i="5"/>
  <c r="U1036" i="5"/>
  <c r="T1036" i="5"/>
  <c r="S1036" i="5"/>
  <c r="R1036" i="5"/>
  <c r="Q1036" i="5"/>
  <c r="P1036" i="5"/>
  <c r="O1036" i="5"/>
  <c r="N1036" i="5"/>
  <c r="M1036" i="5"/>
  <c r="L1036" i="5"/>
  <c r="AD1035" i="5"/>
  <c r="AC1035" i="5"/>
  <c r="AB1035" i="5"/>
  <c r="AA1035" i="5"/>
  <c r="Z1035" i="5"/>
  <c r="Y1035" i="5"/>
  <c r="X1035" i="5"/>
  <c r="W1035" i="5"/>
  <c r="V1035" i="5"/>
  <c r="U1035" i="5"/>
  <c r="T1035" i="5"/>
  <c r="S1035" i="5"/>
  <c r="R1035" i="5"/>
  <c r="Q1035" i="5"/>
  <c r="P1035" i="5"/>
  <c r="O1035" i="5"/>
  <c r="N1035" i="5"/>
  <c r="M1035" i="5"/>
  <c r="L1035" i="5"/>
  <c r="AD1034" i="5"/>
  <c r="AC1034" i="5"/>
  <c r="AB1034" i="5"/>
  <c r="AA1034" i="5"/>
  <c r="Z1034" i="5"/>
  <c r="Y1034" i="5"/>
  <c r="X1034" i="5"/>
  <c r="W1034" i="5"/>
  <c r="V1034" i="5"/>
  <c r="U1034" i="5"/>
  <c r="T1034" i="5"/>
  <c r="S1034" i="5"/>
  <c r="R1034" i="5"/>
  <c r="Q1034" i="5"/>
  <c r="P1034" i="5"/>
  <c r="O1034" i="5"/>
  <c r="N1034" i="5"/>
  <c r="M1034" i="5"/>
  <c r="L1034" i="5"/>
  <c r="AD1033" i="5"/>
  <c r="AC1033" i="5"/>
  <c r="AB1033" i="5"/>
  <c r="AA1033" i="5"/>
  <c r="Z1033" i="5"/>
  <c r="Y1033" i="5"/>
  <c r="X1033" i="5"/>
  <c r="W1033" i="5"/>
  <c r="V1033" i="5"/>
  <c r="U1033" i="5"/>
  <c r="T1033" i="5"/>
  <c r="S1033" i="5"/>
  <c r="R1033" i="5"/>
  <c r="Q1033" i="5"/>
  <c r="P1033" i="5"/>
  <c r="O1033" i="5"/>
  <c r="N1033" i="5"/>
  <c r="M1033" i="5"/>
  <c r="L1033" i="5"/>
  <c r="AD1032" i="5"/>
  <c r="AC1032" i="5"/>
  <c r="AB1032" i="5"/>
  <c r="AA1032" i="5"/>
  <c r="Z1032" i="5"/>
  <c r="Y1032" i="5"/>
  <c r="X1032" i="5"/>
  <c r="W1032" i="5"/>
  <c r="V1032" i="5"/>
  <c r="U1032" i="5"/>
  <c r="T1032" i="5"/>
  <c r="S1032" i="5"/>
  <c r="R1032" i="5"/>
  <c r="Q1032" i="5"/>
  <c r="P1032" i="5"/>
  <c r="O1032" i="5"/>
  <c r="N1032" i="5"/>
  <c r="M1032" i="5"/>
  <c r="L1032" i="5"/>
  <c r="AD1031" i="5"/>
  <c r="AC1031" i="5"/>
  <c r="AB1031" i="5"/>
  <c r="AA1031" i="5"/>
  <c r="Z1031" i="5"/>
  <c r="Y1031" i="5"/>
  <c r="X1031" i="5"/>
  <c r="W1031" i="5"/>
  <c r="V1031" i="5"/>
  <c r="U1031" i="5"/>
  <c r="T1031" i="5"/>
  <c r="S1031" i="5"/>
  <c r="R1031" i="5"/>
  <c r="Q1031" i="5"/>
  <c r="P1031" i="5"/>
  <c r="O1031" i="5"/>
  <c r="N1031" i="5"/>
  <c r="M1031" i="5"/>
  <c r="L1031" i="5"/>
  <c r="AD1030" i="5"/>
  <c r="AC1030" i="5"/>
  <c r="AB1030" i="5"/>
  <c r="AA1030" i="5"/>
  <c r="Z1030" i="5"/>
  <c r="Y1030" i="5"/>
  <c r="X1030" i="5"/>
  <c r="W1030" i="5"/>
  <c r="V1030" i="5"/>
  <c r="U1030" i="5"/>
  <c r="T1030" i="5"/>
  <c r="S1030" i="5"/>
  <c r="R1030" i="5"/>
  <c r="Q1030" i="5"/>
  <c r="P1030" i="5"/>
  <c r="O1030" i="5"/>
  <c r="N1030" i="5"/>
  <c r="M1030" i="5"/>
  <c r="L1030" i="5"/>
  <c r="AD1029" i="5"/>
  <c r="AC1029" i="5"/>
  <c r="AB1029" i="5"/>
  <c r="AA1029" i="5"/>
  <c r="Z1029" i="5"/>
  <c r="Y1029" i="5"/>
  <c r="X1029" i="5"/>
  <c r="W1029" i="5"/>
  <c r="V1029" i="5"/>
  <c r="U1029" i="5"/>
  <c r="T1029" i="5"/>
  <c r="S1029" i="5"/>
  <c r="R1029" i="5"/>
  <c r="Q1029" i="5"/>
  <c r="P1029" i="5"/>
  <c r="O1029" i="5"/>
  <c r="N1029" i="5"/>
  <c r="M1029" i="5"/>
  <c r="L1029" i="5"/>
  <c r="AD1028" i="5"/>
  <c r="AC1028" i="5"/>
  <c r="AB1028" i="5"/>
  <c r="AA1028" i="5"/>
  <c r="Z1028" i="5"/>
  <c r="Y1028" i="5"/>
  <c r="X1028" i="5"/>
  <c r="W1028" i="5"/>
  <c r="V1028" i="5"/>
  <c r="U1028" i="5"/>
  <c r="T1028" i="5"/>
  <c r="S1028" i="5"/>
  <c r="R1028" i="5"/>
  <c r="Q1028" i="5"/>
  <c r="P1028" i="5"/>
  <c r="O1028" i="5"/>
  <c r="N1028" i="5"/>
  <c r="M1028" i="5"/>
  <c r="L1028" i="5"/>
  <c r="AD1027" i="5"/>
  <c r="AC1027" i="5"/>
  <c r="AB1027" i="5"/>
  <c r="AA1027" i="5"/>
  <c r="Z1027" i="5"/>
  <c r="Y1027" i="5"/>
  <c r="X1027" i="5"/>
  <c r="W1027" i="5"/>
  <c r="V1027" i="5"/>
  <c r="U1027" i="5"/>
  <c r="T1027" i="5"/>
  <c r="S1027" i="5"/>
  <c r="R1027" i="5"/>
  <c r="Q1027" i="5"/>
  <c r="P1027" i="5"/>
  <c r="O1027" i="5"/>
  <c r="N1027" i="5"/>
  <c r="M1027" i="5"/>
  <c r="L1027" i="5"/>
  <c r="AD1026" i="5"/>
  <c r="AC1026" i="5"/>
  <c r="AB1026" i="5"/>
  <c r="AA1026" i="5"/>
  <c r="Z1026" i="5"/>
  <c r="Y1026" i="5"/>
  <c r="X1026" i="5"/>
  <c r="W1026" i="5"/>
  <c r="V1026" i="5"/>
  <c r="U1026" i="5"/>
  <c r="T1026" i="5"/>
  <c r="S1026" i="5"/>
  <c r="R1026" i="5"/>
  <c r="Q1026" i="5"/>
  <c r="P1026" i="5"/>
  <c r="O1026" i="5"/>
  <c r="N1026" i="5"/>
  <c r="M1026" i="5"/>
  <c r="L1026" i="5"/>
  <c r="AD1025" i="5"/>
  <c r="AC1025" i="5"/>
  <c r="AB1025" i="5"/>
  <c r="AA1025" i="5"/>
  <c r="Z1025" i="5"/>
  <c r="Y1025" i="5"/>
  <c r="X1025" i="5"/>
  <c r="W1025" i="5"/>
  <c r="V1025" i="5"/>
  <c r="U1025" i="5"/>
  <c r="T1025" i="5"/>
  <c r="S1025" i="5"/>
  <c r="R1025" i="5"/>
  <c r="Q1025" i="5"/>
  <c r="P1025" i="5"/>
  <c r="O1025" i="5"/>
  <c r="N1025" i="5"/>
  <c r="M1025" i="5"/>
  <c r="L1025" i="5"/>
  <c r="AD1024" i="5"/>
  <c r="AC1024" i="5"/>
  <c r="AB1024" i="5"/>
  <c r="AA1024" i="5"/>
  <c r="Z1024" i="5"/>
  <c r="Y1024" i="5"/>
  <c r="X1024" i="5"/>
  <c r="W1024" i="5"/>
  <c r="V1024" i="5"/>
  <c r="U1024" i="5"/>
  <c r="T1024" i="5"/>
  <c r="S1024" i="5"/>
  <c r="R1024" i="5"/>
  <c r="Q1024" i="5"/>
  <c r="P1024" i="5"/>
  <c r="O1024" i="5"/>
  <c r="N1024" i="5"/>
  <c r="M1024" i="5"/>
  <c r="L1024" i="5"/>
  <c r="AD1023" i="5"/>
  <c r="AC1023" i="5"/>
  <c r="AB1023" i="5"/>
  <c r="AA1023" i="5"/>
  <c r="Z1023" i="5"/>
  <c r="Y1023" i="5"/>
  <c r="X1023" i="5"/>
  <c r="W1023" i="5"/>
  <c r="V1023" i="5"/>
  <c r="U1023" i="5"/>
  <c r="T1023" i="5"/>
  <c r="S1023" i="5"/>
  <c r="R1023" i="5"/>
  <c r="Q1023" i="5"/>
  <c r="P1023" i="5"/>
  <c r="O1023" i="5"/>
  <c r="N1023" i="5"/>
  <c r="M1023" i="5"/>
  <c r="L1023" i="5"/>
  <c r="AD1022" i="5"/>
  <c r="AC1022" i="5"/>
  <c r="AB1022" i="5"/>
  <c r="AA1022" i="5"/>
  <c r="Z1022" i="5"/>
  <c r="Y1022" i="5"/>
  <c r="X1022" i="5"/>
  <c r="W1022" i="5"/>
  <c r="V1022" i="5"/>
  <c r="U1022" i="5"/>
  <c r="T1022" i="5"/>
  <c r="S1022" i="5"/>
  <c r="R1022" i="5"/>
  <c r="Q1022" i="5"/>
  <c r="P1022" i="5"/>
  <c r="O1022" i="5"/>
  <c r="N1022" i="5"/>
  <c r="M1022" i="5"/>
  <c r="L1022" i="5"/>
  <c r="AD1021" i="5"/>
  <c r="AC1021" i="5"/>
  <c r="AB1021" i="5"/>
  <c r="AA1021" i="5"/>
  <c r="Z1021" i="5"/>
  <c r="Y1021" i="5"/>
  <c r="X1021" i="5"/>
  <c r="W1021" i="5"/>
  <c r="V1021" i="5"/>
  <c r="U1021" i="5"/>
  <c r="T1021" i="5"/>
  <c r="S1021" i="5"/>
  <c r="R1021" i="5"/>
  <c r="Q1021" i="5"/>
  <c r="P1021" i="5"/>
  <c r="O1021" i="5"/>
  <c r="N1021" i="5"/>
  <c r="M1021" i="5"/>
  <c r="L1021" i="5"/>
  <c r="AD1020" i="5"/>
  <c r="AC1020" i="5"/>
  <c r="AB1020" i="5"/>
  <c r="AA1020" i="5"/>
  <c r="Z1020" i="5"/>
  <c r="Y1020" i="5"/>
  <c r="X1020" i="5"/>
  <c r="W1020" i="5"/>
  <c r="V1020" i="5"/>
  <c r="U1020" i="5"/>
  <c r="T1020" i="5"/>
  <c r="S1020" i="5"/>
  <c r="R1020" i="5"/>
  <c r="Q1020" i="5"/>
  <c r="P1020" i="5"/>
  <c r="O1020" i="5"/>
  <c r="N1020" i="5"/>
  <c r="M1020" i="5"/>
  <c r="L1020" i="5"/>
  <c r="AD1019" i="5"/>
  <c r="AC1019" i="5"/>
  <c r="AB1019" i="5"/>
  <c r="AA1019" i="5"/>
  <c r="Z1019" i="5"/>
  <c r="Y1019" i="5"/>
  <c r="X1019" i="5"/>
  <c r="W1019" i="5"/>
  <c r="V1019" i="5"/>
  <c r="U1019" i="5"/>
  <c r="T1019" i="5"/>
  <c r="S1019" i="5"/>
  <c r="R1019" i="5"/>
  <c r="Q1019" i="5"/>
  <c r="P1019" i="5"/>
  <c r="O1019" i="5"/>
  <c r="N1019" i="5"/>
  <c r="M1019" i="5"/>
  <c r="L1019" i="5"/>
  <c r="AD1018" i="5"/>
  <c r="AC1018" i="5"/>
  <c r="AB1018" i="5"/>
  <c r="AA1018" i="5"/>
  <c r="Z1018" i="5"/>
  <c r="Y1018" i="5"/>
  <c r="X1018" i="5"/>
  <c r="W1018" i="5"/>
  <c r="V1018" i="5"/>
  <c r="U1018" i="5"/>
  <c r="T1018" i="5"/>
  <c r="S1018" i="5"/>
  <c r="R1018" i="5"/>
  <c r="Q1018" i="5"/>
  <c r="P1018" i="5"/>
  <c r="O1018" i="5"/>
  <c r="N1018" i="5"/>
  <c r="M1018" i="5"/>
  <c r="L1018" i="5"/>
  <c r="AD1017" i="5"/>
  <c r="AC1017" i="5"/>
  <c r="AB1017" i="5"/>
  <c r="AA1017" i="5"/>
  <c r="Z1017" i="5"/>
  <c r="Y1017" i="5"/>
  <c r="X1017" i="5"/>
  <c r="W1017" i="5"/>
  <c r="V1017" i="5"/>
  <c r="U1017" i="5"/>
  <c r="T1017" i="5"/>
  <c r="S1017" i="5"/>
  <c r="R1017" i="5"/>
  <c r="Q1017" i="5"/>
  <c r="P1017" i="5"/>
  <c r="O1017" i="5"/>
  <c r="N1017" i="5"/>
  <c r="M1017" i="5"/>
  <c r="L1017" i="5"/>
  <c r="AD1016" i="5"/>
  <c r="AC1016" i="5"/>
  <c r="AB1016" i="5"/>
  <c r="AA1016" i="5"/>
  <c r="Z1016" i="5"/>
  <c r="Y1016" i="5"/>
  <c r="X1016" i="5"/>
  <c r="W1016" i="5"/>
  <c r="V1016" i="5"/>
  <c r="U1016" i="5"/>
  <c r="T1016" i="5"/>
  <c r="S1016" i="5"/>
  <c r="R1016" i="5"/>
  <c r="Q1016" i="5"/>
  <c r="P1016" i="5"/>
  <c r="O1016" i="5"/>
  <c r="N1016" i="5"/>
  <c r="M1016" i="5"/>
  <c r="L1016" i="5"/>
  <c r="AD1015" i="5"/>
  <c r="AC1015" i="5"/>
  <c r="AB1015" i="5"/>
  <c r="AA1015" i="5"/>
  <c r="Z1015" i="5"/>
  <c r="Y1015" i="5"/>
  <c r="X1015" i="5"/>
  <c r="W1015" i="5"/>
  <c r="V1015" i="5"/>
  <c r="U1015" i="5"/>
  <c r="T1015" i="5"/>
  <c r="S1015" i="5"/>
  <c r="R1015" i="5"/>
  <c r="Q1015" i="5"/>
  <c r="P1015" i="5"/>
  <c r="O1015" i="5"/>
  <c r="N1015" i="5"/>
  <c r="M1015" i="5"/>
  <c r="L1015" i="5"/>
  <c r="AD1014" i="5"/>
  <c r="AC1014" i="5"/>
  <c r="AB1014" i="5"/>
  <c r="AA1014" i="5"/>
  <c r="Z1014" i="5"/>
  <c r="Y1014" i="5"/>
  <c r="X1014" i="5"/>
  <c r="W1014" i="5"/>
  <c r="V1014" i="5"/>
  <c r="U1014" i="5"/>
  <c r="T1014" i="5"/>
  <c r="S1014" i="5"/>
  <c r="R1014" i="5"/>
  <c r="Q1014" i="5"/>
  <c r="P1014" i="5"/>
  <c r="O1014" i="5"/>
  <c r="N1014" i="5"/>
  <c r="M1014" i="5"/>
  <c r="L1014" i="5"/>
  <c r="AD1013" i="5"/>
  <c r="AC1013" i="5"/>
  <c r="AB1013" i="5"/>
  <c r="AA1013" i="5"/>
  <c r="Z1013" i="5"/>
  <c r="Y1013" i="5"/>
  <c r="X1013" i="5"/>
  <c r="W1013" i="5"/>
  <c r="V1013" i="5"/>
  <c r="U1013" i="5"/>
  <c r="T1013" i="5"/>
  <c r="S1013" i="5"/>
  <c r="R1013" i="5"/>
  <c r="Q1013" i="5"/>
  <c r="P1013" i="5"/>
  <c r="O1013" i="5"/>
  <c r="N1013" i="5"/>
  <c r="M1013" i="5"/>
  <c r="L1013" i="5"/>
  <c r="AD1012" i="5"/>
  <c r="AC1012" i="5"/>
  <c r="AB1012" i="5"/>
  <c r="AA1012" i="5"/>
  <c r="Z1012" i="5"/>
  <c r="Y1012" i="5"/>
  <c r="X1012" i="5"/>
  <c r="W1012" i="5"/>
  <c r="V1012" i="5"/>
  <c r="U1012" i="5"/>
  <c r="T1012" i="5"/>
  <c r="S1012" i="5"/>
  <c r="R1012" i="5"/>
  <c r="Q1012" i="5"/>
  <c r="P1012" i="5"/>
  <c r="O1012" i="5"/>
  <c r="N1012" i="5"/>
  <c r="M1012" i="5"/>
  <c r="L1012" i="5"/>
  <c r="AD1011" i="5"/>
  <c r="AC1011" i="5"/>
  <c r="AB1011" i="5"/>
  <c r="AA1011" i="5"/>
  <c r="Z1011" i="5"/>
  <c r="Y1011" i="5"/>
  <c r="X1011" i="5"/>
  <c r="W1011" i="5"/>
  <c r="V1011" i="5"/>
  <c r="U1011" i="5"/>
  <c r="T1011" i="5"/>
  <c r="S1011" i="5"/>
  <c r="R1011" i="5"/>
  <c r="Q1011" i="5"/>
  <c r="P1011" i="5"/>
  <c r="O1011" i="5"/>
  <c r="N1011" i="5"/>
  <c r="M1011" i="5"/>
  <c r="L1011" i="5"/>
  <c r="AD1010" i="5"/>
  <c r="AC1010" i="5"/>
  <c r="AB1010" i="5"/>
  <c r="AA1010" i="5"/>
  <c r="Z1010" i="5"/>
  <c r="Y1010" i="5"/>
  <c r="X1010" i="5"/>
  <c r="W1010" i="5"/>
  <c r="V1010" i="5"/>
  <c r="U1010" i="5"/>
  <c r="T1010" i="5"/>
  <c r="S1010" i="5"/>
  <c r="R1010" i="5"/>
  <c r="Q1010" i="5"/>
  <c r="P1010" i="5"/>
  <c r="O1010" i="5"/>
  <c r="N1010" i="5"/>
  <c r="M1010" i="5"/>
  <c r="L1010" i="5"/>
  <c r="AD1009" i="5"/>
  <c r="AC1009" i="5"/>
  <c r="AB1009" i="5"/>
  <c r="AA1009" i="5"/>
  <c r="Z1009" i="5"/>
  <c r="Y1009" i="5"/>
  <c r="X1009" i="5"/>
  <c r="W1009" i="5"/>
  <c r="V1009" i="5"/>
  <c r="U1009" i="5"/>
  <c r="T1009" i="5"/>
  <c r="S1009" i="5"/>
  <c r="R1009" i="5"/>
  <c r="Q1009" i="5"/>
  <c r="P1009" i="5"/>
  <c r="O1009" i="5"/>
  <c r="N1009" i="5"/>
  <c r="M1009" i="5"/>
  <c r="L1009" i="5"/>
  <c r="AD1008" i="5"/>
  <c r="AC1008" i="5"/>
  <c r="AB1008" i="5"/>
  <c r="AA1008" i="5"/>
  <c r="Z1008" i="5"/>
  <c r="Y1008" i="5"/>
  <c r="X1008" i="5"/>
  <c r="W1008" i="5"/>
  <c r="V1008" i="5"/>
  <c r="U1008" i="5"/>
  <c r="T1008" i="5"/>
  <c r="S1008" i="5"/>
  <c r="R1008" i="5"/>
  <c r="Q1008" i="5"/>
  <c r="P1008" i="5"/>
  <c r="O1008" i="5"/>
  <c r="N1008" i="5"/>
  <c r="M1008" i="5"/>
  <c r="L1008" i="5"/>
  <c r="AD1007" i="5"/>
  <c r="AC1007" i="5"/>
  <c r="AB1007" i="5"/>
  <c r="AA1007" i="5"/>
  <c r="Z1007" i="5"/>
  <c r="Y1007" i="5"/>
  <c r="X1007" i="5"/>
  <c r="W1007" i="5"/>
  <c r="V1007" i="5"/>
  <c r="U1007" i="5"/>
  <c r="T1007" i="5"/>
  <c r="S1007" i="5"/>
  <c r="R1007" i="5"/>
  <c r="Q1007" i="5"/>
  <c r="P1007" i="5"/>
  <c r="O1007" i="5"/>
  <c r="N1007" i="5"/>
  <c r="M1007" i="5"/>
  <c r="L1007" i="5"/>
  <c r="AD1006" i="5"/>
  <c r="AC1006" i="5"/>
  <c r="AB1006" i="5"/>
  <c r="AA1006" i="5"/>
  <c r="Z1006" i="5"/>
  <c r="Y1006" i="5"/>
  <c r="X1006" i="5"/>
  <c r="W1006" i="5"/>
  <c r="V1006" i="5"/>
  <c r="U1006" i="5"/>
  <c r="T1006" i="5"/>
  <c r="S1006" i="5"/>
  <c r="R1006" i="5"/>
  <c r="Q1006" i="5"/>
  <c r="P1006" i="5"/>
  <c r="O1006" i="5"/>
  <c r="N1006" i="5"/>
  <c r="M1006" i="5"/>
  <c r="L1006" i="5"/>
  <c r="AD1005" i="5"/>
  <c r="AC1005" i="5"/>
  <c r="AB1005" i="5"/>
  <c r="AA1005" i="5"/>
  <c r="Z1005" i="5"/>
  <c r="Y1005" i="5"/>
  <c r="X1005" i="5"/>
  <c r="W1005" i="5"/>
  <c r="V1005" i="5"/>
  <c r="U1005" i="5"/>
  <c r="T1005" i="5"/>
  <c r="S1005" i="5"/>
  <c r="R1005" i="5"/>
  <c r="Q1005" i="5"/>
  <c r="P1005" i="5"/>
  <c r="O1005" i="5"/>
  <c r="N1005" i="5"/>
  <c r="M1005" i="5"/>
  <c r="L1005" i="5"/>
  <c r="AD1004" i="5"/>
  <c r="AC1004" i="5"/>
  <c r="AB1004" i="5"/>
  <c r="AA1004" i="5"/>
  <c r="Z1004" i="5"/>
  <c r="Y1004" i="5"/>
  <c r="X1004" i="5"/>
  <c r="W1004" i="5"/>
  <c r="V1004" i="5"/>
  <c r="U1004" i="5"/>
  <c r="T1004" i="5"/>
  <c r="S1004" i="5"/>
  <c r="R1004" i="5"/>
  <c r="Q1004" i="5"/>
  <c r="P1004" i="5"/>
  <c r="O1004" i="5"/>
  <c r="N1004" i="5"/>
  <c r="M1004" i="5"/>
  <c r="L1004" i="5"/>
  <c r="AD1003" i="5"/>
  <c r="AC1003" i="5"/>
  <c r="AB1003" i="5"/>
  <c r="AA1003" i="5"/>
  <c r="Z1003" i="5"/>
  <c r="Y1003" i="5"/>
  <c r="X1003" i="5"/>
  <c r="W1003" i="5"/>
  <c r="V1003" i="5"/>
  <c r="U1003" i="5"/>
  <c r="T1003" i="5"/>
  <c r="S1003" i="5"/>
  <c r="R1003" i="5"/>
  <c r="Q1003" i="5"/>
  <c r="P1003" i="5"/>
  <c r="O1003" i="5"/>
  <c r="N1003" i="5"/>
  <c r="M1003" i="5"/>
  <c r="L1003" i="5"/>
  <c r="AD1002" i="5"/>
  <c r="AC1002" i="5"/>
  <c r="AB1002" i="5"/>
  <c r="AA1002" i="5"/>
  <c r="Z1002" i="5"/>
  <c r="Y1002" i="5"/>
  <c r="X1002" i="5"/>
  <c r="W1002" i="5"/>
  <c r="V1002" i="5"/>
  <c r="U1002" i="5"/>
  <c r="T1002" i="5"/>
  <c r="S1002" i="5"/>
  <c r="R1002" i="5"/>
  <c r="Q1002" i="5"/>
  <c r="P1002" i="5"/>
  <c r="O1002" i="5"/>
  <c r="N1002" i="5"/>
  <c r="M1002" i="5"/>
  <c r="L1002" i="5"/>
  <c r="AD1001" i="5"/>
  <c r="AC1001" i="5"/>
  <c r="AB1001" i="5"/>
  <c r="AA1001" i="5"/>
  <c r="Z1001" i="5"/>
  <c r="Y1001" i="5"/>
  <c r="X1001" i="5"/>
  <c r="W1001" i="5"/>
  <c r="V1001" i="5"/>
  <c r="U1001" i="5"/>
  <c r="T1001" i="5"/>
  <c r="S1001" i="5"/>
  <c r="R1001" i="5"/>
  <c r="Q1001" i="5"/>
  <c r="P1001" i="5"/>
  <c r="O1001" i="5"/>
  <c r="N1001" i="5"/>
  <c r="M1001" i="5"/>
  <c r="L1001" i="5"/>
  <c r="AD1000" i="5"/>
  <c r="AC1000" i="5"/>
  <c r="AB1000" i="5"/>
  <c r="AA1000" i="5"/>
  <c r="Z1000" i="5"/>
  <c r="Y1000" i="5"/>
  <c r="X1000" i="5"/>
  <c r="W1000" i="5"/>
  <c r="V1000" i="5"/>
  <c r="U1000" i="5"/>
  <c r="T1000" i="5"/>
  <c r="S1000" i="5"/>
  <c r="R1000" i="5"/>
  <c r="Q1000" i="5"/>
  <c r="P1000" i="5"/>
  <c r="O1000" i="5"/>
  <c r="N1000" i="5"/>
  <c r="M1000" i="5"/>
  <c r="L1000" i="5"/>
  <c r="AD999" i="5"/>
  <c r="AC999" i="5"/>
  <c r="AB999" i="5"/>
  <c r="AA999" i="5"/>
  <c r="Z999" i="5"/>
  <c r="Y999" i="5"/>
  <c r="X999" i="5"/>
  <c r="W999" i="5"/>
  <c r="V999" i="5"/>
  <c r="U999" i="5"/>
  <c r="T999" i="5"/>
  <c r="S999" i="5"/>
  <c r="R999" i="5"/>
  <c r="Q999" i="5"/>
  <c r="P999" i="5"/>
  <c r="O999" i="5"/>
  <c r="N999" i="5"/>
  <c r="M999" i="5"/>
  <c r="L999" i="5"/>
  <c r="AD998" i="5"/>
  <c r="AC998" i="5"/>
  <c r="AB998" i="5"/>
  <c r="AA998" i="5"/>
  <c r="Z998" i="5"/>
  <c r="Y998" i="5"/>
  <c r="X998" i="5"/>
  <c r="W998" i="5"/>
  <c r="V998" i="5"/>
  <c r="U998" i="5"/>
  <c r="T998" i="5"/>
  <c r="S998" i="5"/>
  <c r="R998" i="5"/>
  <c r="Q998" i="5"/>
  <c r="P998" i="5"/>
  <c r="O998" i="5"/>
  <c r="N998" i="5"/>
  <c r="M998" i="5"/>
  <c r="L998" i="5"/>
  <c r="AD997" i="5"/>
  <c r="AC997" i="5"/>
  <c r="AB997" i="5"/>
  <c r="AA997" i="5"/>
  <c r="Z997" i="5"/>
  <c r="Y997" i="5"/>
  <c r="X997" i="5"/>
  <c r="W997" i="5"/>
  <c r="V997" i="5"/>
  <c r="U997" i="5"/>
  <c r="T997" i="5"/>
  <c r="S997" i="5"/>
  <c r="R997" i="5"/>
  <c r="Q997" i="5"/>
  <c r="P997" i="5"/>
  <c r="O997" i="5"/>
  <c r="N997" i="5"/>
  <c r="M997" i="5"/>
  <c r="L997" i="5"/>
  <c r="AD996" i="5"/>
  <c r="AC996" i="5"/>
  <c r="AB996" i="5"/>
  <c r="AA996" i="5"/>
  <c r="Z996" i="5"/>
  <c r="Y996" i="5"/>
  <c r="X996" i="5"/>
  <c r="W996" i="5"/>
  <c r="V996" i="5"/>
  <c r="U996" i="5"/>
  <c r="T996" i="5"/>
  <c r="S996" i="5"/>
  <c r="R996" i="5"/>
  <c r="Q996" i="5"/>
  <c r="P996" i="5"/>
  <c r="O996" i="5"/>
  <c r="N996" i="5"/>
  <c r="M996" i="5"/>
  <c r="L996" i="5"/>
  <c r="AD995" i="5"/>
  <c r="AC995" i="5"/>
  <c r="AB995" i="5"/>
  <c r="AA995" i="5"/>
  <c r="Z995" i="5"/>
  <c r="Y995" i="5"/>
  <c r="X995" i="5"/>
  <c r="W995" i="5"/>
  <c r="V995" i="5"/>
  <c r="U995" i="5"/>
  <c r="T995" i="5"/>
  <c r="S995" i="5"/>
  <c r="R995" i="5"/>
  <c r="Q995" i="5"/>
  <c r="P995" i="5"/>
  <c r="O995" i="5"/>
  <c r="N995" i="5"/>
  <c r="M995" i="5"/>
  <c r="L995" i="5"/>
  <c r="AD994" i="5"/>
  <c r="AC994" i="5"/>
  <c r="AB994" i="5"/>
  <c r="AA994" i="5"/>
  <c r="Z994" i="5"/>
  <c r="Y994" i="5"/>
  <c r="X994" i="5"/>
  <c r="W994" i="5"/>
  <c r="V994" i="5"/>
  <c r="U994" i="5"/>
  <c r="T994" i="5"/>
  <c r="S994" i="5"/>
  <c r="R994" i="5"/>
  <c r="Q994" i="5"/>
  <c r="P994" i="5"/>
  <c r="O994" i="5"/>
  <c r="N994" i="5"/>
  <c r="M994" i="5"/>
  <c r="L994" i="5"/>
  <c r="AD993" i="5"/>
  <c r="AC993" i="5"/>
  <c r="AB993" i="5"/>
  <c r="AA993" i="5"/>
  <c r="Z993" i="5"/>
  <c r="Y993" i="5"/>
  <c r="X993" i="5"/>
  <c r="W993" i="5"/>
  <c r="V993" i="5"/>
  <c r="U993" i="5"/>
  <c r="T993" i="5"/>
  <c r="S993" i="5"/>
  <c r="R993" i="5"/>
  <c r="Q993" i="5"/>
  <c r="P993" i="5"/>
  <c r="O993" i="5"/>
  <c r="N993" i="5"/>
  <c r="M993" i="5"/>
  <c r="L993" i="5"/>
  <c r="AD992" i="5"/>
  <c r="AC992" i="5"/>
  <c r="AB992" i="5"/>
  <c r="AA992" i="5"/>
  <c r="Z992" i="5"/>
  <c r="Y992" i="5"/>
  <c r="X992" i="5"/>
  <c r="W992" i="5"/>
  <c r="V992" i="5"/>
  <c r="U992" i="5"/>
  <c r="T992" i="5"/>
  <c r="S992" i="5"/>
  <c r="R992" i="5"/>
  <c r="Q992" i="5"/>
  <c r="P992" i="5"/>
  <c r="O992" i="5"/>
  <c r="N992" i="5"/>
  <c r="M992" i="5"/>
  <c r="L992" i="5"/>
  <c r="AD991" i="5"/>
  <c r="AC991" i="5"/>
  <c r="AB991" i="5"/>
  <c r="AA991" i="5"/>
  <c r="Z991" i="5"/>
  <c r="Y991" i="5"/>
  <c r="X991" i="5"/>
  <c r="W991" i="5"/>
  <c r="V991" i="5"/>
  <c r="U991" i="5"/>
  <c r="T991" i="5"/>
  <c r="S991" i="5"/>
  <c r="R991" i="5"/>
  <c r="Q991" i="5"/>
  <c r="P991" i="5"/>
  <c r="O991" i="5"/>
  <c r="N991" i="5"/>
  <c r="M991" i="5"/>
  <c r="L991" i="5"/>
  <c r="AD990" i="5"/>
  <c r="AC990" i="5"/>
  <c r="AB990" i="5"/>
  <c r="AA990" i="5"/>
  <c r="Z990" i="5"/>
  <c r="Y990" i="5"/>
  <c r="X990" i="5"/>
  <c r="W990" i="5"/>
  <c r="V990" i="5"/>
  <c r="U990" i="5"/>
  <c r="T990" i="5"/>
  <c r="S990" i="5"/>
  <c r="R990" i="5"/>
  <c r="Q990" i="5"/>
  <c r="P990" i="5"/>
  <c r="O990" i="5"/>
  <c r="N990" i="5"/>
  <c r="M990" i="5"/>
  <c r="L990" i="5"/>
  <c r="AD989" i="5"/>
  <c r="AC989" i="5"/>
  <c r="AB989" i="5"/>
  <c r="AA989" i="5"/>
  <c r="Z989" i="5"/>
  <c r="Y989" i="5"/>
  <c r="X989" i="5"/>
  <c r="W989" i="5"/>
  <c r="V989" i="5"/>
  <c r="U989" i="5"/>
  <c r="T989" i="5"/>
  <c r="S989" i="5"/>
  <c r="R989" i="5"/>
  <c r="Q989" i="5"/>
  <c r="P989" i="5"/>
  <c r="O989" i="5"/>
  <c r="N989" i="5"/>
  <c r="M989" i="5"/>
  <c r="L989" i="5"/>
  <c r="AD988" i="5"/>
  <c r="AC988" i="5"/>
  <c r="AB988" i="5"/>
  <c r="AA988" i="5"/>
  <c r="Z988" i="5"/>
  <c r="Y988" i="5"/>
  <c r="X988" i="5"/>
  <c r="W988" i="5"/>
  <c r="V988" i="5"/>
  <c r="U988" i="5"/>
  <c r="T988" i="5"/>
  <c r="S988" i="5"/>
  <c r="R988" i="5"/>
  <c r="Q988" i="5"/>
  <c r="P988" i="5"/>
  <c r="O988" i="5"/>
  <c r="N988" i="5"/>
  <c r="M988" i="5"/>
  <c r="L988" i="5"/>
  <c r="AD987" i="5"/>
  <c r="AC987" i="5"/>
  <c r="AB987" i="5"/>
  <c r="AA987" i="5"/>
  <c r="Z987" i="5"/>
  <c r="Y987" i="5"/>
  <c r="X987" i="5"/>
  <c r="W987" i="5"/>
  <c r="V987" i="5"/>
  <c r="U987" i="5"/>
  <c r="T987" i="5"/>
  <c r="S987" i="5"/>
  <c r="R987" i="5"/>
  <c r="Q987" i="5"/>
  <c r="P987" i="5"/>
  <c r="O987" i="5"/>
  <c r="N987" i="5"/>
  <c r="M987" i="5"/>
  <c r="L987" i="5"/>
  <c r="AD986" i="5"/>
  <c r="AC986" i="5"/>
  <c r="AB986" i="5"/>
  <c r="AA986" i="5"/>
  <c r="Z986" i="5"/>
  <c r="Y986" i="5"/>
  <c r="X986" i="5"/>
  <c r="W986" i="5"/>
  <c r="V986" i="5"/>
  <c r="U986" i="5"/>
  <c r="T986" i="5"/>
  <c r="S986" i="5"/>
  <c r="R986" i="5"/>
  <c r="Q986" i="5"/>
  <c r="P986" i="5"/>
  <c r="O986" i="5"/>
  <c r="N986" i="5"/>
  <c r="M986" i="5"/>
  <c r="L986" i="5"/>
  <c r="AD985" i="5"/>
  <c r="AC985" i="5"/>
  <c r="AB985" i="5"/>
  <c r="AA985" i="5"/>
  <c r="Z985" i="5"/>
  <c r="Y985" i="5"/>
  <c r="X985" i="5"/>
  <c r="W985" i="5"/>
  <c r="V985" i="5"/>
  <c r="U985" i="5"/>
  <c r="T985" i="5"/>
  <c r="S985" i="5"/>
  <c r="R985" i="5"/>
  <c r="Q985" i="5"/>
  <c r="P985" i="5"/>
  <c r="O985" i="5"/>
  <c r="N985" i="5"/>
  <c r="M985" i="5"/>
  <c r="L985" i="5"/>
  <c r="AD984" i="5"/>
  <c r="AC984" i="5"/>
  <c r="AB984" i="5"/>
  <c r="AA984" i="5"/>
  <c r="Z984" i="5"/>
  <c r="Y984" i="5"/>
  <c r="X984" i="5"/>
  <c r="W984" i="5"/>
  <c r="V984" i="5"/>
  <c r="U984" i="5"/>
  <c r="T984" i="5"/>
  <c r="S984" i="5"/>
  <c r="R984" i="5"/>
  <c r="Q984" i="5"/>
  <c r="P984" i="5"/>
  <c r="O984" i="5"/>
  <c r="N984" i="5"/>
  <c r="M984" i="5"/>
  <c r="L984" i="5"/>
  <c r="AD983" i="5"/>
  <c r="AC983" i="5"/>
  <c r="AB983" i="5"/>
  <c r="AA983" i="5"/>
  <c r="Z983" i="5"/>
  <c r="Y983" i="5"/>
  <c r="X983" i="5"/>
  <c r="W983" i="5"/>
  <c r="V983" i="5"/>
  <c r="U983" i="5"/>
  <c r="T983" i="5"/>
  <c r="S983" i="5"/>
  <c r="R983" i="5"/>
  <c r="Q983" i="5"/>
  <c r="P983" i="5"/>
  <c r="O983" i="5"/>
  <c r="N983" i="5"/>
  <c r="M983" i="5"/>
  <c r="L983" i="5"/>
  <c r="AD982" i="5"/>
  <c r="AC982" i="5"/>
  <c r="AB982" i="5"/>
  <c r="AA982" i="5"/>
  <c r="Z982" i="5"/>
  <c r="Y982" i="5"/>
  <c r="X982" i="5"/>
  <c r="W982" i="5"/>
  <c r="V982" i="5"/>
  <c r="U982" i="5"/>
  <c r="T982" i="5"/>
  <c r="S982" i="5"/>
  <c r="R982" i="5"/>
  <c r="Q982" i="5"/>
  <c r="P982" i="5"/>
  <c r="O982" i="5"/>
  <c r="N982" i="5"/>
  <c r="M982" i="5"/>
  <c r="L982" i="5"/>
  <c r="AD981" i="5"/>
  <c r="AC981" i="5"/>
  <c r="AB981" i="5"/>
  <c r="AA981" i="5"/>
  <c r="Z981" i="5"/>
  <c r="Y981" i="5"/>
  <c r="X981" i="5"/>
  <c r="W981" i="5"/>
  <c r="V981" i="5"/>
  <c r="U981" i="5"/>
  <c r="T981" i="5"/>
  <c r="S981" i="5"/>
  <c r="R981" i="5"/>
  <c r="Q981" i="5"/>
  <c r="P981" i="5"/>
  <c r="O981" i="5"/>
  <c r="N981" i="5"/>
  <c r="M981" i="5"/>
  <c r="L981" i="5"/>
  <c r="AD980" i="5"/>
  <c r="AC980" i="5"/>
  <c r="AB980" i="5"/>
  <c r="AA980" i="5"/>
  <c r="Z980" i="5"/>
  <c r="Y980" i="5"/>
  <c r="X980" i="5"/>
  <c r="W980" i="5"/>
  <c r="V980" i="5"/>
  <c r="U980" i="5"/>
  <c r="T980" i="5"/>
  <c r="S980" i="5"/>
  <c r="R980" i="5"/>
  <c r="Q980" i="5"/>
  <c r="P980" i="5"/>
  <c r="O980" i="5"/>
  <c r="N980" i="5"/>
  <c r="M980" i="5"/>
  <c r="L980" i="5"/>
  <c r="AD979" i="5"/>
  <c r="AC979" i="5"/>
  <c r="AB979" i="5"/>
  <c r="AA979" i="5"/>
  <c r="Z979" i="5"/>
  <c r="Y979" i="5"/>
  <c r="X979" i="5"/>
  <c r="W979" i="5"/>
  <c r="V979" i="5"/>
  <c r="U979" i="5"/>
  <c r="T979" i="5"/>
  <c r="S979" i="5"/>
  <c r="R979" i="5"/>
  <c r="Q979" i="5"/>
  <c r="P979" i="5"/>
  <c r="O979" i="5"/>
  <c r="N979" i="5"/>
  <c r="M979" i="5"/>
  <c r="L979" i="5"/>
  <c r="AD978" i="5"/>
  <c r="AC978" i="5"/>
  <c r="AB978" i="5"/>
  <c r="AA978" i="5"/>
  <c r="Z978" i="5"/>
  <c r="Y978" i="5"/>
  <c r="X978" i="5"/>
  <c r="W978" i="5"/>
  <c r="V978" i="5"/>
  <c r="U978" i="5"/>
  <c r="T978" i="5"/>
  <c r="S978" i="5"/>
  <c r="R978" i="5"/>
  <c r="Q978" i="5"/>
  <c r="P978" i="5"/>
  <c r="O978" i="5"/>
  <c r="N978" i="5"/>
  <c r="M978" i="5"/>
  <c r="L978" i="5"/>
  <c r="AD977" i="5"/>
  <c r="AC977" i="5"/>
  <c r="AB977" i="5"/>
  <c r="AA977" i="5"/>
  <c r="Z977" i="5"/>
  <c r="Y977" i="5"/>
  <c r="X977" i="5"/>
  <c r="W977" i="5"/>
  <c r="V977" i="5"/>
  <c r="U977" i="5"/>
  <c r="T977" i="5"/>
  <c r="S977" i="5"/>
  <c r="R977" i="5"/>
  <c r="Q977" i="5"/>
  <c r="P977" i="5"/>
  <c r="O977" i="5"/>
  <c r="N977" i="5"/>
  <c r="M977" i="5"/>
  <c r="L977" i="5"/>
  <c r="AD976" i="5"/>
  <c r="AC976" i="5"/>
  <c r="AB976" i="5"/>
  <c r="AA976" i="5"/>
  <c r="Z976" i="5"/>
  <c r="Y976" i="5"/>
  <c r="X976" i="5"/>
  <c r="W976" i="5"/>
  <c r="V976" i="5"/>
  <c r="U976" i="5"/>
  <c r="T976" i="5"/>
  <c r="S976" i="5"/>
  <c r="R976" i="5"/>
  <c r="Q976" i="5"/>
  <c r="P976" i="5"/>
  <c r="O976" i="5"/>
  <c r="N976" i="5"/>
  <c r="M976" i="5"/>
  <c r="L976" i="5"/>
  <c r="AD975" i="5"/>
  <c r="AC975" i="5"/>
  <c r="AB975" i="5"/>
  <c r="AA975" i="5"/>
  <c r="Z975" i="5"/>
  <c r="Y975" i="5"/>
  <c r="X975" i="5"/>
  <c r="W975" i="5"/>
  <c r="V975" i="5"/>
  <c r="U975" i="5"/>
  <c r="T975" i="5"/>
  <c r="S975" i="5"/>
  <c r="R975" i="5"/>
  <c r="Q975" i="5"/>
  <c r="P975" i="5"/>
  <c r="O975" i="5"/>
  <c r="N975" i="5"/>
  <c r="M975" i="5"/>
  <c r="L975" i="5"/>
  <c r="AD974" i="5"/>
  <c r="AC974" i="5"/>
  <c r="AB974" i="5"/>
  <c r="AA974" i="5"/>
  <c r="Z974" i="5"/>
  <c r="Y974" i="5"/>
  <c r="X974" i="5"/>
  <c r="W974" i="5"/>
  <c r="V974" i="5"/>
  <c r="U974" i="5"/>
  <c r="T974" i="5"/>
  <c r="S974" i="5"/>
  <c r="R974" i="5"/>
  <c r="Q974" i="5"/>
  <c r="P974" i="5"/>
  <c r="O974" i="5"/>
  <c r="N974" i="5"/>
  <c r="M974" i="5"/>
  <c r="L974" i="5"/>
  <c r="AD973" i="5"/>
  <c r="AC973" i="5"/>
  <c r="AB973" i="5"/>
  <c r="AA973" i="5"/>
  <c r="Z973" i="5"/>
  <c r="Y973" i="5"/>
  <c r="X973" i="5"/>
  <c r="W973" i="5"/>
  <c r="V973" i="5"/>
  <c r="U973" i="5"/>
  <c r="T973" i="5"/>
  <c r="S973" i="5"/>
  <c r="R973" i="5"/>
  <c r="Q973" i="5"/>
  <c r="P973" i="5"/>
  <c r="O973" i="5"/>
  <c r="N973" i="5"/>
  <c r="M973" i="5"/>
  <c r="L973" i="5"/>
  <c r="AD972" i="5"/>
  <c r="AC972" i="5"/>
  <c r="AB972" i="5"/>
  <c r="AA972" i="5"/>
  <c r="Z972" i="5"/>
  <c r="Y972" i="5"/>
  <c r="X972" i="5"/>
  <c r="W972" i="5"/>
  <c r="V972" i="5"/>
  <c r="U972" i="5"/>
  <c r="T972" i="5"/>
  <c r="S972" i="5"/>
  <c r="R972" i="5"/>
  <c r="Q972" i="5"/>
  <c r="P972" i="5"/>
  <c r="O972" i="5"/>
  <c r="N972" i="5"/>
  <c r="M972" i="5"/>
  <c r="L972" i="5"/>
  <c r="AD971" i="5"/>
  <c r="AC971" i="5"/>
  <c r="AB971" i="5"/>
  <c r="AA971" i="5"/>
  <c r="Z971" i="5"/>
  <c r="Y971" i="5"/>
  <c r="X971" i="5"/>
  <c r="W971" i="5"/>
  <c r="V971" i="5"/>
  <c r="U971" i="5"/>
  <c r="T971" i="5"/>
  <c r="S971" i="5"/>
  <c r="R971" i="5"/>
  <c r="Q971" i="5"/>
  <c r="P971" i="5"/>
  <c r="O971" i="5"/>
  <c r="N971" i="5"/>
  <c r="M971" i="5"/>
  <c r="L971" i="5"/>
  <c r="AD970" i="5"/>
  <c r="AC970" i="5"/>
  <c r="AB970" i="5"/>
  <c r="AA970" i="5"/>
  <c r="Z970" i="5"/>
  <c r="Y970" i="5"/>
  <c r="X970" i="5"/>
  <c r="W970" i="5"/>
  <c r="V970" i="5"/>
  <c r="U970" i="5"/>
  <c r="T970" i="5"/>
  <c r="S970" i="5"/>
  <c r="R970" i="5"/>
  <c r="Q970" i="5"/>
  <c r="P970" i="5"/>
  <c r="O970" i="5"/>
  <c r="N970" i="5"/>
  <c r="M970" i="5"/>
  <c r="L970" i="5"/>
  <c r="AD969" i="5"/>
  <c r="AC969" i="5"/>
  <c r="AB969" i="5"/>
  <c r="AA969" i="5"/>
  <c r="Z969" i="5"/>
  <c r="Y969" i="5"/>
  <c r="X969" i="5"/>
  <c r="W969" i="5"/>
  <c r="V969" i="5"/>
  <c r="U969" i="5"/>
  <c r="T969" i="5"/>
  <c r="S969" i="5"/>
  <c r="R969" i="5"/>
  <c r="Q969" i="5"/>
  <c r="P969" i="5"/>
  <c r="O969" i="5"/>
  <c r="N969" i="5"/>
  <c r="M969" i="5"/>
  <c r="L969" i="5"/>
  <c r="AD968" i="5"/>
  <c r="AC968" i="5"/>
  <c r="AB968" i="5"/>
  <c r="AA968" i="5"/>
  <c r="Z968" i="5"/>
  <c r="Y968" i="5"/>
  <c r="X968" i="5"/>
  <c r="W968" i="5"/>
  <c r="V968" i="5"/>
  <c r="U968" i="5"/>
  <c r="T968" i="5"/>
  <c r="S968" i="5"/>
  <c r="R968" i="5"/>
  <c r="Q968" i="5"/>
  <c r="P968" i="5"/>
  <c r="O968" i="5"/>
  <c r="N968" i="5"/>
  <c r="M968" i="5"/>
  <c r="L968" i="5"/>
  <c r="AD967" i="5"/>
  <c r="AC967" i="5"/>
  <c r="AB967" i="5"/>
  <c r="AA967" i="5"/>
  <c r="Z967" i="5"/>
  <c r="Y967" i="5"/>
  <c r="X967" i="5"/>
  <c r="W967" i="5"/>
  <c r="V967" i="5"/>
  <c r="U967" i="5"/>
  <c r="T967" i="5"/>
  <c r="S967" i="5"/>
  <c r="R967" i="5"/>
  <c r="Q967" i="5"/>
  <c r="P967" i="5"/>
  <c r="O967" i="5"/>
  <c r="N967" i="5"/>
  <c r="M967" i="5"/>
  <c r="L967" i="5"/>
  <c r="AD966" i="5"/>
  <c r="AC966" i="5"/>
  <c r="AB966" i="5"/>
  <c r="AA966" i="5"/>
  <c r="Z966" i="5"/>
  <c r="Y966" i="5"/>
  <c r="X966" i="5"/>
  <c r="W966" i="5"/>
  <c r="V966" i="5"/>
  <c r="U966" i="5"/>
  <c r="T966" i="5"/>
  <c r="S966" i="5"/>
  <c r="R966" i="5"/>
  <c r="Q966" i="5"/>
  <c r="P966" i="5"/>
  <c r="O966" i="5"/>
  <c r="N966" i="5"/>
  <c r="M966" i="5"/>
  <c r="L966" i="5"/>
  <c r="AD965" i="5"/>
  <c r="AC965" i="5"/>
  <c r="AB965" i="5"/>
  <c r="AA965" i="5"/>
  <c r="Z965" i="5"/>
  <c r="Y965" i="5"/>
  <c r="X965" i="5"/>
  <c r="W965" i="5"/>
  <c r="V965" i="5"/>
  <c r="U965" i="5"/>
  <c r="T965" i="5"/>
  <c r="S965" i="5"/>
  <c r="R965" i="5"/>
  <c r="Q965" i="5"/>
  <c r="P965" i="5"/>
  <c r="O965" i="5"/>
  <c r="N965" i="5"/>
  <c r="M965" i="5"/>
  <c r="L965" i="5"/>
  <c r="AD964" i="5"/>
  <c r="AC964" i="5"/>
  <c r="AB964" i="5"/>
  <c r="AA964" i="5"/>
  <c r="Z964" i="5"/>
  <c r="Y964" i="5"/>
  <c r="X964" i="5"/>
  <c r="W964" i="5"/>
  <c r="V964" i="5"/>
  <c r="U964" i="5"/>
  <c r="T964" i="5"/>
  <c r="S964" i="5"/>
  <c r="R964" i="5"/>
  <c r="Q964" i="5"/>
  <c r="P964" i="5"/>
  <c r="O964" i="5"/>
  <c r="N964" i="5"/>
  <c r="M964" i="5"/>
  <c r="L964" i="5"/>
  <c r="AD963" i="5"/>
  <c r="AC963" i="5"/>
  <c r="AB963" i="5"/>
  <c r="AA963" i="5"/>
  <c r="Z963" i="5"/>
  <c r="Y963" i="5"/>
  <c r="X963" i="5"/>
  <c r="W963" i="5"/>
  <c r="V963" i="5"/>
  <c r="U963" i="5"/>
  <c r="T963" i="5"/>
  <c r="S963" i="5"/>
  <c r="R963" i="5"/>
  <c r="Q963" i="5"/>
  <c r="P963" i="5"/>
  <c r="O963" i="5"/>
  <c r="N963" i="5"/>
  <c r="M963" i="5"/>
  <c r="L963" i="5"/>
  <c r="AD962" i="5"/>
  <c r="AC962" i="5"/>
  <c r="AB962" i="5"/>
  <c r="AA962" i="5"/>
  <c r="Z962" i="5"/>
  <c r="Y962" i="5"/>
  <c r="X962" i="5"/>
  <c r="W962" i="5"/>
  <c r="V962" i="5"/>
  <c r="U962" i="5"/>
  <c r="T962" i="5"/>
  <c r="S962" i="5"/>
  <c r="R962" i="5"/>
  <c r="Q962" i="5"/>
  <c r="P962" i="5"/>
  <c r="O962" i="5"/>
  <c r="N962" i="5"/>
  <c r="M962" i="5"/>
  <c r="L962" i="5"/>
  <c r="AD961" i="5"/>
  <c r="AC961" i="5"/>
  <c r="AB961" i="5"/>
  <c r="AA961" i="5"/>
  <c r="Z961" i="5"/>
  <c r="Y961" i="5"/>
  <c r="X961" i="5"/>
  <c r="W961" i="5"/>
  <c r="V961" i="5"/>
  <c r="U961" i="5"/>
  <c r="T961" i="5"/>
  <c r="S961" i="5"/>
  <c r="R961" i="5"/>
  <c r="Q961" i="5"/>
  <c r="P961" i="5"/>
  <c r="O961" i="5"/>
  <c r="N961" i="5"/>
  <c r="M961" i="5"/>
  <c r="L961" i="5"/>
  <c r="AD960" i="5"/>
  <c r="AC960" i="5"/>
  <c r="AB960" i="5"/>
  <c r="AA960" i="5"/>
  <c r="Z960" i="5"/>
  <c r="Y960" i="5"/>
  <c r="X960" i="5"/>
  <c r="W960" i="5"/>
  <c r="V960" i="5"/>
  <c r="U960" i="5"/>
  <c r="T960" i="5"/>
  <c r="S960" i="5"/>
  <c r="R960" i="5"/>
  <c r="Q960" i="5"/>
  <c r="P960" i="5"/>
  <c r="O960" i="5"/>
  <c r="N960" i="5"/>
  <c r="M960" i="5"/>
  <c r="L960" i="5"/>
  <c r="AD959" i="5"/>
  <c r="AC959" i="5"/>
  <c r="AB959" i="5"/>
  <c r="AA959" i="5"/>
  <c r="Z959" i="5"/>
  <c r="Y959" i="5"/>
  <c r="X959" i="5"/>
  <c r="W959" i="5"/>
  <c r="V959" i="5"/>
  <c r="U959" i="5"/>
  <c r="T959" i="5"/>
  <c r="S959" i="5"/>
  <c r="R959" i="5"/>
  <c r="Q959" i="5"/>
  <c r="P959" i="5"/>
  <c r="O959" i="5"/>
  <c r="N959" i="5"/>
  <c r="M959" i="5"/>
  <c r="L959" i="5"/>
  <c r="AD958" i="5"/>
  <c r="AC958" i="5"/>
  <c r="AB958" i="5"/>
  <c r="AA958" i="5"/>
  <c r="Z958" i="5"/>
  <c r="Y958" i="5"/>
  <c r="X958" i="5"/>
  <c r="W958" i="5"/>
  <c r="V958" i="5"/>
  <c r="U958" i="5"/>
  <c r="T958" i="5"/>
  <c r="S958" i="5"/>
  <c r="R958" i="5"/>
  <c r="Q958" i="5"/>
  <c r="P958" i="5"/>
  <c r="O958" i="5"/>
  <c r="N958" i="5"/>
  <c r="M958" i="5"/>
  <c r="L958" i="5"/>
  <c r="AD957" i="5"/>
  <c r="AC957" i="5"/>
  <c r="AB957" i="5"/>
  <c r="AA957" i="5"/>
  <c r="Z957" i="5"/>
  <c r="Y957" i="5"/>
  <c r="X957" i="5"/>
  <c r="W957" i="5"/>
  <c r="V957" i="5"/>
  <c r="U957" i="5"/>
  <c r="T957" i="5"/>
  <c r="S957" i="5"/>
  <c r="R957" i="5"/>
  <c r="Q957" i="5"/>
  <c r="P957" i="5"/>
  <c r="O957" i="5"/>
  <c r="N957" i="5"/>
  <c r="M957" i="5"/>
  <c r="L957" i="5"/>
  <c r="AD956" i="5"/>
  <c r="AC956" i="5"/>
  <c r="AB956" i="5"/>
  <c r="AA956" i="5"/>
  <c r="Z956" i="5"/>
  <c r="Y956" i="5"/>
  <c r="X956" i="5"/>
  <c r="W956" i="5"/>
  <c r="V956" i="5"/>
  <c r="U956" i="5"/>
  <c r="T956" i="5"/>
  <c r="S956" i="5"/>
  <c r="R956" i="5"/>
  <c r="Q956" i="5"/>
  <c r="P956" i="5"/>
  <c r="O956" i="5"/>
  <c r="N956" i="5"/>
  <c r="M956" i="5"/>
  <c r="L956" i="5"/>
  <c r="AD955" i="5"/>
  <c r="AC955" i="5"/>
  <c r="AB955" i="5"/>
  <c r="AA955" i="5"/>
  <c r="Z955" i="5"/>
  <c r="Y955" i="5"/>
  <c r="X955" i="5"/>
  <c r="W955" i="5"/>
  <c r="V955" i="5"/>
  <c r="U955" i="5"/>
  <c r="T955" i="5"/>
  <c r="S955" i="5"/>
  <c r="R955" i="5"/>
  <c r="Q955" i="5"/>
  <c r="P955" i="5"/>
  <c r="O955" i="5"/>
  <c r="N955" i="5"/>
  <c r="M955" i="5"/>
  <c r="L955" i="5"/>
  <c r="AD954" i="5"/>
  <c r="AC954" i="5"/>
  <c r="AB954" i="5"/>
  <c r="AA954" i="5"/>
  <c r="Z954" i="5"/>
  <c r="Y954" i="5"/>
  <c r="X954" i="5"/>
  <c r="W954" i="5"/>
  <c r="V954" i="5"/>
  <c r="U954" i="5"/>
  <c r="T954" i="5"/>
  <c r="S954" i="5"/>
  <c r="R954" i="5"/>
  <c r="Q954" i="5"/>
  <c r="P954" i="5"/>
  <c r="O954" i="5"/>
  <c r="N954" i="5"/>
  <c r="M954" i="5"/>
  <c r="L954" i="5"/>
  <c r="AD953" i="5"/>
  <c r="AC953" i="5"/>
  <c r="AB953" i="5"/>
  <c r="AA953" i="5"/>
  <c r="Z953" i="5"/>
  <c r="Y953" i="5"/>
  <c r="X953" i="5"/>
  <c r="W953" i="5"/>
  <c r="V953" i="5"/>
  <c r="U953" i="5"/>
  <c r="T953" i="5"/>
  <c r="S953" i="5"/>
  <c r="R953" i="5"/>
  <c r="Q953" i="5"/>
  <c r="P953" i="5"/>
  <c r="O953" i="5"/>
  <c r="N953" i="5"/>
  <c r="M953" i="5"/>
  <c r="L953" i="5"/>
  <c r="AD952" i="5"/>
  <c r="AC952" i="5"/>
  <c r="AB952" i="5"/>
  <c r="AA952" i="5"/>
  <c r="Z952" i="5"/>
  <c r="Y952" i="5"/>
  <c r="X952" i="5"/>
  <c r="W952" i="5"/>
  <c r="V952" i="5"/>
  <c r="U952" i="5"/>
  <c r="T952" i="5"/>
  <c r="S952" i="5"/>
  <c r="R952" i="5"/>
  <c r="Q952" i="5"/>
  <c r="P952" i="5"/>
  <c r="O952" i="5"/>
  <c r="N952" i="5"/>
  <c r="M952" i="5"/>
  <c r="L952" i="5"/>
  <c r="AD951" i="5"/>
  <c r="AC951" i="5"/>
  <c r="AB951" i="5"/>
  <c r="AA951" i="5"/>
  <c r="Z951" i="5"/>
  <c r="Y951" i="5"/>
  <c r="X951" i="5"/>
  <c r="W951" i="5"/>
  <c r="V951" i="5"/>
  <c r="U951" i="5"/>
  <c r="T951" i="5"/>
  <c r="S951" i="5"/>
  <c r="R951" i="5"/>
  <c r="Q951" i="5"/>
  <c r="P951" i="5"/>
  <c r="O951" i="5"/>
  <c r="N951" i="5"/>
  <c r="M951" i="5"/>
  <c r="L951" i="5"/>
  <c r="AD950" i="5"/>
  <c r="AC950" i="5"/>
  <c r="AB950" i="5"/>
  <c r="AA950" i="5"/>
  <c r="Z950" i="5"/>
  <c r="Y950" i="5"/>
  <c r="X950" i="5"/>
  <c r="W950" i="5"/>
  <c r="V950" i="5"/>
  <c r="U950" i="5"/>
  <c r="T950" i="5"/>
  <c r="S950" i="5"/>
  <c r="R950" i="5"/>
  <c r="Q950" i="5"/>
  <c r="P950" i="5"/>
  <c r="O950" i="5"/>
  <c r="N950" i="5"/>
  <c r="M950" i="5"/>
  <c r="L950" i="5"/>
  <c r="AD949" i="5"/>
  <c r="AC949" i="5"/>
  <c r="AB949" i="5"/>
  <c r="AA949" i="5"/>
  <c r="Z949" i="5"/>
  <c r="Y949" i="5"/>
  <c r="X949" i="5"/>
  <c r="W949" i="5"/>
  <c r="V949" i="5"/>
  <c r="U949" i="5"/>
  <c r="T949" i="5"/>
  <c r="S949" i="5"/>
  <c r="R949" i="5"/>
  <c r="Q949" i="5"/>
  <c r="P949" i="5"/>
  <c r="O949" i="5"/>
  <c r="N949" i="5"/>
  <c r="M949" i="5"/>
  <c r="L949" i="5"/>
  <c r="AD948" i="5"/>
  <c r="AC948" i="5"/>
  <c r="AB948" i="5"/>
  <c r="AA948" i="5"/>
  <c r="Z948" i="5"/>
  <c r="Y948" i="5"/>
  <c r="X948" i="5"/>
  <c r="W948" i="5"/>
  <c r="V948" i="5"/>
  <c r="U948" i="5"/>
  <c r="T948" i="5"/>
  <c r="S948" i="5"/>
  <c r="R948" i="5"/>
  <c r="Q948" i="5"/>
  <c r="P948" i="5"/>
  <c r="O948" i="5"/>
  <c r="N948" i="5"/>
  <c r="M948" i="5"/>
  <c r="L948" i="5"/>
  <c r="AD947" i="5"/>
  <c r="AC947" i="5"/>
  <c r="AB947" i="5"/>
  <c r="AA947" i="5"/>
  <c r="Z947" i="5"/>
  <c r="Y947" i="5"/>
  <c r="X947" i="5"/>
  <c r="W947" i="5"/>
  <c r="V947" i="5"/>
  <c r="U947" i="5"/>
  <c r="T947" i="5"/>
  <c r="S947" i="5"/>
  <c r="R947" i="5"/>
  <c r="Q947" i="5"/>
  <c r="P947" i="5"/>
  <c r="O947" i="5"/>
  <c r="N947" i="5"/>
  <c r="M947" i="5"/>
  <c r="L947" i="5"/>
  <c r="AD946" i="5"/>
  <c r="AC946" i="5"/>
  <c r="AB946" i="5"/>
  <c r="AA946" i="5"/>
  <c r="Z946" i="5"/>
  <c r="Y946" i="5"/>
  <c r="X946" i="5"/>
  <c r="W946" i="5"/>
  <c r="V946" i="5"/>
  <c r="U946" i="5"/>
  <c r="T946" i="5"/>
  <c r="S946" i="5"/>
  <c r="R946" i="5"/>
  <c r="Q946" i="5"/>
  <c r="P946" i="5"/>
  <c r="O946" i="5"/>
  <c r="N946" i="5"/>
  <c r="M946" i="5"/>
  <c r="L946" i="5"/>
  <c r="AD945" i="5"/>
  <c r="AC945" i="5"/>
  <c r="AB945" i="5"/>
  <c r="AA945" i="5"/>
  <c r="Z945" i="5"/>
  <c r="Y945" i="5"/>
  <c r="X945" i="5"/>
  <c r="W945" i="5"/>
  <c r="V945" i="5"/>
  <c r="U945" i="5"/>
  <c r="T945" i="5"/>
  <c r="S945" i="5"/>
  <c r="R945" i="5"/>
  <c r="Q945" i="5"/>
  <c r="P945" i="5"/>
  <c r="O945" i="5"/>
  <c r="N945" i="5"/>
  <c r="M945" i="5"/>
  <c r="L945" i="5"/>
  <c r="AD944" i="5"/>
  <c r="AC944" i="5"/>
  <c r="AB944" i="5"/>
  <c r="AA944" i="5"/>
  <c r="Z944" i="5"/>
  <c r="Y944" i="5"/>
  <c r="X944" i="5"/>
  <c r="W944" i="5"/>
  <c r="V944" i="5"/>
  <c r="U944" i="5"/>
  <c r="T944" i="5"/>
  <c r="S944" i="5"/>
  <c r="R944" i="5"/>
  <c r="Q944" i="5"/>
  <c r="P944" i="5"/>
  <c r="O944" i="5"/>
  <c r="N944" i="5"/>
  <c r="M944" i="5"/>
  <c r="L944" i="5"/>
  <c r="AD943" i="5"/>
  <c r="AC943" i="5"/>
  <c r="AB943" i="5"/>
  <c r="AA943" i="5"/>
  <c r="Z943" i="5"/>
  <c r="Y943" i="5"/>
  <c r="X943" i="5"/>
  <c r="W943" i="5"/>
  <c r="V943" i="5"/>
  <c r="U943" i="5"/>
  <c r="T943" i="5"/>
  <c r="S943" i="5"/>
  <c r="R943" i="5"/>
  <c r="Q943" i="5"/>
  <c r="P943" i="5"/>
  <c r="O943" i="5"/>
  <c r="N943" i="5"/>
  <c r="M943" i="5"/>
  <c r="L943" i="5"/>
  <c r="AD942" i="5"/>
  <c r="AC942" i="5"/>
  <c r="AB942" i="5"/>
  <c r="AA942" i="5"/>
  <c r="Z942" i="5"/>
  <c r="Y942" i="5"/>
  <c r="X942" i="5"/>
  <c r="W942" i="5"/>
  <c r="V942" i="5"/>
  <c r="U942" i="5"/>
  <c r="T942" i="5"/>
  <c r="S942" i="5"/>
  <c r="R942" i="5"/>
  <c r="Q942" i="5"/>
  <c r="P942" i="5"/>
  <c r="O942" i="5"/>
  <c r="N942" i="5"/>
  <c r="M942" i="5"/>
  <c r="L942" i="5"/>
  <c r="AD941" i="5"/>
  <c r="AC941" i="5"/>
  <c r="AB941" i="5"/>
  <c r="AA941" i="5"/>
  <c r="Z941" i="5"/>
  <c r="Y941" i="5"/>
  <c r="X941" i="5"/>
  <c r="W941" i="5"/>
  <c r="V941" i="5"/>
  <c r="U941" i="5"/>
  <c r="T941" i="5"/>
  <c r="S941" i="5"/>
  <c r="R941" i="5"/>
  <c r="Q941" i="5"/>
  <c r="P941" i="5"/>
  <c r="O941" i="5"/>
  <c r="N941" i="5"/>
  <c r="M941" i="5"/>
  <c r="L941" i="5"/>
  <c r="AD940" i="5"/>
  <c r="AC940" i="5"/>
  <c r="AB940" i="5"/>
  <c r="AA940" i="5"/>
  <c r="Z940" i="5"/>
  <c r="Y940" i="5"/>
  <c r="X940" i="5"/>
  <c r="W940" i="5"/>
  <c r="V940" i="5"/>
  <c r="U940" i="5"/>
  <c r="T940" i="5"/>
  <c r="S940" i="5"/>
  <c r="R940" i="5"/>
  <c r="Q940" i="5"/>
  <c r="P940" i="5"/>
  <c r="O940" i="5"/>
  <c r="N940" i="5"/>
  <c r="M940" i="5"/>
  <c r="L940" i="5"/>
  <c r="AD939" i="5"/>
  <c r="AC939" i="5"/>
  <c r="AB939" i="5"/>
  <c r="AA939" i="5"/>
  <c r="Z939" i="5"/>
  <c r="Y939" i="5"/>
  <c r="X939" i="5"/>
  <c r="W939" i="5"/>
  <c r="V939" i="5"/>
  <c r="U939" i="5"/>
  <c r="T939" i="5"/>
  <c r="S939" i="5"/>
  <c r="R939" i="5"/>
  <c r="Q939" i="5"/>
  <c r="P939" i="5"/>
  <c r="O939" i="5"/>
  <c r="N939" i="5"/>
  <c r="M939" i="5"/>
  <c r="L939" i="5"/>
  <c r="AD938" i="5"/>
  <c r="AC938" i="5"/>
  <c r="AB938" i="5"/>
  <c r="AA938" i="5"/>
  <c r="Z938" i="5"/>
  <c r="Y938" i="5"/>
  <c r="X938" i="5"/>
  <c r="W938" i="5"/>
  <c r="V938" i="5"/>
  <c r="U938" i="5"/>
  <c r="T938" i="5"/>
  <c r="S938" i="5"/>
  <c r="R938" i="5"/>
  <c r="Q938" i="5"/>
  <c r="P938" i="5"/>
  <c r="O938" i="5"/>
  <c r="N938" i="5"/>
  <c r="M938" i="5"/>
  <c r="L938" i="5"/>
  <c r="AD937" i="5"/>
  <c r="AC937" i="5"/>
  <c r="AB937" i="5"/>
  <c r="AA937" i="5"/>
  <c r="Z937" i="5"/>
  <c r="Y937" i="5"/>
  <c r="X937" i="5"/>
  <c r="W937" i="5"/>
  <c r="V937" i="5"/>
  <c r="U937" i="5"/>
  <c r="T937" i="5"/>
  <c r="S937" i="5"/>
  <c r="R937" i="5"/>
  <c r="Q937" i="5"/>
  <c r="P937" i="5"/>
  <c r="O937" i="5"/>
  <c r="N937" i="5"/>
  <c r="M937" i="5"/>
  <c r="L937" i="5"/>
  <c r="AD936" i="5"/>
  <c r="AC936" i="5"/>
  <c r="AB936" i="5"/>
  <c r="AA936" i="5"/>
  <c r="Z936" i="5"/>
  <c r="Y936" i="5"/>
  <c r="X936" i="5"/>
  <c r="W936" i="5"/>
  <c r="V936" i="5"/>
  <c r="U936" i="5"/>
  <c r="T936" i="5"/>
  <c r="S936" i="5"/>
  <c r="R936" i="5"/>
  <c r="Q936" i="5"/>
  <c r="P936" i="5"/>
  <c r="O936" i="5"/>
  <c r="N936" i="5"/>
  <c r="M936" i="5"/>
  <c r="L936" i="5"/>
  <c r="AD935" i="5"/>
  <c r="AC935" i="5"/>
  <c r="AB935" i="5"/>
  <c r="AA935" i="5"/>
  <c r="Z935" i="5"/>
  <c r="Y935" i="5"/>
  <c r="X935" i="5"/>
  <c r="W935" i="5"/>
  <c r="V935" i="5"/>
  <c r="U935" i="5"/>
  <c r="T935" i="5"/>
  <c r="S935" i="5"/>
  <c r="R935" i="5"/>
  <c r="Q935" i="5"/>
  <c r="P935" i="5"/>
  <c r="O935" i="5"/>
  <c r="N935" i="5"/>
  <c r="M935" i="5"/>
  <c r="L935" i="5"/>
  <c r="AD934" i="5"/>
  <c r="AC934" i="5"/>
  <c r="AB934" i="5"/>
  <c r="AA934" i="5"/>
  <c r="Z934" i="5"/>
  <c r="Y934" i="5"/>
  <c r="X934" i="5"/>
  <c r="W934" i="5"/>
  <c r="V934" i="5"/>
  <c r="U934" i="5"/>
  <c r="T934" i="5"/>
  <c r="S934" i="5"/>
  <c r="R934" i="5"/>
  <c r="Q934" i="5"/>
  <c r="P934" i="5"/>
  <c r="O934" i="5"/>
  <c r="N934" i="5"/>
  <c r="M934" i="5"/>
  <c r="L934" i="5"/>
  <c r="AD933" i="5"/>
  <c r="AC933" i="5"/>
  <c r="AB933" i="5"/>
  <c r="AA933" i="5"/>
  <c r="Z933" i="5"/>
  <c r="Y933" i="5"/>
  <c r="X933" i="5"/>
  <c r="W933" i="5"/>
  <c r="V933" i="5"/>
  <c r="U933" i="5"/>
  <c r="T933" i="5"/>
  <c r="S933" i="5"/>
  <c r="R933" i="5"/>
  <c r="Q933" i="5"/>
  <c r="P933" i="5"/>
  <c r="O933" i="5"/>
  <c r="N933" i="5"/>
  <c r="M933" i="5"/>
  <c r="L933" i="5"/>
  <c r="AD932" i="5"/>
  <c r="AC932" i="5"/>
  <c r="AB932" i="5"/>
  <c r="AA932" i="5"/>
  <c r="Z932" i="5"/>
  <c r="Y932" i="5"/>
  <c r="X932" i="5"/>
  <c r="W932" i="5"/>
  <c r="V932" i="5"/>
  <c r="U932" i="5"/>
  <c r="T932" i="5"/>
  <c r="S932" i="5"/>
  <c r="R932" i="5"/>
  <c r="Q932" i="5"/>
  <c r="P932" i="5"/>
  <c r="O932" i="5"/>
  <c r="N932" i="5"/>
  <c r="M932" i="5"/>
  <c r="L932" i="5"/>
  <c r="AD931" i="5"/>
  <c r="AC931" i="5"/>
  <c r="AB931" i="5"/>
  <c r="AA931" i="5"/>
  <c r="Z931" i="5"/>
  <c r="Y931" i="5"/>
  <c r="X931" i="5"/>
  <c r="W931" i="5"/>
  <c r="V931" i="5"/>
  <c r="U931" i="5"/>
  <c r="T931" i="5"/>
  <c r="S931" i="5"/>
  <c r="R931" i="5"/>
  <c r="Q931" i="5"/>
  <c r="P931" i="5"/>
  <c r="O931" i="5"/>
  <c r="N931" i="5"/>
  <c r="M931" i="5"/>
  <c r="L931" i="5"/>
  <c r="AD930" i="5"/>
  <c r="AC930" i="5"/>
  <c r="AB930" i="5"/>
  <c r="AA930" i="5"/>
  <c r="Z930" i="5"/>
  <c r="Y930" i="5"/>
  <c r="X930" i="5"/>
  <c r="W930" i="5"/>
  <c r="V930" i="5"/>
  <c r="U930" i="5"/>
  <c r="T930" i="5"/>
  <c r="S930" i="5"/>
  <c r="R930" i="5"/>
  <c r="Q930" i="5"/>
  <c r="P930" i="5"/>
  <c r="O930" i="5"/>
  <c r="N930" i="5"/>
  <c r="M930" i="5"/>
  <c r="L930" i="5"/>
  <c r="AD929" i="5"/>
  <c r="AC929" i="5"/>
  <c r="AB929" i="5"/>
  <c r="AA929" i="5"/>
  <c r="Z929" i="5"/>
  <c r="Y929" i="5"/>
  <c r="X929" i="5"/>
  <c r="W929" i="5"/>
  <c r="V929" i="5"/>
  <c r="U929" i="5"/>
  <c r="T929" i="5"/>
  <c r="S929" i="5"/>
  <c r="R929" i="5"/>
  <c r="Q929" i="5"/>
  <c r="P929" i="5"/>
  <c r="O929" i="5"/>
  <c r="N929" i="5"/>
  <c r="M929" i="5"/>
  <c r="L929" i="5"/>
  <c r="AD928" i="5"/>
  <c r="AC928" i="5"/>
  <c r="AB928" i="5"/>
  <c r="AA928" i="5"/>
  <c r="Z928" i="5"/>
  <c r="Y928" i="5"/>
  <c r="X928" i="5"/>
  <c r="W928" i="5"/>
  <c r="V928" i="5"/>
  <c r="U928" i="5"/>
  <c r="T928" i="5"/>
  <c r="S928" i="5"/>
  <c r="R928" i="5"/>
  <c r="Q928" i="5"/>
  <c r="P928" i="5"/>
  <c r="O928" i="5"/>
  <c r="N928" i="5"/>
  <c r="M928" i="5"/>
  <c r="L928" i="5"/>
  <c r="AD927" i="5"/>
  <c r="AC927" i="5"/>
  <c r="AB927" i="5"/>
  <c r="AA927" i="5"/>
  <c r="Z927" i="5"/>
  <c r="Y927" i="5"/>
  <c r="X927" i="5"/>
  <c r="W927" i="5"/>
  <c r="V927" i="5"/>
  <c r="U927" i="5"/>
  <c r="T927" i="5"/>
  <c r="S927" i="5"/>
  <c r="R927" i="5"/>
  <c r="Q927" i="5"/>
  <c r="P927" i="5"/>
  <c r="O927" i="5"/>
  <c r="N927" i="5"/>
  <c r="M927" i="5"/>
  <c r="L927" i="5"/>
  <c r="AD926" i="5"/>
  <c r="AC926" i="5"/>
  <c r="AB926" i="5"/>
  <c r="AA926" i="5"/>
  <c r="Z926" i="5"/>
  <c r="Y926" i="5"/>
  <c r="X926" i="5"/>
  <c r="W926" i="5"/>
  <c r="V926" i="5"/>
  <c r="U926" i="5"/>
  <c r="T926" i="5"/>
  <c r="S926" i="5"/>
  <c r="R926" i="5"/>
  <c r="Q926" i="5"/>
  <c r="P926" i="5"/>
  <c r="O926" i="5"/>
  <c r="N926" i="5"/>
  <c r="M926" i="5"/>
  <c r="L926" i="5"/>
  <c r="AD925" i="5"/>
  <c r="AC925" i="5"/>
  <c r="AB925" i="5"/>
  <c r="AA925" i="5"/>
  <c r="Z925" i="5"/>
  <c r="Y925" i="5"/>
  <c r="X925" i="5"/>
  <c r="W925" i="5"/>
  <c r="V925" i="5"/>
  <c r="U925" i="5"/>
  <c r="T925" i="5"/>
  <c r="S925" i="5"/>
  <c r="R925" i="5"/>
  <c r="Q925" i="5"/>
  <c r="P925" i="5"/>
  <c r="O925" i="5"/>
  <c r="N925" i="5"/>
  <c r="M925" i="5"/>
  <c r="L925" i="5"/>
  <c r="AD924" i="5"/>
  <c r="AC924" i="5"/>
  <c r="AB924" i="5"/>
  <c r="AA924" i="5"/>
  <c r="Z924" i="5"/>
  <c r="Y924" i="5"/>
  <c r="X924" i="5"/>
  <c r="W924" i="5"/>
  <c r="V924" i="5"/>
  <c r="U924" i="5"/>
  <c r="T924" i="5"/>
  <c r="S924" i="5"/>
  <c r="R924" i="5"/>
  <c r="Q924" i="5"/>
  <c r="P924" i="5"/>
  <c r="O924" i="5"/>
  <c r="N924" i="5"/>
  <c r="M924" i="5"/>
  <c r="L924" i="5"/>
  <c r="AD923" i="5"/>
  <c r="AC923" i="5"/>
  <c r="AB923" i="5"/>
  <c r="AA923" i="5"/>
  <c r="Z923" i="5"/>
  <c r="Y923" i="5"/>
  <c r="X923" i="5"/>
  <c r="W923" i="5"/>
  <c r="V923" i="5"/>
  <c r="U923" i="5"/>
  <c r="T923" i="5"/>
  <c r="S923" i="5"/>
  <c r="R923" i="5"/>
  <c r="Q923" i="5"/>
  <c r="P923" i="5"/>
  <c r="O923" i="5"/>
  <c r="N923" i="5"/>
  <c r="M923" i="5"/>
  <c r="L923" i="5"/>
  <c r="AD922" i="5"/>
  <c r="AC922" i="5"/>
  <c r="AB922" i="5"/>
  <c r="AA922" i="5"/>
  <c r="Z922" i="5"/>
  <c r="Y922" i="5"/>
  <c r="X922" i="5"/>
  <c r="W922" i="5"/>
  <c r="V922" i="5"/>
  <c r="U922" i="5"/>
  <c r="T922" i="5"/>
  <c r="S922" i="5"/>
  <c r="R922" i="5"/>
  <c r="Q922" i="5"/>
  <c r="P922" i="5"/>
  <c r="O922" i="5"/>
  <c r="N922" i="5"/>
  <c r="M922" i="5"/>
  <c r="L922" i="5"/>
  <c r="AD921" i="5"/>
  <c r="AC921" i="5"/>
  <c r="AB921" i="5"/>
  <c r="AA921" i="5"/>
  <c r="Z921" i="5"/>
  <c r="Y921" i="5"/>
  <c r="X921" i="5"/>
  <c r="W921" i="5"/>
  <c r="V921" i="5"/>
  <c r="U921" i="5"/>
  <c r="T921" i="5"/>
  <c r="S921" i="5"/>
  <c r="R921" i="5"/>
  <c r="Q921" i="5"/>
  <c r="P921" i="5"/>
  <c r="O921" i="5"/>
  <c r="N921" i="5"/>
  <c r="M921" i="5"/>
  <c r="L921" i="5"/>
  <c r="AD920" i="5"/>
  <c r="AC920" i="5"/>
  <c r="AB920" i="5"/>
  <c r="AA920" i="5"/>
  <c r="Z920" i="5"/>
  <c r="Y920" i="5"/>
  <c r="X920" i="5"/>
  <c r="W920" i="5"/>
  <c r="V920" i="5"/>
  <c r="U920" i="5"/>
  <c r="T920" i="5"/>
  <c r="S920" i="5"/>
  <c r="R920" i="5"/>
  <c r="Q920" i="5"/>
  <c r="P920" i="5"/>
  <c r="O920" i="5"/>
  <c r="N920" i="5"/>
  <c r="M920" i="5"/>
  <c r="L920" i="5"/>
  <c r="AD919" i="5"/>
  <c r="AC919" i="5"/>
  <c r="AB919" i="5"/>
  <c r="AA919" i="5"/>
  <c r="Z919" i="5"/>
  <c r="Y919" i="5"/>
  <c r="X919" i="5"/>
  <c r="W919" i="5"/>
  <c r="V919" i="5"/>
  <c r="U919" i="5"/>
  <c r="T919" i="5"/>
  <c r="S919" i="5"/>
  <c r="R919" i="5"/>
  <c r="Q919" i="5"/>
  <c r="P919" i="5"/>
  <c r="O919" i="5"/>
  <c r="N919" i="5"/>
  <c r="M919" i="5"/>
  <c r="L919" i="5"/>
  <c r="AD918" i="5"/>
  <c r="AC918" i="5"/>
  <c r="AB918" i="5"/>
  <c r="AA918" i="5"/>
  <c r="Z918" i="5"/>
  <c r="Y918" i="5"/>
  <c r="X918" i="5"/>
  <c r="W918" i="5"/>
  <c r="V918" i="5"/>
  <c r="U918" i="5"/>
  <c r="T918" i="5"/>
  <c r="S918" i="5"/>
  <c r="R918" i="5"/>
  <c r="Q918" i="5"/>
  <c r="P918" i="5"/>
  <c r="O918" i="5"/>
  <c r="N918" i="5"/>
  <c r="M918" i="5"/>
  <c r="L918" i="5"/>
  <c r="AD917" i="5"/>
  <c r="AC917" i="5"/>
  <c r="AB917" i="5"/>
  <c r="AA917" i="5"/>
  <c r="Z917" i="5"/>
  <c r="Y917" i="5"/>
  <c r="X917" i="5"/>
  <c r="W917" i="5"/>
  <c r="V917" i="5"/>
  <c r="U917" i="5"/>
  <c r="T917" i="5"/>
  <c r="S917" i="5"/>
  <c r="R917" i="5"/>
  <c r="Q917" i="5"/>
  <c r="P917" i="5"/>
  <c r="O917" i="5"/>
  <c r="N917" i="5"/>
  <c r="M917" i="5"/>
  <c r="L917" i="5"/>
  <c r="AD916" i="5"/>
  <c r="AC916" i="5"/>
  <c r="AB916" i="5"/>
  <c r="AA916" i="5"/>
  <c r="Z916" i="5"/>
  <c r="Y916" i="5"/>
  <c r="X916" i="5"/>
  <c r="W916" i="5"/>
  <c r="V916" i="5"/>
  <c r="U916" i="5"/>
  <c r="T916" i="5"/>
  <c r="S916" i="5"/>
  <c r="R916" i="5"/>
  <c r="Q916" i="5"/>
  <c r="P916" i="5"/>
  <c r="O916" i="5"/>
  <c r="N916" i="5"/>
  <c r="M916" i="5"/>
  <c r="L916" i="5"/>
  <c r="AD915" i="5"/>
  <c r="AC915" i="5"/>
  <c r="AB915" i="5"/>
  <c r="AA915" i="5"/>
  <c r="Z915" i="5"/>
  <c r="Y915" i="5"/>
  <c r="X915" i="5"/>
  <c r="W915" i="5"/>
  <c r="V915" i="5"/>
  <c r="U915" i="5"/>
  <c r="T915" i="5"/>
  <c r="S915" i="5"/>
  <c r="R915" i="5"/>
  <c r="Q915" i="5"/>
  <c r="P915" i="5"/>
  <c r="O915" i="5"/>
  <c r="N915" i="5"/>
  <c r="M915" i="5"/>
  <c r="L915" i="5"/>
  <c r="AD914" i="5"/>
  <c r="AC914" i="5"/>
  <c r="AB914" i="5"/>
  <c r="AA914" i="5"/>
  <c r="Z914" i="5"/>
  <c r="Y914" i="5"/>
  <c r="X914" i="5"/>
  <c r="W914" i="5"/>
  <c r="V914" i="5"/>
  <c r="U914" i="5"/>
  <c r="T914" i="5"/>
  <c r="S914" i="5"/>
  <c r="R914" i="5"/>
  <c r="Q914" i="5"/>
  <c r="P914" i="5"/>
  <c r="O914" i="5"/>
  <c r="N914" i="5"/>
  <c r="M914" i="5"/>
  <c r="L914" i="5"/>
  <c r="AD913" i="5"/>
  <c r="AC913" i="5"/>
  <c r="AB913" i="5"/>
  <c r="AA913" i="5"/>
  <c r="Z913" i="5"/>
  <c r="Y913" i="5"/>
  <c r="X913" i="5"/>
  <c r="W913" i="5"/>
  <c r="V913" i="5"/>
  <c r="U913" i="5"/>
  <c r="T913" i="5"/>
  <c r="S913" i="5"/>
  <c r="R913" i="5"/>
  <c r="Q913" i="5"/>
  <c r="P913" i="5"/>
  <c r="O913" i="5"/>
  <c r="N913" i="5"/>
  <c r="M913" i="5"/>
  <c r="L913" i="5"/>
  <c r="AD912" i="5"/>
  <c r="AC912" i="5"/>
  <c r="AB912" i="5"/>
  <c r="AA912" i="5"/>
  <c r="Z912" i="5"/>
  <c r="Y912" i="5"/>
  <c r="X912" i="5"/>
  <c r="W912" i="5"/>
  <c r="V912" i="5"/>
  <c r="U912" i="5"/>
  <c r="T912" i="5"/>
  <c r="S912" i="5"/>
  <c r="R912" i="5"/>
  <c r="Q912" i="5"/>
  <c r="P912" i="5"/>
  <c r="O912" i="5"/>
  <c r="N912" i="5"/>
  <c r="M912" i="5"/>
  <c r="L912" i="5"/>
  <c r="AD911" i="5"/>
  <c r="AC911" i="5"/>
  <c r="AB911" i="5"/>
  <c r="AA911" i="5"/>
  <c r="Z911" i="5"/>
  <c r="Y911" i="5"/>
  <c r="X911" i="5"/>
  <c r="W911" i="5"/>
  <c r="V911" i="5"/>
  <c r="U911" i="5"/>
  <c r="T911" i="5"/>
  <c r="S911" i="5"/>
  <c r="R911" i="5"/>
  <c r="Q911" i="5"/>
  <c r="P911" i="5"/>
  <c r="O911" i="5"/>
  <c r="N911" i="5"/>
  <c r="M911" i="5"/>
  <c r="L911" i="5"/>
  <c r="AD910" i="5"/>
  <c r="AC910" i="5"/>
  <c r="AB910" i="5"/>
  <c r="AA910" i="5"/>
  <c r="Z910" i="5"/>
  <c r="Y910" i="5"/>
  <c r="X910" i="5"/>
  <c r="W910" i="5"/>
  <c r="V910" i="5"/>
  <c r="U910" i="5"/>
  <c r="T910" i="5"/>
  <c r="S910" i="5"/>
  <c r="R910" i="5"/>
  <c r="Q910" i="5"/>
  <c r="P910" i="5"/>
  <c r="O910" i="5"/>
  <c r="N910" i="5"/>
  <c r="M910" i="5"/>
  <c r="L910" i="5"/>
  <c r="AD909" i="5"/>
  <c r="AC909" i="5"/>
  <c r="AB909" i="5"/>
  <c r="AA909" i="5"/>
  <c r="Z909" i="5"/>
  <c r="Y909" i="5"/>
  <c r="X909" i="5"/>
  <c r="W909" i="5"/>
  <c r="V909" i="5"/>
  <c r="U909" i="5"/>
  <c r="T909" i="5"/>
  <c r="S909" i="5"/>
  <c r="R909" i="5"/>
  <c r="Q909" i="5"/>
  <c r="P909" i="5"/>
  <c r="O909" i="5"/>
  <c r="N909" i="5"/>
  <c r="M909" i="5"/>
  <c r="L909" i="5"/>
  <c r="AD908" i="5"/>
  <c r="AC908" i="5"/>
  <c r="AB908" i="5"/>
  <c r="AA908" i="5"/>
  <c r="Z908" i="5"/>
  <c r="Y908" i="5"/>
  <c r="X908" i="5"/>
  <c r="W908" i="5"/>
  <c r="V908" i="5"/>
  <c r="U908" i="5"/>
  <c r="T908" i="5"/>
  <c r="S908" i="5"/>
  <c r="R908" i="5"/>
  <c r="Q908" i="5"/>
  <c r="P908" i="5"/>
  <c r="O908" i="5"/>
  <c r="N908" i="5"/>
  <c r="M908" i="5"/>
  <c r="L908" i="5"/>
  <c r="AD907" i="5"/>
  <c r="AC907" i="5"/>
  <c r="AB907" i="5"/>
  <c r="AA907" i="5"/>
  <c r="Z907" i="5"/>
  <c r="Y907" i="5"/>
  <c r="X907" i="5"/>
  <c r="W907" i="5"/>
  <c r="V907" i="5"/>
  <c r="U907" i="5"/>
  <c r="T907" i="5"/>
  <c r="S907" i="5"/>
  <c r="R907" i="5"/>
  <c r="Q907" i="5"/>
  <c r="P907" i="5"/>
  <c r="O907" i="5"/>
  <c r="N907" i="5"/>
  <c r="M907" i="5"/>
  <c r="L907" i="5"/>
  <c r="AD906" i="5"/>
  <c r="AC906" i="5"/>
  <c r="AB906" i="5"/>
  <c r="AA906" i="5"/>
  <c r="Z906" i="5"/>
  <c r="Y906" i="5"/>
  <c r="X906" i="5"/>
  <c r="W906" i="5"/>
  <c r="V906" i="5"/>
  <c r="U906" i="5"/>
  <c r="T906" i="5"/>
  <c r="S906" i="5"/>
  <c r="R906" i="5"/>
  <c r="Q906" i="5"/>
  <c r="P906" i="5"/>
  <c r="O906" i="5"/>
  <c r="N906" i="5"/>
  <c r="M906" i="5"/>
  <c r="L906" i="5"/>
  <c r="AD905" i="5"/>
  <c r="AC905" i="5"/>
  <c r="AB905" i="5"/>
  <c r="AA905" i="5"/>
  <c r="Z905" i="5"/>
  <c r="Y905" i="5"/>
  <c r="X905" i="5"/>
  <c r="W905" i="5"/>
  <c r="V905" i="5"/>
  <c r="U905" i="5"/>
  <c r="T905" i="5"/>
  <c r="S905" i="5"/>
  <c r="R905" i="5"/>
  <c r="Q905" i="5"/>
  <c r="P905" i="5"/>
  <c r="O905" i="5"/>
  <c r="N905" i="5"/>
  <c r="M905" i="5"/>
  <c r="L905" i="5"/>
  <c r="AD904" i="5"/>
  <c r="AC904" i="5"/>
  <c r="AB904" i="5"/>
  <c r="AA904" i="5"/>
  <c r="Z904" i="5"/>
  <c r="Y904" i="5"/>
  <c r="X904" i="5"/>
  <c r="W904" i="5"/>
  <c r="V904" i="5"/>
  <c r="U904" i="5"/>
  <c r="T904" i="5"/>
  <c r="S904" i="5"/>
  <c r="R904" i="5"/>
  <c r="Q904" i="5"/>
  <c r="P904" i="5"/>
  <c r="O904" i="5"/>
  <c r="N904" i="5"/>
  <c r="M904" i="5"/>
  <c r="L904" i="5"/>
  <c r="AD903" i="5"/>
  <c r="AC903" i="5"/>
  <c r="AB903" i="5"/>
  <c r="AA903" i="5"/>
  <c r="Z903" i="5"/>
  <c r="Y903" i="5"/>
  <c r="X903" i="5"/>
  <c r="W903" i="5"/>
  <c r="V903" i="5"/>
  <c r="U903" i="5"/>
  <c r="T903" i="5"/>
  <c r="S903" i="5"/>
  <c r="R903" i="5"/>
  <c r="Q903" i="5"/>
  <c r="P903" i="5"/>
  <c r="O903" i="5"/>
  <c r="N903" i="5"/>
  <c r="M903" i="5"/>
  <c r="L903" i="5"/>
  <c r="AD902" i="5"/>
  <c r="AC902" i="5"/>
  <c r="AB902" i="5"/>
  <c r="AA902" i="5"/>
  <c r="Z902" i="5"/>
  <c r="Y902" i="5"/>
  <c r="X902" i="5"/>
  <c r="W902" i="5"/>
  <c r="V902" i="5"/>
  <c r="U902" i="5"/>
  <c r="T902" i="5"/>
  <c r="S902" i="5"/>
  <c r="R902" i="5"/>
  <c r="Q902" i="5"/>
  <c r="P902" i="5"/>
  <c r="O902" i="5"/>
  <c r="N902" i="5"/>
  <c r="M902" i="5"/>
  <c r="L902" i="5"/>
  <c r="AD901" i="5"/>
  <c r="AC901" i="5"/>
  <c r="AB901" i="5"/>
  <c r="AA901" i="5"/>
  <c r="Z901" i="5"/>
  <c r="Y901" i="5"/>
  <c r="X901" i="5"/>
  <c r="W901" i="5"/>
  <c r="V901" i="5"/>
  <c r="U901" i="5"/>
  <c r="T901" i="5"/>
  <c r="S901" i="5"/>
  <c r="R901" i="5"/>
  <c r="Q901" i="5"/>
  <c r="P901" i="5"/>
  <c r="O901" i="5"/>
  <c r="N901" i="5"/>
  <c r="M901" i="5"/>
  <c r="L901" i="5"/>
  <c r="AD900" i="5"/>
  <c r="AC900" i="5"/>
  <c r="AB900" i="5"/>
  <c r="AA900" i="5"/>
  <c r="Z900" i="5"/>
  <c r="Y900" i="5"/>
  <c r="X900" i="5"/>
  <c r="W900" i="5"/>
  <c r="V900" i="5"/>
  <c r="U900" i="5"/>
  <c r="T900" i="5"/>
  <c r="S900" i="5"/>
  <c r="R900" i="5"/>
  <c r="Q900" i="5"/>
  <c r="P900" i="5"/>
  <c r="O900" i="5"/>
  <c r="N900" i="5"/>
  <c r="M900" i="5"/>
  <c r="L900" i="5"/>
  <c r="AD899" i="5"/>
  <c r="AC899" i="5"/>
  <c r="AB899" i="5"/>
  <c r="AA899" i="5"/>
  <c r="Z899" i="5"/>
  <c r="Y899" i="5"/>
  <c r="X899" i="5"/>
  <c r="W899" i="5"/>
  <c r="V899" i="5"/>
  <c r="U899" i="5"/>
  <c r="T899" i="5"/>
  <c r="S899" i="5"/>
  <c r="R899" i="5"/>
  <c r="Q899" i="5"/>
  <c r="P899" i="5"/>
  <c r="O899" i="5"/>
  <c r="N899" i="5"/>
  <c r="M899" i="5"/>
  <c r="L899" i="5"/>
  <c r="AD898" i="5"/>
  <c r="AC898" i="5"/>
  <c r="AB898" i="5"/>
  <c r="AA898" i="5"/>
  <c r="Z898" i="5"/>
  <c r="Y898" i="5"/>
  <c r="X898" i="5"/>
  <c r="W898" i="5"/>
  <c r="V898" i="5"/>
  <c r="U898" i="5"/>
  <c r="T898" i="5"/>
  <c r="S898" i="5"/>
  <c r="R898" i="5"/>
  <c r="Q898" i="5"/>
  <c r="P898" i="5"/>
  <c r="O898" i="5"/>
  <c r="N898" i="5"/>
  <c r="M898" i="5"/>
  <c r="L898" i="5"/>
  <c r="AD897" i="5"/>
  <c r="AC897" i="5"/>
  <c r="AB897" i="5"/>
  <c r="AA897" i="5"/>
  <c r="Z897" i="5"/>
  <c r="Y897" i="5"/>
  <c r="X897" i="5"/>
  <c r="W897" i="5"/>
  <c r="V897" i="5"/>
  <c r="U897" i="5"/>
  <c r="T897" i="5"/>
  <c r="S897" i="5"/>
  <c r="R897" i="5"/>
  <c r="Q897" i="5"/>
  <c r="P897" i="5"/>
  <c r="O897" i="5"/>
  <c r="N897" i="5"/>
  <c r="M897" i="5"/>
  <c r="L897" i="5"/>
  <c r="AD896" i="5"/>
  <c r="AC896" i="5"/>
  <c r="AB896" i="5"/>
  <c r="AA896" i="5"/>
  <c r="Z896" i="5"/>
  <c r="Y896" i="5"/>
  <c r="X896" i="5"/>
  <c r="W896" i="5"/>
  <c r="V896" i="5"/>
  <c r="U896" i="5"/>
  <c r="T896" i="5"/>
  <c r="S896" i="5"/>
  <c r="R896" i="5"/>
  <c r="Q896" i="5"/>
  <c r="P896" i="5"/>
  <c r="O896" i="5"/>
  <c r="N896" i="5"/>
  <c r="M896" i="5"/>
  <c r="L896" i="5"/>
  <c r="AD895" i="5"/>
  <c r="AC895" i="5"/>
  <c r="AB895" i="5"/>
  <c r="AA895" i="5"/>
  <c r="Z895" i="5"/>
  <c r="Y895" i="5"/>
  <c r="X895" i="5"/>
  <c r="W895" i="5"/>
  <c r="V895" i="5"/>
  <c r="U895" i="5"/>
  <c r="T895" i="5"/>
  <c r="S895" i="5"/>
  <c r="R895" i="5"/>
  <c r="Q895" i="5"/>
  <c r="P895" i="5"/>
  <c r="O895" i="5"/>
  <c r="N895" i="5"/>
  <c r="M895" i="5"/>
  <c r="L895" i="5"/>
  <c r="AD894" i="5"/>
  <c r="AC894" i="5"/>
  <c r="AB894" i="5"/>
  <c r="AA894" i="5"/>
  <c r="Z894" i="5"/>
  <c r="Y894" i="5"/>
  <c r="X894" i="5"/>
  <c r="W894" i="5"/>
  <c r="V894" i="5"/>
  <c r="U894" i="5"/>
  <c r="T894" i="5"/>
  <c r="S894" i="5"/>
  <c r="R894" i="5"/>
  <c r="Q894" i="5"/>
  <c r="P894" i="5"/>
  <c r="O894" i="5"/>
  <c r="N894" i="5"/>
  <c r="M894" i="5"/>
  <c r="L894" i="5"/>
  <c r="AD893" i="5"/>
  <c r="AC893" i="5"/>
  <c r="AB893" i="5"/>
  <c r="AA893" i="5"/>
  <c r="Z893" i="5"/>
  <c r="Y893" i="5"/>
  <c r="X893" i="5"/>
  <c r="W893" i="5"/>
  <c r="V893" i="5"/>
  <c r="U893" i="5"/>
  <c r="T893" i="5"/>
  <c r="S893" i="5"/>
  <c r="R893" i="5"/>
  <c r="Q893" i="5"/>
  <c r="P893" i="5"/>
  <c r="O893" i="5"/>
  <c r="N893" i="5"/>
  <c r="M893" i="5"/>
  <c r="L893" i="5"/>
  <c r="AD892" i="5"/>
  <c r="AC892" i="5"/>
  <c r="AB892" i="5"/>
  <c r="AA892" i="5"/>
  <c r="Z892" i="5"/>
  <c r="Y892" i="5"/>
  <c r="X892" i="5"/>
  <c r="W892" i="5"/>
  <c r="V892" i="5"/>
  <c r="U892" i="5"/>
  <c r="T892" i="5"/>
  <c r="S892" i="5"/>
  <c r="R892" i="5"/>
  <c r="Q892" i="5"/>
  <c r="P892" i="5"/>
  <c r="O892" i="5"/>
  <c r="N892" i="5"/>
  <c r="M892" i="5"/>
  <c r="L892" i="5"/>
  <c r="AD891" i="5"/>
  <c r="AC891" i="5"/>
  <c r="AB891" i="5"/>
  <c r="AA891" i="5"/>
  <c r="Z891" i="5"/>
  <c r="Y891" i="5"/>
  <c r="X891" i="5"/>
  <c r="W891" i="5"/>
  <c r="V891" i="5"/>
  <c r="U891" i="5"/>
  <c r="T891" i="5"/>
  <c r="S891" i="5"/>
  <c r="R891" i="5"/>
  <c r="Q891" i="5"/>
  <c r="P891" i="5"/>
  <c r="O891" i="5"/>
  <c r="N891" i="5"/>
  <c r="M891" i="5"/>
  <c r="L891" i="5"/>
  <c r="AD890" i="5"/>
  <c r="AC890" i="5"/>
  <c r="AB890" i="5"/>
  <c r="AA890" i="5"/>
  <c r="Z890" i="5"/>
  <c r="Y890" i="5"/>
  <c r="X890" i="5"/>
  <c r="W890" i="5"/>
  <c r="V890" i="5"/>
  <c r="U890" i="5"/>
  <c r="T890" i="5"/>
  <c r="S890" i="5"/>
  <c r="R890" i="5"/>
  <c r="Q890" i="5"/>
  <c r="P890" i="5"/>
  <c r="O890" i="5"/>
  <c r="N890" i="5"/>
  <c r="M890" i="5"/>
  <c r="L890" i="5"/>
  <c r="AD889" i="5"/>
  <c r="AC889" i="5"/>
  <c r="AB889" i="5"/>
  <c r="AA889" i="5"/>
  <c r="Z889" i="5"/>
  <c r="Y889" i="5"/>
  <c r="X889" i="5"/>
  <c r="W889" i="5"/>
  <c r="V889" i="5"/>
  <c r="U889" i="5"/>
  <c r="T889" i="5"/>
  <c r="S889" i="5"/>
  <c r="R889" i="5"/>
  <c r="Q889" i="5"/>
  <c r="P889" i="5"/>
  <c r="O889" i="5"/>
  <c r="N889" i="5"/>
  <c r="M889" i="5"/>
  <c r="L889" i="5"/>
  <c r="AD888" i="5"/>
  <c r="AC888" i="5"/>
  <c r="AB888" i="5"/>
  <c r="AA888" i="5"/>
  <c r="Z888" i="5"/>
  <c r="Y888" i="5"/>
  <c r="X888" i="5"/>
  <c r="W888" i="5"/>
  <c r="V888" i="5"/>
  <c r="U888" i="5"/>
  <c r="T888" i="5"/>
  <c r="S888" i="5"/>
  <c r="R888" i="5"/>
  <c r="Q888" i="5"/>
  <c r="P888" i="5"/>
  <c r="O888" i="5"/>
  <c r="N888" i="5"/>
  <c r="M888" i="5"/>
  <c r="L888" i="5"/>
  <c r="AD887" i="5"/>
  <c r="AC887" i="5"/>
  <c r="AB887" i="5"/>
  <c r="AA887" i="5"/>
  <c r="Z887" i="5"/>
  <c r="Y887" i="5"/>
  <c r="X887" i="5"/>
  <c r="W887" i="5"/>
  <c r="V887" i="5"/>
  <c r="U887" i="5"/>
  <c r="T887" i="5"/>
  <c r="S887" i="5"/>
  <c r="R887" i="5"/>
  <c r="Q887" i="5"/>
  <c r="P887" i="5"/>
  <c r="O887" i="5"/>
  <c r="N887" i="5"/>
  <c r="M887" i="5"/>
  <c r="L887" i="5"/>
  <c r="AD886" i="5"/>
  <c r="AC886" i="5"/>
  <c r="AB886" i="5"/>
  <c r="AA886" i="5"/>
  <c r="Z886" i="5"/>
  <c r="Y886" i="5"/>
  <c r="X886" i="5"/>
  <c r="W886" i="5"/>
  <c r="V886" i="5"/>
  <c r="U886" i="5"/>
  <c r="T886" i="5"/>
  <c r="S886" i="5"/>
  <c r="R886" i="5"/>
  <c r="Q886" i="5"/>
  <c r="P886" i="5"/>
  <c r="O886" i="5"/>
  <c r="N886" i="5"/>
  <c r="M886" i="5"/>
  <c r="L886" i="5"/>
  <c r="AD885" i="5"/>
  <c r="AC885" i="5"/>
  <c r="AB885" i="5"/>
  <c r="AA885" i="5"/>
  <c r="Z885" i="5"/>
  <c r="Y885" i="5"/>
  <c r="X885" i="5"/>
  <c r="W885" i="5"/>
  <c r="V885" i="5"/>
  <c r="U885" i="5"/>
  <c r="T885" i="5"/>
  <c r="S885" i="5"/>
  <c r="R885" i="5"/>
  <c r="Q885" i="5"/>
  <c r="P885" i="5"/>
  <c r="O885" i="5"/>
  <c r="N885" i="5"/>
  <c r="M885" i="5"/>
  <c r="L885" i="5"/>
  <c r="AD884" i="5"/>
  <c r="AC884" i="5"/>
  <c r="AB884" i="5"/>
  <c r="AA884" i="5"/>
  <c r="Z884" i="5"/>
  <c r="Y884" i="5"/>
  <c r="X884" i="5"/>
  <c r="W884" i="5"/>
  <c r="V884" i="5"/>
  <c r="U884" i="5"/>
  <c r="T884" i="5"/>
  <c r="S884" i="5"/>
  <c r="R884" i="5"/>
  <c r="Q884" i="5"/>
  <c r="P884" i="5"/>
  <c r="O884" i="5"/>
  <c r="N884" i="5"/>
  <c r="M884" i="5"/>
  <c r="L884" i="5"/>
  <c r="AD883" i="5"/>
  <c r="AC883" i="5"/>
  <c r="AB883" i="5"/>
  <c r="AA883" i="5"/>
  <c r="Z883" i="5"/>
  <c r="Y883" i="5"/>
  <c r="X883" i="5"/>
  <c r="W883" i="5"/>
  <c r="V883" i="5"/>
  <c r="U883" i="5"/>
  <c r="T883" i="5"/>
  <c r="S883" i="5"/>
  <c r="R883" i="5"/>
  <c r="Q883" i="5"/>
  <c r="P883" i="5"/>
  <c r="O883" i="5"/>
  <c r="N883" i="5"/>
  <c r="M883" i="5"/>
  <c r="L883" i="5"/>
  <c r="AD882" i="5"/>
  <c r="AC882" i="5"/>
  <c r="AB882" i="5"/>
  <c r="AA882" i="5"/>
  <c r="Z882" i="5"/>
  <c r="Y882" i="5"/>
  <c r="X882" i="5"/>
  <c r="W882" i="5"/>
  <c r="V882" i="5"/>
  <c r="U882" i="5"/>
  <c r="T882" i="5"/>
  <c r="S882" i="5"/>
  <c r="R882" i="5"/>
  <c r="Q882" i="5"/>
  <c r="P882" i="5"/>
  <c r="O882" i="5"/>
  <c r="N882" i="5"/>
  <c r="M882" i="5"/>
  <c r="L882" i="5"/>
  <c r="AD881" i="5"/>
  <c r="AC881" i="5"/>
  <c r="AB881" i="5"/>
  <c r="AA881" i="5"/>
  <c r="Z881" i="5"/>
  <c r="Y881" i="5"/>
  <c r="X881" i="5"/>
  <c r="W881" i="5"/>
  <c r="V881" i="5"/>
  <c r="U881" i="5"/>
  <c r="T881" i="5"/>
  <c r="S881" i="5"/>
  <c r="R881" i="5"/>
  <c r="Q881" i="5"/>
  <c r="P881" i="5"/>
  <c r="O881" i="5"/>
  <c r="N881" i="5"/>
  <c r="M881" i="5"/>
  <c r="L881" i="5"/>
  <c r="AD880" i="5"/>
  <c r="AC880" i="5"/>
  <c r="AB880" i="5"/>
  <c r="AA880" i="5"/>
  <c r="Z880" i="5"/>
  <c r="Y880" i="5"/>
  <c r="X880" i="5"/>
  <c r="W880" i="5"/>
  <c r="V880" i="5"/>
  <c r="U880" i="5"/>
  <c r="T880" i="5"/>
  <c r="S880" i="5"/>
  <c r="R880" i="5"/>
  <c r="Q880" i="5"/>
  <c r="P880" i="5"/>
  <c r="O880" i="5"/>
  <c r="N880" i="5"/>
  <c r="M880" i="5"/>
  <c r="L880" i="5"/>
  <c r="AD879" i="5"/>
  <c r="AC879" i="5"/>
  <c r="AB879" i="5"/>
  <c r="AA879" i="5"/>
  <c r="Z879" i="5"/>
  <c r="Y879" i="5"/>
  <c r="X879" i="5"/>
  <c r="W879" i="5"/>
  <c r="V879" i="5"/>
  <c r="U879" i="5"/>
  <c r="T879" i="5"/>
  <c r="S879" i="5"/>
  <c r="R879" i="5"/>
  <c r="Q879" i="5"/>
  <c r="P879" i="5"/>
  <c r="O879" i="5"/>
  <c r="N879" i="5"/>
  <c r="M879" i="5"/>
  <c r="L879" i="5"/>
  <c r="A1217" i="5"/>
  <c r="A1772" i="5"/>
  <c r="A1720" i="5"/>
  <c r="A1689" i="5"/>
  <c r="A1636" i="5"/>
  <c r="A1619" i="5"/>
  <c r="A1618" i="5"/>
  <c r="A1617" i="5"/>
  <c r="A1603" i="5"/>
  <c r="A1602" i="5"/>
  <c r="A1601" i="5"/>
  <c r="A1600" i="5"/>
  <c r="A1599" i="5"/>
  <c r="A1598" i="5"/>
  <c r="A1597" i="5"/>
  <c r="A1545" i="5"/>
  <c r="A1537" i="5"/>
  <c r="A1536" i="5"/>
  <c r="A1535" i="5"/>
  <c r="A1534" i="5"/>
  <c r="A1533" i="5"/>
  <c r="A1532" i="5"/>
  <c r="A1531" i="5"/>
  <c r="A1530" i="5"/>
  <c r="A1529" i="5"/>
  <c r="A1528" i="5"/>
  <c r="A1527" i="5"/>
  <c r="A1526" i="5"/>
  <c r="A1502" i="5"/>
  <c r="A1501" i="5"/>
  <c r="A1495" i="5"/>
  <c r="A1494" i="5"/>
  <c r="A1493" i="5"/>
  <c r="A1492" i="5"/>
  <c r="A1491" i="5"/>
  <c r="A1490" i="5"/>
  <c r="A1489" i="5"/>
  <c r="A1488" i="5"/>
  <c r="A1487" i="5"/>
  <c r="A1486" i="5"/>
  <c r="A1485" i="5"/>
  <c r="A1484" i="5"/>
  <c r="A1483" i="5"/>
  <c r="A1482" i="5"/>
  <c r="A1481" i="5"/>
  <c r="A1480" i="5"/>
  <c r="A1479" i="5"/>
  <c r="A1478" i="5"/>
  <c r="A1477" i="5"/>
  <c r="A1437" i="5"/>
  <c r="A1436" i="5"/>
  <c r="A1435" i="5"/>
  <c r="A1434" i="5"/>
  <c r="A1411" i="5"/>
  <c r="A1410" i="5"/>
  <c r="A1409" i="5"/>
  <c r="A1408" i="5"/>
  <c r="A1407" i="5"/>
  <c r="A1406" i="5"/>
  <c r="A1405" i="5"/>
  <c r="A1404" i="5"/>
  <c r="A1403" i="5"/>
  <c r="A1402" i="5"/>
  <c r="A1401" i="5"/>
  <c r="A1400" i="5"/>
  <c r="A1357" i="5"/>
  <c r="A1356" i="5"/>
  <c r="A1355" i="5"/>
  <c r="A1354" i="5"/>
  <c r="A1353" i="5"/>
  <c r="A1352" i="5"/>
  <c r="A1351" i="5"/>
  <c r="A1350" i="5"/>
  <c r="A1349" i="5"/>
  <c r="A1348" i="5"/>
  <c r="A1347" i="5"/>
  <c r="A1346" i="5"/>
  <c r="A1345" i="5"/>
  <c r="A1344" i="5"/>
  <c r="A1343" i="5"/>
  <c r="A1342" i="5"/>
  <c r="A1341" i="5"/>
  <c r="A1340" i="5"/>
  <c r="A1339" i="5"/>
  <c r="A1338" i="5"/>
  <c r="A1337" i="5"/>
  <c r="A1336" i="5"/>
  <c r="A1335" i="5"/>
  <c r="A1334" i="5"/>
  <c r="A1333" i="5"/>
  <c r="A1332" i="5"/>
  <c r="A1331" i="5"/>
  <c r="A1330" i="5"/>
  <c r="A1329" i="5"/>
  <c r="A1328" i="5"/>
  <c r="A1327" i="5"/>
  <c r="A1326" i="5"/>
  <c r="A1325" i="5"/>
  <c r="A1324" i="5"/>
  <c r="A1323" i="5"/>
  <c r="A1322" i="5"/>
  <c r="A1321" i="5"/>
  <c r="A1320" i="5"/>
  <c r="A1319" i="5"/>
  <c r="A1318" i="5"/>
  <c r="A1317" i="5"/>
  <c r="A1316" i="5"/>
  <c r="A1315" i="5"/>
  <c r="A1314" i="5"/>
  <c r="A1313" i="5"/>
  <c r="A1312" i="5"/>
  <c r="A1311" i="5"/>
  <c r="A1310" i="5"/>
  <c r="A1309" i="5"/>
  <c r="A1308" i="5"/>
  <c r="A1307" i="5"/>
  <c r="A1306" i="5"/>
  <c r="A1305" i="5"/>
  <c r="A1304" i="5"/>
  <c r="A1303" i="5"/>
  <c r="A1302" i="5"/>
  <c r="A1301" i="5"/>
  <c r="A1300" i="5"/>
  <c r="A1299" i="5"/>
  <c r="A1298" i="5"/>
  <c r="A1297" i="5"/>
  <c r="A1296" i="5"/>
  <c r="A1295" i="5"/>
  <c r="A1294" i="5"/>
  <c r="A1293" i="5"/>
  <c r="A1292" i="5"/>
  <c r="A1291" i="5"/>
  <c r="A1290" i="5"/>
  <c r="A1289" i="5"/>
  <c r="A1288" i="5"/>
  <c r="A1287" i="5"/>
  <c r="A1286" i="5"/>
  <c r="A1285" i="5"/>
  <c r="A1284" i="5"/>
  <c r="A1283" i="5"/>
  <c r="A1282" i="5"/>
  <c r="A1281" i="5"/>
  <c r="A1280" i="5"/>
  <c r="A1279" i="5"/>
  <c r="A1278" i="5"/>
  <c r="A1277" i="5"/>
  <c r="A1276" i="5"/>
  <c r="A1229" i="5"/>
  <c r="A1228" i="5"/>
  <c r="A1227" i="5"/>
  <c r="A1216" i="5"/>
  <c r="A1215" i="5"/>
  <c r="A1214" i="5"/>
  <c r="A1213" i="5"/>
  <c r="A1212" i="5"/>
  <c r="A1211" i="5"/>
  <c r="A1210" i="5"/>
  <c r="A1209" i="5"/>
  <c r="A1208" i="5"/>
  <c r="A1207" i="5"/>
  <c r="A1206" i="5"/>
  <c r="A1205" i="5"/>
  <c r="A1204" i="5"/>
  <c r="A1156" i="5"/>
  <c r="A1144" i="5"/>
  <c r="A1143" i="5"/>
  <c r="A1142" i="5"/>
  <c r="A1141" i="5"/>
  <c r="A1140" i="5"/>
  <c r="A1139" i="5"/>
  <c r="A1138" i="5"/>
  <c r="A1137" i="5"/>
  <c r="A1136" i="5"/>
  <c r="A1135" i="5"/>
  <c r="A1134" i="5"/>
  <c r="A1133" i="5"/>
  <c r="A1132" i="5"/>
  <c r="A1131" i="5"/>
  <c r="A1130" i="5"/>
  <c r="A1129" i="5"/>
  <c r="A1128" i="5"/>
  <c r="A1099" i="5"/>
  <c r="A1098" i="5"/>
  <c r="A1091" i="5"/>
  <c r="A1090" i="5"/>
  <c r="A1089" i="5"/>
  <c r="A1088" i="5"/>
  <c r="A1087" i="5"/>
  <c r="A1086" i="5"/>
  <c r="A1085" i="5"/>
  <c r="A1084" i="5"/>
  <c r="A1083" i="5"/>
  <c r="A1042" i="5"/>
  <c r="A1041" i="5"/>
  <c r="A1040" i="5"/>
  <c r="A1030" i="5"/>
  <c r="A1024" i="5"/>
  <c r="A1023" i="5"/>
  <c r="A1022" i="5"/>
  <c r="A1021" i="5"/>
  <c r="A1020" i="5"/>
  <c r="A1019" i="5"/>
  <c r="A1018" i="5"/>
  <c r="A1017" i="5"/>
  <c r="A1001" i="5"/>
  <c r="A1000" i="5"/>
  <c r="A999" i="5"/>
  <c r="A991" i="5"/>
  <c r="A986" i="5"/>
  <c r="A985" i="5"/>
  <c r="A984" i="5"/>
  <c r="A983" i="5"/>
  <c r="A982" i="5"/>
  <c r="A981" i="5"/>
  <c r="A980" i="5"/>
  <c r="A1672" i="5"/>
  <c r="A1652" i="5"/>
  <c r="A1639" i="5"/>
  <c r="A1638" i="5"/>
  <c r="A1399" i="5"/>
  <c r="A1275" i="5"/>
  <c r="A1155" i="5"/>
  <c r="A1721" i="5"/>
  <c r="A1671" i="5"/>
  <c r="A1707" i="5"/>
  <c r="A1476" i="5"/>
  <c r="A1719" i="5"/>
  <c r="A1706" i="5"/>
  <c r="A1670" i="5"/>
  <c r="A1771" i="5"/>
  <c r="A1705" i="5"/>
  <c r="A1704" i="5"/>
  <c r="A1703" i="5"/>
  <c r="A1702" i="5"/>
  <c r="A1701" i="5"/>
  <c r="A1759" i="5"/>
  <c r="A1754" i="5"/>
  <c r="A1753" i="5"/>
  <c r="A1700" i="5"/>
  <c r="A1699" i="5"/>
  <c r="A1698" i="5"/>
  <c r="A1697" i="5"/>
  <c r="A1696" i="5"/>
  <c r="A1695" i="5"/>
  <c r="A1758" i="5"/>
  <c r="A1757" i="5"/>
  <c r="A1756" i="5"/>
  <c r="A1718" i="5"/>
  <c r="A1717" i="5"/>
  <c r="A1716" i="5"/>
  <c r="A1715" i="5"/>
  <c r="A1714" i="5"/>
  <c r="A1711" i="5"/>
  <c r="A1692" i="5"/>
  <c r="A1669" i="5"/>
  <c r="A1596" i="5"/>
  <c r="A1398" i="5"/>
  <c r="A1475" i="5"/>
  <c r="A1203" i="5"/>
  <c r="A1668" i="5"/>
  <c r="A1595" i="5"/>
  <c r="A1594" i="5"/>
  <c r="A1667" i="5"/>
  <c r="A1593" i="5"/>
  <c r="A1202" i="5"/>
  <c r="A1082" i="5"/>
  <c r="A1016" i="5"/>
  <c r="A1616" i="5"/>
  <c r="A1474" i="5"/>
  <c r="A1473" i="5"/>
  <c r="A1127" i="5"/>
  <c r="A1274" i="5"/>
  <c r="A1201" i="5"/>
  <c r="A1200" i="5"/>
  <c r="A1081" i="5"/>
  <c r="A1080" i="5"/>
  <c r="A1079" i="5"/>
  <c r="A1273" i="5"/>
  <c r="A1126" i="5"/>
  <c r="A1078" i="5"/>
  <c r="A1077" i="5"/>
  <c r="A1199" i="5"/>
  <c r="A1039" i="5"/>
  <c r="A1038" i="5"/>
  <c r="A1015" i="5"/>
  <c r="A979" i="5"/>
  <c r="A1049" i="5"/>
  <c r="A1048" i="5"/>
  <c r="A1047" i="5"/>
  <c r="A1046" i="5"/>
  <c r="A1045" i="5"/>
  <c r="A1044" i="5"/>
  <c r="A1606" i="5"/>
  <c r="A1472" i="5"/>
  <c r="A1397" i="5"/>
  <c r="A1396" i="5"/>
  <c r="A1395" i="5"/>
  <c r="A1394" i="5"/>
  <c r="A1393" i="5"/>
  <c r="A1272" i="5"/>
  <c r="A1615" i="5"/>
  <c r="A1471" i="5"/>
  <c r="A1470" i="5"/>
  <c r="A1592" i="5"/>
  <c r="A1591" i="5"/>
  <c r="A1433" i="5"/>
  <c r="A1271" i="5"/>
  <c r="A1270" i="5"/>
  <c r="A1269" i="5"/>
  <c r="A1268" i="5"/>
  <c r="A1267" i="5"/>
  <c r="A1266" i="5"/>
  <c r="A1265" i="5"/>
  <c r="A1264" i="5"/>
  <c r="A1263" i="5"/>
  <c r="A1262" i="5"/>
  <c r="A1261" i="5"/>
  <c r="A1260" i="5"/>
  <c r="A1259" i="5"/>
  <c r="A1258" i="5"/>
  <c r="A1257" i="5"/>
  <c r="A1392" i="5"/>
  <c r="A1256" i="5"/>
  <c r="A1037" i="5"/>
  <c r="A1500" i="5"/>
  <c r="A1391" i="5"/>
  <c r="A1390" i="5"/>
  <c r="A1255" i="5"/>
  <c r="A1125" i="5"/>
  <c r="A1036" i="5"/>
  <c r="A1035" i="5"/>
  <c r="A1076" i="5"/>
  <c r="A1389" i="5"/>
  <c r="A1388" i="5"/>
  <c r="A1254" i="5"/>
  <c r="A1253" i="5"/>
  <c r="A1252" i="5"/>
  <c r="A1226" i="5"/>
  <c r="A1525" i="5"/>
  <c r="A1469" i="5"/>
  <c r="A1251" i="5"/>
  <c r="A1075" i="5"/>
  <c r="A1468" i="5"/>
  <c r="A1250" i="5"/>
  <c r="A1198" i="5"/>
  <c r="A1544" i="5"/>
  <c r="A1360" i="5"/>
  <c r="A1590" i="5"/>
  <c r="A1538" i="5"/>
  <c r="A1524" i="5"/>
  <c r="A1467" i="5"/>
  <c r="A1074" i="5"/>
  <c r="A1026" i="5"/>
  <c r="A1225" i="5"/>
  <c r="A1224" i="5"/>
  <c r="A1223" i="5"/>
  <c r="A1605" i="5"/>
  <c r="A1432" i="5"/>
  <c r="A1157" i="5"/>
  <c r="A1655" i="5"/>
  <c r="A1387" i="5"/>
  <c r="A1651" i="5"/>
  <c r="A1466" i="5"/>
  <c r="A1654" i="5"/>
  <c r="A1589" i="5"/>
  <c r="A1431" i="5"/>
  <c r="A1691" i="5"/>
  <c r="A1653" i="5"/>
  <c r="A1588" i="5"/>
  <c r="A1197" i="5"/>
  <c r="A1681" i="5"/>
  <c r="A1635" i="5"/>
  <c r="A1710" i="5"/>
  <c r="A1196" i="5"/>
  <c r="A1195" i="5"/>
  <c r="A1194" i="5"/>
  <c r="A1193" i="5"/>
  <c r="A1124" i="5"/>
  <c r="A1359" i="5"/>
  <c r="A1192" i="5"/>
  <c r="A1191" i="5"/>
  <c r="A1190" i="5"/>
  <c r="A1123" i="5"/>
  <c r="A1249" i="5"/>
  <c r="A1189" i="5"/>
  <c r="A1188" i="5"/>
  <c r="A1187" i="5"/>
  <c r="A1122" i="5"/>
  <c r="A1121" i="5"/>
  <c r="A1073" i="5"/>
  <c r="A1222" i="5"/>
  <c r="A1186" i="5"/>
  <c r="A1185" i="5"/>
  <c r="A1184" i="5"/>
  <c r="A1120" i="5"/>
  <c r="A1072" i="5"/>
  <c r="A1071" i="5"/>
  <c r="A1070" i="5"/>
  <c r="A1386" i="5"/>
  <c r="A1183" i="5"/>
  <c r="A1154" i="5"/>
  <c r="A1119" i="5"/>
  <c r="A1118" i="5"/>
  <c r="A1221" i="5"/>
  <c r="A1182" i="5"/>
  <c r="A1181" i="5"/>
  <c r="A1117" i="5"/>
  <c r="A1069" i="5"/>
  <c r="A1587" i="5"/>
  <c r="A1465" i="5"/>
  <c r="A1248" i="5"/>
  <c r="A1385" i="5"/>
  <c r="A1384" i="5"/>
  <c r="A1666" i="5"/>
  <c r="A930" i="5"/>
  <c r="A1523" i="5"/>
  <c r="A1522" i="5"/>
  <c r="A1383" i="5"/>
  <c r="A1382" i="5"/>
  <c r="A1694" i="5"/>
  <c r="A1688" i="5"/>
  <c r="A1770" i="5"/>
  <c r="A1769" i="5"/>
  <c r="A1708" i="5"/>
  <c r="A1153" i="5"/>
  <c r="A1152" i="5"/>
  <c r="A1151" i="5"/>
  <c r="A1150" i="5"/>
  <c r="A1464" i="5"/>
  <c r="A1381" i="5"/>
  <c r="A1247" i="5"/>
  <c r="A1116" i="5"/>
  <c r="A1463" i="5"/>
  <c r="A1180" i="5"/>
  <c r="A1430" i="5"/>
  <c r="A1380" i="5"/>
  <c r="A1246" i="5"/>
  <c r="A1179" i="5"/>
  <c r="A1068" i="5"/>
  <c r="A1379" i="5"/>
  <c r="A1178" i="5"/>
  <c r="A1177" i="5"/>
  <c r="A1543" i="5"/>
  <c r="A1542" i="5"/>
  <c r="A1541" i="5"/>
  <c r="A1540" i="5"/>
  <c r="A1521" i="5"/>
  <c r="A1462" i="5"/>
  <c r="A1245" i="5"/>
  <c r="A1244" i="5"/>
  <c r="A1243" i="5"/>
  <c r="A1614" i="5"/>
  <c r="A1620" i="5"/>
  <c r="A1461" i="5"/>
  <c r="A1097" i="5"/>
  <c r="A1520" i="5"/>
  <c r="A1460" i="5"/>
  <c r="A1459" i="5"/>
  <c r="A1242" i="5"/>
  <c r="A1241" i="5"/>
  <c r="A1458" i="5"/>
  <c r="A1519" i="5"/>
  <c r="A1457" i="5"/>
  <c r="A1378" i="5"/>
  <c r="A1240" i="5"/>
  <c r="A1239" i="5"/>
  <c r="A1518" i="5"/>
  <c r="A1429" i="5"/>
  <c r="A1428" i="5"/>
  <c r="A1427" i="5"/>
  <c r="A1426" i="5"/>
  <c r="A1425" i="5"/>
  <c r="A1424" i="5"/>
  <c r="A1423" i="5"/>
  <c r="A1422" i="5"/>
  <c r="A1421" i="5"/>
  <c r="A1420" i="5"/>
  <c r="A1419" i="5"/>
  <c r="A1418" i="5"/>
  <c r="A1238" i="5"/>
  <c r="A1237" i="5"/>
  <c r="A1014" i="5"/>
  <c r="A1517" i="5"/>
  <c r="A1516" i="5"/>
  <c r="A1515" i="5"/>
  <c r="A1514" i="5"/>
  <c r="A1417" i="5"/>
  <c r="A1539" i="5"/>
  <c r="A1751" i="5"/>
  <c r="A1665" i="5"/>
  <c r="A1664" i="5"/>
  <c r="A1634" i="5"/>
  <c r="A1377" i="5"/>
  <c r="A1149" i="5"/>
  <c r="A1115" i="5"/>
  <c r="A1499" i="5"/>
  <c r="A1236" i="5"/>
  <c r="A1235" i="5"/>
  <c r="A1176" i="5"/>
  <c r="A1114" i="5"/>
  <c r="A1456" i="5"/>
  <c r="A1175" i="5"/>
  <c r="A1067" i="5"/>
  <c r="A1148" i="5"/>
  <c r="A1113" i="5"/>
  <c r="A1112" i="5"/>
  <c r="A1111" i="5"/>
  <c r="A1455" i="5"/>
  <c r="A1376" i="5"/>
  <c r="A1220" i="5"/>
  <c r="A1147" i="5"/>
  <c r="A1146" i="5"/>
  <c r="A1145" i="5"/>
  <c r="A1066" i="5"/>
  <c r="A1065" i="5"/>
  <c r="A1064" i="5"/>
  <c r="A1013" i="5"/>
  <c r="A1063" i="5"/>
  <c r="A1454" i="5"/>
  <c r="A1174" i="5"/>
  <c r="A1173" i="5"/>
  <c r="A1110" i="5"/>
  <c r="A1109" i="5"/>
  <c r="A1108" i="5"/>
  <c r="A1107" i="5"/>
  <c r="A1062" i="5"/>
  <c r="A1496" i="5"/>
  <c r="A1453" i="5"/>
  <c r="A1234" i="5"/>
  <c r="A1172" i="5"/>
  <c r="A1171" i="5"/>
  <c r="A1170" i="5"/>
  <c r="A1169" i="5"/>
  <c r="A1168" i="5"/>
  <c r="A1167" i="5"/>
  <c r="A1375" i="5"/>
  <c r="A1166" i="5"/>
  <c r="A1165" i="5"/>
  <c r="A1164" i="5"/>
  <c r="A1106" i="5"/>
  <c r="A1233" i="5"/>
  <c r="A1219" i="5"/>
  <c r="A1586" i="5"/>
  <c r="A1513" i="5"/>
  <c r="A1452" i="5"/>
  <c r="A1512" i="5"/>
  <c r="A1416" i="5"/>
  <c r="A1358" i="5"/>
  <c r="A1061" i="5"/>
  <c r="A1012" i="5"/>
  <c r="A978" i="5"/>
  <c r="A1060" i="5"/>
  <c r="A1059" i="5"/>
  <c r="A1451" i="5"/>
  <c r="A1663" i="5"/>
  <c r="A1662" i="5"/>
  <c r="A1637" i="5"/>
  <c r="A1450" i="5"/>
  <c r="A1449" i="5"/>
  <c r="A1448" i="5"/>
  <c r="A1374" i="5"/>
  <c r="A1613" i="5"/>
  <c r="A1058" i="5"/>
  <c r="A1057" i="5"/>
  <c r="A1232" i="5"/>
  <c r="A1163" i="5"/>
  <c r="A1102" i="5"/>
  <c r="A1447" i="5"/>
  <c r="A1373" i="5"/>
  <c r="A1372" i="5"/>
  <c r="A1371" i="5"/>
  <c r="A1370" i="5"/>
  <c r="A1369" i="5"/>
  <c r="A1105" i="5"/>
  <c r="A998" i="5"/>
  <c r="A997" i="5"/>
  <c r="A990" i="5"/>
  <c r="A989" i="5"/>
  <c r="A1368" i="5"/>
  <c r="A1585" i="5"/>
  <c r="A1584" i="5"/>
  <c r="A1367" i="5"/>
  <c r="A1366" i="5"/>
  <c r="A1365" i="5"/>
  <c r="A1750" i="5"/>
  <c r="A1693" i="5"/>
  <c r="A1680" i="5"/>
  <c r="A1661" i="5"/>
  <c r="A1650" i="5"/>
  <c r="A1660" i="5"/>
  <c r="A1709" i="5"/>
  <c r="A1673" i="5"/>
  <c r="A1659" i="5"/>
  <c r="A1096" i="5"/>
  <c r="A1095" i="5"/>
  <c r="A1094" i="5"/>
  <c r="A1056" i="5"/>
  <c r="A1055" i="5"/>
  <c r="A1029" i="5"/>
  <c r="A1093" i="5"/>
  <c r="A1092" i="5"/>
  <c r="A1054" i="5"/>
  <c r="A1053" i="5"/>
  <c r="A1052" i="5"/>
  <c r="A1104" i="5"/>
  <c r="A1101" i="5"/>
  <c r="A1100" i="5"/>
  <c r="A1028" i="5"/>
  <c r="A1658" i="5"/>
  <c r="A1612" i="5"/>
  <c r="A1633" i="5"/>
  <c r="A1679" i="5"/>
  <c r="A1632" i="5"/>
  <c r="A1498" i="5"/>
  <c r="A1722" i="5"/>
  <c r="A1678" i="5"/>
  <c r="A1631" i="5"/>
  <c r="A1511" i="5"/>
  <c r="A1510" i="5"/>
  <c r="A1509" i="5"/>
  <c r="A1415" i="5"/>
  <c r="A1414" i="5"/>
  <c r="A1604" i="5"/>
  <c r="A1446" i="5"/>
  <c r="A1364" i="5"/>
  <c r="A1583" i="5"/>
  <c r="A1687" i="5"/>
  <c r="A1582" i="5"/>
  <c r="A1581" i="5"/>
  <c r="A1580" i="5"/>
  <c r="A1579" i="5"/>
  <c r="A1508" i="5"/>
  <c r="A1162" i="5"/>
  <c r="A1578" i="5"/>
  <c r="A1577" i="5"/>
  <c r="A1576" i="5"/>
  <c r="A1575" i="5"/>
  <c r="A1574" i="5"/>
  <c r="A1630" i="5"/>
  <c r="A1629" i="5"/>
  <c r="A1611" i="5"/>
  <c r="A1573" i="5"/>
  <c r="A1572" i="5"/>
  <c r="A1571" i="5"/>
  <c r="A1570" i="5"/>
  <c r="A1649" i="5"/>
  <c r="A1628" i="5"/>
  <c r="A1686" i="5"/>
  <c r="A1685" i="5"/>
  <c r="A1657" i="5"/>
  <c r="A1569" i="5"/>
  <c r="A1627" i="5"/>
  <c r="A1568" i="5"/>
  <c r="A1567" i="5"/>
  <c r="A1566" i="5"/>
  <c r="A1565" i="5"/>
  <c r="A1564" i="5"/>
  <c r="A1563" i="5"/>
  <c r="A1626" i="5"/>
  <c r="A1610" i="5"/>
  <c r="A1609" i="5"/>
  <c r="A1648" i="5"/>
  <c r="A1656" i="5"/>
  <c r="A1625" i="5"/>
  <c r="A1624" i="5"/>
  <c r="A1623" i="5"/>
  <c r="A1684" i="5"/>
  <c r="A1677" i="5"/>
  <c r="A1647" i="5"/>
  <c r="A1646" i="5"/>
  <c r="A1562" i="5"/>
  <c r="A1713" i="5"/>
  <c r="A1674" i="5"/>
  <c r="A1622" i="5"/>
  <c r="A1507" i="5"/>
  <c r="A1363" i="5"/>
  <c r="A1161" i="5"/>
  <c r="A1051" i="5"/>
  <c r="A1231" i="5"/>
  <c r="A1160" i="5"/>
  <c r="A1103" i="5"/>
  <c r="A1050" i="5"/>
  <c r="A1506" i="5"/>
  <c r="A1505" i="5"/>
  <c r="A1504" i="5"/>
  <c r="A1497" i="5"/>
  <c r="A1445" i="5"/>
  <c r="A1444" i="5"/>
  <c r="A1443" i="5"/>
  <c r="A1442" i="5"/>
  <c r="A1441" i="5"/>
  <c r="A1440" i="5"/>
  <c r="A1413" i="5"/>
  <c r="A1362" i="5"/>
  <c r="A1361" i="5"/>
  <c r="A1218" i="5"/>
  <c r="A925" i="5"/>
  <c r="A885" i="5"/>
  <c r="A929" i="5"/>
  <c r="A910" i="5"/>
  <c r="A909" i="5"/>
  <c r="A908" i="5"/>
  <c r="A907" i="5"/>
  <c r="A906" i="5"/>
  <c r="A1768" i="5"/>
  <c r="A1767" i="5"/>
  <c r="A1032" i="5"/>
  <c r="A1011" i="5"/>
  <c r="A1010" i="5"/>
  <c r="A1009" i="5"/>
  <c r="A1008" i="5"/>
  <c r="A1007" i="5"/>
  <c r="A996" i="5"/>
  <c r="A995" i="5"/>
  <c r="A994" i="5"/>
  <c r="A966" i="5"/>
  <c r="A939" i="5"/>
  <c r="A924" i="5"/>
  <c r="A892" i="5"/>
  <c r="A1006" i="5"/>
  <c r="A977" i="5"/>
  <c r="A976" i="5"/>
  <c r="A965" i="5"/>
  <c r="A1766" i="5"/>
  <c r="A884" i="5"/>
  <c r="A964" i="5"/>
  <c r="A1005" i="5"/>
  <c r="A963" i="5"/>
  <c r="A931" i="5"/>
  <c r="A928" i="5"/>
  <c r="A923" i="5"/>
  <c r="A905" i="5"/>
  <c r="A891" i="5"/>
  <c r="A962" i="5"/>
  <c r="A904" i="5"/>
  <c r="A1004" i="5"/>
  <c r="A975" i="5"/>
  <c r="A903" i="5"/>
  <c r="A1043" i="5"/>
  <c r="A993" i="5"/>
  <c r="A1003" i="5"/>
  <c r="A961" i="5"/>
  <c r="A960" i="5"/>
  <c r="A959" i="5"/>
  <c r="A958" i="5"/>
  <c r="A957" i="5"/>
  <c r="A956" i="5"/>
  <c r="A955" i="5"/>
  <c r="A938" i="5"/>
  <c r="A937" i="5"/>
  <c r="A936" i="5"/>
  <c r="A1765" i="5"/>
  <c r="A890" i="5"/>
  <c r="A889" i="5"/>
  <c r="A1764" i="5"/>
  <c r="A1763" i="5"/>
  <c r="A1762" i="5"/>
  <c r="A1761" i="5"/>
  <c r="A935" i="5"/>
  <c r="A883" i="5"/>
  <c r="A974" i="5"/>
  <c r="A902" i="5"/>
  <c r="A901" i="5"/>
  <c r="A900" i="5"/>
  <c r="A899" i="5"/>
  <c r="A898" i="5"/>
  <c r="A1034" i="5"/>
  <c r="A954" i="5"/>
  <c r="A953" i="5"/>
  <c r="A952" i="5"/>
  <c r="A951" i="5"/>
  <c r="A950" i="5"/>
  <c r="A969" i="5"/>
  <c r="A927" i="5"/>
  <c r="A922" i="5"/>
  <c r="A921" i="5"/>
  <c r="A920" i="5"/>
  <c r="A919" i="5"/>
  <c r="A918" i="5"/>
  <c r="A917" i="5"/>
  <c r="A897" i="5"/>
  <c r="A1027" i="5"/>
  <c r="A968" i="5"/>
  <c r="A916" i="5"/>
  <c r="A915" i="5"/>
  <c r="A1002" i="5"/>
  <c r="A973" i="5"/>
  <c r="A949" i="5"/>
  <c r="A926" i="5"/>
  <c r="A988" i="5"/>
  <c r="A948" i="5"/>
  <c r="A882" i="5"/>
  <c r="A972" i="5"/>
  <c r="A911" i="5"/>
  <c r="A881" i="5"/>
  <c r="A947" i="5"/>
  <c r="A946" i="5"/>
  <c r="A945" i="5"/>
  <c r="A944" i="5"/>
  <c r="A943" i="5"/>
  <c r="A942" i="5"/>
  <c r="A941" i="5"/>
  <c r="A896" i="5"/>
  <c r="A888" i="5"/>
  <c r="A887" i="5"/>
  <c r="A1031" i="5"/>
  <c r="A914" i="5"/>
  <c r="A913" i="5"/>
  <c r="A912" i="5"/>
  <c r="A895" i="5"/>
  <c r="A894" i="5"/>
  <c r="A987" i="5"/>
  <c r="A1760" i="5"/>
  <c r="A934" i="5"/>
  <c r="A933" i="5"/>
  <c r="A880" i="5"/>
  <c r="A879" i="5"/>
  <c r="A1025" i="5"/>
  <c r="A992" i="5"/>
  <c r="A971" i="5"/>
  <c r="A967" i="5"/>
  <c r="A940" i="5"/>
  <c r="A970" i="5"/>
  <c r="A932" i="5"/>
  <c r="A893" i="5"/>
  <c r="A886" i="5"/>
  <c r="A1159" i="5"/>
  <c r="A1033" i="5"/>
  <c r="A1230" i="5"/>
  <c r="A1608" i="5"/>
  <c r="A1561" i="5"/>
  <c r="A1560" i="5"/>
  <c r="A1559" i="5"/>
  <c r="A1558" i="5"/>
  <c r="A1557" i="5"/>
  <c r="A1556" i="5"/>
  <c r="A1555" i="5"/>
  <c r="A1439" i="5"/>
  <c r="A1683" i="5"/>
  <c r="A1607" i="5"/>
  <c r="A1554" i="5"/>
  <c r="A1553" i="5"/>
  <c r="A1552" i="5"/>
  <c r="A1551" i="5"/>
  <c r="A1550" i="5"/>
  <c r="A1549" i="5"/>
  <c r="A1503" i="5"/>
  <c r="A1438" i="5"/>
  <c r="A1645" i="5"/>
  <c r="A1644" i="5"/>
  <c r="A1643" i="5"/>
  <c r="A1642" i="5"/>
  <c r="A1682" i="5"/>
  <c r="A1641" i="5"/>
  <c r="A1621" i="5"/>
  <c r="A1548" i="5"/>
  <c r="A1547" i="5"/>
  <c r="A1690" i="5"/>
  <c r="A1640" i="5"/>
  <c r="A1546" i="5"/>
  <c r="A1712" i="5"/>
  <c r="A1676" i="5"/>
  <c r="A1675" i="5"/>
  <c r="A1412" i="5"/>
  <c r="A1158" i="5"/>
  <c r="M872" i="5"/>
  <c r="L872" i="5"/>
  <c r="M871" i="5"/>
  <c r="L871" i="5"/>
  <c r="A871" i="5" s="1"/>
  <c r="M870" i="5"/>
  <c r="L870" i="5"/>
  <c r="A870" i="5" s="1"/>
  <c r="M869" i="5"/>
  <c r="L869" i="5"/>
  <c r="A869" i="5" s="1"/>
  <c r="M868" i="5"/>
  <c r="L868" i="5"/>
  <c r="A868" i="5" s="1"/>
  <c r="M867" i="5"/>
  <c r="L867" i="5"/>
  <c r="A867" i="5" s="1"/>
  <c r="M866" i="5"/>
  <c r="L866" i="5"/>
  <c r="A866" i="5" s="1"/>
  <c r="M865" i="5"/>
  <c r="L865" i="5"/>
  <c r="M864" i="5"/>
  <c r="L864" i="5"/>
  <c r="M863" i="5"/>
  <c r="L863" i="5"/>
  <c r="M862" i="5"/>
  <c r="L862" i="5"/>
  <c r="M861" i="5"/>
  <c r="L861" i="5"/>
  <c r="A861" i="5" s="1"/>
  <c r="M860" i="5"/>
  <c r="L860" i="5"/>
  <c r="A860" i="5" s="1"/>
  <c r="M859" i="5"/>
  <c r="L859" i="5"/>
  <c r="A859" i="5" s="1"/>
  <c r="M858" i="5"/>
  <c r="L858" i="5"/>
  <c r="M857" i="5"/>
  <c r="L857" i="5"/>
  <c r="M856" i="5"/>
  <c r="L856" i="5"/>
  <c r="A856" i="5" s="1"/>
  <c r="M855" i="5"/>
  <c r="L855" i="5"/>
  <c r="A855" i="5" s="1"/>
  <c r="M854" i="5"/>
  <c r="L854" i="5"/>
  <c r="A854" i="5" s="1"/>
  <c r="M853" i="5"/>
  <c r="L853" i="5"/>
  <c r="A853" i="5" s="1"/>
  <c r="M852" i="5"/>
  <c r="L852" i="5"/>
  <c r="A852" i="5" s="1"/>
  <c r="M851" i="5"/>
  <c r="L851" i="5"/>
  <c r="M850" i="5"/>
  <c r="L850" i="5"/>
  <c r="M849" i="5"/>
  <c r="L849" i="5"/>
  <c r="A849" i="5" s="1"/>
  <c r="M848" i="5"/>
  <c r="L848" i="5"/>
  <c r="A848" i="5" s="1"/>
  <c r="AD812" i="5"/>
  <c r="AC812" i="5"/>
  <c r="AB812" i="5"/>
  <c r="AA812" i="5"/>
  <c r="Z812" i="5"/>
  <c r="Y812" i="5"/>
  <c r="X812" i="5"/>
  <c r="W812" i="5"/>
  <c r="V812" i="5"/>
  <c r="U812" i="5"/>
  <c r="T812" i="5"/>
  <c r="S812" i="5"/>
  <c r="R812" i="5"/>
  <c r="Q812" i="5"/>
  <c r="P812" i="5"/>
  <c r="O812" i="5"/>
  <c r="N812" i="5"/>
  <c r="M812" i="5"/>
  <c r="L812" i="5"/>
  <c r="A812" i="5" s="1"/>
  <c r="AD802" i="5"/>
  <c r="AC802" i="5"/>
  <c r="AB802" i="5"/>
  <c r="AA802" i="5"/>
  <c r="Z802" i="5"/>
  <c r="Y802" i="5"/>
  <c r="X802" i="5"/>
  <c r="W802" i="5"/>
  <c r="V802" i="5"/>
  <c r="U802" i="5"/>
  <c r="T802" i="5"/>
  <c r="S802" i="5"/>
  <c r="R802" i="5"/>
  <c r="Q802" i="5"/>
  <c r="P802" i="5"/>
  <c r="O802" i="5"/>
  <c r="N802" i="5"/>
  <c r="M802" i="5"/>
  <c r="L802" i="5"/>
  <c r="A802" i="5" s="1"/>
  <c r="AD801" i="5"/>
  <c r="AC801" i="5"/>
  <c r="AB801" i="5"/>
  <c r="AA801" i="5"/>
  <c r="Z801" i="5"/>
  <c r="Y801" i="5"/>
  <c r="X801" i="5"/>
  <c r="W801" i="5"/>
  <c r="V801" i="5"/>
  <c r="U801" i="5"/>
  <c r="T801" i="5"/>
  <c r="S801" i="5"/>
  <c r="R801" i="5"/>
  <c r="Q801" i="5"/>
  <c r="P801" i="5"/>
  <c r="O801" i="5"/>
  <c r="N801" i="5"/>
  <c r="M801" i="5"/>
  <c r="L801" i="5"/>
  <c r="A801" i="5" s="1"/>
  <c r="AD800" i="5"/>
  <c r="AC800" i="5"/>
  <c r="AB800" i="5"/>
  <c r="AA800" i="5"/>
  <c r="Z800" i="5"/>
  <c r="Y800" i="5"/>
  <c r="X800" i="5"/>
  <c r="W800" i="5"/>
  <c r="V800" i="5"/>
  <c r="U800" i="5"/>
  <c r="T800" i="5"/>
  <c r="S800" i="5"/>
  <c r="R800" i="5"/>
  <c r="Q800" i="5"/>
  <c r="P800" i="5"/>
  <c r="O800" i="5"/>
  <c r="N800" i="5"/>
  <c r="M800" i="5"/>
  <c r="L800" i="5"/>
  <c r="A800" i="5" s="1"/>
  <c r="AD799" i="5"/>
  <c r="AC799" i="5"/>
  <c r="AB799" i="5"/>
  <c r="AA799" i="5"/>
  <c r="Z799" i="5"/>
  <c r="Y799" i="5"/>
  <c r="X799" i="5"/>
  <c r="W799" i="5"/>
  <c r="V799" i="5"/>
  <c r="U799" i="5"/>
  <c r="T799" i="5"/>
  <c r="S799" i="5"/>
  <c r="R799" i="5"/>
  <c r="Q799" i="5"/>
  <c r="P799" i="5"/>
  <c r="O799" i="5"/>
  <c r="N799" i="5"/>
  <c r="M799" i="5"/>
  <c r="L799" i="5"/>
  <c r="A799" i="5" s="1"/>
  <c r="AD798" i="5"/>
  <c r="AC798" i="5"/>
  <c r="AB798" i="5"/>
  <c r="AA798" i="5"/>
  <c r="Z798" i="5"/>
  <c r="Y798" i="5"/>
  <c r="X798" i="5"/>
  <c r="W798" i="5"/>
  <c r="V798" i="5"/>
  <c r="U798" i="5"/>
  <c r="T798" i="5"/>
  <c r="S798" i="5"/>
  <c r="R798" i="5"/>
  <c r="Q798" i="5"/>
  <c r="P798" i="5"/>
  <c r="O798" i="5"/>
  <c r="N798" i="5"/>
  <c r="M798" i="5"/>
  <c r="L798" i="5"/>
  <c r="A798" i="5" s="1"/>
  <c r="AD797" i="5"/>
  <c r="AC797" i="5"/>
  <c r="AB797" i="5"/>
  <c r="AA797" i="5"/>
  <c r="Z797" i="5"/>
  <c r="Y797" i="5"/>
  <c r="X797" i="5"/>
  <c r="W797" i="5"/>
  <c r="V797" i="5"/>
  <c r="U797" i="5"/>
  <c r="T797" i="5"/>
  <c r="S797" i="5"/>
  <c r="R797" i="5"/>
  <c r="Q797" i="5"/>
  <c r="P797" i="5"/>
  <c r="O797" i="5"/>
  <c r="N797" i="5"/>
  <c r="M797" i="5"/>
  <c r="L797" i="5"/>
  <c r="A797" i="5" s="1"/>
  <c r="AD796" i="5"/>
  <c r="AC796" i="5"/>
  <c r="AB796" i="5"/>
  <c r="AA796" i="5"/>
  <c r="Z796" i="5"/>
  <c r="Y796" i="5"/>
  <c r="X796" i="5"/>
  <c r="W796" i="5"/>
  <c r="V796" i="5"/>
  <c r="U796" i="5"/>
  <c r="T796" i="5"/>
  <c r="S796" i="5"/>
  <c r="R796" i="5"/>
  <c r="Q796" i="5"/>
  <c r="P796" i="5"/>
  <c r="O796" i="5"/>
  <c r="N796" i="5"/>
  <c r="M796" i="5"/>
  <c r="L796" i="5"/>
  <c r="A796" i="5" s="1"/>
  <c r="AD795" i="5"/>
  <c r="AC795" i="5"/>
  <c r="AB795" i="5"/>
  <c r="AA795" i="5"/>
  <c r="Z795" i="5"/>
  <c r="Y795" i="5"/>
  <c r="X795" i="5"/>
  <c r="W795" i="5"/>
  <c r="V795" i="5"/>
  <c r="U795" i="5"/>
  <c r="T795" i="5"/>
  <c r="S795" i="5"/>
  <c r="R795" i="5"/>
  <c r="Q795" i="5"/>
  <c r="P795" i="5"/>
  <c r="O795" i="5"/>
  <c r="N795" i="5"/>
  <c r="M795" i="5"/>
  <c r="L795" i="5"/>
  <c r="A795" i="5" s="1"/>
  <c r="AD787" i="5"/>
  <c r="AC787" i="5"/>
  <c r="AB787" i="5"/>
  <c r="AA787" i="5"/>
  <c r="Z787" i="5"/>
  <c r="Y787" i="5"/>
  <c r="X787" i="5"/>
  <c r="W787" i="5"/>
  <c r="V787" i="5"/>
  <c r="U787" i="5"/>
  <c r="T787" i="5"/>
  <c r="S787" i="5"/>
  <c r="R787" i="5"/>
  <c r="Q787" i="5"/>
  <c r="P787" i="5"/>
  <c r="O787" i="5"/>
  <c r="N787" i="5"/>
  <c r="M787" i="5"/>
  <c r="L787" i="5"/>
  <c r="A787" i="5" s="1"/>
  <c r="AD786" i="5"/>
  <c r="AC786" i="5"/>
  <c r="AB786" i="5"/>
  <c r="AA786" i="5"/>
  <c r="Z786" i="5"/>
  <c r="Y786" i="5"/>
  <c r="X786" i="5"/>
  <c r="W786" i="5"/>
  <c r="V786" i="5"/>
  <c r="U786" i="5"/>
  <c r="T786" i="5"/>
  <c r="S786" i="5"/>
  <c r="R786" i="5"/>
  <c r="Q786" i="5"/>
  <c r="P786" i="5"/>
  <c r="O786" i="5"/>
  <c r="N786" i="5"/>
  <c r="M786" i="5"/>
  <c r="L786" i="5"/>
  <c r="A786" i="5" s="1"/>
  <c r="AD785" i="5"/>
  <c r="AC785" i="5"/>
  <c r="AB785" i="5"/>
  <c r="AA785" i="5"/>
  <c r="Z785" i="5"/>
  <c r="Y785" i="5"/>
  <c r="X785" i="5"/>
  <c r="W785" i="5"/>
  <c r="V785" i="5"/>
  <c r="U785" i="5"/>
  <c r="T785" i="5"/>
  <c r="S785" i="5"/>
  <c r="R785" i="5"/>
  <c r="Q785" i="5"/>
  <c r="P785" i="5"/>
  <c r="O785" i="5"/>
  <c r="N785" i="5"/>
  <c r="M785" i="5"/>
  <c r="L785" i="5"/>
  <c r="A785" i="5" s="1"/>
  <c r="AD776" i="5"/>
  <c r="AC776" i="5"/>
  <c r="AB776" i="5"/>
  <c r="AA776" i="5"/>
  <c r="Z776" i="5"/>
  <c r="Y776" i="5"/>
  <c r="X776" i="5"/>
  <c r="W776" i="5"/>
  <c r="V776" i="5"/>
  <c r="U776" i="5"/>
  <c r="T776" i="5"/>
  <c r="S776" i="5"/>
  <c r="R776" i="5"/>
  <c r="Q776" i="5"/>
  <c r="P776" i="5"/>
  <c r="O776" i="5"/>
  <c r="N776" i="5"/>
  <c r="M776" i="5"/>
  <c r="L776" i="5"/>
  <c r="A776" i="5" s="1"/>
  <c r="AD775" i="5"/>
  <c r="AC775" i="5"/>
  <c r="AB775" i="5"/>
  <c r="AA775" i="5"/>
  <c r="Z775" i="5"/>
  <c r="Y775" i="5"/>
  <c r="X775" i="5"/>
  <c r="W775" i="5"/>
  <c r="V775" i="5"/>
  <c r="U775" i="5"/>
  <c r="T775" i="5"/>
  <c r="S775" i="5"/>
  <c r="R775" i="5"/>
  <c r="Q775" i="5"/>
  <c r="P775" i="5"/>
  <c r="O775" i="5"/>
  <c r="N775" i="5"/>
  <c r="M775" i="5"/>
  <c r="L775" i="5"/>
  <c r="A775" i="5" s="1"/>
  <c r="AD774" i="5"/>
  <c r="AC774" i="5"/>
  <c r="AB774" i="5"/>
  <c r="AA774" i="5"/>
  <c r="Z774" i="5"/>
  <c r="Y774" i="5"/>
  <c r="X774" i="5"/>
  <c r="W774" i="5"/>
  <c r="V774" i="5"/>
  <c r="U774" i="5"/>
  <c r="T774" i="5"/>
  <c r="S774" i="5"/>
  <c r="R774" i="5"/>
  <c r="Q774" i="5"/>
  <c r="P774" i="5"/>
  <c r="O774" i="5"/>
  <c r="N774" i="5"/>
  <c r="M774" i="5"/>
  <c r="L774" i="5"/>
  <c r="A774" i="5" s="1"/>
  <c r="AD773" i="5"/>
  <c r="AC773" i="5"/>
  <c r="AB773" i="5"/>
  <c r="AA773" i="5"/>
  <c r="Z773" i="5"/>
  <c r="Y773" i="5"/>
  <c r="X773" i="5"/>
  <c r="W773" i="5"/>
  <c r="V773" i="5"/>
  <c r="U773" i="5"/>
  <c r="T773" i="5"/>
  <c r="S773" i="5"/>
  <c r="R773" i="5"/>
  <c r="Q773" i="5"/>
  <c r="P773" i="5"/>
  <c r="O773" i="5"/>
  <c r="N773" i="5"/>
  <c r="M773" i="5"/>
  <c r="L773" i="5"/>
  <c r="A773" i="5" s="1"/>
  <c r="AD772" i="5"/>
  <c r="AC772" i="5"/>
  <c r="AB772" i="5"/>
  <c r="AA772" i="5"/>
  <c r="Z772" i="5"/>
  <c r="Y772" i="5"/>
  <c r="X772" i="5"/>
  <c r="W772" i="5"/>
  <c r="V772" i="5"/>
  <c r="U772" i="5"/>
  <c r="T772" i="5"/>
  <c r="S772" i="5"/>
  <c r="R772" i="5"/>
  <c r="Q772" i="5"/>
  <c r="P772" i="5"/>
  <c r="O772" i="5"/>
  <c r="N772" i="5"/>
  <c r="M772" i="5"/>
  <c r="L772" i="5"/>
  <c r="A772" i="5" s="1"/>
  <c r="AD771" i="5"/>
  <c r="AC771" i="5"/>
  <c r="AB771" i="5"/>
  <c r="AA771" i="5"/>
  <c r="Z771" i="5"/>
  <c r="Y771" i="5"/>
  <c r="X771" i="5"/>
  <c r="W771" i="5"/>
  <c r="V771" i="5"/>
  <c r="U771" i="5"/>
  <c r="T771" i="5"/>
  <c r="S771" i="5"/>
  <c r="R771" i="5"/>
  <c r="Q771" i="5"/>
  <c r="P771" i="5"/>
  <c r="O771" i="5"/>
  <c r="N771" i="5"/>
  <c r="M771" i="5"/>
  <c r="L771" i="5"/>
  <c r="A771" i="5" s="1"/>
  <c r="AD752" i="5"/>
  <c r="AC752" i="5"/>
  <c r="AB752" i="5"/>
  <c r="AA752" i="5"/>
  <c r="Z752" i="5"/>
  <c r="Y752" i="5"/>
  <c r="X752" i="5"/>
  <c r="W752" i="5"/>
  <c r="V752" i="5"/>
  <c r="U752" i="5"/>
  <c r="T752" i="5"/>
  <c r="S752" i="5"/>
  <c r="R752" i="5"/>
  <c r="Q752" i="5"/>
  <c r="P752" i="5"/>
  <c r="O752" i="5"/>
  <c r="N752" i="5"/>
  <c r="M752" i="5"/>
  <c r="L752" i="5"/>
  <c r="A752" i="5" s="1"/>
  <c r="AD751" i="5"/>
  <c r="AC751" i="5"/>
  <c r="AB751" i="5"/>
  <c r="AA751" i="5"/>
  <c r="Z751" i="5"/>
  <c r="Y751" i="5"/>
  <c r="X751" i="5"/>
  <c r="W751" i="5"/>
  <c r="V751" i="5"/>
  <c r="U751" i="5"/>
  <c r="T751" i="5"/>
  <c r="S751" i="5"/>
  <c r="R751" i="5"/>
  <c r="Q751" i="5"/>
  <c r="P751" i="5"/>
  <c r="O751" i="5"/>
  <c r="N751" i="5"/>
  <c r="M751" i="5"/>
  <c r="L751" i="5"/>
  <c r="A751" i="5" s="1"/>
  <c r="AD742" i="5"/>
  <c r="AC742" i="5"/>
  <c r="AB742" i="5"/>
  <c r="AA742" i="5"/>
  <c r="Z742" i="5"/>
  <c r="Y742" i="5"/>
  <c r="X742" i="5"/>
  <c r="W742" i="5"/>
  <c r="V742" i="5"/>
  <c r="U742" i="5"/>
  <c r="T742" i="5"/>
  <c r="S742" i="5"/>
  <c r="R742" i="5"/>
  <c r="Q742" i="5"/>
  <c r="P742" i="5"/>
  <c r="O742" i="5"/>
  <c r="N742" i="5"/>
  <c r="M742" i="5"/>
  <c r="L742" i="5"/>
  <c r="A742" i="5" s="1"/>
  <c r="AD741" i="5"/>
  <c r="AC741" i="5"/>
  <c r="AB741" i="5"/>
  <c r="AA741" i="5"/>
  <c r="Z741" i="5"/>
  <c r="Y741" i="5"/>
  <c r="X741" i="5"/>
  <c r="W741" i="5"/>
  <c r="V741" i="5"/>
  <c r="U741" i="5"/>
  <c r="T741" i="5"/>
  <c r="S741" i="5"/>
  <c r="R741" i="5"/>
  <c r="Q741" i="5"/>
  <c r="P741" i="5"/>
  <c r="O741" i="5"/>
  <c r="N741" i="5"/>
  <c r="M741" i="5"/>
  <c r="L741" i="5"/>
  <c r="A741" i="5" s="1"/>
  <c r="AD739" i="5"/>
  <c r="AC739" i="5"/>
  <c r="AB739" i="5"/>
  <c r="AA739" i="5"/>
  <c r="Z739" i="5"/>
  <c r="Y739" i="5"/>
  <c r="X739" i="5"/>
  <c r="W739" i="5"/>
  <c r="V739" i="5"/>
  <c r="U739" i="5"/>
  <c r="T739" i="5"/>
  <c r="S739" i="5"/>
  <c r="R739" i="5"/>
  <c r="Q739" i="5"/>
  <c r="P739" i="5"/>
  <c r="O739" i="5"/>
  <c r="N739" i="5"/>
  <c r="M739" i="5"/>
  <c r="L739" i="5"/>
  <c r="A739" i="5" s="1"/>
  <c r="AD738" i="5"/>
  <c r="AC738" i="5"/>
  <c r="AB738" i="5"/>
  <c r="AA738" i="5"/>
  <c r="Z738" i="5"/>
  <c r="Y738" i="5"/>
  <c r="X738" i="5"/>
  <c r="W738" i="5"/>
  <c r="V738" i="5"/>
  <c r="U738" i="5"/>
  <c r="T738" i="5"/>
  <c r="S738" i="5"/>
  <c r="R738" i="5"/>
  <c r="Q738" i="5"/>
  <c r="P738" i="5"/>
  <c r="O738" i="5"/>
  <c r="N738" i="5"/>
  <c r="M738" i="5"/>
  <c r="L738" i="5"/>
  <c r="A738" i="5" s="1"/>
  <c r="AD737" i="5"/>
  <c r="AC737" i="5"/>
  <c r="AB737" i="5"/>
  <c r="AA737" i="5"/>
  <c r="Z737" i="5"/>
  <c r="Y737" i="5"/>
  <c r="X737" i="5"/>
  <c r="W737" i="5"/>
  <c r="V737" i="5"/>
  <c r="U737" i="5"/>
  <c r="T737" i="5"/>
  <c r="S737" i="5"/>
  <c r="R737" i="5"/>
  <c r="Q737" i="5"/>
  <c r="P737" i="5"/>
  <c r="O737" i="5"/>
  <c r="N737" i="5"/>
  <c r="M737" i="5"/>
  <c r="L737" i="5"/>
  <c r="A737" i="5" s="1"/>
  <c r="AD736" i="5"/>
  <c r="AC736" i="5"/>
  <c r="AB736" i="5"/>
  <c r="AA736" i="5"/>
  <c r="Z736" i="5"/>
  <c r="Y736" i="5"/>
  <c r="X736" i="5"/>
  <c r="W736" i="5"/>
  <c r="V736" i="5"/>
  <c r="U736" i="5"/>
  <c r="T736" i="5"/>
  <c r="S736" i="5"/>
  <c r="R736" i="5"/>
  <c r="Q736" i="5"/>
  <c r="P736" i="5"/>
  <c r="O736" i="5"/>
  <c r="N736" i="5"/>
  <c r="M736" i="5"/>
  <c r="L736" i="5"/>
  <c r="A736" i="5" s="1"/>
  <c r="AD735" i="5"/>
  <c r="AC735" i="5"/>
  <c r="AB735" i="5"/>
  <c r="AA735" i="5"/>
  <c r="Z735" i="5"/>
  <c r="Y735" i="5"/>
  <c r="X735" i="5"/>
  <c r="W735" i="5"/>
  <c r="V735" i="5"/>
  <c r="U735" i="5"/>
  <c r="T735" i="5"/>
  <c r="S735" i="5"/>
  <c r="R735" i="5"/>
  <c r="Q735" i="5"/>
  <c r="P735" i="5"/>
  <c r="O735" i="5"/>
  <c r="N735" i="5"/>
  <c r="M735" i="5"/>
  <c r="L735" i="5"/>
  <c r="A735" i="5" s="1"/>
  <c r="AD734" i="5"/>
  <c r="AC734" i="5"/>
  <c r="AB734" i="5"/>
  <c r="AA734" i="5"/>
  <c r="Z734" i="5"/>
  <c r="Y734" i="5"/>
  <c r="X734" i="5"/>
  <c r="W734" i="5"/>
  <c r="V734" i="5"/>
  <c r="U734" i="5"/>
  <c r="T734" i="5"/>
  <c r="S734" i="5"/>
  <c r="R734" i="5"/>
  <c r="Q734" i="5"/>
  <c r="P734" i="5"/>
  <c r="O734" i="5"/>
  <c r="N734" i="5"/>
  <c r="M734" i="5"/>
  <c r="L734" i="5"/>
  <c r="A734" i="5" s="1"/>
  <c r="AD733" i="5"/>
  <c r="AC733" i="5"/>
  <c r="AB733" i="5"/>
  <c r="AA733" i="5"/>
  <c r="Z733" i="5"/>
  <c r="Y733" i="5"/>
  <c r="X733" i="5"/>
  <c r="W733" i="5"/>
  <c r="V733" i="5"/>
  <c r="U733" i="5"/>
  <c r="T733" i="5"/>
  <c r="S733" i="5"/>
  <c r="R733" i="5"/>
  <c r="Q733" i="5"/>
  <c r="P733" i="5"/>
  <c r="O733" i="5"/>
  <c r="N733" i="5"/>
  <c r="M733" i="5"/>
  <c r="L733" i="5"/>
  <c r="A733" i="5" s="1"/>
  <c r="AD732" i="5"/>
  <c r="AC732" i="5"/>
  <c r="AB732" i="5"/>
  <c r="AA732" i="5"/>
  <c r="Z732" i="5"/>
  <c r="Y732" i="5"/>
  <c r="X732" i="5"/>
  <c r="W732" i="5"/>
  <c r="V732" i="5"/>
  <c r="U732" i="5"/>
  <c r="T732" i="5"/>
  <c r="S732" i="5"/>
  <c r="R732" i="5"/>
  <c r="Q732" i="5"/>
  <c r="P732" i="5"/>
  <c r="O732" i="5"/>
  <c r="N732" i="5"/>
  <c r="M732" i="5"/>
  <c r="L732" i="5"/>
  <c r="A732" i="5" s="1"/>
  <c r="AD731" i="5"/>
  <c r="AC731" i="5"/>
  <c r="AB731" i="5"/>
  <c r="AA731" i="5"/>
  <c r="Z731" i="5"/>
  <c r="Y731" i="5"/>
  <c r="X731" i="5"/>
  <c r="W731" i="5"/>
  <c r="V731" i="5"/>
  <c r="U731" i="5"/>
  <c r="T731" i="5"/>
  <c r="S731" i="5"/>
  <c r="R731" i="5"/>
  <c r="Q731" i="5"/>
  <c r="P731" i="5"/>
  <c r="O731" i="5"/>
  <c r="N731" i="5"/>
  <c r="M731" i="5"/>
  <c r="L731" i="5"/>
  <c r="A731" i="5" s="1"/>
  <c r="AD713" i="5"/>
  <c r="AC713" i="5"/>
  <c r="AB713" i="5"/>
  <c r="AA713" i="5"/>
  <c r="Z713" i="5"/>
  <c r="Y713" i="5"/>
  <c r="X713" i="5"/>
  <c r="W713" i="5"/>
  <c r="V713" i="5"/>
  <c r="U713" i="5"/>
  <c r="T713" i="5"/>
  <c r="S713" i="5"/>
  <c r="R713" i="5"/>
  <c r="Q713" i="5"/>
  <c r="P713" i="5"/>
  <c r="O713" i="5"/>
  <c r="N713" i="5"/>
  <c r="M713" i="5"/>
  <c r="L713" i="5"/>
  <c r="A713" i="5" s="1"/>
  <c r="AD712" i="5"/>
  <c r="AC712" i="5"/>
  <c r="AB712" i="5"/>
  <c r="AA712" i="5"/>
  <c r="Z712" i="5"/>
  <c r="Y712" i="5"/>
  <c r="X712" i="5"/>
  <c r="W712" i="5"/>
  <c r="V712" i="5"/>
  <c r="U712" i="5"/>
  <c r="T712" i="5"/>
  <c r="S712" i="5"/>
  <c r="R712" i="5"/>
  <c r="Q712" i="5"/>
  <c r="P712" i="5"/>
  <c r="O712" i="5"/>
  <c r="N712" i="5"/>
  <c r="M712" i="5"/>
  <c r="L712" i="5"/>
  <c r="A712" i="5" s="1"/>
  <c r="AD711" i="5"/>
  <c r="AC711" i="5"/>
  <c r="AB711" i="5"/>
  <c r="AA711" i="5"/>
  <c r="Z711" i="5"/>
  <c r="Y711" i="5"/>
  <c r="X711" i="5"/>
  <c r="W711" i="5"/>
  <c r="V711" i="5"/>
  <c r="U711" i="5"/>
  <c r="T711" i="5"/>
  <c r="S711" i="5"/>
  <c r="R711" i="5"/>
  <c r="Q711" i="5"/>
  <c r="P711" i="5"/>
  <c r="O711" i="5"/>
  <c r="N711" i="5"/>
  <c r="M711" i="5"/>
  <c r="L711" i="5"/>
  <c r="A711" i="5" s="1"/>
  <c r="AD710" i="5"/>
  <c r="AC710" i="5"/>
  <c r="AB710" i="5"/>
  <c r="AA710" i="5"/>
  <c r="Z710" i="5"/>
  <c r="Y710" i="5"/>
  <c r="X710" i="5"/>
  <c r="W710" i="5"/>
  <c r="V710" i="5"/>
  <c r="U710" i="5"/>
  <c r="T710" i="5"/>
  <c r="S710" i="5"/>
  <c r="R710" i="5"/>
  <c r="Q710" i="5"/>
  <c r="P710" i="5"/>
  <c r="O710" i="5"/>
  <c r="N710" i="5"/>
  <c r="M710" i="5"/>
  <c r="L710" i="5"/>
  <c r="A710" i="5" s="1"/>
  <c r="AD703" i="5"/>
  <c r="AC703" i="5"/>
  <c r="AB703" i="5"/>
  <c r="AA703" i="5"/>
  <c r="Z703" i="5"/>
  <c r="Y703" i="5"/>
  <c r="X703" i="5"/>
  <c r="W703" i="5"/>
  <c r="V703" i="5"/>
  <c r="U703" i="5"/>
  <c r="T703" i="5"/>
  <c r="S703" i="5"/>
  <c r="R703" i="5"/>
  <c r="Q703" i="5"/>
  <c r="P703" i="5"/>
  <c r="O703" i="5"/>
  <c r="N703" i="5"/>
  <c r="M703" i="5"/>
  <c r="L703" i="5"/>
  <c r="A703" i="5" s="1"/>
  <c r="AD702" i="5"/>
  <c r="AC702" i="5"/>
  <c r="AB702" i="5"/>
  <c r="AA702" i="5"/>
  <c r="Z702" i="5"/>
  <c r="Y702" i="5"/>
  <c r="X702" i="5"/>
  <c r="W702" i="5"/>
  <c r="V702" i="5"/>
  <c r="U702" i="5"/>
  <c r="T702" i="5"/>
  <c r="S702" i="5"/>
  <c r="R702" i="5"/>
  <c r="Q702" i="5"/>
  <c r="P702" i="5"/>
  <c r="O702" i="5"/>
  <c r="N702" i="5"/>
  <c r="M702" i="5"/>
  <c r="L702" i="5"/>
  <c r="A702" i="5" s="1"/>
  <c r="AD701" i="5"/>
  <c r="AC701" i="5"/>
  <c r="AB701" i="5"/>
  <c r="AA701" i="5"/>
  <c r="Z701" i="5"/>
  <c r="Y701" i="5"/>
  <c r="X701" i="5"/>
  <c r="W701" i="5"/>
  <c r="V701" i="5"/>
  <c r="U701" i="5"/>
  <c r="T701" i="5"/>
  <c r="S701" i="5"/>
  <c r="R701" i="5"/>
  <c r="Q701" i="5"/>
  <c r="P701" i="5"/>
  <c r="O701" i="5"/>
  <c r="N701" i="5"/>
  <c r="M701" i="5"/>
  <c r="L701" i="5"/>
  <c r="A701" i="5" s="1"/>
  <c r="AD671" i="5"/>
  <c r="AC671" i="5"/>
  <c r="AB671" i="5"/>
  <c r="AA671" i="5"/>
  <c r="Z671" i="5"/>
  <c r="Y671" i="5"/>
  <c r="X671" i="5"/>
  <c r="W671" i="5"/>
  <c r="V671" i="5"/>
  <c r="U671" i="5"/>
  <c r="T671" i="5"/>
  <c r="S671" i="5"/>
  <c r="R671" i="5"/>
  <c r="Q671" i="5"/>
  <c r="P671" i="5"/>
  <c r="O671" i="5"/>
  <c r="N671" i="5"/>
  <c r="M671" i="5"/>
  <c r="L671" i="5"/>
  <c r="A671" i="5" s="1"/>
  <c r="AD670" i="5"/>
  <c r="AC670" i="5"/>
  <c r="AB670" i="5"/>
  <c r="AA670" i="5"/>
  <c r="Z670" i="5"/>
  <c r="Y670" i="5"/>
  <c r="X670" i="5"/>
  <c r="W670" i="5"/>
  <c r="V670" i="5"/>
  <c r="U670" i="5"/>
  <c r="T670" i="5"/>
  <c r="S670" i="5"/>
  <c r="R670" i="5"/>
  <c r="Q670" i="5"/>
  <c r="P670" i="5"/>
  <c r="O670" i="5"/>
  <c r="N670" i="5"/>
  <c r="M670" i="5"/>
  <c r="L670" i="5"/>
  <c r="A670" i="5" s="1"/>
  <c r="AD662" i="5"/>
  <c r="AC662" i="5"/>
  <c r="AB662" i="5"/>
  <c r="AA662" i="5"/>
  <c r="Z662" i="5"/>
  <c r="Y662" i="5"/>
  <c r="X662" i="5"/>
  <c r="W662" i="5"/>
  <c r="V662" i="5"/>
  <c r="U662" i="5"/>
  <c r="T662" i="5"/>
  <c r="S662" i="5"/>
  <c r="R662" i="5"/>
  <c r="Q662" i="5"/>
  <c r="P662" i="5"/>
  <c r="O662" i="5"/>
  <c r="N662" i="5"/>
  <c r="M662" i="5"/>
  <c r="L662" i="5"/>
  <c r="A662" i="5" s="1"/>
  <c r="AD661" i="5"/>
  <c r="AC661" i="5"/>
  <c r="AB661" i="5"/>
  <c r="AA661" i="5"/>
  <c r="Z661" i="5"/>
  <c r="Y661" i="5"/>
  <c r="X661" i="5"/>
  <c r="W661" i="5"/>
  <c r="V661" i="5"/>
  <c r="U661" i="5"/>
  <c r="T661" i="5"/>
  <c r="S661" i="5"/>
  <c r="R661" i="5"/>
  <c r="Q661" i="5"/>
  <c r="P661" i="5"/>
  <c r="O661" i="5"/>
  <c r="N661" i="5"/>
  <c r="M661" i="5"/>
  <c r="L661" i="5"/>
  <c r="A661" i="5" s="1"/>
  <c r="AD654" i="5"/>
  <c r="AC654" i="5"/>
  <c r="AB654" i="5"/>
  <c r="AA654" i="5"/>
  <c r="Z654" i="5"/>
  <c r="Y654" i="5"/>
  <c r="X654" i="5"/>
  <c r="W654" i="5"/>
  <c r="V654" i="5"/>
  <c r="U654" i="5"/>
  <c r="T654" i="5"/>
  <c r="S654" i="5"/>
  <c r="R654" i="5"/>
  <c r="Q654" i="5"/>
  <c r="P654" i="5"/>
  <c r="O654" i="5"/>
  <c r="N654" i="5"/>
  <c r="M654" i="5"/>
  <c r="L654" i="5"/>
  <c r="A654" i="5" s="1"/>
  <c r="AD653" i="5"/>
  <c r="AC653" i="5"/>
  <c r="AB653" i="5"/>
  <c r="AA653" i="5"/>
  <c r="Z653" i="5"/>
  <c r="Y653" i="5"/>
  <c r="X653" i="5"/>
  <c r="W653" i="5"/>
  <c r="V653" i="5"/>
  <c r="U653" i="5"/>
  <c r="T653" i="5"/>
  <c r="S653" i="5"/>
  <c r="R653" i="5"/>
  <c r="Q653" i="5"/>
  <c r="P653" i="5"/>
  <c r="O653" i="5"/>
  <c r="N653" i="5"/>
  <c r="M653" i="5"/>
  <c r="L653" i="5"/>
  <c r="A653" i="5" s="1"/>
  <c r="AD638" i="5"/>
  <c r="AC638" i="5"/>
  <c r="AB638" i="5"/>
  <c r="AA638" i="5"/>
  <c r="Z638" i="5"/>
  <c r="Y638" i="5"/>
  <c r="X638" i="5"/>
  <c r="W638" i="5"/>
  <c r="V638" i="5"/>
  <c r="U638" i="5"/>
  <c r="T638" i="5"/>
  <c r="S638" i="5"/>
  <c r="R638" i="5"/>
  <c r="Q638" i="5"/>
  <c r="P638" i="5"/>
  <c r="O638" i="5"/>
  <c r="N638" i="5"/>
  <c r="M638" i="5"/>
  <c r="L638" i="5"/>
  <c r="A638" i="5" s="1"/>
  <c r="AD637" i="5"/>
  <c r="AC637" i="5"/>
  <c r="AB637" i="5"/>
  <c r="AA637" i="5"/>
  <c r="Z637" i="5"/>
  <c r="Y637" i="5"/>
  <c r="X637" i="5"/>
  <c r="W637" i="5"/>
  <c r="V637" i="5"/>
  <c r="U637" i="5"/>
  <c r="T637" i="5"/>
  <c r="S637" i="5"/>
  <c r="R637" i="5"/>
  <c r="Q637" i="5"/>
  <c r="P637" i="5"/>
  <c r="O637" i="5"/>
  <c r="N637" i="5"/>
  <c r="M637" i="5"/>
  <c r="L637" i="5"/>
  <c r="A637" i="5" s="1"/>
  <c r="AD636" i="5"/>
  <c r="AC636" i="5"/>
  <c r="AB636" i="5"/>
  <c r="AA636" i="5"/>
  <c r="Z636" i="5"/>
  <c r="Y636" i="5"/>
  <c r="X636" i="5"/>
  <c r="W636" i="5"/>
  <c r="V636" i="5"/>
  <c r="U636" i="5"/>
  <c r="T636" i="5"/>
  <c r="S636" i="5"/>
  <c r="R636" i="5"/>
  <c r="Q636" i="5"/>
  <c r="P636" i="5"/>
  <c r="O636" i="5"/>
  <c r="N636" i="5"/>
  <c r="M636" i="5"/>
  <c r="L636" i="5"/>
  <c r="A636" i="5" s="1"/>
  <c r="AD631" i="5"/>
  <c r="AC631" i="5"/>
  <c r="AB631" i="5"/>
  <c r="AA631" i="5"/>
  <c r="Z631" i="5"/>
  <c r="Y631" i="5"/>
  <c r="X631" i="5"/>
  <c r="W631" i="5"/>
  <c r="V631" i="5"/>
  <c r="U631" i="5"/>
  <c r="T631" i="5"/>
  <c r="S631" i="5"/>
  <c r="R631" i="5"/>
  <c r="Q631" i="5"/>
  <c r="P631" i="5"/>
  <c r="O631" i="5"/>
  <c r="N631" i="5"/>
  <c r="M631" i="5"/>
  <c r="L631" i="5"/>
  <c r="A631" i="5" s="1"/>
  <c r="AD597" i="5"/>
  <c r="AC597" i="5"/>
  <c r="AB597" i="5"/>
  <c r="AA597" i="5"/>
  <c r="Z597" i="5"/>
  <c r="Y597" i="5"/>
  <c r="X597" i="5"/>
  <c r="W597" i="5"/>
  <c r="V597" i="5"/>
  <c r="U597" i="5"/>
  <c r="T597" i="5"/>
  <c r="S597" i="5"/>
  <c r="R597" i="5"/>
  <c r="Q597" i="5"/>
  <c r="P597" i="5"/>
  <c r="O597" i="5"/>
  <c r="N597" i="5"/>
  <c r="M597" i="5"/>
  <c r="L597" i="5"/>
  <c r="A597" i="5" s="1"/>
  <c r="AD596" i="5"/>
  <c r="AC596" i="5"/>
  <c r="AB596" i="5"/>
  <c r="AA596" i="5"/>
  <c r="Z596" i="5"/>
  <c r="Y596" i="5"/>
  <c r="X596" i="5"/>
  <c r="W596" i="5"/>
  <c r="V596" i="5"/>
  <c r="U596" i="5"/>
  <c r="T596" i="5"/>
  <c r="S596" i="5"/>
  <c r="R596" i="5"/>
  <c r="Q596" i="5"/>
  <c r="P596" i="5"/>
  <c r="O596" i="5"/>
  <c r="N596" i="5"/>
  <c r="M596" i="5"/>
  <c r="L596" i="5"/>
  <c r="A596" i="5" s="1"/>
  <c r="AD594" i="5"/>
  <c r="AC594" i="5"/>
  <c r="AB594" i="5"/>
  <c r="AA594" i="5"/>
  <c r="Z594" i="5"/>
  <c r="Y594" i="5"/>
  <c r="X594" i="5"/>
  <c r="W594" i="5"/>
  <c r="V594" i="5"/>
  <c r="U594" i="5"/>
  <c r="T594" i="5"/>
  <c r="S594" i="5"/>
  <c r="R594" i="5"/>
  <c r="Q594" i="5"/>
  <c r="P594" i="5"/>
  <c r="O594" i="5"/>
  <c r="N594" i="5"/>
  <c r="M594" i="5"/>
  <c r="L594" i="5"/>
  <c r="A594" i="5" s="1"/>
  <c r="AD590" i="5"/>
  <c r="AC590" i="5"/>
  <c r="AB590" i="5"/>
  <c r="AA590" i="5"/>
  <c r="Z590" i="5"/>
  <c r="Y590" i="5"/>
  <c r="X590" i="5"/>
  <c r="W590" i="5"/>
  <c r="V590" i="5"/>
  <c r="U590" i="5"/>
  <c r="T590" i="5"/>
  <c r="S590" i="5"/>
  <c r="R590" i="5"/>
  <c r="Q590" i="5"/>
  <c r="P590" i="5"/>
  <c r="O590" i="5"/>
  <c r="N590" i="5"/>
  <c r="M590" i="5"/>
  <c r="L590" i="5"/>
  <c r="A590" i="5" s="1"/>
  <c r="AD660" i="5"/>
  <c r="AC660" i="5"/>
  <c r="AB660" i="5"/>
  <c r="AA660" i="5"/>
  <c r="Z660" i="5"/>
  <c r="Y660" i="5"/>
  <c r="X660" i="5"/>
  <c r="W660" i="5"/>
  <c r="V660" i="5"/>
  <c r="U660" i="5"/>
  <c r="T660" i="5"/>
  <c r="S660" i="5"/>
  <c r="R660" i="5"/>
  <c r="Q660" i="5"/>
  <c r="P660" i="5"/>
  <c r="O660" i="5"/>
  <c r="N660" i="5"/>
  <c r="M660" i="5"/>
  <c r="L660" i="5"/>
  <c r="A660" i="5" s="1"/>
  <c r="AD652" i="5"/>
  <c r="AC652" i="5"/>
  <c r="AB652" i="5"/>
  <c r="AA652" i="5"/>
  <c r="Z652" i="5"/>
  <c r="Y652" i="5"/>
  <c r="X652" i="5"/>
  <c r="W652" i="5"/>
  <c r="V652" i="5"/>
  <c r="U652" i="5"/>
  <c r="T652" i="5"/>
  <c r="S652" i="5"/>
  <c r="R652" i="5"/>
  <c r="Q652" i="5"/>
  <c r="P652" i="5"/>
  <c r="O652" i="5"/>
  <c r="N652" i="5"/>
  <c r="M652" i="5"/>
  <c r="L652" i="5"/>
  <c r="A652" i="5" s="1"/>
  <c r="AD645" i="5"/>
  <c r="AC645" i="5"/>
  <c r="AB645" i="5"/>
  <c r="AA645" i="5"/>
  <c r="Z645" i="5"/>
  <c r="Y645" i="5"/>
  <c r="X645" i="5"/>
  <c r="W645" i="5"/>
  <c r="V645" i="5"/>
  <c r="U645" i="5"/>
  <c r="T645" i="5"/>
  <c r="S645" i="5"/>
  <c r="R645" i="5"/>
  <c r="Q645" i="5"/>
  <c r="P645" i="5"/>
  <c r="O645" i="5"/>
  <c r="N645" i="5"/>
  <c r="M645" i="5"/>
  <c r="L645" i="5"/>
  <c r="A645" i="5" s="1"/>
  <c r="AD872" i="5"/>
  <c r="AC872" i="5"/>
  <c r="AB872" i="5"/>
  <c r="AA872" i="5"/>
  <c r="Z872" i="5"/>
  <c r="Y872" i="5"/>
  <c r="X872" i="5"/>
  <c r="W872" i="5"/>
  <c r="V872" i="5"/>
  <c r="U872" i="5"/>
  <c r="T872" i="5"/>
  <c r="S872" i="5"/>
  <c r="R872" i="5"/>
  <c r="Q872" i="5"/>
  <c r="P872" i="5"/>
  <c r="O872" i="5"/>
  <c r="N872" i="5"/>
  <c r="A872" i="5"/>
  <c r="AD851" i="5"/>
  <c r="AC851" i="5"/>
  <c r="AB851" i="5"/>
  <c r="AA851" i="5"/>
  <c r="Z851" i="5"/>
  <c r="Y851" i="5"/>
  <c r="X851" i="5"/>
  <c r="W851" i="5"/>
  <c r="V851" i="5"/>
  <c r="U851" i="5"/>
  <c r="T851" i="5"/>
  <c r="S851" i="5"/>
  <c r="R851" i="5"/>
  <c r="Q851" i="5"/>
  <c r="P851" i="5"/>
  <c r="O851" i="5"/>
  <c r="N851" i="5"/>
  <c r="A851" i="5"/>
  <c r="AD850" i="5"/>
  <c r="AC850" i="5"/>
  <c r="AB850" i="5"/>
  <c r="AA850" i="5"/>
  <c r="Z850" i="5"/>
  <c r="Y850" i="5"/>
  <c r="X850" i="5"/>
  <c r="W850" i="5"/>
  <c r="V850" i="5"/>
  <c r="U850" i="5"/>
  <c r="T850" i="5"/>
  <c r="S850" i="5"/>
  <c r="R850" i="5"/>
  <c r="Q850" i="5"/>
  <c r="P850" i="5"/>
  <c r="O850" i="5"/>
  <c r="N850" i="5"/>
  <c r="A850" i="5"/>
  <c r="AD844" i="5"/>
  <c r="AC844" i="5"/>
  <c r="AB844" i="5"/>
  <c r="AA844" i="5"/>
  <c r="Z844" i="5"/>
  <c r="Y844" i="5"/>
  <c r="X844" i="5"/>
  <c r="W844" i="5"/>
  <c r="V844" i="5"/>
  <c r="U844" i="5"/>
  <c r="T844" i="5"/>
  <c r="S844" i="5"/>
  <c r="R844" i="5"/>
  <c r="Q844" i="5"/>
  <c r="P844" i="5"/>
  <c r="O844" i="5"/>
  <c r="N844" i="5"/>
  <c r="M844" i="5"/>
  <c r="L844" i="5"/>
  <c r="A844" i="5" s="1"/>
  <c r="AD865" i="5"/>
  <c r="AC865" i="5"/>
  <c r="AB865" i="5"/>
  <c r="AA865" i="5"/>
  <c r="Z865" i="5"/>
  <c r="Y865" i="5"/>
  <c r="X865" i="5"/>
  <c r="W865" i="5"/>
  <c r="V865" i="5"/>
  <c r="U865" i="5"/>
  <c r="T865" i="5"/>
  <c r="S865" i="5"/>
  <c r="R865" i="5"/>
  <c r="Q865" i="5"/>
  <c r="P865" i="5"/>
  <c r="O865" i="5"/>
  <c r="N865" i="5"/>
  <c r="A865" i="5"/>
  <c r="AD846" i="5"/>
  <c r="AC846" i="5"/>
  <c r="AB846" i="5"/>
  <c r="AA846" i="5"/>
  <c r="Z846" i="5"/>
  <c r="Y846" i="5"/>
  <c r="X846" i="5"/>
  <c r="W846" i="5"/>
  <c r="V846" i="5"/>
  <c r="U846" i="5"/>
  <c r="T846" i="5"/>
  <c r="S846" i="5"/>
  <c r="R846" i="5"/>
  <c r="Q846" i="5"/>
  <c r="P846" i="5"/>
  <c r="O846" i="5"/>
  <c r="N846" i="5"/>
  <c r="M846" i="5"/>
  <c r="L846" i="5"/>
  <c r="A846" i="5" s="1"/>
  <c r="AD837" i="5"/>
  <c r="AC837" i="5"/>
  <c r="AB837" i="5"/>
  <c r="AA837" i="5"/>
  <c r="Z837" i="5"/>
  <c r="Y837" i="5"/>
  <c r="X837" i="5"/>
  <c r="W837" i="5"/>
  <c r="V837" i="5"/>
  <c r="U837" i="5"/>
  <c r="T837" i="5"/>
  <c r="S837" i="5"/>
  <c r="R837" i="5"/>
  <c r="Q837" i="5"/>
  <c r="P837" i="5"/>
  <c r="O837" i="5"/>
  <c r="N837" i="5"/>
  <c r="M837" i="5"/>
  <c r="L837" i="5"/>
  <c r="A837" i="5" s="1"/>
  <c r="AD811" i="5"/>
  <c r="AC811" i="5"/>
  <c r="AB811" i="5"/>
  <c r="AA811" i="5"/>
  <c r="Z811" i="5"/>
  <c r="Y811" i="5"/>
  <c r="X811" i="5"/>
  <c r="W811" i="5"/>
  <c r="V811" i="5"/>
  <c r="U811" i="5"/>
  <c r="T811" i="5"/>
  <c r="S811" i="5"/>
  <c r="R811" i="5"/>
  <c r="Q811" i="5"/>
  <c r="P811" i="5"/>
  <c r="O811" i="5"/>
  <c r="N811" i="5"/>
  <c r="M811" i="5"/>
  <c r="L811" i="5"/>
  <c r="A811" i="5" s="1"/>
  <c r="AD836" i="5"/>
  <c r="AC836" i="5"/>
  <c r="AB836" i="5"/>
  <c r="AA836" i="5"/>
  <c r="Z836" i="5"/>
  <c r="Y836" i="5"/>
  <c r="X836" i="5"/>
  <c r="W836" i="5"/>
  <c r="V836" i="5"/>
  <c r="U836" i="5"/>
  <c r="T836" i="5"/>
  <c r="S836" i="5"/>
  <c r="R836" i="5"/>
  <c r="Q836" i="5"/>
  <c r="P836" i="5"/>
  <c r="O836" i="5"/>
  <c r="N836" i="5"/>
  <c r="M836" i="5"/>
  <c r="L836" i="5"/>
  <c r="A836" i="5" s="1"/>
  <c r="AD834" i="5"/>
  <c r="AC834" i="5"/>
  <c r="AB834" i="5"/>
  <c r="AA834" i="5"/>
  <c r="Z834" i="5"/>
  <c r="Y834" i="5"/>
  <c r="X834" i="5"/>
  <c r="W834" i="5"/>
  <c r="V834" i="5"/>
  <c r="U834" i="5"/>
  <c r="T834" i="5"/>
  <c r="S834" i="5"/>
  <c r="R834" i="5"/>
  <c r="Q834" i="5"/>
  <c r="P834" i="5"/>
  <c r="O834" i="5"/>
  <c r="N834" i="5"/>
  <c r="M834" i="5"/>
  <c r="L834" i="5"/>
  <c r="A834" i="5" s="1"/>
  <c r="AD643" i="5"/>
  <c r="AC643" i="5"/>
  <c r="AB643" i="5"/>
  <c r="AA643" i="5"/>
  <c r="Z643" i="5"/>
  <c r="Y643" i="5"/>
  <c r="X643" i="5"/>
  <c r="W643" i="5"/>
  <c r="V643" i="5"/>
  <c r="U643" i="5"/>
  <c r="T643" i="5"/>
  <c r="S643" i="5"/>
  <c r="R643" i="5"/>
  <c r="Q643" i="5"/>
  <c r="P643" i="5"/>
  <c r="O643" i="5"/>
  <c r="N643" i="5"/>
  <c r="M643" i="5"/>
  <c r="L643" i="5"/>
  <c r="A643" i="5" s="1"/>
  <c r="AD630" i="5"/>
  <c r="AC630" i="5"/>
  <c r="AB630" i="5"/>
  <c r="AA630" i="5"/>
  <c r="Z630" i="5"/>
  <c r="Y630" i="5"/>
  <c r="X630" i="5"/>
  <c r="W630" i="5"/>
  <c r="V630" i="5"/>
  <c r="U630" i="5"/>
  <c r="T630" i="5"/>
  <c r="S630" i="5"/>
  <c r="R630" i="5"/>
  <c r="Q630" i="5"/>
  <c r="P630" i="5"/>
  <c r="O630" i="5"/>
  <c r="N630" i="5"/>
  <c r="M630" i="5"/>
  <c r="L630" i="5"/>
  <c r="A630" i="5" s="1"/>
  <c r="AD779" i="5"/>
  <c r="AC779" i="5"/>
  <c r="AB779" i="5"/>
  <c r="AA779" i="5"/>
  <c r="Z779" i="5"/>
  <c r="Y779" i="5"/>
  <c r="X779" i="5"/>
  <c r="W779" i="5"/>
  <c r="V779" i="5"/>
  <c r="U779" i="5"/>
  <c r="T779" i="5"/>
  <c r="S779" i="5"/>
  <c r="R779" i="5"/>
  <c r="Q779" i="5"/>
  <c r="P779" i="5"/>
  <c r="O779" i="5"/>
  <c r="N779" i="5"/>
  <c r="M779" i="5"/>
  <c r="L779" i="5"/>
  <c r="A779" i="5" s="1"/>
  <c r="AD778" i="5"/>
  <c r="AC778" i="5"/>
  <c r="AB778" i="5"/>
  <c r="AA778" i="5"/>
  <c r="Z778" i="5"/>
  <c r="Y778" i="5"/>
  <c r="X778" i="5"/>
  <c r="W778" i="5"/>
  <c r="V778" i="5"/>
  <c r="U778" i="5"/>
  <c r="T778" i="5"/>
  <c r="S778" i="5"/>
  <c r="R778" i="5"/>
  <c r="Q778" i="5"/>
  <c r="P778" i="5"/>
  <c r="O778" i="5"/>
  <c r="N778" i="5"/>
  <c r="M778" i="5"/>
  <c r="L778" i="5"/>
  <c r="A778" i="5" s="1"/>
  <c r="AD750" i="5"/>
  <c r="AC750" i="5"/>
  <c r="AB750" i="5"/>
  <c r="AA750" i="5"/>
  <c r="Z750" i="5"/>
  <c r="Y750" i="5"/>
  <c r="X750" i="5"/>
  <c r="W750" i="5"/>
  <c r="V750" i="5"/>
  <c r="U750" i="5"/>
  <c r="T750" i="5"/>
  <c r="S750" i="5"/>
  <c r="R750" i="5"/>
  <c r="Q750" i="5"/>
  <c r="P750" i="5"/>
  <c r="O750" i="5"/>
  <c r="N750" i="5"/>
  <c r="M750" i="5"/>
  <c r="L750" i="5"/>
  <c r="A750" i="5" s="1"/>
  <c r="AD749" i="5"/>
  <c r="AC749" i="5"/>
  <c r="AB749" i="5"/>
  <c r="AA749" i="5"/>
  <c r="Z749" i="5"/>
  <c r="Y749" i="5"/>
  <c r="X749" i="5"/>
  <c r="W749" i="5"/>
  <c r="V749" i="5"/>
  <c r="U749" i="5"/>
  <c r="T749" i="5"/>
  <c r="S749" i="5"/>
  <c r="R749" i="5"/>
  <c r="Q749" i="5"/>
  <c r="P749" i="5"/>
  <c r="O749" i="5"/>
  <c r="N749" i="5"/>
  <c r="M749" i="5"/>
  <c r="L749" i="5"/>
  <c r="A749" i="5" s="1"/>
  <c r="AD748" i="5"/>
  <c r="AC748" i="5"/>
  <c r="AB748" i="5"/>
  <c r="AA748" i="5"/>
  <c r="Z748" i="5"/>
  <c r="Y748" i="5"/>
  <c r="X748" i="5"/>
  <c r="W748" i="5"/>
  <c r="V748" i="5"/>
  <c r="U748" i="5"/>
  <c r="T748" i="5"/>
  <c r="S748" i="5"/>
  <c r="R748" i="5"/>
  <c r="Q748" i="5"/>
  <c r="P748" i="5"/>
  <c r="O748" i="5"/>
  <c r="N748" i="5"/>
  <c r="M748" i="5"/>
  <c r="L748" i="5"/>
  <c r="A748" i="5" s="1"/>
  <c r="AD642" i="5"/>
  <c r="AC642" i="5"/>
  <c r="AB642" i="5"/>
  <c r="AA642" i="5"/>
  <c r="Z642" i="5"/>
  <c r="Y642" i="5"/>
  <c r="X642" i="5"/>
  <c r="W642" i="5"/>
  <c r="V642" i="5"/>
  <c r="U642" i="5"/>
  <c r="T642" i="5"/>
  <c r="S642" i="5"/>
  <c r="R642" i="5"/>
  <c r="Q642" i="5"/>
  <c r="P642" i="5"/>
  <c r="O642" i="5"/>
  <c r="N642" i="5"/>
  <c r="M642" i="5"/>
  <c r="L642" i="5"/>
  <c r="A642" i="5" s="1"/>
  <c r="AD617" i="5"/>
  <c r="AC617" i="5"/>
  <c r="AB617" i="5"/>
  <c r="AA617" i="5"/>
  <c r="Z617" i="5"/>
  <c r="Y617" i="5"/>
  <c r="X617" i="5"/>
  <c r="W617" i="5"/>
  <c r="V617" i="5"/>
  <c r="U617" i="5"/>
  <c r="T617" i="5"/>
  <c r="S617" i="5"/>
  <c r="R617" i="5"/>
  <c r="Q617" i="5"/>
  <c r="P617" i="5"/>
  <c r="O617" i="5"/>
  <c r="N617" i="5"/>
  <c r="M617" i="5"/>
  <c r="L617" i="5"/>
  <c r="A617" i="5" s="1"/>
  <c r="AD616" i="5"/>
  <c r="AC616" i="5"/>
  <c r="AB616" i="5"/>
  <c r="AA616" i="5"/>
  <c r="Z616" i="5"/>
  <c r="Y616" i="5"/>
  <c r="X616" i="5"/>
  <c r="W616" i="5"/>
  <c r="V616" i="5"/>
  <c r="U616" i="5"/>
  <c r="T616" i="5"/>
  <c r="S616" i="5"/>
  <c r="R616" i="5"/>
  <c r="Q616" i="5"/>
  <c r="P616" i="5"/>
  <c r="O616" i="5"/>
  <c r="N616" i="5"/>
  <c r="M616" i="5"/>
  <c r="L616" i="5"/>
  <c r="A616" i="5" s="1"/>
  <c r="AD615" i="5"/>
  <c r="AC615" i="5"/>
  <c r="AB615" i="5"/>
  <c r="AA615" i="5"/>
  <c r="Z615" i="5"/>
  <c r="Y615" i="5"/>
  <c r="X615" i="5"/>
  <c r="W615" i="5"/>
  <c r="V615" i="5"/>
  <c r="U615" i="5"/>
  <c r="T615" i="5"/>
  <c r="S615" i="5"/>
  <c r="R615" i="5"/>
  <c r="Q615" i="5"/>
  <c r="P615" i="5"/>
  <c r="O615" i="5"/>
  <c r="N615" i="5"/>
  <c r="M615" i="5"/>
  <c r="L615" i="5"/>
  <c r="A615" i="5" s="1"/>
  <c r="AD614" i="5"/>
  <c r="AC614" i="5"/>
  <c r="AB614" i="5"/>
  <c r="AA614" i="5"/>
  <c r="Z614" i="5"/>
  <c r="Y614" i="5"/>
  <c r="X614" i="5"/>
  <c r="W614" i="5"/>
  <c r="V614" i="5"/>
  <c r="U614" i="5"/>
  <c r="T614" i="5"/>
  <c r="S614" i="5"/>
  <c r="R614" i="5"/>
  <c r="Q614" i="5"/>
  <c r="P614" i="5"/>
  <c r="O614" i="5"/>
  <c r="N614" i="5"/>
  <c r="M614" i="5"/>
  <c r="L614" i="5"/>
  <c r="A614" i="5" s="1"/>
  <c r="AD628" i="5"/>
  <c r="AC628" i="5"/>
  <c r="AB628" i="5"/>
  <c r="AA628" i="5"/>
  <c r="Z628" i="5"/>
  <c r="Y628" i="5"/>
  <c r="X628" i="5"/>
  <c r="W628" i="5"/>
  <c r="V628" i="5"/>
  <c r="U628" i="5"/>
  <c r="T628" i="5"/>
  <c r="S628" i="5"/>
  <c r="R628" i="5"/>
  <c r="Q628" i="5"/>
  <c r="P628" i="5"/>
  <c r="O628" i="5"/>
  <c r="N628" i="5"/>
  <c r="M628" i="5"/>
  <c r="L628" i="5"/>
  <c r="A628" i="5" s="1"/>
  <c r="AD627" i="5"/>
  <c r="AC627" i="5"/>
  <c r="AB627" i="5"/>
  <c r="AA627" i="5"/>
  <c r="Z627" i="5"/>
  <c r="Y627" i="5"/>
  <c r="X627" i="5"/>
  <c r="W627" i="5"/>
  <c r="V627" i="5"/>
  <c r="U627" i="5"/>
  <c r="T627" i="5"/>
  <c r="S627" i="5"/>
  <c r="R627" i="5"/>
  <c r="Q627" i="5"/>
  <c r="P627" i="5"/>
  <c r="O627" i="5"/>
  <c r="N627" i="5"/>
  <c r="M627" i="5"/>
  <c r="L627" i="5"/>
  <c r="A627" i="5" s="1"/>
  <c r="AD651" i="5"/>
  <c r="AC651" i="5"/>
  <c r="AB651" i="5"/>
  <c r="AA651" i="5"/>
  <c r="Z651" i="5"/>
  <c r="Y651" i="5"/>
  <c r="X651" i="5"/>
  <c r="W651" i="5"/>
  <c r="V651" i="5"/>
  <c r="U651" i="5"/>
  <c r="T651" i="5"/>
  <c r="S651" i="5"/>
  <c r="R651" i="5"/>
  <c r="Q651" i="5"/>
  <c r="P651" i="5"/>
  <c r="O651" i="5"/>
  <c r="N651" i="5"/>
  <c r="M651" i="5"/>
  <c r="L651" i="5"/>
  <c r="A651" i="5" s="1"/>
  <c r="AD700" i="5"/>
  <c r="AC700" i="5"/>
  <c r="AB700" i="5"/>
  <c r="AA700" i="5"/>
  <c r="Z700" i="5"/>
  <c r="Y700" i="5"/>
  <c r="X700" i="5"/>
  <c r="W700" i="5"/>
  <c r="V700" i="5"/>
  <c r="U700" i="5"/>
  <c r="T700" i="5"/>
  <c r="S700" i="5"/>
  <c r="R700" i="5"/>
  <c r="Q700" i="5"/>
  <c r="P700" i="5"/>
  <c r="O700" i="5"/>
  <c r="N700" i="5"/>
  <c r="M700" i="5"/>
  <c r="L700" i="5"/>
  <c r="A700" i="5" s="1"/>
  <c r="AD699" i="5"/>
  <c r="AC699" i="5"/>
  <c r="AB699" i="5"/>
  <c r="AA699" i="5"/>
  <c r="Z699" i="5"/>
  <c r="Y699" i="5"/>
  <c r="X699" i="5"/>
  <c r="W699" i="5"/>
  <c r="V699" i="5"/>
  <c r="U699" i="5"/>
  <c r="T699" i="5"/>
  <c r="S699" i="5"/>
  <c r="R699" i="5"/>
  <c r="Q699" i="5"/>
  <c r="P699" i="5"/>
  <c r="O699" i="5"/>
  <c r="N699" i="5"/>
  <c r="M699" i="5"/>
  <c r="L699" i="5"/>
  <c r="A699" i="5" s="1"/>
  <c r="AD650" i="5"/>
  <c r="AC650" i="5"/>
  <c r="AB650" i="5"/>
  <c r="AA650" i="5"/>
  <c r="Z650" i="5"/>
  <c r="Y650" i="5"/>
  <c r="X650" i="5"/>
  <c r="W650" i="5"/>
  <c r="V650" i="5"/>
  <c r="U650" i="5"/>
  <c r="T650" i="5"/>
  <c r="S650" i="5"/>
  <c r="R650" i="5"/>
  <c r="Q650" i="5"/>
  <c r="P650" i="5"/>
  <c r="O650" i="5"/>
  <c r="N650" i="5"/>
  <c r="M650" i="5"/>
  <c r="L650" i="5"/>
  <c r="A650" i="5" s="1"/>
  <c r="AD649" i="5"/>
  <c r="AC649" i="5"/>
  <c r="AB649" i="5"/>
  <c r="AA649" i="5"/>
  <c r="Z649" i="5"/>
  <c r="Y649" i="5"/>
  <c r="X649" i="5"/>
  <c r="W649" i="5"/>
  <c r="V649" i="5"/>
  <c r="U649" i="5"/>
  <c r="T649" i="5"/>
  <c r="S649" i="5"/>
  <c r="R649" i="5"/>
  <c r="Q649" i="5"/>
  <c r="P649" i="5"/>
  <c r="O649" i="5"/>
  <c r="N649" i="5"/>
  <c r="M649" i="5"/>
  <c r="L649" i="5"/>
  <c r="A649" i="5" s="1"/>
  <c r="AD648" i="5"/>
  <c r="AC648" i="5"/>
  <c r="AB648" i="5"/>
  <c r="AA648" i="5"/>
  <c r="Z648" i="5"/>
  <c r="Y648" i="5"/>
  <c r="X648" i="5"/>
  <c r="W648" i="5"/>
  <c r="V648" i="5"/>
  <c r="U648" i="5"/>
  <c r="T648" i="5"/>
  <c r="S648" i="5"/>
  <c r="R648" i="5"/>
  <c r="Q648" i="5"/>
  <c r="P648" i="5"/>
  <c r="O648" i="5"/>
  <c r="N648" i="5"/>
  <c r="M648" i="5"/>
  <c r="L648" i="5"/>
  <c r="A648" i="5" s="1"/>
  <c r="AD635" i="5"/>
  <c r="AC635" i="5"/>
  <c r="AB635" i="5"/>
  <c r="AA635" i="5"/>
  <c r="Z635" i="5"/>
  <c r="Y635" i="5"/>
  <c r="X635" i="5"/>
  <c r="W635" i="5"/>
  <c r="V635" i="5"/>
  <c r="U635" i="5"/>
  <c r="T635" i="5"/>
  <c r="S635" i="5"/>
  <c r="R635" i="5"/>
  <c r="Q635" i="5"/>
  <c r="P635" i="5"/>
  <c r="O635" i="5"/>
  <c r="N635" i="5"/>
  <c r="M635" i="5"/>
  <c r="L635" i="5"/>
  <c r="A635" i="5" s="1"/>
  <c r="AD634" i="5"/>
  <c r="AC634" i="5"/>
  <c r="AB634" i="5"/>
  <c r="AA634" i="5"/>
  <c r="Z634" i="5"/>
  <c r="Y634" i="5"/>
  <c r="X634" i="5"/>
  <c r="W634" i="5"/>
  <c r="V634" i="5"/>
  <c r="U634" i="5"/>
  <c r="T634" i="5"/>
  <c r="S634" i="5"/>
  <c r="R634" i="5"/>
  <c r="Q634" i="5"/>
  <c r="P634" i="5"/>
  <c r="O634" i="5"/>
  <c r="N634" i="5"/>
  <c r="M634" i="5"/>
  <c r="L634" i="5"/>
  <c r="A634" i="5" s="1"/>
  <c r="AD613" i="5"/>
  <c r="AC613" i="5"/>
  <c r="AB613" i="5"/>
  <c r="AA613" i="5"/>
  <c r="Z613" i="5"/>
  <c r="Y613" i="5"/>
  <c r="X613" i="5"/>
  <c r="W613" i="5"/>
  <c r="V613" i="5"/>
  <c r="U613" i="5"/>
  <c r="T613" i="5"/>
  <c r="S613" i="5"/>
  <c r="R613" i="5"/>
  <c r="Q613" i="5"/>
  <c r="P613" i="5"/>
  <c r="O613" i="5"/>
  <c r="N613" i="5"/>
  <c r="M613" i="5"/>
  <c r="L613" i="5"/>
  <c r="A613" i="5" s="1"/>
  <c r="AD589" i="5"/>
  <c r="AC589" i="5"/>
  <c r="AB589" i="5"/>
  <c r="AA589" i="5"/>
  <c r="Z589" i="5"/>
  <c r="Y589" i="5"/>
  <c r="X589" i="5"/>
  <c r="W589" i="5"/>
  <c r="V589" i="5"/>
  <c r="U589" i="5"/>
  <c r="T589" i="5"/>
  <c r="S589" i="5"/>
  <c r="R589" i="5"/>
  <c r="Q589" i="5"/>
  <c r="P589" i="5"/>
  <c r="O589" i="5"/>
  <c r="N589" i="5"/>
  <c r="M589" i="5"/>
  <c r="L589" i="5"/>
  <c r="A589" i="5" s="1"/>
  <c r="AD647" i="5"/>
  <c r="AC647" i="5"/>
  <c r="AB647" i="5"/>
  <c r="AA647" i="5"/>
  <c r="Z647" i="5"/>
  <c r="Y647" i="5"/>
  <c r="X647" i="5"/>
  <c r="W647" i="5"/>
  <c r="V647" i="5"/>
  <c r="U647" i="5"/>
  <c r="T647" i="5"/>
  <c r="S647" i="5"/>
  <c r="R647" i="5"/>
  <c r="Q647" i="5"/>
  <c r="P647" i="5"/>
  <c r="O647" i="5"/>
  <c r="N647" i="5"/>
  <c r="M647" i="5"/>
  <c r="L647" i="5"/>
  <c r="A647" i="5" s="1"/>
  <c r="AD784" i="5"/>
  <c r="AC784" i="5"/>
  <c r="AB784" i="5"/>
  <c r="AA784" i="5"/>
  <c r="Z784" i="5"/>
  <c r="Y784" i="5"/>
  <c r="X784" i="5"/>
  <c r="W784" i="5"/>
  <c r="V784" i="5"/>
  <c r="U784" i="5"/>
  <c r="T784" i="5"/>
  <c r="S784" i="5"/>
  <c r="R784" i="5"/>
  <c r="Q784" i="5"/>
  <c r="P784" i="5"/>
  <c r="O784" i="5"/>
  <c r="N784" i="5"/>
  <c r="M784" i="5"/>
  <c r="L784" i="5"/>
  <c r="A784" i="5" s="1"/>
  <c r="AD669" i="5"/>
  <c r="AC669" i="5"/>
  <c r="AB669" i="5"/>
  <c r="AA669" i="5"/>
  <c r="Z669" i="5"/>
  <c r="Y669" i="5"/>
  <c r="X669" i="5"/>
  <c r="W669" i="5"/>
  <c r="V669" i="5"/>
  <c r="U669" i="5"/>
  <c r="T669" i="5"/>
  <c r="S669" i="5"/>
  <c r="R669" i="5"/>
  <c r="Q669" i="5"/>
  <c r="P669" i="5"/>
  <c r="O669" i="5"/>
  <c r="N669" i="5"/>
  <c r="M669" i="5"/>
  <c r="L669" i="5"/>
  <c r="A669" i="5" s="1"/>
  <c r="AD698" i="5"/>
  <c r="AC698" i="5"/>
  <c r="AB698" i="5"/>
  <c r="AA698" i="5"/>
  <c r="Z698" i="5"/>
  <c r="Y698" i="5"/>
  <c r="X698" i="5"/>
  <c r="W698" i="5"/>
  <c r="V698" i="5"/>
  <c r="U698" i="5"/>
  <c r="T698" i="5"/>
  <c r="S698" i="5"/>
  <c r="R698" i="5"/>
  <c r="Q698" i="5"/>
  <c r="P698" i="5"/>
  <c r="O698" i="5"/>
  <c r="N698" i="5"/>
  <c r="M698" i="5"/>
  <c r="L698" i="5"/>
  <c r="A698" i="5" s="1"/>
  <c r="AD810" i="5"/>
  <c r="AC810" i="5"/>
  <c r="AB810" i="5"/>
  <c r="AA810" i="5"/>
  <c r="Z810" i="5"/>
  <c r="Y810" i="5"/>
  <c r="X810" i="5"/>
  <c r="W810" i="5"/>
  <c r="V810" i="5"/>
  <c r="U810" i="5"/>
  <c r="T810" i="5"/>
  <c r="S810" i="5"/>
  <c r="R810" i="5"/>
  <c r="Q810" i="5"/>
  <c r="P810" i="5"/>
  <c r="O810" i="5"/>
  <c r="N810" i="5"/>
  <c r="M810" i="5"/>
  <c r="L810" i="5"/>
  <c r="A810" i="5" s="1"/>
  <c r="AD697" i="5"/>
  <c r="AC697" i="5"/>
  <c r="AB697" i="5"/>
  <c r="AA697" i="5"/>
  <c r="Z697" i="5"/>
  <c r="Y697" i="5"/>
  <c r="X697" i="5"/>
  <c r="W697" i="5"/>
  <c r="V697" i="5"/>
  <c r="U697" i="5"/>
  <c r="T697" i="5"/>
  <c r="S697" i="5"/>
  <c r="R697" i="5"/>
  <c r="Q697" i="5"/>
  <c r="P697" i="5"/>
  <c r="O697" i="5"/>
  <c r="N697" i="5"/>
  <c r="M697" i="5"/>
  <c r="L697" i="5"/>
  <c r="A697" i="5" s="1"/>
  <c r="AD783" i="5"/>
  <c r="AC783" i="5"/>
  <c r="AB783" i="5"/>
  <c r="AA783" i="5"/>
  <c r="Z783" i="5"/>
  <c r="Y783" i="5"/>
  <c r="X783" i="5"/>
  <c r="W783" i="5"/>
  <c r="V783" i="5"/>
  <c r="U783" i="5"/>
  <c r="T783" i="5"/>
  <c r="S783" i="5"/>
  <c r="R783" i="5"/>
  <c r="Q783" i="5"/>
  <c r="P783" i="5"/>
  <c r="O783" i="5"/>
  <c r="N783" i="5"/>
  <c r="M783" i="5"/>
  <c r="L783" i="5"/>
  <c r="A783" i="5" s="1"/>
  <c r="AD696" i="5"/>
  <c r="AC696" i="5"/>
  <c r="AB696" i="5"/>
  <c r="AA696" i="5"/>
  <c r="Z696" i="5"/>
  <c r="Y696" i="5"/>
  <c r="X696" i="5"/>
  <c r="W696" i="5"/>
  <c r="V696" i="5"/>
  <c r="U696" i="5"/>
  <c r="T696" i="5"/>
  <c r="S696" i="5"/>
  <c r="R696" i="5"/>
  <c r="Q696" i="5"/>
  <c r="P696" i="5"/>
  <c r="O696" i="5"/>
  <c r="N696" i="5"/>
  <c r="M696" i="5"/>
  <c r="L696" i="5"/>
  <c r="A696" i="5" s="1"/>
  <c r="AD809" i="5"/>
  <c r="AC809" i="5"/>
  <c r="AB809" i="5"/>
  <c r="AA809" i="5"/>
  <c r="Z809" i="5"/>
  <c r="Y809" i="5"/>
  <c r="X809" i="5"/>
  <c r="W809" i="5"/>
  <c r="V809" i="5"/>
  <c r="U809" i="5"/>
  <c r="T809" i="5"/>
  <c r="S809" i="5"/>
  <c r="R809" i="5"/>
  <c r="Q809" i="5"/>
  <c r="P809" i="5"/>
  <c r="O809" i="5"/>
  <c r="N809" i="5"/>
  <c r="M809" i="5"/>
  <c r="L809" i="5"/>
  <c r="A809" i="5" s="1"/>
  <c r="AD823" i="5"/>
  <c r="AC823" i="5"/>
  <c r="AB823" i="5"/>
  <c r="AA823" i="5"/>
  <c r="Z823" i="5"/>
  <c r="Y823" i="5"/>
  <c r="X823" i="5"/>
  <c r="W823" i="5"/>
  <c r="V823" i="5"/>
  <c r="U823" i="5"/>
  <c r="T823" i="5"/>
  <c r="S823" i="5"/>
  <c r="R823" i="5"/>
  <c r="Q823" i="5"/>
  <c r="P823" i="5"/>
  <c r="O823" i="5"/>
  <c r="N823" i="5"/>
  <c r="M823" i="5"/>
  <c r="L823" i="5"/>
  <c r="A823" i="5" s="1"/>
  <c r="AD770" i="5"/>
  <c r="AC770" i="5"/>
  <c r="AB770" i="5"/>
  <c r="AA770" i="5"/>
  <c r="Z770" i="5"/>
  <c r="Y770" i="5"/>
  <c r="X770" i="5"/>
  <c r="W770" i="5"/>
  <c r="V770" i="5"/>
  <c r="U770" i="5"/>
  <c r="T770" i="5"/>
  <c r="S770" i="5"/>
  <c r="R770" i="5"/>
  <c r="Q770" i="5"/>
  <c r="P770" i="5"/>
  <c r="O770" i="5"/>
  <c r="N770" i="5"/>
  <c r="M770" i="5"/>
  <c r="L770" i="5"/>
  <c r="A770" i="5" s="1"/>
  <c r="AD864" i="5"/>
  <c r="AC864" i="5"/>
  <c r="AB864" i="5"/>
  <c r="AA864" i="5"/>
  <c r="Z864" i="5"/>
  <c r="Y864" i="5"/>
  <c r="X864" i="5"/>
  <c r="W864" i="5"/>
  <c r="V864" i="5"/>
  <c r="U864" i="5"/>
  <c r="T864" i="5"/>
  <c r="S864" i="5"/>
  <c r="R864" i="5"/>
  <c r="Q864" i="5"/>
  <c r="P864" i="5"/>
  <c r="O864" i="5"/>
  <c r="N864" i="5"/>
  <c r="A864" i="5"/>
  <c r="AD822" i="5"/>
  <c r="AC822" i="5"/>
  <c r="AB822" i="5"/>
  <c r="AA822" i="5"/>
  <c r="Z822" i="5"/>
  <c r="Y822" i="5"/>
  <c r="X822" i="5"/>
  <c r="W822" i="5"/>
  <c r="V822" i="5"/>
  <c r="U822" i="5"/>
  <c r="T822" i="5"/>
  <c r="S822" i="5"/>
  <c r="R822" i="5"/>
  <c r="Q822" i="5"/>
  <c r="P822" i="5"/>
  <c r="O822" i="5"/>
  <c r="N822" i="5"/>
  <c r="M822" i="5"/>
  <c r="L822" i="5"/>
  <c r="A822" i="5" s="1"/>
  <c r="AD835" i="5"/>
  <c r="AC835" i="5"/>
  <c r="AB835" i="5"/>
  <c r="AA835" i="5"/>
  <c r="Z835" i="5"/>
  <c r="Y835" i="5"/>
  <c r="X835" i="5"/>
  <c r="W835" i="5"/>
  <c r="V835" i="5"/>
  <c r="U835" i="5"/>
  <c r="T835" i="5"/>
  <c r="S835" i="5"/>
  <c r="R835" i="5"/>
  <c r="Q835" i="5"/>
  <c r="P835" i="5"/>
  <c r="O835" i="5"/>
  <c r="N835" i="5"/>
  <c r="M835" i="5"/>
  <c r="L835" i="5"/>
  <c r="A835" i="5" s="1"/>
  <c r="AD827" i="5"/>
  <c r="AC827" i="5"/>
  <c r="AB827" i="5"/>
  <c r="AA827" i="5"/>
  <c r="Z827" i="5"/>
  <c r="Y827" i="5"/>
  <c r="X827" i="5"/>
  <c r="W827" i="5"/>
  <c r="V827" i="5"/>
  <c r="U827" i="5"/>
  <c r="T827" i="5"/>
  <c r="S827" i="5"/>
  <c r="R827" i="5"/>
  <c r="Q827" i="5"/>
  <c r="P827" i="5"/>
  <c r="O827" i="5"/>
  <c r="N827" i="5"/>
  <c r="M827" i="5"/>
  <c r="L827" i="5"/>
  <c r="A827" i="5" s="1"/>
  <c r="AD808" i="5"/>
  <c r="AC808" i="5"/>
  <c r="AB808" i="5"/>
  <c r="AA808" i="5"/>
  <c r="Z808" i="5"/>
  <c r="Y808" i="5"/>
  <c r="X808" i="5"/>
  <c r="W808" i="5"/>
  <c r="V808" i="5"/>
  <c r="U808" i="5"/>
  <c r="T808" i="5"/>
  <c r="S808" i="5"/>
  <c r="R808" i="5"/>
  <c r="Q808" i="5"/>
  <c r="P808" i="5"/>
  <c r="O808" i="5"/>
  <c r="N808" i="5"/>
  <c r="M808" i="5"/>
  <c r="L808" i="5"/>
  <c r="A808" i="5" s="1"/>
  <c r="AD863" i="5"/>
  <c r="AC863" i="5"/>
  <c r="AB863" i="5"/>
  <c r="AA863" i="5"/>
  <c r="Z863" i="5"/>
  <c r="Y863" i="5"/>
  <c r="X863" i="5"/>
  <c r="W863" i="5"/>
  <c r="V863" i="5"/>
  <c r="U863" i="5"/>
  <c r="T863" i="5"/>
  <c r="S863" i="5"/>
  <c r="R863" i="5"/>
  <c r="Q863" i="5"/>
  <c r="P863" i="5"/>
  <c r="O863" i="5"/>
  <c r="N863" i="5"/>
  <c r="A863" i="5"/>
  <c r="AD659" i="5"/>
  <c r="AC659" i="5"/>
  <c r="AB659" i="5"/>
  <c r="AA659" i="5"/>
  <c r="Z659" i="5"/>
  <c r="Y659" i="5"/>
  <c r="X659" i="5"/>
  <c r="W659" i="5"/>
  <c r="V659" i="5"/>
  <c r="U659" i="5"/>
  <c r="T659" i="5"/>
  <c r="S659" i="5"/>
  <c r="R659" i="5"/>
  <c r="Q659" i="5"/>
  <c r="P659" i="5"/>
  <c r="O659" i="5"/>
  <c r="N659" i="5"/>
  <c r="M659" i="5"/>
  <c r="L659" i="5"/>
  <c r="A659" i="5" s="1"/>
  <c r="AD807" i="5"/>
  <c r="AC807" i="5"/>
  <c r="AB807" i="5"/>
  <c r="AA807" i="5"/>
  <c r="Z807" i="5"/>
  <c r="Y807" i="5"/>
  <c r="X807" i="5"/>
  <c r="W807" i="5"/>
  <c r="V807" i="5"/>
  <c r="U807" i="5"/>
  <c r="T807" i="5"/>
  <c r="S807" i="5"/>
  <c r="R807" i="5"/>
  <c r="Q807" i="5"/>
  <c r="P807" i="5"/>
  <c r="O807" i="5"/>
  <c r="N807" i="5"/>
  <c r="M807" i="5"/>
  <c r="L807" i="5"/>
  <c r="A807" i="5" s="1"/>
  <c r="AD806" i="5"/>
  <c r="AC806" i="5"/>
  <c r="AB806" i="5"/>
  <c r="AA806" i="5"/>
  <c r="Z806" i="5"/>
  <c r="Y806" i="5"/>
  <c r="X806" i="5"/>
  <c r="W806" i="5"/>
  <c r="V806" i="5"/>
  <c r="U806" i="5"/>
  <c r="T806" i="5"/>
  <c r="S806" i="5"/>
  <c r="R806" i="5"/>
  <c r="Q806" i="5"/>
  <c r="P806" i="5"/>
  <c r="O806" i="5"/>
  <c r="N806" i="5"/>
  <c r="M806" i="5"/>
  <c r="L806" i="5"/>
  <c r="A806" i="5" s="1"/>
  <c r="AD794" i="5"/>
  <c r="AC794" i="5"/>
  <c r="AB794" i="5"/>
  <c r="AA794" i="5"/>
  <c r="Z794" i="5"/>
  <c r="Y794" i="5"/>
  <c r="X794" i="5"/>
  <c r="W794" i="5"/>
  <c r="V794" i="5"/>
  <c r="U794" i="5"/>
  <c r="T794" i="5"/>
  <c r="S794" i="5"/>
  <c r="R794" i="5"/>
  <c r="Q794" i="5"/>
  <c r="P794" i="5"/>
  <c r="O794" i="5"/>
  <c r="N794" i="5"/>
  <c r="M794" i="5"/>
  <c r="L794" i="5"/>
  <c r="A794" i="5" s="1"/>
  <c r="AD793" i="5"/>
  <c r="AC793" i="5"/>
  <c r="AB793" i="5"/>
  <c r="AA793" i="5"/>
  <c r="Z793" i="5"/>
  <c r="Y793" i="5"/>
  <c r="X793" i="5"/>
  <c r="W793" i="5"/>
  <c r="V793" i="5"/>
  <c r="U793" i="5"/>
  <c r="T793" i="5"/>
  <c r="S793" i="5"/>
  <c r="R793" i="5"/>
  <c r="Q793" i="5"/>
  <c r="P793" i="5"/>
  <c r="O793" i="5"/>
  <c r="N793" i="5"/>
  <c r="M793" i="5"/>
  <c r="L793" i="5"/>
  <c r="A793" i="5" s="1"/>
  <c r="AD843" i="5"/>
  <c r="AC843" i="5"/>
  <c r="AB843" i="5"/>
  <c r="AA843" i="5"/>
  <c r="Z843" i="5"/>
  <c r="Y843" i="5"/>
  <c r="X843" i="5"/>
  <c r="W843" i="5"/>
  <c r="V843" i="5"/>
  <c r="U843" i="5"/>
  <c r="T843" i="5"/>
  <c r="S843" i="5"/>
  <c r="R843" i="5"/>
  <c r="Q843" i="5"/>
  <c r="P843" i="5"/>
  <c r="O843" i="5"/>
  <c r="N843" i="5"/>
  <c r="M843" i="5"/>
  <c r="L843" i="5"/>
  <c r="A843" i="5" s="1"/>
  <c r="AD821" i="5"/>
  <c r="AC821" i="5"/>
  <c r="AB821" i="5"/>
  <c r="AA821" i="5"/>
  <c r="Z821" i="5"/>
  <c r="Y821" i="5"/>
  <c r="X821" i="5"/>
  <c r="W821" i="5"/>
  <c r="V821" i="5"/>
  <c r="U821" i="5"/>
  <c r="T821" i="5"/>
  <c r="S821" i="5"/>
  <c r="R821" i="5"/>
  <c r="Q821" i="5"/>
  <c r="P821" i="5"/>
  <c r="O821" i="5"/>
  <c r="N821" i="5"/>
  <c r="M821" i="5"/>
  <c r="L821" i="5"/>
  <c r="A821" i="5" s="1"/>
  <c r="AD862" i="5"/>
  <c r="AC862" i="5"/>
  <c r="AB862" i="5"/>
  <c r="AA862" i="5"/>
  <c r="Z862" i="5"/>
  <c r="Y862" i="5"/>
  <c r="X862" i="5"/>
  <c r="W862" i="5"/>
  <c r="V862" i="5"/>
  <c r="U862" i="5"/>
  <c r="T862" i="5"/>
  <c r="S862" i="5"/>
  <c r="R862" i="5"/>
  <c r="Q862" i="5"/>
  <c r="P862" i="5"/>
  <c r="O862" i="5"/>
  <c r="N862" i="5"/>
  <c r="A862" i="5"/>
  <c r="AD695" i="5"/>
  <c r="AC695" i="5"/>
  <c r="AB695" i="5"/>
  <c r="AA695" i="5"/>
  <c r="Z695" i="5"/>
  <c r="Y695" i="5"/>
  <c r="X695" i="5"/>
  <c r="W695" i="5"/>
  <c r="V695" i="5"/>
  <c r="U695" i="5"/>
  <c r="T695" i="5"/>
  <c r="S695" i="5"/>
  <c r="R695" i="5"/>
  <c r="Q695" i="5"/>
  <c r="P695" i="5"/>
  <c r="O695" i="5"/>
  <c r="N695" i="5"/>
  <c r="M695" i="5"/>
  <c r="L695" i="5"/>
  <c r="A695" i="5" s="1"/>
  <c r="AD838" i="5"/>
  <c r="AC838" i="5"/>
  <c r="AB838" i="5"/>
  <c r="AA838" i="5"/>
  <c r="Z838" i="5"/>
  <c r="Y838" i="5"/>
  <c r="X838" i="5"/>
  <c r="W838" i="5"/>
  <c r="V838" i="5"/>
  <c r="U838" i="5"/>
  <c r="T838" i="5"/>
  <c r="S838" i="5"/>
  <c r="R838" i="5"/>
  <c r="Q838" i="5"/>
  <c r="P838" i="5"/>
  <c r="O838" i="5"/>
  <c r="N838" i="5"/>
  <c r="M838" i="5"/>
  <c r="L838" i="5"/>
  <c r="A838" i="5" s="1"/>
  <c r="AD769" i="5"/>
  <c r="AC769" i="5"/>
  <c r="AB769" i="5"/>
  <c r="AA769" i="5"/>
  <c r="Z769" i="5"/>
  <c r="Y769" i="5"/>
  <c r="X769" i="5"/>
  <c r="W769" i="5"/>
  <c r="V769" i="5"/>
  <c r="U769" i="5"/>
  <c r="T769" i="5"/>
  <c r="S769" i="5"/>
  <c r="R769" i="5"/>
  <c r="Q769" i="5"/>
  <c r="P769" i="5"/>
  <c r="O769" i="5"/>
  <c r="N769" i="5"/>
  <c r="M769" i="5"/>
  <c r="L769" i="5"/>
  <c r="A769" i="5" s="1"/>
  <c r="AD858" i="5"/>
  <c r="AC858" i="5"/>
  <c r="AB858" i="5"/>
  <c r="AA858" i="5"/>
  <c r="Z858" i="5"/>
  <c r="Y858" i="5"/>
  <c r="X858" i="5"/>
  <c r="W858" i="5"/>
  <c r="V858" i="5"/>
  <c r="U858" i="5"/>
  <c r="T858" i="5"/>
  <c r="S858" i="5"/>
  <c r="R858" i="5"/>
  <c r="Q858" i="5"/>
  <c r="P858" i="5"/>
  <c r="O858" i="5"/>
  <c r="N858" i="5"/>
  <c r="A858" i="5"/>
  <c r="AD857" i="5"/>
  <c r="AC857" i="5"/>
  <c r="AB857" i="5"/>
  <c r="AA857" i="5"/>
  <c r="Z857" i="5"/>
  <c r="Y857" i="5"/>
  <c r="X857" i="5"/>
  <c r="W857" i="5"/>
  <c r="V857" i="5"/>
  <c r="U857" i="5"/>
  <c r="T857" i="5"/>
  <c r="S857" i="5"/>
  <c r="R857" i="5"/>
  <c r="Q857" i="5"/>
  <c r="P857" i="5"/>
  <c r="O857" i="5"/>
  <c r="N857" i="5"/>
  <c r="A857" i="5"/>
  <c r="AD878" i="5"/>
  <c r="AC878" i="5"/>
  <c r="AB878" i="5"/>
  <c r="AA878" i="5"/>
  <c r="Z878" i="5"/>
  <c r="Y878" i="5"/>
  <c r="X878" i="5"/>
  <c r="W878" i="5"/>
  <c r="V878" i="5"/>
  <c r="U878" i="5"/>
  <c r="T878" i="5"/>
  <c r="S878" i="5"/>
  <c r="R878" i="5"/>
  <c r="Q878" i="5"/>
  <c r="P878" i="5"/>
  <c r="O878" i="5"/>
  <c r="N878" i="5"/>
  <c r="M878" i="5"/>
  <c r="L878" i="5"/>
  <c r="A878" i="5" s="1"/>
  <c r="AD877" i="5"/>
  <c r="AC877" i="5"/>
  <c r="AB877" i="5"/>
  <c r="AA877" i="5"/>
  <c r="Z877" i="5"/>
  <c r="Y877" i="5"/>
  <c r="X877" i="5"/>
  <c r="W877" i="5"/>
  <c r="V877" i="5"/>
  <c r="U877" i="5"/>
  <c r="T877" i="5"/>
  <c r="S877" i="5"/>
  <c r="R877" i="5"/>
  <c r="Q877" i="5"/>
  <c r="P877" i="5"/>
  <c r="O877" i="5"/>
  <c r="N877" i="5"/>
  <c r="M877" i="5"/>
  <c r="L877" i="5"/>
  <c r="A877" i="5" s="1"/>
  <c r="AD646" i="5"/>
  <c r="AC646" i="5"/>
  <c r="AB646" i="5"/>
  <c r="AA646" i="5"/>
  <c r="Z646" i="5"/>
  <c r="Y646" i="5"/>
  <c r="X646" i="5"/>
  <c r="W646" i="5"/>
  <c r="V646" i="5"/>
  <c r="U646" i="5"/>
  <c r="T646" i="5"/>
  <c r="S646" i="5"/>
  <c r="R646" i="5"/>
  <c r="Q646" i="5"/>
  <c r="P646" i="5"/>
  <c r="O646" i="5"/>
  <c r="N646" i="5"/>
  <c r="M646" i="5"/>
  <c r="L646" i="5"/>
  <c r="A646" i="5" s="1"/>
  <c r="AD694" i="5"/>
  <c r="AC694" i="5"/>
  <c r="AB694" i="5"/>
  <c r="AA694" i="5"/>
  <c r="Z694" i="5"/>
  <c r="Y694" i="5"/>
  <c r="X694" i="5"/>
  <c r="W694" i="5"/>
  <c r="V694" i="5"/>
  <c r="U694" i="5"/>
  <c r="T694" i="5"/>
  <c r="S694" i="5"/>
  <c r="R694" i="5"/>
  <c r="Q694" i="5"/>
  <c r="P694" i="5"/>
  <c r="O694" i="5"/>
  <c r="N694" i="5"/>
  <c r="M694" i="5"/>
  <c r="L694" i="5"/>
  <c r="A694" i="5" s="1"/>
  <c r="AD788" i="5"/>
  <c r="AC788" i="5"/>
  <c r="AB788" i="5"/>
  <c r="AA788" i="5"/>
  <c r="Z788" i="5"/>
  <c r="Y788" i="5"/>
  <c r="X788" i="5"/>
  <c r="W788" i="5"/>
  <c r="V788" i="5"/>
  <c r="U788" i="5"/>
  <c r="T788" i="5"/>
  <c r="S788" i="5"/>
  <c r="R788" i="5"/>
  <c r="Q788" i="5"/>
  <c r="P788" i="5"/>
  <c r="O788" i="5"/>
  <c r="N788" i="5"/>
  <c r="M788" i="5"/>
  <c r="L788" i="5"/>
  <c r="A788" i="5" s="1"/>
  <c r="AD782" i="5"/>
  <c r="AC782" i="5"/>
  <c r="AB782" i="5"/>
  <c r="AA782" i="5"/>
  <c r="Z782" i="5"/>
  <c r="Y782" i="5"/>
  <c r="X782" i="5"/>
  <c r="W782" i="5"/>
  <c r="V782" i="5"/>
  <c r="U782" i="5"/>
  <c r="T782" i="5"/>
  <c r="S782" i="5"/>
  <c r="R782" i="5"/>
  <c r="Q782" i="5"/>
  <c r="P782" i="5"/>
  <c r="O782" i="5"/>
  <c r="N782" i="5"/>
  <c r="M782" i="5"/>
  <c r="L782" i="5"/>
  <c r="A782" i="5" s="1"/>
  <c r="AD781" i="5"/>
  <c r="AC781" i="5"/>
  <c r="AB781" i="5"/>
  <c r="AA781" i="5"/>
  <c r="Z781" i="5"/>
  <c r="Y781" i="5"/>
  <c r="X781" i="5"/>
  <c r="W781" i="5"/>
  <c r="V781" i="5"/>
  <c r="U781" i="5"/>
  <c r="T781" i="5"/>
  <c r="S781" i="5"/>
  <c r="R781" i="5"/>
  <c r="Q781" i="5"/>
  <c r="P781" i="5"/>
  <c r="O781" i="5"/>
  <c r="N781" i="5"/>
  <c r="M781" i="5"/>
  <c r="L781" i="5"/>
  <c r="A781" i="5" s="1"/>
  <c r="AD658" i="5"/>
  <c r="AC658" i="5"/>
  <c r="AB658" i="5"/>
  <c r="AA658" i="5"/>
  <c r="Z658" i="5"/>
  <c r="Y658" i="5"/>
  <c r="X658" i="5"/>
  <c r="W658" i="5"/>
  <c r="V658" i="5"/>
  <c r="U658" i="5"/>
  <c r="T658" i="5"/>
  <c r="S658" i="5"/>
  <c r="R658" i="5"/>
  <c r="Q658" i="5"/>
  <c r="P658" i="5"/>
  <c r="O658" i="5"/>
  <c r="N658" i="5"/>
  <c r="M658" i="5"/>
  <c r="L658" i="5"/>
  <c r="A658" i="5" s="1"/>
  <c r="AD641" i="5"/>
  <c r="AC641" i="5"/>
  <c r="AB641" i="5"/>
  <c r="AA641" i="5"/>
  <c r="Z641" i="5"/>
  <c r="Y641" i="5"/>
  <c r="X641" i="5"/>
  <c r="W641" i="5"/>
  <c r="V641" i="5"/>
  <c r="U641" i="5"/>
  <c r="T641" i="5"/>
  <c r="S641" i="5"/>
  <c r="R641" i="5"/>
  <c r="Q641" i="5"/>
  <c r="P641" i="5"/>
  <c r="O641" i="5"/>
  <c r="N641" i="5"/>
  <c r="M641" i="5"/>
  <c r="L641" i="5"/>
  <c r="A641" i="5" s="1"/>
  <c r="AD640" i="5"/>
  <c r="AC640" i="5"/>
  <c r="AB640" i="5"/>
  <c r="AA640" i="5"/>
  <c r="Z640" i="5"/>
  <c r="Y640" i="5"/>
  <c r="X640" i="5"/>
  <c r="W640" i="5"/>
  <c r="V640" i="5"/>
  <c r="U640" i="5"/>
  <c r="T640" i="5"/>
  <c r="S640" i="5"/>
  <c r="R640" i="5"/>
  <c r="Q640" i="5"/>
  <c r="P640" i="5"/>
  <c r="O640" i="5"/>
  <c r="N640" i="5"/>
  <c r="M640" i="5"/>
  <c r="L640" i="5"/>
  <c r="A640" i="5" s="1"/>
  <c r="AD633" i="5"/>
  <c r="AC633" i="5"/>
  <c r="AB633" i="5"/>
  <c r="AA633" i="5"/>
  <c r="Z633" i="5"/>
  <c r="Y633" i="5"/>
  <c r="X633" i="5"/>
  <c r="W633" i="5"/>
  <c r="V633" i="5"/>
  <c r="U633" i="5"/>
  <c r="T633" i="5"/>
  <c r="S633" i="5"/>
  <c r="R633" i="5"/>
  <c r="Q633" i="5"/>
  <c r="P633" i="5"/>
  <c r="O633" i="5"/>
  <c r="N633" i="5"/>
  <c r="M633" i="5"/>
  <c r="L633" i="5"/>
  <c r="A633" i="5" s="1"/>
  <c r="AD792" i="5"/>
  <c r="AC792" i="5"/>
  <c r="AB792" i="5"/>
  <c r="AA792" i="5"/>
  <c r="Z792" i="5"/>
  <c r="Y792" i="5"/>
  <c r="X792" i="5"/>
  <c r="W792" i="5"/>
  <c r="V792" i="5"/>
  <c r="U792" i="5"/>
  <c r="T792" i="5"/>
  <c r="S792" i="5"/>
  <c r="R792" i="5"/>
  <c r="Q792" i="5"/>
  <c r="P792" i="5"/>
  <c r="O792" i="5"/>
  <c r="N792" i="5"/>
  <c r="M792" i="5"/>
  <c r="L792" i="5"/>
  <c r="A792" i="5" s="1"/>
  <c r="AD791" i="5"/>
  <c r="AC791" i="5"/>
  <c r="AB791" i="5"/>
  <c r="AA791" i="5"/>
  <c r="Z791" i="5"/>
  <c r="Y791" i="5"/>
  <c r="X791" i="5"/>
  <c r="W791" i="5"/>
  <c r="V791" i="5"/>
  <c r="U791" i="5"/>
  <c r="T791" i="5"/>
  <c r="S791" i="5"/>
  <c r="R791" i="5"/>
  <c r="Q791" i="5"/>
  <c r="P791" i="5"/>
  <c r="O791" i="5"/>
  <c r="N791" i="5"/>
  <c r="M791" i="5"/>
  <c r="L791" i="5"/>
  <c r="A791" i="5" s="1"/>
  <c r="AD790" i="5"/>
  <c r="AC790" i="5"/>
  <c r="AB790" i="5"/>
  <c r="AA790" i="5"/>
  <c r="Z790" i="5"/>
  <c r="Y790" i="5"/>
  <c r="X790" i="5"/>
  <c r="W790" i="5"/>
  <c r="V790" i="5"/>
  <c r="U790" i="5"/>
  <c r="T790" i="5"/>
  <c r="S790" i="5"/>
  <c r="R790" i="5"/>
  <c r="Q790" i="5"/>
  <c r="P790" i="5"/>
  <c r="O790" i="5"/>
  <c r="N790" i="5"/>
  <c r="M790" i="5"/>
  <c r="L790" i="5"/>
  <c r="A790" i="5" s="1"/>
  <c r="AD789" i="5"/>
  <c r="AC789" i="5"/>
  <c r="AB789" i="5"/>
  <c r="AA789" i="5"/>
  <c r="Z789" i="5"/>
  <c r="Y789" i="5"/>
  <c r="X789" i="5"/>
  <c r="W789" i="5"/>
  <c r="V789" i="5"/>
  <c r="U789" i="5"/>
  <c r="T789" i="5"/>
  <c r="S789" i="5"/>
  <c r="R789" i="5"/>
  <c r="Q789" i="5"/>
  <c r="P789" i="5"/>
  <c r="O789" i="5"/>
  <c r="N789" i="5"/>
  <c r="M789" i="5"/>
  <c r="L789" i="5"/>
  <c r="A789" i="5" s="1"/>
  <c r="AD805" i="5"/>
  <c r="AC805" i="5"/>
  <c r="AB805" i="5"/>
  <c r="AA805" i="5"/>
  <c r="Z805" i="5"/>
  <c r="Y805" i="5"/>
  <c r="X805" i="5"/>
  <c r="W805" i="5"/>
  <c r="V805" i="5"/>
  <c r="U805" i="5"/>
  <c r="T805" i="5"/>
  <c r="S805" i="5"/>
  <c r="R805" i="5"/>
  <c r="Q805" i="5"/>
  <c r="P805" i="5"/>
  <c r="O805" i="5"/>
  <c r="N805" i="5"/>
  <c r="M805" i="5"/>
  <c r="L805" i="5"/>
  <c r="A805" i="5" s="1"/>
  <c r="AD768" i="5"/>
  <c r="AC768" i="5"/>
  <c r="AB768" i="5"/>
  <c r="AA768" i="5"/>
  <c r="Z768" i="5"/>
  <c r="Y768" i="5"/>
  <c r="X768" i="5"/>
  <c r="W768" i="5"/>
  <c r="V768" i="5"/>
  <c r="U768" i="5"/>
  <c r="T768" i="5"/>
  <c r="S768" i="5"/>
  <c r="R768" i="5"/>
  <c r="Q768" i="5"/>
  <c r="P768" i="5"/>
  <c r="O768" i="5"/>
  <c r="N768" i="5"/>
  <c r="M768" i="5"/>
  <c r="L768" i="5"/>
  <c r="A768" i="5" s="1"/>
  <c r="AD817" i="5"/>
  <c r="AC817" i="5"/>
  <c r="AB817" i="5"/>
  <c r="AA817" i="5"/>
  <c r="Z817" i="5"/>
  <c r="Y817" i="5"/>
  <c r="X817" i="5"/>
  <c r="W817" i="5"/>
  <c r="V817" i="5"/>
  <c r="U817" i="5"/>
  <c r="T817" i="5"/>
  <c r="S817" i="5"/>
  <c r="R817" i="5"/>
  <c r="Q817" i="5"/>
  <c r="P817" i="5"/>
  <c r="O817" i="5"/>
  <c r="N817" i="5"/>
  <c r="M817" i="5"/>
  <c r="L817" i="5"/>
  <c r="A817" i="5" s="1"/>
  <c r="AD816" i="5"/>
  <c r="AC816" i="5"/>
  <c r="AB816" i="5"/>
  <c r="AA816" i="5"/>
  <c r="Z816" i="5"/>
  <c r="Y816" i="5"/>
  <c r="X816" i="5"/>
  <c r="W816" i="5"/>
  <c r="V816" i="5"/>
  <c r="U816" i="5"/>
  <c r="T816" i="5"/>
  <c r="S816" i="5"/>
  <c r="R816" i="5"/>
  <c r="Q816" i="5"/>
  <c r="P816" i="5"/>
  <c r="O816" i="5"/>
  <c r="N816" i="5"/>
  <c r="M816" i="5"/>
  <c r="L816" i="5"/>
  <c r="A816" i="5" s="1"/>
  <c r="AD815" i="5"/>
  <c r="AC815" i="5"/>
  <c r="AB815" i="5"/>
  <c r="AA815" i="5"/>
  <c r="Z815" i="5"/>
  <c r="Y815" i="5"/>
  <c r="X815" i="5"/>
  <c r="W815" i="5"/>
  <c r="V815" i="5"/>
  <c r="U815" i="5"/>
  <c r="T815" i="5"/>
  <c r="S815" i="5"/>
  <c r="R815" i="5"/>
  <c r="Q815" i="5"/>
  <c r="P815" i="5"/>
  <c r="O815" i="5"/>
  <c r="N815" i="5"/>
  <c r="M815" i="5"/>
  <c r="L815" i="5"/>
  <c r="A815" i="5" s="1"/>
  <c r="AD820" i="5"/>
  <c r="AC820" i="5"/>
  <c r="AB820" i="5"/>
  <c r="AA820" i="5"/>
  <c r="Z820" i="5"/>
  <c r="Y820" i="5"/>
  <c r="X820" i="5"/>
  <c r="W820" i="5"/>
  <c r="V820" i="5"/>
  <c r="U820" i="5"/>
  <c r="T820" i="5"/>
  <c r="S820" i="5"/>
  <c r="R820" i="5"/>
  <c r="Q820" i="5"/>
  <c r="P820" i="5"/>
  <c r="O820" i="5"/>
  <c r="N820" i="5"/>
  <c r="M820" i="5"/>
  <c r="L820" i="5"/>
  <c r="A820" i="5" s="1"/>
  <c r="AD814" i="5"/>
  <c r="AC814" i="5"/>
  <c r="AB814" i="5"/>
  <c r="AA814" i="5"/>
  <c r="Z814" i="5"/>
  <c r="Y814" i="5"/>
  <c r="X814" i="5"/>
  <c r="W814" i="5"/>
  <c r="V814" i="5"/>
  <c r="U814" i="5"/>
  <c r="T814" i="5"/>
  <c r="S814" i="5"/>
  <c r="R814" i="5"/>
  <c r="Q814" i="5"/>
  <c r="P814" i="5"/>
  <c r="O814" i="5"/>
  <c r="N814" i="5"/>
  <c r="M814" i="5"/>
  <c r="L814" i="5"/>
  <c r="A814" i="5" s="1"/>
  <c r="AD813" i="5"/>
  <c r="AC813" i="5"/>
  <c r="AB813" i="5"/>
  <c r="AA813" i="5"/>
  <c r="Z813" i="5"/>
  <c r="Y813" i="5"/>
  <c r="X813" i="5"/>
  <c r="W813" i="5"/>
  <c r="V813" i="5"/>
  <c r="U813" i="5"/>
  <c r="T813" i="5"/>
  <c r="S813" i="5"/>
  <c r="R813" i="5"/>
  <c r="Q813" i="5"/>
  <c r="P813" i="5"/>
  <c r="O813" i="5"/>
  <c r="N813" i="5"/>
  <c r="M813" i="5"/>
  <c r="L813" i="5"/>
  <c r="A813" i="5" s="1"/>
  <c r="AD767" i="5"/>
  <c r="AC767" i="5"/>
  <c r="AB767" i="5"/>
  <c r="AA767" i="5"/>
  <c r="Z767" i="5"/>
  <c r="Y767" i="5"/>
  <c r="X767" i="5"/>
  <c r="W767" i="5"/>
  <c r="V767" i="5"/>
  <c r="U767" i="5"/>
  <c r="T767" i="5"/>
  <c r="S767" i="5"/>
  <c r="R767" i="5"/>
  <c r="Q767" i="5"/>
  <c r="P767" i="5"/>
  <c r="O767" i="5"/>
  <c r="N767" i="5"/>
  <c r="M767" i="5"/>
  <c r="L767" i="5"/>
  <c r="A767" i="5" s="1"/>
  <c r="AD819" i="5"/>
  <c r="AC819" i="5"/>
  <c r="AB819" i="5"/>
  <c r="AA819" i="5"/>
  <c r="Z819" i="5"/>
  <c r="Y819" i="5"/>
  <c r="X819" i="5"/>
  <c r="W819" i="5"/>
  <c r="V819" i="5"/>
  <c r="U819" i="5"/>
  <c r="T819" i="5"/>
  <c r="S819" i="5"/>
  <c r="R819" i="5"/>
  <c r="Q819" i="5"/>
  <c r="P819" i="5"/>
  <c r="O819" i="5"/>
  <c r="N819" i="5"/>
  <c r="M819" i="5"/>
  <c r="L819" i="5"/>
  <c r="A819" i="5" s="1"/>
  <c r="AD766" i="5"/>
  <c r="AC766" i="5"/>
  <c r="AB766" i="5"/>
  <c r="AA766" i="5"/>
  <c r="Z766" i="5"/>
  <c r="Y766" i="5"/>
  <c r="X766" i="5"/>
  <c r="W766" i="5"/>
  <c r="V766" i="5"/>
  <c r="U766" i="5"/>
  <c r="T766" i="5"/>
  <c r="S766" i="5"/>
  <c r="R766" i="5"/>
  <c r="Q766" i="5"/>
  <c r="P766" i="5"/>
  <c r="O766" i="5"/>
  <c r="N766" i="5"/>
  <c r="M766" i="5"/>
  <c r="L766" i="5"/>
  <c r="A766" i="5" s="1"/>
  <c r="AD871" i="5"/>
  <c r="AC871" i="5"/>
  <c r="AB871" i="5"/>
  <c r="AA871" i="5"/>
  <c r="Z871" i="5"/>
  <c r="Y871" i="5"/>
  <c r="X871" i="5"/>
  <c r="W871" i="5"/>
  <c r="V871" i="5"/>
  <c r="U871" i="5"/>
  <c r="T871" i="5"/>
  <c r="S871" i="5"/>
  <c r="R871" i="5"/>
  <c r="Q871" i="5"/>
  <c r="P871" i="5"/>
  <c r="O871" i="5"/>
  <c r="N871" i="5"/>
  <c r="AD849" i="5"/>
  <c r="AC849" i="5"/>
  <c r="AB849" i="5"/>
  <c r="AA849" i="5"/>
  <c r="Z849" i="5"/>
  <c r="Y849" i="5"/>
  <c r="X849" i="5"/>
  <c r="W849" i="5"/>
  <c r="V849" i="5"/>
  <c r="U849" i="5"/>
  <c r="T849" i="5"/>
  <c r="S849" i="5"/>
  <c r="R849" i="5"/>
  <c r="Q849" i="5"/>
  <c r="P849" i="5"/>
  <c r="O849" i="5"/>
  <c r="N849" i="5"/>
  <c r="AD730" i="5"/>
  <c r="AC730" i="5"/>
  <c r="AB730" i="5"/>
  <c r="AA730" i="5"/>
  <c r="Z730" i="5"/>
  <c r="Y730" i="5"/>
  <c r="X730" i="5"/>
  <c r="W730" i="5"/>
  <c r="V730" i="5"/>
  <c r="U730" i="5"/>
  <c r="T730" i="5"/>
  <c r="S730" i="5"/>
  <c r="R730" i="5"/>
  <c r="Q730" i="5"/>
  <c r="P730" i="5"/>
  <c r="O730" i="5"/>
  <c r="N730" i="5"/>
  <c r="M730" i="5"/>
  <c r="L730" i="5"/>
  <c r="A730" i="5" s="1"/>
  <c r="AD729" i="5"/>
  <c r="AC729" i="5"/>
  <c r="AB729" i="5"/>
  <c r="AA729" i="5"/>
  <c r="Z729" i="5"/>
  <c r="Y729" i="5"/>
  <c r="X729" i="5"/>
  <c r="W729" i="5"/>
  <c r="V729" i="5"/>
  <c r="U729" i="5"/>
  <c r="T729" i="5"/>
  <c r="S729" i="5"/>
  <c r="R729" i="5"/>
  <c r="Q729" i="5"/>
  <c r="P729" i="5"/>
  <c r="O729" i="5"/>
  <c r="N729" i="5"/>
  <c r="M729" i="5"/>
  <c r="L729" i="5"/>
  <c r="A729" i="5" s="1"/>
  <c r="AD709" i="5"/>
  <c r="AC709" i="5"/>
  <c r="AB709" i="5"/>
  <c r="AA709" i="5"/>
  <c r="Z709" i="5"/>
  <c r="Y709" i="5"/>
  <c r="X709" i="5"/>
  <c r="W709" i="5"/>
  <c r="V709" i="5"/>
  <c r="U709" i="5"/>
  <c r="T709" i="5"/>
  <c r="S709" i="5"/>
  <c r="R709" i="5"/>
  <c r="Q709" i="5"/>
  <c r="P709" i="5"/>
  <c r="O709" i="5"/>
  <c r="N709" i="5"/>
  <c r="M709" i="5"/>
  <c r="L709" i="5"/>
  <c r="A709" i="5" s="1"/>
  <c r="AD708" i="5"/>
  <c r="AC708" i="5"/>
  <c r="AB708" i="5"/>
  <c r="AA708" i="5"/>
  <c r="Z708" i="5"/>
  <c r="Y708" i="5"/>
  <c r="X708" i="5"/>
  <c r="W708" i="5"/>
  <c r="V708" i="5"/>
  <c r="U708" i="5"/>
  <c r="T708" i="5"/>
  <c r="S708" i="5"/>
  <c r="R708" i="5"/>
  <c r="Q708" i="5"/>
  <c r="P708" i="5"/>
  <c r="O708" i="5"/>
  <c r="N708" i="5"/>
  <c r="M708" i="5"/>
  <c r="L708" i="5"/>
  <c r="A708" i="5" s="1"/>
  <c r="AD728" i="5"/>
  <c r="AC728" i="5"/>
  <c r="AB728" i="5"/>
  <c r="AA728" i="5"/>
  <c r="Z728" i="5"/>
  <c r="Y728" i="5"/>
  <c r="X728" i="5"/>
  <c r="W728" i="5"/>
  <c r="V728" i="5"/>
  <c r="U728" i="5"/>
  <c r="T728" i="5"/>
  <c r="S728" i="5"/>
  <c r="R728" i="5"/>
  <c r="Q728" i="5"/>
  <c r="P728" i="5"/>
  <c r="O728" i="5"/>
  <c r="N728" i="5"/>
  <c r="M728" i="5"/>
  <c r="L728" i="5"/>
  <c r="A728" i="5" s="1"/>
  <c r="AD727" i="5"/>
  <c r="AC727" i="5"/>
  <c r="AB727" i="5"/>
  <c r="AA727" i="5"/>
  <c r="Z727" i="5"/>
  <c r="Y727" i="5"/>
  <c r="X727" i="5"/>
  <c r="W727" i="5"/>
  <c r="V727" i="5"/>
  <c r="U727" i="5"/>
  <c r="T727" i="5"/>
  <c r="S727" i="5"/>
  <c r="R727" i="5"/>
  <c r="Q727" i="5"/>
  <c r="P727" i="5"/>
  <c r="O727" i="5"/>
  <c r="N727" i="5"/>
  <c r="M727" i="5"/>
  <c r="L727" i="5"/>
  <c r="A727" i="5" s="1"/>
  <c r="AD726" i="5"/>
  <c r="AC726" i="5"/>
  <c r="AB726" i="5"/>
  <c r="AA726" i="5"/>
  <c r="Z726" i="5"/>
  <c r="Y726" i="5"/>
  <c r="X726" i="5"/>
  <c r="W726" i="5"/>
  <c r="V726" i="5"/>
  <c r="U726" i="5"/>
  <c r="T726" i="5"/>
  <c r="S726" i="5"/>
  <c r="R726" i="5"/>
  <c r="Q726" i="5"/>
  <c r="P726" i="5"/>
  <c r="O726" i="5"/>
  <c r="N726" i="5"/>
  <c r="M726" i="5"/>
  <c r="L726" i="5"/>
  <c r="A726" i="5" s="1"/>
  <c r="AD740" i="5"/>
  <c r="AC740" i="5"/>
  <c r="AB740" i="5"/>
  <c r="AA740" i="5"/>
  <c r="Z740" i="5"/>
  <c r="Y740" i="5"/>
  <c r="X740" i="5"/>
  <c r="W740" i="5"/>
  <c r="V740" i="5"/>
  <c r="U740" i="5"/>
  <c r="T740" i="5"/>
  <c r="S740" i="5"/>
  <c r="R740" i="5"/>
  <c r="Q740" i="5"/>
  <c r="P740" i="5"/>
  <c r="O740" i="5"/>
  <c r="N740" i="5"/>
  <c r="M740" i="5"/>
  <c r="L740" i="5"/>
  <c r="A740" i="5" s="1"/>
  <c r="AD725" i="5"/>
  <c r="AC725" i="5"/>
  <c r="AB725" i="5"/>
  <c r="AA725" i="5"/>
  <c r="Z725" i="5"/>
  <c r="Y725" i="5"/>
  <c r="X725" i="5"/>
  <c r="W725" i="5"/>
  <c r="V725" i="5"/>
  <c r="U725" i="5"/>
  <c r="T725" i="5"/>
  <c r="S725" i="5"/>
  <c r="R725" i="5"/>
  <c r="Q725" i="5"/>
  <c r="P725" i="5"/>
  <c r="O725" i="5"/>
  <c r="N725" i="5"/>
  <c r="M725" i="5"/>
  <c r="L725" i="5"/>
  <c r="A725" i="5" s="1"/>
  <c r="AD724" i="5"/>
  <c r="AC724" i="5"/>
  <c r="AB724" i="5"/>
  <c r="AA724" i="5"/>
  <c r="Z724" i="5"/>
  <c r="Y724" i="5"/>
  <c r="X724" i="5"/>
  <c r="W724" i="5"/>
  <c r="V724" i="5"/>
  <c r="U724" i="5"/>
  <c r="T724" i="5"/>
  <c r="S724" i="5"/>
  <c r="R724" i="5"/>
  <c r="Q724" i="5"/>
  <c r="P724" i="5"/>
  <c r="O724" i="5"/>
  <c r="N724" i="5"/>
  <c r="M724" i="5"/>
  <c r="L724" i="5"/>
  <c r="A724" i="5" s="1"/>
  <c r="AD657" i="5"/>
  <c r="AC657" i="5"/>
  <c r="AB657" i="5"/>
  <c r="AA657" i="5"/>
  <c r="Z657" i="5"/>
  <c r="Y657" i="5"/>
  <c r="X657" i="5"/>
  <c r="W657" i="5"/>
  <c r="V657" i="5"/>
  <c r="U657" i="5"/>
  <c r="T657" i="5"/>
  <c r="S657" i="5"/>
  <c r="R657" i="5"/>
  <c r="Q657" i="5"/>
  <c r="P657" i="5"/>
  <c r="O657" i="5"/>
  <c r="N657" i="5"/>
  <c r="M657" i="5"/>
  <c r="L657" i="5"/>
  <c r="A657" i="5" s="1"/>
  <c r="AD714" i="5"/>
  <c r="AC714" i="5"/>
  <c r="AB714" i="5"/>
  <c r="AA714" i="5"/>
  <c r="Z714" i="5"/>
  <c r="Y714" i="5"/>
  <c r="X714" i="5"/>
  <c r="W714" i="5"/>
  <c r="V714" i="5"/>
  <c r="U714" i="5"/>
  <c r="T714" i="5"/>
  <c r="S714" i="5"/>
  <c r="R714" i="5"/>
  <c r="Q714" i="5"/>
  <c r="P714" i="5"/>
  <c r="O714" i="5"/>
  <c r="N714" i="5"/>
  <c r="M714" i="5"/>
  <c r="L714" i="5"/>
  <c r="A714" i="5" s="1"/>
  <c r="AD693" i="5"/>
  <c r="AC693" i="5"/>
  <c r="AB693" i="5"/>
  <c r="AA693" i="5"/>
  <c r="Z693" i="5"/>
  <c r="Y693" i="5"/>
  <c r="X693" i="5"/>
  <c r="W693" i="5"/>
  <c r="V693" i="5"/>
  <c r="U693" i="5"/>
  <c r="T693" i="5"/>
  <c r="S693" i="5"/>
  <c r="R693" i="5"/>
  <c r="Q693" i="5"/>
  <c r="P693" i="5"/>
  <c r="O693" i="5"/>
  <c r="N693" i="5"/>
  <c r="M693" i="5"/>
  <c r="L693" i="5"/>
  <c r="A693" i="5" s="1"/>
  <c r="AD692" i="5"/>
  <c r="AC692" i="5"/>
  <c r="AB692" i="5"/>
  <c r="AA692" i="5"/>
  <c r="Z692" i="5"/>
  <c r="Y692" i="5"/>
  <c r="X692" i="5"/>
  <c r="W692" i="5"/>
  <c r="V692" i="5"/>
  <c r="U692" i="5"/>
  <c r="T692" i="5"/>
  <c r="S692" i="5"/>
  <c r="R692" i="5"/>
  <c r="Q692" i="5"/>
  <c r="P692" i="5"/>
  <c r="O692" i="5"/>
  <c r="N692" i="5"/>
  <c r="M692" i="5"/>
  <c r="L692" i="5"/>
  <c r="A692" i="5" s="1"/>
  <c r="AD691" i="5"/>
  <c r="AC691" i="5"/>
  <c r="AB691" i="5"/>
  <c r="AA691" i="5"/>
  <c r="Z691" i="5"/>
  <c r="Y691" i="5"/>
  <c r="X691" i="5"/>
  <c r="W691" i="5"/>
  <c r="V691" i="5"/>
  <c r="U691" i="5"/>
  <c r="T691" i="5"/>
  <c r="S691" i="5"/>
  <c r="R691" i="5"/>
  <c r="Q691" i="5"/>
  <c r="P691" i="5"/>
  <c r="O691" i="5"/>
  <c r="N691" i="5"/>
  <c r="M691" i="5"/>
  <c r="L691" i="5"/>
  <c r="A691" i="5" s="1"/>
  <c r="AD668" i="5"/>
  <c r="AC668" i="5"/>
  <c r="AB668" i="5"/>
  <c r="AA668" i="5"/>
  <c r="Z668" i="5"/>
  <c r="Y668" i="5"/>
  <c r="X668" i="5"/>
  <c r="W668" i="5"/>
  <c r="V668" i="5"/>
  <c r="U668" i="5"/>
  <c r="T668" i="5"/>
  <c r="S668" i="5"/>
  <c r="R668" i="5"/>
  <c r="Q668" i="5"/>
  <c r="P668" i="5"/>
  <c r="O668" i="5"/>
  <c r="N668" i="5"/>
  <c r="M668" i="5"/>
  <c r="L668" i="5"/>
  <c r="A668" i="5" s="1"/>
  <c r="AD667" i="5"/>
  <c r="AC667" i="5"/>
  <c r="AB667" i="5"/>
  <c r="AA667" i="5"/>
  <c r="Z667" i="5"/>
  <c r="Y667" i="5"/>
  <c r="X667" i="5"/>
  <c r="W667" i="5"/>
  <c r="V667" i="5"/>
  <c r="U667" i="5"/>
  <c r="T667" i="5"/>
  <c r="S667" i="5"/>
  <c r="R667" i="5"/>
  <c r="Q667" i="5"/>
  <c r="P667" i="5"/>
  <c r="O667" i="5"/>
  <c r="N667" i="5"/>
  <c r="M667" i="5"/>
  <c r="L667" i="5"/>
  <c r="A667" i="5" s="1"/>
  <c r="AD707" i="5"/>
  <c r="AC707" i="5"/>
  <c r="AB707" i="5"/>
  <c r="AA707" i="5"/>
  <c r="Z707" i="5"/>
  <c r="Y707" i="5"/>
  <c r="X707" i="5"/>
  <c r="W707" i="5"/>
  <c r="V707" i="5"/>
  <c r="U707" i="5"/>
  <c r="T707" i="5"/>
  <c r="S707" i="5"/>
  <c r="R707" i="5"/>
  <c r="Q707" i="5"/>
  <c r="P707" i="5"/>
  <c r="O707" i="5"/>
  <c r="N707" i="5"/>
  <c r="M707" i="5"/>
  <c r="L707" i="5"/>
  <c r="A707" i="5" s="1"/>
  <c r="AD706" i="5"/>
  <c r="AC706" i="5"/>
  <c r="AB706" i="5"/>
  <c r="AA706" i="5"/>
  <c r="Z706" i="5"/>
  <c r="Y706" i="5"/>
  <c r="X706" i="5"/>
  <c r="W706" i="5"/>
  <c r="V706" i="5"/>
  <c r="U706" i="5"/>
  <c r="T706" i="5"/>
  <c r="S706" i="5"/>
  <c r="R706" i="5"/>
  <c r="Q706" i="5"/>
  <c r="P706" i="5"/>
  <c r="O706" i="5"/>
  <c r="N706" i="5"/>
  <c r="M706" i="5"/>
  <c r="L706" i="5"/>
  <c r="A706" i="5" s="1"/>
  <c r="AD690" i="5"/>
  <c r="AC690" i="5"/>
  <c r="AB690" i="5"/>
  <c r="AA690" i="5"/>
  <c r="Z690" i="5"/>
  <c r="Y690" i="5"/>
  <c r="X690" i="5"/>
  <c r="W690" i="5"/>
  <c r="V690" i="5"/>
  <c r="U690" i="5"/>
  <c r="T690" i="5"/>
  <c r="S690" i="5"/>
  <c r="R690" i="5"/>
  <c r="Q690" i="5"/>
  <c r="P690" i="5"/>
  <c r="O690" i="5"/>
  <c r="N690" i="5"/>
  <c r="M690" i="5"/>
  <c r="L690" i="5"/>
  <c r="A690" i="5" s="1"/>
  <c r="AD689" i="5"/>
  <c r="AC689" i="5"/>
  <c r="AB689" i="5"/>
  <c r="AA689" i="5"/>
  <c r="Z689" i="5"/>
  <c r="Y689" i="5"/>
  <c r="X689" i="5"/>
  <c r="W689" i="5"/>
  <c r="V689" i="5"/>
  <c r="U689" i="5"/>
  <c r="T689" i="5"/>
  <c r="S689" i="5"/>
  <c r="R689" i="5"/>
  <c r="Q689" i="5"/>
  <c r="P689" i="5"/>
  <c r="O689" i="5"/>
  <c r="N689" i="5"/>
  <c r="M689" i="5"/>
  <c r="L689" i="5"/>
  <c r="A689" i="5" s="1"/>
  <c r="AD688" i="5"/>
  <c r="AC688" i="5"/>
  <c r="AB688" i="5"/>
  <c r="AA688" i="5"/>
  <c r="Z688" i="5"/>
  <c r="Y688" i="5"/>
  <c r="X688" i="5"/>
  <c r="W688" i="5"/>
  <c r="V688" i="5"/>
  <c r="U688" i="5"/>
  <c r="T688" i="5"/>
  <c r="S688" i="5"/>
  <c r="R688" i="5"/>
  <c r="Q688" i="5"/>
  <c r="P688" i="5"/>
  <c r="O688" i="5"/>
  <c r="N688" i="5"/>
  <c r="M688" i="5"/>
  <c r="L688" i="5"/>
  <c r="A688" i="5" s="1"/>
  <c r="AD666" i="5"/>
  <c r="AC666" i="5"/>
  <c r="AB666" i="5"/>
  <c r="AA666" i="5"/>
  <c r="Z666" i="5"/>
  <c r="Y666" i="5"/>
  <c r="X666" i="5"/>
  <c r="W666" i="5"/>
  <c r="V666" i="5"/>
  <c r="U666" i="5"/>
  <c r="T666" i="5"/>
  <c r="S666" i="5"/>
  <c r="R666" i="5"/>
  <c r="Q666" i="5"/>
  <c r="P666" i="5"/>
  <c r="O666" i="5"/>
  <c r="N666" i="5"/>
  <c r="M666" i="5"/>
  <c r="L666" i="5"/>
  <c r="A666" i="5" s="1"/>
  <c r="AD663" i="5"/>
  <c r="AC663" i="5"/>
  <c r="AB663" i="5"/>
  <c r="AA663" i="5"/>
  <c r="Z663" i="5"/>
  <c r="Y663" i="5"/>
  <c r="X663" i="5"/>
  <c r="W663" i="5"/>
  <c r="V663" i="5"/>
  <c r="U663" i="5"/>
  <c r="T663" i="5"/>
  <c r="S663" i="5"/>
  <c r="R663" i="5"/>
  <c r="Q663" i="5"/>
  <c r="P663" i="5"/>
  <c r="O663" i="5"/>
  <c r="N663" i="5"/>
  <c r="M663" i="5"/>
  <c r="L663" i="5"/>
  <c r="A663" i="5" s="1"/>
  <c r="AD687" i="5"/>
  <c r="AC687" i="5"/>
  <c r="AB687" i="5"/>
  <c r="AA687" i="5"/>
  <c r="Z687" i="5"/>
  <c r="Y687" i="5"/>
  <c r="X687" i="5"/>
  <c r="W687" i="5"/>
  <c r="V687" i="5"/>
  <c r="U687" i="5"/>
  <c r="T687" i="5"/>
  <c r="S687" i="5"/>
  <c r="R687" i="5"/>
  <c r="Q687" i="5"/>
  <c r="P687" i="5"/>
  <c r="O687" i="5"/>
  <c r="N687" i="5"/>
  <c r="M687" i="5"/>
  <c r="L687" i="5"/>
  <c r="A687" i="5" s="1"/>
  <c r="AD686" i="5"/>
  <c r="AC686" i="5"/>
  <c r="AB686" i="5"/>
  <c r="AA686" i="5"/>
  <c r="Z686" i="5"/>
  <c r="Y686" i="5"/>
  <c r="X686" i="5"/>
  <c r="W686" i="5"/>
  <c r="V686" i="5"/>
  <c r="U686" i="5"/>
  <c r="T686" i="5"/>
  <c r="S686" i="5"/>
  <c r="R686" i="5"/>
  <c r="Q686" i="5"/>
  <c r="P686" i="5"/>
  <c r="O686" i="5"/>
  <c r="N686" i="5"/>
  <c r="M686" i="5"/>
  <c r="L686" i="5"/>
  <c r="A686" i="5" s="1"/>
  <c r="AD685" i="5"/>
  <c r="AC685" i="5"/>
  <c r="AB685" i="5"/>
  <c r="AA685" i="5"/>
  <c r="Z685" i="5"/>
  <c r="Y685" i="5"/>
  <c r="X685" i="5"/>
  <c r="W685" i="5"/>
  <c r="V685" i="5"/>
  <c r="U685" i="5"/>
  <c r="T685" i="5"/>
  <c r="S685" i="5"/>
  <c r="R685" i="5"/>
  <c r="Q685" i="5"/>
  <c r="P685" i="5"/>
  <c r="O685" i="5"/>
  <c r="N685" i="5"/>
  <c r="M685" i="5"/>
  <c r="L685" i="5"/>
  <c r="A685" i="5" s="1"/>
  <c r="AD684" i="5"/>
  <c r="AC684" i="5"/>
  <c r="AB684" i="5"/>
  <c r="AA684" i="5"/>
  <c r="Z684" i="5"/>
  <c r="Y684" i="5"/>
  <c r="X684" i="5"/>
  <c r="W684" i="5"/>
  <c r="V684" i="5"/>
  <c r="U684" i="5"/>
  <c r="T684" i="5"/>
  <c r="S684" i="5"/>
  <c r="R684" i="5"/>
  <c r="Q684" i="5"/>
  <c r="P684" i="5"/>
  <c r="O684" i="5"/>
  <c r="N684" i="5"/>
  <c r="M684" i="5"/>
  <c r="L684" i="5"/>
  <c r="A684" i="5" s="1"/>
  <c r="AD665" i="5"/>
  <c r="AC665" i="5"/>
  <c r="AB665" i="5"/>
  <c r="AA665" i="5"/>
  <c r="Z665" i="5"/>
  <c r="Y665" i="5"/>
  <c r="X665" i="5"/>
  <c r="W665" i="5"/>
  <c r="V665" i="5"/>
  <c r="U665" i="5"/>
  <c r="T665" i="5"/>
  <c r="S665" i="5"/>
  <c r="R665" i="5"/>
  <c r="Q665" i="5"/>
  <c r="P665" i="5"/>
  <c r="O665" i="5"/>
  <c r="N665" i="5"/>
  <c r="M665" i="5"/>
  <c r="L665" i="5"/>
  <c r="A665" i="5" s="1"/>
  <c r="AD683" i="5"/>
  <c r="AC683" i="5"/>
  <c r="AB683" i="5"/>
  <c r="AA683" i="5"/>
  <c r="Z683" i="5"/>
  <c r="Y683" i="5"/>
  <c r="X683" i="5"/>
  <c r="W683" i="5"/>
  <c r="V683" i="5"/>
  <c r="U683" i="5"/>
  <c r="T683" i="5"/>
  <c r="S683" i="5"/>
  <c r="R683" i="5"/>
  <c r="Q683" i="5"/>
  <c r="P683" i="5"/>
  <c r="O683" i="5"/>
  <c r="N683" i="5"/>
  <c r="M683" i="5"/>
  <c r="L683" i="5"/>
  <c r="A683" i="5" s="1"/>
  <c r="AD682" i="5"/>
  <c r="AC682" i="5"/>
  <c r="AB682" i="5"/>
  <c r="AA682" i="5"/>
  <c r="Z682" i="5"/>
  <c r="Y682" i="5"/>
  <c r="X682" i="5"/>
  <c r="W682" i="5"/>
  <c r="V682" i="5"/>
  <c r="U682" i="5"/>
  <c r="T682" i="5"/>
  <c r="S682" i="5"/>
  <c r="R682" i="5"/>
  <c r="Q682" i="5"/>
  <c r="P682" i="5"/>
  <c r="O682" i="5"/>
  <c r="N682" i="5"/>
  <c r="M682" i="5"/>
  <c r="L682" i="5"/>
  <c r="A682" i="5" s="1"/>
  <c r="AD681" i="5"/>
  <c r="AC681" i="5"/>
  <c r="AB681" i="5"/>
  <c r="AA681" i="5"/>
  <c r="Z681" i="5"/>
  <c r="Y681" i="5"/>
  <c r="X681" i="5"/>
  <c r="W681" i="5"/>
  <c r="V681" i="5"/>
  <c r="U681" i="5"/>
  <c r="T681" i="5"/>
  <c r="S681" i="5"/>
  <c r="R681" i="5"/>
  <c r="Q681" i="5"/>
  <c r="P681" i="5"/>
  <c r="O681" i="5"/>
  <c r="N681" i="5"/>
  <c r="M681" i="5"/>
  <c r="L681" i="5"/>
  <c r="A681" i="5" s="1"/>
  <c r="AD723" i="5"/>
  <c r="AC723" i="5"/>
  <c r="AB723" i="5"/>
  <c r="AA723" i="5"/>
  <c r="Z723" i="5"/>
  <c r="Y723" i="5"/>
  <c r="X723" i="5"/>
  <c r="W723" i="5"/>
  <c r="V723" i="5"/>
  <c r="U723" i="5"/>
  <c r="T723" i="5"/>
  <c r="S723" i="5"/>
  <c r="R723" i="5"/>
  <c r="Q723" i="5"/>
  <c r="P723" i="5"/>
  <c r="O723" i="5"/>
  <c r="N723" i="5"/>
  <c r="M723" i="5"/>
  <c r="L723" i="5"/>
  <c r="A723" i="5" s="1"/>
  <c r="AD861" i="5"/>
  <c r="AC861" i="5"/>
  <c r="AB861" i="5"/>
  <c r="AA861" i="5"/>
  <c r="Z861" i="5"/>
  <c r="Y861" i="5"/>
  <c r="X861" i="5"/>
  <c r="W861" i="5"/>
  <c r="V861" i="5"/>
  <c r="U861" i="5"/>
  <c r="T861" i="5"/>
  <c r="S861" i="5"/>
  <c r="R861" i="5"/>
  <c r="Q861" i="5"/>
  <c r="P861" i="5"/>
  <c r="O861" i="5"/>
  <c r="N861" i="5"/>
  <c r="AD848" i="5"/>
  <c r="AC848" i="5"/>
  <c r="AB848" i="5"/>
  <c r="AA848" i="5"/>
  <c r="Z848" i="5"/>
  <c r="Y848" i="5"/>
  <c r="X848" i="5"/>
  <c r="W848" i="5"/>
  <c r="V848" i="5"/>
  <c r="U848" i="5"/>
  <c r="T848" i="5"/>
  <c r="S848" i="5"/>
  <c r="R848" i="5"/>
  <c r="Q848" i="5"/>
  <c r="P848" i="5"/>
  <c r="O848" i="5"/>
  <c r="N848" i="5"/>
  <c r="AD826" i="5"/>
  <c r="AC826" i="5"/>
  <c r="AB826" i="5"/>
  <c r="AA826" i="5"/>
  <c r="Z826" i="5"/>
  <c r="Y826" i="5"/>
  <c r="X826" i="5"/>
  <c r="W826" i="5"/>
  <c r="V826" i="5"/>
  <c r="U826" i="5"/>
  <c r="T826" i="5"/>
  <c r="S826" i="5"/>
  <c r="R826" i="5"/>
  <c r="Q826" i="5"/>
  <c r="P826" i="5"/>
  <c r="O826" i="5"/>
  <c r="N826" i="5"/>
  <c r="M826" i="5"/>
  <c r="L826" i="5"/>
  <c r="A826" i="5" s="1"/>
  <c r="AD804" i="5"/>
  <c r="AC804" i="5"/>
  <c r="AB804" i="5"/>
  <c r="AA804" i="5"/>
  <c r="Z804" i="5"/>
  <c r="Y804" i="5"/>
  <c r="X804" i="5"/>
  <c r="W804" i="5"/>
  <c r="V804" i="5"/>
  <c r="U804" i="5"/>
  <c r="T804" i="5"/>
  <c r="S804" i="5"/>
  <c r="R804" i="5"/>
  <c r="Q804" i="5"/>
  <c r="P804" i="5"/>
  <c r="O804" i="5"/>
  <c r="N804" i="5"/>
  <c r="M804" i="5"/>
  <c r="L804" i="5"/>
  <c r="A804" i="5" s="1"/>
  <c r="AD722" i="5"/>
  <c r="AC722" i="5"/>
  <c r="AB722" i="5"/>
  <c r="AA722" i="5"/>
  <c r="Z722" i="5"/>
  <c r="Y722" i="5"/>
  <c r="X722" i="5"/>
  <c r="W722" i="5"/>
  <c r="V722" i="5"/>
  <c r="U722" i="5"/>
  <c r="T722" i="5"/>
  <c r="S722" i="5"/>
  <c r="R722" i="5"/>
  <c r="Q722" i="5"/>
  <c r="P722" i="5"/>
  <c r="O722" i="5"/>
  <c r="N722" i="5"/>
  <c r="M722" i="5"/>
  <c r="L722" i="5"/>
  <c r="A722" i="5" s="1"/>
  <c r="AD680" i="5"/>
  <c r="AC680" i="5"/>
  <c r="AB680" i="5"/>
  <c r="AA680" i="5"/>
  <c r="Z680" i="5"/>
  <c r="Y680" i="5"/>
  <c r="X680" i="5"/>
  <c r="W680" i="5"/>
  <c r="V680" i="5"/>
  <c r="U680" i="5"/>
  <c r="T680" i="5"/>
  <c r="S680" i="5"/>
  <c r="R680" i="5"/>
  <c r="Q680" i="5"/>
  <c r="P680" i="5"/>
  <c r="O680" i="5"/>
  <c r="N680" i="5"/>
  <c r="M680" i="5"/>
  <c r="L680" i="5"/>
  <c r="A680" i="5" s="1"/>
  <c r="AD721" i="5"/>
  <c r="AC721" i="5"/>
  <c r="AB721" i="5"/>
  <c r="AA721" i="5"/>
  <c r="Z721" i="5"/>
  <c r="Y721" i="5"/>
  <c r="X721" i="5"/>
  <c r="W721" i="5"/>
  <c r="V721" i="5"/>
  <c r="U721" i="5"/>
  <c r="T721" i="5"/>
  <c r="S721" i="5"/>
  <c r="R721" i="5"/>
  <c r="Q721" i="5"/>
  <c r="P721" i="5"/>
  <c r="O721" i="5"/>
  <c r="N721" i="5"/>
  <c r="M721" i="5"/>
  <c r="L721" i="5"/>
  <c r="A721" i="5" s="1"/>
  <c r="AD679" i="5"/>
  <c r="AC679" i="5"/>
  <c r="AB679" i="5"/>
  <c r="AA679" i="5"/>
  <c r="Z679" i="5"/>
  <c r="Y679" i="5"/>
  <c r="X679" i="5"/>
  <c r="W679" i="5"/>
  <c r="V679" i="5"/>
  <c r="U679" i="5"/>
  <c r="T679" i="5"/>
  <c r="S679" i="5"/>
  <c r="R679" i="5"/>
  <c r="Q679" i="5"/>
  <c r="P679" i="5"/>
  <c r="O679" i="5"/>
  <c r="N679" i="5"/>
  <c r="M679" i="5"/>
  <c r="L679" i="5"/>
  <c r="A679" i="5" s="1"/>
  <c r="AD678" i="5"/>
  <c r="AC678" i="5"/>
  <c r="AB678" i="5"/>
  <c r="AA678" i="5"/>
  <c r="Z678" i="5"/>
  <c r="Y678" i="5"/>
  <c r="X678" i="5"/>
  <c r="W678" i="5"/>
  <c r="V678" i="5"/>
  <c r="U678" i="5"/>
  <c r="T678" i="5"/>
  <c r="S678" i="5"/>
  <c r="R678" i="5"/>
  <c r="Q678" i="5"/>
  <c r="P678" i="5"/>
  <c r="O678" i="5"/>
  <c r="N678" i="5"/>
  <c r="M678" i="5"/>
  <c r="L678" i="5"/>
  <c r="A678" i="5" s="1"/>
  <c r="AD677" i="5"/>
  <c r="AC677" i="5"/>
  <c r="AB677" i="5"/>
  <c r="AA677" i="5"/>
  <c r="Z677" i="5"/>
  <c r="Y677" i="5"/>
  <c r="X677" i="5"/>
  <c r="W677" i="5"/>
  <c r="V677" i="5"/>
  <c r="U677" i="5"/>
  <c r="T677" i="5"/>
  <c r="S677" i="5"/>
  <c r="R677" i="5"/>
  <c r="Q677" i="5"/>
  <c r="P677" i="5"/>
  <c r="O677" i="5"/>
  <c r="N677" i="5"/>
  <c r="M677" i="5"/>
  <c r="L677" i="5"/>
  <c r="A677" i="5" s="1"/>
  <c r="AD676" i="5"/>
  <c r="AC676" i="5"/>
  <c r="AB676" i="5"/>
  <c r="AA676" i="5"/>
  <c r="Z676" i="5"/>
  <c r="Y676" i="5"/>
  <c r="X676" i="5"/>
  <c r="W676" i="5"/>
  <c r="V676" i="5"/>
  <c r="U676" i="5"/>
  <c r="T676" i="5"/>
  <c r="S676" i="5"/>
  <c r="R676" i="5"/>
  <c r="Q676" i="5"/>
  <c r="P676" i="5"/>
  <c r="O676" i="5"/>
  <c r="N676" i="5"/>
  <c r="M676" i="5"/>
  <c r="L676" i="5"/>
  <c r="A676" i="5" s="1"/>
  <c r="AD675" i="5"/>
  <c r="AC675" i="5"/>
  <c r="AB675" i="5"/>
  <c r="AA675" i="5"/>
  <c r="Z675" i="5"/>
  <c r="Y675" i="5"/>
  <c r="X675" i="5"/>
  <c r="W675" i="5"/>
  <c r="V675" i="5"/>
  <c r="U675" i="5"/>
  <c r="T675" i="5"/>
  <c r="S675" i="5"/>
  <c r="R675" i="5"/>
  <c r="Q675" i="5"/>
  <c r="P675" i="5"/>
  <c r="O675" i="5"/>
  <c r="N675" i="5"/>
  <c r="M675" i="5"/>
  <c r="L675" i="5"/>
  <c r="A675" i="5" s="1"/>
  <c r="AD674" i="5"/>
  <c r="AC674" i="5"/>
  <c r="AB674" i="5"/>
  <c r="AA674" i="5"/>
  <c r="Z674" i="5"/>
  <c r="Y674" i="5"/>
  <c r="X674" i="5"/>
  <c r="W674" i="5"/>
  <c r="V674" i="5"/>
  <c r="U674" i="5"/>
  <c r="T674" i="5"/>
  <c r="S674" i="5"/>
  <c r="R674" i="5"/>
  <c r="Q674" i="5"/>
  <c r="P674" i="5"/>
  <c r="O674" i="5"/>
  <c r="N674" i="5"/>
  <c r="M674" i="5"/>
  <c r="L674" i="5"/>
  <c r="A674" i="5" s="1"/>
  <c r="AD673" i="5"/>
  <c r="AC673" i="5"/>
  <c r="AB673" i="5"/>
  <c r="AA673" i="5"/>
  <c r="Z673" i="5"/>
  <c r="Y673" i="5"/>
  <c r="X673" i="5"/>
  <c r="W673" i="5"/>
  <c r="V673" i="5"/>
  <c r="U673" i="5"/>
  <c r="T673" i="5"/>
  <c r="S673" i="5"/>
  <c r="R673" i="5"/>
  <c r="Q673" i="5"/>
  <c r="P673" i="5"/>
  <c r="O673" i="5"/>
  <c r="N673" i="5"/>
  <c r="M673" i="5"/>
  <c r="L673" i="5"/>
  <c r="A673" i="5" s="1"/>
  <c r="AD870" i="5"/>
  <c r="AC870" i="5"/>
  <c r="AB870" i="5"/>
  <c r="AA870" i="5"/>
  <c r="Z870" i="5"/>
  <c r="Y870" i="5"/>
  <c r="X870" i="5"/>
  <c r="W870" i="5"/>
  <c r="V870" i="5"/>
  <c r="U870" i="5"/>
  <c r="T870" i="5"/>
  <c r="S870" i="5"/>
  <c r="R870" i="5"/>
  <c r="Q870" i="5"/>
  <c r="P870" i="5"/>
  <c r="O870" i="5"/>
  <c r="N870" i="5"/>
  <c r="AD824" i="5"/>
  <c r="AC824" i="5"/>
  <c r="AB824" i="5"/>
  <c r="AA824" i="5"/>
  <c r="Z824" i="5"/>
  <c r="Y824" i="5"/>
  <c r="X824" i="5"/>
  <c r="W824" i="5"/>
  <c r="V824" i="5"/>
  <c r="U824" i="5"/>
  <c r="T824" i="5"/>
  <c r="S824" i="5"/>
  <c r="R824" i="5"/>
  <c r="Q824" i="5"/>
  <c r="P824" i="5"/>
  <c r="O824" i="5"/>
  <c r="N824" i="5"/>
  <c r="M824" i="5"/>
  <c r="L824" i="5"/>
  <c r="A824" i="5" s="1"/>
  <c r="AD842" i="5"/>
  <c r="AC842" i="5"/>
  <c r="AB842" i="5"/>
  <c r="AA842" i="5"/>
  <c r="Z842" i="5"/>
  <c r="Y842" i="5"/>
  <c r="X842" i="5"/>
  <c r="W842" i="5"/>
  <c r="V842" i="5"/>
  <c r="U842" i="5"/>
  <c r="T842" i="5"/>
  <c r="S842" i="5"/>
  <c r="R842" i="5"/>
  <c r="Q842" i="5"/>
  <c r="P842" i="5"/>
  <c r="O842" i="5"/>
  <c r="N842" i="5"/>
  <c r="M842" i="5"/>
  <c r="L842" i="5"/>
  <c r="A842" i="5" s="1"/>
  <c r="AD825" i="5"/>
  <c r="AC825" i="5"/>
  <c r="AB825" i="5"/>
  <c r="AA825" i="5"/>
  <c r="Z825" i="5"/>
  <c r="Y825" i="5"/>
  <c r="X825" i="5"/>
  <c r="W825" i="5"/>
  <c r="V825" i="5"/>
  <c r="U825" i="5"/>
  <c r="T825" i="5"/>
  <c r="S825" i="5"/>
  <c r="R825" i="5"/>
  <c r="Q825" i="5"/>
  <c r="P825" i="5"/>
  <c r="O825" i="5"/>
  <c r="N825" i="5"/>
  <c r="M825" i="5"/>
  <c r="L825" i="5"/>
  <c r="A825" i="5" s="1"/>
  <c r="AD859" i="5"/>
  <c r="AC859" i="5"/>
  <c r="AB859" i="5"/>
  <c r="AA859" i="5"/>
  <c r="Z859" i="5"/>
  <c r="Y859" i="5"/>
  <c r="X859" i="5"/>
  <c r="W859" i="5"/>
  <c r="V859" i="5"/>
  <c r="U859" i="5"/>
  <c r="T859" i="5"/>
  <c r="S859" i="5"/>
  <c r="R859" i="5"/>
  <c r="Q859" i="5"/>
  <c r="P859" i="5"/>
  <c r="O859" i="5"/>
  <c r="N859" i="5"/>
  <c r="AD845" i="5"/>
  <c r="AC845" i="5"/>
  <c r="AB845" i="5"/>
  <c r="AA845" i="5"/>
  <c r="Z845" i="5"/>
  <c r="Y845" i="5"/>
  <c r="X845" i="5"/>
  <c r="W845" i="5"/>
  <c r="V845" i="5"/>
  <c r="U845" i="5"/>
  <c r="T845" i="5"/>
  <c r="S845" i="5"/>
  <c r="R845" i="5"/>
  <c r="Q845" i="5"/>
  <c r="P845" i="5"/>
  <c r="O845" i="5"/>
  <c r="N845" i="5"/>
  <c r="M845" i="5"/>
  <c r="L845" i="5"/>
  <c r="A845" i="5" s="1"/>
  <c r="AD656" i="5"/>
  <c r="AC656" i="5"/>
  <c r="AB656" i="5"/>
  <c r="AA656" i="5"/>
  <c r="Z656" i="5"/>
  <c r="Y656" i="5"/>
  <c r="X656" i="5"/>
  <c r="W656" i="5"/>
  <c r="V656" i="5"/>
  <c r="U656" i="5"/>
  <c r="T656" i="5"/>
  <c r="S656" i="5"/>
  <c r="R656" i="5"/>
  <c r="Q656" i="5"/>
  <c r="P656" i="5"/>
  <c r="O656" i="5"/>
  <c r="N656" i="5"/>
  <c r="M656" i="5"/>
  <c r="L656" i="5"/>
  <c r="A656" i="5" s="1"/>
  <c r="AD856" i="5"/>
  <c r="AC856" i="5"/>
  <c r="AB856" i="5"/>
  <c r="AA856" i="5"/>
  <c r="Z856" i="5"/>
  <c r="Y856" i="5"/>
  <c r="X856" i="5"/>
  <c r="W856" i="5"/>
  <c r="V856" i="5"/>
  <c r="U856" i="5"/>
  <c r="T856" i="5"/>
  <c r="S856" i="5"/>
  <c r="R856" i="5"/>
  <c r="Q856" i="5"/>
  <c r="P856" i="5"/>
  <c r="O856" i="5"/>
  <c r="N856" i="5"/>
  <c r="AD855" i="5"/>
  <c r="AC855" i="5"/>
  <c r="AB855" i="5"/>
  <c r="AA855" i="5"/>
  <c r="Z855" i="5"/>
  <c r="Y855" i="5"/>
  <c r="X855" i="5"/>
  <c r="W855" i="5"/>
  <c r="V855" i="5"/>
  <c r="U855" i="5"/>
  <c r="T855" i="5"/>
  <c r="S855" i="5"/>
  <c r="R855" i="5"/>
  <c r="Q855" i="5"/>
  <c r="P855" i="5"/>
  <c r="O855" i="5"/>
  <c r="N855" i="5"/>
  <c r="AD833" i="5"/>
  <c r="AC833" i="5"/>
  <c r="AB833" i="5"/>
  <c r="AA833" i="5"/>
  <c r="Z833" i="5"/>
  <c r="Y833" i="5"/>
  <c r="X833" i="5"/>
  <c r="W833" i="5"/>
  <c r="V833" i="5"/>
  <c r="U833" i="5"/>
  <c r="T833" i="5"/>
  <c r="S833" i="5"/>
  <c r="R833" i="5"/>
  <c r="Q833" i="5"/>
  <c r="P833" i="5"/>
  <c r="O833" i="5"/>
  <c r="N833" i="5"/>
  <c r="M833" i="5"/>
  <c r="L833" i="5"/>
  <c r="A833" i="5" s="1"/>
  <c r="AD869" i="5"/>
  <c r="AC869" i="5"/>
  <c r="AB869" i="5"/>
  <c r="AA869" i="5"/>
  <c r="Z869" i="5"/>
  <c r="Y869" i="5"/>
  <c r="X869" i="5"/>
  <c r="W869" i="5"/>
  <c r="V869" i="5"/>
  <c r="U869" i="5"/>
  <c r="T869" i="5"/>
  <c r="S869" i="5"/>
  <c r="R869" i="5"/>
  <c r="Q869" i="5"/>
  <c r="P869" i="5"/>
  <c r="O869" i="5"/>
  <c r="N869" i="5"/>
  <c r="AD832" i="5"/>
  <c r="AC832" i="5"/>
  <c r="AB832" i="5"/>
  <c r="AA832" i="5"/>
  <c r="Z832" i="5"/>
  <c r="Y832" i="5"/>
  <c r="X832" i="5"/>
  <c r="W832" i="5"/>
  <c r="V832" i="5"/>
  <c r="U832" i="5"/>
  <c r="T832" i="5"/>
  <c r="S832" i="5"/>
  <c r="R832" i="5"/>
  <c r="Q832" i="5"/>
  <c r="P832" i="5"/>
  <c r="O832" i="5"/>
  <c r="N832" i="5"/>
  <c r="M832" i="5"/>
  <c r="L832" i="5"/>
  <c r="A832" i="5" s="1"/>
  <c r="AD672" i="5"/>
  <c r="AC672" i="5"/>
  <c r="AB672" i="5"/>
  <c r="AA672" i="5"/>
  <c r="Z672" i="5"/>
  <c r="Y672" i="5"/>
  <c r="X672" i="5"/>
  <c r="W672" i="5"/>
  <c r="V672" i="5"/>
  <c r="U672" i="5"/>
  <c r="T672" i="5"/>
  <c r="S672" i="5"/>
  <c r="R672" i="5"/>
  <c r="Q672" i="5"/>
  <c r="P672" i="5"/>
  <c r="O672" i="5"/>
  <c r="N672" i="5"/>
  <c r="M672" i="5"/>
  <c r="L672" i="5"/>
  <c r="A672" i="5" s="1"/>
  <c r="AD777" i="5"/>
  <c r="AC777" i="5"/>
  <c r="AB777" i="5"/>
  <c r="AA777" i="5"/>
  <c r="Z777" i="5"/>
  <c r="Y777" i="5"/>
  <c r="X777" i="5"/>
  <c r="W777" i="5"/>
  <c r="V777" i="5"/>
  <c r="U777" i="5"/>
  <c r="T777" i="5"/>
  <c r="S777" i="5"/>
  <c r="R777" i="5"/>
  <c r="Q777" i="5"/>
  <c r="P777" i="5"/>
  <c r="O777" i="5"/>
  <c r="N777" i="5"/>
  <c r="M777" i="5"/>
  <c r="L777" i="5"/>
  <c r="A777" i="5" s="1"/>
  <c r="AD765" i="5"/>
  <c r="AC765" i="5"/>
  <c r="AB765" i="5"/>
  <c r="AA765" i="5"/>
  <c r="Z765" i="5"/>
  <c r="Y765" i="5"/>
  <c r="X765" i="5"/>
  <c r="W765" i="5"/>
  <c r="V765" i="5"/>
  <c r="U765" i="5"/>
  <c r="T765" i="5"/>
  <c r="S765" i="5"/>
  <c r="R765" i="5"/>
  <c r="Q765" i="5"/>
  <c r="P765" i="5"/>
  <c r="O765" i="5"/>
  <c r="N765" i="5"/>
  <c r="M765" i="5"/>
  <c r="L765" i="5"/>
  <c r="A765" i="5" s="1"/>
  <c r="AD764" i="5"/>
  <c r="AC764" i="5"/>
  <c r="AB764" i="5"/>
  <c r="AA764" i="5"/>
  <c r="Z764" i="5"/>
  <c r="Y764" i="5"/>
  <c r="X764" i="5"/>
  <c r="W764" i="5"/>
  <c r="V764" i="5"/>
  <c r="U764" i="5"/>
  <c r="T764" i="5"/>
  <c r="S764" i="5"/>
  <c r="R764" i="5"/>
  <c r="Q764" i="5"/>
  <c r="P764" i="5"/>
  <c r="O764" i="5"/>
  <c r="N764" i="5"/>
  <c r="M764" i="5"/>
  <c r="L764" i="5"/>
  <c r="A764" i="5" s="1"/>
  <c r="AD763" i="5"/>
  <c r="AC763" i="5"/>
  <c r="AB763" i="5"/>
  <c r="AA763" i="5"/>
  <c r="Z763" i="5"/>
  <c r="Y763" i="5"/>
  <c r="X763" i="5"/>
  <c r="W763" i="5"/>
  <c r="V763" i="5"/>
  <c r="U763" i="5"/>
  <c r="T763" i="5"/>
  <c r="S763" i="5"/>
  <c r="R763" i="5"/>
  <c r="Q763" i="5"/>
  <c r="P763" i="5"/>
  <c r="O763" i="5"/>
  <c r="N763" i="5"/>
  <c r="M763" i="5"/>
  <c r="L763" i="5"/>
  <c r="A763" i="5" s="1"/>
  <c r="AD762" i="5"/>
  <c r="AC762" i="5"/>
  <c r="AB762" i="5"/>
  <c r="AA762" i="5"/>
  <c r="Z762" i="5"/>
  <c r="Y762" i="5"/>
  <c r="X762" i="5"/>
  <c r="W762" i="5"/>
  <c r="V762" i="5"/>
  <c r="U762" i="5"/>
  <c r="T762" i="5"/>
  <c r="S762" i="5"/>
  <c r="R762" i="5"/>
  <c r="Q762" i="5"/>
  <c r="P762" i="5"/>
  <c r="O762" i="5"/>
  <c r="N762" i="5"/>
  <c r="M762" i="5"/>
  <c r="L762" i="5"/>
  <c r="A762" i="5" s="1"/>
  <c r="AD761" i="5"/>
  <c r="AC761" i="5"/>
  <c r="AB761" i="5"/>
  <c r="AA761" i="5"/>
  <c r="Z761" i="5"/>
  <c r="Y761" i="5"/>
  <c r="X761" i="5"/>
  <c r="W761" i="5"/>
  <c r="V761" i="5"/>
  <c r="U761" i="5"/>
  <c r="T761" i="5"/>
  <c r="S761" i="5"/>
  <c r="R761" i="5"/>
  <c r="Q761" i="5"/>
  <c r="P761" i="5"/>
  <c r="O761" i="5"/>
  <c r="N761" i="5"/>
  <c r="M761" i="5"/>
  <c r="L761" i="5"/>
  <c r="A761" i="5" s="1"/>
  <c r="AD760" i="5"/>
  <c r="AC760" i="5"/>
  <c r="AB760" i="5"/>
  <c r="AA760" i="5"/>
  <c r="Z760" i="5"/>
  <c r="Y760" i="5"/>
  <c r="X760" i="5"/>
  <c r="W760" i="5"/>
  <c r="V760" i="5"/>
  <c r="U760" i="5"/>
  <c r="T760" i="5"/>
  <c r="S760" i="5"/>
  <c r="R760" i="5"/>
  <c r="Q760" i="5"/>
  <c r="P760" i="5"/>
  <c r="O760" i="5"/>
  <c r="N760" i="5"/>
  <c r="M760" i="5"/>
  <c r="L760" i="5"/>
  <c r="A760" i="5" s="1"/>
  <c r="AD759" i="5"/>
  <c r="AC759" i="5"/>
  <c r="AB759" i="5"/>
  <c r="AA759" i="5"/>
  <c r="Z759" i="5"/>
  <c r="Y759" i="5"/>
  <c r="X759" i="5"/>
  <c r="W759" i="5"/>
  <c r="V759" i="5"/>
  <c r="U759" i="5"/>
  <c r="T759" i="5"/>
  <c r="S759" i="5"/>
  <c r="R759" i="5"/>
  <c r="Q759" i="5"/>
  <c r="P759" i="5"/>
  <c r="O759" i="5"/>
  <c r="N759" i="5"/>
  <c r="M759" i="5"/>
  <c r="L759" i="5"/>
  <c r="A759" i="5" s="1"/>
  <c r="AD758" i="5"/>
  <c r="AC758" i="5"/>
  <c r="AB758" i="5"/>
  <c r="AA758" i="5"/>
  <c r="Z758" i="5"/>
  <c r="Y758" i="5"/>
  <c r="X758" i="5"/>
  <c r="W758" i="5"/>
  <c r="V758" i="5"/>
  <c r="U758" i="5"/>
  <c r="T758" i="5"/>
  <c r="S758" i="5"/>
  <c r="R758" i="5"/>
  <c r="Q758" i="5"/>
  <c r="P758" i="5"/>
  <c r="O758" i="5"/>
  <c r="N758" i="5"/>
  <c r="M758" i="5"/>
  <c r="L758" i="5"/>
  <c r="A758" i="5" s="1"/>
  <c r="AD757" i="5"/>
  <c r="AC757" i="5"/>
  <c r="AB757" i="5"/>
  <c r="AA757" i="5"/>
  <c r="Z757" i="5"/>
  <c r="Y757" i="5"/>
  <c r="X757" i="5"/>
  <c r="W757" i="5"/>
  <c r="V757" i="5"/>
  <c r="U757" i="5"/>
  <c r="T757" i="5"/>
  <c r="S757" i="5"/>
  <c r="R757" i="5"/>
  <c r="Q757" i="5"/>
  <c r="P757" i="5"/>
  <c r="O757" i="5"/>
  <c r="N757" i="5"/>
  <c r="M757" i="5"/>
  <c r="L757" i="5"/>
  <c r="A757" i="5" s="1"/>
  <c r="AD756" i="5"/>
  <c r="AC756" i="5"/>
  <c r="AB756" i="5"/>
  <c r="AA756" i="5"/>
  <c r="Z756" i="5"/>
  <c r="Y756" i="5"/>
  <c r="X756" i="5"/>
  <c r="W756" i="5"/>
  <c r="V756" i="5"/>
  <c r="U756" i="5"/>
  <c r="T756" i="5"/>
  <c r="S756" i="5"/>
  <c r="R756" i="5"/>
  <c r="Q756" i="5"/>
  <c r="P756" i="5"/>
  <c r="O756" i="5"/>
  <c r="N756" i="5"/>
  <c r="M756" i="5"/>
  <c r="L756" i="5"/>
  <c r="A756" i="5" s="1"/>
  <c r="AD755" i="5"/>
  <c r="AC755" i="5"/>
  <c r="AB755" i="5"/>
  <c r="AA755" i="5"/>
  <c r="Z755" i="5"/>
  <c r="Y755" i="5"/>
  <c r="X755" i="5"/>
  <c r="W755" i="5"/>
  <c r="V755" i="5"/>
  <c r="U755" i="5"/>
  <c r="T755" i="5"/>
  <c r="S755" i="5"/>
  <c r="R755" i="5"/>
  <c r="Q755" i="5"/>
  <c r="P755" i="5"/>
  <c r="O755" i="5"/>
  <c r="N755" i="5"/>
  <c r="M755" i="5"/>
  <c r="L755" i="5"/>
  <c r="A755" i="5" s="1"/>
  <c r="AD754" i="5"/>
  <c r="AC754" i="5"/>
  <c r="AB754" i="5"/>
  <c r="AA754" i="5"/>
  <c r="Z754" i="5"/>
  <c r="Y754" i="5"/>
  <c r="X754" i="5"/>
  <c r="W754" i="5"/>
  <c r="V754" i="5"/>
  <c r="U754" i="5"/>
  <c r="T754" i="5"/>
  <c r="S754" i="5"/>
  <c r="R754" i="5"/>
  <c r="Q754" i="5"/>
  <c r="P754" i="5"/>
  <c r="O754" i="5"/>
  <c r="N754" i="5"/>
  <c r="M754" i="5"/>
  <c r="L754" i="5"/>
  <c r="A754" i="5" s="1"/>
  <c r="AD639" i="5"/>
  <c r="AC639" i="5"/>
  <c r="AB639" i="5"/>
  <c r="AA639" i="5"/>
  <c r="Z639" i="5"/>
  <c r="Y639" i="5"/>
  <c r="X639" i="5"/>
  <c r="W639" i="5"/>
  <c r="V639" i="5"/>
  <c r="U639" i="5"/>
  <c r="T639" i="5"/>
  <c r="S639" i="5"/>
  <c r="R639" i="5"/>
  <c r="Q639" i="5"/>
  <c r="P639" i="5"/>
  <c r="O639" i="5"/>
  <c r="N639" i="5"/>
  <c r="M639" i="5"/>
  <c r="L639" i="5"/>
  <c r="A639" i="5" s="1"/>
  <c r="AD841" i="5"/>
  <c r="AC841" i="5"/>
  <c r="AB841" i="5"/>
  <c r="AA841" i="5"/>
  <c r="Z841" i="5"/>
  <c r="Y841" i="5"/>
  <c r="X841" i="5"/>
  <c r="W841" i="5"/>
  <c r="V841" i="5"/>
  <c r="U841" i="5"/>
  <c r="T841" i="5"/>
  <c r="S841" i="5"/>
  <c r="R841" i="5"/>
  <c r="Q841" i="5"/>
  <c r="P841" i="5"/>
  <c r="O841" i="5"/>
  <c r="N841" i="5"/>
  <c r="M841" i="5"/>
  <c r="L841" i="5"/>
  <c r="A841" i="5" s="1"/>
  <c r="AD854" i="5"/>
  <c r="AC854" i="5"/>
  <c r="AB854" i="5"/>
  <c r="AA854" i="5"/>
  <c r="Z854" i="5"/>
  <c r="Y854" i="5"/>
  <c r="X854" i="5"/>
  <c r="W854" i="5"/>
  <c r="V854" i="5"/>
  <c r="U854" i="5"/>
  <c r="T854" i="5"/>
  <c r="S854" i="5"/>
  <c r="R854" i="5"/>
  <c r="Q854" i="5"/>
  <c r="P854" i="5"/>
  <c r="O854" i="5"/>
  <c r="N854" i="5"/>
  <c r="AD840" i="5"/>
  <c r="AC840" i="5"/>
  <c r="AB840" i="5"/>
  <c r="AA840" i="5"/>
  <c r="Z840" i="5"/>
  <c r="Y840" i="5"/>
  <c r="X840" i="5"/>
  <c r="W840" i="5"/>
  <c r="V840" i="5"/>
  <c r="U840" i="5"/>
  <c r="T840" i="5"/>
  <c r="S840" i="5"/>
  <c r="R840" i="5"/>
  <c r="Q840" i="5"/>
  <c r="P840" i="5"/>
  <c r="O840" i="5"/>
  <c r="N840" i="5"/>
  <c r="M840" i="5"/>
  <c r="L840" i="5"/>
  <c r="A840" i="5" s="1"/>
  <c r="AD831" i="5"/>
  <c r="AC831" i="5"/>
  <c r="AB831" i="5"/>
  <c r="AA831" i="5"/>
  <c r="Z831" i="5"/>
  <c r="Y831" i="5"/>
  <c r="X831" i="5"/>
  <c r="W831" i="5"/>
  <c r="V831" i="5"/>
  <c r="U831" i="5"/>
  <c r="T831" i="5"/>
  <c r="S831" i="5"/>
  <c r="R831" i="5"/>
  <c r="Q831" i="5"/>
  <c r="P831" i="5"/>
  <c r="O831" i="5"/>
  <c r="N831" i="5"/>
  <c r="M831" i="5"/>
  <c r="L831" i="5"/>
  <c r="A831" i="5" s="1"/>
  <c r="AD830" i="5"/>
  <c r="AC830" i="5"/>
  <c r="AB830" i="5"/>
  <c r="AA830" i="5"/>
  <c r="Z830" i="5"/>
  <c r="Y830" i="5"/>
  <c r="X830" i="5"/>
  <c r="W830" i="5"/>
  <c r="V830" i="5"/>
  <c r="U830" i="5"/>
  <c r="T830" i="5"/>
  <c r="S830" i="5"/>
  <c r="R830" i="5"/>
  <c r="Q830" i="5"/>
  <c r="P830" i="5"/>
  <c r="O830" i="5"/>
  <c r="N830" i="5"/>
  <c r="M830" i="5"/>
  <c r="L830" i="5"/>
  <c r="A830" i="5" s="1"/>
  <c r="AD839" i="5"/>
  <c r="AC839" i="5"/>
  <c r="AB839" i="5"/>
  <c r="AA839" i="5"/>
  <c r="Z839" i="5"/>
  <c r="Y839" i="5"/>
  <c r="X839" i="5"/>
  <c r="W839" i="5"/>
  <c r="V839" i="5"/>
  <c r="U839" i="5"/>
  <c r="T839" i="5"/>
  <c r="S839" i="5"/>
  <c r="R839" i="5"/>
  <c r="Q839" i="5"/>
  <c r="P839" i="5"/>
  <c r="O839" i="5"/>
  <c r="N839" i="5"/>
  <c r="M839" i="5"/>
  <c r="L839" i="5"/>
  <c r="A839" i="5" s="1"/>
  <c r="AD664" i="5"/>
  <c r="AC664" i="5"/>
  <c r="AB664" i="5"/>
  <c r="AA664" i="5"/>
  <c r="Z664" i="5"/>
  <c r="Y664" i="5"/>
  <c r="X664" i="5"/>
  <c r="W664" i="5"/>
  <c r="V664" i="5"/>
  <c r="U664" i="5"/>
  <c r="T664" i="5"/>
  <c r="S664" i="5"/>
  <c r="R664" i="5"/>
  <c r="Q664" i="5"/>
  <c r="P664" i="5"/>
  <c r="O664" i="5"/>
  <c r="N664" i="5"/>
  <c r="M664" i="5"/>
  <c r="L664" i="5"/>
  <c r="A664" i="5" s="1"/>
  <c r="AD655" i="5"/>
  <c r="AC655" i="5"/>
  <c r="AB655" i="5"/>
  <c r="AA655" i="5"/>
  <c r="Z655" i="5"/>
  <c r="Y655" i="5"/>
  <c r="X655" i="5"/>
  <c r="W655" i="5"/>
  <c r="V655" i="5"/>
  <c r="U655" i="5"/>
  <c r="T655" i="5"/>
  <c r="S655" i="5"/>
  <c r="R655" i="5"/>
  <c r="Q655" i="5"/>
  <c r="P655" i="5"/>
  <c r="O655" i="5"/>
  <c r="N655" i="5"/>
  <c r="M655" i="5"/>
  <c r="L655" i="5"/>
  <c r="A655" i="5" s="1"/>
  <c r="Y559" i="1"/>
  <c r="X559" i="1"/>
  <c r="Y558" i="1"/>
  <c r="X558" i="1"/>
  <c r="Y557" i="1"/>
  <c r="X557" i="1"/>
  <c r="Y556" i="1"/>
  <c r="X556" i="1"/>
  <c r="Y555" i="1"/>
  <c r="X555" i="1"/>
  <c r="Y554" i="1"/>
  <c r="X554" i="1"/>
  <c r="Z554" i="1" s="1"/>
  <c r="Y553" i="1"/>
  <c r="X553" i="1"/>
  <c r="Y552" i="1"/>
  <c r="X552" i="1"/>
  <c r="Y551" i="1"/>
  <c r="X551" i="1"/>
  <c r="Y550" i="1"/>
  <c r="X550" i="1"/>
  <c r="Y549" i="1"/>
  <c r="X549" i="1"/>
  <c r="Y548" i="1"/>
  <c r="X548" i="1"/>
  <c r="Y547" i="1"/>
  <c r="X547" i="1"/>
  <c r="Y546" i="1"/>
  <c r="X546" i="1"/>
  <c r="Z546" i="1" s="1"/>
  <c r="M876" i="5"/>
  <c r="L876" i="5"/>
  <c r="A876" i="5" s="1"/>
  <c r="M875" i="5"/>
  <c r="L875" i="5"/>
  <c r="A875" i="5" s="1"/>
  <c r="M874" i="5"/>
  <c r="L874" i="5"/>
  <c r="A874" i="5" s="1"/>
  <c r="M873" i="5"/>
  <c r="L873" i="5"/>
  <c r="A873" i="5" s="1"/>
  <c r="AD876" i="5"/>
  <c r="AC876" i="5"/>
  <c r="AB876" i="5"/>
  <c r="AA876" i="5"/>
  <c r="Z876" i="5"/>
  <c r="Y876" i="5"/>
  <c r="X876" i="5"/>
  <c r="W876" i="5"/>
  <c r="V876" i="5"/>
  <c r="U876" i="5"/>
  <c r="T876" i="5"/>
  <c r="S876" i="5"/>
  <c r="R876" i="5"/>
  <c r="Q876" i="5"/>
  <c r="P876" i="5"/>
  <c r="O876" i="5"/>
  <c r="N876" i="5"/>
  <c r="AD875" i="5"/>
  <c r="AC875" i="5"/>
  <c r="AB875" i="5"/>
  <c r="AA875" i="5"/>
  <c r="Z875" i="5"/>
  <c r="Y875" i="5"/>
  <c r="X875" i="5"/>
  <c r="W875" i="5"/>
  <c r="V875" i="5"/>
  <c r="U875" i="5"/>
  <c r="T875" i="5"/>
  <c r="S875" i="5"/>
  <c r="R875" i="5"/>
  <c r="Q875" i="5"/>
  <c r="P875" i="5"/>
  <c r="O875" i="5"/>
  <c r="N875" i="5"/>
  <c r="AD874" i="5"/>
  <c r="AC874" i="5"/>
  <c r="AB874" i="5"/>
  <c r="AA874" i="5"/>
  <c r="Z874" i="5"/>
  <c r="Y874" i="5"/>
  <c r="X874" i="5"/>
  <c r="W874" i="5"/>
  <c r="V874" i="5"/>
  <c r="U874" i="5"/>
  <c r="T874" i="5"/>
  <c r="S874" i="5"/>
  <c r="R874" i="5"/>
  <c r="Q874" i="5"/>
  <c r="P874" i="5"/>
  <c r="O874" i="5"/>
  <c r="N874" i="5"/>
  <c r="AD873" i="5"/>
  <c r="AC873" i="5"/>
  <c r="AB873" i="5"/>
  <c r="AA873" i="5"/>
  <c r="Z873" i="5"/>
  <c r="Y873" i="5"/>
  <c r="X873" i="5"/>
  <c r="W873" i="5"/>
  <c r="V873" i="5"/>
  <c r="U873" i="5"/>
  <c r="T873" i="5"/>
  <c r="S873" i="5"/>
  <c r="R873" i="5"/>
  <c r="Q873" i="5"/>
  <c r="P873" i="5"/>
  <c r="O873" i="5"/>
  <c r="N873" i="5"/>
  <c r="AD868" i="5"/>
  <c r="AC868" i="5"/>
  <c r="AB868" i="5"/>
  <c r="AA868" i="5"/>
  <c r="Z868" i="5"/>
  <c r="Y868" i="5"/>
  <c r="X868" i="5"/>
  <c r="W868" i="5"/>
  <c r="V868" i="5"/>
  <c r="U868" i="5"/>
  <c r="T868" i="5"/>
  <c r="S868" i="5"/>
  <c r="R868" i="5"/>
  <c r="Q868" i="5"/>
  <c r="P868" i="5"/>
  <c r="O868" i="5"/>
  <c r="N868" i="5"/>
  <c r="AD867" i="5"/>
  <c r="AC867" i="5"/>
  <c r="AB867" i="5"/>
  <c r="AA867" i="5"/>
  <c r="Z867" i="5"/>
  <c r="Y867" i="5"/>
  <c r="X867" i="5"/>
  <c r="W867" i="5"/>
  <c r="V867" i="5"/>
  <c r="U867" i="5"/>
  <c r="T867" i="5"/>
  <c r="S867" i="5"/>
  <c r="R867" i="5"/>
  <c r="Q867" i="5"/>
  <c r="P867" i="5"/>
  <c r="O867" i="5"/>
  <c r="N867" i="5"/>
  <c r="AD866" i="5"/>
  <c r="AC866" i="5"/>
  <c r="AB866" i="5"/>
  <c r="AA866" i="5"/>
  <c r="Z866" i="5"/>
  <c r="Y866" i="5"/>
  <c r="X866" i="5"/>
  <c r="W866" i="5"/>
  <c r="V866" i="5"/>
  <c r="U866" i="5"/>
  <c r="T866" i="5"/>
  <c r="S866" i="5"/>
  <c r="R866" i="5"/>
  <c r="Q866" i="5"/>
  <c r="P866" i="5"/>
  <c r="O866" i="5"/>
  <c r="N866" i="5"/>
  <c r="AD860" i="5"/>
  <c r="AC860" i="5"/>
  <c r="AB860" i="5"/>
  <c r="AA860" i="5"/>
  <c r="Z860" i="5"/>
  <c r="Y860" i="5"/>
  <c r="X860" i="5"/>
  <c r="W860" i="5"/>
  <c r="V860" i="5"/>
  <c r="U860" i="5"/>
  <c r="T860" i="5"/>
  <c r="S860" i="5"/>
  <c r="R860" i="5"/>
  <c r="Q860" i="5"/>
  <c r="P860" i="5"/>
  <c r="O860" i="5"/>
  <c r="N860" i="5"/>
  <c r="AD853" i="5"/>
  <c r="AC853" i="5"/>
  <c r="AB853" i="5"/>
  <c r="AA853" i="5"/>
  <c r="Z853" i="5"/>
  <c r="Y853" i="5"/>
  <c r="X853" i="5"/>
  <c r="W853" i="5"/>
  <c r="V853" i="5"/>
  <c r="U853" i="5"/>
  <c r="T853" i="5"/>
  <c r="S853" i="5"/>
  <c r="R853" i="5"/>
  <c r="Q853" i="5"/>
  <c r="P853" i="5"/>
  <c r="O853" i="5"/>
  <c r="N853" i="5"/>
  <c r="AD852" i="5"/>
  <c r="AC852" i="5"/>
  <c r="AB852" i="5"/>
  <c r="AA852" i="5"/>
  <c r="Z852" i="5"/>
  <c r="Y852" i="5"/>
  <c r="X852" i="5"/>
  <c r="W852" i="5"/>
  <c r="V852" i="5"/>
  <c r="U852" i="5"/>
  <c r="T852" i="5"/>
  <c r="S852" i="5"/>
  <c r="R852" i="5"/>
  <c r="Q852" i="5"/>
  <c r="P852" i="5"/>
  <c r="O852" i="5"/>
  <c r="N852" i="5"/>
  <c r="AD847" i="5"/>
  <c r="AC847" i="5"/>
  <c r="AB847" i="5"/>
  <c r="AA847" i="5"/>
  <c r="Z847" i="5"/>
  <c r="Y847" i="5"/>
  <c r="X847" i="5"/>
  <c r="W847" i="5"/>
  <c r="V847" i="5"/>
  <c r="U847" i="5"/>
  <c r="T847" i="5"/>
  <c r="S847" i="5"/>
  <c r="R847" i="5"/>
  <c r="Q847" i="5"/>
  <c r="P847" i="5"/>
  <c r="O847" i="5"/>
  <c r="N847" i="5"/>
  <c r="M847" i="5"/>
  <c r="L847" i="5"/>
  <c r="A847" i="5" s="1"/>
  <c r="AD829" i="5"/>
  <c r="AC829" i="5"/>
  <c r="AB829" i="5"/>
  <c r="AA829" i="5"/>
  <c r="Z829" i="5"/>
  <c r="Y829" i="5"/>
  <c r="X829" i="5"/>
  <c r="W829" i="5"/>
  <c r="V829" i="5"/>
  <c r="U829" i="5"/>
  <c r="T829" i="5"/>
  <c r="S829" i="5"/>
  <c r="R829" i="5"/>
  <c r="Q829" i="5"/>
  <c r="P829" i="5"/>
  <c r="O829" i="5"/>
  <c r="N829" i="5"/>
  <c r="M829" i="5"/>
  <c r="L829" i="5"/>
  <c r="A829" i="5" s="1"/>
  <c r="AD828" i="5"/>
  <c r="AC828" i="5"/>
  <c r="AB828" i="5"/>
  <c r="AA828" i="5"/>
  <c r="Z828" i="5"/>
  <c r="Y828" i="5"/>
  <c r="X828" i="5"/>
  <c r="W828" i="5"/>
  <c r="V828" i="5"/>
  <c r="U828" i="5"/>
  <c r="T828" i="5"/>
  <c r="S828" i="5"/>
  <c r="R828" i="5"/>
  <c r="Q828" i="5"/>
  <c r="P828" i="5"/>
  <c r="O828" i="5"/>
  <c r="N828" i="5"/>
  <c r="M828" i="5"/>
  <c r="L828" i="5"/>
  <c r="A828" i="5" s="1"/>
  <c r="AD818" i="5"/>
  <c r="AC818" i="5"/>
  <c r="AB818" i="5"/>
  <c r="AA818" i="5"/>
  <c r="Z818" i="5"/>
  <c r="Y818" i="5"/>
  <c r="X818" i="5"/>
  <c r="W818" i="5"/>
  <c r="V818" i="5"/>
  <c r="U818" i="5"/>
  <c r="T818" i="5"/>
  <c r="S818" i="5"/>
  <c r="R818" i="5"/>
  <c r="Q818" i="5"/>
  <c r="P818" i="5"/>
  <c r="O818" i="5"/>
  <c r="N818" i="5"/>
  <c r="M818" i="5"/>
  <c r="L818" i="5"/>
  <c r="AD803" i="5"/>
  <c r="AC803" i="5"/>
  <c r="AB803" i="5"/>
  <c r="AA803" i="5"/>
  <c r="Z803" i="5"/>
  <c r="Y803" i="5"/>
  <c r="X803" i="5"/>
  <c r="W803" i="5"/>
  <c r="V803" i="5"/>
  <c r="U803" i="5"/>
  <c r="T803" i="5"/>
  <c r="S803" i="5"/>
  <c r="R803" i="5"/>
  <c r="Q803" i="5"/>
  <c r="P803" i="5"/>
  <c r="O803" i="5"/>
  <c r="N803" i="5"/>
  <c r="M803" i="5"/>
  <c r="L803" i="5"/>
  <c r="AD780" i="5"/>
  <c r="AC780" i="5"/>
  <c r="AB780" i="5"/>
  <c r="AA780" i="5"/>
  <c r="Z780" i="5"/>
  <c r="Y780" i="5"/>
  <c r="X780" i="5"/>
  <c r="W780" i="5"/>
  <c r="V780" i="5"/>
  <c r="U780" i="5"/>
  <c r="T780" i="5"/>
  <c r="S780" i="5"/>
  <c r="R780" i="5"/>
  <c r="Q780" i="5"/>
  <c r="P780" i="5"/>
  <c r="O780" i="5"/>
  <c r="N780" i="5"/>
  <c r="M780" i="5"/>
  <c r="L780" i="5"/>
  <c r="AD753" i="5"/>
  <c r="AC753" i="5"/>
  <c r="AB753" i="5"/>
  <c r="AA753" i="5"/>
  <c r="Z753" i="5"/>
  <c r="Y753" i="5"/>
  <c r="X753" i="5"/>
  <c r="W753" i="5"/>
  <c r="V753" i="5"/>
  <c r="U753" i="5"/>
  <c r="T753" i="5"/>
  <c r="S753" i="5"/>
  <c r="R753" i="5"/>
  <c r="Q753" i="5"/>
  <c r="P753" i="5"/>
  <c r="O753" i="5"/>
  <c r="N753" i="5"/>
  <c r="M753" i="5"/>
  <c r="L753" i="5"/>
  <c r="AD747" i="5"/>
  <c r="AC747" i="5"/>
  <c r="AB747" i="5"/>
  <c r="AA747" i="5"/>
  <c r="Z747" i="5"/>
  <c r="Y747" i="5"/>
  <c r="X747" i="5"/>
  <c r="W747" i="5"/>
  <c r="V747" i="5"/>
  <c r="U747" i="5"/>
  <c r="T747" i="5"/>
  <c r="S747" i="5"/>
  <c r="R747" i="5"/>
  <c r="Q747" i="5"/>
  <c r="P747" i="5"/>
  <c r="O747" i="5"/>
  <c r="N747" i="5"/>
  <c r="M747" i="5"/>
  <c r="L747" i="5"/>
  <c r="AD746" i="5"/>
  <c r="AC746" i="5"/>
  <c r="AB746" i="5"/>
  <c r="AA746" i="5"/>
  <c r="Z746" i="5"/>
  <c r="Y746" i="5"/>
  <c r="X746" i="5"/>
  <c r="W746" i="5"/>
  <c r="V746" i="5"/>
  <c r="U746" i="5"/>
  <c r="T746" i="5"/>
  <c r="S746" i="5"/>
  <c r="R746" i="5"/>
  <c r="Q746" i="5"/>
  <c r="P746" i="5"/>
  <c r="O746" i="5"/>
  <c r="N746" i="5"/>
  <c r="M746" i="5"/>
  <c r="L746" i="5"/>
  <c r="AD745" i="5"/>
  <c r="AC745" i="5"/>
  <c r="AB745" i="5"/>
  <c r="AA745" i="5"/>
  <c r="Z745" i="5"/>
  <c r="Y745" i="5"/>
  <c r="X745" i="5"/>
  <c r="W745" i="5"/>
  <c r="V745" i="5"/>
  <c r="U745" i="5"/>
  <c r="T745" i="5"/>
  <c r="S745" i="5"/>
  <c r="R745" i="5"/>
  <c r="Q745" i="5"/>
  <c r="P745" i="5"/>
  <c r="O745" i="5"/>
  <c r="N745" i="5"/>
  <c r="M745" i="5"/>
  <c r="L745" i="5"/>
  <c r="AD744" i="5"/>
  <c r="AC744" i="5"/>
  <c r="AB744" i="5"/>
  <c r="AA744" i="5"/>
  <c r="Z744" i="5"/>
  <c r="Y744" i="5"/>
  <c r="X744" i="5"/>
  <c r="W744" i="5"/>
  <c r="V744" i="5"/>
  <c r="U744" i="5"/>
  <c r="T744" i="5"/>
  <c r="S744" i="5"/>
  <c r="R744" i="5"/>
  <c r="Q744" i="5"/>
  <c r="P744" i="5"/>
  <c r="O744" i="5"/>
  <c r="N744" i="5"/>
  <c r="M744" i="5"/>
  <c r="L744" i="5"/>
  <c r="AD743" i="5"/>
  <c r="AC743" i="5"/>
  <c r="AB743" i="5"/>
  <c r="AA743" i="5"/>
  <c r="Z743" i="5"/>
  <c r="Y743" i="5"/>
  <c r="X743" i="5"/>
  <c r="W743" i="5"/>
  <c r="V743" i="5"/>
  <c r="U743" i="5"/>
  <c r="T743" i="5"/>
  <c r="S743" i="5"/>
  <c r="R743" i="5"/>
  <c r="Q743" i="5"/>
  <c r="P743" i="5"/>
  <c r="O743" i="5"/>
  <c r="N743" i="5"/>
  <c r="M743" i="5"/>
  <c r="L743" i="5"/>
  <c r="AD720" i="5"/>
  <c r="AC720" i="5"/>
  <c r="AB720" i="5"/>
  <c r="AA720" i="5"/>
  <c r="Z720" i="5"/>
  <c r="Y720" i="5"/>
  <c r="X720" i="5"/>
  <c r="W720" i="5"/>
  <c r="V720" i="5"/>
  <c r="U720" i="5"/>
  <c r="T720" i="5"/>
  <c r="S720" i="5"/>
  <c r="R720" i="5"/>
  <c r="Q720" i="5"/>
  <c r="P720" i="5"/>
  <c r="O720" i="5"/>
  <c r="N720" i="5"/>
  <c r="M720" i="5"/>
  <c r="L720" i="5"/>
  <c r="AD719" i="5"/>
  <c r="AC719" i="5"/>
  <c r="AB719" i="5"/>
  <c r="AA719" i="5"/>
  <c r="Z719" i="5"/>
  <c r="Y719" i="5"/>
  <c r="X719" i="5"/>
  <c r="W719" i="5"/>
  <c r="V719" i="5"/>
  <c r="U719" i="5"/>
  <c r="T719" i="5"/>
  <c r="S719" i="5"/>
  <c r="R719" i="5"/>
  <c r="Q719" i="5"/>
  <c r="P719" i="5"/>
  <c r="O719" i="5"/>
  <c r="N719" i="5"/>
  <c r="M719" i="5"/>
  <c r="L719" i="5"/>
  <c r="AD718" i="5"/>
  <c r="AC718" i="5"/>
  <c r="AB718" i="5"/>
  <c r="AA718" i="5"/>
  <c r="Z718" i="5"/>
  <c r="Y718" i="5"/>
  <c r="X718" i="5"/>
  <c r="W718" i="5"/>
  <c r="V718" i="5"/>
  <c r="U718" i="5"/>
  <c r="T718" i="5"/>
  <c r="S718" i="5"/>
  <c r="R718" i="5"/>
  <c r="Q718" i="5"/>
  <c r="P718" i="5"/>
  <c r="O718" i="5"/>
  <c r="N718" i="5"/>
  <c r="M718" i="5"/>
  <c r="L718" i="5"/>
  <c r="AD717" i="5"/>
  <c r="AC717" i="5"/>
  <c r="AB717" i="5"/>
  <c r="AA717" i="5"/>
  <c r="Z717" i="5"/>
  <c r="Y717" i="5"/>
  <c r="X717" i="5"/>
  <c r="W717" i="5"/>
  <c r="V717" i="5"/>
  <c r="U717" i="5"/>
  <c r="T717" i="5"/>
  <c r="S717" i="5"/>
  <c r="R717" i="5"/>
  <c r="Q717" i="5"/>
  <c r="P717" i="5"/>
  <c r="O717" i="5"/>
  <c r="N717" i="5"/>
  <c r="M717" i="5"/>
  <c r="L717" i="5"/>
  <c r="AD716" i="5"/>
  <c r="AC716" i="5"/>
  <c r="AB716" i="5"/>
  <c r="AA716" i="5"/>
  <c r="Z716" i="5"/>
  <c r="Y716" i="5"/>
  <c r="X716" i="5"/>
  <c r="W716" i="5"/>
  <c r="V716" i="5"/>
  <c r="U716" i="5"/>
  <c r="T716" i="5"/>
  <c r="S716" i="5"/>
  <c r="R716" i="5"/>
  <c r="Q716" i="5"/>
  <c r="P716" i="5"/>
  <c r="O716" i="5"/>
  <c r="N716" i="5"/>
  <c r="M716" i="5"/>
  <c r="L716" i="5"/>
  <c r="AD715" i="5"/>
  <c r="AC715" i="5"/>
  <c r="AB715" i="5"/>
  <c r="AA715" i="5"/>
  <c r="Z715" i="5"/>
  <c r="Y715" i="5"/>
  <c r="X715" i="5"/>
  <c r="W715" i="5"/>
  <c r="V715" i="5"/>
  <c r="U715" i="5"/>
  <c r="T715" i="5"/>
  <c r="S715" i="5"/>
  <c r="R715" i="5"/>
  <c r="Q715" i="5"/>
  <c r="P715" i="5"/>
  <c r="O715" i="5"/>
  <c r="N715" i="5"/>
  <c r="M715" i="5"/>
  <c r="L715" i="5"/>
  <c r="AD705" i="5"/>
  <c r="AC705" i="5"/>
  <c r="AB705" i="5"/>
  <c r="AA705" i="5"/>
  <c r="Z705" i="5"/>
  <c r="Y705" i="5"/>
  <c r="X705" i="5"/>
  <c r="W705" i="5"/>
  <c r="V705" i="5"/>
  <c r="U705" i="5"/>
  <c r="T705" i="5"/>
  <c r="S705" i="5"/>
  <c r="R705" i="5"/>
  <c r="Q705" i="5"/>
  <c r="P705" i="5"/>
  <c r="O705" i="5"/>
  <c r="N705" i="5"/>
  <c r="M705" i="5"/>
  <c r="L705" i="5"/>
  <c r="AD704" i="5"/>
  <c r="AC704" i="5"/>
  <c r="AB704" i="5"/>
  <c r="AA704" i="5"/>
  <c r="Z704" i="5"/>
  <c r="Y704" i="5"/>
  <c r="X704" i="5"/>
  <c r="W704" i="5"/>
  <c r="V704" i="5"/>
  <c r="U704" i="5"/>
  <c r="T704" i="5"/>
  <c r="S704" i="5"/>
  <c r="R704" i="5"/>
  <c r="Q704" i="5"/>
  <c r="P704" i="5"/>
  <c r="O704" i="5"/>
  <c r="N704" i="5"/>
  <c r="M704" i="5"/>
  <c r="L704" i="5"/>
  <c r="AD644" i="5"/>
  <c r="AC644" i="5"/>
  <c r="AB644" i="5"/>
  <c r="AA644" i="5"/>
  <c r="Z644" i="5"/>
  <c r="Y644" i="5"/>
  <c r="X644" i="5"/>
  <c r="W644" i="5"/>
  <c r="V644" i="5"/>
  <c r="U644" i="5"/>
  <c r="T644" i="5"/>
  <c r="S644" i="5"/>
  <c r="R644" i="5"/>
  <c r="Q644" i="5"/>
  <c r="P644" i="5"/>
  <c r="O644" i="5"/>
  <c r="N644" i="5"/>
  <c r="M644" i="5"/>
  <c r="L644" i="5"/>
  <c r="AD632" i="5"/>
  <c r="AC632" i="5"/>
  <c r="AB632" i="5"/>
  <c r="AA632" i="5"/>
  <c r="Z632" i="5"/>
  <c r="Y632" i="5"/>
  <c r="X632" i="5"/>
  <c r="W632" i="5"/>
  <c r="V632" i="5"/>
  <c r="U632" i="5"/>
  <c r="T632" i="5"/>
  <c r="S632" i="5"/>
  <c r="R632" i="5"/>
  <c r="Q632" i="5"/>
  <c r="P632" i="5"/>
  <c r="O632" i="5"/>
  <c r="N632" i="5"/>
  <c r="M632" i="5"/>
  <c r="L632" i="5"/>
  <c r="AD629" i="5"/>
  <c r="AC629" i="5"/>
  <c r="AB629" i="5"/>
  <c r="AA629" i="5"/>
  <c r="Z629" i="5"/>
  <c r="Y629" i="5"/>
  <c r="X629" i="5"/>
  <c r="W629" i="5"/>
  <c r="V629" i="5"/>
  <c r="U629" i="5"/>
  <c r="T629" i="5"/>
  <c r="S629" i="5"/>
  <c r="R629" i="5"/>
  <c r="Q629" i="5"/>
  <c r="P629" i="5"/>
  <c r="O629" i="5"/>
  <c r="N629" i="5"/>
  <c r="M629" i="5"/>
  <c r="L629" i="5"/>
  <c r="AD626" i="5"/>
  <c r="AC626" i="5"/>
  <c r="AB626" i="5"/>
  <c r="AA626" i="5"/>
  <c r="Z626" i="5"/>
  <c r="Y626" i="5"/>
  <c r="X626" i="5"/>
  <c r="W626" i="5"/>
  <c r="V626" i="5"/>
  <c r="U626" i="5"/>
  <c r="T626" i="5"/>
  <c r="S626" i="5"/>
  <c r="R626" i="5"/>
  <c r="Q626" i="5"/>
  <c r="P626" i="5"/>
  <c r="O626" i="5"/>
  <c r="N626" i="5"/>
  <c r="M626" i="5"/>
  <c r="L626" i="5"/>
  <c r="AD625" i="5"/>
  <c r="AC625" i="5"/>
  <c r="AB625" i="5"/>
  <c r="AA625" i="5"/>
  <c r="Z625" i="5"/>
  <c r="Y625" i="5"/>
  <c r="X625" i="5"/>
  <c r="W625" i="5"/>
  <c r="V625" i="5"/>
  <c r="U625" i="5"/>
  <c r="T625" i="5"/>
  <c r="S625" i="5"/>
  <c r="R625" i="5"/>
  <c r="Q625" i="5"/>
  <c r="P625" i="5"/>
  <c r="O625" i="5"/>
  <c r="N625" i="5"/>
  <c r="M625" i="5"/>
  <c r="L625" i="5"/>
  <c r="AD624" i="5"/>
  <c r="AC624" i="5"/>
  <c r="AB624" i="5"/>
  <c r="AA624" i="5"/>
  <c r="Z624" i="5"/>
  <c r="Y624" i="5"/>
  <c r="X624" i="5"/>
  <c r="W624" i="5"/>
  <c r="V624" i="5"/>
  <c r="U624" i="5"/>
  <c r="T624" i="5"/>
  <c r="S624" i="5"/>
  <c r="R624" i="5"/>
  <c r="Q624" i="5"/>
  <c r="P624" i="5"/>
  <c r="O624" i="5"/>
  <c r="N624" i="5"/>
  <c r="M624" i="5"/>
  <c r="L624" i="5"/>
  <c r="AD623" i="5"/>
  <c r="AC623" i="5"/>
  <c r="AB623" i="5"/>
  <c r="AA623" i="5"/>
  <c r="Z623" i="5"/>
  <c r="Y623" i="5"/>
  <c r="X623" i="5"/>
  <c r="W623" i="5"/>
  <c r="V623" i="5"/>
  <c r="U623" i="5"/>
  <c r="T623" i="5"/>
  <c r="S623" i="5"/>
  <c r="R623" i="5"/>
  <c r="Q623" i="5"/>
  <c r="P623" i="5"/>
  <c r="O623" i="5"/>
  <c r="N623" i="5"/>
  <c r="M623" i="5"/>
  <c r="L623" i="5"/>
  <c r="AD622" i="5"/>
  <c r="AC622" i="5"/>
  <c r="AB622" i="5"/>
  <c r="AA622" i="5"/>
  <c r="Z622" i="5"/>
  <c r="Y622" i="5"/>
  <c r="X622" i="5"/>
  <c r="W622" i="5"/>
  <c r="V622" i="5"/>
  <c r="U622" i="5"/>
  <c r="T622" i="5"/>
  <c r="S622" i="5"/>
  <c r="R622" i="5"/>
  <c r="Q622" i="5"/>
  <c r="P622" i="5"/>
  <c r="O622" i="5"/>
  <c r="N622" i="5"/>
  <c r="M622" i="5"/>
  <c r="L622" i="5"/>
  <c r="AD621" i="5"/>
  <c r="AC621" i="5"/>
  <c r="AB621" i="5"/>
  <c r="AA621" i="5"/>
  <c r="Z621" i="5"/>
  <c r="Y621" i="5"/>
  <c r="X621" i="5"/>
  <c r="W621" i="5"/>
  <c r="V621" i="5"/>
  <c r="U621" i="5"/>
  <c r="T621" i="5"/>
  <c r="S621" i="5"/>
  <c r="R621" i="5"/>
  <c r="Q621" i="5"/>
  <c r="P621" i="5"/>
  <c r="O621" i="5"/>
  <c r="N621" i="5"/>
  <c r="M621" i="5"/>
  <c r="L621" i="5"/>
  <c r="AD620" i="5"/>
  <c r="AC620" i="5"/>
  <c r="AB620" i="5"/>
  <c r="AA620" i="5"/>
  <c r="Z620" i="5"/>
  <c r="Y620" i="5"/>
  <c r="X620" i="5"/>
  <c r="W620" i="5"/>
  <c r="V620" i="5"/>
  <c r="U620" i="5"/>
  <c r="T620" i="5"/>
  <c r="S620" i="5"/>
  <c r="R620" i="5"/>
  <c r="Q620" i="5"/>
  <c r="P620" i="5"/>
  <c r="O620" i="5"/>
  <c r="N620" i="5"/>
  <c r="M620" i="5"/>
  <c r="L620" i="5"/>
  <c r="AD619" i="5"/>
  <c r="AC619" i="5"/>
  <c r="AB619" i="5"/>
  <c r="AA619" i="5"/>
  <c r="Z619" i="5"/>
  <c r="Y619" i="5"/>
  <c r="X619" i="5"/>
  <c r="W619" i="5"/>
  <c r="V619" i="5"/>
  <c r="U619" i="5"/>
  <c r="T619" i="5"/>
  <c r="S619" i="5"/>
  <c r="R619" i="5"/>
  <c r="Q619" i="5"/>
  <c r="P619" i="5"/>
  <c r="O619" i="5"/>
  <c r="N619" i="5"/>
  <c r="M619" i="5"/>
  <c r="L619" i="5"/>
  <c r="AD618" i="5"/>
  <c r="AC618" i="5"/>
  <c r="AB618" i="5"/>
  <c r="AA618" i="5"/>
  <c r="Z618" i="5"/>
  <c r="Y618" i="5"/>
  <c r="X618" i="5"/>
  <c r="W618" i="5"/>
  <c r="V618" i="5"/>
  <c r="U618" i="5"/>
  <c r="T618" i="5"/>
  <c r="S618" i="5"/>
  <c r="R618" i="5"/>
  <c r="Q618" i="5"/>
  <c r="P618" i="5"/>
  <c r="O618" i="5"/>
  <c r="N618" i="5"/>
  <c r="M618" i="5"/>
  <c r="L618" i="5"/>
  <c r="AD612" i="5"/>
  <c r="AC612" i="5"/>
  <c r="AB612" i="5"/>
  <c r="AA612" i="5"/>
  <c r="Z612" i="5"/>
  <c r="Y612" i="5"/>
  <c r="X612" i="5"/>
  <c r="W612" i="5"/>
  <c r="V612" i="5"/>
  <c r="U612" i="5"/>
  <c r="T612" i="5"/>
  <c r="S612" i="5"/>
  <c r="R612" i="5"/>
  <c r="Q612" i="5"/>
  <c r="P612" i="5"/>
  <c r="O612" i="5"/>
  <c r="N612" i="5"/>
  <c r="M612" i="5"/>
  <c r="L612" i="5"/>
  <c r="AD611" i="5"/>
  <c r="AC611" i="5"/>
  <c r="AB611" i="5"/>
  <c r="AA611" i="5"/>
  <c r="Z611" i="5"/>
  <c r="Y611" i="5"/>
  <c r="X611" i="5"/>
  <c r="W611" i="5"/>
  <c r="V611" i="5"/>
  <c r="U611" i="5"/>
  <c r="T611" i="5"/>
  <c r="S611" i="5"/>
  <c r="R611" i="5"/>
  <c r="Q611" i="5"/>
  <c r="P611" i="5"/>
  <c r="O611" i="5"/>
  <c r="N611" i="5"/>
  <c r="M611" i="5"/>
  <c r="L611" i="5"/>
  <c r="AD610" i="5"/>
  <c r="AC610" i="5"/>
  <c r="AB610" i="5"/>
  <c r="AA610" i="5"/>
  <c r="Z610" i="5"/>
  <c r="Y610" i="5"/>
  <c r="X610" i="5"/>
  <c r="W610" i="5"/>
  <c r="V610" i="5"/>
  <c r="U610" i="5"/>
  <c r="T610" i="5"/>
  <c r="S610" i="5"/>
  <c r="R610" i="5"/>
  <c r="Q610" i="5"/>
  <c r="P610" i="5"/>
  <c r="O610" i="5"/>
  <c r="N610" i="5"/>
  <c r="M610" i="5"/>
  <c r="L610" i="5"/>
  <c r="AD609" i="5"/>
  <c r="AC609" i="5"/>
  <c r="AB609" i="5"/>
  <c r="AA609" i="5"/>
  <c r="Z609" i="5"/>
  <c r="Y609" i="5"/>
  <c r="X609" i="5"/>
  <c r="W609" i="5"/>
  <c r="V609" i="5"/>
  <c r="U609" i="5"/>
  <c r="T609" i="5"/>
  <c r="S609" i="5"/>
  <c r="R609" i="5"/>
  <c r="Q609" i="5"/>
  <c r="P609" i="5"/>
  <c r="O609" i="5"/>
  <c r="N609" i="5"/>
  <c r="M609" i="5"/>
  <c r="L609" i="5"/>
  <c r="AD608" i="5"/>
  <c r="AC608" i="5"/>
  <c r="AB608" i="5"/>
  <c r="AA608" i="5"/>
  <c r="Z608" i="5"/>
  <c r="Y608" i="5"/>
  <c r="X608" i="5"/>
  <c r="W608" i="5"/>
  <c r="V608" i="5"/>
  <c r="U608" i="5"/>
  <c r="T608" i="5"/>
  <c r="S608" i="5"/>
  <c r="R608" i="5"/>
  <c r="Q608" i="5"/>
  <c r="P608" i="5"/>
  <c r="O608" i="5"/>
  <c r="N608" i="5"/>
  <c r="M608" i="5"/>
  <c r="L608" i="5"/>
  <c r="AD607" i="5"/>
  <c r="AC607" i="5"/>
  <c r="AB607" i="5"/>
  <c r="AA607" i="5"/>
  <c r="Z607" i="5"/>
  <c r="Y607" i="5"/>
  <c r="X607" i="5"/>
  <c r="W607" i="5"/>
  <c r="V607" i="5"/>
  <c r="U607" i="5"/>
  <c r="T607" i="5"/>
  <c r="S607" i="5"/>
  <c r="R607" i="5"/>
  <c r="Q607" i="5"/>
  <c r="P607" i="5"/>
  <c r="O607" i="5"/>
  <c r="N607" i="5"/>
  <c r="M607" i="5"/>
  <c r="L607" i="5"/>
  <c r="AD606" i="5"/>
  <c r="AC606" i="5"/>
  <c r="AB606" i="5"/>
  <c r="AA606" i="5"/>
  <c r="Z606" i="5"/>
  <c r="Y606" i="5"/>
  <c r="X606" i="5"/>
  <c r="W606" i="5"/>
  <c r="V606" i="5"/>
  <c r="U606" i="5"/>
  <c r="T606" i="5"/>
  <c r="S606" i="5"/>
  <c r="R606" i="5"/>
  <c r="Q606" i="5"/>
  <c r="P606" i="5"/>
  <c r="O606" i="5"/>
  <c r="N606" i="5"/>
  <c r="M606" i="5"/>
  <c r="L606" i="5"/>
  <c r="AD605" i="5"/>
  <c r="AC605" i="5"/>
  <c r="AB605" i="5"/>
  <c r="AA605" i="5"/>
  <c r="Z605" i="5"/>
  <c r="Y605" i="5"/>
  <c r="X605" i="5"/>
  <c r="W605" i="5"/>
  <c r="V605" i="5"/>
  <c r="U605" i="5"/>
  <c r="T605" i="5"/>
  <c r="S605" i="5"/>
  <c r="R605" i="5"/>
  <c r="Q605" i="5"/>
  <c r="P605" i="5"/>
  <c r="O605" i="5"/>
  <c r="N605" i="5"/>
  <c r="M605" i="5"/>
  <c r="L605" i="5"/>
  <c r="AD604" i="5"/>
  <c r="AC604" i="5"/>
  <c r="AB604" i="5"/>
  <c r="AA604" i="5"/>
  <c r="Z604" i="5"/>
  <c r="Y604" i="5"/>
  <c r="X604" i="5"/>
  <c r="W604" i="5"/>
  <c r="V604" i="5"/>
  <c r="U604" i="5"/>
  <c r="T604" i="5"/>
  <c r="S604" i="5"/>
  <c r="R604" i="5"/>
  <c r="Q604" i="5"/>
  <c r="P604" i="5"/>
  <c r="O604" i="5"/>
  <c r="N604" i="5"/>
  <c r="M604" i="5"/>
  <c r="L604" i="5"/>
  <c r="AD603" i="5"/>
  <c r="AC603" i="5"/>
  <c r="AB603" i="5"/>
  <c r="AA603" i="5"/>
  <c r="Z603" i="5"/>
  <c r="Y603" i="5"/>
  <c r="X603" i="5"/>
  <c r="W603" i="5"/>
  <c r="V603" i="5"/>
  <c r="U603" i="5"/>
  <c r="T603" i="5"/>
  <c r="S603" i="5"/>
  <c r="R603" i="5"/>
  <c r="Q603" i="5"/>
  <c r="P603" i="5"/>
  <c r="O603" i="5"/>
  <c r="N603" i="5"/>
  <c r="M603" i="5"/>
  <c r="L603" i="5"/>
  <c r="AD602" i="5"/>
  <c r="AC602" i="5"/>
  <c r="AB602" i="5"/>
  <c r="AA602" i="5"/>
  <c r="Z602" i="5"/>
  <c r="Y602" i="5"/>
  <c r="X602" i="5"/>
  <c r="W602" i="5"/>
  <c r="V602" i="5"/>
  <c r="U602" i="5"/>
  <c r="T602" i="5"/>
  <c r="S602" i="5"/>
  <c r="R602" i="5"/>
  <c r="Q602" i="5"/>
  <c r="P602" i="5"/>
  <c r="O602" i="5"/>
  <c r="N602" i="5"/>
  <c r="M602" i="5"/>
  <c r="L602" i="5"/>
  <c r="AD601" i="5"/>
  <c r="AC601" i="5"/>
  <c r="AB601" i="5"/>
  <c r="AA601" i="5"/>
  <c r="Z601" i="5"/>
  <c r="Y601" i="5"/>
  <c r="X601" i="5"/>
  <c r="W601" i="5"/>
  <c r="V601" i="5"/>
  <c r="U601" i="5"/>
  <c r="T601" i="5"/>
  <c r="S601" i="5"/>
  <c r="R601" i="5"/>
  <c r="Q601" i="5"/>
  <c r="P601" i="5"/>
  <c r="O601" i="5"/>
  <c r="N601" i="5"/>
  <c r="M601" i="5"/>
  <c r="L601" i="5"/>
  <c r="AD600" i="5"/>
  <c r="AC600" i="5"/>
  <c r="AB600" i="5"/>
  <c r="AA600" i="5"/>
  <c r="Z600" i="5"/>
  <c r="Y600" i="5"/>
  <c r="X600" i="5"/>
  <c r="W600" i="5"/>
  <c r="V600" i="5"/>
  <c r="U600" i="5"/>
  <c r="T600" i="5"/>
  <c r="S600" i="5"/>
  <c r="R600" i="5"/>
  <c r="Q600" i="5"/>
  <c r="P600" i="5"/>
  <c r="O600" i="5"/>
  <c r="N600" i="5"/>
  <c r="M600" i="5"/>
  <c r="L600" i="5"/>
  <c r="AD599" i="5"/>
  <c r="AC599" i="5"/>
  <c r="AB599" i="5"/>
  <c r="AA599" i="5"/>
  <c r="Z599" i="5"/>
  <c r="Y599" i="5"/>
  <c r="X599" i="5"/>
  <c r="W599" i="5"/>
  <c r="V599" i="5"/>
  <c r="U599" i="5"/>
  <c r="T599" i="5"/>
  <c r="S599" i="5"/>
  <c r="R599" i="5"/>
  <c r="Q599" i="5"/>
  <c r="P599" i="5"/>
  <c r="O599" i="5"/>
  <c r="N599" i="5"/>
  <c r="M599" i="5"/>
  <c r="L599" i="5"/>
  <c r="AD598" i="5"/>
  <c r="AC598" i="5"/>
  <c r="AB598" i="5"/>
  <c r="AA598" i="5"/>
  <c r="Z598" i="5"/>
  <c r="Y598" i="5"/>
  <c r="X598" i="5"/>
  <c r="W598" i="5"/>
  <c r="V598" i="5"/>
  <c r="U598" i="5"/>
  <c r="T598" i="5"/>
  <c r="S598" i="5"/>
  <c r="R598" i="5"/>
  <c r="Q598" i="5"/>
  <c r="P598" i="5"/>
  <c r="O598" i="5"/>
  <c r="N598" i="5"/>
  <c r="M598" i="5"/>
  <c r="L598" i="5"/>
  <c r="AD595" i="5"/>
  <c r="AC595" i="5"/>
  <c r="AB595" i="5"/>
  <c r="AA595" i="5"/>
  <c r="Z595" i="5"/>
  <c r="Y595" i="5"/>
  <c r="X595" i="5"/>
  <c r="W595" i="5"/>
  <c r="V595" i="5"/>
  <c r="U595" i="5"/>
  <c r="T595" i="5"/>
  <c r="S595" i="5"/>
  <c r="R595" i="5"/>
  <c r="Q595" i="5"/>
  <c r="P595" i="5"/>
  <c r="O595" i="5"/>
  <c r="N595" i="5"/>
  <c r="M595" i="5"/>
  <c r="L595" i="5"/>
  <c r="AD593" i="5"/>
  <c r="AC593" i="5"/>
  <c r="AB593" i="5"/>
  <c r="AA593" i="5"/>
  <c r="Z593" i="5"/>
  <c r="Y593" i="5"/>
  <c r="X593" i="5"/>
  <c r="W593" i="5"/>
  <c r="V593" i="5"/>
  <c r="U593" i="5"/>
  <c r="T593" i="5"/>
  <c r="S593" i="5"/>
  <c r="R593" i="5"/>
  <c r="Q593" i="5"/>
  <c r="P593" i="5"/>
  <c r="O593" i="5"/>
  <c r="N593" i="5"/>
  <c r="M593" i="5"/>
  <c r="L593" i="5"/>
  <c r="AD592" i="5"/>
  <c r="AC592" i="5"/>
  <c r="AB592" i="5"/>
  <c r="AA592" i="5"/>
  <c r="Z592" i="5"/>
  <c r="Y592" i="5"/>
  <c r="X592" i="5"/>
  <c r="W592" i="5"/>
  <c r="V592" i="5"/>
  <c r="U592" i="5"/>
  <c r="T592" i="5"/>
  <c r="S592" i="5"/>
  <c r="R592" i="5"/>
  <c r="Q592" i="5"/>
  <c r="P592" i="5"/>
  <c r="O592" i="5"/>
  <c r="N592" i="5"/>
  <c r="M592" i="5"/>
  <c r="L592" i="5"/>
  <c r="AD591" i="5"/>
  <c r="AC591" i="5"/>
  <c r="AB591" i="5"/>
  <c r="AA591" i="5"/>
  <c r="Z591" i="5"/>
  <c r="Y591" i="5"/>
  <c r="X591" i="5"/>
  <c r="W591" i="5"/>
  <c r="V591" i="5"/>
  <c r="U591" i="5"/>
  <c r="T591" i="5"/>
  <c r="S591" i="5"/>
  <c r="R591" i="5"/>
  <c r="Q591" i="5"/>
  <c r="P591" i="5"/>
  <c r="O591" i="5"/>
  <c r="N591" i="5"/>
  <c r="M591" i="5"/>
  <c r="L591" i="5"/>
  <c r="A803" i="5"/>
  <c r="A780" i="5"/>
  <c r="A747" i="5"/>
  <c r="A746" i="5"/>
  <c r="A745" i="5"/>
  <c r="A744" i="5"/>
  <c r="A743" i="5"/>
  <c r="A720" i="5"/>
  <c r="A719" i="5"/>
  <c r="A718" i="5"/>
  <c r="A717" i="5"/>
  <c r="A716" i="5"/>
  <c r="A705" i="5"/>
  <c r="A704" i="5"/>
  <c r="A591" i="5"/>
  <c r="A593" i="5"/>
  <c r="A626" i="5"/>
  <c r="A629" i="5"/>
  <c r="A625" i="5"/>
  <c r="A612" i="5"/>
  <c r="A595" i="5"/>
  <c r="A605" i="5"/>
  <c r="A592" i="5"/>
  <c r="A624" i="5"/>
  <c r="A604" i="5"/>
  <c r="A611" i="5"/>
  <c r="A610" i="5"/>
  <c r="A609" i="5"/>
  <c r="A619" i="5"/>
  <c r="A608" i="5"/>
  <c r="A607" i="5"/>
  <c r="A623" i="5"/>
  <c r="A606" i="5"/>
  <c r="A603" i="5"/>
  <c r="A602" i="5"/>
  <c r="A622" i="5"/>
  <c r="A621" i="5"/>
  <c r="A620" i="5"/>
  <c r="A618" i="5"/>
  <c r="A601" i="5"/>
  <c r="A600" i="5"/>
  <c r="A599" i="5"/>
  <c r="A598" i="5"/>
  <c r="A644" i="5"/>
  <c r="A632" i="5"/>
  <c r="A753" i="5"/>
  <c r="A818" i="5"/>
  <c r="A715" i="5"/>
  <c r="W1" i="11"/>
  <c r="V1" i="11"/>
  <c r="U1" i="11"/>
  <c r="T1" i="11"/>
  <c r="S1" i="11"/>
  <c r="R1" i="11"/>
  <c r="Q1" i="11"/>
  <c r="P1" i="11"/>
  <c r="O1" i="11"/>
  <c r="N1" i="11"/>
  <c r="M1" i="11"/>
  <c r="L1" i="11"/>
  <c r="K1" i="11"/>
  <c r="J1" i="11"/>
  <c r="I1" i="11"/>
  <c r="H1" i="11"/>
  <c r="AQ1" i="11"/>
  <c r="AP1" i="11"/>
  <c r="AO1" i="11"/>
  <c r="AN1" i="11"/>
  <c r="AM1" i="11"/>
  <c r="AL1" i="11"/>
  <c r="AK1" i="11"/>
  <c r="AJ1" i="11"/>
  <c r="AI1" i="11"/>
  <c r="AH1" i="11"/>
  <c r="AG1" i="11"/>
  <c r="AF1" i="11"/>
  <c r="AE1" i="11"/>
  <c r="AD1" i="11"/>
  <c r="AC1" i="11"/>
  <c r="AB1" i="11"/>
  <c r="M588" i="5"/>
  <c r="M587" i="5"/>
  <c r="M586" i="5"/>
  <c r="M585" i="5"/>
  <c r="M584" i="5"/>
  <c r="M457" i="5"/>
  <c r="M456" i="5"/>
  <c r="M455" i="5"/>
  <c r="M454" i="5"/>
  <c r="M453" i="5"/>
  <c r="M452" i="5"/>
  <c r="M451" i="5"/>
  <c r="M450" i="5"/>
  <c r="M449" i="5"/>
  <c r="M448" i="5"/>
  <c r="M447" i="5"/>
  <c r="M446" i="5"/>
  <c r="M445" i="5"/>
  <c r="M444" i="5"/>
  <c r="M443" i="5"/>
  <c r="M442" i="5"/>
  <c r="M441" i="5"/>
  <c r="M440" i="5"/>
  <c r="M439" i="5"/>
  <c r="M438" i="5"/>
  <c r="M243" i="5"/>
  <c r="M242" i="5"/>
  <c r="M241" i="5"/>
  <c r="M240" i="5"/>
  <c r="M239" i="5"/>
  <c r="M62" i="5"/>
  <c r="L588" i="5"/>
  <c r="A588" i="5" s="1"/>
  <c r="L587" i="5"/>
  <c r="A587" i="5" s="1"/>
  <c r="L586" i="5"/>
  <c r="A586" i="5" s="1"/>
  <c r="L585" i="5"/>
  <c r="A585" i="5" s="1"/>
  <c r="L584" i="5"/>
  <c r="A584" i="5" s="1"/>
  <c r="L457" i="5"/>
  <c r="L456" i="5"/>
  <c r="A456" i="5" s="1"/>
  <c r="L455" i="5"/>
  <c r="A455" i="5" s="1"/>
  <c r="L454" i="5"/>
  <c r="A454" i="5" s="1"/>
  <c r="L453" i="5"/>
  <c r="L452" i="5"/>
  <c r="L451" i="5"/>
  <c r="L450" i="5"/>
  <c r="A450" i="5" s="1"/>
  <c r="L449" i="5"/>
  <c r="A449" i="5" s="1"/>
  <c r="L448" i="5"/>
  <c r="L447" i="5"/>
  <c r="A447" i="5" s="1"/>
  <c r="L446" i="5"/>
  <c r="A446" i="5" s="1"/>
  <c r="L445" i="5"/>
  <c r="L444" i="5"/>
  <c r="L443" i="5"/>
  <c r="L442" i="5"/>
  <c r="L441" i="5"/>
  <c r="A441" i="5" s="1"/>
  <c r="L440" i="5"/>
  <c r="A440" i="5" s="1"/>
  <c r="L439" i="5"/>
  <c r="L438" i="5"/>
  <c r="A438" i="5" s="1"/>
  <c r="L243" i="5"/>
  <c r="L242" i="5"/>
  <c r="L241" i="5"/>
  <c r="L240" i="5"/>
  <c r="A240" i="5" s="1"/>
  <c r="L239" i="5"/>
  <c r="L62" i="5"/>
  <c r="L513" i="5"/>
  <c r="A513" i="5" s="1"/>
  <c r="L486" i="5"/>
  <c r="A486" i="5" s="1"/>
  <c r="L458" i="5"/>
  <c r="A458" i="5" s="1"/>
  <c r="A443" i="5"/>
  <c r="L426" i="5"/>
  <c r="A426" i="5" s="1"/>
  <c r="L424" i="5"/>
  <c r="A424" i="5" s="1"/>
  <c r="L414" i="5"/>
  <c r="A414" i="5" s="1"/>
  <c r="L412" i="5"/>
  <c r="A412" i="5" s="1"/>
  <c r="L398" i="5"/>
  <c r="A398" i="5" s="1"/>
  <c r="L396" i="5"/>
  <c r="A396" i="5" s="1"/>
  <c r="L389" i="5"/>
  <c r="A389" i="5" s="1"/>
  <c r="L382" i="5"/>
  <c r="A382" i="5" s="1"/>
  <c r="L380" i="5"/>
  <c r="A380" i="5" s="1"/>
  <c r="L373" i="5"/>
  <c r="A373" i="5" s="1"/>
  <c r="L366" i="5"/>
  <c r="A366" i="5" s="1"/>
  <c r="L364" i="5"/>
  <c r="A364" i="5" s="1"/>
  <c r="L350" i="5"/>
  <c r="A350" i="5" s="1"/>
  <c r="L348" i="5"/>
  <c r="A348" i="5" s="1"/>
  <c r="L334" i="5"/>
  <c r="A334" i="5" s="1"/>
  <c r="L332" i="5"/>
  <c r="A332" i="5" s="1"/>
  <c r="L325" i="5"/>
  <c r="A325" i="5" s="1"/>
  <c r="L318" i="5"/>
  <c r="A318" i="5" s="1"/>
  <c r="L316" i="5"/>
  <c r="A316" i="5" s="1"/>
  <c r="L309" i="5"/>
  <c r="A309" i="5" s="1"/>
  <c r="L302" i="5"/>
  <c r="A302" i="5" s="1"/>
  <c r="L300" i="5"/>
  <c r="A300" i="5" s="1"/>
  <c r="L286" i="5"/>
  <c r="A286" i="5" s="1"/>
  <c r="L284" i="5"/>
  <c r="A284" i="5" s="1"/>
  <c r="L270" i="5"/>
  <c r="A270" i="5" s="1"/>
  <c r="L268" i="5"/>
  <c r="A268" i="5" s="1"/>
  <c r="L266" i="5"/>
  <c r="A266" i="5" s="1"/>
  <c r="L264" i="5"/>
  <c r="A264" i="5" s="1"/>
  <c r="L262" i="5"/>
  <c r="A262" i="5" s="1"/>
  <c r="L260" i="5"/>
  <c r="A260" i="5" s="1"/>
  <c r="L258" i="5"/>
  <c r="A258" i="5" s="1"/>
  <c r="L256" i="5"/>
  <c r="A256" i="5" s="1"/>
  <c r="L254" i="5"/>
  <c r="A254" i="5" s="1"/>
  <c r="L252" i="5"/>
  <c r="A252" i="5" s="1"/>
  <c r="L250" i="5"/>
  <c r="A250" i="5" s="1"/>
  <c r="L248" i="5"/>
  <c r="A248" i="5" s="1"/>
  <c r="L246" i="5"/>
  <c r="A246" i="5" s="1"/>
  <c r="L244" i="5"/>
  <c r="A244" i="5" s="1"/>
  <c r="A242" i="5"/>
  <c r="A238" i="5"/>
  <c r="A236" i="5"/>
  <c r="L234" i="5"/>
  <c r="A234" i="5" s="1"/>
  <c r="L232" i="5"/>
  <c r="A232" i="5" s="1"/>
  <c r="L230" i="5"/>
  <c r="A230" i="5" s="1"/>
  <c r="L228" i="5"/>
  <c r="A228" i="5" s="1"/>
  <c r="L226" i="5"/>
  <c r="A226" i="5" s="1"/>
  <c r="L224" i="5"/>
  <c r="A224" i="5" s="1"/>
  <c r="L222" i="5"/>
  <c r="A222" i="5" s="1"/>
  <c r="L220" i="5"/>
  <c r="A220" i="5" s="1"/>
  <c r="L218" i="5"/>
  <c r="A218" i="5" s="1"/>
  <c r="L216" i="5"/>
  <c r="A216" i="5" s="1"/>
  <c r="L214" i="5"/>
  <c r="A214" i="5" s="1"/>
  <c r="L212" i="5"/>
  <c r="A212" i="5" s="1"/>
  <c r="L210" i="5"/>
  <c r="A210" i="5" s="1"/>
  <c r="L208" i="5"/>
  <c r="A208" i="5" s="1"/>
  <c r="L206" i="5"/>
  <c r="A206" i="5" s="1"/>
  <c r="L204" i="5"/>
  <c r="A204" i="5" s="1"/>
  <c r="L202" i="5"/>
  <c r="A202" i="5" s="1"/>
  <c r="L200" i="5"/>
  <c r="A200" i="5" s="1"/>
  <c r="L198" i="5"/>
  <c r="A198" i="5" s="1"/>
  <c r="L196" i="5"/>
  <c r="A196" i="5" s="1"/>
  <c r="L194" i="5"/>
  <c r="A194" i="5" s="1"/>
  <c r="L192" i="5"/>
  <c r="A192" i="5" s="1"/>
  <c r="L190" i="5"/>
  <c r="A190" i="5" s="1"/>
  <c r="L188" i="5"/>
  <c r="A188" i="5" s="1"/>
  <c r="L186" i="5"/>
  <c r="A186" i="5" s="1"/>
  <c r="L184" i="5"/>
  <c r="A184" i="5" s="1"/>
  <c r="L182" i="5"/>
  <c r="A182" i="5" s="1"/>
  <c r="L180" i="5"/>
  <c r="A180" i="5" s="1"/>
  <c r="L178" i="5"/>
  <c r="A178" i="5" s="1"/>
  <c r="L176" i="5"/>
  <c r="A176" i="5" s="1"/>
  <c r="L174" i="5"/>
  <c r="A174" i="5" s="1"/>
  <c r="L172" i="5"/>
  <c r="A172" i="5" s="1"/>
  <c r="L170" i="5"/>
  <c r="A170" i="5" s="1"/>
  <c r="L168" i="5"/>
  <c r="A168" i="5" s="1"/>
  <c r="L166" i="5"/>
  <c r="A166" i="5" s="1"/>
  <c r="L164" i="5"/>
  <c r="A164" i="5" s="1"/>
  <c r="L162" i="5"/>
  <c r="A162" i="5" s="1"/>
  <c r="L160" i="5"/>
  <c r="A160" i="5" s="1"/>
  <c r="L158" i="5"/>
  <c r="A158" i="5" s="1"/>
  <c r="L156" i="5"/>
  <c r="A156" i="5" s="1"/>
  <c r="L154" i="5"/>
  <c r="A154" i="5" s="1"/>
  <c r="L152" i="5"/>
  <c r="A152" i="5" s="1"/>
  <c r="L150" i="5"/>
  <c r="A150" i="5" s="1"/>
  <c r="L148" i="5"/>
  <c r="A148" i="5" s="1"/>
  <c r="L146" i="5"/>
  <c r="A146" i="5" s="1"/>
  <c r="L144" i="5"/>
  <c r="A144" i="5" s="1"/>
  <c r="L142" i="5"/>
  <c r="A142" i="5" s="1"/>
  <c r="L140" i="5"/>
  <c r="A140" i="5" s="1"/>
  <c r="L138" i="5"/>
  <c r="A138" i="5" s="1"/>
  <c r="L136" i="5"/>
  <c r="A136" i="5" s="1"/>
  <c r="L134" i="5"/>
  <c r="A134" i="5" s="1"/>
  <c r="L132" i="5"/>
  <c r="A132" i="5" s="1"/>
  <c r="L130" i="5"/>
  <c r="A130" i="5" s="1"/>
  <c r="L128" i="5"/>
  <c r="A128" i="5" s="1"/>
  <c r="L126" i="5"/>
  <c r="A126" i="5" s="1"/>
  <c r="L124" i="5"/>
  <c r="A124" i="5" s="1"/>
  <c r="L122" i="5"/>
  <c r="A122" i="5" s="1"/>
  <c r="L120" i="5"/>
  <c r="A120" i="5" s="1"/>
  <c r="L118" i="5"/>
  <c r="A118" i="5" s="1"/>
  <c r="L116" i="5"/>
  <c r="A116" i="5" s="1"/>
  <c r="L114" i="5"/>
  <c r="A114" i="5" s="1"/>
  <c r="L112" i="5"/>
  <c r="A112" i="5" s="1"/>
  <c r="L110" i="5"/>
  <c r="A110" i="5" s="1"/>
  <c r="L108" i="5"/>
  <c r="A108" i="5" s="1"/>
  <c r="L106" i="5"/>
  <c r="A106" i="5" s="1"/>
  <c r="L104" i="5"/>
  <c r="A104" i="5" s="1"/>
  <c r="L102" i="5"/>
  <c r="A102" i="5" s="1"/>
  <c r="L100" i="5"/>
  <c r="A100" i="5" s="1"/>
  <c r="L98" i="5"/>
  <c r="A98" i="5" s="1"/>
  <c r="L96" i="5"/>
  <c r="A96" i="5" s="1"/>
  <c r="L94" i="5"/>
  <c r="A94" i="5" s="1"/>
  <c r="L92" i="5"/>
  <c r="A92" i="5" s="1"/>
  <c r="L90" i="5"/>
  <c r="A90" i="5" s="1"/>
  <c r="L88" i="5"/>
  <c r="A88" i="5" s="1"/>
  <c r="L86" i="5"/>
  <c r="A86" i="5" s="1"/>
  <c r="L84" i="5"/>
  <c r="A84" i="5" s="1"/>
  <c r="L82" i="5"/>
  <c r="A82" i="5" s="1"/>
  <c r="L80" i="5"/>
  <c r="A80" i="5" s="1"/>
  <c r="L78" i="5"/>
  <c r="A78" i="5" s="1"/>
  <c r="L76" i="5"/>
  <c r="A76" i="5" s="1"/>
  <c r="L74" i="5"/>
  <c r="A74" i="5" s="1"/>
  <c r="L72" i="5"/>
  <c r="A72" i="5" s="1"/>
  <c r="L70" i="5"/>
  <c r="A70" i="5" s="1"/>
  <c r="L68" i="5"/>
  <c r="A68" i="5" s="1"/>
  <c r="L66" i="5"/>
  <c r="A66" i="5" s="1"/>
  <c r="L64" i="5"/>
  <c r="A64" i="5" s="1"/>
  <c r="A62" i="5"/>
  <c r="A60" i="5"/>
  <c r="L58" i="5"/>
  <c r="A58" i="5" s="1"/>
  <c r="L56" i="5"/>
  <c r="A56" i="5" s="1"/>
  <c r="L54" i="5"/>
  <c r="A54" i="5" s="1"/>
  <c r="L52" i="5"/>
  <c r="A52" i="5" s="1"/>
  <c r="L50" i="5"/>
  <c r="A50" i="5" s="1"/>
  <c r="L48" i="5"/>
  <c r="A48" i="5" s="1"/>
  <c r="L46" i="5"/>
  <c r="A46" i="5" s="1"/>
  <c r="L44" i="5"/>
  <c r="A44" i="5" s="1"/>
  <c r="L42" i="5"/>
  <c r="A42" i="5" s="1"/>
  <c r="L40" i="5"/>
  <c r="A40" i="5" s="1"/>
  <c r="L38" i="5"/>
  <c r="A38" i="5" s="1"/>
  <c r="L36" i="5"/>
  <c r="A36" i="5" s="1"/>
  <c r="L34" i="5"/>
  <c r="A34" i="5" s="1"/>
  <c r="L32" i="5"/>
  <c r="A32" i="5" s="1"/>
  <c r="L30" i="5"/>
  <c r="A30" i="5" s="1"/>
  <c r="L28" i="5"/>
  <c r="A28" i="5" s="1"/>
  <c r="L26" i="5"/>
  <c r="A26" i="5" s="1"/>
  <c r="L24" i="5"/>
  <c r="A24" i="5" s="1"/>
  <c r="L22" i="5"/>
  <c r="A22" i="5" s="1"/>
  <c r="L20" i="5"/>
  <c r="A20" i="5" s="1"/>
  <c r="L18" i="5"/>
  <c r="A18" i="5" s="1"/>
  <c r="L16" i="5"/>
  <c r="A16" i="5" s="1"/>
  <c r="L14" i="5"/>
  <c r="A14" i="5" s="1"/>
  <c r="L12" i="5"/>
  <c r="A12" i="5" s="1"/>
  <c r="L10" i="5"/>
  <c r="A10" i="5" s="1"/>
  <c r="L8" i="5"/>
  <c r="A8" i="5" s="1"/>
  <c r="L6" i="5"/>
  <c r="A6" i="5" s="1"/>
  <c r="L4" i="5"/>
  <c r="A4" i="5" s="1"/>
  <c r="L2" i="5"/>
  <c r="A2" i="5" s="1"/>
  <c r="X4" i="1"/>
  <c r="Y4" i="1"/>
  <c r="X5" i="1"/>
  <c r="Y5" i="1"/>
  <c r="X6" i="1"/>
  <c r="Y6" i="1"/>
  <c r="X7" i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X16" i="1"/>
  <c r="Y16" i="1"/>
  <c r="X17" i="1"/>
  <c r="Y17" i="1"/>
  <c r="X18" i="1"/>
  <c r="Y18" i="1"/>
  <c r="X19" i="1"/>
  <c r="Y19" i="1"/>
  <c r="X20" i="1"/>
  <c r="Y20" i="1"/>
  <c r="X21" i="1"/>
  <c r="Y21" i="1"/>
  <c r="X22" i="1"/>
  <c r="Y22" i="1"/>
  <c r="X23" i="1"/>
  <c r="Y23" i="1"/>
  <c r="X24" i="1"/>
  <c r="Y24" i="1"/>
  <c r="X25" i="1"/>
  <c r="Y25" i="1"/>
  <c r="X26" i="1"/>
  <c r="Y26" i="1"/>
  <c r="X27" i="1"/>
  <c r="Y27" i="1"/>
  <c r="X28" i="1"/>
  <c r="Y28" i="1"/>
  <c r="X29" i="1"/>
  <c r="Y29" i="1"/>
  <c r="X30" i="1"/>
  <c r="Y30" i="1"/>
  <c r="X31" i="1"/>
  <c r="Y31" i="1"/>
  <c r="X32" i="1"/>
  <c r="Y32" i="1"/>
  <c r="X33" i="1"/>
  <c r="Y33" i="1"/>
  <c r="X34" i="1"/>
  <c r="Y34" i="1"/>
  <c r="X35" i="1"/>
  <c r="Y35" i="1"/>
  <c r="X36" i="1"/>
  <c r="Y36" i="1"/>
  <c r="X37" i="1"/>
  <c r="Y37" i="1"/>
  <c r="X38" i="1"/>
  <c r="Y38" i="1"/>
  <c r="X39" i="1"/>
  <c r="Y39" i="1"/>
  <c r="X40" i="1"/>
  <c r="Y40" i="1"/>
  <c r="X41" i="1"/>
  <c r="Y41" i="1"/>
  <c r="X42" i="1"/>
  <c r="Y42" i="1"/>
  <c r="X43" i="1"/>
  <c r="Y43" i="1"/>
  <c r="X44" i="1"/>
  <c r="Y44" i="1"/>
  <c r="X45" i="1"/>
  <c r="Y45" i="1"/>
  <c r="X46" i="1"/>
  <c r="Y46" i="1"/>
  <c r="X47" i="1"/>
  <c r="Y47" i="1"/>
  <c r="X48" i="1"/>
  <c r="Y48" i="1"/>
  <c r="X49" i="1"/>
  <c r="Y49" i="1"/>
  <c r="X50" i="1"/>
  <c r="Y50" i="1"/>
  <c r="X51" i="1"/>
  <c r="Y51" i="1"/>
  <c r="X52" i="1"/>
  <c r="Y52" i="1"/>
  <c r="X53" i="1"/>
  <c r="Y53" i="1"/>
  <c r="X54" i="1"/>
  <c r="Y54" i="1"/>
  <c r="X55" i="1"/>
  <c r="Y55" i="1"/>
  <c r="X56" i="1"/>
  <c r="Y56" i="1"/>
  <c r="X57" i="1"/>
  <c r="Y57" i="1"/>
  <c r="X58" i="1"/>
  <c r="Y58" i="1"/>
  <c r="X59" i="1"/>
  <c r="Y59" i="1"/>
  <c r="X60" i="1"/>
  <c r="Y60" i="1"/>
  <c r="X61" i="1"/>
  <c r="Y61" i="1"/>
  <c r="X62" i="1"/>
  <c r="Y62" i="1"/>
  <c r="X63" i="1"/>
  <c r="Y63" i="1"/>
  <c r="X64" i="1"/>
  <c r="Y64" i="1"/>
  <c r="X65" i="1"/>
  <c r="Y65" i="1"/>
  <c r="X66" i="1"/>
  <c r="Y66" i="1"/>
  <c r="X67" i="1"/>
  <c r="Y67" i="1"/>
  <c r="X68" i="1"/>
  <c r="Y68" i="1"/>
  <c r="X69" i="1"/>
  <c r="Y69" i="1"/>
  <c r="X70" i="1"/>
  <c r="Y70" i="1"/>
  <c r="X71" i="1"/>
  <c r="Y71" i="1"/>
  <c r="X72" i="1"/>
  <c r="Y72" i="1"/>
  <c r="X73" i="1"/>
  <c r="Y73" i="1"/>
  <c r="X74" i="1"/>
  <c r="Y74" i="1"/>
  <c r="X75" i="1"/>
  <c r="Y75" i="1"/>
  <c r="X76" i="1"/>
  <c r="Y76" i="1"/>
  <c r="X77" i="1"/>
  <c r="Y77" i="1"/>
  <c r="X78" i="1"/>
  <c r="Y78" i="1"/>
  <c r="X79" i="1"/>
  <c r="Y79" i="1"/>
  <c r="X80" i="1"/>
  <c r="Y80" i="1"/>
  <c r="X81" i="1"/>
  <c r="Y81" i="1"/>
  <c r="X82" i="1"/>
  <c r="Y82" i="1"/>
  <c r="X83" i="1"/>
  <c r="Y83" i="1"/>
  <c r="X84" i="1"/>
  <c r="Y84" i="1"/>
  <c r="X85" i="1"/>
  <c r="Y85" i="1"/>
  <c r="X86" i="1"/>
  <c r="Y86" i="1"/>
  <c r="X87" i="1"/>
  <c r="Y87" i="1"/>
  <c r="X88" i="1"/>
  <c r="Y88" i="1"/>
  <c r="X89" i="1"/>
  <c r="Y89" i="1"/>
  <c r="X90" i="1"/>
  <c r="Y90" i="1"/>
  <c r="X91" i="1"/>
  <c r="Y91" i="1"/>
  <c r="X92" i="1"/>
  <c r="Y92" i="1"/>
  <c r="X93" i="1"/>
  <c r="Y93" i="1"/>
  <c r="X94" i="1"/>
  <c r="Y94" i="1"/>
  <c r="X95" i="1"/>
  <c r="Y95" i="1"/>
  <c r="X96" i="1"/>
  <c r="Y96" i="1"/>
  <c r="X97" i="1"/>
  <c r="Y97" i="1"/>
  <c r="X98" i="1"/>
  <c r="Y98" i="1"/>
  <c r="X99" i="1"/>
  <c r="Y99" i="1"/>
  <c r="X100" i="1"/>
  <c r="Y100" i="1"/>
  <c r="X101" i="1"/>
  <c r="Y101" i="1"/>
  <c r="X102" i="1"/>
  <c r="Y102" i="1"/>
  <c r="X103" i="1"/>
  <c r="Y103" i="1"/>
  <c r="X104" i="1"/>
  <c r="Y104" i="1"/>
  <c r="X105" i="1"/>
  <c r="Y105" i="1"/>
  <c r="X106" i="1"/>
  <c r="Y106" i="1"/>
  <c r="X107" i="1"/>
  <c r="Y107" i="1"/>
  <c r="X108" i="1"/>
  <c r="Y108" i="1"/>
  <c r="X109" i="1"/>
  <c r="Y109" i="1"/>
  <c r="X110" i="1"/>
  <c r="Y110" i="1"/>
  <c r="X111" i="1"/>
  <c r="Y111" i="1"/>
  <c r="X112" i="1"/>
  <c r="Y112" i="1"/>
  <c r="X113" i="1"/>
  <c r="Y113" i="1"/>
  <c r="X114" i="1"/>
  <c r="Y114" i="1"/>
  <c r="X115" i="1"/>
  <c r="Y115" i="1"/>
  <c r="X116" i="1"/>
  <c r="Y116" i="1"/>
  <c r="X117" i="1"/>
  <c r="Y117" i="1"/>
  <c r="X118" i="1"/>
  <c r="Y118" i="1"/>
  <c r="X119" i="1"/>
  <c r="Y119" i="1"/>
  <c r="X120" i="1"/>
  <c r="Y120" i="1"/>
  <c r="X121" i="1"/>
  <c r="Y121" i="1"/>
  <c r="X122" i="1"/>
  <c r="Y122" i="1"/>
  <c r="X123" i="1"/>
  <c r="Y123" i="1"/>
  <c r="X124" i="1"/>
  <c r="Y124" i="1"/>
  <c r="X125" i="1"/>
  <c r="Y125" i="1"/>
  <c r="X126" i="1"/>
  <c r="Y126" i="1"/>
  <c r="X127" i="1"/>
  <c r="Y127" i="1"/>
  <c r="X128" i="1"/>
  <c r="Y128" i="1"/>
  <c r="X129" i="1"/>
  <c r="Y129" i="1"/>
  <c r="X130" i="1"/>
  <c r="Y130" i="1"/>
  <c r="X131" i="1"/>
  <c r="Y131" i="1"/>
  <c r="X132" i="1"/>
  <c r="Y132" i="1"/>
  <c r="X133" i="1"/>
  <c r="Y133" i="1"/>
  <c r="X134" i="1"/>
  <c r="Y134" i="1"/>
  <c r="X135" i="1"/>
  <c r="Y135" i="1"/>
  <c r="X136" i="1"/>
  <c r="Y136" i="1"/>
  <c r="X137" i="1"/>
  <c r="Y137" i="1"/>
  <c r="X138" i="1"/>
  <c r="Y138" i="1"/>
  <c r="X139" i="1"/>
  <c r="Y139" i="1"/>
  <c r="X140" i="1"/>
  <c r="Y140" i="1"/>
  <c r="X141" i="1"/>
  <c r="Y141" i="1"/>
  <c r="X142" i="1"/>
  <c r="Y142" i="1"/>
  <c r="X143" i="1"/>
  <c r="Y143" i="1"/>
  <c r="X144" i="1"/>
  <c r="Y144" i="1"/>
  <c r="X145" i="1"/>
  <c r="Y145" i="1"/>
  <c r="X146" i="1"/>
  <c r="Y146" i="1"/>
  <c r="X147" i="1"/>
  <c r="Y147" i="1"/>
  <c r="X148" i="1"/>
  <c r="Y148" i="1"/>
  <c r="X149" i="1"/>
  <c r="Y149" i="1"/>
  <c r="X150" i="1"/>
  <c r="Y150" i="1"/>
  <c r="X151" i="1"/>
  <c r="Y151" i="1"/>
  <c r="X152" i="1"/>
  <c r="Y152" i="1"/>
  <c r="X153" i="1"/>
  <c r="Y153" i="1"/>
  <c r="X154" i="1"/>
  <c r="Y154" i="1"/>
  <c r="X155" i="1"/>
  <c r="Y155" i="1"/>
  <c r="X156" i="1"/>
  <c r="Y156" i="1"/>
  <c r="X157" i="1"/>
  <c r="Y157" i="1"/>
  <c r="X158" i="1"/>
  <c r="Y158" i="1"/>
  <c r="X159" i="1"/>
  <c r="Y159" i="1"/>
  <c r="X160" i="1"/>
  <c r="Y160" i="1"/>
  <c r="X161" i="1"/>
  <c r="Y161" i="1"/>
  <c r="X162" i="1"/>
  <c r="Y162" i="1"/>
  <c r="X163" i="1"/>
  <c r="Y163" i="1"/>
  <c r="X164" i="1"/>
  <c r="Y164" i="1"/>
  <c r="X165" i="1"/>
  <c r="Y165" i="1"/>
  <c r="X166" i="1"/>
  <c r="Y166" i="1"/>
  <c r="X167" i="1"/>
  <c r="Y167" i="1"/>
  <c r="X168" i="1"/>
  <c r="Y168" i="1"/>
  <c r="X169" i="1"/>
  <c r="Y169" i="1"/>
  <c r="X170" i="1"/>
  <c r="Y170" i="1"/>
  <c r="X171" i="1"/>
  <c r="Y171" i="1"/>
  <c r="X172" i="1"/>
  <c r="Y172" i="1"/>
  <c r="X173" i="1"/>
  <c r="Y173" i="1"/>
  <c r="X174" i="1"/>
  <c r="Y174" i="1"/>
  <c r="X175" i="1"/>
  <c r="Y175" i="1"/>
  <c r="X176" i="1"/>
  <c r="Y176" i="1"/>
  <c r="X177" i="1"/>
  <c r="Y177" i="1"/>
  <c r="X178" i="1"/>
  <c r="Y178" i="1"/>
  <c r="X179" i="1"/>
  <c r="Y179" i="1"/>
  <c r="X180" i="1"/>
  <c r="Y180" i="1"/>
  <c r="X181" i="1"/>
  <c r="Y181" i="1"/>
  <c r="X182" i="1"/>
  <c r="Y182" i="1"/>
  <c r="X183" i="1"/>
  <c r="Y183" i="1"/>
  <c r="X184" i="1"/>
  <c r="Y184" i="1"/>
  <c r="X185" i="1"/>
  <c r="Y185" i="1"/>
  <c r="X186" i="1"/>
  <c r="Y186" i="1"/>
  <c r="X187" i="1"/>
  <c r="Y187" i="1"/>
  <c r="X188" i="1"/>
  <c r="Y188" i="1"/>
  <c r="X189" i="1"/>
  <c r="Y189" i="1"/>
  <c r="X190" i="1"/>
  <c r="Y190" i="1"/>
  <c r="X191" i="1"/>
  <c r="Y191" i="1"/>
  <c r="X192" i="1"/>
  <c r="Y192" i="1"/>
  <c r="X193" i="1"/>
  <c r="Y193" i="1"/>
  <c r="X194" i="1"/>
  <c r="Y194" i="1"/>
  <c r="X195" i="1"/>
  <c r="Y195" i="1"/>
  <c r="X196" i="1"/>
  <c r="Y196" i="1"/>
  <c r="X197" i="1"/>
  <c r="Y197" i="1"/>
  <c r="X198" i="1"/>
  <c r="Y198" i="1"/>
  <c r="X199" i="1"/>
  <c r="Y199" i="1"/>
  <c r="X200" i="1"/>
  <c r="Y200" i="1"/>
  <c r="X201" i="1"/>
  <c r="Y201" i="1"/>
  <c r="X202" i="1"/>
  <c r="Y202" i="1"/>
  <c r="X203" i="1"/>
  <c r="Y203" i="1"/>
  <c r="X204" i="1"/>
  <c r="Y204" i="1"/>
  <c r="X205" i="1"/>
  <c r="Y205" i="1"/>
  <c r="X206" i="1"/>
  <c r="Y206" i="1"/>
  <c r="X207" i="1"/>
  <c r="Y207" i="1"/>
  <c r="X208" i="1"/>
  <c r="Y208" i="1"/>
  <c r="X209" i="1"/>
  <c r="Y209" i="1"/>
  <c r="X210" i="1"/>
  <c r="Y210" i="1"/>
  <c r="X211" i="1"/>
  <c r="Y211" i="1"/>
  <c r="X212" i="1"/>
  <c r="Y212" i="1"/>
  <c r="X213" i="1"/>
  <c r="Y213" i="1"/>
  <c r="X214" i="1"/>
  <c r="Y214" i="1"/>
  <c r="X215" i="1"/>
  <c r="Y215" i="1"/>
  <c r="X216" i="1"/>
  <c r="Y216" i="1"/>
  <c r="X217" i="1"/>
  <c r="Y217" i="1"/>
  <c r="X218" i="1"/>
  <c r="Y218" i="1"/>
  <c r="X219" i="1"/>
  <c r="Y219" i="1"/>
  <c r="X220" i="1"/>
  <c r="Y220" i="1"/>
  <c r="X221" i="1"/>
  <c r="Y221" i="1"/>
  <c r="X222" i="1"/>
  <c r="Y222" i="1"/>
  <c r="X223" i="1"/>
  <c r="Y223" i="1"/>
  <c r="X224" i="1"/>
  <c r="Y224" i="1"/>
  <c r="X225" i="1"/>
  <c r="Y225" i="1"/>
  <c r="X226" i="1"/>
  <c r="Y226" i="1"/>
  <c r="X227" i="1"/>
  <c r="Y227" i="1"/>
  <c r="X228" i="1"/>
  <c r="Y228" i="1"/>
  <c r="X229" i="1"/>
  <c r="Y229" i="1"/>
  <c r="X230" i="1"/>
  <c r="Y230" i="1"/>
  <c r="X231" i="1"/>
  <c r="Y231" i="1"/>
  <c r="X232" i="1"/>
  <c r="Y232" i="1"/>
  <c r="X233" i="1"/>
  <c r="Y233" i="1"/>
  <c r="X234" i="1"/>
  <c r="Y234" i="1"/>
  <c r="X235" i="1"/>
  <c r="Y235" i="1"/>
  <c r="X236" i="1"/>
  <c r="Y236" i="1"/>
  <c r="X237" i="1"/>
  <c r="Y237" i="1"/>
  <c r="X238" i="1"/>
  <c r="Y238" i="1"/>
  <c r="X239" i="1"/>
  <c r="Y239" i="1"/>
  <c r="X240" i="1"/>
  <c r="Y240" i="1"/>
  <c r="X241" i="1"/>
  <c r="Y241" i="1"/>
  <c r="X242" i="1"/>
  <c r="Y242" i="1"/>
  <c r="X243" i="1"/>
  <c r="Y243" i="1"/>
  <c r="X244" i="1"/>
  <c r="Y244" i="1"/>
  <c r="X245" i="1"/>
  <c r="Y245" i="1"/>
  <c r="X246" i="1"/>
  <c r="Y246" i="1"/>
  <c r="X247" i="1"/>
  <c r="Y247" i="1"/>
  <c r="X248" i="1"/>
  <c r="Y248" i="1"/>
  <c r="X249" i="1"/>
  <c r="Y249" i="1"/>
  <c r="X250" i="1"/>
  <c r="Y250" i="1"/>
  <c r="X251" i="1"/>
  <c r="Y251" i="1"/>
  <c r="X252" i="1"/>
  <c r="Y252" i="1"/>
  <c r="X253" i="1"/>
  <c r="Y253" i="1"/>
  <c r="X254" i="1"/>
  <c r="Y254" i="1"/>
  <c r="X255" i="1"/>
  <c r="Y255" i="1"/>
  <c r="X256" i="1"/>
  <c r="Y256" i="1"/>
  <c r="X257" i="1"/>
  <c r="Y257" i="1"/>
  <c r="X258" i="1"/>
  <c r="Y258" i="1"/>
  <c r="X259" i="1"/>
  <c r="Y259" i="1"/>
  <c r="X260" i="1"/>
  <c r="Y260" i="1"/>
  <c r="X261" i="1"/>
  <c r="Y261" i="1"/>
  <c r="X262" i="1"/>
  <c r="Y262" i="1"/>
  <c r="X263" i="1"/>
  <c r="Y263" i="1"/>
  <c r="X264" i="1"/>
  <c r="Y264" i="1"/>
  <c r="X265" i="1"/>
  <c r="Y265" i="1"/>
  <c r="X266" i="1"/>
  <c r="Y266" i="1"/>
  <c r="X267" i="1"/>
  <c r="Y267" i="1"/>
  <c r="X268" i="1"/>
  <c r="Y268" i="1"/>
  <c r="X269" i="1"/>
  <c r="Y269" i="1"/>
  <c r="X270" i="1"/>
  <c r="Y270" i="1"/>
  <c r="X271" i="1"/>
  <c r="Y271" i="1"/>
  <c r="X272" i="1"/>
  <c r="Y272" i="1"/>
  <c r="X273" i="1"/>
  <c r="Y273" i="1"/>
  <c r="X274" i="1"/>
  <c r="Y274" i="1"/>
  <c r="X275" i="1"/>
  <c r="Y275" i="1"/>
  <c r="X276" i="1"/>
  <c r="Y276" i="1"/>
  <c r="X277" i="1"/>
  <c r="Y277" i="1"/>
  <c r="X278" i="1"/>
  <c r="Y278" i="1"/>
  <c r="X279" i="1"/>
  <c r="Y279" i="1"/>
  <c r="X280" i="1"/>
  <c r="Y280" i="1"/>
  <c r="X281" i="1"/>
  <c r="Y281" i="1"/>
  <c r="X282" i="1"/>
  <c r="Y282" i="1"/>
  <c r="X283" i="1"/>
  <c r="Y283" i="1"/>
  <c r="X284" i="1"/>
  <c r="Y284" i="1"/>
  <c r="X285" i="1"/>
  <c r="Y285" i="1"/>
  <c r="X286" i="1"/>
  <c r="Y286" i="1"/>
  <c r="X287" i="1"/>
  <c r="Y287" i="1"/>
  <c r="X288" i="1"/>
  <c r="Y288" i="1"/>
  <c r="X289" i="1"/>
  <c r="Y289" i="1"/>
  <c r="X290" i="1"/>
  <c r="Y290" i="1"/>
  <c r="X291" i="1"/>
  <c r="Y291" i="1"/>
  <c r="X292" i="1"/>
  <c r="Y292" i="1"/>
  <c r="X293" i="1"/>
  <c r="Y293" i="1"/>
  <c r="X294" i="1"/>
  <c r="Y294" i="1"/>
  <c r="X295" i="1"/>
  <c r="Y295" i="1"/>
  <c r="X296" i="1"/>
  <c r="Y296" i="1"/>
  <c r="X297" i="1"/>
  <c r="Y297" i="1"/>
  <c r="X298" i="1"/>
  <c r="Y298" i="1"/>
  <c r="X299" i="1"/>
  <c r="Y299" i="1"/>
  <c r="X300" i="1"/>
  <c r="Y300" i="1"/>
  <c r="X301" i="1"/>
  <c r="Y301" i="1"/>
  <c r="X302" i="1"/>
  <c r="Y302" i="1"/>
  <c r="X303" i="1"/>
  <c r="Y303" i="1"/>
  <c r="X304" i="1"/>
  <c r="Y304" i="1"/>
  <c r="X305" i="1"/>
  <c r="Y305" i="1"/>
  <c r="X306" i="1"/>
  <c r="Y306" i="1"/>
  <c r="X307" i="1"/>
  <c r="Y307" i="1"/>
  <c r="X308" i="1"/>
  <c r="Y308" i="1"/>
  <c r="X309" i="1"/>
  <c r="Y309" i="1"/>
  <c r="X310" i="1"/>
  <c r="Y310" i="1"/>
  <c r="X311" i="1"/>
  <c r="Y311" i="1"/>
  <c r="X312" i="1"/>
  <c r="Y312" i="1"/>
  <c r="X313" i="1"/>
  <c r="Y313" i="1"/>
  <c r="X314" i="1"/>
  <c r="Y314" i="1"/>
  <c r="X315" i="1"/>
  <c r="Y315" i="1"/>
  <c r="X316" i="1"/>
  <c r="Y316" i="1"/>
  <c r="X317" i="1"/>
  <c r="Y317" i="1"/>
  <c r="X318" i="1"/>
  <c r="Y318" i="1"/>
  <c r="X319" i="1"/>
  <c r="Y319" i="1"/>
  <c r="X320" i="1"/>
  <c r="Y320" i="1"/>
  <c r="X321" i="1"/>
  <c r="Y321" i="1"/>
  <c r="X322" i="1"/>
  <c r="Y322" i="1"/>
  <c r="X323" i="1"/>
  <c r="Y323" i="1"/>
  <c r="X324" i="1"/>
  <c r="Y324" i="1"/>
  <c r="X325" i="1"/>
  <c r="Y325" i="1"/>
  <c r="X326" i="1"/>
  <c r="Y326" i="1"/>
  <c r="X327" i="1"/>
  <c r="Y327" i="1"/>
  <c r="X328" i="1"/>
  <c r="Y328" i="1"/>
  <c r="X329" i="1"/>
  <c r="Y329" i="1"/>
  <c r="X330" i="1"/>
  <c r="Y330" i="1"/>
  <c r="X331" i="1"/>
  <c r="Y331" i="1"/>
  <c r="X332" i="1"/>
  <c r="Y332" i="1"/>
  <c r="X333" i="1"/>
  <c r="Y333" i="1"/>
  <c r="X334" i="1"/>
  <c r="Y334" i="1"/>
  <c r="X335" i="1"/>
  <c r="Y335" i="1"/>
  <c r="X336" i="1"/>
  <c r="Y336" i="1"/>
  <c r="X337" i="1"/>
  <c r="Y337" i="1"/>
  <c r="X338" i="1"/>
  <c r="Y338" i="1"/>
  <c r="X339" i="1"/>
  <c r="Y339" i="1"/>
  <c r="X340" i="1"/>
  <c r="Y340" i="1"/>
  <c r="X341" i="1"/>
  <c r="Y341" i="1"/>
  <c r="X342" i="1"/>
  <c r="Y342" i="1"/>
  <c r="X343" i="1"/>
  <c r="Y343" i="1"/>
  <c r="X344" i="1"/>
  <c r="Y344" i="1"/>
  <c r="X345" i="1"/>
  <c r="Y345" i="1"/>
  <c r="X346" i="1"/>
  <c r="Y346" i="1"/>
  <c r="X347" i="1"/>
  <c r="Y347" i="1"/>
  <c r="X348" i="1"/>
  <c r="Y348" i="1"/>
  <c r="X349" i="1"/>
  <c r="Y349" i="1"/>
  <c r="X350" i="1"/>
  <c r="Y350" i="1"/>
  <c r="X351" i="1"/>
  <c r="Y351" i="1"/>
  <c r="X352" i="1"/>
  <c r="Y352" i="1"/>
  <c r="X353" i="1"/>
  <c r="Y353" i="1"/>
  <c r="X354" i="1"/>
  <c r="Y354" i="1"/>
  <c r="X355" i="1"/>
  <c r="Y355" i="1"/>
  <c r="X356" i="1"/>
  <c r="Y356" i="1"/>
  <c r="X357" i="1"/>
  <c r="Y357" i="1"/>
  <c r="X358" i="1"/>
  <c r="Y358" i="1"/>
  <c r="X359" i="1"/>
  <c r="Y359" i="1"/>
  <c r="X360" i="1"/>
  <c r="Y360" i="1"/>
  <c r="X361" i="1"/>
  <c r="Y361" i="1"/>
  <c r="X362" i="1"/>
  <c r="Y362" i="1"/>
  <c r="X363" i="1"/>
  <c r="Y363" i="1"/>
  <c r="X364" i="1"/>
  <c r="Y364" i="1"/>
  <c r="X365" i="1"/>
  <c r="Y365" i="1"/>
  <c r="X366" i="1"/>
  <c r="Y366" i="1"/>
  <c r="X367" i="1"/>
  <c r="Y367" i="1"/>
  <c r="X368" i="1"/>
  <c r="Y368" i="1"/>
  <c r="X369" i="1"/>
  <c r="Y369" i="1"/>
  <c r="X370" i="1"/>
  <c r="Y370" i="1"/>
  <c r="X371" i="1"/>
  <c r="Y371" i="1"/>
  <c r="X372" i="1"/>
  <c r="Y372" i="1"/>
  <c r="X373" i="1"/>
  <c r="Y373" i="1"/>
  <c r="X374" i="1"/>
  <c r="Y374" i="1"/>
  <c r="X375" i="1"/>
  <c r="Y375" i="1"/>
  <c r="X376" i="1"/>
  <c r="Y376" i="1"/>
  <c r="X377" i="1"/>
  <c r="Y377" i="1"/>
  <c r="X378" i="1"/>
  <c r="Y378" i="1"/>
  <c r="X379" i="1"/>
  <c r="Y379" i="1"/>
  <c r="X380" i="1"/>
  <c r="Y380" i="1"/>
  <c r="X381" i="1"/>
  <c r="Y381" i="1"/>
  <c r="X382" i="1"/>
  <c r="Y382" i="1"/>
  <c r="X383" i="1"/>
  <c r="Y383" i="1"/>
  <c r="X384" i="1"/>
  <c r="Y384" i="1"/>
  <c r="X385" i="1"/>
  <c r="Y385" i="1"/>
  <c r="X386" i="1"/>
  <c r="Y386" i="1"/>
  <c r="X387" i="1"/>
  <c r="Y387" i="1"/>
  <c r="X388" i="1"/>
  <c r="Y388" i="1"/>
  <c r="X389" i="1"/>
  <c r="Y389" i="1"/>
  <c r="X390" i="1"/>
  <c r="Y390" i="1"/>
  <c r="X391" i="1"/>
  <c r="Y391" i="1"/>
  <c r="X392" i="1"/>
  <c r="Y392" i="1"/>
  <c r="X393" i="1"/>
  <c r="Y393" i="1"/>
  <c r="X394" i="1"/>
  <c r="Y394" i="1"/>
  <c r="X395" i="1"/>
  <c r="Y395" i="1"/>
  <c r="X396" i="1"/>
  <c r="Y396" i="1"/>
  <c r="X397" i="1"/>
  <c r="Y397" i="1"/>
  <c r="X398" i="1"/>
  <c r="Y398" i="1"/>
  <c r="X399" i="1"/>
  <c r="Y399" i="1"/>
  <c r="X400" i="1"/>
  <c r="Y400" i="1"/>
  <c r="X401" i="1"/>
  <c r="Y401" i="1"/>
  <c r="X402" i="1"/>
  <c r="Y402" i="1"/>
  <c r="X403" i="1"/>
  <c r="Y403" i="1"/>
  <c r="X404" i="1"/>
  <c r="Y404" i="1"/>
  <c r="X405" i="1"/>
  <c r="Y405" i="1"/>
  <c r="X406" i="1"/>
  <c r="Y406" i="1"/>
  <c r="X407" i="1"/>
  <c r="Y407" i="1"/>
  <c r="X408" i="1"/>
  <c r="Y408" i="1"/>
  <c r="X409" i="1"/>
  <c r="Y409" i="1"/>
  <c r="X410" i="1"/>
  <c r="Y410" i="1"/>
  <c r="X411" i="1"/>
  <c r="Y411" i="1"/>
  <c r="X412" i="1"/>
  <c r="Y412" i="1"/>
  <c r="X413" i="1"/>
  <c r="Y413" i="1"/>
  <c r="X414" i="1"/>
  <c r="Y414" i="1"/>
  <c r="X415" i="1"/>
  <c r="Y415" i="1"/>
  <c r="X416" i="1"/>
  <c r="Y416" i="1"/>
  <c r="X417" i="1"/>
  <c r="Y417" i="1"/>
  <c r="X418" i="1"/>
  <c r="Y418" i="1"/>
  <c r="X419" i="1"/>
  <c r="Y419" i="1"/>
  <c r="X420" i="1"/>
  <c r="Y420" i="1"/>
  <c r="X421" i="1"/>
  <c r="Y421" i="1"/>
  <c r="X422" i="1"/>
  <c r="Y422" i="1"/>
  <c r="X423" i="1"/>
  <c r="Y423" i="1"/>
  <c r="X424" i="1"/>
  <c r="Y424" i="1"/>
  <c r="X425" i="1"/>
  <c r="Y425" i="1"/>
  <c r="X426" i="1"/>
  <c r="Y426" i="1"/>
  <c r="X427" i="1"/>
  <c r="Y427" i="1"/>
  <c r="X428" i="1"/>
  <c r="Y428" i="1"/>
  <c r="X429" i="1"/>
  <c r="Y429" i="1"/>
  <c r="X430" i="1"/>
  <c r="Y430" i="1"/>
  <c r="X431" i="1"/>
  <c r="Y431" i="1"/>
  <c r="X432" i="1"/>
  <c r="Y432" i="1"/>
  <c r="X433" i="1"/>
  <c r="Y433" i="1"/>
  <c r="X434" i="1"/>
  <c r="Y434" i="1"/>
  <c r="X435" i="1"/>
  <c r="Y435" i="1"/>
  <c r="X436" i="1"/>
  <c r="Y436" i="1"/>
  <c r="X437" i="1"/>
  <c r="Y437" i="1"/>
  <c r="X438" i="1"/>
  <c r="Y438" i="1"/>
  <c r="X439" i="1"/>
  <c r="Y439" i="1"/>
  <c r="X440" i="1"/>
  <c r="Y440" i="1"/>
  <c r="X441" i="1"/>
  <c r="Y441" i="1"/>
  <c r="X442" i="1"/>
  <c r="Y442" i="1"/>
  <c r="X443" i="1"/>
  <c r="Y443" i="1"/>
  <c r="X444" i="1"/>
  <c r="Y444" i="1"/>
  <c r="X445" i="1"/>
  <c r="Y445" i="1"/>
  <c r="X446" i="1"/>
  <c r="Y446" i="1"/>
  <c r="X447" i="1"/>
  <c r="Y447" i="1"/>
  <c r="X448" i="1"/>
  <c r="Y448" i="1"/>
  <c r="X449" i="1"/>
  <c r="Y449" i="1"/>
  <c r="X450" i="1"/>
  <c r="Y450" i="1"/>
  <c r="X451" i="1"/>
  <c r="Y451" i="1"/>
  <c r="X452" i="1"/>
  <c r="Y452" i="1"/>
  <c r="X453" i="1"/>
  <c r="Y453" i="1"/>
  <c r="X454" i="1"/>
  <c r="Y454" i="1"/>
  <c r="X455" i="1"/>
  <c r="Y455" i="1"/>
  <c r="X456" i="1"/>
  <c r="Y456" i="1"/>
  <c r="X457" i="1"/>
  <c r="Y457" i="1"/>
  <c r="X458" i="1"/>
  <c r="Y458" i="1"/>
  <c r="X459" i="1"/>
  <c r="Y459" i="1"/>
  <c r="X460" i="1"/>
  <c r="Y460" i="1"/>
  <c r="X461" i="1"/>
  <c r="Y461" i="1"/>
  <c r="X462" i="1"/>
  <c r="Y462" i="1"/>
  <c r="X463" i="1"/>
  <c r="Y463" i="1"/>
  <c r="X464" i="1"/>
  <c r="Y464" i="1"/>
  <c r="X465" i="1"/>
  <c r="Y465" i="1"/>
  <c r="X466" i="1"/>
  <c r="Y466" i="1"/>
  <c r="X467" i="1"/>
  <c r="Y467" i="1"/>
  <c r="X468" i="1"/>
  <c r="Y468" i="1"/>
  <c r="X469" i="1"/>
  <c r="Y469" i="1"/>
  <c r="X470" i="1"/>
  <c r="Y470" i="1"/>
  <c r="X471" i="1"/>
  <c r="Y471" i="1"/>
  <c r="X472" i="1"/>
  <c r="Y472" i="1"/>
  <c r="X473" i="1"/>
  <c r="Y473" i="1"/>
  <c r="X474" i="1"/>
  <c r="Y474" i="1"/>
  <c r="X475" i="1"/>
  <c r="Y475" i="1"/>
  <c r="X476" i="1"/>
  <c r="Y476" i="1"/>
  <c r="X477" i="1"/>
  <c r="Y477" i="1"/>
  <c r="X478" i="1"/>
  <c r="Y478" i="1"/>
  <c r="X479" i="1"/>
  <c r="Y479" i="1"/>
  <c r="X480" i="1"/>
  <c r="Y480" i="1"/>
  <c r="X481" i="1"/>
  <c r="Y481" i="1"/>
  <c r="X482" i="1"/>
  <c r="Y482" i="1"/>
  <c r="X483" i="1"/>
  <c r="Y483" i="1"/>
  <c r="X484" i="1"/>
  <c r="Y484" i="1"/>
  <c r="X485" i="1"/>
  <c r="Y485" i="1"/>
  <c r="X486" i="1"/>
  <c r="Y486" i="1"/>
  <c r="X487" i="1"/>
  <c r="Y487" i="1"/>
  <c r="X488" i="1"/>
  <c r="Y488" i="1"/>
  <c r="X489" i="1"/>
  <c r="Y489" i="1"/>
  <c r="X490" i="1"/>
  <c r="Y490" i="1"/>
  <c r="X491" i="1"/>
  <c r="Y491" i="1"/>
  <c r="X492" i="1"/>
  <c r="Y492" i="1"/>
  <c r="X493" i="1"/>
  <c r="Y493" i="1"/>
  <c r="X494" i="1"/>
  <c r="Y494" i="1"/>
  <c r="X495" i="1"/>
  <c r="Y495" i="1"/>
  <c r="X496" i="1"/>
  <c r="Y496" i="1"/>
  <c r="X497" i="1"/>
  <c r="Y497" i="1"/>
  <c r="X498" i="1"/>
  <c r="Y498" i="1"/>
  <c r="X499" i="1"/>
  <c r="Y499" i="1"/>
  <c r="X500" i="1"/>
  <c r="Y500" i="1"/>
  <c r="X501" i="1"/>
  <c r="Y501" i="1"/>
  <c r="X502" i="1"/>
  <c r="Y502" i="1"/>
  <c r="X503" i="1"/>
  <c r="Y503" i="1"/>
  <c r="X504" i="1"/>
  <c r="Y504" i="1"/>
  <c r="X505" i="1"/>
  <c r="Y505" i="1"/>
  <c r="X506" i="1"/>
  <c r="Y506" i="1"/>
  <c r="X507" i="1"/>
  <c r="Y507" i="1"/>
  <c r="X508" i="1"/>
  <c r="Y508" i="1"/>
  <c r="X509" i="1"/>
  <c r="Y509" i="1"/>
  <c r="X510" i="1"/>
  <c r="Y510" i="1"/>
  <c r="X511" i="1"/>
  <c r="Y511" i="1"/>
  <c r="X512" i="1"/>
  <c r="Y512" i="1"/>
  <c r="X513" i="1"/>
  <c r="Y513" i="1"/>
  <c r="X514" i="1"/>
  <c r="Y514" i="1"/>
  <c r="X515" i="1"/>
  <c r="Y515" i="1"/>
  <c r="X516" i="1"/>
  <c r="Y516" i="1"/>
  <c r="X517" i="1"/>
  <c r="Y517" i="1"/>
  <c r="X518" i="1"/>
  <c r="Y518" i="1"/>
  <c r="X519" i="1"/>
  <c r="Y519" i="1"/>
  <c r="X520" i="1"/>
  <c r="Y520" i="1"/>
  <c r="X521" i="1"/>
  <c r="Y521" i="1"/>
  <c r="X522" i="1"/>
  <c r="Y522" i="1"/>
  <c r="X523" i="1"/>
  <c r="Y523" i="1"/>
  <c r="X524" i="1"/>
  <c r="Y524" i="1"/>
  <c r="X525" i="1"/>
  <c r="Y525" i="1"/>
  <c r="X526" i="1"/>
  <c r="Y526" i="1"/>
  <c r="X527" i="1"/>
  <c r="Y527" i="1"/>
  <c r="X528" i="1"/>
  <c r="Y528" i="1"/>
  <c r="X529" i="1"/>
  <c r="Y529" i="1"/>
  <c r="X530" i="1"/>
  <c r="Y530" i="1"/>
  <c r="X531" i="1"/>
  <c r="Y531" i="1"/>
  <c r="X532" i="1"/>
  <c r="Y532" i="1"/>
  <c r="X533" i="1"/>
  <c r="Y533" i="1"/>
  <c r="X534" i="1"/>
  <c r="Y534" i="1"/>
  <c r="X535" i="1"/>
  <c r="Y535" i="1"/>
  <c r="X536" i="1"/>
  <c r="Y536" i="1"/>
  <c r="X537" i="1"/>
  <c r="Y537" i="1"/>
  <c r="X538" i="1"/>
  <c r="Y538" i="1"/>
  <c r="X539" i="1"/>
  <c r="Y539" i="1"/>
  <c r="X540" i="1"/>
  <c r="Y540" i="1"/>
  <c r="X541" i="1"/>
  <c r="Y541" i="1"/>
  <c r="X542" i="1"/>
  <c r="Y542" i="1"/>
  <c r="X543" i="1"/>
  <c r="Y543" i="1"/>
  <c r="X544" i="1"/>
  <c r="Y544" i="1"/>
  <c r="AD588" i="5"/>
  <c r="AC588" i="5"/>
  <c r="AB588" i="5"/>
  <c r="AA588" i="5"/>
  <c r="Z588" i="5"/>
  <c r="Y588" i="5"/>
  <c r="X588" i="5"/>
  <c r="W588" i="5"/>
  <c r="V588" i="5"/>
  <c r="U588" i="5"/>
  <c r="T588" i="5"/>
  <c r="S588" i="5"/>
  <c r="R588" i="5"/>
  <c r="Q588" i="5"/>
  <c r="P588" i="5"/>
  <c r="O588" i="5"/>
  <c r="N588" i="5"/>
  <c r="AD587" i="5"/>
  <c r="AC587" i="5"/>
  <c r="AB587" i="5"/>
  <c r="AA587" i="5"/>
  <c r="Z587" i="5"/>
  <c r="Y587" i="5"/>
  <c r="X587" i="5"/>
  <c r="W587" i="5"/>
  <c r="V587" i="5"/>
  <c r="U587" i="5"/>
  <c r="T587" i="5"/>
  <c r="S587" i="5"/>
  <c r="R587" i="5"/>
  <c r="Q587" i="5"/>
  <c r="P587" i="5"/>
  <c r="O587" i="5"/>
  <c r="N587" i="5"/>
  <c r="AD586" i="5"/>
  <c r="AC586" i="5"/>
  <c r="AB586" i="5"/>
  <c r="AA586" i="5"/>
  <c r="Z586" i="5"/>
  <c r="Y586" i="5"/>
  <c r="X586" i="5"/>
  <c r="W586" i="5"/>
  <c r="V586" i="5"/>
  <c r="U586" i="5"/>
  <c r="T586" i="5"/>
  <c r="S586" i="5"/>
  <c r="R586" i="5"/>
  <c r="Q586" i="5"/>
  <c r="P586" i="5"/>
  <c r="O586" i="5"/>
  <c r="N586" i="5"/>
  <c r="AD585" i="5"/>
  <c r="AC585" i="5"/>
  <c r="AB585" i="5"/>
  <c r="AA585" i="5"/>
  <c r="Z585" i="5"/>
  <c r="Y585" i="5"/>
  <c r="X585" i="5"/>
  <c r="W585" i="5"/>
  <c r="V585" i="5"/>
  <c r="U585" i="5"/>
  <c r="T585" i="5"/>
  <c r="S585" i="5"/>
  <c r="R585" i="5"/>
  <c r="Q585" i="5"/>
  <c r="P585" i="5"/>
  <c r="O585" i="5"/>
  <c r="N585" i="5"/>
  <c r="AD584" i="5"/>
  <c r="AC584" i="5"/>
  <c r="AB584" i="5"/>
  <c r="AA584" i="5"/>
  <c r="Z584" i="5"/>
  <c r="Y584" i="5"/>
  <c r="X584" i="5"/>
  <c r="W584" i="5"/>
  <c r="V584" i="5"/>
  <c r="U584" i="5"/>
  <c r="T584" i="5"/>
  <c r="S584" i="5"/>
  <c r="R584" i="5"/>
  <c r="Q584" i="5"/>
  <c r="P584" i="5"/>
  <c r="O584" i="5"/>
  <c r="N584" i="5"/>
  <c r="AD583" i="5"/>
  <c r="AC583" i="5"/>
  <c r="AB583" i="5"/>
  <c r="AA583" i="5"/>
  <c r="Z583" i="5"/>
  <c r="Y583" i="5"/>
  <c r="X583" i="5"/>
  <c r="W583" i="5"/>
  <c r="V583" i="5"/>
  <c r="U583" i="5"/>
  <c r="T583" i="5"/>
  <c r="S583" i="5"/>
  <c r="R583" i="5"/>
  <c r="Q583" i="5"/>
  <c r="P583" i="5"/>
  <c r="O583" i="5"/>
  <c r="N583" i="5"/>
  <c r="AD582" i="5"/>
  <c r="AC582" i="5"/>
  <c r="AB582" i="5"/>
  <c r="AA582" i="5"/>
  <c r="Z582" i="5"/>
  <c r="Y582" i="5"/>
  <c r="X582" i="5"/>
  <c r="W582" i="5"/>
  <c r="V582" i="5"/>
  <c r="U582" i="5"/>
  <c r="T582" i="5"/>
  <c r="S582" i="5"/>
  <c r="R582" i="5"/>
  <c r="Q582" i="5"/>
  <c r="P582" i="5"/>
  <c r="O582" i="5"/>
  <c r="N582" i="5"/>
  <c r="AD581" i="5"/>
  <c r="AC581" i="5"/>
  <c r="AB581" i="5"/>
  <c r="AA581" i="5"/>
  <c r="Z581" i="5"/>
  <c r="Y581" i="5"/>
  <c r="X581" i="5"/>
  <c r="W581" i="5"/>
  <c r="V581" i="5"/>
  <c r="U581" i="5"/>
  <c r="T581" i="5"/>
  <c r="S581" i="5"/>
  <c r="R581" i="5"/>
  <c r="Q581" i="5"/>
  <c r="P581" i="5"/>
  <c r="O581" i="5"/>
  <c r="N581" i="5"/>
  <c r="AD580" i="5"/>
  <c r="AC580" i="5"/>
  <c r="AB580" i="5"/>
  <c r="AA580" i="5"/>
  <c r="Z580" i="5"/>
  <c r="Y580" i="5"/>
  <c r="X580" i="5"/>
  <c r="W580" i="5"/>
  <c r="V580" i="5"/>
  <c r="U580" i="5"/>
  <c r="T580" i="5"/>
  <c r="S580" i="5"/>
  <c r="R580" i="5"/>
  <c r="Q580" i="5"/>
  <c r="P580" i="5"/>
  <c r="O580" i="5"/>
  <c r="N580" i="5"/>
  <c r="AD579" i="5"/>
  <c r="AC579" i="5"/>
  <c r="AB579" i="5"/>
  <c r="AA579" i="5"/>
  <c r="Z579" i="5"/>
  <c r="Y579" i="5"/>
  <c r="X579" i="5"/>
  <c r="W579" i="5"/>
  <c r="V579" i="5"/>
  <c r="U579" i="5"/>
  <c r="T579" i="5"/>
  <c r="S579" i="5"/>
  <c r="R579" i="5"/>
  <c r="Q579" i="5"/>
  <c r="P579" i="5"/>
  <c r="O579" i="5"/>
  <c r="N579" i="5"/>
  <c r="AD578" i="5"/>
  <c r="AC578" i="5"/>
  <c r="AB578" i="5"/>
  <c r="AA578" i="5"/>
  <c r="Z578" i="5"/>
  <c r="Y578" i="5"/>
  <c r="X578" i="5"/>
  <c r="W578" i="5"/>
  <c r="V578" i="5"/>
  <c r="U578" i="5"/>
  <c r="T578" i="5"/>
  <c r="S578" i="5"/>
  <c r="R578" i="5"/>
  <c r="Q578" i="5"/>
  <c r="P578" i="5"/>
  <c r="O578" i="5"/>
  <c r="N578" i="5"/>
  <c r="AD577" i="5"/>
  <c r="AC577" i="5"/>
  <c r="AB577" i="5"/>
  <c r="AA577" i="5"/>
  <c r="Z577" i="5"/>
  <c r="Y577" i="5"/>
  <c r="X577" i="5"/>
  <c r="W577" i="5"/>
  <c r="V577" i="5"/>
  <c r="U577" i="5"/>
  <c r="T577" i="5"/>
  <c r="S577" i="5"/>
  <c r="R577" i="5"/>
  <c r="Q577" i="5"/>
  <c r="P577" i="5"/>
  <c r="O577" i="5"/>
  <c r="N577" i="5"/>
  <c r="AD576" i="5"/>
  <c r="AC576" i="5"/>
  <c r="AB576" i="5"/>
  <c r="AA576" i="5"/>
  <c r="Z576" i="5"/>
  <c r="Y576" i="5"/>
  <c r="X576" i="5"/>
  <c r="W576" i="5"/>
  <c r="V576" i="5"/>
  <c r="U576" i="5"/>
  <c r="T576" i="5"/>
  <c r="S576" i="5"/>
  <c r="R576" i="5"/>
  <c r="Q576" i="5"/>
  <c r="P576" i="5"/>
  <c r="O576" i="5"/>
  <c r="N576" i="5"/>
  <c r="AD575" i="5"/>
  <c r="AC575" i="5"/>
  <c r="AB575" i="5"/>
  <c r="AA575" i="5"/>
  <c r="Z575" i="5"/>
  <c r="Y575" i="5"/>
  <c r="X575" i="5"/>
  <c r="W575" i="5"/>
  <c r="V575" i="5"/>
  <c r="U575" i="5"/>
  <c r="T575" i="5"/>
  <c r="S575" i="5"/>
  <c r="R575" i="5"/>
  <c r="Q575" i="5"/>
  <c r="P575" i="5"/>
  <c r="O575" i="5"/>
  <c r="N575" i="5"/>
  <c r="AD574" i="5"/>
  <c r="AC574" i="5"/>
  <c r="AB574" i="5"/>
  <c r="AA574" i="5"/>
  <c r="Z574" i="5"/>
  <c r="Y574" i="5"/>
  <c r="X574" i="5"/>
  <c r="W574" i="5"/>
  <c r="V574" i="5"/>
  <c r="U574" i="5"/>
  <c r="T574" i="5"/>
  <c r="S574" i="5"/>
  <c r="R574" i="5"/>
  <c r="Q574" i="5"/>
  <c r="P574" i="5"/>
  <c r="O574" i="5"/>
  <c r="N574" i="5"/>
  <c r="AD573" i="5"/>
  <c r="AC573" i="5"/>
  <c r="AB573" i="5"/>
  <c r="AA573" i="5"/>
  <c r="Z573" i="5"/>
  <c r="Y573" i="5"/>
  <c r="X573" i="5"/>
  <c r="W573" i="5"/>
  <c r="V573" i="5"/>
  <c r="U573" i="5"/>
  <c r="T573" i="5"/>
  <c r="S573" i="5"/>
  <c r="R573" i="5"/>
  <c r="Q573" i="5"/>
  <c r="P573" i="5"/>
  <c r="O573" i="5"/>
  <c r="N573" i="5"/>
  <c r="AD572" i="5"/>
  <c r="AC572" i="5"/>
  <c r="AB572" i="5"/>
  <c r="AA572" i="5"/>
  <c r="Z572" i="5"/>
  <c r="Y572" i="5"/>
  <c r="X572" i="5"/>
  <c r="W572" i="5"/>
  <c r="V572" i="5"/>
  <c r="U572" i="5"/>
  <c r="T572" i="5"/>
  <c r="S572" i="5"/>
  <c r="R572" i="5"/>
  <c r="Q572" i="5"/>
  <c r="P572" i="5"/>
  <c r="O572" i="5"/>
  <c r="N572" i="5"/>
  <c r="AD571" i="5"/>
  <c r="AC571" i="5"/>
  <c r="AB571" i="5"/>
  <c r="AA571" i="5"/>
  <c r="Z571" i="5"/>
  <c r="Y571" i="5"/>
  <c r="X571" i="5"/>
  <c r="W571" i="5"/>
  <c r="V571" i="5"/>
  <c r="U571" i="5"/>
  <c r="T571" i="5"/>
  <c r="S571" i="5"/>
  <c r="R571" i="5"/>
  <c r="Q571" i="5"/>
  <c r="P571" i="5"/>
  <c r="O571" i="5"/>
  <c r="N571" i="5"/>
  <c r="AD570" i="5"/>
  <c r="AC570" i="5"/>
  <c r="AB570" i="5"/>
  <c r="AA570" i="5"/>
  <c r="Z570" i="5"/>
  <c r="Y570" i="5"/>
  <c r="X570" i="5"/>
  <c r="W570" i="5"/>
  <c r="V570" i="5"/>
  <c r="U570" i="5"/>
  <c r="T570" i="5"/>
  <c r="S570" i="5"/>
  <c r="R570" i="5"/>
  <c r="Q570" i="5"/>
  <c r="P570" i="5"/>
  <c r="O570" i="5"/>
  <c r="N570" i="5"/>
  <c r="AD569" i="5"/>
  <c r="AC569" i="5"/>
  <c r="AB569" i="5"/>
  <c r="AA569" i="5"/>
  <c r="Z569" i="5"/>
  <c r="Y569" i="5"/>
  <c r="X569" i="5"/>
  <c r="W569" i="5"/>
  <c r="V569" i="5"/>
  <c r="U569" i="5"/>
  <c r="T569" i="5"/>
  <c r="S569" i="5"/>
  <c r="R569" i="5"/>
  <c r="Q569" i="5"/>
  <c r="P569" i="5"/>
  <c r="O569" i="5"/>
  <c r="N569" i="5"/>
  <c r="AD568" i="5"/>
  <c r="AC568" i="5"/>
  <c r="AB568" i="5"/>
  <c r="AA568" i="5"/>
  <c r="Z568" i="5"/>
  <c r="Y568" i="5"/>
  <c r="X568" i="5"/>
  <c r="W568" i="5"/>
  <c r="V568" i="5"/>
  <c r="U568" i="5"/>
  <c r="T568" i="5"/>
  <c r="S568" i="5"/>
  <c r="R568" i="5"/>
  <c r="Q568" i="5"/>
  <c r="P568" i="5"/>
  <c r="O568" i="5"/>
  <c r="N568" i="5"/>
  <c r="AD567" i="5"/>
  <c r="AC567" i="5"/>
  <c r="AB567" i="5"/>
  <c r="AA567" i="5"/>
  <c r="Z567" i="5"/>
  <c r="Y567" i="5"/>
  <c r="X567" i="5"/>
  <c r="W567" i="5"/>
  <c r="V567" i="5"/>
  <c r="U567" i="5"/>
  <c r="T567" i="5"/>
  <c r="S567" i="5"/>
  <c r="R567" i="5"/>
  <c r="Q567" i="5"/>
  <c r="P567" i="5"/>
  <c r="O567" i="5"/>
  <c r="N567" i="5"/>
  <c r="AD566" i="5"/>
  <c r="AC566" i="5"/>
  <c r="AB566" i="5"/>
  <c r="AA566" i="5"/>
  <c r="Z566" i="5"/>
  <c r="Y566" i="5"/>
  <c r="X566" i="5"/>
  <c r="W566" i="5"/>
  <c r="V566" i="5"/>
  <c r="U566" i="5"/>
  <c r="T566" i="5"/>
  <c r="S566" i="5"/>
  <c r="R566" i="5"/>
  <c r="Q566" i="5"/>
  <c r="P566" i="5"/>
  <c r="O566" i="5"/>
  <c r="N566" i="5"/>
  <c r="AD565" i="5"/>
  <c r="AC565" i="5"/>
  <c r="AB565" i="5"/>
  <c r="AA565" i="5"/>
  <c r="Z565" i="5"/>
  <c r="Y565" i="5"/>
  <c r="X565" i="5"/>
  <c r="W565" i="5"/>
  <c r="V565" i="5"/>
  <c r="U565" i="5"/>
  <c r="T565" i="5"/>
  <c r="S565" i="5"/>
  <c r="R565" i="5"/>
  <c r="Q565" i="5"/>
  <c r="P565" i="5"/>
  <c r="O565" i="5"/>
  <c r="N565" i="5"/>
  <c r="AD564" i="5"/>
  <c r="AC564" i="5"/>
  <c r="AB564" i="5"/>
  <c r="AA564" i="5"/>
  <c r="Z564" i="5"/>
  <c r="Y564" i="5"/>
  <c r="X564" i="5"/>
  <c r="W564" i="5"/>
  <c r="V564" i="5"/>
  <c r="U564" i="5"/>
  <c r="T564" i="5"/>
  <c r="S564" i="5"/>
  <c r="R564" i="5"/>
  <c r="Q564" i="5"/>
  <c r="P564" i="5"/>
  <c r="O564" i="5"/>
  <c r="N564" i="5"/>
  <c r="AD563" i="5"/>
  <c r="AC563" i="5"/>
  <c r="AB563" i="5"/>
  <c r="AA563" i="5"/>
  <c r="Z563" i="5"/>
  <c r="Y563" i="5"/>
  <c r="X563" i="5"/>
  <c r="W563" i="5"/>
  <c r="V563" i="5"/>
  <c r="U563" i="5"/>
  <c r="T563" i="5"/>
  <c r="S563" i="5"/>
  <c r="R563" i="5"/>
  <c r="Q563" i="5"/>
  <c r="P563" i="5"/>
  <c r="O563" i="5"/>
  <c r="N563" i="5"/>
  <c r="AD562" i="5"/>
  <c r="AC562" i="5"/>
  <c r="AB562" i="5"/>
  <c r="AA562" i="5"/>
  <c r="Z562" i="5"/>
  <c r="Y562" i="5"/>
  <c r="X562" i="5"/>
  <c r="W562" i="5"/>
  <c r="V562" i="5"/>
  <c r="U562" i="5"/>
  <c r="T562" i="5"/>
  <c r="S562" i="5"/>
  <c r="R562" i="5"/>
  <c r="Q562" i="5"/>
  <c r="P562" i="5"/>
  <c r="O562" i="5"/>
  <c r="N562" i="5"/>
  <c r="AD561" i="5"/>
  <c r="AC561" i="5"/>
  <c r="AB561" i="5"/>
  <c r="AA561" i="5"/>
  <c r="Z561" i="5"/>
  <c r="Y561" i="5"/>
  <c r="X561" i="5"/>
  <c r="W561" i="5"/>
  <c r="V561" i="5"/>
  <c r="U561" i="5"/>
  <c r="T561" i="5"/>
  <c r="S561" i="5"/>
  <c r="R561" i="5"/>
  <c r="Q561" i="5"/>
  <c r="P561" i="5"/>
  <c r="O561" i="5"/>
  <c r="N561" i="5"/>
  <c r="AD560" i="5"/>
  <c r="AC560" i="5"/>
  <c r="AB560" i="5"/>
  <c r="AA560" i="5"/>
  <c r="Z560" i="5"/>
  <c r="Y560" i="5"/>
  <c r="X560" i="5"/>
  <c r="W560" i="5"/>
  <c r="V560" i="5"/>
  <c r="U560" i="5"/>
  <c r="T560" i="5"/>
  <c r="S560" i="5"/>
  <c r="R560" i="5"/>
  <c r="Q560" i="5"/>
  <c r="P560" i="5"/>
  <c r="O560" i="5"/>
  <c r="N560" i="5"/>
  <c r="AD559" i="5"/>
  <c r="AC559" i="5"/>
  <c r="AB559" i="5"/>
  <c r="AA559" i="5"/>
  <c r="Z559" i="5"/>
  <c r="Y559" i="5"/>
  <c r="X559" i="5"/>
  <c r="W559" i="5"/>
  <c r="V559" i="5"/>
  <c r="U559" i="5"/>
  <c r="T559" i="5"/>
  <c r="S559" i="5"/>
  <c r="R559" i="5"/>
  <c r="Q559" i="5"/>
  <c r="P559" i="5"/>
  <c r="O559" i="5"/>
  <c r="N559" i="5"/>
  <c r="AD558" i="5"/>
  <c r="AC558" i="5"/>
  <c r="AB558" i="5"/>
  <c r="AA558" i="5"/>
  <c r="Z558" i="5"/>
  <c r="Y558" i="5"/>
  <c r="X558" i="5"/>
  <c r="W558" i="5"/>
  <c r="V558" i="5"/>
  <c r="U558" i="5"/>
  <c r="T558" i="5"/>
  <c r="S558" i="5"/>
  <c r="R558" i="5"/>
  <c r="Q558" i="5"/>
  <c r="P558" i="5"/>
  <c r="O558" i="5"/>
  <c r="N558" i="5"/>
  <c r="AD557" i="5"/>
  <c r="AC557" i="5"/>
  <c r="AB557" i="5"/>
  <c r="AA557" i="5"/>
  <c r="Z557" i="5"/>
  <c r="Y557" i="5"/>
  <c r="X557" i="5"/>
  <c r="W557" i="5"/>
  <c r="V557" i="5"/>
  <c r="U557" i="5"/>
  <c r="T557" i="5"/>
  <c r="S557" i="5"/>
  <c r="R557" i="5"/>
  <c r="Q557" i="5"/>
  <c r="P557" i="5"/>
  <c r="O557" i="5"/>
  <c r="N557" i="5"/>
  <c r="AD556" i="5"/>
  <c r="AC556" i="5"/>
  <c r="AB556" i="5"/>
  <c r="AA556" i="5"/>
  <c r="Z556" i="5"/>
  <c r="Y556" i="5"/>
  <c r="X556" i="5"/>
  <c r="W556" i="5"/>
  <c r="V556" i="5"/>
  <c r="U556" i="5"/>
  <c r="T556" i="5"/>
  <c r="S556" i="5"/>
  <c r="R556" i="5"/>
  <c r="Q556" i="5"/>
  <c r="P556" i="5"/>
  <c r="O556" i="5"/>
  <c r="N556" i="5"/>
  <c r="AD555" i="5"/>
  <c r="AC555" i="5"/>
  <c r="AB555" i="5"/>
  <c r="AA555" i="5"/>
  <c r="Z555" i="5"/>
  <c r="Y555" i="5"/>
  <c r="X555" i="5"/>
  <c r="W555" i="5"/>
  <c r="V555" i="5"/>
  <c r="U555" i="5"/>
  <c r="T555" i="5"/>
  <c r="S555" i="5"/>
  <c r="R555" i="5"/>
  <c r="Q555" i="5"/>
  <c r="P555" i="5"/>
  <c r="O555" i="5"/>
  <c r="N555" i="5"/>
  <c r="AD554" i="5"/>
  <c r="AC554" i="5"/>
  <c r="AB554" i="5"/>
  <c r="AA554" i="5"/>
  <c r="Z554" i="5"/>
  <c r="Y554" i="5"/>
  <c r="X554" i="5"/>
  <c r="W554" i="5"/>
  <c r="V554" i="5"/>
  <c r="U554" i="5"/>
  <c r="T554" i="5"/>
  <c r="S554" i="5"/>
  <c r="R554" i="5"/>
  <c r="Q554" i="5"/>
  <c r="P554" i="5"/>
  <c r="O554" i="5"/>
  <c r="N554" i="5"/>
  <c r="AD553" i="5"/>
  <c r="AC553" i="5"/>
  <c r="AB553" i="5"/>
  <c r="AA553" i="5"/>
  <c r="Z553" i="5"/>
  <c r="Y553" i="5"/>
  <c r="X553" i="5"/>
  <c r="W553" i="5"/>
  <c r="V553" i="5"/>
  <c r="U553" i="5"/>
  <c r="T553" i="5"/>
  <c r="S553" i="5"/>
  <c r="R553" i="5"/>
  <c r="Q553" i="5"/>
  <c r="P553" i="5"/>
  <c r="O553" i="5"/>
  <c r="N553" i="5"/>
  <c r="AD552" i="5"/>
  <c r="AC552" i="5"/>
  <c r="AB552" i="5"/>
  <c r="AA552" i="5"/>
  <c r="Z552" i="5"/>
  <c r="Y552" i="5"/>
  <c r="X552" i="5"/>
  <c r="W552" i="5"/>
  <c r="V552" i="5"/>
  <c r="U552" i="5"/>
  <c r="T552" i="5"/>
  <c r="S552" i="5"/>
  <c r="R552" i="5"/>
  <c r="Q552" i="5"/>
  <c r="P552" i="5"/>
  <c r="O552" i="5"/>
  <c r="N552" i="5"/>
  <c r="AD551" i="5"/>
  <c r="AC551" i="5"/>
  <c r="AB551" i="5"/>
  <c r="AA551" i="5"/>
  <c r="Z551" i="5"/>
  <c r="Y551" i="5"/>
  <c r="X551" i="5"/>
  <c r="W551" i="5"/>
  <c r="V551" i="5"/>
  <c r="U551" i="5"/>
  <c r="T551" i="5"/>
  <c r="S551" i="5"/>
  <c r="R551" i="5"/>
  <c r="Q551" i="5"/>
  <c r="P551" i="5"/>
  <c r="O551" i="5"/>
  <c r="N551" i="5"/>
  <c r="AD550" i="5"/>
  <c r="AC550" i="5"/>
  <c r="AB550" i="5"/>
  <c r="AA550" i="5"/>
  <c r="Z550" i="5"/>
  <c r="Y550" i="5"/>
  <c r="X550" i="5"/>
  <c r="W550" i="5"/>
  <c r="V550" i="5"/>
  <c r="U550" i="5"/>
  <c r="T550" i="5"/>
  <c r="S550" i="5"/>
  <c r="R550" i="5"/>
  <c r="Q550" i="5"/>
  <c r="P550" i="5"/>
  <c r="O550" i="5"/>
  <c r="N550" i="5"/>
  <c r="AD549" i="5"/>
  <c r="AC549" i="5"/>
  <c r="AB549" i="5"/>
  <c r="AA549" i="5"/>
  <c r="Z549" i="5"/>
  <c r="Y549" i="5"/>
  <c r="X549" i="5"/>
  <c r="W549" i="5"/>
  <c r="V549" i="5"/>
  <c r="U549" i="5"/>
  <c r="T549" i="5"/>
  <c r="S549" i="5"/>
  <c r="R549" i="5"/>
  <c r="Q549" i="5"/>
  <c r="P549" i="5"/>
  <c r="O549" i="5"/>
  <c r="N549" i="5"/>
  <c r="AD548" i="5"/>
  <c r="AC548" i="5"/>
  <c r="AB548" i="5"/>
  <c r="AA548" i="5"/>
  <c r="Z548" i="5"/>
  <c r="Y548" i="5"/>
  <c r="X548" i="5"/>
  <c r="W548" i="5"/>
  <c r="V548" i="5"/>
  <c r="U548" i="5"/>
  <c r="T548" i="5"/>
  <c r="S548" i="5"/>
  <c r="R548" i="5"/>
  <c r="Q548" i="5"/>
  <c r="P548" i="5"/>
  <c r="O548" i="5"/>
  <c r="N548" i="5"/>
  <c r="AD547" i="5"/>
  <c r="AC547" i="5"/>
  <c r="AB547" i="5"/>
  <c r="AA547" i="5"/>
  <c r="Z547" i="5"/>
  <c r="Y547" i="5"/>
  <c r="X547" i="5"/>
  <c r="W547" i="5"/>
  <c r="V547" i="5"/>
  <c r="U547" i="5"/>
  <c r="T547" i="5"/>
  <c r="S547" i="5"/>
  <c r="R547" i="5"/>
  <c r="Q547" i="5"/>
  <c r="P547" i="5"/>
  <c r="O547" i="5"/>
  <c r="N547" i="5"/>
  <c r="AD546" i="5"/>
  <c r="AC546" i="5"/>
  <c r="AB546" i="5"/>
  <c r="AA546" i="5"/>
  <c r="Z546" i="5"/>
  <c r="Y546" i="5"/>
  <c r="X546" i="5"/>
  <c r="W546" i="5"/>
  <c r="V546" i="5"/>
  <c r="U546" i="5"/>
  <c r="T546" i="5"/>
  <c r="S546" i="5"/>
  <c r="R546" i="5"/>
  <c r="Q546" i="5"/>
  <c r="P546" i="5"/>
  <c r="O546" i="5"/>
  <c r="N546" i="5"/>
  <c r="AD545" i="5"/>
  <c r="AC545" i="5"/>
  <c r="AB545" i="5"/>
  <c r="AA545" i="5"/>
  <c r="Z545" i="5"/>
  <c r="Y545" i="5"/>
  <c r="X545" i="5"/>
  <c r="W545" i="5"/>
  <c r="V545" i="5"/>
  <c r="U545" i="5"/>
  <c r="T545" i="5"/>
  <c r="S545" i="5"/>
  <c r="R545" i="5"/>
  <c r="Q545" i="5"/>
  <c r="P545" i="5"/>
  <c r="O545" i="5"/>
  <c r="N545" i="5"/>
  <c r="AD544" i="5"/>
  <c r="AC544" i="5"/>
  <c r="AB544" i="5"/>
  <c r="AA544" i="5"/>
  <c r="Z544" i="5"/>
  <c r="Y544" i="5"/>
  <c r="X544" i="5"/>
  <c r="W544" i="5"/>
  <c r="V544" i="5"/>
  <c r="U544" i="5"/>
  <c r="T544" i="5"/>
  <c r="S544" i="5"/>
  <c r="R544" i="5"/>
  <c r="Q544" i="5"/>
  <c r="P544" i="5"/>
  <c r="O544" i="5"/>
  <c r="N544" i="5"/>
  <c r="AD543" i="5"/>
  <c r="AC543" i="5"/>
  <c r="AB543" i="5"/>
  <c r="AA543" i="5"/>
  <c r="Z543" i="5"/>
  <c r="Y543" i="5"/>
  <c r="X543" i="5"/>
  <c r="W543" i="5"/>
  <c r="V543" i="5"/>
  <c r="U543" i="5"/>
  <c r="T543" i="5"/>
  <c r="S543" i="5"/>
  <c r="R543" i="5"/>
  <c r="Q543" i="5"/>
  <c r="P543" i="5"/>
  <c r="O543" i="5"/>
  <c r="N543" i="5"/>
  <c r="AD542" i="5"/>
  <c r="AC542" i="5"/>
  <c r="AB542" i="5"/>
  <c r="AA542" i="5"/>
  <c r="Z542" i="5"/>
  <c r="Y542" i="5"/>
  <c r="X542" i="5"/>
  <c r="W542" i="5"/>
  <c r="V542" i="5"/>
  <c r="U542" i="5"/>
  <c r="T542" i="5"/>
  <c r="S542" i="5"/>
  <c r="R542" i="5"/>
  <c r="Q542" i="5"/>
  <c r="P542" i="5"/>
  <c r="O542" i="5"/>
  <c r="N542" i="5"/>
  <c r="AD541" i="5"/>
  <c r="AC541" i="5"/>
  <c r="AB541" i="5"/>
  <c r="AA541" i="5"/>
  <c r="Z541" i="5"/>
  <c r="Y541" i="5"/>
  <c r="X541" i="5"/>
  <c r="W541" i="5"/>
  <c r="V541" i="5"/>
  <c r="U541" i="5"/>
  <c r="T541" i="5"/>
  <c r="S541" i="5"/>
  <c r="R541" i="5"/>
  <c r="Q541" i="5"/>
  <c r="P541" i="5"/>
  <c r="O541" i="5"/>
  <c r="N541" i="5"/>
  <c r="AD540" i="5"/>
  <c r="AC540" i="5"/>
  <c r="AB540" i="5"/>
  <c r="AA540" i="5"/>
  <c r="Z540" i="5"/>
  <c r="Y540" i="5"/>
  <c r="X540" i="5"/>
  <c r="W540" i="5"/>
  <c r="V540" i="5"/>
  <c r="U540" i="5"/>
  <c r="T540" i="5"/>
  <c r="S540" i="5"/>
  <c r="R540" i="5"/>
  <c r="Q540" i="5"/>
  <c r="P540" i="5"/>
  <c r="O540" i="5"/>
  <c r="N540" i="5"/>
  <c r="AD539" i="5"/>
  <c r="AC539" i="5"/>
  <c r="AB539" i="5"/>
  <c r="AA539" i="5"/>
  <c r="Z539" i="5"/>
  <c r="Y539" i="5"/>
  <c r="X539" i="5"/>
  <c r="W539" i="5"/>
  <c r="V539" i="5"/>
  <c r="U539" i="5"/>
  <c r="T539" i="5"/>
  <c r="S539" i="5"/>
  <c r="R539" i="5"/>
  <c r="Q539" i="5"/>
  <c r="P539" i="5"/>
  <c r="O539" i="5"/>
  <c r="N539" i="5"/>
  <c r="AD538" i="5"/>
  <c r="AC538" i="5"/>
  <c r="AB538" i="5"/>
  <c r="AA538" i="5"/>
  <c r="Z538" i="5"/>
  <c r="Y538" i="5"/>
  <c r="X538" i="5"/>
  <c r="W538" i="5"/>
  <c r="V538" i="5"/>
  <c r="U538" i="5"/>
  <c r="T538" i="5"/>
  <c r="S538" i="5"/>
  <c r="R538" i="5"/>
  <c r="Q538" i="5"/>
  <c r="P538" i="5"/>
  <c r="O538" i="5"/>
  <c r="N538" i="5"/>
  <c r="AD537" i="5"/>
  <c r="AC537" i="5"/>
  <c r="AB537" i="5"/>
  <c r="AA537" i="5"/>
  <c r="Z537" i="5"/>
  <c r="Y537" i="5"/>
  <c r="X537" i="5"/>
  <c r="W537" i="5"/>
  <c r="V537" i="5"/>
  <c r="U537" i="5"/>
  <c r="T537" i="5"/>
  <c r="S537" i="5"/>
  <c r="R537" i="5"/>
  <c r="Q537" i="5"/>
  <c r="P537" i="5"/>
  <c r="O537" i="5"/>
  <c r="N537" i="5"/>
  <c r="AD536" i="5"/>
  <c r="AC536" i="5"/>
  <c r="AB536" i="5"/>
  <c r="AA536" i="5"/>
  <c r="Z536" i="5"/>
  <c r="Y536" i="5"/>
  <c r="X536" i="5"/>
  <c r="W536" i="5"/>
  <c r="V536" i="5"/>
  <c r="U536" i="5"/>
  <c r="T536" i="5"/>
  <c r="S536" i="5"/>
  <c r="R536" i="5"/>
  <c r="Q536" i="5"/>
  <c r="P536" i="5"/>
  <c r="O536" i="5"/>
  <c r="N536" i="5"/>
  <c r="AD535" i="5"/>
  <c r="AC535" i="5"/>
  <c r="AB535" i="5"/>
  <c r="AA535" i="5"/>
  <c r="Z535" i="5"/>
  <c r="Y535" i="5"/>
  <c r="X535" i="5"/>
  <c r="W535" i="5"/>
  <c r="V535" i="5"/>
  <c r="U535" i="5"/>
  <c r="T535" i="5"/>
  <c r="S535" i="5"/>
  <c r="R535" i="5"/>
  <c r="Q535" i="5"/>
  <c r="P535" i="5"/>
  <c r="O535" i="5"/>
  <c r="N535" i="5"/>
  <c r="AD534" i="5"/>
  <c r="AC534" i="5"/>
  <c r="AB534" i="5"/>
  <c r="AA534" i="5"/>
  <c r="Z534" i="5"/>
  <c r="Y534" i="5"/>
  <c r="X534" i="5"/>
  <c r="W534" i="5"/>
  <c r="V534" i="5"/>
  <c r="U534" i="5"/>
  <c r="T534" i="5"/>
  <c r="S534" i="5"/>
  <c r="R534" i="5"/>
  <c r="Q534" i="5"/>
  <c r="P534" i="5"/>
  <c r="O534" i="5"/>
  <c r="N534" i="5"/>
  <c r="AD533" i="5"/>
  <c r="AC533" i="5"/>
  <c r="AB533" i="5"/>
  <c r="AA533" i="5"/>
  <c r="Z533" i="5"/>
  <c r="Y533" i="5"/>
  <c r="X533" i="5"/>
  <c r="W533" i="5"/>
  <c r="V533" i="5"/>
  <c r="U533" i="5"/>
  <c r="T533" i="5"/>
  <c r="S533" i="5"/>
  <c r="R533" i="5"/>
  <c r="Q533" i="5"/>
  <c r="P533" i="5"/>
  <c r="O533" i="5"/>
  <c r="N533" i="5"/>
  <c r="AD532" i="5"/>
  <c r="AC532" i="5"/>
  <c r="AB532" i="5"/>
  <c r="AA532" i="5"/>
  <c r="Z532" i="5"/>
  <c r="Y532" i="5"/>
  <c r="X532" i="5"/>
  <c r="W532" i="5"/>
  <c r="V532" i="5"/>
  <c r="U532" i="5"/>
  <c r="T532" i="5"/>
  <c r="S532" i="5"/>
  <c r="R532" i="5"/>
  <c r="Q532" i="5"/>
  <c r="P532" i="5"/>
  <c r="O532" i="5"/>
  <c r="N532" i="5"/>
  <c r="AD531" i="5"/>
  <c r="AC531" i="5"/>
  <c r="AB531" i="5"/>
  <c r="AA531" i="5"/>
  <c r="Z531" i="5"/>
  <c r="Y531" i="5"/>
  <c r="X531" i="5"/>
  <c r="W531" i="5"/>
  <c r="V531" i="5"/>
  <c r="U531" i="5"/>
  <c r="T531" i="5"/>
  <c r="S531" i="5"/>
  <c r="R531" i="5"/>
  <c r="Q531" i="5"/>
  <c r="P531" i="5"/>
  <c r="O531" i="5"/>
  <c r="N531" i="5"/>
  <c r="AD530" i="5"/>
  <c r="AC530" i="5"/>
  <c r="AB530" i="5"/>
  <c r="AA530" i="5"/>
  <c r="Z530" i="5"/>
  <c r="Y530" i="5"/>
  <c r="X530" i="5"/>
  <c r="W530" i="5"/>
  <c r="V530" i="5"/>
  <c r="U530" i="5"/>
  <c r="T530" i="5"/>
  <c r="S530" i="5"/>
  <c r="R530" i="5"/>
  <c r="Q530" i="5"/>
  <c r="P530" i="5"/>
  <c r="O530" i="5"/>
  <c r="N530" i="5"/>
  <c r="AD529" i="5"/>
  <c r="AC529" i="5"/>
  <c r="AB529" i="5"/>
  <c r="AA529" i="5"/>
  <c r="Z529" i="5"/>
  <c r="Y529" i="5"/>
  <c r="X529" i="5"/>
  <c r="W529" i="5"/>
  <c r="V529" i="5"/>
  <c r="U529" i="5"/>
  <c r="T529" i="5"/>
  <c r="S529" i="5"/>
  <c r="R529" i="5"/>
  <c r="Q529" i="5"/>
  <c r="P529" i="5"/>
  <c r="O529" i="5"/>
  <c r="N529" i="5"/>
  <c r="AD528" i="5"/>
  <c r="AC528" i="5"/>
  <c r="AB528" i="5"/>
  <c r="AA528" i="5"/>
  <c r="Z528" i="5"/>
  <c r="Y528" i="5"/>
  <c r="X528" i="5"/>
  <c r="W528" i="5"/>
  <c r="V528" i="5"/>
  <c r="U528" i="5"/>
  <c r="T528" i="5"/>
  <c r="S528" i="5"/>
  <c r="R528" i="5"/>
  <c r="Q528" i="5"/>
  <c r="P528" i="5"/>
  <c r="O528" i="5"/>
  <c r="N528" i="5"/>
  <c r="AD527" i="5"/>
  <c r="AC527" i="5"/>
  <c r="AB527" i="5"/>
  <c r="AA527" i="5"/>
  <c r="Z527" i="5"/>
  <c r="Y527" i="5"/>
  <c r="X527" i="5"/>
  <c r="W527" i="5"/>
  <c r="V527" i="5"/>
  <c r="U527" i="5"/>
  <c r="T527" i="5"/>
  <c r="S527" i="5"/>
  <c r="R527" i="5"/>
  <c r="Q527" i="5"/>
  <c r="P527" i="5"/>
  <c r="O527" i="5"/>
  <c r="N527" i="5"/>
  <c r="AD526" i="5"/>
  <c r="AC526" i="5"/>
  <c r="AB526" i="5"/>
  <c r="AA526" i="5"/>
  <c r="Z526" i="5"/>
  <c r="Y526" i="5"/>
  <c r="X526" i="5"/>
  <c r="W526" i="5"/>
  <c r="V526" i="5"/>
  <c r="U526" i="5"/>
  <c r="T526" i="5"/>
  <c r="S526" i="5"/>
  <c r="R526" i="5"/>
  <c r="Q526" i="5"/>
  <c r="P526" i="5"/>
  <c r="O526" i="5"/>
  <c r="N526" i="5"/>
  <c r="AD525" i="5"/>
  <c r="AC525" i="5"/>
  <c r="AB525" i="5"/>
  <c r="AA525" i="5"/>
  <c r="Z525" i="5"/>
  <c r="Y525" i="5"/>
  <c r="X525" i="5"/>
  <c r="W525" i="5"/>
  <c r="V525" i="5"/>
  <c r="U525" i="5"/>
  <c r="T525" i="5"/>
  <c r="S525" i="5"/>
  <c r="R525" i="5"/>
  <c r="Q525" i="5"/>
  <c r="P525" i="5"/>
  <c r="O525" i="5"/>
  <c r="N525" i="5"/>
  <c r="AD524" i="5"/>
  <c r="AC524" i="5"/>
  <c r="AB524" i="5"/>
  <c r="AA524" i="5"/>
  <c r="Z524" i="5"/>
  <c r="Y524" i="5"/>
  <c r="X524" i="5"/>
  <c r="W524" i="5"/>
  <c r="V524" i="5"/>
  <c r="U524" i="5"/>
  <c r="T524" i="5"/>
  <c r="S524" i="5"/>
  <c r="R524" i="5"/>
  <c r="Q524" i="5"/>
  <c r="P524" i="5"/>
  <c r="O524" i="5"/>
  <c r="N524" i="5"/>
  <c r="AD523" i="5"/>
  <c r="AC523" i="5"/>
  <c r="AB523" i="5"/>
  <c r="AA523" i="5"/>
  <c r="Z523" i="5"/>
  <c r="Y523" i="5"/>
  <c r="X523" i="5"/>
  <c r="W523" i="5"/>
  <c r="V523" i="5"/>
  <c r="U523" i="5"/>
  <c r="T523" i="5"/>
  <c r="S523" i="5"/>
  <c r="R523" i="5"/>
  <c r="Q523" i="5"/>
  <c r="P523" i="5"/>
  <c r="O523" i="5"/>
  <c r="N523" i="5"/>
  <c r="AD522" i="5"/>
  <c r="AC522" i="5"/>
  <c r="AB522" i="5"/>
  <c r="AA522" i="5"/>
  <c r="Z522" i="5"/>
  <c r="Y522" i="5"/>
  <c r="X522" i="5"/>
  <c r="W522" i="5"/>
  <c r="V522" i="5"/>
  <c r="U522" i="5"/>
  <c r="T522" i="5"/>
  <c r="S522" i="5"/>
  <c r="R522" i="5"/>
  <c r="Q522" i="5"/>
  <c r="P522" i="5"/>
  <c r="O522" i="5"/>
  <c r="N522" i="5"/>
  <c r="AD521" i="5"/>
  <c r="AC521" i="5"/>
  <c r="AB521" i="5"/>
  <c r="AA521" i="5"/>
  <c r="Z521" i="5"/>
  <c r="Y521" i="5"/>
  <c r="X521" i="5"/>
  <c r="W521" i="5"/>
  <c r="V521" i="5"/>
  <c r="U521" i="5"/>
  <c r="T521" i="5"/>
  <c r="S521" i="5"/>
  <c r="R521" i="5"/>
  <c r="Q521" i="5"/>
  <c r="P521" i="5"/>
  <c r="O521" i="5"/>
  <c r="N521" i="5"/>
  <c r="AD520" i="5"/>
  <c r="AC520" i="5"/>
  <c r="AB520" i="5"/>
  <c r="AA520" i="5"/>
  <c r="Z520" i="5"/>
  <c r="Y520" i="5"/>
  <c r="X520" i="5"/>
  <c r="W520" i="5"/>
  <c r="V520" i="5"/>
  <c r="U520" i="5"/>
  <c r="T520" i="5"/>
  <c r="S520" i="5"/>
  <c r="R520" i="5"/>
  <c r="Q520" i="5"/>
  <c r="P520" i="5"/>
  <c r="O520" i="5"/>
  <c r="N520" i="5"/>
  <c r="AD519" i="5"/>
  <c r="AC519" i="5"/>
  <c r="AB519" i="5"/>
  <c r="AA519" i="5"/>
  <c r="Z519" i="5"/>
  <c r="Y519" i="5"/>
  <c r="X519" i="5"/>
  <c r="W519" i="5"/>
  <c r="V519" i="5"/>
  <c r="U519" i="5"/>
  <c r="T519" i="5"/>
  <c r="S519" i="5"/>
  <c r="R519" i="5"/>
  <c r="Q519" i="5"/>
  <c r="P519" i="5"/>
  <c r="O519" i="5"/>
  <c r="N519" i="5"/>
  <c r="AD518" i="5"/>
  <c r="AC518" i="5"/>
  <c r="AB518" i="5"/>
  <c r="AA518" i="5"/>
  <c r="Z518" i="5"/>
  <c r="Y518" i="5"/>
  <c r="X518" i="5"/>
  <c r="W518" i="5"/>
  <c r="V518" i="5"/>
  <c r="U518" i="5"/>
  <c r="T518" i="5"/>
  <c r="S518" i="5"/>
  <c r="R518" i="5"/>
  <c r="Q518" i="5"/>
  <c r="P518" i="5"/>
  <c r="O518" i="5"/>
  <c r="N518" i="5"/>
  <c r="AD517" i="5"/>
  <c r="AC517" i="5"/>
  <c r="AB517" i="5"/>
  <c r="AA517" i="5"/>
  <c r="Z517" i="5"/>
  <c r="Y517" i="5"/>
  <c r="X517" i="5"/>
  <c r="W517" i="5"/>
  <c r="V517" i="5"/>
  <c r="U517" i="5"/>
  <c r="T517" i="5"/>
  <c r="S517" i="5"/>
  <c r="R517" i="5"/>
  <c r="Q517" i="5"/>
  <c r="P517" i="5"/>
  <c r="O517" i="5"/>
  <c r="N517" i="5"/>
  <c r="AD516" i="5"/>
  <c r="AC516" i="5"/>
  <c r="AB516" i="5"/>
  <c r="AA516" i="5"/>
  <c r="Z516" i="5"/>
  <c r="Y516" i="5"/>
  <c r="X516" i="5"/>
  <c r="W516" i="5"/>
  <c r="V516" i="5"/>
  <c r="U516" i="5"/>
  <c r="T516" i="5"/>
  <c r="S516" i="5"/>
  <c r="R516" i="5"/>
  <c r="Q516" i="5"/>
  <c r="P516" i="5"/>
  <c r="O516" i="5"/>
  <c r="N516" i="5"/>
  <c r="AD515" i="5"/>
  <c r="AC515" i="5"/>
  <c r="AB515" i="5"/>
  <c r="AA515" i="5"/>
  <c r="Z515" i="5"/>
  <c r="Y515" i="5"/>
  <c r="X515" i="5"/>
  <c r="W515" i="5"/>
  <c r="V515" i="5"/>
  <c r="U515" i="5"/>
  <c r="T515" i="5"/>
  <c r="S515" i="5"/>
  <c r="R515" i="5"/>
  <c r="Q515" i="5"/>
  <c r="P515" i="5"/>
  <c r="O515" i="5"/>
  <c r="N515" i="5"/>
  <c r="AD514" i="5"/>
  <c r="AC514" i="5"/>
  <c r="AB514" i="5"/>
  <c r="AA514" i="5"/>
  <c r="Z514" i="5"/>
  <c r="Y514" i="5"/>
  <c r="X514" i="5"/>
  <c r="W514" i="5"/>
  <c r="V514" i="5"/>
  <c r="U514" i="5"/>
  <c r="T514" i="5"/>
  <c r="S514" i="5"/>
  <c r="R514" i="5"/>
  <c r="Q514" i="5"/>
  <c r="P514" i="5"/>
  <c r="O514" i="5"/>
  <c r="N514" i="5"/>
  <c r="AD513" i="5"/>
  <c r="AC513" i="5"/>
  <c r="AB513" i="5"/>
  <c r="AA513" i="5"/>
  <c r="Z513" i="5"/>
  <c r="Y513" i="5"/>
  <c r="X513" i="5"/>
  <c r="W513" i="5"/>
  <c r="V513" i="5"/>
  <c r="U513" i="5"/>
  <c r="T513" i="5"/>
  <c r="S513" i="5"/>
  <c r="R513" i="5"/>
  <c r="Q513" i="5"/>
  <c r="P513" i="5"/>
  <c r="O513" i="5"/>
  <c r="N513" i="5"/>
  <c r="AD512" i="5"/>
  <c r="AC512" i="5"/>
  <c r="AB512" i="5"/>
  <c r="AA512" i="5"/>
  <c r="Z512" i="5"/>
  <c r="Y512" i="5"/>
  <c r="X512" i="5"/>
  <c r="W512" i="5"/>
  <c r="V512" i="5"/>
  <c r="U512" i="5"/>
  <c r="T512" i="5"/>
  <c r="S512" i="5"/>
  <c r="R512" i="5"/>
  <c r="Q512" i="5"/>
  <c r="P512" i="5"/>
  <c r="O512" i="5"/>
  <c r="N512" i="5"/>
  <c r="AD511" i="5"/>
  <c r="AC511" i="5"/>
  <c r="AB511" i="5"/>
  <c r="AA511" i="5"/>
  <c r="Z511" i="5"/>
  <c r="Y511" i="5"/>
  <c r="X511" i="5"/>
  <c r="W511" i="5"/>
  <c r="V511" i="5"/>
  <c r="U511" i="5"/>
  <c r="T511" i="5"/>
  <c r="S511" i="5"/>
  <c r="R511" i="5"/>
  <c r="Q511" i="5"/>
  <c r="P511" i="5"/>
  <c r="O511" i="5"/>
  <c r="N511" i="5"/>
  <c r="AD510" i="5"/>
  <c r="AC510" i="5"/>
  <c r="AB510" i="5"/>
  <c r="AA510" i="5"/>
  <c r="Z510" i="5"/>
  <c r="Y510" i="5"/>
  <c r="X510" i="5"/>
  <c r="W510" i="5"/>
  <c r="V510" i="5"/>
  <c r="U510" i="5"/>
  <c r="T510" i="5"/>
  <c r="S510" i="5"/>
  <c r="R510" i="5"/>
  <c r="Q510" i="5"/>
  <c r="P510" i="5"/>
  <c r="O510" i="5"/>
  <c r="N510" i="5"/>
  <c r="AD509" i="5"/>
  <c r="AC509" i="5"/>
  <c r="AB509" i="5"/>
  <c r="AA509" i="5"/>
  <c r="Z509" i="5"/>
  <c r="Y509" i="5"/>
  <c r="X509" i="5"/>
  <c r="W509" i="5"/>
  <c r="V509" i="5"/>
  <c r="U509" i="5"/>
  <c r="T509" i="5"/>
  <c r="S509" i="5"/>
  <c r="R509" i="5"/>
  <c r="Q509" i="5"/>
  <c r="P509" i="5"/>
  <c r="O509" i="5"/>
  <c r="N509" i="5"/>
  <c r="AD508" i="5"/>
  <c r="AC508" i="5"/>
  <c r="AB508" i="5"/>
  <c r="AA508" i="5"/>
  <c r="Z508" i="5"/>
  <c r="Y508" i="5"/>
  <c r="X508" i="5"/>
  <c r="W508" i="5"/>
  <c r="V508" i="5"/>
  <c r="U508" i="5"/>
  <c r="T508" i="5"/>
  <c r="S508" i="5"/>
  <c r="R508" i="5"/>
  <c r="Q508" i="5"/>
  <c r="P508" i="5"/>
  <c r="O508" i="5"/>
  <c r="N508" i="5"/>
  <c r="AD507" i="5"/>
  <c r="AC507" i="5"/>
  <c r="AB507" i="5"/>
  <c r="AA507" i="5"/>
  <c r="Z507" i="5"/>
  <c r="Y507" i="5"/>
  <c r="X507" i="5"/>
  <c r="W507" i="5"/>
  <c r="V507" i="5"/>
  <c r="U507" i="5"/>
  <c r="T507" i="5"/>
  <c r="S507" i="5"/>
  <c r="R507" i="5"/>
  <c r="Q507" i="5"/>
  <c r="P507" i="5"/>
  <c r="O507" i="5"/>
  <c r="N507" i="5"/>
  <c r="AD506" i="5"/>
  <c r="AC506" i="5"/>
  <c r="AB506" i="5"/>
  <c r="AA506" i="5"/>
  <c r="Z506" i="5"/>
  <c r="Y506" i="5"/>
  <c r="X506" i="5"/>
  <c r="W506" i="5"/>
  <c r="V506" i="5"/>
  <c r="U506" i="5"/>
  <c r="T506" i="5"/>
  <c r="S506" i="5"/>
  <c r="R506" i="5"/>
  <c r="Q506" i="5"/>
  <c r="P506" i="5"/>
  <c r="O506" i="5"/>
  <c r="N506" i="5"/>
  <c r="AD505" i="5"/>
  <c r="AC505" i="5"/>
  <c r="AB505" i="5"/>
  <c r="AA505" i="5"/>
  <c r="Z505" i="5"/>
  <c r="Y505" i="5"/>
  <c r="X505" i="5"/>
  <c r="W505" i="5"/>
  <c r="V505" i="5"/>
  <c r="U505" i="5"/>
  <c r="T505" i="5"/>
  <c r="S505" i="5"/>
  <c r="R505" i="5"/>
  <c r="Q505" i="5"/>
  <c r="P505" i="5"/>
  <c r="O505" i="5"/>
  <c r="N505" i="5"/>
  <c r="AD504" i="5"/>
  <c r="AC504" i="5"/>
  <c r="AB504" i="5"/>
  <c r="AA504" i="5"/>
  <c r="Z504" i="5"/>
  <c r="Y504" i="5"/>
  <c r="X504" i="5"/>
  <c r="W504" i="5"/>
  <c r="V504" i="5"/>
  <c r="U504" i="5"/>
  <c r="T504" i="5"/>
  <c r="S504" i="5"/>
  <c r="R504" i="5"/>
  <c r="Q504" i="5"/>
  <c r="P504" i="5"/>
  <c r="O504" i="5"/>
  <c r="N504" i="5"/>
  <c r="AD503" i="5"/>
  <c r="AC503" i="5"/>
  <c r="AB503" i="5"/>
  <c r="AA503" i="5"/>
  <c r="Z503" i="5"/>
  <c r="Y503" i="5"/>
  <c r="X503" i="5"/>
  <c r="W503" i="5"/>
  <c r="V503" i="5"/>
  <c r="U503" i="5"/>
  <c r="T503" i="5"/>
  <c r="S503" i="5"/>
  <c r="R503" i="5"/>
  <c r="Q503" i="5"/>
  <c r="P503" i="5"/>
  <c r="O503" i="5"/>
  <c r="N503" i="5"/>
  <c r="AD502" i="5"/>
  <c r="AC502" i="5"/>
  <c r="AB502" i="5"/>
  <c r="AA502" i="5"/>
  <c r="Z502" i="5"/>
  <c r="Y502" i="5"/>
  <c r="X502" i="5"/>
  <c r="W502" i="5"/>
  <c r="V502" i="5"/>
  <c r="U502" i="5"/>
  <c r="T502" i="5"/>
  <c r="S502" i="5"/>
  <c r="R502" i="5"/>
  <c r="Q502" i="5"/>
  <c r="P502" i="5"/>
  <c r="O502" i="5"/>
  <c r="N502" i="5"/>
  <c r="AD501" i="5"/>
  <c r="AC501" i="5"/>
  <c r="AB501" i="5"/>
  <c r="AA501" i="5"/>
  <c r="Z501" i="5"/>
  <c r="Y501" i="5"/>
  <c r="X501" i="5"/>
  <c r="W501" i="5"/>
  <c r="V501" i="5"/>
  <c r="U501" i="5"/>
  <c r="T501" i="5"/>
  <c r="S501" i="5"/>
  <c r="R501" i="5"/>
  <c r="Q501" i="5"/>
  <c r="P501" i="5"/>
  <c r="O501" i="5"/>
  <c r="N501" i="5"/>
  <c r="AD500" i="5"/>
  <c r="AC500" i="5"/>
  <c r="AB500" i="5"/>
  <c r="AA500" i="5"/>
  <c r="Z500" i="5"/>
  <c r="Y500" i="5"/>
  <c r="X500" i="5"/>
  <c r="W500" i="5"/>
  <c r="V500" i="5"/>
  <c r="U500" i="5"/>
  <c r="T500" i="5"/>
  <c r="S500" i="5"/>
  <c r="R500" i="5"/>
  <c r="Q500" i="5"/>
  <c r="P500" i="5"/>
  <c r="O500" i="5"/>
  <c r="N500" i="5"/>
  <c r="AD499" i="5"/>
  <c r="AC499" i="5"/>
  <c r="AB499" i="5"/>
  <c r="AA499" i="5"/>
  <c r="Z499" i="5"/>
  <c r="Y499" i="5"/>
  <c r="X499" i="5"/>
  <c r="W499" i="5"/>
  <c r="V499" i="5"/>
  <c r="U499" i="5"/>
  <c r="T499" i="5"/>
  <c r="S499" i="5"/>
  <c r="R499" i="5"/>
  <c r="Q499" i="5"/>
  <c r="P499" i="5"/>
  <c r="O499" i="5"/>
  <c r="N499" i="5"/>
  <c r="AD498" i="5"/>
  <c r="AC498" i="5"/>
  <c r="AB498" i="5"/>
  <c r="AA498" i="5"/>
  <c r="Z498" i="5"/>
  <c r="Y498" i="5"/>
  <c r="X498" i="5"/>
  <c r="W498" i="5"/>
  <c r="V498" i="5"/>
  <c r="U498" i="5"/>
  <c r="T498" i="5"/>
  <c r="S498" i="5"/>
  <c r="R498" i="5"/>
  <c r="Q498" i="5"/>
  <c r="P498" i="5"/>
  <c r="O498" i="5"/>
  <c r="N498" i="5"/>
  <c r="AD497" i="5"/>
  <c r="AC497" i="5"/>
  <c r="AB497" i="5"/>
  <c r="AA497" i="5"/>
  <c r="Z497" i="5"/>
  <c r="Y497" i="5"/>
  <c r="X497" i="5"/>
  <c r="W497" i="5"/>
  <c r="V497" i="5"/>
  <c r="U497" i="5"/>
  <c r="T497" i="5"/>
  <c r="S497" i="5"/>
  <c r="R497" i="5"/>
  <c r="Q497" i="5"/>
  <c r="P497" i="5"/>
  <c r="O497" i="5"/>
  <c r="N497" i="5"/>
  <c r="AD496" i="5"/>
  <c r="AC496" i="5"/>
  <c r="AB496" i="5"/>
  <c r="AA496" i="5"/>
  <c r="Z496" i="5"/>
  <c r="Y496" i="5"/>
  <c r="X496" i="5"/>
  <c r="W496" i="5"/>
  <c r="V496" i="5"/>
  <c r="U496" i="5"/>
  <c r="T496" i="5"/>
  <c r="S496" i="5"/>
  <c r="R496" i="5"/>
  <c r="Q496" i="5"/>
  <c r="P496" i="5"/>
  <c r="O496" i="5"/>
  <c r="N496" i="5"/>
  <c r="AD495" i="5"/>
  <c r="AC495" i="5"/>
  <c r="AB495" i="5"/>
  <c r="AA495" i="5"/>
  <c r="Z495" i="5"/>
  <c r="Y495" i="5"/>
  <c r="X495" i="5"/>
  <c r="W495" i="5"/>
  <c r="V495" i="5"/>
  <c r="U495" i="5"/>
  <c r="T495" i="5"/>
  <c r="S495" i="5"/>
  <c r="R495" i="5"/>
  <c r="Q495" i="5"/>
  <c r="P495" i="5"/>
  <c r="O495" i="5"/>
  <c r="N495" i="5"/>
  <c r="AD494" i="5"/>
  <c r="AC494" i="5"/>
  <c r="AB494" i="5"/>
  <c r="AA494" i="5"/>
  <c r="Z494" i="5"/>
  <c r="Y494" i="5"/>
  <c r="X494" i="5"/>
  <c r="W494" i="5"/>
  <c r="V494" i="5"/>
  <c r="U494" i="5"/>
  <c r="T494" i="5"/>
  <c r="S494" i="5"/>
  <c r="R494" i="5"/>
  <c r="Q494" i="5"/>
  <c r="P494" i="5"/>
  <c r="O494" i="5"/>
  <c r="N494" i="5"/>
  <c r="AD493" i="5"/>
  <c r="AC493" i="5"/>
  <c r="AB493" i="5"/>
  <c r="AA493" i="5"/>
  <c r="Z493" i="5"/>
  <c r="Y493" i="5"/>
  <c r="X493" i="5"/>
  <c r="W493" i="5"/>
  <c r="V493" i="5"/>
  <c r="U493" i="5"/>
  <c r="T493" i="5"/>
  <c r="S493" i="5"/>
  <c r="R493" i="5"/>
  <c r="Q493" i="5"/>
  <c r="P493" i="5"/>
  <c r="O493" i="5"/>
  <c r="N493" i="5"/>
  <c r="AD492" i="5"/>
  <c r="AC492" i="5"/>
  <c r="AB492" i="5"/>
  <c r="AA492" i="5"/>
  <c r="Z492" i="5"/>
  <c r="Y492" i="5"/>
  <c r="X492" i="5"/>
  <c r="W492" i="5"/>
  <c r="V492" i="5"/>
  <c r="U492" i="5"/>
  <c r="T492" i="5"/>
  <c r="S492" i="5"/>
  <c r="R492" i="5"/>
  <c r="Q492" i="5"/>
  <c r="P492" i="5"/>
  <c r="O492" i="5"/>
  <c r="N492" i="5"/>
  <c r="AD491" i="5"/>
  <c r="AC491" i="5"/>
  <c r="AB491" i="5"/>
  <c r="AA491" i="5"/>
  <c r="Z491" i="5"/>
  <c r="Y491" i="5"/>
  <c r="X491" i="5"/>
  <c r="W491" i="5"/>
  <c r="V491" i="5"/>
  <c r="U491" i="5"/>
  <c r="T491" i="5"/>
  <c r="S491" i="5"/>
  <c r="R491" i="5"/>
  <c r="Q491" i="5"/>
  <c r="P491" i="5"/>
  <c r="O491" i="5"/>
  <c r="N491" i="5"/>
  <c r="AD490" i="5"/>
  <c r="AC490" i="5"/>
  <c r="AB490" i="5"/>
  <c r="AA490" i="5"/>
  <c r="Z490" i="5"/>
  <c r="Y490" i="5"/>
  <c r="X490" i="5"/>
  <c r="W490" i="5"/>
  <c r="V490" i="5"/>
  <c r="U490" i="5"/>
  <c r="T490" i="5"/>
  <c r="S490" i="5"/>
  <c r="R490" i="5"/>
  <c r="Q490" i="5"/>
  <c r="P490" i="5"/>
  <c r="O490" i="5"/>
  <c r="N490" i="5"/>
  <c r="AD489" i="5"/>
  <c r="AC489" i="5"/>
  <c r="AB489" i="5"/>
  <c r="AA489" i="5"/>
  <c r="Z489" i="5"/>
  <c r="Y489" i="5"/>
  <c r="X489" i="5"/>
  <c r="W489" i="5"/>
  <c r="V489" i="5"/>
  <c r="U489" i="5"/>
  <c r="T489" i="5"/>
  <c r="S489" i="5"/>
  <c r="R489" i="5"/>
  <c r="Q489" i="5"/>
  <c r="P489" i="5"/>
  <c r="O489" i="5"/>
  <c r="N489" i="5"/>
  <c r="AD488" i="5"/>
  <c r="AC488" i="5"/>
  <c r="AB488" i="5"/>
  <c r="AA488" i="5"/>
  <c r="Z488" i="5"/>
  <c r="Y488" i="5"/>
  <c r="X488" i="5"/>
  <c r="W488" i="5"/>
  <c r="V488" i="5"/>
  <c r="U488" i="5"/>
  <c r="T488" i="5"/>
  <c r="S488" i="5"/>
  <c r="R488" i="5"/>
  <c r="Q488" i="5"/>
  <c r="P488" i="5"/>
  <c r="O488" i="5"/>
  <c r="N488" i="5"/>
  <c r="AD487" i="5"/>
  <c r="AC487" i="5"/>
  <c r="AB487" i="5"/>
  <c r="AA487" i="5"/>
  <c r="Z487" i="5"/>
  <c r="Y487" i="5"/>
  <c r="X487" i="5"/>
  <c r="W487" i="5"/>
  <c r="V487" i="5"/>
  <c r="U487" i="5"/>
  <c r="T487" i="5"/>
  <c r="S487" i="5"/>
  <c r="R487" i="5"/>
  <c r="Q487" i="5"/>
  <c r="P487" i="5"/>
  <c r="O487" i="5"/>
  <c r="N487" i="5"/>
  <c r="AD486" i="5"/>
  <c r="AC486" i="5"/>
  <c r="AB486" i="5"/>
  <c r="AA486" i="5"/>
  <c r="Z486" i="5"/>
  <c r="Y486" i="5"/>
  <c r="X486" i="5"/>
  <c r="W486" i="5"/>
  <c r="V486" i="5"/>
  <c r="U486" i="5"/>
  <c r="T486" i="5"/>
  <c r="S486" i="5"/>
  <c r="R486" i="5"/>
  <c r="Q486" i="5"/>
  <c r="P486" i="5"/>
  <c r="O486" i="5"/>
  <c r="N486" i="5"/>
  <c r="AD485" i="5"/>
  <c r="AC485" i="5"/>
  <c r="AB485" i="5"/>
  <c r="AA485" i="5"/>
  <c r="Z485" i="5"/>
  <c r="Y485" i="5"/>
  <c r="X485" i="5"/>
  <c r="W485" i="5"/>
  <c r="V485" i="5"/>
  <c r="U485" i="5"/>
  <c r="T485" i="5"/>
  <c r="S485" i="5"/>
  <c r="R485" i="5"/>
  <c r="Q485" i="5"/>
  <c r="P485" i="5"/>
  <c r="O485" i="5"/>
  <c r="N485" i="5"/>
  <c r="AD484" i="5"/>
  <c r="AC484" i="5"/>
  <c r="AB484" i="5"/>
  <c r="AA484" i="5"/>
  <c r="Z484" i="5"/>
  <c r="Y484" i="5"/>
  <c r="X484" i="5"/>
  <c r="W484" i="5"/>
  <c r="V484" i="5"/>
  <c r="U484" i="5"/>
  <c r="T484" i="5"/>
  <c r="S484" i="5"/>
  <c r="R484" i="5"/>
  <c r="Q484" i="5"/>
  <c r="P484" i="5"/>
  <c r="O484" i="5"/>
  <c r="N484" i="5"/>
  <c r="AD483" i="5"/>
  <c r="AC483" i="5"/>
  <c r="AB483" i="5"/>
  <c r="AA483" i="5"/>
  <c r="Z483" i="5"/>
  <c r="Y483" i="5"/>
  <c r="X483" i="5"/>
  <c r="W483" i="5"/>
  <c r="V483" i="5"/>
  <c r="U483" i="5"/>
  <c r="T483" i="5"/>
  <c r="S483" i="5"/>
  <c r="R483" i="5"/>
  <c r="Q483" i="5"/>
  <c r="P483" i="5"/>
  <c r="O483" i="5"/>
  <c r="N483" i="5"/>
  <c r="AD482" i="5"/>
  <c r="AC482" i="5"/>
  <c r="AB482" i="5"/>
  <c r="AA482" i="5"/>
  <c r="Z482" i="5"/>
  <c r="Y482" i="5"/>
  <c r="X482" i="5"/>
  <c r="W482" i="5"/>
  <c r="V482" i="5"/>
  <c r="U482" i="5"/>
  <c r="T482" i="5"/>
  <c r="S482" i="5"/>
  <c r="R482" i="5"/>
  <c r="Q482" i="5"/>
  <c r="P482" i="5"/>
  <c r="O482" i="5"/>
  <c r="N482" i="5"/>
  <c r="AD481" i="5"/>
  <c r="AC481" i="5"/>
  <c r="AB481" i="5"/>
  <c r="AA481" i="5"/>
  <c r="Z481" i="5"/>
  <c r="Y481" i="5"/>
  <c r="X481" i="5"/>
  <c r="W481" i="5"/>
  <c r="V481" i="5"/>
  <c r="U481" i="5"/>
  <c r="T481" i="5"/>
  <c r="S481" i="5"/>
  <c r="R481" i="5"/>
  <c r="Q481" i="5"/>
  <c r="P481" i="5"/>
  <c r="O481" i="5"/>
  <c r="N481" i="5"/>
  <c r="AD480" i="5"/>
  <c r="AC480" i="5"/>
  <c r="AB480" i="5"/>
  <c r="AA480" i="5"/>
  <c r="Z480" i="5"/>
  <c r="Y480" i="5"/>
  <c r="X480" i="5"/>
  <c r="W480" i="5"/>
  <c r="V480" i="5"/>
  <c r="U480" i="5"/>
  <c r="T480" i="5"/>
  <c r="S480" i="5"/>
  <c r="R480" i="5"/>
  <c r="Q480" i="5"/>
  <c r="P480" i="5"/>
  <c r="O480" i="5"/>
  <c r="N480" i="5"/>
  <c r="AD479" i="5"/>
  <c r="AC479" i="5"/>
  <c r="AB479" i="5"/>
  <c r="AA479" i="5"/>
  <c r="Z479" i="5"/>
  <c r="Y479" i="5"/>
  <c r="X479" i="5"/>
  <c r="W479" i="5"/>
  <c r="V479" i="5"/>
  <c r="U479" i="5"/>
  <c r="T479" i="5"/>
  <c r="S479" i="5"/>
  <c r="R479" i="5"/>
  <c r="Q479" i="5"/>
  <c r="P479" i="5"/>
  <c r="O479" i="5"/>
  <c r="N479" i="5"/>
  <c r="AD478" i="5"/>
  <c r="AC478" i="5"/>
  <c r="AB478" i="5"/>
  <c r="AA478" i="5"/>
  <c r="Z478" i="5"/>
  <c r="Y478" i="5"/>
  <c r="X478" i="5"/>
  <c r="W478" i="5"/>
  <c r="V478" i="5"/>
  <c r="U478" i="5"/>
  <c r="T478" i="5"/>
  <c r="S478" i="5"/>
  <c r="R478" i="5"/>
  <c r="Q478" i="5"/>
  <c r="P478" i="5"/>
  <c r="O478" i="5"/>
  <c r="N478" i="5"/>
  <c r="AD477" i="5"/>
  <c r="AC477" i="5"/>
  <c r="AB477" i="5"/>
  <c r="AA477" i="5"/>
  <c r="Z477" i="5"/>
  <c r="Y477" i="5"/>
  <c r="X477" i="5"/>
  <c r="W477" i="5"/>
  <c r="V477" i="5"/>
  <c r="U477" i="5"/>
  <c r="T477" i="5"/>
  <c r="S477" i="5"/>
  <c r="R477" i="5"/>
  <c r="Q477" i="5"/>
  <c r="P477" i="5"/>
  <c r="O477" i="5"/>
  <c r="N477" i="5"/>
  <c r="AD476" i="5"/>
  <c r="AC476" i="5"/>
  <c r="AB476" i="5"/>
  <c r="AA476" i="5"/>
  <c r="Z476" i="5"/>
  <c r="Y476" i="5"/>
  <c r="X476" i="5"/>
  <c r="W476" i="5"/>
  <c r="V476" i="5"/>
  <c r="U476" i="5"/>
  <c r="T476" i="5"/>
  <c r="S476" i="5"/>
  <c r="R476" i="5"/>
  <c r="Q476" i="5"/>
  <c r="P476" i="5"/>
  <c r="O476" i="5"/>
  <c r="N476" i="5"/>
  <c r="AD475" i="5"/>
  <c r="AC475" i="5"/>
  <c r="AB475" i="5"/>
  <c r="AA475" i="5"/>
  <c r="Z475" i="5"/>
  <c r="Y475" i="5"/>
  <c r="X475" i="5"/>
  <c r="W475" i="5"/>
  <c r="V475" i="5"/>
  <c r="U475" i="5"/>
  <c r="T475" i="5"/>
  <c r="S475" i="5"/>
  <c r="R475" i="5"/>
  <c r="Q475" i="5"/>
  <c r="P475" i="5"/>
  <c r="O475" i="5"/>
  <c r="N475" i="5"/>
  <c r="AD474" i="5"/>
  <c r="AC474" i="5"/>
  <c r="AB474" i="5"/>
  <c r="AA474" i="5"/>
  <c r="Z474" i="5"/>
  <c r="Y474" i="5"/>
  <c r="X474" i="5"/>
  <c r="W474" i="5"/>
  <c r="V474" i="5"/>
  <c r="U474" i="5"/>
  <c r="T474" i="5"/>
  <c r="S474" i="5"/>
  <c r="R474" i="5"/>
  <c r="Q474" i="5"/>
  <c r="P474" i="5"/>
  <c r="O474" i="5"/>
  <c r="N474" i="5"/>
  <c r="AD473" i="5"/>
  <c r="AC473" i="5"/>
  <c r="AB473" i="5"/>
  <c r="AA473" i="5"/>
  <c r="Z473" i="5"/>
  <c r="Y473" i="5"/>
  <c r="X473" i="5"/>
  <c r="W473" i="5"/>
  <c r="V473" i="5"/>
  <c r="U473" i="5"/>
  <c r="T473" i="5"/>
  <c r="S473" i="5"/>
  <c r="R473" i="5"/>
  <c r="Q473" i="5"/>
  <c r="P473" i="5"/>
  <c r="O473" i="5"/>
  <c r="N473" i="5"/>
  <c r="AD472" i="5"/>
  <c r="AC472" i="5"/>
  <c r="AB472" i="5"/>
  <c r="AA472" i="5"/>
  <c r="Z472" i="5"/>
  <c r="Y472" i="5"/>
  <c r="X472" i="5"/>
  <c r="W472" i="5"/>
  <c r="V472" i="5"/>
  <c r="U472" i="5"/>
  <c r="T472" i="5"/>
  <c r="S472" i="5"/>
  <c r="R472" i="5"/>
  <c r="Q472" i="5"/>
  <c r="P472" i="5"/>
  <c r="O472" i="5"/>
  <c r="N472" i="5"/>
  <c r="AD471" i="5"/>
  <c r="AC471" i="5"/>
  <c r="AB471" i="5"/>
  <c r="AA471" i="5"/>
  <c r="Z471" i="5"/>
  <c r="Y471" i="5"/>
  <c r="X471" i="5"/>
  <c r="W471" i="5"/>
  <c r="V471" i="5"/>
  <c r="U471" i="5"/>
  <c r="T471" i="5"/>
  <c r="S471" i="5"/>
  <c r="R471" i="5"/>
  <c r="Q471" i="5"/>
  <c r="P471" i="5"/>
  <c r="O471" i="5"/>
  <c r="N471" i="5"/>
  <c r="AD470" i="5"/>
  <c r="AC470" i="5"/>
  <c r="AB470" i="5"/>
  <c r="AA470" i="5"/>
  <c r="Z470" i="5"/>
  <c r="Y470" i="5"/>
  <c r="X470" i="5"/>
  <c r="W470" i="5"/>
  <c r="V470" i="5"/>
  <c r="U470" i="5"/>
  <c r="T470" i="5"/>
  <c r="S470" i="5"/>
  <c r="R470" i="5"/>
  <c r="Q470" i="5"/>
  <c r="P470" i="5"/>
  <c r="O470" i="5"/>
  <c r="N470" i="5"/>
  <c r="AD469" i="5"/>
  <c r="AC469" i="5"/>
  <c r="AB469" i="5"/>
  <c r="AA469" i="5"/>
  <c r="Z469" i="5"/>
  <c r="Y469" i="5"/>
  <c r="X469" i="5"/>
  <c r="W469" i="5"/>
  <c r="V469" i="5"/>
  <c r="U469" i="5"/>
  <c r="T469" i="5"/>
  <c r="S469" i="5"/>
  <c r="R469" i="5"/>
  <c r="Q469" i="5"/>
  <c r="P469" i="5"/>
  <c r="O469" i="5"/>
  <c r="N469" i="5"/>
  <c r="AD468" i="5"/>
  <c r="AC468" i="5"/>
  <c r="AB468" i="5"/>
  <c r="AA468" i="5"/>
  <c r="Z468" i="5"/>
  <c r="Y468" i="5"/>
  <c r="X468" i="5"/>
  <c r="W468" i="5"/>
  <c r="V468" i="5"/>
  <c r="U468" i="5"/>
  <c r="T468" i="5"/>
  <c r="S468" i="5"/>
  <c r="R468" i="5"/>
  <c r="Q468" i="5"/>
  <c r="P468" i="5"/>
  <c r="O468" i="5"/>
  <c r="N468" i="5"/>
  <c r="AD467" i="5"/>
  <c r="AC467" i="5"/>
  <c r="AB467" i="5"/>
  <c r="AA467" i="5"/>
  <c r="Z467" i="5"/>
  <c r="Y467" i="5"/>
  <c r="X467" i="5"/>
  <c r="W467" i="5"/>
  <c r="V467" i="5"/>
  <c r="U467" i="5"/>
  <c r="T467" i="5"/>
  <c r="S467" i="5"/>
  <c r="R467" i="5"/>
  <c r="Q467" i="5"/>
  <c r="P467" i="5"/>
  <c r="O467" i="5"/>
  <c r="N467" i="5"/>
  <c r="AD466" i="5"/>
  <c r="AC466" i="5"/>
  <c r="AB466" i="5"/>
  <c r="AA466" i="5"/>
  <c r="Z466" i="5"/>
  <c r="Y466" i="5"/>
  <c r="X466" i="5"/>
  <c r="W466" i="5"/>
  <c r="V466" i="5"/>
  <c r="U466" i="5"/>
  <c r="T466" i="5"/>
  <c r="S466" i="5"/>
  <c r="R466" i="5"/>
  <c r="Q466" i="5"/>
  <c r="P466" i="5"/>
  <c r="O466" i="5"/>
  <c r="N466" i="5"/>
  <c r="AD465" i="5"/>
  <c r="AC465" i="5"/>
  <c r="AB465" i="5"/>
  <c r="AA465" i="5"/>
  <c r="Z465" i="5"/>
  <c r="Y465" i="5"/>
  <c r="X465" i="5"/>
  <c r="W465" i="5"/>
  <c r="V465" i="5"/>
  <c r="U465" i="5"/>
  <c r="T465" i="5"/>
  <c r="S465" i="5"/>
  <c r="R465" i="5"/>
  <c r="Q465" i="5"/>
  <c r="P465" i="5"/>
  <c r="O465" i="5"/>
  <c r="N465" i="5"/>
  <c r="AD464" i="5"/>
  <c r="AC464" i="5"/>
  <c r="AB464" i="5"/>
  <c r="AA464" i="5"/>
  <c r="Z464" i="5"/>
  <c r="Y464" i="5"/>
  <c r="X464" i="5"/>
  <c r="W464" i="5"/>
  <c r="V464" i="5"/>
  <c r="U464" i="5"/>
  <c r="T464" i="5"/>
  <c r="S464" i="5"/>
  <c r="R464" i="5"/>
  <c r="Q464" i="5"/>
  <c r="P464" i="5"/>
  <c r="O464" i="5"/>
  <c r="N464" i="5"/>
  <c r="AD463" i="5"/>
  <c r="AC463" i="5"/>
  <c r="AB463" i="5"/>
  <c r="AA463" i="5"/>
  <c r="Z463" i="5"/>
  <c r="Y463" i="5"/>
  <c r="X463" i="5"/>
  <c r="W463" i="5"/>
  <c r="V463" i="5"/>
  <c r="U463" i="5"/>
  <c r="T463" i="5"/>
  <c r="S463" i="5"/>
  <c r="R463" i="5"/>
  <c r="Q463" i="5"/>
  <c r="P463" i="5"/>
  <c r="O463" i="5"/>
  <c r="N463" i="5"/>
  <c r="AD462" i="5"/>
  <c r="AC462" i="5"/>
  <c r="AB462" i="5"/>
  <c r="AA462" i="5"/>
  <c r="Z462" i="5"/>
  <c r="Y462" i="5"/>
  <c r="X462" i="5"/>
  <c r="W462" i="5"/>
  <c r="V462" i="5"/>
  <c r="U462" i="5"/>
  <c r="T462" i="5"/>
  <c r="S462" i="5"/>
  <c r="R462" i="5"/>
  <c r="Q462" i="5"/>
  <c r="P462" i="5"/>
  <c r="O462" i="5"/>
  <c r="N462" i="5"/>
  <c r="AD461" i="5"/>
  <c r="AC461" i="5"/>
  <c r="AB461" i="5"/>
  <c r="AA461" i="5"/>
  <c r="Z461" i="5"/>
  <c r="Y461" i="5"/>
  <c r="X461" i="5"/>
  <c r="W461" i="5"/>
  <c r="V461" i="5"/>
  <c r="U461" i="5"/>
  <c r="T461" i="5"/>
  <c r="S461" i="5"/>
  <c r="R461" i="5"/>
  <c r="Q461" i="5"/>
  <c r="P461" i="5"/>
  <c r="O461" i="5"/>
  <c r="N461" i="5"/>
  <c r="AD460" i="5"/>
  <c r="AC460" i="5"/>
  <c r="AB460" i="5"/>
  <c r="AA460" i="5"/>
  <c r="Z460" i="5"/>
  <c r="Y460" i="5"/>
  <c r="X460" i="5"/>
  <c r="W460" i="5"/>
  <c r="V460" i="5"/>
  <c r="U460" i="5"/>
  <c r="T460" i="5"/>
  <c r="S460" i="5"/>
  <c r="R460" i="5"/>
  <c r="Q460" i="5"/>
  <c r="P460" i="5"/>
  <c r="O460" i="5"/>
  <c r="N460" i="5"/>
  <c r="AD459" i="5"/>
  <c r="AC459" i="5"/>
  <c r="AB459" i="5"/>
  <c r="AA459" i="5"/>
  <c r="Z459" i="5"/>
  <c r="Y459" i="5"/>
  <c r="X459" i="5"/>
  <c r="W459" i="5"/>
  <c r="V459" i="5"/>
  <c r="U459" i="5"/>
  <c r="T459" i="5"/>
  <c r="S459" i="5"/>
  <c r="R459" i="5"/>
  <c r="Q459" i="5"/>
  <c r="P459" i="5"/>
  <c r="O459" i="5"/>
  <c r="N459" i="5"/>
  <c r="AD458" i="5"/>
  <c r="AC458" i="5"/>
  <c r="AB458" i="5"/>
  <c r="AA458" i="5"/>
  <c r="Z458" i="5"/>
  <c r="Y458" i="5"/>
  <c r="X458" i="5"/>
  <c r="W458" i="5"/>
  <c r="V458" i="5"/>
  <c r="U458" i="5"/>
  <c r="T458" i="5"/>
  <c r="S458" i="5"/>
  <c r="R458" i="5"/>
  <c r="Q458" i="5"/>
  <c r="P458" i="5"/>
  <c r="O458" i="5"/>
  <c r="N458" i="5"/>
  <c r="AD457" i="5"/>
  <c r="AC457" i="5"/>
  <c r="AB457" i="5"/>
  <c r="AA457" i="5"/>
  <c r="Z457" i="5"/>
  <c r="Y457" i="5"/>
  <c r="X457" i="5"/>
  <c r="W457" i="5"/>
  <c r="V457" i="5"/>
  <c r="U457" i="5"/>
  <c r="T457" i="5"/>
  <c r="S457" i="5"/>
  <c r="R457" i="5"/>
  <c r="Q457" i="5"/>
  <c r="P457" i="5"/>
  <c r="O457" i="5"/>
  <c r="N457" i="5"/>
  <c r="AD456" i="5"/>
  <c r="AC456" i="5"/>
  <c r="AB456" i="5"/>
  <c r="AA456" i="5"/>
  <c r="Z456" i="5"/>
  <c r="Y456" i="5"/>
  <c r="X456" i="5"/>
  <c r="W456" i="5"/>
  <c r="V456" i="5"/>
  <c r="U456" i="5"/>
  <c r="T456" i="5"/>
  <c r="S456" i="5"/>
  <c r="R456" i="5"/>
  <c r="Q456" i="5"/>
  <c r="P456" i="5"/>
  <c r="O456" i="5"/>
  <c r="N456" i="5"/>
  <c r="AD455" i="5"/>
  <c r="AC455" i="5"/>
  <c r="AB455" i="5"/>
  <c r="AA455" i="5"/>
  <c r="Z455" i="5"/>
  <c r="Y455" i="5"/>
  <c r="X455" i="5"/>
  <c r="W455" i="5"/>
  <c r="V455" i="5"/>
  <c r="U455" i="5"/>
  <c r="T455" i="5"/>
  <c r="S455" i="5"/>
  <c r="R455" i="5"/>
  <c r="Q455" i="5"/>
  <c r="P455" i="5"/>
  <c r="O455" i="5"/>
  <c r="N455" i="5"/>
  <c r="AD454" i="5"/>
  <c r="AC454" i="5"/>
  <c r="AB454" i="5"/>
  <c r="AA454" i="5"/>
  <c r="Z454" i="5"/>
  <c r="Y454" i="5"/>
  <c r="X454" i="5"/>
  <c r="W454" i="5"/>
  <c r="V454" i="5"/>
  <c r="U454" i="5"/>
  <c r="T454" i="5"/>
  <c r="S454" i="5"/>
  <c r="R454" i="5"/>
  <c r="Q454" i="5"/>
  <c r="P454" i="5"/>
  <c r="O454" i="5"/>
  <c r="N454" i="5"/>
  <c r="AD453" i="5"/>
  <c r="AC453" i="5"/>
  <c r="AB453" i="5"/>
  <c r="AA453" i="5"/>
  <c r="Z453" i="5"/>
  <c r="Y453" i="5"/>
  <c r="X453" i="5"/>
  <c r="W453" i="5"/>
  <c r="V453" i="5"/>
  <c r="U453" i="5"/>
  <c r="T453" i="5"/>
  <c r="S453" i="5"/>
  <c r="R453" i="5"/>
  <c r="Q453" i="5"/>
  <c r="P453" i="5"/>
  <c r="O453" i="5"/>
  <c r="N453" i="5"/>
  <c r="AD452" i="5"/>
  <c r="AC452" i="5"/>
  <c r="AB452" i="5"/>
  <c r="AA452" i="5"/>
  <c r="Z452" i="5"/>
  <c r="Y452" i="5"/>
  <c r="X452" i="5"/>
  <c r="W452" i="5"/>
  <c r="V452" i="5"/>
  <c r="U452" i="5"/>
  <c r="T452" i="5"/>
  <c r="S452" i="5"/>
  <c r="R452" i="5"/>
  <c r="Q452" i="5"/>
  <c r="P452" i="5"/>
  <c r="O452" i="5"/>
  <c r="N452" i="5"/>
  <c r="AD451" i="5"/>
  <c r="AC451" i="5"/>
  <c r="AB451" i="5"/>
  <c r="AA451" i="5"/>
  <c r="Z451" i="5"/>
  <c r="Y451" i="5"/>
  <c r="X451" i="5"/>
  <c r="W451" i="5"/>
  <c r="V451" i="5"/>
  <c r="U451" i="5"/>
  <c r="T451" i="5"/>
  <c r="S451" i="5"/>
  <c r="R451" i="5"/>
  <c r="Q451" i="5"/>
  <c r="P451" i="5"/>
  <c r="O451" i="5"/>
  <c r="N451" i="5"/>
  <c r="AD450" i="5"/>
  <c r="AC450" i="5"/>
  <c r="AB450" i="5"/>
  <c r="AA450" i="5"/>
  <c r="Z450" i="5"/>
  <c r="Y450" i="5"/>
  <c r="X450" i="5"/>
  <c r="W450" i="5"/>
  <c r="V450" i="5"/>
  <c r="U450" i="5"/>
  <c r="T450" i="5"/>
  <c r="S450" i="5"/>
  <c r="R450" i="5"/>
  <c r="Q450" i="5"/>
  <c r="P450" i="5"/>
  <c r="O450" i="5"/>
  <c r="N450" i="5"/>
  <c r="AD449" i="5"/>
  <c r="AC449" i="5"/>
  <c r="AB449" i="5"/>
  <c r="AA449" i="5"/>
  <c r="Z449" i="5"/>
  <c r="Y449" i="5"/>
  <c r="X449" i="5"/>
  <c r="W449" i="5"/>
  <c r="V449" i="5"/>
  <c r="U449" i="5"/>
  <c r="T449" i="5"/>
  <c r="S449" i="5"/>
  <c r="R449" i="5"/>
  <c r="Q449" i="5"/>
  <c r="P449" i="5"/>
  <c r="O449" i="5"/>
  <c r="N449" i="5"/>
  <c r="AD448" i="5"/>
  <c r="AC448" i="5"/>
  <c r="AB448" i="5"/>
  <c r="AA448" i="5"/>
  <c r="Z448" i="5"/>
  <c r="Y448" i="5"/>
  <c r="X448" i="5"/>
  <c r="W448" i="5"/>
  <c r="V448" i="5"/>
  <c r="U448" i="5"/>
  <c r="T448" i="5"/>
  <c r="S448" i="5"/>
  <c r="R448" i="5"/>
  <c r="Q448" i="5"/>
  <c r="P448" i="5"/>
  <c r="O448" i="5"/>
  <c r="N448" i="5"/>
  <c r="AD447" i="5"/>
  <c r="AC447" i="5"/>
  <c r="AB447" i="5"/>
  <c r="AA447" i="5"/>
  <c r="Z447" i="5"/>
  <c r="Y447" i="5"/>
  <c r="X447" i="5"/>
  <c r="W447" i="5"/>
  <c r="V447" i="5"/>
  <c r="U447" i="5"/>
  <c r="T447" i="5"/>
  <c r="S447" i="5"/>
  <c r="R447" i="5"/>
  <c r="Q447" i="5"/>
  <c r="P447" i="5"/>
  <c r="O447" i="5"/>
  <c r="N447" i="5"/>
  <c r="AD446" i="5"/>
  <c r="AC446" i="5"/>
  <c r="AB446" i="5"/>
  <c r="AA446" i="5"/>
  <c r="Z446" i="5"/>
  <c r="Y446" i="5"/>
  <c r="X446" i="5"/>
  <c r="W446" i="5"/>
  <c r="V446" i="5"/>
  <c r="U446" i="5"/>
  <c r="T446" i="5"/>
  <c r="S446" i="5"/>
  <c r="R446" i="5"/>
  <c r="Q446" i="5"/>
  <c r="P446" i="5"/>
  <c r="O446" i="5"/>
  <c r="N446" i="5"/>
  <c r="AD445" i="5"/>
  <c r="AC445" i="5"/>
  <c r="AB445" i="5"/>
  <c r="AA445" i="5"/>
  <c r="Z445" i="5"/>
  <c r="Y445" i="5"/>
  <c r="X445" i="5"/>
  <c r="W445" i="5"/>
  <c r="V445" i="5"/>
  <c r="U445" i="5"/>
  <c r="T445" i="5"/>
  <c r="S445" i="5"/>
  <c r="R445" i="5"/>
  <c r="Q445" i="5"/>
  <c r="P445" i="5"/>
  <c r="O445" i="5"/>
  <c r="N445" i="5"/>
  <c r="AD444" i="5"/>
  <c r="AC444" i="5"/>
  <c r="AB444" i="5"/>
  <c r="AA444" i="5"/>
  <c r="Z444" i="5"/>
  <c r="Y444" i="5"/>
  <c r="X444" i="5"/>
  <c r="W444" i="5"/>
  <c r="V444" i="5"/>
  <c r="U444" i="5"/>
  <c r="T444" i="5"/>
  <c r="S444" i="5"/>
  <c r="R444" i="5"/>
  <c r="Q444" i="5"/>
  <c r="P444" i="5"/>
  <c r="O444" i="5"/>
  <c r="N444" i="5"/>
  <c r="AD443" i="5"/>
  <c r="AC443" i="5"/>
  <c r="AB443" i="5"/>
  <c r="AA443" i="5"/>
  <c r="Z443" i="5"/>
  <c r="Y443" i="5"/>
  <c r="X443" i="5"/>
  <c r="W443" i="5"/>
  <c r="V443" i="5"/>
  <c r="U443" i="5"/>
  <c r="T443" i="5"/>
  <c r="S443" i="5"/>
  <c r="R443" i="5"/>
  <c r="Q443" i="5"/>
  <c r="P443" i="5"/>
  <c r="O443" i="5"/>
  <c r="N443" i="5"/>
  <c r="AD442" i="5"/>
  <c r="AC442" i="5"/>
  <c r="AB442" i="5"/>
  <c r="AA442" i="5"/>
  <c r="Z442" i="5"/>
  <c r="Y442" i="5"/>
  <c r="X442" i="5"/>
  <c r="W442" i="5"/>
  <c r="V442" i="5"/>
  <c r="U442" i="5"/>
  <c r="T442" i="5"/>
  <c r="S442" i="5"/>
  <c r="R442" i="5"/>
  <c r="Q442" i="5"/>
  <c r="P442" i="5"/>
  <c r="O442" i="5"/>
  <c r="N442" i="5"/>
  <c r="AD441" i="5"/>
  <c r="AC441" i="5"/>
  <c r="AB441" i="5"/>
  <c r="AA441" i="5"/>
  <c r="Z441" i="5"/>
  <c r="Y441" i="5"/>
  <c r="X441" i="5"/>
  <c r="W441" i="5"/>
  <c r="V441" i="5"/>
  <c r="U441" i="5"/>
  <c r="T441" i="5"/>
  <c r="S441" i="5"/>
  <c r="R441" i="5"/>
  <c r="Q441" i="5"/>
  <c r="P441" i="5"/>
  <c r="O441" i="5"/>
  <c r="N441" i="5"/>
  <c r="AD440" i="5"/>
  <c r="AC440" i="5"/>
  <c r="AB440" i="5"/>
  <c r="AA440" i="5"/>
  <c r="Z440" i="5"/>
  <c r="Y440" i="5"/>
  <c r="X440" i="5"/>
  <c r="W440" i="5"/>
  <c r="V440" i="5"/>
  <c r="U440" i="5"/>
  <c r="T440" i="5"/>
  <c r="S440" i="5"/>
  <c r="R440" i="5"/>
  <c r="Q440" i="5"/>
  <c r="P440" i="5"/>
  <c r="O440" i="5"/>
  <c r="N440" i="5"/>
  <c r="AD439" i="5"/>
  <c r="AC439" i="5"/>
  <c r="AB439" i="5"/>
  <c r="AA439" i="5"/>
  <c r="Z439" i="5"/>
  <c r="Y439" i="5"/>
  <c r="X439" i="5"/>
  <c r="W439" i="5"/>
  <c r="V439" i="5"/>
  <c r="U439" i="5"/>
  <c r="T439" i="5"/>
  <c r="S439" i="5"/>
  <c r="R439" i="5"/>
  <c r="Q439" i="5"/>
  <c r="P439" i="5"/>
  <c r="O439" i="5"/>
  <c r="N439" i="5"/>
  <c r="AD438" i="5"/>
  <c r="AC438" i="5"/>
  <c r="AB438" i="5"/>
  <c r="AA438" i="5"/>
  <c r="Z438" i="5"/>
  <c r="Y438" i="5"/>
  <c r="X438" i="5"/>
  <c r="W438" i="5"/>
  <c r="V438" i="5"/>
  <c r="U438" i="5"/>
  <c r="T438" i="5"/>
  <c r="S438" i="5"/>
  <c r="R438" i="5"/>
  <c r="Q438" i="5"/>
  <c r="P438" i="5"/>
  <c r="O438" i="5"/>
  <c r="N438" i="5"/>
  <c r="AD437" i="5"/>
  <c r="AC437" i="5"/>
  <c r="AB437" i="5"/>
  <c r="AA437" i="5"/>
  <c r="Z437" i="5"/>
  <c r="Y437" i="5"/>
  <c r="X437" i="5"/>
  <c r="W437" i="5"/>
  <c r="V437" i="5"/>
  <c r="U437" i="5"/>
  <c r="T437" i="5"/>
  <c r="S437" i="5"/>
  <c r="R437" i="5"/>
  <c r="Q437" i="5"/>
  <c r="P437" i="5"/>
  <c r="O437" i="5"/>
  <c r="N437" i="5"/>
  <c r="AD436" i="5"/>
  <c r="AC436" i="5"/>
  <c r="AB436" i="5"/>
  <c r="AA436" i="5"/>
  <c r="Z436" i="5"/>
  <c r="Y436" i="5"/>
  <c r="X436" i="5"/>
  <c r="W436" i="5"/>
  <c r="V436" i="5"/>
  <c r="U436" i="5"/>
  <c r="T436" i="5"/>
  <c r="S436" i="5"/>
  <c r="R436" i="5"/>
  <c r="Q436" i="5"/>
  <c r="P436" i="5"/>
  <c r="O436" i="5"/>
  <c r="N436" i="5"/>
  <c r="AD435" i="5"/>
  <c r="AC435" i="5"/>
  <c r="AB435" i="5"/>
  <c r="AA435" i="5"/>
  <c r="Z435" i="5"/>
  <c r="Y435" i="5"/>
  <c r="X435" i="5"/>
  <c r="W435" i="5"/>
  <c r="V435" i="5"/>
  <c r="U435" i="5"/>
  <c r="T435" i="5"/>
  <c r="S435" i="5"/>
  <c r="R435" i="5"/>
  <c r="Q435" i="5"/>
  <c r="P435" i="5"/>
  <c r="O435" i="5"/>
  <c r="N435" i="5"/>
  <c r="AD434" i="5"/>
  <c r="AC434" i="5"/>
  <c r="AB434" i="5"/>
  <c r="AA434" i="5"/>
  <c r="Z434" i="5"/>
  <c r="Y434" i="5"/>
  <c r="X434" i="5"/>
  <c r="W434" i="5"/>
  <c r="V434" i="5"/>
  <c r="U434" i="5"/>
  <c r="T434" i="5"/>
  <c r="S434" i="5"/>
  <c r="R434" i="5"/>
  <c r="Q434" i="5"/>
  <c r="P434" i="5"/>
  <c r="O434" i="5"/>
  <c r="N434" i="5"/>
  <c r="AD433" i="5"/>
  <c r="AC433" i="5"/>
  <c r="AB433" i="5"/>
  <c r="AA433" i="5"/>
  <c r="Z433" i="5"/>
  <c r="Y433" i="5"/>
  <c r="X433" i="5"/>
  <c r="W433" i="5"/>
  <c r="V433" i="5"/>
  <c r="U433" i="5"/>
  <c r="T433" i="5"/>
  <c r="S433" i="5"/>
  <c r="R433" i="5"/>
  <c r="Q433" i="5"/>
  <c r="P433" i="5"/>
  <c r="O433" i="5"/>
  <c r="N433" i="5"/>
  <c r="AD432" i="5"/>
  <c r="AC432" i="5"/>
  <c r="AB432" i="5"/>
  <c r="AA432" i="5"/>
  <c r="Z432" i="5"/>
  <c r="Y432" i="5"/>
  <c r="X432" i="5"/>
  <c r="W432" i="5"/>
  <c r="V432" i="5"/>
  <c r="U432" i="5"/>
  <c r="T432" i="5"/>
  <c r="S432" i="5"/>
  <c r="R432" i="5"/>
  <c r="Q432" i="5"/>
  <c r="P432" i="5"/>
  <c r="O432" i="5"/>
  <c r="N432" i="5"/>
  <c r="AD431" i="5"/>
  <c r="AC431" i="5"/>
  <c r="AB431" i="5"/>
  <c r="AA431" i="5"/>
  <c r="Z431" i="5"/>
  <c r="Y431" i="5"/>
  <c r="X431" i="5"/>
  <c r="W431" i="5"/>
  <c r="V431" i="5"/>
  <c r="U431" i="5"/>
  <c r="T431" i="5"/>
  <c r="S431" i="5"/>
  <c r="R431" i="5"/>
  <c r="Q431" i="5"/>
  <c r="P431" i="5"/>
  <c r="O431" i="5"/>
  <c r="N431" i="5"/>
  <c r="AD430" i="5"/>
  <c r="AC430" i="5"/>
  <c r="AB430" i="5"/>
  <c r="AA430" i="5"/>
  <c r="Z430" i="5"/>
  <c r="Y430" i="5"/>
  <c r="X430" i="5"/>
  <c r="W430" i="5"/>
  <c r="V430" i="5"/>
  <c r="U430" i="5"/>
  <c r="T430" i="5"/>
  <c r="S430" i="5"/>
  <c r="R430" i="5"/>
  <c r="Q430" i="5"/>
  <c r="P430" i="5"/>
  <c r="O430" i="5"/>
  <c r="N430" i="5"/>
  <c r="AD429" i="5"/>
  <c r="AC429" i="5"/>
  <c r="AB429" i="5"/>
  <c r="AA429" i="5"/>
  <c r="Z429" i="5"/>
  <c r="Y429" i="5"/>
  <c r="X429" i="5"/>
  <c r="W429" i="5"/>
  <c r="V429" i="5"/>
  <c r="U429" i="5"/>
  <c r="T429" i="5"/>
  <c r="S429" i="5"/>
  <c r="R429" i="5"/>
  <c r="Q429" i="5"/>
  <c r="P429" i="5"/>
  <c r="O429" i="5"/>
  <c r="N429" i="5"/>
  <c r="AD428" i="5"/>
  <c r="AC428" i="5"/>
  <c r="AB428" i="5"/>
  <c r="AA428" i="5"/>
  <c r="Z428" i="5"/>
  <c r="Y428" i="5"/>
  <c r="X428" i="5"/>
  <c r="W428" i="5"/>
  <c r="V428" i="5"/>
  <c r="U428" i="5"/>
  <c r="T428" i="5"/>
  <c r="S428" i="5"/>
  <c r="R428" i="5"/>
  <c r="Q428" i="5"/>
  <c r="P428" i="5"/>
  <c r="O428" i="5"/>
  <c r="N428" i="5"/>
  <c r="AD427" i="5"/>
  <c r="AC427" i="5"/>
  <c r="AB427" i="5"/>
  <c r="AA427" i="5"/>
  <c r="Z427" i="5"/>
  <c r="Y427" i="5"/>
  <c r="X427" i="5"/>
  <c r="W427" i="5"/>
  <c r="V427" i="5"/>
  <c r="U427" i="5"/>
  <c r="T427" i="5"/>
  <c r="S427" i="5"/>
  <c r="R427" i="5"/>
  <c r="Q427" i="5"/>
  <c r="P427" i="5"/>
  <c r="O427" i="5"/>
  <c r="N427" i="5"/>
  <c r="AD426" i="5"/>
  <c r="AC426" i="5"/>
  <c r="AB426" i="5"/>
  <c r="AA426" i="5"/>
  <c r="Z426" i="5"/>
  <c r="Y426" i="5"/>
  <c r="X426" i="5"/>
  <c r="W426" i="5"/>
  <c r="V426" i="5"/>
  <c r="U426" i="5"/>
  <c r="T426" i="5"/>
  <c r="S426" i="5"/>
  <c r="R426" i="5"/>
  <c r="Q426" i="5"/>
  <c r="P426" i="5"/>
  <c r="O426" i="5"/>
  <c r="N426" i="5"/>
  <c r="AD425" i="5"/>
  <c r="AC425" i="5"/>
  <c r="AB425" i="5"/>
  <c r="AA425" i="5"/>
  <c r="Z425" i="5"/>
  <c r="Y425" i="5"/>
  <c r="X425" i="5"/>
  <c r="W425" i="5"/>
  <c r="V425" i="5"/>
  <c r="U425" i="5"/>
  <c r="T425" i="5"/>
  <c r="S425" i="5"/>
  <c r="R425" i="5"/>
  <c r="Q425" i="5"/>
  <c r="P425" i="5"/>
  <c r="O425" i="5"/>
  <c r="N425" i="5"/>
  <c r="AD424" i="5"/>
  <c r="AC424" i="5"/>
  <c r="AB424" i="5"/>
  <c r="AA424" i="5"/>
  <c r="Z424" i="5"/>
  <c r="Y424" i="5"/>
  <c r="X424" i="5"/>
  <c r="W424" i="5"/>
  <c r="V424" i="5"/>
  <c r="U424" i="5"/>
  <c r="T424" i="5"/>
  <c r="S424" i="5"/>
  <c r="R424" i="5"/>
  <c r="Q424" i="5"/>
  <c r="P424" i="5"/>
  <c r="O424" i="5"/>
  <c r="N424" i="5"/>
  <c r="AD423" i="5"/>
  <c r="AC423" i="5"/>
  <c r="AB423" i="5"/>
  <c r="AA423" i="5"/>
  <c r="Z423" i="5"/>
  <c r="Y423" i="5"/>
  <c r="X423" i="5"/>
  <c r="W423" i="5"/>
  <c r="V423" i="5"/>
  <c r="U423" i="5"/>
  <c r="T423" i="5"/>
  <c r="S423" i="5"/>
  <c r="R423" i="5"/>
  <c r="Q423" i="5"/>
  <c r="P423" i="5"/>
  <c r="O423" i="5"/>
  <c r="N423" i="5"/>
  <c r="AD422" i="5"/>
  <c r="AC422" i="5"/>
  <c r="AB422" i="5"/>
  <c r="AA422" i="5"/>
  <c r="Z422" i="5"/>
  <c r="Y422" i="5"/>
  <c r="X422" i="5"/>
  <c r="W422" i="5"/>
  <c r="V422" i="5"/>
  <c r="U422" i="5"/>
  <c r="T422" i="5"/>
  <c r="S422" i="5"/>
  <c r="R422" i="5"/>
  <c r="Q422" i="5"/>
  <c r="P422" i="5"/>
  <c r="O422" i="5"/>
  <c r="N422" i="5"/>
  <c r="AD421" i="5"/>
  <c r="AC421" i="5"/>
  <c r="AB421" i="5"/>
  <c r="AA421" i="5"/>
  <c r="Z421" i="5"/>
  <c r="Y421" i="5"/>
  <c r="X421" i="5"/>
  <c r="W421" i="5"/>
  <c r="V421" i="5"/>
  <c r="U421" i="5"/>
  <c r="T421" i="5"/>
  <c r="S421" i="5"/>
  <c r="R421" i="5"/>
  <c r="Q421" i="5"/>
  <c r="P421" i="5"/>
  <c r="O421" i="5"/>
  <c r="N421" i="5"/>
  <c r="AD420" i="5"/>
  <c r="AC420" i="5"/>
  <c r="AB420" i="5"/>
  <c r="AA420" i="5"/>
  <c r="Z420" i="5"/>
  <c r="Y420" i="5"/>
  <c r="X420" i="5"/>
  <c r="W420" i="5"/>
  <c r="V420" i="5"/>
  <c r="U420" i="5"/>
  <c r="T420" i="5"/>
  <c r="S420" i="5"/>
  <c r="R420" i="5"/>
  <c r="Q420" i="5"/>
  <c r="P420" i="5"/>
  <c r="O420" i="5"/>
  <c r="N420" i="5"/>
  <c r="AD419" i="5"/>
  <c r="AC419" i="5"/>
  <c r="AB419" i="5"/>
  <c r="AA419" i="5"/>
  <c r="Z419" i="5"/>
  <c r="Y419" i="5"/>
  <c r="X419" i="5"/>
  <c r="W419" i="5"/>
  <c r="V419" i="5"/>
  <c r="U419" i="5"/>
  <c r="T419" i="5"/>
  <c r="S419" i="5"/>
  <c r="R419" i="5"/>
  <c r="Q419" i="5"/>
  <c r="P419" i="5"/>
  <c r="O419" i="5"/>
  <c r="N419" i="5"/>
  <c r="AD418" i="5"/>
  <c r="AC418" i="5"/>
  <c r="AB418" i="5"/>
  <c r="AA418" i="5"/>
  <c r="Z418" i="5"/>
  <c r="Y418" i="5"/>
  <c r="X418" i="5"/>
  <c r="W418" i="5"/>
  <c r="V418" i="5"/>
  <c r="U418" i="5"/>
  <c r="T418" i="5"/>
  <c r="S418" i="5"/>
  <c r="R418" i="5"/>
  <c r="Q418" i="5"/>
  <c r="P418" i="5"/>
  <c r="O418" i="5"/>
  <c r="N418" i="5"/>
  <c r="AD417" i="5"/>
  <c r="AC417" i="5"/>
  <c r="AB417" i="5"/>
  <c r="AA417" i="5"/>
  <c r="Z417" i="5"/>
  <c r="Y417" i="5"/>
  <c r="X417" i="5"/>
  <c r="W417" i="5"/>
  <c r="V417" i="5"/>
  <c r="U417" i="5"/>
  <c r="T417" i="5"/>
  <c r="S417" i="5"/>
  <c r="R417" i="5"/>
  <c r="Q417" i="5"/>
  <c r="P417" i="5"/>
  <c r="O417" i="5"/>
  <c r="N417" i="5"/>
  <c r="AD416" i="5"/>
  <c r="AC416" i="5"/>
  <c r="AB416" i="5"/>
  <c r="AA416" i="5"/>
  <c r="Z416" i="5"/>
  <c r="Y416" i="5"/>
  <c r="X416" i="5"/>
  <c r="W416" i="5"/>
  <c r="V416" i="5"/>
  <c r="U416" i="5"/>
  <c r="T416" i="5"/>
  <c r="S416" i="5"/>
  <c r="R416" i="5"/>
  <c r="Q416" i="5"/>
  <c r="P416" i="5"/>
  <c r="O416" i="5"/>
  <c r="N416" i="5"/>
  <c r="AD415" i="5"/>
  <c r="AC415" i="5"/>
  <c r="AB415" i="5"/>
  <c r="AA415" i="5"/>
  <c r="Z415" i="5"/>
  <c r="Y415" i="5"/>
  <c r="X415" i="5"/>
  <c r="W415" i="5"/>
  <c r="V415" i="5"/>
  <c r="U415" i="5"/>
  <c r="T415" i="5"/>
  <c r="S415" i="5"/>
  <c r="R415" i="5"/>
  <c r="Q415" i="5"/>
  <c r="P415" i="5"/>
  <c r="O415" i="5"/>
  <c r="N415" i="5"/>
  <c r="AD414" i="5"/>
  <c r="AC414" i="5"/>
  <c r="AB414" i="5"/>
  <c r="AA414" i="5"/>
  <c r="Z414" i="5"/>
  <c r="Y414" i="5"/>
  <c r="X414" i="5"/>
  <c r="W414" i="5"/>
  <c r="V414" i="5"/>
  <c r="U414" i="5"/>
  <c r="T414" i="5"/>
  <c r="S414" i="5"/>
  <c r="R414" i="5"/>
  <c r="Q414" i="5"/>
  <c r="P414" i="5"/>
  <c r="O414" i="5"/>
  <c r="N414" i="5"/>
  <c r="AD413" i="5"/>
  <c r="AC413" i="5"/>
  <c r="AB413" i="5"/>
  <c r="AA413" i="5"/>
  <c r="Z413" i="5"/>
  <c r="Y413" i="5"/>
  <c r="X413" i="5"/>
  <c r="W413" i="5"/>
  <c r="V413" i="5"/>
  <c r="U413" i="5"/>
  <c r="T413" i="5"/>
  <c r="S413" i="5"/>
  <c r="R413" i="5"/>
  <c r="Q413" i="5"/>
  <c r="P413" i="5"/>
  <c r="O413" i="5"/>
  <c r="N413" i="5"/>
  <c r="AD412" i="5"/>
  <c r="AC412" i="5"/>
  <c r="AB412" i="5"/>
  <c r="AA412" i="5"/>
  <c r="Z412" i="5"/>
  <c r="Y412" i="5"/>
  <c r="X412" i="5"/>
  <c r="W412" i="5"/>
  <c r="V412" i="5"/>
  <c r="U412" i="5"/>
  <c r="T412" i="5"/>
  <c r="S412" i="5"/>
  <c r="R412" i="5"/>
  <c r="Q412" i="5"/>
  <c r="P412" i="5"/>
  <c r="O412" i="5"/>
  <c r="N412" i="5"/>
  <c r="AD411" i="5"/>
  <c r="AC411" i="5"/>
  <c r="AB411" i="5"/>
  <c r="AA411" i="5"/>
  <c r="Z411" i="5"/>
  <c r="Y411" i="5"/>
  <c r="X411" i="5"/>
  <c r="W411" i="5"/>
  <c r="V411" i="5"/>
  <c r="U411" i="5"/>
  <c r="T411" i="5"/>
  <c r="S411" i="5"/>
  <c r="R411" i="5"/>
  <c r="Q411" i="5"/>
  <c r="P411" i="5"/>
  <c r="O411" i="5"/>
  <c r="N411" i="5"/>
  <c r="AD410" i="5"/>
  <c r="AC410" i="5"/>
  <c r="AB410" i="5"/>
  <c r="AA410" i="5"/>
  <c r="Z410" i="5"/>
  <c r="Y410" i="5"/>
  <c r="X410" i="5"/>
  <c r="W410" i="5"/>
  <c r="V410" i="5"/>
  <c r="U410" i="5"/>
  <c r="T410" i="5"/>
  <c r="S410" i="5"/>
  <c r="R410" i="5"/>
  <c r="Q410" i="5"/>
  <c r="P410" i="5"/>
  <c r="O410" i="5"/>
  <c r="N410" i="5"/>
  <c r="AD409" i="5"/>
  <c r="AC409" i="5"/>
  <c r="AB409" i="5"/>
  <c r="AA409" i="5"/>
  <c r="Z409" i="5"/>
  <c r="Y409" i="5"/>
  <c r="X409" i="5"/>
  <c r="W409" i="5"/>
  <c r="V409" i="5"/>
  <c r="U409" i="5"/>
  <c r="T409" i="5"/>
  <c r="S409" i="5"/>
  <c r="R409" i="5"/>
  <c r="Q409" i="5"/>
  <c r="P409" i="5"/>
  <c r="O409" i="5"/>
  <c r="N409" i="5"/>
  <c r="AD408" i="5"/>
  <c r="AC408" i="5"/>
  <c r="AB408" i="5"/>
  <c r="AA408" i="5"/>
  <c r="Z408" i="5"/>
  <c r="Y408" i="5"/>
  <c r="X408" i="5"/>
  <c r="W408" i="5"/>
  <c r="V408" i="5"/>
  <c r="U408" i="5"/>
  <c r="T408" i="5"/>
  <c r="S408" i="5"/>
  <c r="R408" i="5"/>
  <c r="Q408" i="5"/>
  <c r="P408" i="5"/>
  <c r="O408" i="5"/>
  <c r="N408" i="5"/>
  <c r="AD407" i="5"/>
  <c r="AC407" i="5"/>
  <c r="AB407" i="5"/>
  <c r="AA407" i="5"/>
  <c r="Z407" i="5"/>
  <c r="Y407" i="5"/>
  <c r="X407" i="5"/>
  <c r="W407" i="5"/>
  <c r="V407" i="5"/>
  <c r="U407" i="5"/>
  <c r="T407" i="5"/>
  <c r="S407" i="5"/>
  <c r="R407" i="5"/>
  <c r="Q407" i="5"/>
  <c r="P407" i="5"/>
  <c r="O407" i="5"/>
  <c r="N407" i="5"/>
  <c r="AD406" i="5"/>
  <c r="AC406" i="5"/>
  <c r="AB406" i="5"/>
  <c r="AA406" i="5"/>
  <c r="Z406" i="5"/>
  <c r="Y406" i="5"/>
  <c r="X406" i="5"/>
  <c r="W406" i="5"/>
  <c r="V406" i="5"/>
  <c r="U406" i="5"/>
  <c r="T406" i="5"/>
  <c r="S406" i="5"/>
  <c r="R406" i="5"/>
  <c r="Q406" i="5"/>
  <c r="P406" i="5"/>
  <c r="O406" i="5"/>
  <c r="N406" i="5"/>
  <c r="AD405" i="5"/>
  <c r="AC405" i="5"/>
  <c r="AB405" i="5"/>
  <c r="AA405" i="5"/>
  <c r="Z405" i="5"/>
  <c r="Y405" i="5"/>
  <c r="X405" i="5"/>
  <c r="W405" i="5"/>
  <c r="V405" i="5"/>
  <c r="U405" i="5"/>
  <c r="T405" i="5"/>
  <c r="S405" i="5"/>
  <c r="R405" i="5"/>
  <c r="Q405" i="5"/>
  <c r="P405" i="5"/>
  <c r="O405" i="5"/>
  <c r="N405" i="5"/>
  <c r="AD404" i="5"/>
  <c r="AC404" i="5"/>
  <c r="AB404" i="5"/>
  <c r="AA404" i="5"/>
  <c r="Z404" i="5"/>
  <c r="Y404" i="5"/>
  <c r="X404" i="5"/>
  <c r="W404" i="5"/>
  <c r="V404" i="5"/>
  <c r="U404" i="5"/>
  <c r="T404" i="5"/>
  <c r="S404" i="5"/>
  <c r="R404" i="5"/>
  <c r="Q404" i="5"/>
  <c r="P404" i="5"/>
  <c r="O404" i="5"/>
  <c r="N404" i="5"/>
  <c r="AD403" i="5"/>
  <c r="AC403" i="5"/>
  <c r="AB403" i="5"/>
  <c r="AA403" i="5"/>
  <c r="Z403" i="5"/>
  <c r="Y403" i="5"/>
  <c r="X403" i="5"/>
  <c r="W403" i="5"/>
  <c r="V403" i="5"/>
  <c r="U403" i="5"/>
  <c r="T403" i="5"/>
  <c r="S403" i="5"/>
  <c r="R403" i="5"/>
  <c r="Q403" i="5"/>
  <c r="P403" i="5"/>
  <c r="O403" i="5"/>
  <c r="N403" i="5"/>
  <c r="AD402" i="5"/>
  <c r="AC402" i="5"/>
  <c r="AB402" i="5"/>
  <c r="AA402" i="5"/>
  <c r="Z402" i="5"/>
  <c r="Y402" i="5"/>
  <c r="X402" i="5"/>
  <c r="W402" i="5"/>
  <c r="V402" i="5"/>
  <c r="U402" i="5"/>
  <c r="T402" i="5"/>
  <c r="S402" i="5"/>
  <c r="R402" i="5"/>
  <c r="Q402" i="5"/>
  <c r="P402" i="5"/>
  <c r="O402" i="5"/>
  <c r="N402" i="5"/>
  <c r="AD401" i="5"/>
  <c r="AC401" i="5"/>
  <c r="AB401" i="5"/>
  <c r="AA401" i="5"/>
  <c r="Z401" i="5"/>
  <c r="Y401" i="5"/>
  <c r="X401" i="5"/>
  <c r="W401" i="5"/>
  <c r="V401" i="5"/>
  <c r="U401" i="5"/>
  <c r="T401" i="5"/>
  <c r="S401" i="5"/>
  <c r="R401" i="5"/>
  <c r="Q401" i="5"/>
  <c r="P401" i="5"/>
  <c r="O401" i="5"/>
  <c r="N401" i="5"/>
  <c r="AD400" i="5"/>
  <c r="AC400" i="5"/>
  <c r="AB400" i="5"/>
  <c r="AA400" i="5"/>
  <c r="Z400" i="5"/>
  <c r="Y400" i="5"/>
  <c r="X400" i="5"/>
  <c r="W400" i="5"/>
  <c r="V400" i="5"/>
  <c r="U400" i="5"/>
  <c r="T400" i="5"/>
  <c r="S400" i="5"/>
  <c r="R400" i="5"/>
  <c r="Q400" i="5"/>
  <c r="P400" i="5"/>
  <c r="O400" i="5"/>
  <c r="N400" i="5"/>
  <c r="AD399" i="5"/>
  <c r="AC399" i="5"/>
  <c r="AB399" i="5"/>
  <c r="AA399" i="5"/>
  <c r="Z399" i="5"/>
  <c r="Y399" i="5"/>
  <c r="X399" i="5"/>
  <c r="W399" i="5"/>
  <c r="V399" i="5"/>
  <c r="U399" i="5"/>
  <c r="T399" i="5"/>
  <c r="S399" i="5"/>
  <c r="R399" i="5"/>
  <c r="Q399" i="5"/>
  <c r="P399" i="5"/>
  <c r="O399" i="5"/>
  <c r="N399" i="5"/>
  <c r="AD398" i="5"/>
  <c r="AC398" i="5"/>
  <c r="AB398" i="5"/>
  <c r="AA398" i="5"/>
  <c r="Z398" i="5"/>
  <c r="Y398" i="5"/>
  <c r="X398" i="5"/>
  <c r="W398" i="5"/>
  <c r="V398" i="5"/>
  <c r="U398" i="5"/>
  <c r="T398" i="5"/>
  <c r="S398" i="5"/>
  <c r="R398" i="5"/>
  <c r="Q398" i="5"/>
  <c r="P398" i="5"/>
  <c r="O398" i="5"/>
  <c r="N398" i="5"/>
  <c r="AD397" i="5"/>
  <c r="AC397" i="5"/>
  <c r="AB397" i="5"/>
  <c r="AA397" i="5"/>
  <c r="Z397" i="5"/>
  <c r="Y397" i="5"/>
  <c r="X397" i="5"/>
  <c r="W397" i="5"/>
  <c r="V397" i="5"/>
  <c r="U397" i="5"/>
  <c r="T397" i="5"/>
  <c r="S397" i="5"/>
  <c r="R397" i="5"/>
  <c r="Q397" i="5"/>
  <c r="P397" i="5"/>
  <c r="O397" i="5"/>
  <c r="N397" i="5"/>
  <c r="AD396" i="5"/>
  <c r="AC396" i="5"/>
  <c r="AB396" i="5"/>
  <c r="AA396" i="5"/>
  <c r="Z396" i="5"/>
  <c r="Y396" i="5"/>
  <c r="X396" i="5"/>
  <c r="W396" i="5"/>
  <c r="V396" i="5"/>
  <c r="U396" i="5"/>
  <c r="T396" i="5"/>
  <c r="S396" i="5"/>
  <c r="R396" i="5"/>
  <c r="Q396" i="5"/>
  <c r="P396" i="5"/>
  <c r="O396" i="5"/>
  <c r="N396" i="5"/>
  <c r="AD395" i="5"/>
  <c r="AC395" i="5"/>
  <c r="AB395" i="5"/>
  <c r="AA395" i="5"/>
  <c r="Z395" i="5"/>
  <c r="Y395" i="5"/>
  <c r="X395" i="5"/>
  <c r="W395" i="5"/>
  <c r="V395" i="5"/>
  <c r="U395" i="5"/>
  <c r="T395" i="5"/>
  <c r="S395" i="5"/>
  <c r="R395" i="5"/>
  <c r="Q395" i="5"/>
  <c r="P395" i="5"/>
  <c r="O395" i="5"/>
  <c r="N395" i="5"/>
  <c r="AD394" i="5"/>
  <c r="AC394" i="5"/>
  <c r="AB394" i="5"/>
  <c r="AA394" i="5"/>
  <c r="Z394" i="5"/>
  <c r="Y394" i="5"/>
  <c r="X394" i="5"/>
  <c r="W394" i="5"/>
  <c r="V394" i="5"/>
  <c r="U394" i="5"/>
  <c r="T394" i="5"/>
  <c r="S394" i="5"/>
  <c r="R394" i="5"/>
  <c r="Q394" i="5"/>
  <c r="P394" i="5"/>
  <c r="O394" i="5"/>
  <c r="N394" i="5"/>
  <c r="AD393" i="5"/>
  <c r="AC393" i="5"/>
  <c r="AB393" i="5"/>
  <c r="AA393" i="5"/>
  <c r="Z393" i="5"/>
  <c r="Y393" i="5"/>
  <c r="X393" i="5"/>
  <c r="W393" i="5"/>
  <c r="V393" i="5"/>
  <c r="U393" i="5"/>
  <c r="T393" i="5"/>
  <c r="S393" i="5"/>
  <c r="R393" i="5"/>
  <c r="Q393" i="5"/>
  <c r="P393" i="5"/>
  <c r="O393" i="5"/>
  <c r="N393" i="5"/>
  <c r="AD392" i="5"/>
  <c r="AC392" i="5"/>
  <c r="AB392" i="5"/>
  <c r="AA392" i="5"/>
  <c r="Z392" i="5"/>
  <c r="Y392" i="5"/>
  <c r="X392" i="5"/>
  <c r="W392" i="5"/>
  <c r="V392" i="5"/>
  <c r="U392" i="5"/>
  <c r="T392" i="5"/>
  <c r="S392" i="5"/>
  <c r="R392" i="5"/>
  <c r="Q392" i="5"/>
  <c r="P392" i="5"/>
  <c r="O392" i="5"/>
  <c r="N392" i="5"/>
  <c r="AD391" i="5"/>
  <c r="AC391" i="5"/>
  <c r="AB391" i="5"/>
  <c r="AA391" i="5"/>
  <c r="Z391" i="5"/>
  <c r="Y391" i="5"/>
  <c r="X391" i="5"/>
  <c r="W391" i="5"/>
  <c r="V391" i="5"/>
  <c r="U391" i="5"/>
  <c r="T391" i="5"/>
  <c r="S391" i="5"/>
  <c r="R391" i="5"/>
  <c r="Q391" i="5"/>
  <c r="P391" i="5"/>
  <c r="O391" i="5"/>
  <c r="N391" i="5"/>
  <c r="AD390" i="5"/>
  <c r="AC390" i="5"/>
  <c r="AB390" i="5"/>
  <c r="AA390" i="5"/>
  <c r="Z390" i="5"/>
  <c r="Y390" i="5"/>
  <c r="X390" i="5"/>
  <c r="W390" i="5"/>
  <c r="V390" i="5"/>
  <c r="U390" i="5"/>
  <c r="T390" i="5"/>
  <c r="S390" i="5"/>
  <c r="R390" i="5"/>
  <c r="Q390" i="5"/>
  <c r="P390" i="5"/>
  <c r="O390" i="5"/>
  <c r="N390" i="5"/>
  <c r="AD389" i="5"/>
  <c r="AC389" i="5"/>
  <c r="AB389" i="5"/>
  <c r="AA389" i="5"/>
  <c r="Z389" i="5"/>
  <c r="Y389" i="5"/>
  <c r="X389" i="5"/>
  <c r="W389" i="5"/>
  <c r="V389" i="5"/>
  <c r="U389" i="5"/>
  <c r="T389" i="5"/>
  <c r="S389" i="5"/>
  <c r="R389" i="5"/>
  <c r="Q389" i="5"/>
  <c r="P389" i="5"/>
  <c r="O389" i="5"/>
  <c r="N389" i="5"/>
  <c r="AD388" i="5"/>
  <c r="AC388" i="5"/>
  <c r="AB388" i="5"/>
  <c r="AA388" i="5"/>
  <c r="Z388" i="5"/>
  <c r="Y388" i="5"/>
  <c r="X388" i="5"/>
  <c r="W388" i="5"/>
  <c r="V388" i="5"/>
  <c r="U388" i="5"/>
  <c r="T388" i="5"/>
  <c r="S388" i="5"/>
  <c r="R388" i="5"/>
  <c r="Q388" i="5"/>
  <c r="P388" i="5"/>
  <c r="O388" i="5"/>
  <c r="N388" i="5"/>
  <c r="AD387" i="5"/>
  <c r="AC387" i="5"/>
  <c r="AB387" i="5"/>
  <c r="AA387" i="5"/>
  <c r="Z387" i="5"/>
  <c r="Y387" i="5"/>
  <c r="X387" i="5"/>
  <c r="W387" i="5"/>
  <c r="V387" i="5"/>
  <c r="U387" i="5"/>
  <c r="T387" i="5"/>
  <c r="S387" i="5"/>
  <c r="R387" i="5"/>
  <c r="Q387" i="5"/>
  <c r="P387" i="5"/>
  <c r="O387" i="5"/>
  <c r="N387" i="5"/>
  <c r="AD386" i="5"/>
  <c r="AC386" i="5"/>
  <c r="AB386" i="5"/>
  <c r="AA386" i="5"/>
  <c r="Z386" i="5"/>
  <c r="Y386" i="5"/>
  <c r="X386" i="5"/>
  <c r="W386" i="5"/>
  <c r="V386" i="5"/>
  <c r="U386" i="5"/>
  <c r="T386" i="5"/>
  <c r="S386" i="5"/>
  <c r="R386" i="5"/>
  <c r="Q386" i="5"/>
  <c r="P386" i="5"/>
  <c r="O386" i="5"/>
  <c r="N386" i="5"/>
  <c r="AD385" i="5"/>
  <c r="AC385" i="5"/>
  <c r="AB385" i="5"/>
  <c r="AA385" i="5"/>
  <c r="Z385" i="5"/>
  <c r="Y385" i="5"/>
  <c r="X385" i="5"/>
  <c r="W385" i="5"/>
  <c r="V385" i="5"/>
  <c r="U385" i="5"/>
  <c r="T385" i="5"/>
  <c r="S385" i="5"/>
  <c r="R385" i="5"/>
  <c r="Q385" i="5"/>
  <c r="P385" i="5"/>
  <c r="O385" i="5"/>
  <c r="N385" i="5"/>
  <c r="AD384" i="5"/>
  <c r="AC384" i="5"/>
  <c r="AB384" i="5"/>
  <c r="AA384" i="5"/>
  <c r="Z384" i="5"/>
  <c r="Y384" i="5"/>
  <c r="X384" i="5"/>
  <c r="W384" i="5"/>
  <c r="V384" i="5"/>
  <c r="U384" i="5"/>
  <c r="T384" i="5"/>
  <c r="S384" i="5"/>
  <c r="R384" i="5"/>
  <c r="Q384" i="5"/>
  <c r="P384" i="5"/>
  <c r="O384" i="5"/>
  <c r="N384" i="5"/>
  <c r="AD383" i="5"/>
  <c r="AC383" i="5"/>
  <c r="AB383" i="5"/>
  <c r="AA383" i="5"/>
  <c r="Z383" i="5"/>
  <c r="Y383" i="5"/>
  <c r="X383" i="5"/>
  <c r="W383" i="5"/>
  <c r="V383" i="5"/>
  <c r="U383" i="5"/>
  <c r="T383" i="5"/>
  <c r="S383" i="5"/>
  <c r="R383" i="5"/>
  <c r="Q383" i="5"/>
  <c r="P383" i="5"/>
  <c r="O383" i="5"/>
  <c r="N383" i="5"/>
  <c r="AD382" i="5"/>
  <c r="AC382" i="5"/>
  <c r="AB382" i="5"/>
  <c r="AA382" i="5"/>
  <c r="Z382" i="5"/>
  <c r="Y382" i="5"/>
  <c r="X382" i="5"/>
  <c r="W382" i="5"/>
  <c r="V382" i="5"/>
  <c r="U382" i="5"/>
  <c r="T382" i="5"/>
  <c r="S382" i="5"/>
  <c r="R382" i="5"/>
  <c r="Q382" i="5"/>
  <c r="P382" i="5"/>
  <c r="O382" i="5"/>
  <c r="N382" i="5"/>
  <c r="AD381" i="5"/>
  <c r="AC381" i="5"/>
  <c r="AB381" i="5"/>
  <c r="AA381" i="5"/>
  <c r="Z381" i="5"/>
  <c r="Y381" i="5"/>
  <c r="X381" i="5"/>
  <c r="W381" i="5"/>
  <c r="V381" i="5"/>
  <c r="U381" i="5"/>
  <c r="T381" i="5"/>
  <c r="S381" i="5"/>
  <c r="R381" i="5"/>
  <c r="Q381" i="5"/>
  <c r="P381" i="5"/>
  <c r="O381" i="5"/>
  <c r="N381" i="5"/>
  <c r="AD380" i="5"/>
  <c r="AC380" i="5"/>
  <c r="AB380" i="5"/>
  <c r="AA380" i="5"/>
  <c r="Z380" i="5"/>
  <c r="Y380" i="5"/>
  <c r="X380" i="5"/>
  <c r="W380" i="5"/>
  <c r="V380" i="5"/>
  <c r="U380" i="5"/>
  <c r="T380" i="5"/>
  <c r="S380" i="5"/>
  <c r="R380" i="5"/>
  <c r="Q380" i="5"/>
  <c r="P380" i="5"/>
  <c r="O380" i="5"/>
  <c r="N380" i="5"/>
  <c r="AD379" i="5"/>
  <c r="AC379" i="5"/>
  <c r="AB379" i="5"/>
  <c r="AA379" i="5"/>
  <c r="Z379" i="5"/>
  <c r="Y379" i="5"/>
  <c r="X379" i="5"/>
  <c r="W379" i="5"/>
  <c r="V379" i="5"/>
  <c r="U379" i="5"/>
  <c r="T379" i="5"/>
  <c r="S379" i="5"/>
  <c r="R379" i="5"/>
  <c r="Q379" i="5"/>
  <c r="P379" i="5"/>
  <c r="O379" i="5"/>
  <c r="N379" i="5"/>
  <c r="AD378" i="5"/>
  <c r="AC378" i="5"/>
  <c r="AB378" i="5"/>
  <c r="AA378" i="5"/>
  <c r="Z378" i="5"/>
  <c r="Y378" i="5"/>
  <c r="X378" i="5"/>
  <c r="W378" i="5"/>
  <c r="V378" i="5"/>
  <c r="U378" i="5"/>
  <c r="T378" i="5"/>
  <c r="S378" i="5"/>
  <c r="R378" i="5"/>
  <c r="Q378" i="5"/>
  <c r="P378" i="5"/>
  <c r="O378" i="5"/>
  <c r="N378" i="5"/>
  <c r="AD377" i="5"/>
  <c r="AC377" i="5"/>
  <c r="AB377" i="5"/>
  <c r="AA377" i="5"/>
  <c r="Z377" i="5"/>
  <c r="Y377" i="5"/>
  <c r="X377" i="5"/>
  <c r="W377" i="5"/>
  <c r="V377" i="5"/>
  <c r="U377" i="5"/>
  <c r="T377" i="5"/>
  <c r="S377" i="5"/>
  <c r="R377" i="5"/>
  <c r="Q377" i="5"/>
  <c r="P377" i="5"/>
  <c r="O377" i="5"/>
  <c r="N377" i="5"/>
  <c r="AD376" i="5"/>
  <c r="AC376" i="5"/>
  <c r="AB376" i="5"/>
  <c r="AA376" i="5"/>
  <c r="Z376" i="5"/>
  <c r="Y376" i="5"/>
  <c r="X376" i="5"/>
  <c r="W376" i="5"/>
  <c r="V376" i="5"/>
  <c r="U376" i="5"/>
  <c r="T376" i="5"/>
  <c r="S376" i="5"/>
  <c r="R376" i="5"/>
  <c r="Q376" i="5"/>
  <c r="P376" i="5"/>
  <c r="O376" i="5"/>
  <c r="N376" i="5"/>
  <c r="AD375" i="5"/>
  <c r="AC375" i="5"/>
  <c r="AB375" i="5"/>
  <c r="AA375" i="5"/>
  <c r="Z375" i="5"/>
  <c r="Y375" i="5"/>
  <c r="X375" i="5"/>
  <c r="W375" i="5"/>
  <c r="V375" i="5"/>
  <c r="U375" i="5"/>
  <c r="T375" i="5"/>
  <c r="S375" i="5"/>
  <c r="R375" i="5"/>
  <c r="Q375" i="5"/>
  <c r="P375" i="5"/>
  <c r="O375" i="5"/>
  <c r="N375" i="5"/>
  <c r="AD374" i="5"/>
  <c r="AC374" i="5"/>
  <c r="AB374" i="5"/>
  <c r="AA374" i="5"/>
  <c r="Z374" i="5"/>
  <c r="Y374" i="5"/>
  <c r="X374" i="5"/>
  <c r="W374" i="5"/>
  <c r="V374" i="5"/>
  <c r="U374" i="5"/>
  <c r="T374" i="5"/>
  <c r="S374" i="5"/>
  <c r="R374" i="5"/>
  <c r="Q374" i="5"/>
  <c r="P374" i="5"/>
  <c r="O374" i="5"/>
  <c r="N374" i="5"/>
  <c r="AD373" i="5"/>
  <c r="AC373" i="5"/>
  <c r="AB373" i="5"/>
  <c r="AA373" i="5"/>
  <c r="Z373" i="5"/>
  <c r="Y373" i="5"/>
  <c r="X373" i="5"/>
  <c r="W373" i="5"/>
  <c r="V373" i="5"/>
  <c r="U373" i="5"/>
  <c r="T373" i="5"/>
  <c r="S373" i="5"/>
  <c r="R373" i="5"/>
  <c r="Q373" i="5"/>
  <c r="P373" i="5"/>
  <c r="O373" i="5"/>
  <c r="N373" i="5"/>
  <c r="AD372" i="5"/>
  <c r="AC372" i="5"/>
  <c r="AB372" i="5"/>
  <c r="AA372" i="5"/>
  <c r="Z372" i="5"/>
  <c r="Y372" i="5"/>
  <c r="X372" i="5"/>
  <c r="W372" i="5"/>
  <c r="V372" i="5"/>
  <c r="U372" i="5"/>
  <c r="T372" i="5"/>
  <c r="S372" i="5"/>
  <c r="R372" i="5"/>
  <c r="Q372" i="5"/>
  <c r="P372" i="5"/>
  <c r="O372" i="5"/>
  <c r="N372" i="5"/>
  <c r="AD371" i="5"/>
  <c r="AC371" i="5"/>
  <c r="AB371" i="5"/>
  <c r="AA371" i="5"/>
  <c r="Z371" i="5"/>
  <c r="Y371" i="5"/>
  <c r="X371" i="5"/>
  <c r="W371" i="5"/>
  <c r="V371" i="5"/>
  <c r="U371" i="5"/>
  <c r="T371" i="5"/>
  <c r="S371" i="5"/>
  <c r="R371" i="5"/>
  <c r="Q371" i="5"/>
  <c r="P371" i="5"/>
  <c r="O371" i="5"/>
  <c r="N371" i="5"/>
  <c r="AD370" i="5"/>
  <c r="AC370" i="5"/>
  <c r="AB370" i="5"/>
  <c r="AA370" i="5"/>
  <c r="Z370" i="5"/>
  <c r="Y370" i="5"/>
  <c r="X370" i="5"/>
  <c r="W370" i="5"/>
  <c r="V370" i="5"/>
  <c r="U370" i="5"/>
  <c r="T370" i="5"/>
  <c r="S370" i="5"/>
  <c r="R370" i="5"/>
  <c r="Q370" i="5"/>
  <c r="P370" i="5"/>
  <c r="O370" i="5"/>
  <c r="N370" i="5"/>
  <c r="AD369" i="5"/>
  <c r="AC369" i="5"/>
  <c r="AB369" i="5"/>
  <c r="AA369" i="5"/>
  <c r="Z369" i="5"/>
  <c r="Y369" i="5"/>
  <c r="X369" i="5"/>
  <c r="W369" i="5"/>
  <c r="V369" i="5"/>
  <c r="U369" i="5"/>
  <c r="T369" i="5"/>
  <c r="S369" i="5"/>
  <c r="R369" i="5"/>
  <c r="Q369" i="5"/>
  <c r="P369" i="5"/>
  <c r="O369" i="5"/>
  <c r="N369" i="5"/>
  <c r="AD368" i="5"/>
  <c r="AC368" i="5"/>
  <c r="AB368" i="5"/>
  <c r="AA368" i="5"/>
  <c r="Z368" i="5"/>
  <c r="Y368" i="5"/>
  <c r="X368" i="5"/>
  <c r="W368" i="5"/>
  <c r="V368" i="5"/>
  <c r="U368" i="5"/>
  <c r="T368" i="5"/>
  <c r="S368" i="5"/>
  <c r="R368" i="5"/>
  <c r="Q368" i="5"/>
  <c r="P368" i="5"/>
  <c r="O368" i="5"/>
  <c r="N368" i="5"/>
  <c r="AD367" i="5"/>
  <c r="AC367" i="5"/>
  <c r="AB367" i="5"/>
  <c r="AA367" i="5"/>
  <c r="Z367" i="5"/>
  <c r="Y367" i="5"/>
  <c r="X367" i="5"/>
  <c r="W367" i="5"/>
  <c r="V367" i="5"/>
  <c r="U367" i="5"/>
  <c r="T367" i="5"/>
  <c r="S367" i="5"/>
  <c r="R367" i="5"/>
  <c r="Q367" i="5"/>
  <c r="P367" i="5"/>
  <c r="O367" i="5"/>
  <c r="N367" i="5"/>
  <c r="AD366" i="5"/>
  <c r="AC366" i="5"/>
  <c r="AB366" i="5"/>
  <c r="AA366" i="5"/>
  <c r="Z366" i="5"/>
  <c r="Y366" i="5"/>
  <c r="X366" i="5"/>
  <c r="W366" i="5"/>
  <c r="V366" i="5"/>
  <c r="U366" i="5"/>
  <c r="T366" i="5"/>
  <c r="S366" i="5"/>
  <c r="R366" i="5"/>
  <c r="Q366" i="5"/>
  <c r="P366" i="5"/>
  <c r="O366" i="5"/>
  <c r="N366" i="5"/>
  <c r="AD365" i="5"/>
  <c r="AC365" i="5"/>
  <c r="AB365" i="5"/>
  <c r="AA365" i="5"/>
  <c r="Z365" i="5"/>
  <c r="Y365" i="5"/>
  <c r="X365" i="5"/>
  <c r="W365" i="5"/>
  <c r="V365" i="5"/>
  <c r="U365" i="5"/>
  <c r="T365" i="5"/>
  <c r="S365" i="5"/>
  <c r="R365" i="5"/>
  <c r="Q365" i="5"/>
  <c r="P365" i="5"/>
  <c r="O365" i="5"/>
  <c r="N365" i="5"/>
  <c r="AD364" i="5"/>
  <c r="AC364" i="5"/>
  <c r="AB364" i="5"/>
  <c r="AA364" i="5"/>
  <c r="Z364" i="5"/>
  <c r="Y364" i="5"/>
  <c r="X364" i="5"/>
  <c r="W364" i="5"/>
  <c r="V364" i="5"/>
  <c r="U364" i="5"/>
  <c r="T364" i="5"/>
  <c r="S364" i="5"/>
  <c r="R364" i="5"/>
  <c r="Q364" i="5"/>
  <c r="P364" i="5"/>
  <c r="O364" i="5"/>
  <c r="N364" i="5"/>
  <c r="AD363" i="5"/>
  <c r="AC363" i="5"/>
  <c r="AB363" i="5"/>
  <c r="AA363" i="5"/>
  <c r="Z363" i="5"/>
  <c r="Y363" i="5"/>
  <c r="X363" i="5"/>
  <c r="W363" i="5"/>
  <c r="V363" i="5"/>
  <c r="U363" i="5"/>
  <c r="T363" i="5"/>
  <c r="S363" i="5"/>
  <c r="R363" i="5"/>
  <c r="Q363" i="5"/>
  <c r="P363" i="5"/>
  <c r="O363" i="5"/>
  <c r="N363" i="5"/>
  <c r="AD362" i="5"/>
  <c r="AC362" i="5"/>
  <c r="AB362" i="5"/>
  <c r="AA362" i="5"/>
  <c r="Z362" i="5"/>
  <c r="Y362" i="5"/>
  <c r="X362" i="5"/>
  <c r="W362" i="5"/>
  <c r="V362" i="5"/>
  <c r="U362" i="5"/>
  <c r="T362" i="5"/>
  <c r="S362" i="5"/>
  <c r="R362" i="5"/>
  <c r="Q362" i="5"/>
  <c r="P362" i="5"/>
  <c r="O362" i="5"/>
  <c r="N362" i="5"/>
  <c r="AD361" i="5"/>
  <c r="AC361" i="5"/>
  <c r="AB361" i="5"/>
  <c r="AA361" i="5"/>
  <c r="Z361" i="5"/>
  <c r="Y361" i="5"/>
  <c r="X361" i="5"/>
  <c r="W361" i="5"/>
  <c r="V361" i="5"/>
  <c r="U361" i="5"/>
  <c r="T361" i="5"/>
  <c r="S361" i="5"/>
  <c r="R361" i="5"/>
  <c r="Q361" i="5"/>
  <c r="P361" i="5"/>
  <c r="O361" i="5"/>
  <c r="N361" i="5"/>
  <c r="AD360" i="5"/>
  <c r="AC360" i="5"/>
  <c r="AB360" i="5"/>
  <c r="AA360" i="5"/>
  <c r="Z360" i="5"/>
  <c r="Y360" i="5"/>
  <c r="X360" i="5"/>
  <c r="W360" i="5"/>
  <c r="V360" i="5"/>
  <c r="U360" i="5"/>
  <c r="T360" i="5"/>
  <c r="S360" i="5"/>
  <c r="R360" i="5"/>
  <c r="Q360" i="5"/>
  <c r="P360" i="5"/>
  <c r="O360" i="5"/>
  <c r="N360" i="5"/>
  <c r="AD359" i="5"/>
  <c r="AC359" i="5"/>
  <c r="AB359" i="5"/>
  <c r="AA359" i="5"/>
  <c r="Z359" i="5"/>
  <c r="Y359" i="5"/>
  <c r="X359" i="5"/>
  <c r="W359" i="5"/>
  <c r="V359" i="5"/>
  <c r="U359" i="5"/>
  <c r="T359" i="5"/>
  <c r="S359" i="5"/>
  <c r="R359" i="5"/>
  <c r="Q359" i="5"/>
  <c r="P359" i="5"/>
  <c r="O359" i="5"/>
  <c r="N359" i="5"/>
  <c r="AD358" i="5"/>
  <c r="AC358" i="5"/>
  <c r="AB358" i="5"/>
  <c r="AA358" i="5"/>
  <c r="Z358" i="5"/>
  <c r="Y358" i="5"/>
  <c r="X358" i="5"/>
  <c r="W358" i="5"/>
  <c r="V358" i="5"/>
  <c r="U358" i="5"/>
  <c r="T358" i="5"/>
  <c r="S358" i="5"/>
  <c r="R358" i="5"/>
  <c r="Q358" i="5"/>
  <c r="P358" i="5"/>
  <c r="O358" i="5"/>
  <c r="N358" i="5"/>
  <c r="AD357" i="5"/>
  <c r="AC357" i="5"/>
  <c r="AB357" i="5"/>
  <c r="AA357" i="5"/>
  <c r="Z357" i="5"/>
  <c r="Y357" i="5"/>
  <c r="X357" i="5"/>
  <c r="W357" i="5"/>
  <c r="V357" i="5"/>
  <c r="U357" i="5"/>
  <c r="T357" i="5"/>
  <c r="S357" i="5"/>
  <c r="R357" i="5"/>
  <c r="Q357" i="5"/>
  <c r="P357" i="5"/>
  <c r="O357" i="5"/>
  <c r="N357" i="5"/>
  <c r="AD356" i="5"/>
  <c r="AC356" i="5"/>
  <c r="AB356" i="5"/>
  <c r="AA356" i="5"/>
  <c r="Z356" i="5"/>
  <c r="Y356" i="5"/>
  <c r="X356" i="5"/>
  <c r="W356" i="5"/>
  <c r="V356" i="5"/>
  <c r="U356" i="5"/>
  <c r="T356" i="5"/>
  <c r="S356" i="5"/>
  <c r="R356" i="5"/>
  <c r="Q356" i="5"/>
  <c r="P356" i="5"/>
  <c r="O356" i="5"/>
  <c r="N356" i="5"/>
  <c r="AD355" i="5"/>
  <c r="AC355" i="5"/>
  <c r="AB355" i="5"/>
  <c r="AA355" i="5"/>
  <c r="Z355" i="5"/>
  <c r="Y355" i="5"/>
  <c r="X355" i="5"/>
  <c r="W355" i="5"/>
  <c r="V355" i="5"/>
  <c r="U355" i="5"/>
  <c r="T355" i="5"/>
  <c r="S355" i="5"/>
  <c r="R355" i="5"/>
  <c r="Q355" i="5"/>
  <c r="P355" i="5"/>
  <c r="O355" i="5"/>
  <c r="N355" i="5"/>
  <c r="AD354" i="5"/>
  <c r="AC354" i="5"/>
  <c r="AB354" i="5"/>
  <c r="AA354" i="5"/>
  <c r="Z354" i="5"/>
  <c r="Y354" i="5"/>
  <c r="X354" i="5"/>
  <c r="W354" i="5"/>
  <c r="V354" i="5"/>
  <c r="U354" i="5"/>
  <c r="T354" i="5"/>
  <c r="S354" i="5"/>
  <c r="R354" i="5"/>
  <c r="Q354" i="5"/>
  <c r="P354" i="5"/>
  <c r="O354" i="5"/>
  <c r="N354" i="5"/>
  <c r="AD353" i="5"/>
  <c r="AC353" i="5"/>
  <c r="AB353" i="5"/>
  <c r="AA353" i="5"/>
  <c r="Z353" i="5"/>
  <c r="Y353" i="5"/>
  <c r="X353" i="5"/>
  <c r="W353" i="5"/>
  <c r="V353" i="5"/>
  <c r="U353" i="5"/>
  <c r="T353" i="5"/>
  <c r="S353" i="5"/>
  <c r="R353" i="5"/>
  <c r="Q353" i="5"/>
  <c r="P353" i="5"/>
  <c r="O353" i="5"/>
  <c r="N353" i="5"/>
  <c r="AD352" i="5"/>
  <c r="AC352" i="5"/>
  <c r="AB352" i="5"/>
  <c r="AA352" i="5"/>
  <c r="Z352" i="5"/>
  <c r="Y352" i="5"/>
  <c r="X352" i="5"/>
  <c r="W352" i="5"/>
  <c r="V352" i="5"/>
  <c r="U352" i="5"/>
  <c r="T352" i="5"/>
  <c r="S352" i="5"/>
  <c r="R352" i="5"/>
  <c r="Q352" i="5"/>
  <c r="P352" i="5"/>
  <c r="O352" i="5"/>
  <c r="N352" i="5"/>
  <c r="AD351" i="5"/>
  <c r="AC351" i="5"/>
  <c r="AB351" i="5"/>
  <c r="AA351" i="5"/>
  <c r="Z351" i="5"/>
  <c r="Y351" i="5"/>
  <c r="X351" i="5"/>
  <c r="W351" i="5"/>
  <c r="V351" i="5"/>
  <c r="U351" i="5"/>
  <c r="T351" i="5"/>
  <c r="S351" i="5"/>
  <c r="R351" i="5"/>
  <c r="Q351" i="5"/>
  <c r="P351" i="5"/>
  <c r="O351" i="5"/>
  <c r="N351" i="5"/>
  <c r="AD350" i="5"/>
  <c r="AC350" i="5"/>
  <c r="AB350" i="5"/>
  <c r="AA350" i="5"/>
  <c r="Z350" i="5"/>
  <c r="Y350" i="5"/>
  <c r="X350" i="5"/>
  <c r="W350" i="5"/>
  <c r="V350" i="5"/>
  <c r="U350" i="5"/>
  <c r="T350" i="5"/>
  <c r="S350" i="5"/>
  <c r="R350" i="5"/>
  <c r="Q350" i="5"/>
  <c r="P350" i="5"/>
  <c r="O350" i="5"/>
  <c r="N350" i="5"/>
  <c r="AD349" i="5"/>
  <c r="AC349" i="5"/>
  <c r="AB349" i="5"/>
  <c r="AA349" i="5"/>
  <c r="Z349" i="5"/>
  <c r="Y349" i="5"/>
  <c r="X349" i="5"/>
  <c r="W349" i="5"/>
  <c r="V349" i="5"/>
  <c r="U349" i="5"/>
  <c r="T349" i="5"/>
  <c r="S349" i="5"/>
  <c r="R349" i="5"/>
  <c r="Q349" i="5"/>
  <c r="P349" i="5"/>
  <c r="O349" i="5"/>
  <c r="N349" i="5"/>
  <c r="AD348" i="5"/>
  <c r="AC348" i="5"/>
  <c r="AB348" i="5"/>
  <c r="AA348" i="5"/>
  <c r="Z348" i="5"/>
  <c r="Y348" i="5"/>
  <c r="X348" i="5"/>
  <c r="W348" i="5"/>
  <c r="V348" i="5"/>
  <c r="U348" i="5"/>
  <c r="T348" i="5"/>
  <c r="S348" i="5"/>
  <c r="R348" i="5"/>
  <c r="Q348" i="5"/>
  <c r="P348" i="5"/>
  <c r="O348" i="5"/>
  <c r="N348" i="5"/>
  <c r="AD347" i="5"/>
  <c r="AC347" i="5"/>
  <c r="AB347" i="5"/>
  <c r="AA347" i="5"/>
  <c r="Z347" i="5"/>
  <c r="Y347" i="5"/>
  <c r="X347" i="5"/>
  <c r="W347" i="5"/>
  <c r="V347" i="5"/>
  <c r="U347" i="5"/>
  <c r="T347" i="5"/>
  <c r="S347" i="5"/>
  <c r="R347" i="5"/>
  <c r="Q347" i="5"/>
  <c r="P347" i="5"/>
  <c r="O347" i="5"/>
  <c r="N347" i="5"/>
  <c r="AD346" i="5"/>
  <c r="AC346" i="5"/>
  <c r="AB346" i="5"/>
  <c r="AA346" i="5"/>
  <c r="Z346" i="5"/>
  <c r="Y346" i="5"/>
  <c r="X346" i="5"/>
  <c r="W346" i="5"/>
  <c r="V346" i="5"/>
  <c r="U346" i="5"/>
  <c r="T346" i="5"/>
  <c r="S346" i="5"/>
  <c r="R346" i="5"/>
  <c r="Q346" i="5"/>
  <c r="P346" i="5"/>
  <c r="O346" i="5"/>
  <c r="N346" i="5"/>
  <c r="AD345" i="5"/>
  <c r="AC345" i="5"/>
  <c r="AB345" i="5"/>
  <c r="AA345" i="5"/>
  <c r="Z345" i="5"/>
  <c r="Y345" i="5"/>
  <c r="X345" i="5"/>
  <c r="W345" i="5"/>
  <c r="V345" i="5"/>
  <c r="U345" i="5"/>
  <c r="T345" i="5"/>
  <c r="S345" i="5"/>
  <c r="R345" i="5"/>
  <c r="Q345" i="5"/>
  <c r="P345" i="5"/>
  <c r="O345" i="5"/>
  <c r="N345" i="5"/>
  <c r="AD344" i="5"/>
  <c r="AC344" i="5"/>
  <c r="AB344" i="5"/>
  <c r="AA344" i="5"/>
  <c r="Z344" i="5"/>
  <c r="Y344" i="5"/>
  <c r="X344" i="5"/>
  <c r="W344" i="5"/>
  <c r="V344" i="5"/>
  <c r="U344" i="5"/>
  <c r="T344" i="5"/>
  <c r="S344" i="5"/>
  <c r="R344" i="5"/>
  <c r="Q344" i="5"/>
  <c r="P344" i="5"/>
  <c r="O344" i="5"/>
  <c r="N344" i="5"/>
  <c r="AD343" i="5"/>
  <c r="AC343" i="5"/>
  <c r="AB343" i="5"/>
  <c r="AA343" i="5"/>
  <c r="Z343" i="5"/>
  <c r="Y343" i="5"/>
  <c r="X343" i="5"/>
  <c r="W343" i="5"/>
  <c r="V343" i="5"/>
  <c r="U343" i="5"/>
  <c r="T343" i="5"/>
  <c r="S343" i="5"/>
  <c r="R343" i="5"/>
  <c r="Q343" i="5"/>
  <c r="P343" i="5"/>
  <c r="O343" i="5"/>
  <c r="N343" i="5"/>
  <c r="AD342" i="5"/>
  <c r="AC342" i="5"/>
  <c r="AB342" i="5"/>
  <c r="AA342" i="5"/>
  <c r="Z342" i="5"/>
  <c r="Y342" i="5"/>
  <c r="X342" i="5"/>
  <c r="W342" i="5"/>
  <c r="V342" i="5"/>
  <c r="U342" i="5"/>
  <c r="T342" i="5"/>
  <c r="S342" i="5"/>
  <c r="R342" i="5"/>
  <c r="Q342" i="5"/>
  <c r="P342" i="5"/>
  <c r="O342" i="5"/>
  <c r="N342" i="5"/>
  <c r="AD341" i="5"/>
  <c r="AC341" i="5"/>
  <c r="AB341" i="5"/>
  <c r="AA341" i="5"/>
  <c r="Z341" i="5"/>
  <c r="Y341" i="5"/>
  <c r="X341" i="5"/>
  <c r="W341" i="5"/>
  <c r="V341" i="5"/>
  <c r="U341" i="5"/>
  <c r="T341" i="5"/>
  <c r="S341" i="5"/>
  <c r="R341" i="5"/>
  <c r="Q341" i="5"/>
  <c r="P341" i="5"/>
  <c r="O341" i="5"/>
  <c r="N341" i="5"/>
  <c r="AD340" i="5"/>
  <c r="AC340" i="5"/>
  <c r="AB340" i="5"/>
  <c r="AA340" i="5"/>
  <c r="Z340" i="5"/>
  <c r="Y340" i="5"/>
  <c r="X340" i="5"/>
  <c r="W340" i="5"/>
  <c r="V340" i="5"/>
  <c r="U340" i="5"/>
  <c r="T340" i="5"/>
  <c r="S340" i="5"/>
  <c r="R340" i="5"/>
  <c r="Q340" i="5"/>
  <c r="P340" i="5"/>
  <c r="O340" i="5"/>
  <c r="N340" i="5"/>
  <c r="AD339" i="5"/>
  <c r="AC339" i="5"/>
  <c r="AB339" i="5"/>
  <c r="AA339" i="5"/>
  <c r="Z339" i="5"/>
  <c r="Y339" i="5"/>
  <c r="X339" i="5"/>
  <c r="W339" i="5"/>
  <c r="V339" i="5"/>
  <c r="U339" i="5"/>
  <c r="T339" i="5"/>
  <c r="S339" i="5"/>
  <c r="R339" i="5"/>
  <c r="Q339" i="5"/>
  <c r="P339" i="5"/>
  <c r="O339" i="5"/>
  <c r="N339" i="5"/>
  <c r="AD338" i="5"/>
  <c r="AC338" i="5"/>
  <c r="AB338" i="5"/>
  <c r="AA338" i="5"/>
  <c r="Z338" i="5"/>
  <c r="Y338" i="5"/>
  <c r="X338" i="5"/>
  <c r="W338" i="5"/>
  <c r="V338" i="5"/>
  <c r="U338" i="5"/>
  <c r="T338" i="5"/>
  <c r="S338" i="5"/>
  <c r="R338" i="5"/>
  <c r="Q338" i="5"/>
  <c r="P338" i="5"/>
  <c r="O338" i="5"/>
  <c r="N338" i="5"/>
  <c r="AD337" i="5"/>
  <c r="AC337" i="5"/>
  <c r="AB337" i="5"/>
  <c r="AA337" i="5"/>
  <c r="Z337" i="5"/>
  <c r="Y337" i="5"/>
  <c r="X337" i="5"/>
  <c r="W337" i="5"/>
  <c r="V337" i="5"/>
  <c r="U337" i="5"/>
  <c r="T337" i="5"/>
  <c r="S337" i="5"/>
  <c r="R337" i="5"/>
  <c r="Q337" i="5"/>
  <c r="P337" i="5"/>
  <c r="O337" i="5"/>
  <c r="N337" i="5"/>
  <c r="AD336" i="5"/>
  <c r="AC336" i="5"/>
  <c r="AB336" i="5"/>
  <c r="AA336" i="5"/>
  <c r="Z336" i="5"/>
  <c r="Y336" i="5"/>
  <c r="X336" i="5"/>
  <c r="W336" i="5"/>
  <c r="V336" i="5"/>
  <c r="U336" i="5"/>
  <c r="T336" i="5"/>
  <c r="S336" i="5"/>
  <c r="R336" i="5"/>
  <c r="Q336" i="5"/>
  <c r="P336" i="5"/>
  <c r="O336" i="5"/>
  <c r="N336" i="5"/>
  <c r="AD335" i="5"/>
  <c r="AC335" i="5"/>
  <c r="AB335" i="5"/>
  <c r="AA335" i="5"/>
  <c r="Z335" i="5"/>
  <c r="Y335" i="5"/>
  <c r="X335" i="5"/>
  <c r="W335" i="5"/>
  <c r="V335" i="5"/>
  <c r="U335" i="5"/>
  <c r="T335" i="5"/>
  <c r="S335" i="5"/>
  <c r="R335" i="5"/>
  <c r="Q335" i="5"/>
  <c r="P335" i="5"/>
  <c r="O335" i="5"/>
  <c r="N335" i="5"/>
  <c r="AD334" i="5"/>
  <c r="AC334" i="5"/>
  <c r="AB334" i="5"/>
  <c r="AA334" i="5"/>
  <c r="Z334" i="5"/>
  <c r="Y334" i="5"/>
  <c r="X334" i="5"/>
  <c r="W334" i="5"/>
  <c r="V334" i="5"/>
  <c r="U334" i="5"/>
  <c r="T334" i="5"/>
  <c r="S334" i="5"/>
  <c r="R334" i="5"/>
  <c r="Q334" i="5"/>
  <c r="P334" i="5"/>
  <c r="O334" i="5"/>
  <c r="N334" i="5"/>
  <c r="AD333" i="5"/>
  <c r="AC333" i="5"/>
  <c r="AB333" i="5"/>
  <c r="AA333" i="5"/>
  <c r="Z333" i="5"/>
  <c r="Y333" i="5"/>
  <c r="X333" i="5"/>
  <c r="W333" i="5"/>
  <c r="V333" i="5"/>
  <c r="U333" i="5"/>
  <c r="T333" i="5"/>
  <c r="S333" i="5"/>
  <c r="R333" i="5"/>
  <c r="Q333" i="5"/>
  <c r="P333" i="5"/>
  <c r="O333" i="5"/>
  <c r="N333" i="5"/>
  <c r="AD332" i="5"/>
  <c r="AC332" i="5"/>
  <c r="AB332" i="5"/>
  <c r="AA332" i="5"/>
  <c r="Z332" i="5"/>
  <c r="Y332" i="5"/>
  <c r="X332" i="5"/>
  <c r="W332" i="5"/>
  <c r="V332" i="5"/>
  <c r="U332" i="5"/>
  <c r="T332" i="5"/>
  <c r="S332" i="5"/>
  <c r="R332" i="5"/>
  <c r="Q332" i="5"/>
  <c r="P332" i="5"/>
  <c r="O332" i="5"/>
  <c r="N332" i="5"/>
  <c r="AD331" i="5"/>
  <c r="AC331" i="5"/>
  <c r="AB331" i="5"/>
  <c r="AA331" i="5"/>
  <c r="Z331" i="5"/>
  <c r="Y331" i="5"/>
  <c r="X331" i="5"/>
  <c r="W331" i="5"/>
  <c r="V331" i="5"/>
  <c r="U331" i="5"/>
  <c r="T331" i="5"/>
  <c r="S331" i="5"/>
  <c r="R331" i="5"/>
  <c r="Q331" i="5"/>
  <c r="P331" i="5"/>
  <c r="O331" i="5"/>
  <c r="N331" i="5"/>
  <c r="AD330" i="5"/>
  <c r="AC330" i="5"/>
  <c r="AB330" i="5"/>
  <c r="AA330" i="5"/>
  <c r="Z330" i="5"/>
  <c r="Y330" i="5"/>
  <c r="X330" i="5"/>
  <c r="W330" i="5"/>
  <c r="V330" i="5"/>
  <c r="U330" i="5"/>
  <c r="T330" i="5"/>
  <c r="S330" i="5"/>
  <c r="R330" i="5"/>
  <c r="Q330" i="5"/>
  <c r="P330" i="5"/>
  <c r="O330" i="5"/>
  <c r="N330" i="5"/>
  <c r="AD329" i="5"/>
  <c r="AC329" i="5"/>
  <c r="AB329" i="5"/>
  <c r="AA329" i="5"/>
  <c r="Z329" i="5"/>
  <c r="Y329" i="5"/>
  <c r="X329" i="5"/>
  <c r="W329" i="5"/>
  <c r="V329" i="5"/>
  <c r="U329" i="5"/>
  <c r="T329" i="5"/>
  <c r="S329" i="5"/>
  <c r="R329" i="5"/>
  <c r="Q329" i="5"/>
  <c r="P329" i="5"/>
  <c r="O329" i="5"/>
  <c r="N329" i="5"/>
  <c r="AD328" i="5"/>
  <c r="AC328" i="5"/>
  <c r="AB328" i="5"/>
  <c r="AA328" i="5"/>
  <c r="Z328" i="5"/>
  <c r="Y328" i="5"/>
  <c r="X328" i="5"/>
  <c r="W328" i="5"/>
  <c r="V328" i="5"/>
  <c r="U328" i="5"/>
  <c r="T328" i="5"/>
  <c r="S328" i="5"/>
  <c r="R328" i="5"/>
  <c r="Q328" i="5"/>
  <c r="P328" i="5"/>
  <c r="O328" i="5"/>
  <c r="N328" i="5"/>
  <c r="AD327" i="5"/>
  <c r="AC327" i="5"/>
  <c r="AB327" i="5"/>
  <c r="AA327" i="5"/>
  <c r="Z327" i="5"/>
  <c r="Y327" i="5"/>
  <c r="X327" i="5"/>
  <c r="W327" i="5"/>
  <c r="V327" i="5"/>
  <c r="U327" i="5"/>
  <c r="T327" i="5"/>
  <c r="S327" i="5"/>
  <c r="R327" i="5"/>
  <c r="Q327" i="5"/>
  <c r="P327" i="5"/>
  <c r="O327" i="5"/>
  <c r="N327" i="5"/>
  <c r="AD326" i="5"/>
  <c r="AC326" i="5"/>
  <c r="AB326" i="5"/>
  <c r="AA326" i="5"/>
  <c r="Z326" i="5"/>
  <c r="Y326" i="5"/>
  <c r="X326" i="5"/>
  <c r="W326" i="5"/>
  <c r="V326" i="5"/>
  <c r="U326" i="5"/>
  <c r="T326" i="5"/>
  <c r="S326" i="5"/>
  <c r="R326" i="5"/>
  <c r="Q326" i="5"/>
  <c r="P326" i="5"/>
  <c r="O326" i="5"/>
  <c r="N326" i="5"/>
  <c r="AD325" i="5"/>
  <c r="AC325" i="5"/>
  <c r="AB325" i="5"/>
  <c r="AA325" i="5"/>
  <c r="Z325" i="5"/>
  <c r="Y325" i="5"/>
  <c r="X325" i="5"/>
  <c r="W325" i="5"/>
  <c r="V325" i="5"/>
  <c r="U325" i="5"/>
  <c r="T325" i="5"/>
  <c r="S325" i="5"/>
  <c r="R325" i="5"/>
  <c r="Q325" i="5"/>
  <c r="P325" i="5"/>
  <c r="O325" i="5"/>
  <c r="N325" i="5"/>
  <c r="AD324" i="5"/>
  <c r="AC324" i="5"/>
  <c r="AB324" i="5"/>
  <c r="AA324" i="5"/>
  <c r="Z324" i="5"/>
  <c r="Y324" i="5"/>
  <c r="X324" i="5"/>
  <c r="W324" i="5"/>
  <c r="V324" i="5"/>
  <c r="U324" i="5"/>
  <c r="T324" i="5"/>
  <c r="S324" i="5"/>
  <c r="R324" i="5"/>
  <c r="Q324" i="5"/>
  <c r="P324" i="5"/>
  <c r="O324" i="5"/>
  <c r="N324" i="5"/>
  <c r="AD323" i="5"/>
  <c r="AC323" i="5"/>
  <c r="AB323" i="5"/>
  <c r="AA323" i="5"/>
  <c r="Z323" i="5"/>
  <c r="Y323" i="5"/>
  <c r="X323" i="5"/>
  <c r="W323" i="5"/>
  <c r="V323" i="5"/>
  <c r="U323" i="5"/>
  <c r="T323" i="5"/>
  <c r="S323" i="5"/>
  <c r="R323" i="5"/>
  <c r="Q323" i="5"/>
  <c r="P323" i="5"/>
  <c r="O323" i="5"/>
  <c r="N323" i="5"/>
  <c r="AD322" i="5"/>
  <c r="AC322" i="5"/>
  <c r="AB322" i="5"/>
  <c r="AA322" i="5"/>
  <c r="Z322" i="5"/>
  <c r="Y322" i="5"/>
  <c r="X322" i="5"/>
  <c r="W322" i="5"/>
  <c r="V322" i="5"/>
  <c r="U322" i="5"/>
  <c r="T322" i="5"/>
  <c r="S322" i="5"/>
  <c r="R322" i="5"/>
  <c r="Q322" i="5"/>
  <c r="P322" i="5"/>
  <c r="O322" i="5"/>
  <c r="N322" i="5"/>
  <c r="AD321" i="5"/>
  <c r="AC321" i="5"/>
  <c r="AB321" i="5"/>
  <c r="AA321" i="5"/>
  <c r="Z321" i="5"/>
  <c r="Y321" i="5"/>
  <c r="X321" i="5"/>
  <c r="W321" i="5"/>
  <c r="V321" i="5"/>
  <c r="U321" i="5"/>
  <c r="T321" i="5"/>
  <c r="S321" i="5"/>
  <c r="R321" i="5"/>
  <c r="Q321" i="5"/>
  <c r="P321" i="5"/>
  <c r="O321" i="5"/>
  <c r="N321" i="5"/>
  <c r="AD320" i="5"/>
  <c r="AC320" i="5"/>
  <c r="AB320" i="5"/>
  <c r="AA320" i="5"/>
  <c r="Z320" i="5"/>
  <c r="Y320" i="5"/>
  <c r="X320" i="5"/>
  <c r="W320" i="5"/>
  <c r="V320" i="5"/>
  <c r="U320" i="5"/>
  <c r="T320" i="5"/>
  <c r="S320" i="5"/>
  <c r="R320" i="5"/>
  <c r="Q320" i="5"/>
  <c r="P320" i="5"/>
  <c r="O320" i="5"/>
  <c r="N320" i="5"/>
  <c r="AD319" i="5"/>
  <c r="AC319" i="5"/>
  <c r="AB319" i="5"/>
  <c r="AA319" i="5"/>
  <c r="Z319" i="5"/>
  <c r="Y319" i="5"/>
  <c r="X319" i="5"/>
  <c r="W319" i="5"/>
  <c r="V319" i="5"/>
  <c r="U319" i="5"/>
  <c r="T319" i="5"/>
  <c r="S319" i="5"/>
  <c r="R319" i="5"/>
  <c r="Q319" i="5"/>
  <c r="P319" i="5"/>
  <c r="O319" i="5"/>
  <c r="N319" i="5"/>
  <c r="AD318" i="5"/>
  <c r="AC318" i="5"/>
  <c r="AB318" i="5"/>
  <c r="AA318" i="5"/>
  <c r="Z318" i="5"/>
  <c r="Y318" i="5"/>
  <c r="X318" i="5"/>
  <c r="W318" i="5"/>
  <c r="V318" i="5"/>
  <c r="U318" i="5"/>
  <c r="T318" i="5"/>
  <c r="S318" i="5"/>
  <c r="R318" i="5"/>
  <c r="Q318" i="5"/>
  <c r="P318" i="5"/>
  <c r="O318" i="5"/>
  <c r="N318" i="5"/>
  <c r="AD317" i="5"/>
  <c r="AC317" i="5"/>
  <c r="AB317" i="5"/>
  <c r="AA317" i="5"/>
  <c r="Z317" i="5"/>
  <c r="Y317" i="5"/>
  <c r="X317" i="5"/>
  <c r="W317" i="5"/>
  <c r="V317" i="5"/>
  <c r="U317" i="5"/>
  <c r="T317" i="5"/>
  <c r="S317" i="5"/>
  <c r="R317" i="5"/>
  <c r="Q317" i="5"/>
  <c r="P317" i="5"/>
  <c r="O317" i="5"/>
  <c r="N317" i="5"/>
  <c r="AD316" i="5"/>
  <c r="AC316" i="5"/>
  <c r="AB316" i="5"/>
  <c r="AA316" i="5"/>
  <c r="Z316" i="5"/>
  <c r="Y316" i="5"/>
  <c r="X316" i="5"/>
  <c r="W316" i="5"/>
  <c r="V316" i="5"/>
  <c r="U316" i="5"/>
  <c r="T316" i="5"/>
  <c r="S316" i="5"/>
  <c r="R316" i="5"/>
  <c r="Q316" i="5"/>
  <c r="P316" i="5"/>
  <c r="O316" i="5"/>
  <c r="N316" i="5"/>
  <c r="AD315" i="5"/>
  <c r="AC315" i="5"/>
  <c r="AB315" i="5"/>
  <c r="AA315" i="5"/>
  <c r="Z315" i="5"/>
  <c r="Y315" i="5"/>
  <c r="X315" i="5"/>
  <c r="W315" i="5"/>
  <c r="V315" i="5"/>
  <c r="U315" i="5"/>
  <c r="T315" i="5"/>
  <c r="S315" i="5"/>
  <c r="R315" i="5"/>
  <c r="Q315" i="5"/>
  <c r="P315" i="5"/>
  <c r="O315" i="5"/>
  <c r="N315" i="5"/>
  <c r="AD314" i="5"/>
  <c r="AC314" i="5"/>
  <c r="AB314" i="5"/>
  <c r="AA314" i="5"/>
  <c r="Z314" i="5"/>
  <c r="Y314" i="5"/>
  <c r="X314" i="5"/>
  <c r="W314" i="5"/>
  <c r="V314" i="5"/>
  <c r="U314" i="5"/>
  <c r="T314" i="5"/>
  <c r="S314" i="5"/>
  <c r="R314" i="5"/>
  <c r="Q314" i="5"/>
  <c r="P314" i="5"/>
  <c r="O314" i="5"/>
  <c r="N314" i="5"/>
  <c r="AD313" i="5"/>
  <c r="AC313" i="5"/>
  <c r="AB313" i="5"/>
  <c r="AA313" i="5"/>
  <c r="Z313" i="5"/>
  <c r="Y313" i="5"/>
  <c r="X313" i="5"/>
  <c r="W313" i="5"/>
  <c r="V313" i="5"/>
  <c r="U313" i="5"/>
  <c r="T313" i="5"/>
  <c r="S313" i="5"/>
  <c r="R313" i="5"/>
  <c r="Q313" i="5"/>
  <c r="P313" i="5"/>
  <c r="O313" i="5"/>
  <c r="N313" i="5"/>
  <c r="AD312" i="5"/>
  <c r="AC312" i="5"/>
  <c r="AB312" i="5"/>
  <c r="AA312" i="5"/>
  <c r="Z312" i="5"/>
  <c r="Y312" i="5"/>
  <c r="X312" i="5"/>
  <c r="W312" i="5"/>
  <c r="V312" i="5"/>
  <c r="U312" i="5"/>
  <c r="T312" i="5"/>
  <c r="S312" i="5"/>
  <c r="R312" i="5"/>
  <c r="Q312" i="5"/>
  <c r="P312" i="5"/>
  <c r="O312" i="5"/>
  <c r="N312" i="5"/>
  <c r="AD311" i="5"/>
  <c r="AC311" i="5"/>
  <c r="AB311" i="5"/>
  <c r="AA311" i="5"/>
  <c r="Z311" i="5"/>
  <c r="Y311" i="5"/>
  <c r="X311" i="5"/>
  <c r="W311" i="5"/>
  <c r="V311" i="5"/>
  <c r="U311" i="5"/>
  <c r="T311" i="5"/>
  <c r="S311" i="5"/>
  <c r="R311" i="5"/>
  <c r="Q311" i="5"/>
  <c r="P311" i="5"/>
  <c r="O311" i="5"/>
  <c r="N311" i="5"/>
  <c r="AD310" i="5"/>
  <c r="AC310" i="5"/>
  <c r="AB310" i="5"/>
  <c r="AA310" i="5"/>
  <c r="Z310" i="5"/>
  <c r="Y310" i="5"/>
  <c r="X310" i="5"/>
  <c r="W310" i="5"/>
  <c r="V310" i="5"/>
  <c r="U310" i="5"/>
  <c r="T310" i="5"/>
  <c r="S310" i="5"/>
  <c r="R310" i="5"/>
  <c r="Q310" i="5"/>
  <c r="P310" i="5"/>
  <c r="O310" i="5"/>
  <c r="N310" i="5"/>
  <c r="AD309" i="5"/>
  <c r="AC309" i="5"/>
  <c r="AB309" i="5"/>
  <c r="AA309" i="5"/>
  <c r="Z309" i="5"/>
  <c r="Y309" i="5"/>
  <c r="X309" i="5"/>
  <c r="W309" i="5"/>
  <c r="V309" i="5"/>
  <c r="U309" i="5"/>
  <c r="T309" i="5"/>
  <c r="S309" i="5"/>
  <c r="R309" i="5"/>
  <c r="Q309" i="5"/>
  <c r="P309" i="5"/>
  <c r="O309" i="5"/>
  <c r="N309" i="5"/>
  <c r="AD308" i="5"/>
  <c r="AC308" i="5"/>
  <c r="AB308" i="5"/>
  <c r="AA308" i="5"/>
  <c r="Z308" i="5"/>
  <c r="Y308" i="5"/>
  <c r="X308" i="5"/>
  <c r="W308" i="5"/>
  <c r="V308" i="5"/>
  <c r="U308" i="5"/>
  <c r="T308" i="5"/>
  <c r="S308" i="5"/>
  <c r="R308" i="5"/>
  <c r="Q308" i="5"/>
  <c r="P308" i="5"/>
  <c r="O308" i="5"/>
  <c r="N308" i="5"/>
  <c r="AD307" i="5"/>
  <c r="AC307" i="5"/>
  <c r="AB307" i="5"/>
  <c r="AA307" i="5"/>
  <c r="Z307" i="5"/>
  <c r="Y307" i="5"/>
  <c r="X307" i="5"/>
  <c r="W307" i="5"/>
  <c r="V307" i="5"/>
  <c r="U307" i="5"/>
  <c r="T307" i="5"/>
  <c r="S307" i="5"/>
  <c r="R307" i="5"/>
  <c r="Q307" i="5"/>
  <c r="P307" i="5"/>
  <c r="O307" i="5"/>
  <c r="N307" i="5"/>
  <c r="AD306" i="5"/>
  <c r="AC306" i="5"/>
  <c r="AB306" i="5"/>
  <c r="AA306" i="5"/>
  <c r="Z306" i="5"/>
  <c r="Y306" i="5"/>
  <c r="X306" i="5"/>
  <c r="W306" i="5"/>
  <c r="V306" i="5"/>
  <c r="U306" i="5"/>
  <c r="T306" i="5"/>
  <c r="S306" i="5"/>
  <c r="R306" i="5"/>
  <c r="Q306" i="5"/>
  <c r="P306" i="5"/>
  <c r="O306" i="5"/>
  <c r="N306" i="5"/>
  <c r="AD305" i="5"/>
  <c r="AC305" i="5"/>
  <c r="AB305" i="5"/>
  <c r="AA305" i="5"/>
  <c r="Z305" i="5"/>
  <c r="Y305" i="5"/>
  <c r="X305" i="5"/>
  <c r="W305" i="5"/>
  <c r="V305" i="5"/>
  <c r="U305" i="5"/>
  <c r="T305" i="5"/>
  <c r="S305" i="5"/>
  <c r="R305" i="5"/>
  <c r="Q305" i="5"/>
  <c r="P305" i="5"/>
  <c r="O305" i="5"/>
  <c r="N305" i="5"/>
  <c r="AD304" i="5"/>
  <c r="AC304" i="5"/>
  <c r="AB304" i="5"/>
  <c r="AA304" i="5"/>
  <c r="Z304" i="5"/>
  <c r="Y304" i="5"/>
  <c r="X304" i="5"/>
  <c r="W304" i="5"/>
  <c r="V304" i="5"/>
  <c r="U304" i="5"/>
  <c r="T304" i="5"/>
  <c r="S304" i="5"/>
  <c r="R304" i="5"/>
  <c r="Q304" i="5"/>
  <c r="P304" i="5"/>
  <c r="O304" i="5"/>
  <c r="N304" i="5"/>
  <c r="AD303" i="5"/>
  <c r="AC303" i="5"/>
  <c r="AB303" i="5"/>
  <c r="AA303" i="5"/>
  <c r="Z303" i="5"/>
  <c r="Y303" i="5"/>
  <c r="X303" i="5"/>
  <c r="W303" i="5"/>
  <c r="V303" i="5"/>
  <c r="U303" i="5"/>
  <c r="T303" i="5"/>
  <c r="S303" i="5"/>
  <c r="R303" i="5"/>
  <c r="Q303" i="5"/>
  <c r="P303" i="5"/>
  <c r="O303" i="5"/>
  <c r="N303" i="5"/>
  <c r="AD302" i="5"/>
  <c r="AC302" i="5"/>
  <c r="AB302" i="5"/>
  <c r="AA302" i="5"/>
  <c r="Z302" i="5"/>
  <c r="Y302" i="5"/>
  <c r="X302" i="5"/>
  <c r="W302" i="5"/>
  <c r="V302" i="5"/>
  <c r="U302" i="5"/>
  <c r="T302" i="5"/>
  <c r="S302" i="5"/>
  <c r="R302" i="5"/>
  <c r="Q302" i="5"/>
  <c r="P302" i="5"/>
  <c r="O302" i="5"/>
  <c r="N302" i="5"/>
  <c r="AD301" i="5"/>
  <c r="AC301" i="5"/>
  <c r="AB301" i="5"/>
  <c r="AA301" i="5"/>
  <c r="Z301" i="5"/>
  <c r="Y301" i="5"/>
  <c r="X301" i="5"/>
  <c r="W301" i="5"/>
  <c r="V301" i="5"/>
  <c r="U301" i="5"/>
  <c r="T301" i="5"/>
  <c r="S301" i="5"/>
  <c r="R301" i="5"/>
  <c r="Q301" i="5"/>
  <c r="P301" i="5"/>
  <c r="O301" i="5"/>
  <c r="N301" i="5"/>
  <c r="AD300" i="5"/>
  <c r="AC300" i="5"/>
  <c r="AB300" i="5"/>
  <c r="AA300" i="5"/>
  <c r="Z300" i="5"/>
  <c r="Y300" i="5"/>
  <c r="X300" i="5"/>
  <c r="W300" i="5"/>
  <c r="V300" i="5"/>
  <c r="U300" i="5"/>
  <c r="T300" i="5"/>
  <c r="S300" i="5"/>
  <c r="R300" i="5"/>
  <c r="Q300" i="5"/>
  <c r="P300" i="5"/>
  <c r="O300" i="5"/>
  <c r="N300" i="5"/>
  <c r="AD299" i="5"/>
  <c r="AC299" i="5"/>
  <c r="AB299" i="5"/>
  <c r="AA299" i="5"/>
  <c r="Z299" i="5"/>
  <c r="Y299" i="5"/>
  <c r="X299" i="5"/>
  <c r="W299" i="5"/>
  <c r="V299" i="5"/>
  <c r="U299" i="5"/>
  <c r="T299" i="5"/>
  <c r="S299" i="5"/>
  <c r="R299" i="5"/>
  <c r="Q299" i="5"/>
  <c r="P299" i="5"/>
  <c r="O299" i="5"/>
  <c r="N299" i="5"/>
  <c r="AD298" i="5"/>
  <c r="AC298" i="5"/>
  <c r="AB298" i="5"/>
  <c r="AA298" i="5"/>
  <c r="Z298" i="5"/>
  <c r="Y298" i="5"/>
  <c r="X298" i="5"/>
  <c r="W298" i="5"/>
  <c r="V298" i="5"/>
  <c r="U298" i="5"/>
  <c r="T298" i="5"/>
  <c r="S298" i="5"/>
  <c r="R298" i="5"/>
  <c r="Q298" i="5"/>
  <c r="P298" i="5"/>
  <c r="O298" i="5"/>
  <c r="N298" i="5"/>
  <c r="AD297" i="5"/>
  <c r="AC297" i="5"/>
  <c r="AB297" i="5"/>
  <c r="AA297" i="5"/>
  <c r="Z297" i="5"/>
  <c r="Y297" i="5"/>
  <c r="X297" i="5"/>
  <c r="W297" i="5"/>
  <c r="V297" i="5"/>
  <c r="U297" i="5"/>
  <c r="T297" i="5"/>
  <c r="S297" i="5"/>
  <c r="R297" i="5"/>
  <c r="Q297" i="5"/>
  <c r="P297" i="5"/>
  <c r="O297" i="5"/>
  <c r="N297" i="5"/>
  <c r="AD296" i="5"/>
  <c r="AC296" i="5"/>
  <c r="AB296" i="5"/>
  <c r="AA296" i="5"/>
  <c r="Z296" i="5"/>
  <c r="Y296" i="5"/>
  <c r="X296" i="5"/>
  <c r="W296" i="5"/>
  <c r="V296" i="5"/>
  <c r="U296" i="5"/>
  <c r="T296" i="5"/>
  <c r="S296" i="5"/>
  <c r="R296" i="5"/>
  <c r="Q296" i="5"/>
  <c r="P296" i="5"/>
  <c r="O296" i="5"/>
  <c r="N296" i="5"/>
  <c r="AD295" i="5"/>
  <c r="AC295" i="5"/>
  <c r="AB295" i="5"/>
  <c r="AA295" i="5"/>
  <c r="Z295" i="5"/>
  <c r="Y295" i="5"/>
  <c r="X295" i="5"/>
  <c r="W295" i="5"/>
  <c r="V295" i="5"/>
  <c r="U295" i="5"/>
  <c r="T295" i="5"/>
  <c r="S295" i="5"/>
  <c r="R295" i="5"/>
  <c r="Q295" i="5"/>
  <c r="P295" i="5"/>
  <c r="O295" i="5"/>
  <c r="N295" i="5"/>
  <c r="AD294" i="5"/>
  <c r="AC294" i="5"/>
  <c r="AB294" i="5"/>
  <c r="AA294" i="5"/>
  <c r="Z294" i="5"/>
  <c r="Y294" i="5"/>
  <c r="X294" i="5"/>
  <c r="W294" i="5"/>
  <c r="V294" i="5"/>
  <c r="U294" i="5"/>
  <c r="T294" i="5"/>
  <c r="S294" i="5"/>
  <c r="R294" i="5"/>
  <c r="Q294" i="5"/>
  <c r="P294" i="5"/>
  <c r="O294" i="5"/>
  <c r="N294" i="5"/>
  <c r="AD293" i="5"/>
  <c r="AC293" i="5"/>
  <c r="AB293" i="5"/>
  <c r="AA293" i="5"/>
  <c r="Z293" i="5"/>
  <c r="Y293" i="5"/>
  <c r="X293" i="5"/>
  <c r="W293" i="5"/>
  <c r="V293" i="5"/>
  <c r="U293" i="5"/>
  <c r="T293" i="5"/>
  <c r="S293" i="5"/>
  <c r="R293" i="5"/>
  <c r="Q293" i="5"/>
  <c r="P293" i="5"/>
  <c r="O293" i="5"/>
  <c r="N293" i="5"/>
  <c r="AD292" i="5"/>
  <c r="AC292" i="5"/>
  <c r="AB292" i="5"/>
  <c r="AA292" i="5"/>
  <c r="Z292" i="5"/>
  <c r="Y292" i="5"/>
  <c r="X292" i="5"/>
  <c r="W292" i="5"/>
  <c r="V292" i="5"/>
  <c r="U292" i="5"/>
  <c r="T292" i="5"/>
  <c r="S292" i="5"/>
  <c r="R292" i="5"/>
  <c r="Q292" i="5"/>
  <c r="P292" i="5"/>
  <c r="O292" i="5"/>
  <c r="N292" i="5"/>
  <c r="AD291" i="5"/>
  <c r="AC291" i="5"/>
  <c r="AB291" i="5"/>
  <c r="AA291" i="5"/>
  <c r="Z291" i="5"/>
  <c r="Y291" i="5"/>
  <c r="X291" i="5"/>
  <c r="W291" i="5"/>
  <c r="V291" i="5"/>
  <c r="U291" i="5"/>
  <c r="T291" i="5"/>
  <c r="S291" i="5"/>
  <c r="R291" i="5"/>
  <c r="Q291" i="5"/>
  <c r="P291" i="5"/>
  <c r="O291" i="5"/>
  <c r="N291" i="5"/>
  <c r="AD290" i="5"/>
  <c r="AC290" i="5"/>
  <c r="AB290" i="5"/>
  <c r="AA290" i="5"/>
  <c r="Z290" i="5"/>
  <c r="Y290" i="5"/>
  <c r="X290" i="5"/>
  <c r="W290" i="5"/>
  <c r="V290" i="5"/>
  <c r="U290" i="5"/>
  <c r="T290" i="5"/>
  <c r="S290" i="5"/>
  <c r="R290" i="5"/>
  <c r="Q290" i="5"/>
  <c r="P290" i="5"/>
  <c r="O290" i="5"/>
  <c r="N290" i="5"/>
  <c r="AD289" i="5"/>
  <c r="AC289" i="5"/>
  <c r="AB289" i="5"/>
  <c r="AA289" i="5"/>
  <c r="Z289" i="5"/>
  <c r="Y289" i="5"/>
  <c r="X289" i="5"/>
  <c r="W289" i="5"/>
  <c r="V289" i="5"/>
  <c r="U289" i="5"/>
  <c r="T289" i="5"/>
  <c r="S289" i="5"/>
  <c r="R289" i="5"/>
  <c r="Q289" i="5"/>
  <c r="P289" i="5"/>
  <c r="O289" i="5"/>
  <c r="N289" i="5"/>
  <c r="AD288" i="5"/>
  <c r="AC288" i="5"/>
  <c r="AB288" i="5"/>
  <c r="AA288" i="5"/>
  <c r="Z288" i="5"/>
  <c r="Y288" i="5"/>
  <c r="X288" i="5"/>
  <c r="W288" i="5"/>
  <c r="V288" i="5"/>
  <c r="U288" i="5"/>
  <c r="T288" i="5"/>
  <c r="S288" i="5"/>
  <c r="R288" i="5"/>
  <c r="Q288" i="5"/>
  <c r="P288" i="5"/>
  <c r="O288" i="5"/>
  <c r="N288" i="5"/>
  <c r="AD287" i="5"/>
  <c r="AC287" i="5"/>
  <c r="AB287" i="5"/>
  <c r="AA287" i="5"/>
  <c r="Z287" i="5"/>
  <c r="Y287" i="5"/>
  <c r="X287" i="5"/>
  <c r="W287" i="5"/>
  <c r="V287" i="5"/>
  <c r="U287" i="5"/>
  <c r="T287" i="5"/>
  <c r="S287" i="5"/>
  <c r="R287" i="5"/>
  <c r="Q287" i="5"/>
  <c r="P287" i="5"/>
  <c r="O287" i="5"/>
  <c r="N287" i="5"/>
  <c r="AD286" i="5"/>
  <c r="AC286" i="5"/>
  <c r="AB286" i="5"/>
  <c r="AA286" i="5"/>
  <c r="Z286" i="5"/>
  <c r="Y286" i="5"/>
  <c r="X286" i="5"/>
  <c r="W286" i="5"/>
  <c r="V286" i="5"/>
  <c r="U286" i="5"/>
  <c r="T286" i="5"/>
  <c r="S286" i="5"/>
  <c r="R286" i="5"/>
  <c r="Q286" i="5"/>
  <c r="P286" i="5"/>
  <c r="O286" i="5"/>
  <c r="N286" i="5"/>
  <c r="AD285" i="5"/>
  <c r="AC285" i="5"/>
  <c r="AB285" i="5"/>
  <c r="AA285" i="5"/>
  <c r="Z285" i="5"/>
  <c r="Y285" i="5"/>
  <c r="X285" i="5"/>
  <c r="W285" i="5"/>
  <c r="V285" i="5"/>
  <c r="U285" i="5"/>
  <c r="T285" i="5"/>
  <c r="S285" i="5"/>
  <c r="R285" i="5"/>
  <c r="Q285" i="5"/>
  <c r="P285" i="5"/>
  <c r="O285" i="5"/>
  <c r="N285" i="5"/>
  <c r="AD284" i="5"/>
  <c r="AC284" i="5"/>
  <c r="AB284" i="5"/>
  <c r="AA284" i="5"/>
  <c r="Z284" i="5"/>
  <c r="Y284" i="5"/>
  <c r="X284" i="5"/>
  <c r="W284" i="5"/>
  <c r="V284" i="5"/>
  <c r="U284" i="5"/>
  <c r="T284" i="5"/>
  <c r="S284" i="5"/>
  <c r="R284" i="5"/>
  <c r="Q284" i="5"/>
  <c r="P284" i="5"/>
  <c r="O284" i="5"/>
  <c r="N284" i="5"/>
  <c r="AD283" i="5"/>
  <c r="AC283" i="5"/>
  <c r="AB283" i="5"/>
  <c r="AA283" i="5"/>
  <c r="Z283" i="5"/>
  <c r="Y283" i="5"/>
  <c r="X283" i="5"/>
  <c r="W283" i="5"/>
  <c r="V283" i="5"/>
  <c r="U283" i="5"/>
  <c r="T283" i="5"/>
  <c r="S283" i="5"/>
  <c r="R283" i="5"/>
  <c r="Q283" i="5"/>
  <c r="P283" i="5"/>
  <c r="O283" i="5"/>
  <c r="N283" i="5"/>
  <c r="AD282" i="5"/>
  <c r="AC282" i="5"/>
  <c r="AB282" i="5"/>
  <c r="AA282" i="5"/>
  <c r="Z282" i="5"/>
  <c r="Y282" i="5"/>
  <c r="X282" i="5"/>
  <c r="W282" i="5"/>
  <c r="V282" i="5"/>
  <c r="U282" i="5"/>
  <c r="T282" i="5"/>
  <c r="S282" i="5"/>
  <c r="R282" i="5"/>
  <c r="Q282" i="5"/>
  <c r="P282" i="5"/>
  <c r="O282" i="5"/>
  <c r="N282" i="5"/>
  <c r="AD281" i="5"/>
  <c r="AC281" i="5"/>
  <c r="AB281" i="5"/>
  <c r="AA281" i="5"/>
  <c r="Z281" i="5"/>
  <c r="Y281" i="5"/>
  <c r="X281" i="5"/>
  <c r="W281" i="5"/>
  <c r="V281" i="5"/>
  <c r="U281" i="5"/>
  <c r="T281" i="5"/>
  <c r="S281" i="5"/>
  <c r="R281" i="5"/>
  <c r="Q281" i="5"/>
  <c r="P281" i="5"/>
  <c r="O281" i="5"/>
  <c r="N281" i="5"/>
  <c r="AD280" i="5"/>
  <c r="AC280" i="5"/>
  <c r="AB280" i="5"/>
  <c r="AA280" i="5"/>
  <c r="Z280" i="5"/>
  <c r="Y280" i="5"/>
  <c r="X280" i="5"/>
  <c r="W280" i="5"/>
  <c r="V280" i="5"/>
  <c r="U280" i="5"/>
  <c r="T280" i="5"/>
  <c r="S280" i="5"/>
  <c r="R280" i="5"/>
  <c r="Q280" i="5"/>
  <c r="P280" i="5"/>
  <c r="O280" i="5"/>
  <c r="N280" i="5"/>
  <c r="AD279" i="5"/>
  <c r="AC279" i="5"/>
  <c r="AB279" i="5"/>
  <c r="AA279" i="5"/>
  <c r="Z279" i="5"/>
  <c r="Y279" i="5"/>
  <c r="X279" i="5"/>
  <c r="W279" i="5"/>
  <c r="V279" i="5"/>
  <c r="U279" i="5"/>
  <c r="T279" i="5"/>
  <c r="S279" i="5"/>
  <c r="R279" i="5"/>
  <c r="Q279" i="5"/>
  <c r="P279" i="5"/>
  <c r="O279" i="5"/>
  <c r="N279" i="5"/>
  <c r="AD278" i="5"/>
  <c r="AC278" i="5"/>
  <c r="AB278" i="5"/>
  <c r="AA278" i="5"/>
  <c r="Z278" i="5"/>
  <c r="Y278" i="5"/>
  <c r="X278" i="5"/>
  <c r="W278" i="5"/>
  <c r="V278" i="5"/>
  <c r="U278" i="5"/>
  <c r="T278" i="5"/>
  <c r="S278" i="5"/>
  <c r="R278" i="5"/>
  <c r="Q278" i="5"/>
  <c r="P278" i="5"/>
  <c r="O278" i="5"/>
  <c r="N278" i="5"/>
  <c r="AD277" i="5"/>
  <c r="AC277" i="5"/>
  <c r="AB277" i="5"/>
  <c r="AA277" i="5"/>
  <c r="Z277" i="5"/>
  <c r="Y277" i="5"/>
  <c r="X277" i="5"/>
  <c r="W277" i="5"/>
  <c r="V277" i="5"/>
  <c r="U277" i="5"/>
  <c r="T277" i="5"/>
  <c r="S277" i="5"/>
  <c r="R277" i="5"/>
  <c r="Q277" i="5"/>
  <c r="P277" i="5"/>
  <c r="O277" i="5"/>
  <c r="N277" i="5"/>
  <c r="AD276" i="5"/>
  <c r="AC276" i="5"/>
  <c r="AB276" i="5"/>
  <c r="AA276" i="5"/>
  <c r="Z276" i="5"/>
  <c r="Y276" i="5"/>
  <c r="X276" i="5"/>
  <c r="W276" i="5"/>
  <c r="V276" i="5"/>
  <c r="U276" i="5"/>
  <c r="T276" i="5"/>
  <c r="S276" i="5"/>
  <c r="R276" i="5"/>
  <c r="Q276" i="5"/>
  <c r="P276" i="5"/>
  <c r="O276" i="5"/>
  <c r="N276" i="5"/>
  <c r="AD275" i="5"/>
  <c r="AC275" i="5"/>
  <c r="AB275" i="5"/>
  <c r="AA275" i="5"/>
  <c r="Z275" i="5"/>
  <c r="Y275" i="5"/>
  <c r="X275" i="5"/>
  <c r="W275" i="5"/>
  <c r="V275" i="5"/>
  <c r="U275" i="5"/>
  <c r="T275" i="5"/>
  <c r="S275" i="5"/>
  <c r="R275" i="5"/>
  <c r="Q275" i="5"/>
  <c r="P275" i="5"/>
  <c r="O275" i="5"/>
  <c r="N275" i="5"/>
  <c r="AD274" i="5"/>
  <c r="AC274" i="5"/>
  <c r="AB274" i="5"/>
  <c r="AA274" i="5"/>
  <c r="Z274" i="5"/>
  <c r="Y274" i="5"/>
  <c r="X274" i="5"/>
  <c r="W274" i="5"/>
  <c r="V274" i="5"/>
  <c r="U274" i="5"/>
  <c r="T274" i="5"/>
  <c r="S274" i="5"/>
  <c r="R274" i="5"/>
  <c r="Q274" i="5"/>
  <c r="P274" i="5"/>
  <c r="O274" i="5"/>
  <c r="N274" i="5"/>
  <c r="AD273" i="5"/>
  <c r="AC273" i="5"/>
  <c r="AB273" i="5"/>
  <c r="AA273" i="5"/>
  <c r="Z273" i="5"/>
  <c r="Y273" i="5"/>
  <c r="X273" i="5"/>
  <c r="W273" i="5"/>
  <c r="V273" i="5"/>
  <c r="U273" i="5"/>
  <c r="T273" i="5"/>
  <c r="S273" i="5"/>
  <c r="R273" i="5"/>
  <c r="Q273" i="5"/>
  <c r="P273" i="5"/>
  <c r="O273" i="5"/>
  <c r="N273" i="5"/>
  <c r="AD272" i="5"/>
  <c r="AC272" i="5"/>
  <c r="AB272" i="5"/>
  <c r="AA272" i="5"/>
  <c r="Z272" i="5"/>
  <c r="Y272" i="5"/>
  <c r="X272" i="5"/>
  <c r="W272" i="5"/>
  <c r="V272" i="5"/>
  <c r="U272" i="5"/>
  <c r="T272" i="5"/>
  <c r="S272" i="5"/>
  <c r="R272" i="5"/>
  <c r="Q272" i="5"/>
  <c r="P272" i="5"/>
  <c r="O272" i="5"/>
  <c r="N272" i="5"/>
  <c r="AD271" i="5"/>
  <c r="AC271" i="5"/>
  <c r="AB271" i="5"/>
  <c r="AA271" i="5"/>
  <c r="Z271" i="5"/>
  <c r="Y271" i="5"/>
  <c r="X271" i="5"/>
  <c r="W271" i="5"/>
  <c r="V271" i="5"/>
  <c r="U271" i="5"/>
  <c r="T271" i="5"/>
  <c r="S271" i="5"/>
  <c r="R271" i="5"/>
  <c r="Q271" i="5"/>
  <c r="P271" i="5"/>
  <c r="O271" i="5"/>
  <c r="N271" i="5"/>
  <c r="AD270" i="5"/>
  <c r="AC270" i="5"/>
  <c r="AB270" i="5"/>
  <c r="AA270" i="5"/>
  <c r="Z270" i="5"/>
  <c r="Y270" i="5"/>
  <c r="X270" i="5"/>
  <c r="W270" i="5"/>
  <c r="V270" i="5"/>
  <c r="U270" i="5"/>
  <c r="T270" i="5"/>
  <c r="S270" i="5"/>
  <c r="R270" i="5"/>
  <c r="Q270" i="5"/>
  <c r="P270" i="5"/>
  <c r="O270" i="5"/>
  <c r="N270" i="5"/>
  <c r="AD269" i="5"/>
  <c r="AC269" i="5"/>
  <c r="AB269" i="5"/>
  <c r="AA269" i="5"/>
  <c r="Z269" i="5"/>
  <c r="Y269" i="5"/>
  <c r="X269" i="5"/>
  <c r="W269" i="5"/>
  <c r="V269" i="5"/>
  <c r="U269" i="5"/>
  <c r="T269" i="5"/>
  <c r="S269" i="5"/>
  <c r="R269" i="5"/>
  <c r="Q269" i="5"/>
  <c r="P269" i="5"/>
  <c r="O269" i="5"/>
  <c r="N269" i="5"/>
  <c r="AD268" i="5"/>
  <c r="AC268" i="5"/>
  <c r="AB268" i="5"/>
  <c r="AA268" i="5"/>
  <c r="Z268" i="5"/>
  <c r="Y268" i="5"/>
  <c r="X268" i="5"/>
  <c r="W268" i="5"/>
  <c r="V268" i="5"/>
  <c r="U268" i="5"/>
  <c r="T268" i="5"/>
  <c r="S268" i="5"/>
  <c r="R268" i="5"/>
  <c r="Q268" i="5"/>
  <c r="P268" i="5"/>
  <c r="O268" i="5"/>
  <c r="N268" i="5"/>
  <c r="AD267" i="5"/>
  <c r="AC267" i="5"/>
  <c r="AB267" i="5"/>
  <c r="AA267" i="5"/>
  <c r="Z267" i="5"/>
  <c r="Y267" i="5"/>
  <c r="X267" i="5"/>
  <c r="W267" i="5"/>
  <c r="V267" i="5"/>
  <c r="U267" i="5"/>
  <c r="T267" i="5"/>
  <c r="S267" i="5"/>
  <c r="R267" i="5"/>
  <c r="Q267" i="5"/>
  <c r="P267" i="5"/>
  <c r="O267" i="5"/>
  <c r="N267" i="5"/>
  <c r="AD266" i="5"/>
  <c r="AC266" i="5"/>
  <c r="AB266" i="5"/>
  <c r="AA266" i="5"/>
  <c r="Z266" i="5"/>
  <c r="Y266" i="5"/>
  <c r="X266" i="5"/>
  <c r="W266" i="5"/>
  <c r="V266" i="5"/>
  <c r="U266" i="5"/>
  <c r="T266" i="5"/>
  <c r="S266" i="5"/>
  <c r="R266" i="5"/>
  <c r="Q266" i="5"/>
  <c r="P266" i="5"/>
  <c r="O266" i="5"/>
  <c r="N266" i="5"/>
  <c r="AD265" i="5"/>
  <c r="AC265" i="5"/>
  <c r="AB265" i="5"/>
  <c r="AA265" i="5"/>
  <c r="Z265" i="5"/>
  <c r="Y265" i="5"/>
  <c r="X265" i="5"/>
  <c r="W265" i="5"/>
  <c r="V265" i="5"/>
  <c r="U265" i="5"/>
  <c r="T265" i="5"/>
  <c r="S265" i="5"/>
  <c r="R265" i="5"/>
  <c r="Q265" i="5"/>
  <c r="P265" i="5"/>
  <c r="O265" i="5"/>
  <c r="N265" i="5"/>
  <c r="AD264" i="5"/>
  <c r="AC264" i="5"/>
  <c r="AB264" i="5"/>
  <c r="AA264" i="5"/>
  <c r="Z264" i="5"/>
  <c r="Y264" i="5"/>
  <c r="X264" i="5"/>
  <c r="W264" i="5"/>
  <c r="V264" i="5"/>
  <c r="U264" i="5"/>
  <c r="T264" i="5"/>
  <c r="S264" i="5"/>
  <c r="R264" i="5"/>
  <c r="Q264" i="5"/>
  <c r="P264" i="5"/>
  <c r="O264" i="5"/>
  <c r="N264" i="5"/>
  <c r="AD263" i="5"/>
  <c r="AC263" i="5"/>
  <c r="AB263" i="5"/>
  <c r="AA263" i="5"/>
  <c r="Z263" i="5"/>
  <c r="Y263" i="5"/>
  <c r="X263" i="5"/>
  <c r="W263" i="5"/>
  <c r="V263" i="5"/>
  <c r="U263" i="5"/>
  <c r="T263" i="5"/>
  <c r="S263" i="5"/>
  <c r="R263" i="5"/>
  <c r="Q263" i="5"/>
  <c r="P263" i="5"/>
  <c r="O263" i="5"/>
  <c r="N263" i="5"/>
  <c r="AD262" i="5"/>
  <c r="AC262" i="5"/>
  <c r="AB262" i="5"/>
  <c r="AA262" i="5"/>
  <c r="Z262" i="5"/>
  <c r="Y262" i="5"/>
  <c r="X262" i="5"/>
  <c r="W262" i="5"/>
  <c r="V262" i="5"/>
  <c r="U262" i="5"/>
  <c r="T262" i="5"/>
  <c r="S262" i="5"/>
  <c r="R262" i="5"/>
  <c r="Q262" i="5"/>
  <c r="P262" i="5"/>
  <c r="O262" i="5"/>
  <c r="N262" i="5"/>
  <c r="AD261" i="5"/>
  <c r="AC261" i="5"/>
  <c r="AB261" i="5"/>
  <c r="AA261" i="5"/>
  <c r="Z261" i="5"/>
  <c r="Y261" i="5"/>
  <c r="X261" i="5"/>
  <c r="W261" i="5"/>
  <c r="V261" i="5"/>
  <c r="U261" i="5"/>
  <c r="T261" i="5"/>
  <c r="S261" i="5"/>
  <c r="R261" i="5"/>
  <c r="Q261" i="5"/>
  <c r="P261" i="5"/>
  <c r="O261" i="5"/>
  <c r="N261" i="5"/>
  <c r="AD260" i="5"/>
  <c r="AC260" i="5"/>
  <c r="AB260" i="5"/>
  <c r="AA260" i="5"/>
  <c r="Z260" i="5"/>
  <c r="Y260" i="5"/>
  <c r="X260" i="5"/>
  <c r="W260" i="5"/>
  <c r="V260" i="5"/>
  <c r="U260" i="5"/>
  <c r="T260" i="5"/>
  <c r="S260" i="5"/>
  <c r="R260" i="5"/>
  <c r="Q260" i="5"/>
  <c r="P260" i="5"/>
  <c r="O260" i="5"/>
  <c r="N260" i="5"/>
  <c r="AD259" i="5"/>
  <c r="AC259" i="5"/>
  <c r="AB259" i="5"/>
  <c r="AA259" i="5"/>
  <c r="Z259" i="5"/>
  <c r="Y259" i="5"/>
  <c r="X259" i="5"/>
  <c r="W259" i="5"/>
  <c r="V259" i="5"/>
  <c r="U259" i="5"/>
  <c r="T259" i="5"/>
  <c r="S259" i="5"/>
  <c r="R259" i="5"/>
  <c r="Q259" i="5"/>
  <c r="P259" i="5"/>
  <c r="O259" i="5"/>
  <c r="N259" i="5"/>
  <c r="AD258" i="5"/>
  <c r="AC258" i="5"/>
  <c r="AB258" i="5"/>
  <c r="AA258" i="5"/>
  <c r="Z258" i="5"/>
  <c r="Y258" i="5"/>
  <c r="X258" i="5"/>
  <c r="W258" i="5"/>
  <c r="V258" i="5"/>
  <c r="U258" i="5"/>
  <c r="T258" i="5"/>
  <c r="S258" i="5"/>
  <c r="R258" i="5"/>
  <c r="Q258" i="5"/>
  <c r="P258" i="5"/>
  <c r="O258" i="5"/>
  <c r="N258" i="5"/>
  <c r="AD257" i="5"/>
  <c r="AC257" i="5"/>
  <c r="AB257" i="5"/>
  <c r="AA257" i="5"/>
  <c r="Z257" i="5"/>
  <c r="Y257" i="5"/>
  <c r="X257" i="5"/>
  <c r="W257" i="5"/>
  <c r="V257" i="5"/>
  <c r="U257" i="5"/>
  <c r="T257" i="5"/>
  <c r="S257" i="5"/>
  <c r="R257" i="5"/>
  <c r="Q257" i="5"/>
  <c r="P257" i="5"/>
  <c r="O257" i="5"/>
  <c r="N257" i="5"/>
  <c r="AD256" i="5"/>
  <c r="AC256" i="5"/>
  <c r="AB256" i="5"/>
  <c r="AA256" i="5"/>
  <c r="Z256" i="5"/>
  <c r="Y256" i="5"/>
  <c r="X256" i="5"/>
  <c r="W256" i="5"/>
  <c r="V256" i="5"/>
  <c r="U256" i="5"/>
  <c r="T256" i="5"/>
  <c r="S256" i="5"/>
  <c r="R256" i="5"/>
  <c r="Q256" i="5"/>
  <c r="P256" i="5"/>
  <c r="O256" i="5"/>
  <c r="N256" i="5"/>
  <c r="AD255" i="5"/>
  <c r="AC255" i="5"/>
  <c r="AB255" i="5"/>
  <c r="AA255" i="5"/>
  <c r="Z255" i="5"/>
  <c r="Y255" i="5"/>
  <c r="X255" i="5"/>
  <c r="W255" i="5"/>
  <c r="V255" i="5"/>
  <c r="U255" i="5"/>
  <c r="T255" i="5"/>
  <c r="S255" i="5"/>
  <c r="R255" i="5"/>
  <c r="Q255" i="5"/>
  <c r="P255" i="5"/>
  <c r="O255" i="5"/>
  <c r="N255" i="5"/>
  <c r="AD254" i="5"/>
  <c r="AC254" i="5"/>
  <c r="AB254" i="5"/>
  <c r="AA254" i="5"/>
  <c r="Z254" i="5"/>
  <c r="Y254" i="5"/>
  <c r="X254" i="5"/>
  <c r="W254" i="5"/>
  <c r="V254" i="5"/>
  <c r="U254" i="5"/>
  <c r="T254" i="5"/>
  <c r="S254" i="5"/>
  <c r="R254" i="5"/>
  <c r="Q254" i="5"/>
  <c r="P254" i="5"/>
  <c r="O254" i="5"/>
  <c r="N254" i="5"/>
  <c r="AD253" i="5"/>
  <c r="AC253" i="5"/>
  <c r="AB253" i="5"/>
  <c r="AA253" i="5"/>
  <c r="Z253" i="5"/>
  <c r="Y253" i="5"/>
  <c r="X253" i="5"/>
  <c r="W253" i="5"/>
  <c r="V253" i="5"/>
  <c r="U253" i="5"/>
  <c r="T253" i="5"/>
  <c r="S253" i="5"/>
  <c r="R253" i="5"/>
  <c r="Q253" i="5"/>
  <c r="P253" i="5"/>
  <c r="O253" i="5"/>
  <c r="N253" i="5"/>
  <c r="AD252" i="5"/>
  <c r="AC252" i="5"/>
  <c r="AB252" i="5"/>
  <c r="AA252" i="5"/>
  <c r="Z252" i="5"/>
  <c r="Y252" i="5"/>
  <c r="X252" i="5"/>
  <c r="W252" i="5"/>
  <c r="V252" i="5"/>
  <c r="U252" i="5"/>
  <c r="T252" i="5"/>
  <c r="S252" i="5"/>
  <c r="R252" i="5"/>
  <c r="Q252" i="5"/>
  <c r="P252" i="5"/>
  <c r="O252" i="5"/>
  <c r="N252" i="5"/>
  <c r="AD251" i="5"/>
  <c r="AC251" i="5"/>
  <c r="AB251" i="5"/>
  <c r="AA251" i="5"/>
  <c r="Z251" i="5"/>
  <c r="Y251" i="5"/>
  <c r="X251" i="5"/>
  <c r="W251" i="5"/>
  <c r="V251" i="5"/>
  <c r="U251" i="5"/>
  <c r="T251" i="5"/>
  <c r="S251" i="5"/>
  <c r="R251" i="5"/>
  <c r="Q251" i="5"/>
  <c r="P251" i="5"/>
  <c r="O251" i="5"/>
  <c r="N251" i="5"/>
  <c r="AD250" i="5"/>
  <c r="AC250" i="5"/>
  <c r="AB250" i="5"/>
  <c r="AA250" i="5"/>
  <c r="Z250" i="5"/>
  <c r="Y250" i="5"/>
  <c r="X250" i="5"/>
  <c r="W250" i="5"/>
  <c r="V250" i="5"/>
  <c r="U250" i="5"/>
  <c r="T250" i="5"/>
  <c r="S250" i="5"/>
  <c r="R250" i="5"/>
  <c r="Q250" i="5"/>
  <c r="P250" i="5"/>
  <c r="O250" i="5"/>
  <c r="N250" i="5"/>
  <c r="AD249" i="5"/>
  <c r="AC249" i="5"/>
  <c r="AB249" i="5"/>
  <c r="AA249" i="5"/>
  <c r="Z249" i="5"/>
  <c r="Y249" i="5"/>
  <c r="X249" i="5"/>
  <c r="W249" i="5"/>
  <c r="V249" i="5"/>
  <c r="U249" i="5"/>
  <c r="T249" i="5"/>
  <c r="S249" i="5"/>
  <c r="R249" i="5"/>
  <c r="Q249" i="5"/>
  <c r="P249" i="5"/>
  <c r="O249" i="5"/>
  <c r="N249" i="5"/>
  <c r="AD248" i="5"/>
  <c r="AC248" i="5"/>
  <c r="AB248" i="5"/>
  <c r="AA248" i="5"/>
  <c r="Z248" i="5"/>
  <c r="Y248" i="5"/>
  <c r="X248" i="5"/>
  <c r="W248" i="5"/>
  <c r="V248" i="5"/>
  <c r="U248" i="5"/>
  <c r="T248" i="5"/>
  <c r="S248" i="5"/>
  <c r="R248" i="5"/>
  <c r="Q248" i="5"/>
  <c r="P248" i="5"/>
  <c r="O248" i="5"/>
  <c r="N248" i="5"/>
  <c r="AD247" i="5"/>
  <c r="AC247" i="5"/>
  <c r="AB247" i="5"/>
  <c r="AA247" i="5"/>
  <c r="Z247" i="5"/>
  <c r="Y247" i="5"/>
  <c r="X247" i="5"/>
  <c r="W247" i="5"/>
  <c r="V247" i="5"/>
  <c r="U247" i="5"/>
  <c r="T247" i="5"/>
  <c r="S247" i="5"/>
  <c r="R247" i="5"/>
  <c r="Q247" i="5"/>
  <c r="P247" i="5"/>
  <c r="O247" i="5"/>
  <c r="N247" i="5"/>
  <c r="AD246" i="5"/>
  <c r="AC246" i="5"/>
  <c r="AB246" i="5"/>
  <c r="AA246" i="5"/>
  <c r="Z246" i="5"/>
  <c r="Y246" i="5"/>
  <c r="X246" i="5"/>
  <c r="W246" i="5"/>
  <c r="V246" i="5"/>
  <c r="U246" i="5"/>
  <c r="T246" i="5"/>
  <c r="S246" i="5"/>
  <c r="R246" i="5"/>
  <c r="Q246" i="5"/>
  <c r="P246" i="5"/>
  <c r="O246" i="5"/>
  <c r="N246" i="5"/>
  <c r="AD245" i="5"/>
  <c r="AC245" i="5"/>
  <c r="AB245" i="5"/>
  <c r="AA245" i="5"/>
  <c r="Z245" i="5"/>
  <c r="Y245" i="5"/>
  <c r="X245" i="5"/>
  <c r="W245" i="5"/>
  <c r="V245" i="5"/>
  <c r="U245" i="5"/>
  <c r="T245" i="5"/>
  <c r="S245" i="5"/>
  <c r="R245" i="5"/>
  <c r="Q245" i="5"/>
  <c r="P245" i="5"/>
  <c r="O245" i="5"/>
  <c r="N245" i="5"/>
  <c r="AD244" i="5"/>
  <c r="AC244" i="5"/>
  <c r="AB244" i="5"/>
  <c r="AA244" i="5"/>
  <c r="Z244" i="5"/>
  <c r="Y244" i="5"/>
  <c r="X244" i="5"/>
  <c r="W244" i="5"/>
  <c r="V244" i="5"/>
  <c r="U244" i="5"/>
  <c r="T244" i="5"/>
  <c r="S244" i="5"/>
  <c r="R244" i="5"/>
  <c r="Q244" i="5"/>
  <c r="P244" i="5"/>
  <c r="O244" i="5"/>
  <c r="N244" i="5"/>
  <c r="AD243" i="5"/>
  <c r="AC243" i="5"/>
  <c r="AB243" i="5"/>
  <c r="AA243" i="5"/>
  <c r="Z243" i="5"/>
  <c r="Y243" i="5"/>
  <c r="X243" i="5"/>
  <c r="W243" i="5"/>
  <c r="V243" i="5"/>
  <c r="U243" i="5"/>
  <c r="T243" i="5"/>
  <c r="S243" i="5"/>
  <c r="R243" i="5"/>
  <c r="Q243" i="5"/>
  <c r="P243" i="5"/>
  <c r="O243" i="5"/>
  <c r="N243" i="5"/>
  <c r="AD242" i="5"/>
  <c r="AC242" i="5"/>
  <c r="AB242" i="5"/>
  <c r="AA242" i="5"/>
  <c r="Z242" i="5"/>
  <c r="Y242" i="5"/>
  <c r="X242" i="5"/>
  <c r="W242" i="5"/>
  <c r="V242" i="5"/>
  <c r="U242" i="5"/>
  <c r="T242" i="5"/>
  <c r="S242" i="5"/>
  <c r="R242" i="5"/>
  <c r="Q242" i="5"/>
  <c r="P242" i="5"/>
  <c r="O242" i="5"/>
  <c r="N242" i="5"/>
  <c r="AD241" i="5"/>
  <c r="AC241" i="5"/>
  <c r="AB241" i="5"/>
  <c r="AA241" i="5"/>
  <c r="Z241" i="5"/>
  <c r="Y241" i="5"/>
  <c r="X241" i="5"/>
  <c r="W241" i="5"/>
  <c r="V241" i="5"/>
  <c r="U241" i="5"/>
  <c r="T241" i="5"/>
  <c r="S241" i="5"/>
  <c r="R241" i="5"/>
  <c r="Q241" i="5"/>
  <c r="P241" i="5"/>
  <c r="O241" i="5"/>
  <c r="N241" i="5"/>
  <c r="AD240" i="5"/>
  <c r="AC240" i="5"/>
  <c r="AB240" i="5"/>
  <c r="AA240" i="5"/>
  <c r="Z240" i="5"/>
  <c r="Y240" i="5"/>
  <c r="X240" i="5"/>
  <c r="W240" i="5"/>
  <c r="V240" i="5"/>
  <c r="U240" i="5"/>
  <c r="T240" i="5"/>
  <c r="S240" i="5"/>
  <c r="R240" i="5"/>
  <c r="Q240" i="5"/>
  <c r="P240" i="5"/>
  <c r="O240" i="5"/>
  <c r="N240" i="5"/>
  <c r="AD239" i="5"/>
  <c r="AC239" i="5"/>
  <c r="AB239" i="5"/>
  <c r="AA239" i="5"/>
  <c r="Z239" i="5"/>
  <c r="Y239" i="5"/>
  <c r="X239" i="5"/>
  <c r="W239" i="5"/>
  <c r="V239" i="5"/>
  <c r="U239" i="5"/>
  <c r="T239" i="5"/>
  <c r="S239" i="5"/>
  <c r="R239" i="5"/>
  <c r="Q239" i="5"/>
  <c r="P239" i="5"/>
  <c r="O239" i="5"/>
  <c r="N239" i="5"/>
  <c r="AD238" i="5"/>
  <c r="AC238" i="5"/>
  <c r="AB238" i="5"/>
  <c r="AA238" i="5"/>
  <c r="Z238" i="5"/>
  <c r="Y238" i="5"/>
  <c r="X238" i="5"/>
  <c r="W238" i="5"/>
  <c r="V238" i="5"/>
  <c r="U238" i="5"/>
  <c r="T238" i="5"/>
  <c r="S238" i="5"/>
  <c r="R238" i="5"/>
  <c r="Q238" i="5"/>
  <c r="P238" i="5"/>
  <c r="O238" i="5"/>
  <c r="N238" i="5"/>
  <c r="AD237" i="5"/>
  <c r="AC237" i="5"/>
  <c r="AB237" i="5"/>
  <c r="AA237" i="5"/>
  <c r="Z237" i="5"/>
  <c r="Y237" i="5"/>
  <c r="X237" i="5"/>
  <c r="W237" i="5"/>
  <c r="V237" i="5"/>
  <c r="U237" i="5"/>
  <c r="T237" i="5"/>
  <c r="S237" i="5"/>
  <c r="R237" i="5"/>
  <c r="Q237" i="5"/>
  <c r="P237" i="5"/>
  <c r="O237" i="5"/>
  <c r="N237" i="5"/>
  <c r="AD236" i="5"/>
  <c r="AC236" i="5"/>
  <c r="AB236" i="5"/>
  <c r="AA236" i="5"/>
  <c r="Z236" i="5"/>
  <c r="Y236" i="5"/>
  <c r="X236" i="5"/>
  <c r="W236" i="5"/>
  <c r="V236" i="5"/>
  <c r="U236" i="5"/>
  <c r="T236" i="5"/>
  <c r="S236" i="5"/>
  <c r="R236" i="5"/>
  <c r="Q236" i="5"/>
  <c r="P236" i="5"/>
  <c r="O236" i="5"/>
  <c r="N236" i="5"/>
  <c r="AD235" i="5"/>
  <c r="AC235" i="5"/>
  <c r="AB235" i="5"/>
  <c r="AA235" i="5"/>
  <c r="Z235" i="5"/>
  <c r="Y235" i="5"/>
  <c r="X235" i="5"/>
  <c r="W235" i="5"/>
  <c r="V235" i="5"/>
  <c r="U235" i="5"/>
  <c r="T235" i="5"/>
  <c r="S235" i="5"/>
  <c r="R235" i="5"/>
  <c r="Q235" i="5"/>
  <c r="P235" i="5"/>
  <c r="O235" i="5"/>
  <c r="N235" i="5"/>
  <c r="AD234" i="5"/>
  <c r="AC234" i="5"/>
  <c r="AB234" i="5"/>
  <c r="AA234" i="5"/>
  <c r="Z234" i="5"/>
  <c r="Y234" i="5"/>
  <c r="X234" i="5"/>
  <c r="W234" i="5"/>
  <c r="V234" i="5"/>
  <c r="U234" i="5"/>
  <c r="T234" i="5"/>
  <c r="S234" i="5"/>
  <c r="R234" i="5"/>
  <c r="Q234" i="5"/>
  <c r="P234" i="5"/>
  <c r="O234" i="5"/>
  <c r="N234" i="5"/>
  <c r="AD233" i="5"/>
  <c r="AC233" i="5"/>
  <c r="AB233" i="5"/>
  <c r="AA233" i="5"/>
  <c r="Z233" i="5"/>
  <c r="Y233" i="5"/>
  <c r="X233" i="5"/>
  <c r="W233" i="5"/>
  <c r="V233" i="5"/>
  <c r="U233" i="5"/>
  <c r="T233" i="5"/>
  <c r="S233" i="5"/>
  <c r="R233" i="5"/>
  <c r="Q233" i="5"/>
  <c r="P233" i="5"/>
  <c r="O233" i="5"/>
  <c r="N233" i="5"/>
  <c r="AD232" i="5"/>
  <c r="AC232" i="5"/>
  <c r="AB232" i="5"/>
  <c r="AA232" i="5"/>
  <c r="Z232" i="5"/>
  <c r="Y232" i="5"/>
  <c r="X232" i="5"/>
  <c r="W232" i="5"/>
  <c r="V232" i="5"/>
  <c r="U232" i="5"/>
  <c r="T232" i="5"/>
  <c r="S232" i="5"/>
  <c r="R232" i="5"/>
  <c r="Q232" i="5"/>
  <c r="P232" i="5"/>
  <c r="O232" i="5"/>
  <c r="N232" i="5"/>
  <c r="AD231" i="5"/>
  <c r="AC231" i="5"/>
  <c r="AB231" i="5"/>
  <c r="AA231" i="5"/>
  <c r="Z231" i="5"/>
  <c r="Y231" i="5"/>
  <c r="X231" i="5"/>
  <c r="W231" i="5"/>
  <c r="V231" i="5"/>
  <c r="U231" i="5"/>
  <c r="T231" i="5"/>
  <c r="S231" i="5"/>
  <c r="R231" i="5"/>
  <c r="Q231" i="5"/>
  <c r="P231" i="5"/>
  <c r="O231" i="5"/>
  <c r="N231" i="5"/>
  <c r="AD230" i="5"/>
  <c r="AC230" i="5"/>
  <c r="AB230" i="5"/>
  <c r="AA230" i="5"/>
  <c r="Z230" i="5"/>
  <c r="Y230" i="5"/>
  <c r="X230" i="5"/>
  <c r="W230" i="5"/>
  <c r="V230" i="5"/>
  <c r="U230" i="5"/>
  <c r="T230" i="5"/>
  <c r="S230" i="5"/>
  <c r="R230" i="5"/>
  <c r="Q230" i="5"/>
  <c r="P230" i="5"/>
  <c r="O230" i="5"/>
  <c r="N230" i="5"/>
  <c r="AD229" i="5"/>
  <c r="AC229" i="5"/>
  <c r="AB229" i="5"/>
  <c r="AA229" i="5"/>
  <c r="Z229" i="5"/>
  <c r="Y229" i="5"/>
  <c r="X229" i="5"/>
  <c r="W229" i="5"/>
  <c r="V229" i="5"/>
  <c r="U229" i="5"/>
  <c r="T229" i="5"/>
  <c r="S229" i="5"/>
  <c r="R229" i="5"/>
  <c r="Q229" i="5"/>
  <c r="P229" i="5"/>
  <c r="O229" i="5"/>
  <c r="N229" i="5"/>
  <c r="AD228" i="5"/>
  <c r="AC228" i="5"/>
  <c r="AB228" i="5"/>
  <c r="AA228" i="5"/>
  <c r="Z228" i="5"/>
  <c r="Y228" i="5"/>
  <c r="X228" i="5"/>
  <c r="W228" i="5"/>
  <c r="V228" i="5"/>
  <c r="U228" i="5"/>
  <c r="T228" i="5"/>
  <c r="S228" i="5"/>
  <c r="R228" i="5"/>
  <c r="Q228" i="5"/>
  <c r="P228" i="5"/>
  <c r="O228" i="5"/>
  <c r="N228" i="5"/>
  <c r="AD227" i="5"/>
  <c r="AC227" i="5"/>
  <c r="AB227" i="5"/>
  <c r="AA227" i="5"/>
  <c r="Z227" i="5"/>
  <c r="Y227" i="5"/>
  <c r="X227" i="5"/>
  <c r="W227" i="5"/>
  <c r="V227" i="5"/>
  <c r="U227" i="5"/>
  <c r="T227" i="5"/>
  <c r="S227" i="5"/>
  <c r="R227" i="5"/>
  <c r="Q227" i="5"/>
  <c r="P227" i="5"/>
  <c r="O227" i="5"/>
  <c r="N227" i="5"/>
  <c r="AD226" i="5"/>
  <c r="AC226" i="5"/>
  <c r="AB226" i="5"/>
  <c r="AA226" i="5"/>
  <c r="Z226" i="5"/>
  <c r="Y226" i="5"/>
  <c r="X226" i="5"/>
  <c r="W226" i="5"/>
  <c r="V226" i="5"/>
  <c r="U226" i="5"/>
  <c r="T226" i="5"/>
  <c r="S226" i="5"/>
  <c r="R226" i="5"/>
  <c r="Q226" i="5"/>
  <c r="P226" i="5"/>
  <c r="O226" i="5"/>
  <c r="N226" i="5"/>
  <c r="AD225" i="5"/>
  <c r="AC225" i="5"/>
  <c r="AB225" i="5"/>
  <c r="AA225" i="5"/>
  <c r="Z225" i="5"/>
  <c r="Y225" i="5"/>
  <c r="X225" i="5"/>
  <c r="W225" i="5"/>
  <c r="V225" i="5"/>
  <c r="U225" i="5"/>
  <c r="T225" i="5"/>
  <c r="S225" i="5"/>
  <c r="R225" i="5"/>
  <c r="Q225" i="5"/>
  <c r="P225" i="5"/>
  <c r="O225" i="5"/>
  <c r="N225" i="5"/>
  <c r="AD224" i="5"/>
  <c r="AC224" i="5"/>
  <c r="AB224" i="5"/>
  <c r="AA224" i="5"/>
  <c r="Z224" i="5"/>
  <c r="Y224" i="5"/>
  <c r="X224" i="5"/>
  <c r="W224" i="5"/>
  <c r="V224" i="5"/>
  <c r="U224" i="5"/>
  <c r="T224" i="5"/>
  <c r="S224" i="5"/>
  <c r="R224" i="5"/>
  <c r="Q224" i="5"/>
  <c r="P224" i="5"/>
  <c r="O224" i="5"/>
  <c r="N224" i="5"/>
  <c r="AD223" i="5"/>
  <c r="AC223" i="5"/>
  <c r="AB223" i="5"/>
  <c r="AA223" i="5"/>
  <c r="Z223" i="5"/>
  <c r="Y223" i="5"/>
  <c r="X223" i="5"/>
  <c r="W223" i="5"/>
  <c r="V223" i="5"/>
  <c r="U223" i="5"/>
  <c r="T223" i="5"/>
  <c r="S223" i="5"/>
  <c r="R223" i="5"/>
  <c r="Q223" i="5"/>
  <c r="P223" i="5"/>
  <c r="O223" i="5"/>
  <c r="N223" i="5"/>
  <c r="AD222" i="5"/>
  <c r="AC222" i="5"/>
  <c r="AB222" i="5"/>
  <c r="AA222" i="5"/>
  <c r="Z222" i="5"/>
  <c r="Y222" i="5"/>
  <c r="X222" i="5"/>
  <c r="W222" i="5"/>
  <c r="V222" i="5"/>
  <c r="U222" i="5"/>
  <c r="T222" i="5"/>
  <c r="S222" i="5"/>
  <c r="R222" i="5"/>
  <c r="Q222" i="5"/>
  <c r="P222" i="5"/>
  <c r="O222" i="5"/>
  <c r="N222" i="5"/>
  <c r="AD221" i="5"/>
  <c r="AC221" i="5"/>
  <c r="AB221" i="5"/>
  <c r="AA221" i="5"/>
  <c r="Z221" i="5"/>
  <c r="Y221" i="5"/>
  <c r="X221" i="5"/>
  <c r="W221" i="5"/>
  <c r="V221" i="5"/>
  <c r="U221" i="5"/>
  <c r="T221" i="5"/>
  <c r="S221" i="5"/>
  <c r="R221" i="5"/>
  <c r="Q221" i="5"/>
  <c r="P221" i="5"/>
  <c r="O221" i="5"/>
  <c r="N221" i="5"/>
  <c r="AD220" i="5"/>
  <c r="AC220" i="5"/>
  <c r="AB220" i="5"/>
  <c r="AA220" i="5"/>
  <c r="Z220" i="5"/>
  <c r="Y220" i="5"/>
  <c r="X220" i="5"/>
  <c r="W220" i="5"/>
  <c r="V220" i="5"/>
  <c r="U220" i="5"/>
  <c r="T220" i="5"/>
  <c r="S220" i="5"/>
  <c r="R220" i="5"/>
  <c r="Q220" i="5"/>
  <c r="P220" i="5"/>
  <c r="O220" i="5"/>
  <c r="N220" i="5"/>
  <c r="AD219" i="5"/>
  <c r="AC219" i="5"/>
  <c r="AB219" i="5"/>
  <c r="AA219" i="5"/>
  <c r="Z219" i="5"/>
  <c r="Y219" i="5"/>
  <c r="X219" i="5"/>
  <c r="W219" i="5"/>
  <c r="V219" i="5"/>
  <c r="U219" i="5"/>
  <c r="T219" i="5"/>
  <c r="S219" i="5"/>
  <c r="R219" i="5"/>
  <c r="Q219" i="5"/>
  <c r="P219" i="5"/>
  <c r="O219" i="5"/>
  <c r="N219" i="5"/>
  <c r="AD218" i="5"/>
  <c r="AC218" i="5"/>
  <c r="AB218" i="5"/>
  <c r="AA218" i="5"/>
  <c r="Z218" i="5"/>
  <c r="Y218" i="5"/>
  <c r="X218" i="5"/>
  <c r="W218" i="5"/>
  <c r="V218" i="5"/>
  <c r="U218" i="5"/>
  <c r="T218" i="5"/>
  <c r="S218" i="5"/>
  <c r="R218" i="5"/>
  <c r="Q218" i="5"/>
  <c r="P218" i="5"/>
  <c r="O218" i="5"/>
  <c r="N218" i="5"/>
  <c r="AD217" i="5"/>
  <c r="AC217" i="5"/>
  <c r="AB217" i="5"/>
  <c r="AA217" i="5"/>
  <c r="Z217" i="5"/>
  <c r="Y217" i="5"/>
  <c r="X217" i="5"/>
  <c r="W217" i="5"/>
  <c r="V217" i="5"/>
  <c r="U217" i="5"/>
  <c r="T217" i="5"/>
  <c r="S217" i="5"/>
  <c r="R217" i="5"/>
  <c r="Q217" i="5"/>
  <c r="P217" i="5"/>
  <c r="O217" i="5"/>
  <c r="N217" i="5"/>
  <c r="AD216" i="5"/>
  <c r="AC216" i="5"/>
  <c r="AB216" i="5"/>
  <c r="AA216" i="5"/>
  <c r="Z216" i="5"/>
  <c r="Y216" i="5"/>
  <c r="X216" i="5"/>
  <c r="W216" i="5"/>
  <c r="V216" i="5"/>
  <c r="U216" i="5"/>
  <c r="T216" i="5"/>
  <c r="S216" i="5"/>
  <c r="R216" i="5"/>
  <c r="Q216" i="5"/>
  <c r="P216" i="5"/>
  <c r="O216" i="5"/>
  <c r="N216" i="5"/>
  <c r="AD215" i="5"/>
  <c r="AC215" i="5"/>
  <c r="AB215" i="5"/>
  <c r="AA215" i="5"/>
  <c r="Z215" i="5"/>
  <c r="Y215" i="5"/>
  <c r="X215" i="5"/>
  <c r="W215" i="5"/>
  <c r="V215" i="5"/>
  <c r="U215" i="5"/>
  <c r="T215" i="5"/>
  <c r="S215" i="5"/>
  <c r="R215" i="5"/>
  <c r="Q215" i="5"/>
  <c r="P215" i="5"/>
  <c r="O215" i="5"/>
  <c r="N215" i="5"/>
  <c r="AD214" i="5"/>
  <c r="AC214" i="5"/>
  <c r="AB214" i="5"/>
  <c r="AA214" i="5"/>
  <c r="Z214" i="5"/>
  <c r="Y214" i="5"/>
  <c r="X214" i="5"/>
  <c r="W214" i="5"/>
  <c r="V214" i="5"/>
  <c r="U214" i="5"/>
  <c r="T214" i="5"/>
  <c r="S214" i="5"/>
  <c r="R214" i="5"/>
  <c r="Q214" i="5"/>
  <c r="P214" i="5"/>
  <c r="O214" i="5"/>
  <c r="N214" i="5"/>
  <c r="AD213" i="5"/>
  <c r="AC213" i="5"/>
  <c r="AB213" i="5"/>
  <c r="AA213" i="5"/>
  <c r="Z213" i="5"/>
  <c r="Y213" i="5"/>
  <c r="X213" i="5"/>
  <c r="W213" i="5"/>
  <c r="V213" i="5"/>
  <c r="U213" i="5"/>
  <c r="T213" i="5"/>
  <c r="S213" i="5"/>
  <c r="R213" i="5"/>
  <c r="Q213" i="5"/>
  <c r="P213" i="5"/>
  <c r="O213" i="5"/>
  <c r="N213" i="5"/>
  <c r="AD212" i="5"/>
  <c r="AC212" i="5"/>
  <c r="AB212" i="5"/>
  <c r="AA212" i="5"/>
  <c r="Z212" i="5"/>
  <c r="Y212" i="5"/>
  <c r="X212" i="5"/>
  <c r="W212" i="5"/>
  <c r="V212" i="5"/>
  <c r="U212" i="5"/>
  <c r="T212" i="5"/>
  <c r="S212" i="5"/>
  <c r="R212" i="5"/>
  <c r="Q212" i="5"/>
  <c r="P212" i="5"/>
  <c r="O212" i="5"/>
  <c r="N212" i="5"/>
  <c r="AD211" i="5"/>
  <c r="AC211" i="5"/>
  <c r="AB211" i="5"/>
  <c r="AA211" i="5"/>
  <c r="Z211" i="5"/>
  <c r="Y211" i="5"/>
  <c r="X211" i="5"/>
  <c r="W211" i="5"/>
  <c r="V211" i="5"/>
  <c r="U211" i="5"/>
  <c r="T211" i="5"/>
  <c r="S211" i="5"/>
  <c r="R211" i="5"/>
  <c r="Q211" i="5"/>
  <c r="P211" i="5"/>
  <c r="O211" i="5"/>
  <c r="N211" i="5"/>
  <c r="AD210" i="5"/>
  <c r="AC210" i="5"/>
  <c r="AB210" i="5"/>
  <c r="AA210" i="5"/>
  <c r="Z210" i="5"/>
  <c r="Y210" i="5"/>
  <c r="X210" i="5"/>
  <c r="W210" i="5"/>
  <c r="V210" i="5"/>
  <c r="U210" i="5"/>
  <c r="T210" i="5"/>
  <c r="S210" i="5"/>
  <c r="R210" i="5"/>
  <c r="Q210" i="5"/>
  <c r="P210" i="5"/>
  <c r="O210" i="5"/>
  <c r="N210" i="5"/>
  <c r="AD209" i="5"/>
  <c r="AC209" i="5"/>
  <c r="AB209" i="5"/>
  <c r="AA209" i="5"/>
  <c r="Z209" i="5"/>
  <c r="Y209" i="5"/>
  <c r="X209" i="5"/>
  <c r="W209" i="5"/>
  <c r="V209" i="5"/>
  <c r="U209" i="5"/>
  <c r="T209" i="5"/>
  <c r="S209" i="5"/>
  <c r="R209" i="5"/>
  <c r="Q209" i="5"/>
  <c r="P209" i="5"/>
  <c r="O209" i="5"/>
  <c r="N209" i="5"/>
  <c r="AD208" i="5"/>
  <c r="AC208" i="5"/>
  <c r="AB208" i="5"/>
  <c r="AA208" i="5"/>
  <c r="Z208" i="5"/>
  <c r="Y208" i="5"/>
  <c r="X208" i="5"/>
  <c r="W208" i="5"/>
  <c r="V208" i="5"/>
  <c r="U208" i="5"/>
  <c r="T208" i="5"/>
  <c r="S208" i="5"/>
  <c r="R208" i="5"/>
  <c r="Q208" i="5"/>
  <c r="P208" i="5"/>
  <c r="O208" i="5"/>
  <c r="N208" i="5"/>
  <c r="AD207" i="5"/>
  <c r="AC207" i="5"/>
  <c r="AB207" i="5"/>
  <c r="AA207" i="5"/>
  <c r="Z207" i="5"/>
  <c r="Y207" i="5"/>
  <c r="X207" i="5"/>
  <c r="W207" i="5"/>
  <c r="V207" i="5"/>
  <c r="U207" i="5"/>
  <c r="T207" i="5"/>
  <c r="S207" i="5"/>
  <c r="R207" i="5"/>
  <c r="Q207" i="5"/>
  <c r="P207" i="5"/>
  <c r="O207" i="5"/>
  <c r="N207" i="5"/>
  <c r="AD206" i="5"/>
  <c r="AC206" i="5"/>
  <c r="AB206" i="5"/>
  <c r="AA206" i="5"/>
  <c r="Z206" i="5"/>
  <c r="Y206" i="5"/>
  <c r="X206" i="5"/>
  <c r="W206" i="5"/>
  <c r="V206" i="5"/>
  <c r="U206" i="5"/>
  <c r="T206" i="5"/>
  <c r="S206" i="5"/>
  <c r="R206" i="5"/>
  <c r="Q206" i="5"/>
  <c r="P206" i="5"/>
  <c r="O206" i="5"/>
  <c r="N206" i="5"/>
  <c r="AD205" i="5"/>
  <c r="AC205" i="5"/>
  <c r="AB205" i="5"/>
  <c r="AA205" i="5"/>
  <c r="Z205" i="5"/>
  <c r="Y205" i="5"/>
  <c r="X205" i="5"/>
  <c r="W205" i="5"/>
  <c r="V205" i="5"/>
  <c r="U205" i="5"/>
  <c r="T205" i="5"/>
  <c r="S205" i="5"/>
  <c r="R205" i="5"/>
  <c r="Q205" i="5"/>
  <c r="P205" i="5"/>
  <c r="O205" i="5"/>
  <c r="N205" i="5"/>
  <c r="AD204" i="5"/>
  <c r="AC204" i="5"/>
  <c r="AB204" i="5"/>
  <c r="AA204" i="5"/>
  <c r="Z204" i="5"/>
  <c r="Y204" i="5"/>
  <c r="X204" i="5"/>
  <c r="W204" i="5"/>
  <c r="V204" i="5"/>
  <c r="U204" i="5"/>
  <c r="T204" i="5"/>
  <c r="S204" i="5"/>
  <c r="R204" i="5"/>
  <c r="Q204" i="5"/>
  <c r="P204" i="5"/>
  <c r="O204" i="5"/>
  <c r="N204" i="5"/>
  <c r="AD203" i="5"/>
  <c r="AC203" i="5"/>
  <c r="AB203" i="5"/>
  <c r="AA203" i="5"/>
  <c r="Z203" i="5"/>
  <c r="Y203" i="5"/>
  <c r="X203" i="5"/>
  <c r="W203" i="5"/>
  <c r="V203" i="5"/>
  <c r="U203" i="5"/>
  <c r="T203" i="5"/>
  <c r="S203" i="5"/>
  <c r="R203" i="5"/>
  <c r="Q203" i="5"/>
  <c r="P203" i="5"/>
  <c r="O203" i="5"/>
  <c r="N203" i="5"/>
  <c r="AD202" i="5"/>
  <c r="AC202" i="5"/>
  <c r="AB202" i="5"/>
  <c r="AA202" i="5"/>
  <c r="Z202" i="5"/>
  <c r="Y202" i="5"/>
  <c r="X202" i="5"/>
  <c r="W202" i="5"/>
  <c r="V202" i="5"/>
  <c r="U202" i="5"/>
  <c r="T202" i="5"/>
  <c r="S202" i="5"/>
  <c r="R202" i="5"/>
  <c r="Q202" i="5"/>
  <c r="P202" i="5"/>
  <c r="O202" i="5"/>
  <c r="N202" i="5"/>
  <c r="AD201" i="5"/>
  <c r="AC201" i="5"/>
  <c r="AB201" i="5"/>
  <c r="AA201" i="5"/>
  <c r="Z201" i="5"/>
  <c r="Y201" i="5"/>
  <c r="X201" i="5"/>
  <c r="W201" i="5"/>
  <c r="V201" i="5"/>
  <c r="U201" i="5"/>
  <c r="T201" i="5"/>
  <c r="S201" i="5"/>
  <c r="R201" i="5"/>
  <c r="Q201" i="5"/>
  <c r="P201" i="5"/>
  <c r="O201" i="5"/>
  <c r="N201" i="5"/>
  <c r="AD200" i="5"/>
  <c r="AC200" i="5"/>
  <c r="AB200" i="5"/>
  <c r="AA200" i="5"/>
  <c r="Z200" i="5"/>
  <c r="Y200" i="5"/>
  <c r="X200" i="5"/>
  <c r="W200" i="5"/>
  <c r="V200" i="5"/>
  <c r="U200" i="5"/>
  <c r="T200" i="5"/>
  <c r="S200" i="5"/>
  <c r="R200" i="5"/>
  <c r="Q200" i="5"/>
  <c r="P200" i="5"/>
  <c r="O200" i="5"/>
  <c r="N200" i="5"/>
  <c r="AD199" i="5"/>
  <c r="AC199" i="5"/>
  <c r="AB199" i="5"/>
  <c r="AA199" i="5"/>
  <c r="Z199" i="5"/>
  <c r="Y199" i="5"/>
  <c r="X199" i="5"/>
  <c r="W199" i="5"/>
  <c r="V199" i="5"/>
  <c r="U199" i="5"/>
  <c r="T199" i="5"/>
  <c r="S199" i="5"/>
  <c r="R199" i="5"/>
  <c r="Q199" i="5"/>
  <c r="P199" i="5"/>
  <c r="O199" i="5"/>
  <c r="N199" i="5"/>
  <c r="AD198" i="5"/>
  <c r="AC198" i="5"/>
  <c r="AB198" i="5"/>
  <c r="AA198" i="5"/>
  <c r="Z198" i="5"/>
  <c r="Y198" i="5"/>
  <c r="X198" i="5"/>
  <c r="W198" i="5"/>
  <c r="V198" i="5"/>
  <c r="U198" i="5"/>
  <c r="T198" i="5"/>
  <c r="S198" i="5"/>
  <c r="R198" i="5"/>
  <c r="Q198" i="5"/>
  <c r="P198" i="5"/>
  <c r="O198" i="5"/>
  <c r="N198" i="5"/>
  <c r="AD197" i="5"/>
  <c r="AC197" i="5"/>
  <c r="AB197" i="5"/>
  <c r="AA197" i="5"/>
  <c r="Z197" i="5"/>
  <c r="Y197" i="5"/>
  <c r="X197" i="5"/>
  <c r="W197" i="5"/>
  <c r="V197" i="5"/>
  <c r="U197" i="5"/>
  <c r="T197" i="5"/>
  <c r="S197" i="5"/>
  <c r="R197" i="5"/>
  <c r="Q197" i="5"/>
  <c r="P197" i="5"/>
  <c r="O197" i="5"/>
  <c r="N197" i="5"/>
  <c r="AD196" i="5"/>
  <c r="AC196" i="5"/>
  <c r="AB196" i="5"/>
  <c r="AA196" i="5"/>
  <c r="Z196" i="5"/>
  <c r="Y196" i="5"/>
  <c r="X196" i="5"/>
  <c r="W196" i="5"/>
  <c r="V196" i="5"/>
  <c r="U196" i="5"/>
  <c r="T196" i="5"/>
  <c r="S196" i="5"/>
  <c r="R196" i="5"/>
  <c r="Q196" i="5"/>
  <c r="P196" i="5"/>
  <c r="O196" i="5"/>
  <c r="N196" i="5"/>
  <c r="AD195" i="5"/>
  <c r="AC195" i="5"/>
  <c r="AB195" i="5"/>
  <c r="AA195" i="5"/>
  <c r="Z195" i="5"/>
  <c r="Y195" i="5"/>
  <c r="X195" i="5"/>
  <c r="W195" i="5"/>
  <c r="V195" i="5"/>
  <c r="U195" i="5"/>
  <c r="T195" i="5"/>
  <c r="S195" i="5"/>
  <c r="R195" i="5"/>
  <c r="Q195" i="5"/>
  <c r="P195" i="5"/>
  <c r="O195" i="5"/>
  <c r="N195" i="5"/>
  <c r="AD194" i="5"/>
  <c r="AC194" i="5"/>
  <c r="AB194" i="5"/>
  <c r="AA194" i="5"/>
  <c r="Z194" i="5"/>
  <c r="Y194" i="5"/>
  <c r="X194" i="5"/>
  <c r="W194" i="5"/>
  <c r="V194" i="5"/>
  <c r="U194" i="5"/>
  <c r="T194" i="5"/>
  <c r="S194" i="5"/>
  <c r="R194" i="5"/>
  <c r="Q194" i="5"/>
  <c r="P194" i="5"/>
  <c r="O194" i="5"/>
  <c r="N194" i="5"/>
  <c r="AD193" i="5"/>
  <c r="AC193" i="5"/>
  <c r="AB193" i="5"/>
  <c r="AA193" i="5"/>
  <c r="Z193" i="5"/>
  <c r="Y193" i="5"/>
  <c r="X193" i="5"/>
  <c r="W193" i="5"/>
  <c r="V193" i="5"/>
  <c r="U193" i="5"/>
  <c r="T193" i="5"/>
  <c r="S193" i="5"/>
  <c r="R193" i="5"/>
  <c r="Q193" i="5"/>
  <c r="P193" i="5"/>
  <c r="O193" i="5"/>
  <c r="N193" i="5"/>
  <c r="AD192" i="5"/>
  <c r="AC192" i="5"/>
  <c r="AB192" i="5"/>
  <c r="AA192" i="5"/>
  <c r="Z192" i="5"/>
  <c r="Y192" i="5"/>
  <c r="X192" i="5"/>
  <c r="W192" i="5"/>
  <c r="V192" i="5"/>
  <c r="U192" i="5"/>
  <c r="T192" i="5"/>
  <c r="S192" i="5"/>
  <c r="R192" i="5"/>
  <c r="Q192" i="5"/>
  <c r="P192" i="5"/>
  <c r="O192" i="5"/>
  <c r="N192" i="5"/>
  <c r="AD191" i="5"/>
  <c r="AC191" i="5"/>
  <c r="AB191" i="5"/>
  <c r="AA191" i="5"/>
  <c r="Z191" i="5"/>
  <c r="Y191" i="5"/>
  <c r="X191" i="5"/>
  <c r="W191" i="5"/>
  <c r="V191" i="5"/>
  <c r="U191" i="5"/>
  <c r="T191" i="5"/>
  <c r="S191" i="5"/>
  <c r="R191" i="5"/>
  <c r="Q191" i="5"/>
  <c r="P191" i="5"/>
  <c r="O191" i="5"/>
  <c r="N191" i="5"/>
  <c r="AD190" i="5"/>
  <c r="AC190" i="5"/>
  <c r="AB190" i="5"/>
  <c r="AA190" i="5"/>
  <c r="Z190" i="5"/>
  <c r="Y190" i="5"/>
  <c r="X190" i="5"/>
  <c r="W190" i="5"/>
  <c r="V190" i="5"/>
  <c r="U190" i="5"/>
  <c r="T190" i="5"/>
  <c r="S190" i="5"/>
  <c r="R190" i="5"/>
  <c r="Q190" i="5"/>
  <c r="P190" i="5"/>
  <c r="O190" i="5"/>
  <c r="N190" i="5"/>
  <c r="AD189" i="5"/>
  <c r="AC189" i="5"/>
  <c r="AB189" i="5"/>
  <c r="AA189" i="5"/>
  <c r="Z189" i="5"/>
  <c r="Y189" i="5"/>
  <c r="X189" i="5"/>
  <c r="W189" i="5"/>
  <c r="V189" i="5"/>
  <c r="U189" i="5"/>
  <c r="T189" i="5"/>
  <c r="S189" i="5"/>
  <c r="R189" i="5"/>
  <c r="Q189" i="5"/>
  <c r="P189" i="5"/>
  <c r="O189" i="5"/>
  <c r="N189" i="5"/>
  <c r="AD188" i="5"/>
  <c r="AC188" i="5"/>
  <c r="AB188" i="5"/>
  <c r="AA188" i="5"/>
  <c r="Z188" i="5"/>
  <c r="Y188" i="5"/>
  <c r="X188" i="5"/>
  <c r="W188" i="5"/>
  <c r="V188" i="5"/>
  <c r="U188" i="5"/>
  <c r="T188" i="5"/>
  <c r="S188" i="5"/>
  <c r="R188" i="5"/>
  <c r="Q188" i="5"/>
  <c r="P188" i="5"/>
  <c r="O188" i="5"/>
  <c r="N188" i="5"/>
  <c r="AD187" i="5"/>
  <c r="AC187" i="5"/>
  <c r="AB187" i="5"/>
  <c r="AA187" i="5"/>
  <c r="Z187" i="5"/>
  <c r="Y187" i="5"/>
  <c r="X187" i="5"/>
  <c r="W187" i="5"/>
  <c r="V187" i="5"/>
  <c r="U187" i="5"/>
  <c r="T187" i="5"/>
  <c r="S187" i="5"/>
  <c r="R187" i="5"/>
  <c r="Q187" i="5"/>
  <c r="P187" i="5"/>
  <c r="O187" i="5"/>
  <c r="N187" i="5"/>
  <c r="AD186" i="5"/>
  <c r="AC186" i="5"/>
  <c r="AB186" i="5"/>
  <c r="AA186" i="5"/>
  <c r="Z186" i="5"/>
  <c r="Y186" i="5"/>
  <c r="X186" i="5"/>
  <c r="W186" i="5"/>
  <c r="V186" i="5"/>
  <c r="U186" i="5"/>
  <c r="T186" i="5"/>
  <c r="S186" i="5"/>
  <c r="R186" i="5"/>
  <c r="Q186" i="5"/>
  <c r="P186" i="5"/>
  <c r="O186" i="5"/>
  <c r="N186" i="5"/>
  <c r="AD185" i="5"/>
  <c r="AC185" i="5"/>
  <c r="AB185" i="5"/>
  <c r="AA185" i="5"/>
  <c r="Z185" i="5"/>
  <c r="Y185" i="5"/>
  <c r="X185" i="5"/>
  <c r="W185" i="5"/>
  <c r="V185" i="5"/>
  <c r="U185" i="5"/>
  <c r="T185" i="5"/>
  <c r="S185" i="5"/>
  <c r="R185" i="5"/>
  <c r="Q185" i="5"/>
  <c r="P185" i="5"/>
  <c r="O185" i="5"/>
  <c r="N185" i="5"/>
  <c r="AD184" i="5"/>
  <c r="AC184" i="5"/>
  <c r="AB184" i="5"/>
  <c r="AA184" i="5"/>
  <c r="Z184" i="5"/>
  <c r="Y184" i="5"/>
  <c r="X184" i="5"/>
  <c r="W184" i="5"/>
  <c r="V184" i="5"/>
  <c r="U184" i="5"/>
  <c r="T184" i="5"/>
  <c r="S184" i="5"/>
  <c r="R184" i="5"/>
  <c r="Q184" i="5"/>
  <c r="P184" i="5"/>
  <c r="O184" i="5"/>
  <c r="N184" i="5"/>
  <c r="AD183" i="5"/>
  <c r="AC183" i="5"/>
  <c r="AB183" i="5"/>
  <c r="AA183" i="5"/>
  <c r="Z183" i="5"/>
  <c r="Y183" i="5"/>
  <c r="X183" i="5"/>
  <c r="W183" i="5"/>
  <c r="V183" i="5"/>
  <c r="U183" i="5"/>
  <c r="T183" i="5"/>
  <c r="S183" i="5"/>
  <c r="R183" i="5"/>
  <c r="Q183" i="5"/>
  <c r="P183" i="5"/>
  <c r="O183" i="5"/>
  <c r="N183" i="5"/>
  <c r="AD182" i="5"/>
  <c r="AC182" i="5"/>
  <c r="AB182" i="5"/>
  <c r="AA182" i="5"/>
  <c r="Z182" i="5"/>
  <c r="Y182" i="5"/>
  <c r="X182" i="5"/>
  <c r="W182" i="5"/>
  <c r="V182" i="5"/>
  <c r="U182" i="5"/>
  <c r="T182" i="5"/>
  <c r="S182" i="5"/>
  <c r="R182" i="5"/>
  <c r="Q182" i="5"/>
  <c r="P182" i="5"/>
  <c r="O182" i="5"/>
  <c r="N182" i="5"/>
  <c r="AD181" i="5"/>
  <c r="AC181" i="5"/>
  <c r="AB181" i="5"/>
  <c r="AA181" i="5"/>
  <c r="Z181" i="5"/>
  <c r="Y181" i="5"/>
  <c r="X181" i="5"/>
  <c r="W181" i="5"/>
  <c r="V181" i="5"/>
  <c r="U181" i="5"/>
  <c r="T181" i="5"/>
  <c r="S181" i="5"/>
  <c r="R181" i="5"/>
  <c r="Q181" i="5"/>
  <c r="P181" i="5"/>
  <c r="O181" i="5"/>
  <c r="N181" i="5"/>
  <c r="AD180" i="5"/>
  <c r="AC180" i="5"/>
  <c r="AB180" i="5"/>
  <c r="AA180" i="5"/>
  <c r="Z180" i="5"/>
  <c r="Y180" i="5"/>
  <c r="X180" i="5"/>
  <c r="W180" i="5"/>
  <c r="V180" i="5"/>
  <c r="U180" i="5"/>
  <c r="T180" i="5"/>
  <c r="S180" i="5"/>
  <c r="R180" i="5"/>
  <c r="Q180" i="5"/>
  <c r="P180" i="5"/>
  <c r="O180" i="5"/>
  <c r="N180" i="5"/>
  <c r="AD179" i="5"/>
  <c r="AC179" i="5"/>
  <c r="AB179" i="5"/>
  <c r="AA179" i="5"/>
  <c r="Z179" i="5"/>
  <c r="Y179" i="5"/>
  <c r="X179" i="5"/>
  <c r="W179" i="5"/>
  <c r="V179" i="5"/>
  <c r="U179" i="5"/>
  <c r="T179" i="5"/>
  <c r="S179" i="5"/>
  <c r="R179" i="5"/>
  <c r="Q179" i="5"/>
  <c r="P179" i="5"/>
  <c r="O179" i="5"/>
  <c r="N179" i="5"/>
  <c r="AD178" i="5"/>
  <c r="AC178" i="5"/>
  <c r="AB178" i="5"/>
  <c r="AA178" i="5"/>
  <c r="Z178" i="5"/>
  <c r="Y178" i="5"/>
  <c r="X178" i="5"/>
  <c r="W178" i="5"/>
  <c r="V178" i="5"/>
  <c r="U178" i="5"/>
  <c r="T178" i="5"/>
  <c r="S178" i="5"/>
  <c r="R178" i="5"/>
  <c r="Q178" i="5"/>
  <c r="P178" i="5"/>
  <c r="O178" i="5"/>
  <c r="N178" i="5"/>
  <c r="AD177" i="5"/>
  <c r="AC177" i="5"/>
  <c r="AB177" i="5"/>
  <c r="AA177" i="5"/>
  <c r="Z177" i="5"/>
  <c r="Y177" i="5"/>
  <c r="X177" i="5"/>
  <c r="W177" i="5"/>
  <c r="V177" i="5"/>
  <c r="U177" i="5"/>
  <c r="T177" i="5"/>
  <c r="S177" i="5"/>
  <c r="R177" i="5"/>
  <c r="Q177" i="5"/>
  <c r="P177" i="5"/>
  <c r="O177" i="5"/>
  <c r="N177" i="5"/>
  <c r="AD176" i="5"/>
  <c r="AC176" i="5"/>
  <c r="AB176" i="5"/>
  <c r="AA176" i="5"/>
  <c r="Z176" i="5"/>
  <c r="Y176" i="5"/>
  <c r="X176" i="5"/>
  <c r="W176" i="5"/>
  <c r="V176" i="5"/>
  <c r="U176" i="5"/>
  <c r="T176" i="5"/>
  <c r="S176" i="5"/>
  <c r="R176" i="5"/>
  <c r="Q176" i="5"/>
  <c r="P176" i="5"/>
  <c r="O176" i="5"/>
  <c r="N176" i="5"/>
  <c r="AD175" i="5"/>
  <c r="AC175" i="5"/>
  <c r="AB175" i="5"/>
  <c r="AA175" i="5"/>
  <c r="Z175" i="5"/>
  <c r="Y175" i="5"/>
  <c r="X175" i="5"/>
  <c r="W175" i="5"/>
  <c r="V175" i="5"/>
  <c r="U175" i="5"/>
  <c r="T175" i="5"/>
  <c r="S175" i="5"/>
  <c r="R175" i="5"/>
  <c r="Q175" i="5"/>
  <c r="P175" i="5"/>
  <c r="O175" i="5"/>
  <c r="N175" i="5"/>
  <c r="AD174" i="5"/>
  <c r="AC174" i="5"/>
  <c r="AB174" i="5"/>
  <c r="AA174" i="5"/>
  <c r="Z174" i="5"/>
  <c r="Y174" i="5"/>
  <c r="X174" i="5"/>
  <c r="W174" i="5"/>
  <c r="V174" i="5"/>
  <c r="U174" i="5"/>
  <c r="T174" i="5"/>
  <c r="S174" i="5"/>
  <c r="R174" i="5"/>
  <c r="Q174" i="5"/>
  <c r="P174" i="5"/>
  <c r="O174" i="5"/>
  <c r="N174" i="5"/>
  <c r="AD173" i="5"/>
  <c r="AC173" i="5"/>
  <c r="AB173" i="5"/>
  <c r="AA173" i="5"/>
  <c r="Z173" i="5"/>
  <c r="Y173" i="5"/>
  <c r="X173" i="5"/>
  <c r="W173" i="5"/>
  <c r="V173" i="5"/>
  <c r="U173" i="5"/>
  <c r="T173" i="5"/>
  <c r="S173" i="5"/>
  <c r="R173" i="5"/>
  <c r="Q173" i="5"/>
  <c r="P173" i="5"/>
  <c r="O173" i="5"/>
  <c r="N173" i="5"/>
  <c r="AD172" i="5"/>
  <c r="AC172" i="5"/>
  <c r="AB172" i="5"/>
  <c r="AA172" i="5"/>
  <c r="Z172" i="5"/>
  <c r="Y172" i="5"/>
  <c r="X172" i="5"/>
  <c r="W172" i="5"/>
  <c r="V172" i="5"/>
  <c r="U172" i="5"/>
  <c r="T172" i="5"/>
  <c r="S172" i="5"/>
  <c r="R172" i="5"/>
  <c r="Q172" i="5"/>
  <c r="P172" i="5"/>
  <c r="O172" i="5"/>
  <c r="N172" i="5"/>
  <c r="AD171" i="5"/>
  <c r="AC171" i="5"/>
  <c r="AB171" i="5"/>
  <c r="AA171" i="5"/>
  <c r="Z171" i="5"/>
  <c r="Y171" i="5"/>
  <c r="X171" i="5"/>
  <c r="W171" i="5"/>
  <c r="V171" i="5"/>
  <c r="U171" i="5"/>
  <c r="T171" i="5"/>
  <c r="S171" i="5"/>
  <c r="R171" i="5"/>
  <c r="Q171" i="5"/>
  <c r="P171" i="5"/>
  <c r="O171" i="5"/>
  <c r="N171" i="5"/>
  <c r="AD170" i="5"/>
  <c r="AC170" i="5"/>
  <c r="AB170" i="5"/>
  <c r="AA170" i="5"/>
  <c r="Z170" i="5"/>
  <c r="Y170" i="5"/>
  <c r="X170" i="5"/>
  <c r="W170" i="5"/>
  <c r="V170" i="5"/>
  <c r="U170" i="5"/>
  <c r="T170" i="5"/>
  <c r="S170" i="5"/>
  <c r="R170" i="5"/>
  <c r="Q170" i="5"/>
  <c r="P170" i="5"/>
  <c r="O170" i="5"/>
  <c r="N170" i="5"/>
  <c r="AD169" i="5"/>
  <c r="AC169" i="5"/>
  <c r="AB169" i="5"/>
  <c r="AA169" i="5"/>
  <c r="Z169" i="5"/>
  <c r="Y169" i="5"/>
  <c r="X169" i="5"/>
  <c r="W169" i="5"/>
  <c r="V169" i="5"/>
  <c r="U169" i="5"/>
  <c r="T169" i="5"/>
  <c r="S169" i="5"/>
  <c r="R169" i="5"/>
  <c r="Q169" i="5"/>
  <c r="P169" i="5"/>
  <c r="O169" i="5"/>
  <c r="N169" i="5"/>
  <c r="AD168" i="5"/>
  <c r="AC168" i="5"/>
  <c r="AB168" i="5"/>
  <c r="AA168" i="5"/>
  <c r="Z168" i="5"/>
  <c r="Y168" i="5"/>
  <c r="X168" i="5"/>
  <c r="W168" i="5"/>
  <c r="V168" i="5"/>
  <c r="U168" i="5"/>
  <c r="T168" i="5"/>
  <c r="S168" i="5"/>
  <c r="R168" i="5"/>
  <c r="Q168" i="5"/>
  <c r="P168" i="5"/>
  <c r="O168" i="5"/>
  <c r="N168" i="5"/>
  <c r="AD167" i="5"/>
  <c r="AC167" i="5"/>
  <c r="AB167" i="5"/>
  <c r="AA167" i="5"/>
  <c r="Z167" i="5"/>
  <c r="Y167" i="5"/>
  <c r="X167" i="5"/>
  <c r="W167" i="5"/>
  <c r="V167" i="5"/>
  <c r="U167" i="5"/>
  <c r="T167" i="5"/>
  <c r="S167" i="5"/>
  <c r="R167" i="5"/>
  <c r="Q167" i="5"/>
  <c r="P167" i="5"/>
  <c r="O167" i="5"/>
  <c r="N167" i="5"/>
  <c r="AD166" i="5"/>
  <c r="AC166" i="5"/>
  <c r="AB166" i="5"/>
  <c r="AA166" i="5"/>
  <c r="Z166" i="5"/>
  <c r="Y166" i="5"/>
  <c r="X166" i="5"/>
  <c r="W166" i="5"/>
  <c r="V166" i="5"/>
  <c r="U166" i="5"/>
  <c r="T166" i="5"/>
  <c r="S166" i="5"/>
  <c r="R166" i="5"/>
  <c r="Q166" i="5"/>
  <c r="P166" i="5"/>
  <c r="O166" i="5"/>
  <c r="N166" i="5"/>
  <c r="AD165" i="5"/>
  <c r="AC165" i="5"/>
  <c r="AB165" i="5"/>
  <c r="AA165" i="5"/>
  <c r="Z165" i="5"/>
  <c r="Y165" i="5"/>
  <c r="X165" i="5"/>
  <c r="W165" i="5"/>
  <c r="V165" i="5"/>
  <c r="U165" i="5"/>
  <c r="T165" i="5"/>
  <c r="S165" i="5"/>
  <c r="R165" i="5"/>
  <c r="Q165" i="5"/>
  <c r="P165" i="5"/>
  <c r="O165" i="5"/>
  <c r="N165" i="5"/>
  <c r="AD164" i="5"/>
  <c r="AC164" i="5"/>
  <c r="AB164" i="5"/>
  <c r="AA164" i="5"/>
  <c r="Z164" i="5"/>
  <c r="Y164" i="5"/>
  <c r="X164" i="5"/>
  <c r="W164" i="5"/>
  <c r="V164" i="5"/>
  <c r="U164" i="5"/>
  <c r="T164" i="5"/>
  <c r="S164" i="5"/>
  <c r="R164" i="5"/>
  <c r="Q164" i="5"/>
  <c r="P164" i="5"/>
  <c r="O164" i="5"/>
  <c r="N164" i="5"/>
  <c r="AD163" i="5"/>
  <c r="AC163" i="5"/>
  <c r="AB163" i="5"/>
  <c r="AA163" i="5"/>
  <c r="Z163" i="5"/>
  <c r="Y163" i="5"/>
  <c r="X163" i="5"/>
  <c r="W163" i="5"/>
  <c r="V163" i="5"/>
  <c r="U163" i="5"/>
  <c r="T163" i="5"/>
  <c r="S163" i="5"/>
  <c r="R163" i="5"/>
  <c r="Q163" i="5"/>
  <c r="P163" i="5"/>
  <c r="O163" i="5"/>
  <c r="N163" i="5"/>
  <c r="AD162" i="5"/>
  <c r="AC162" i="5"/>
  <c r="AB162" i="5"/>
  <c r="AA162" i="5"/>
  <c r="Z162" i="5"/>
  <c r="Y162" i="5"/>
  <c r="X162" i="5"/>
  <c r="W162" i="5"/>
  <c r="V162" i="5"/>
  <c r="U162" i="5"/>
  <c r="T162" i="5"/>
  <c r="S162" i="5"/>
  <c r="R162" i="5"/>
  <c r="Q162" i="5"/>
  <c r="P162" i="5"/>
  <c r="O162" i="5"/>
  <c r="N162" i="5"/>
  <c r="AD161" i="5"/>
  <c r="AC161" i="5"/>
  <c r="AB161" i="5"/>
  <c r="AA161" i="5"/>
  <c r="Z161" i="5"/>
  <c r="Y161" i="5"/>
  <c r="X161" i="5"/>
  <c r="W161" i="5"/>
  <c r="V161" i="5"/>
  <c r="U161" i="5"/>
  <c r="T161" i="5"/>
  <c r="S161" i="5"/>
  <c r="R161" i="5"/>
  <c r="Q161" i="5"/>
  <c r="P161" i="5"/>
  <c r="O161" i="5"/>
  <c r="N161" i="5"/>
  <c r="AD160" i="5"/>
  <c r="AC160" i="5"/>
  <c r="AB160" i="5"/>
  <c r="AA160" i="5"/>
  <c r="Z160" i="5"/>
  <c r="Y160" i="5"/>
  <c r="X160" i="5"/>
  <c r="W160" i="5"/>
  <c r="V160" i="5"/>
  <c r="U160" i="5"/>
  <c r="T160" i="5"/>
  <c r="S160" i="5"/>
  <c r="R160" i="5"/>
  <c r="Q160" i="5"/>
  <c r="P160" i="5"/>
  <c r="O160" i="5"/>
  <c r="N160" i="5"/>
  <c r="AD159" i="5"/>
  <c r="AC159" i="5"/>
  <c r="AB159" i="5"/>
  <c r="AA159" i="5"/>
  <c r="Z159" i="5"/>
  <c r="Y159" i="5"/>
  <c r="X159" i="5"/>
  <c r="W159" i="5"/>
  <c r="V159" i="5"/>
  <c r="U159" i="5"/>
  <c r="T159" i="5"/>
  <c r="S159" i="5"/>
  <c r="R159" i="5"/>
  <c r="Q159" i="5"/>
  <c r="P159" i="5"/>
  <c r="O159" i="5"/>
  <c r="N159" i="5"/>
  <c r="AD158" i="5"/>
  <c r="AC158" i="5"/>
  <c r="AB158" i="5"/>
  <c r="AA158" i="5"/>
  <c r="Z158" i="5"/>
  <c r="Y158" i="5"/>
  <c r="X158" i="5"/>
  <c r="W158" i="5"/>
  <c r="V158" i="5"/>
  <c r="U158" i="5"/>
  <c r="T158" i="5"/>
  <c r="S158" i="5"/>
  <c r="R158" i="5"/>
  <c r="Q158" i="5"/>
  <c r="P158" i="5"/>
  <c r="O158" i="5"/>
  <c r="N158" i="5"/>
  <c r="AD157" i="5"/>
  <c r="AC157" i="5"/>
  <c r="AB157" i="5"/>
  <c r="AA157" i="5"/>
  <c r="Z157" i="5"/>
  <c r="Y157" i="5"/>
  <c r="X157" i="5"/>
  <c r="W157" i="5"/>
  <c r="V157" i="5"/>
  <c r="U157" i="5"/>
  <c r="T157" i="5"/>
  <c r="S157" i="5"/>
  <c r="R157" i="5"/>
  <c r="Q157" i="5"/>
  <c r="P157" i="5"/>
  <c r="O157" i="5"/>
  <c r="N157" i="5"/>
  <c r="AD156" i="5"/>
  <c r="AC156" i="5"/>
  <c r="AB156" i="5"/>
  <c r="AA156" i="5"/>
  <c r="Z156" i="5"/>
  <c r="Y156" i="5"/>
  <c r="X156" i="5"/>
  <c r="W156" i="5"/>
  <c r="V156" i="5"/>
  <c r="U156" i="5"/>
  <c r="T156" i="5"/>
  <c r="S156" i="5"/>
  <c r="R156" i="5"/>
  <c r="Q156" i="5"/>
  <c r="P156" i="5"/>
  <c r="O156" i="5"/>
  <c r="N156" i="5"/>
  <c r="AD155" i="5"/>
  <c r="AC155" i="5"/>
  <c r="AB155" i="5"/>
  <c r="AA155" i="5"/>
  <c r="Z155" i="5"/>
  <c r="Y155" i="5"/>
  <c r="X155" i="5"/>
  <c r="W155" i="5"/>
  <c r="V155" i="5"/>
  <c r="U155" i="5"/>
  <c r="T155" i="5"/>
  <c r="S155" i="5"/>
  <c r="R155" i="5"/>
  <c r="Q155" i="5"/>
  <c r="P155" i="5"/>
  <c r="O155" i="5"/>
  <c r="N155" i="5"/>
  <c r="AD154" i="5"/>
  <c r="AC154" i="5"/>
  <c r="AB154" i="5"/>
  <c r="AA154" i="5"/>
  <c r="Z154" i="5"/>
  <c r="Y154" i="5"/>
  <c r="X154" i="5"/>
  <c r="W154" i="5"/>
  <c r="V154" i="5"/>
  <c r="U154" i="5"/>
  <c r="T154" i="5"/>
  <c r="S154" i="5"/>
  <c r="R154" i="5"/>
  <c r="Q154" i="5"/>
  <c r="P154" i="5"/>
  <c r="O154" i="5"/>
  <c r="N154" i="5"/>
  <c r="AD153" i="5"/>
  <c r="AC153" i="5"/>
  <c r="AB153" i="5"/>
  <c r="AA153" i="5"/>
  <c r="Z153" i="5"/>
  <c r="Y153" i="5"/>
  <c r="X153" i="5"/>
  <c r="W153" i="5"/>
  <c r="V153" i="5"/>
  <c r="U153" i="5"/>
  <c r="T153" i="5"/>
  <c r="S153" i="5"/>
  <c r="R153" i="5"/>
  <c r="Q153" i="5"/>
  <c r="P153" i="5"/>
  <c r="O153" i="5"/>
  <c r="N153" i="5"/>
  <c r="AD152" i="5"/>
  <c r="AC152" i="5"/>
  <c r="AB152" i="5"/>
  <c r="AA152" i="5"/>
  <c r="Z152" i="5"/>
  <c r="Y152" i="5"/>
  <c r="X152" i="5"/>
  <c r="W152" i="5"/>
  <c r="V152" i="5"/>
  <c r="U152" i="5"/>
  <c r="T152" i="5"/>
  <c r="S152" i="5"/>
  <c r="R152" i="5"/>
  <c r="Q152" i="5"/>
  <c r="P152" i="5"/>
  <c r="O152" i="5"/>
  <c r="N152" i="5"/>
  <c r="AD151" i="5"/>
  <c r="AC151" i="5"/>
  <c r="AB151" i="5"/>
  <c r="AA151" i="5"/>
  <c r="Z151" i="5"/>
  <c r="Y151" i="5"/>
  <c r="X151" i="5"/>
  <c r="W151" i="5"/>
  <c r="V151" i="5"/>
  <c r="U151" i="5"/>
  <c r="T151" i="5"/>
  <c r="S151" i="5"/>
  <c r="R151" i="5"/>
  <c r="Q151" i="5"/>
  <c r="P151" i="5"/>
  <c r="O151" i="5"/>
  <c r="N151" i="5"/>
  <c r="AD150" i="5"/>
  <c r="AC150" i="5"/>
  <c r="AB150" i="5"/>
  <c r="AA150" i="5"/>
  <c r="Z150" i="5"/>
  <c r="Y150" i="5"/>
  <c r="X150" i="5"/>
  <c r="W150" i="5"/>
  <c r="V150" i="5"/>
  <c r="U150" i="5"/>
  <c r="T150" i="5"/>
  <c r="S150" i="5"/>
  <c r="R150" i="5"/>
  <c r="Q150" i="5"/>
  <c r="P150" i="5"/>
  <c r="O150" i="5"/>
  <c r="N150" i="5"/>
  <c r="AD149" i="5"/>
  <c r="AC149" i="5"/>
  <c r="AB149" i="5"/>
  <c r="AA149" i="5"/>
  <c r="Z149" i="5"/>
  <c r="Y149" i="5"/>
  <c r="X149" i="5"/>
  <c r="W149" i="5"/>
  <c r="V149" i="5"/>
  <c r="U149" i="5"/>
  <c r="T149" i="5"/>
  <c r="S149" i="5"/>
  <c r="R149" i="5"/>
  <c r="Q149" i="5"/>
  <c r="P149" i="5"/>
  <c r="O149" i="5"/>
  <c r="N149" i="5"/>
  <c r="AD148" i="5"/>
  <c r="AC148" i="5"/>
  <c r="AB148" i="5"/>
  <c r="AA148" i="5"/>
  <c r="Z148" i="5"/>
  <c r="Y148" i="5"/>
  <c r="X148" i="5"/>
  <c r="W148" i="5"/>
  <c r="V148" i="5"/>
  <c r="U148" i="5"/>
  <c r="T148" i="5"/>
  <c r="S148" i="5"/>
  <c r="R148" i="5"/>
  <c r="Q148" i="5"/>
  <c r="P148" i="5"/>
  <c r="O148" i="5"/>
  <c r="N148" i="5"/>
  <c r="AD147" i="5"/>
  <c r="AC147" i="5"/>
  <c r="AB147" i="5"/>
  <c r="AA147" i="5"/>
  <c r="Z147" i="5"/>
  <c r="Y147" i="5"/>
  <c r="X147" i="5"/>
  <c r="W147" i="5"/>
  <c r="V147" i="5"/>
  <c r="U147" i="5"/>
  <c r="T147" i="5"/>
  <c r="S147" i="5"/>
  <c r="R147" i="5"/>
  <c r="Q147" i="5"/>
  <c r="P147" i="5"/>
  <c r="O147" i="5"/>
  <c r="N147" i="5"/>
  <c r="AD146" i="5"/>
  <c r="AC146" i="5"/>
  <c r="AB146" i="5"/>
  <c r="AA146" i="5"/>
  <c r="Z146" i="5"/>
  <c r="Y146" i="5"/>
  <c r="X146" i="5"/>
  <c r="W146" i="5"/>
  <c r="V146" i="5"/>
  <c r="U146" i="5"/>
  <c r="T146" i="5"/>
  <c r="S146" i="5"/>
  <c r="R146" i="5"/>
  <c r="Q146" i="5"/>
  <c r="P146" i="5"/>
  <c r="O146" i="5"/>
  <c r="N146" i="5"/>
  <c r="AD145" i="5"/>
  <c r="AC145" i="5"/>
  <c r="AB145" i="5"/>
  <c r="AA145" i="5"/>
  <c r="Z145" i="5"/>
  <c r="Y145" i="5"/>
  <c r="X145" i="5"/>
  <c r="W145" i="5"/>
  <c r="V145" i="5"/>
  <c r="U145" i="5"/>
  <c r="T145" i="5"/>
  <c r="S145" i="5"/>
  <c r="R145" i="5"/>
  <c r="Q145" i="5"/>
  <c r="P145" i="5"/>
  <c r="O145" i="5"/>
  <c r="N145" i="5"/>
  <c r="AD144" i="5"/>
  <c r="AC144" i="5"/>
  <c r="AB144" i="5"/>
  <c r="AA144" i="5"/>
  <c r="Z144" i="5"/>
  <c r="Y144" i="5"/>
  <c r="X144" i="5"/>
  <c r="W144" i="5"/>
  <c r="V144" i="5"/>
  <c r="U144" i="5"/>
  <c r="T144" i="5"/>
  <c r="S144" i="5"/>
  <c r="R144" i="5"/>
  <c r="Q144" i="5"/>
  <c r="P144" i="5"/>
  <c r="O144" i="5"/>
  <c r="N144" i="5"/>
  <c r="AD143" i="5"/>
  <c r="AC143" i="5"/>
  <c r="AB143" i="5"/>
  <c r="AA143" i="5"/>
  <c r="Z143" i="5"/>
  <c r="Y143" i="5"/>
  <c r="X143" i="5"/>
  <c r="W143" i="5"/>
  <c r="V143" i="5"/>
  <c r="U143" i="5"/>
  <c r="T143" i="5"/>
  <c r="S143" i="5"/>
  <c r="R143" i="5"/>
  <c r="Q143" i="5"/>
  <c r="P143" i="5"/>
  <c r="O143" i="5"/>
  <c r="N143" i="5"/>
  <c r="AD142" i="5"/>
  <c r="AC142" i="5"/>
  <c r="AB142" i="5"/>
  <c r="AA142" i="5"/>
  <c r="Z142" i="5"/>
  <c r="Y142" i="5"/>
  <c r="X142" i="5"/>
  <c r="W142" i="5"/>
  <c r="V142" i="5"/>
  <c r="U142" i="5"/>
  <c r="T142" i="5"/>
  <c r="S142" i="5"/>
  <c r="R142" i="5"/>
  <c r="Q142" i="5"/>
  <c r="P142" i="5"/>
  <c r="O142" i="5"/>
  <c r="N142" i="5"/>
  <c r="AD141" i="5"/>
  <c r="AC141" i="5"/>
  <c r="AB141" i="5"/>
  <c r="AA141" i="5"/>
  <c r="Z141" i="5"/>
  <c r="Y141" i="5"/>
  <c r="X141" i="5"/>
  <c r="W141" i="5"/>
  <c r="V141" i="5"/>
  <c r="U141" i="5"/>
  <c r="T141" i="5"/>
  <c r="S141" i="5"/>
  <c r="R141" i="5"/>
  <c r="Q141" i="5"/>
  <c r="P141" i="5"/>
  <c r="O141" i="5"/>
  <c r="N141" i="5"/>
  <c r="AD140" i="5"/>
  <c r="AC140" i="5"/>
  <c r="AB140" i="5"/>
  <c r="AA140" i="5"/>
  <c r="Z140" i="5"/>
  <c r="Y140" i="5"/>
  <c r="X140" i="5"/>
  <c r="W140" i="5"/>
  <c r="V140" i="5"/>
  <c r="U140" i="5"/>
  <c r="T140" i="5"/>
  <c r="S140" i="5"/>
  <c r="R140" i="5"/>
  <c r="Q140" i="5"/>
  <c r="P140" i="5"/>
  <c r="O140" i="5"/>
  <c r="N140" i="5"/>
  <c r="AD139" i="5"/>
  <c r="AC139" i="5"/>
  <c r="AB139" i="5"/>
  <c r="AA139" i="5"/>
  <c r="Z139" i="5"/>
  <c r="Y139" i="5"/>
  <c r="X139" i="5"/>
  <c r="W139" i="5"/>
  <c r="V139" i="5"/>
  <c r="U139" i="5"/>
  <c r="T139" i="5"/>
  <c r="S139" i="5"/>
  <c r="R139" i="5"/>
  <c r="Q139" i="5"/>
  <c r="P139" i="5"/>
  <c r="O139" i="5"/>
  <c r="N139" i="5"/>
  <c r="AD138" i="5"/>
  <c r="AC138" i="5"/>
  <c r="AB138" i="5"/>
  <c r="AA138" i="5"/>
  <c r="Z138" i="5"/>
  <c r="Y138" i="5"/>
  <c r="X138" i="5"/>
  <c r="W138" i="5"/>
  <c r="V138" i="5"/>
  <c r="U138" i="5"/>
  <c r="T138" i="5"/>
  <c r="S138" i="5"/>
  <c r="R138" i="5"/>
  <c r="Q138" i="5"/>
  <c r="P138" i="5"/>
  <c r="O138" i="5"/>
  <c r="N138" i="5"/>
  <c r="AD137" i="5"/>
  <c r="AC137" i="5"/>
  <c r="AB137" i="5"/>
  <c r="AA137" i="5"/>
  <c r="Z137" i="5"/>
  <c r="Y137" i="5"/>
  <c r="X137" i="5"/>
  <c r="W137" i="5"/>
  <c r="V137" i="5"/>
  <c r="U137" i="5"/>
  <c r="T137" i="5"/>
  <c r="S137" i="5"/>
  <c r="R137" i="5"/>
  <c r="Q137" i="5"/>
  <c r="P137" i="5"/>
  <c r="O137" i="5"/>
  <c r="N137" i="5"/>
  <c r="AD136" i="5"/>
  <c r="AC136" i="5"/>
  <c r="AB136" i="5"/>
  <c r="AA136" i="5"/>
  <c r="Z136" i="5"/>
  <c r="Y136" i="5"/>
  <c r="X136" i="5"/>
  <c r="W136" i="5"/>
  <c r="V136" i="5"/>
  <c r="U136" i="5"/>
  <c r="T136" i="5"/>
  <c r="S136" i="5"/>
  <c r="R136" i="5"/>
  <c r="Q136" i="5"/>
  <c r="P136" i="5"/>
  <c r="O136" i="5"/>
  <c r="N136" i="5"/>
  <c r="AD135" i="5"/>
  <c r="AC135" i="5"/>
  <c r="AB135" i="5"/>
  <c r="AA135" i="5"/>
  <c r="Z135" i="5"/>
  <c r="Y135" i="5"/>
  <c r="X135" i="5"/>
  <c r="W135" i="5"/>
  <c r="V135" i="5"/>
  <c r="U135" i="5"/>
  <c r="T135" i="5"/>
  <c r="S135" i="5"/>
  <c r="R135" i="5"/>
  <c r="Q135" i="5"/>
  <c r="P135" i="5"/>
  <c r="O135" i="5"/>
  <c r="N135" i="5"/>
  <c r="AD134" i="5"/>
  <c r="AC134" i="5"/>
  <c r="AB134" i="5"/>
  <c r="AA134" i="5"/>
  <c r="Z134" i="5"/>
  <c r="Y134" i="5"/>
  <c r="X134" i="5"/>
  <c r="W134" i="5"/>
  <c r="V134" i="5"/>
  <c r="U134" i="5"/>
  <c r="T134" i="5"/>
  <c r="S134" i="5"/>
  <c r="R134" i="5"/>
  <c r="Q134" i="5"/>
  <c r="P134" i="5"/>
  <c r="O134" i="5"/>
  <c r="N134" i="5"/>
  <c r="AD133" i="5"/>
  <c r="AC133" i="5"/>
  <c r="AB133" i="5"/>
  <c r="AA133" i="5"/>
  <c r="Z133" i="5"/>
  <c r="Y133" i="5"/>
  <c r="X133" i="5"/>
  <c r="W133" i="5"/>
  <c r="V133" i="5"/>
  <c r="U133" i="5"/>
  <c r="T133" i="5"/>
  <c r="S133" i="5"/>
  <c r="R133" i="5"/>
  <c r="Q133" i="5"/>
  <c r="P133" i="5"/>
  <c r="O133" i="5"/>
  <c r="N133" i="5"/>
  <c r="AD132" i="5"/>
  <c r="AC132" i="5"/>
  <c r="AB132" i="5"/>
  <c r="AA132" i="5"/>
  <c r="Z132" i="5"/>
  <c r="Y132" i="5"/>
  <c r="X132" i="5"/>
  <c r="W132" i="5"/>
  <c r="V132" i="5"/>
  <c r="U132" i="5"/>
  <c r="T132" i="5"/>
  <c r="S132" i="5"/>
  <c r="R132" i="5"/>
  <c r="Q132" i="5"/>
  <c r="P132" i="5"/>
  <c r="O132" i="5"/>
  <c r="N132" i="5"/>
  <c r="AD131" i="5"/>
  <c r="AC131" i="5"/>
  <c r="AB131" i="5"/>
  <c r="AA131" i="5"/>
  <c r="Z131" i="5"/>
  <c r="Y131" i="5"/>
  <c r="X131" i="5"/>
  <c r="W131" i="5"/>
  <c r="V131" i="5"/>
  <c r="U131" i="5"/>
  <c r="T131" i="5"/>
  <c r="S131" i="5"/>
  <c r="R131" i="5"/>
  <c r="Q131" i="5"/>
  <c r="P131" i="5"/>
  <c r="O131" i="5"/>
  <c r="N131" i="5"/>
  <c r="AD130" i="5"/>
  <c r="AC130" i="5"/>
  <c r="AB130" i="5"/>
  <c r="AA130" i="5"/>
  <c r="Z130" i="5"/>
  <c r="Y130" i="5"/>
  <c r="X130" i="5"/>
  <c r="W130" i="5"/>
  <c r="V130" i="5"/>
  <c r="U130" i="5"/>
  <c r="T130" i="5"/>
  <c r="S130" i="5"/>
  <c r="R130" i="5"/>
  <c r="Q130" i="5"/>
  <c r="P130" i="5"/>
  <c r="O130" i="5"/>
  <c r="N130" i="5"/>
  <c r="AD129" i="5"/>
  <c r="AC129" i="5"/>
  <c r="AB129" i="5"/>
  <c r="AA129" i="5"/>
  <c r="Z129" i="5"/>
  <c r="Y129" i="5"/>
  <c r="X129" i="5"/>
  <c r="W129" i="5"/>
  <c r="V129" i="5"/>
  <c r="U129" i="5"/>
  <c r="T129" i="5"/>
  <c r="S129" i="5"/>
  <c r="R129" i="5"/>
  <c r="Q129" i="5"/>
  <c r="P129" i="5"/>
  <c r="O129" i="5"/>
  <c r="N129" i="5"/>
  <c r="AD128" i="5"/>
  <c r="AC128" i="5"/>
  <c r="AB128" i="5"/>
  <c r="AA128" i="5"/>
  <c r="Z128" i="5"/>
  <c r="Y128" i="5"/>
  <c r="X128" i="5"/>
  <c r="W128" i="5"/>
  <c r="V128" i="5"/>
  <c r="U128" i="5"/>
  <c r="T128" i="5"/>
  <c r="S128" i="5"/>
  <c r="R128" i="5"/>
  <c r="Q128" i="5"/>
  <c r="P128" i="5"/>
  <c r="O128" i="5"/>
  <c r="N128" i="5"/>
  <c r="AD127" i="5"/>
  <c r="AC127" i="5"/>
  <c r="AB127" i="5"/>
  <c r="AA127" i="5"/>
  <c r="Z127" i="5"/>
  <c r="Y127" i="5"/>
  <c r="X127" i="5"/>
  <c r="W127" i="5"/>
  <c r="V127" i="5"/>
  <c r="U127" i="5"/>
  <c r="T127" i="5"/>
  <c r="S127" i="5"/>
  <c r="R127" i="5"/>
  <c r="Q127" i="5"/>
  <c r="P127" i="5"/>
  <c r="O127" i="5"/>
  <c r="N127" i="5"/>
  <c r="AD126" i="5"/>
  <c r="AC126" i="5"/>
  <c r="AB126" i="5"/>
  <c r="AA126" i="5"/>
  <c r="Z126" i="5"/>
  <c r="Y126" i="5"/>
  <c r="X126" i="5"/>
  <c r="W126" i="5"/>
  <c r="V126" i="5"/>
  <c r="U126" i="5"/>
  <c r="T126" i="5"/>
  <c r="S126" i="5"/>
  <c r="R126" i="5"/>
  <c r="Q126" i="5"/>
  <c r="P126" i="5"/>
  <c r="O126" i="5"/>
  <c r="N126" i="5"/>
  <c r="AD125" i="5"/>
  <c r="AC125" i="5"/>
  <c r="AB125" i="5"/>
  <c r="AA125" i="5"/>
  <c r="Z125" i="5"/>
  <c r="Y125" i="5"/>
  <c r="X125" i="5"/>
  <c r="W125" i="5"/>
  <c r="V125" i="5"/>
  <c r="U125" i="5"/>
  <c r="T125" i="5"/>
  <c r="S125" i="5"/>
  <c r="R125" i="5"/>
  <c r="Q125" i="5"/>
  <c r="P125" i="5"/>
  <c r="O125" i="5"/>
  <c r="N125" i="5"/>
  <c r="AD124" i="5"/>
  <c r="AC124" i="5"/>
  <c r="AB124" i="5"/>
  <c r="AA124" i="5"/>
  <c r="Z124" i="5"/>
  <c r="Y124" i="5"/>
  <c r="X124" i="5"/>
  <c r="W124" i="5"/>
  <c r="V124" i="5"/>
  <c r="U124" i="5"/>
  <c r="T124" i="5"/>
  <c r="S124" i="5"/>
  <c r="R124" i="5"/>
  <c r="Q124" i="5"/>
  <c r="P124" i="5"/>
  <c r="O124" i="5"/>
  <c r="N124" i="5"/>
  <c r="AD123" i="5"/>
  <c r="AC123" i="5"/>
  <c r="AB123" i="5"/>
  <c r="AA123" i="5"/>
  <c r="Z123" i="5"/>
  <c r="Y123" i="5"/>
  <c r="X123" i="5"/>
  <c r="W123" i="5"/>
  <c r="V123" i="5"/>
  <c r="U123" i="5"/>
  <c r="T123" i="5"/>
  <c r="S123" i="5"/>
  <c r="R123" i="5"/>
  <c r="Q123" i="5"/>
  <c r="P123" i="5"/>
  <c r="O123" i="5"/>
  <c r="N123" i="5"/>
  <c r="AD122" i="5"/>
  <c r="AC122" i="5"/>
  <c r="AB122" i="5"/>
  <c r="AA122" i="5"/>
  <c r="Z122" i="5"/>
  <c r="Y122" i="5"/>
  <c r="X122" i="5"/>
  <c r="W122" i="5"/>
  <c r="V122" i="5"/>
  <c r="U122" i="5"/>
  <c r="T122" i="5"/>
  <c r="S122" i="5"/>
  <c r="R122" i="5"/>
  <c r="Q122" i="5"/>
  <c r="P122" i="5"/>
  <c r="O122" i="5"/>
  <c r="N122" i="5"/>
  <c r="AD121" i="5"/>
  <c r="AC121" i="5"/>
  <c r="AB121" i="5"/>
  <c r="AA121" i="5"/>
  <c r="Z121" i="5"/>
  <c r="Y121" i="5"/>
  <c r="X121" i="5"/>
  <c r="W121" i="5"/>
  <c r="V121" i="5"/>
  <c r="U121" i="5"/>
  <c r="T121" i="5"/>
  <c r="S121" i="5"/>
  <c r="R121" i="5"/>
  <c r="Q121" i="5"/>
  <c r="P121" i="5"/>
  <c r="O121" i="5"/>
  <c r="N121" i="5"/>
  <c r="AD120" i="5"/>
  <c r="AC120" i="5"/>
  <c r="AB120" i="5"/>
  <c r="AA120" i="5"/>
  <c r="Z120" i="5"/>
  <c r="Y120" i="5"/>
  <c r="X120" i="5"/>
  <c r="W120" i="5"/>
  <c r="V120" i="5"/>
  <c r="U120" i="5"/>
  <c r="T120" i="5"/>
  <c r="S120" i="5"/>
  <c r="R120" i="5"/>
  <c r="Q120" i="5"/>
  <c r="P120" i="5"/>
  <c r="O120" i="5"/>
  <c r="N120" i="5"/>
  <c r="AD119" i="5"/>
  <c r="AC119" i="5"/>
  <c r="AB119" i="5"/>
  <c r="AA119" i="5"/>
  <c r="Z119" i="5"/>
  <c r="Y119" i="5"/>
  <c r="X119" i="5"/>
  <c r="W119" i="5"/>
  <c r="V119" i="5"/>
  <c r="U119" i="5"/>
  <c r="T119" i="5"/>
  <c r="S119" i="5"/>
  <c r="R119" i="5"/>
  <c r="Q119" i="5"/>
  <c r="P119" i="5"/>
  <c r="O119" i="5"/>
  <c r="N119" i="5"/>
  <c r="AD118" i="5"/>
  <c r="AC118" i="5"/>
  <c r="AB118" i="5"/>
  <c r="AA118" i="5"/>
  <c r="Z118" i="5"/>
  <c r="Y118" i="5"/>
  <c r="X118" i="5"/>
  <c r="W118" i="5"/>
  <c r="V118" i="5"/>
  <c r="U118" i="5"/>
  <c r="T118" i="5"/>
  <c r="S118" i="5"/>
  <c r="R118" i="5"/>
  <c r="Q118" i="5"/>
  <c r="P118" i="5"/>
  <c r="O118" i="5"/>
  <c r="N118" i="5"/>
  <c r="AD117" i="5"/>
  <c r="AC117" i="5"/>
  <c r="AB117" i="5"/>
  <c r="AA117" i="5"/>
  <c r="Z117" i="5"/>
  <c r="Y117" i="5"/>
  <c r="X117" i="5"/>
  <c r="W117" i="5"/>
  <c r="V117" i="5"/>
  <c r="U117" i="5"/>
  <c r="T117" i="5"/>
  <c r="S117" i="5"/>
  <c r="R117" i="5"/>
  <c r="Q117" i="5"/>
  <c r="P117" i="5"/>
  <c r="O117" i="5"/>
  <c r="N117" i="5"/>
  <c r="AD116" i="5"/>
  <c r="AC116" i="5"/>
  <c r="AB116" i="5"/>
  <c r="AA116" i="5"/>
  <c r="Z116" i="5"/>
  <c r="Y116" i="5"/>
  <c r="X116" i="5"/>
  <c r="W116" i="5"/>
  <c r="V116" i="5"/>
  <c r="U116" i="5"/>
  <c r="T116" i="5"/>
  <c r="S116" i="5"/>
  <c r="R116" i="5"/>
  <c r="Q116" i="5"/>
  <c r="P116" i="5"/>
  <c r="O116" i="5"/>
  <c r="N116" i="5"/>
  <c r="AD115" i="5"/>
  <c r="AC115" i="5"/>
  <c r="AB115" i="5"/>
  <c r="AA115" i="5"/>
  <c r="Z115" i="5"/>
  <c r="Y115" i="5"/>
  <c r="X115" i="5"/>
  <c r="W115" i="5"/>
  <c r="V115" i="5"/>
  <c r="U115" i="5"/>
  <c r="T115" i="5"/>
  <c r="S115" i="5"/>
  <c r="R115" i="5"/>
  <c r="Q115" i="5"/>
  <c r="P115" i="5"/>
  <c r="O115" i="5"/>
  <c r="N115" i="5"/>
  <c r="AD114" i="5"/>
  <c r="AC114" i="5"/>
  <c r="AB114" i="5"/>
  <c r="AA114" i="5"/>
  <c r="Z114" i="5"/>
  <c r="Y114" i="5"/>
  <c r="X114" i="5"/>
  <c r="W114" i="5"/>
  <c r="V114" i="5"/>
  <c r="U114" i="5"/>
  <c r="T114" i="5"/>
  <c r="S114" i="5"/>
  <c r="R114" i="5"/>
  <c r="Q114" i="5"/>
  <c r="P114" i="5"/>
  <c r="O114" i="5"/>
  <c r="N114" i="5"/>
  <c r="AD113" i="5"/>
  <c r="AC113" i="5"/>
  <c r="AB113" i="5"/>
  <c r="AA113" i="5"/>
  <c r="Z113" i="5"/>
  <c r="Y113" i="5"/>
  <c r="X113" i="5"/>
  <c r="W113" i="5"/>
  <c r="V113" i="5"/>
  <c r="U113" i="5"/>
  <c r="T113" i="5"/>
  <c r="S113" i="5"/>
  <c r="R113" i="5"/>
  <c r="Q113" i="5"/>
  <c r="P113" i="5"/>
  <c r="O113" i="5"/>
  <c r="N113" i="5"/>
  <c r="AD112" i="5"/>
  <c r="AC112" i="5"/>
  <c r="AB112" i="5"/>
  <c r="AA112" i="5"/>
  <c r="Z112" i="5"/>
  <c r="Y112" i="5"/>
  <c r="X112" i="5"/>
  <c r="W112" i="5"/>
  <c r="V112" i="5"/>
  <c r="U112" i="5"/>
  <c r="T112" i="5"/>
  <c r="S112" i="5"/>
  <c r="R112" i="5"/>
  <c r="Q112" i="5"/>
  <c r="P112" i="5"/>
  <c r="O112" i="5"/>
  <c r="N112" i="5"/>
  <c r="AD111" i="5"/>
  <c r="AC111" i="5"/>
  <c r="AB111" i="5"/>
  <c r="AA111" i="5"/>
  <c r="Z111" i="5"/>
  <c r="Y111" i="5"/>
  <c r="X111" i="5"/>
  <c r="W111" i="5"/>
  <c r="V111" i="5"/>
  <c r="U111" i="5"/>
  <c r="T111" i="5"/>
  <c r="S111" i="5"/>
  <c r="R111" i="5"/>
  <c r="Q111" i="5"/>
  <c r="P111" i="5"/>
  <c r="O111" i="5"/>
  <c r="N111" i="5"/>
  <c r="AD110" i="5"/>
  <c r="AC110" i="5"/>
  <c r="AB110" i="5"/>
  <c r="AA110" i="5"/>
  <c r="Z110" i="5"/>
  <c r="Y110" i="5"/>
  <c r="X110" i="5"/>
  <c r="W110" i="5"/>
  <c r="V110" i="5"/>
  <c r="U110" i="5"/>
  <c r="T110" i="5"/>
  <c r="S110" i="5"/>
  <c r="R110" i="5"/>
  <c r="Q110" i="5"/>
  <c r="P110" i="5"/>
  <c r="O110" i="5"/>
  <c r="N110" i="5"/>
  <c r="AD109" i="5"/>
  <c r="AC109" i="5"/>
  <c r="AB109" i="5"/>
  <c r="AA109" i="5"/>
  <c r="Z109" i="5"/>
  <c r="Y109" i="5"/>
  <c r="X109" i="5"/>
  <c r="W109" i="5"/>
  <c r="V109" i="5"/>
  <c r="U109" i="5"/>
  <c r="T109" i="5"/>
  <c r="S109" i="5"/>
  <c r="R109" i="5"/>
  <c r="Q109" i="5"/>
  <c r="P109" i="5"/>
  <c r="O109" i="5"/>
  <c r="N109" i="5"/>
  <c r="AD108" i="5"/>
  <c r="AC108" i="5"/>
  <c r="AB108" i="5"/>
  <c r="AA108" i="5"/>
  <c r="Z108" i="5"/>
  <c r="Y108" i="5"/>
  <c r="X108" i="5"/>
  <c r="W108" i="5"/>
  <c r="V108" i="5"/>
  <c r="U108" i="5"/>
  <c r="T108" i="5"/>
  <c r="S108" i="5"/>
  <c r="R108" i="5"/>
  <c r="Q108" i="5"/>
  <c r="P108" i="5"/>
  <c r="O108" i="5"/>
  <c r="N108" i="5"/>
  <c r="AD107" i="5"/>
  <c r="AC107" i="5"/>
  <c r="AB107" i="5"/>
  <c r="AA107" i="5"/>
  <c r="Z107" i="5"/>
  <c r="Y107" i="5"/>
  <c r="X107" i="5"/>
  <c r="W107" i="5"/>
  <c r="V107" i="5"/>
  <c r="U107" i="5"/>
  <c r="T107" i="5"/>
  <c r="S107" i="5"/>
  <c r="R107" i="5"/>
  <c r="Q107" i="5"/>
  <c r="P107" i="5"/>
  <c r="O107" i="5"/>
  <c r="N107" i="5"/>
  <c r="AD106" i="5"/>
  <c r="AC106" i="5"/>
  <c r="AB106" i="5"/>
  <c r="AA106" i="5"/>
  <c r="Z106" i="5"/>
  <c r="Y106" i="5"/>
  <c r="X106" i="5"/>
  <c r="W106" i="5"/>
  <c r="V106" i="5"/>
  <c r="U106" i="5"/>
  <c r="T106" i="5"/>
  <c r="S106" i="5"/>
  <c r="R106" i="5"/>
  <c r="Q106" i="5"/>
  <c r="P106" i="5"/>
  <c r="O106" i="5"/>
  <c r="N106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AD103" i="5"/>
  <c r="AC103" i="5"/>
  <c r="AB103" i="5"/>
  <c r="AA103" i="5"/>
  <c r="Z103" i="5"/>
  <c r="Y103" i="5"/>
  <c r="X103" i="5"/>
  <c r="W103" i="5"/>
  <c r="V103" i="5"/>
  <c r="U103" i="5"/>
  <c r="T103" i="5"/>
  <c r="S103" i="5"/>
  <c r="R103" i="5"/>
  <c r="Q103" i="5"/>
  <c r="P103" i="5"/>
  <c r="O103" i="5"/>
  <c r="N103" i="5"/>
  <c r="AD102" i="5"/>
  <c r="AC102" i="5"/>
  <c r="AB102" i="5"/>
  <c r="AA102" i="5"/>
  <c r="Z102" i="5"/>
  <c r="Y102" i="5"/>
  <c r="X102" i="5"/>
  <c r="W102" i="5"/>
  <c r="V102" i="5"/>
  <c r="U102" i="5"/>
  <c r="T102" i="5"/>
  <c r="S102" i="5"/>
  <c r="R102" i="5"/>
  <c r="Q102" i="5"/>
  <c r="P102" i="5"/>
  <c r="O102" i="5"/>
  <c r="N102" i="5"/>
  <c r="AD101" i="5"/>
  <c r="AC101" i="5"/>
  <c r="AB101" i="5"/>
  <c r="AA101" i="5"/>
  <c r="Z101" i="5"/>
  <c r="Y101" i="5"/>
  <c r="X101" i="5"/>
  <c r="W101" i="5"/>
  <c r="V101" i="5"/>
  <c r="U101" i="5"/>
  <c r="T101" i="5"/>
  <c r="S101" i="5"/>
  <c r="R101" i="5"/>
  <c r="Q101" i="5"/>
  <c r="P101" i="5"/>
  <c r="O101" i="5"/>
  <c r="N101" i="5"/>
  <c r="AD100" i="5"/>
  <c r="AC100" i="5"/>
  <c r="AB100" i="5"/>
  <c r="AA100" i="5"/>
  <c r="Z100" i="5"/>
  <c r="Y100" i="5"/>
  <c r="X100" i="5"/>
  <c r="W100" i="5"/>
  <c r="V100" i="5"/>
  <c r="U100" i="5"/>
  <c r="T100" i="5"/>
  <c r="S100" i="5"/>
  <c r="R100" i="5"/>
  <c r="Q100" i="5"/>
  <c r="P100" i="5"/>
  <c r="O100" i="5"/>
  <c r="N100" i="5"/>
  <c r="AD99" i="5"/>
  <c r="AC99" i="5"/>
  <c r="AB99" i="5"/>
  <c r="AA99" i="5"/>
  <c r="Z99" i="5"/>
  <c r="Y99" i="5"/>
  <c r="X99" i="5"/>
  <c r="W99" i="5"/>
  <c r="V99" i="5"/>
  <c r="U99" i="5"/>
  <c r="T99" i="5"/>
  <c r="S99" i="5"/>
  <c r="R99" i="5"/>
  <c r="Q99" i="5"/>
  <c r="P99" i="5"/>
  <c r="O99" i="5"/>
  <c r="N99" i="5"/>
  <c r="AD98" i="5"/>
  <c r="AC98" i="5"/>
  <c r="AB98" i="5"/>
  <c r="AA98" i="5"/>
  <c r="Z98" i="5"/>
  <c r="Y98" i="5"/>
  <c r="X98" i="5"/>
  <c r="W98" i="5"/>
  <c r="V98" i="5"/>
  <c r="U98" i="5"/>
  <c r="T98" i="5"/>
  <c r="S98" i="5"/>
  <c r="R98" i="5"/>
  <c r="Q98" i="5"/>
  <c r="P98" i="5"/>
  <c r="O98" i="5"/>
  <c r="N98" i="5"/>
  <c r="AD97" i="5"/>
  <c r="AC97" i="5"/>
  <c r="AB97" i="5"/>
  <c r="AA97" i="5"/>
  <c r="Z97" i="5"/>
  <c r="Y97" i="5"/>
  <c r="X97" i="5"/>
  <c r="W97" i="5"/>
  <c r="V97" i="5"/>
  <c r="U97" i="5"/>
  <c r="T97" i="5"/>
  <c r="S97" i="5"/>
  <c r="R97" i="5"/>
  <c r="Q97" i="5"/>
  <c r="P97" i="5"/>
  <c r="O97" i="5"/>
  <c r="N97" i="5"/>
  <c r="AD96" i="5"/>
  <c r="AC96" i="5"/>
  <c r="AB96" i="5"/>
  <c r="AA96" i="5"/>
  <c r="Z96" i="5"/>
  <c r="Y96" i="5"/>
  <c r="X96" i="5"/>
  <c r="W96" i="5"/>
  <c r="V96" i="5"/>
  <c r="U96" i="5"/>
  <c r="T96" i="5"/>
  <c r="S96" i="5"/>
  <c r="R96" i="5"/>
  <c r="Q96" i="5"/>
  <c r="P96" i="5"/>
  <c r="O96" i="5"/>
  <c r="N96" i="5"/>
  <c r="AD95" i="5"/>
  <c r="AC95" i="5"/>
  <c r="AB95" i="5"/>
  <c r="AA95" i="5"/>
  <c r="Z95" i="5"/>
  <c r="Y95" i="5"/>
  <c r="X95" i="5"/>
  <c r="W95" i="5"/>
  <c r="V95" i="5"/>
  <c r="U95" i="5"/>
  <c r="T95" i="5"/>
  <c r="S95" i="5"/>
  <c r="R95" i="5"/>
  <c r="Q95" i="5"/>
  <c r="P95" i="5"/>
  <c r="O95" i="5"/>
  <c r="N95" i="5"/>
  <c r="AD94" i="5"/>
  <c r="AC94" i="5"/>
  <c r="AB94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AD93" i="5"/>
  <c r="AC93" i="5"/>
  <c r="AB93" i="5"/>
  <c r="AA93" i="5"/>
  <c r="Z93" i="5"/>
  <c r="Y93" i="5"/>
  <c r="X93" i="5"/>
  <c r="W93" i="5"/>
  <c r="V93" i="5"/>
  <c r="U93" i="5"/>
  <c r="T93" i="5"/>
  <c r="S93" i="5"/>
  <c r="R93" i="5"/>
  <c r="Q93" i="5"/>
  <c r="P93" i="5"/>
  <c r="O93" i="5"/>
  <c r="N93" i="5"/>
  <c r="AD92" i="5"/>
  <c r="AC92" i="5"/>
  <c r="AB92" i="5"/>
  <c r="AA92" i="5"/>
  <c r="Z92" i="5"/>
  <c r="Y92" i="5"/>
  <c r="X92" i="5"/>
  <c r="W92" i="5"/>
  <c r="V92" i="5"/>
  <c r="U92" i="5"/>
  <c r="T92" i="5"/>
  <c r="S92" i="5"/>
  <c r="R92" i="5"/>
  <c r="Q92" i="5"/>
  <c r="P92" i="5"/>
  <c r="O92" i="5"/>
  <c r="N92" i="5"/>
  <c r="AD91" i="5"/>
  <c r="AC91" i="5"/>
  <c r="AB91" i="5"/>
  <c r="AA91" i="5"/>
  <c r="Z91" i="5"/>
  <c r="Y91" i="5"/>
  <c r="X91" i="5"/>
  <c r="W91" i="5"/>
  <c r="V91" i="5"/>
  <c r="U91" i="5"/>
  <c r="T91" i="5"/>
  <c r="S91" i="5"/>
  <c r="R91" i="5"/>
  <c r="Q91" i="5"/>
  <c r="P91" i="5"/>
  <c r="O91" i="5"/>
  <c r="N91" i="5"/>
  <c r="AD90" i="5"/>
  <c r="AC90" i="5"/>
  <c r="AB90" i="5"/>
  <c r="AA90" i="5"/>
  <c r="Z90" i="5"/>
  <c r="Y90" i="5"/>
  <c r="X90" i="5"/>
  <c r="W90" i="5"/>
  <c r="V90" i="5"/>
  <c r="U90" i="5"/>
  <c r="T90" i="5"/>
  <c r="S90" i="5"/>
  <c r="R90" i="5"/>
  <c r="Q90" i="5"/>
  <c r="P90" i="5"/>
  <c r="O90" i="5"/>
  <c r="N90" i="5"/>
  <c r="AD89" i="5"/>
  <c r="AC89" i="5"/>
  <c r="AB89" i="5"/>
  <c r="AA89" i="5"/>
  <c r="Z89" i="5"/>
  <c r="Y89" i="5"/>
  <c r="X89" i="5"/>
  <c r="W89" i="5"/>
  <c r="V89" i="5"/>
  <c r="U89" i="5"/>
  <c r="T89" i="5"/>
  <c r="S89" i="5"/>
  <c r="R89" i="5"/>
  <c r="Q89" i="5"/>
  <c r="P89" i="5"/>
  <c r="O89" i="5"/>
  <c r="N89" i="5"/>
  <c r="AD88" i="5"/>
  <c r="AC88" i="5"/>
  <c r="AB88" i="5"/>
  <c r="AA88" i="5"/>
  <c r="Z88" i="5"/>
  <c r="Y88" i="5"/>
  <c r="X88" i="5"/>
  <c r="W88" i="5"/>
  <c r="V88" i="5"/>
  <c r="U88" i="5"/>
  <c r="T88" i="5"/>
  <c r="S88" i="5"/>
  <c r="R88" i="5"/>
  <c r="Q88" i="5"/>
  <c r="P88" i="5"/>
  <c r="O88" i="5"/>
  <c r="N88" i="5"/>
  <c r="AD87" i="5"/>
  <c r="AC87" i="5"/>
  <c r="AB87" i="5"/>
  <c r="AA87" i="5"/>
  <c r="Z87" i="5"/>
  <c r="Y87" i="5"/>
  <c r="X87" i="5"/>
  <c r="W87" i="5"/>
  <c r="V87" i="5"/>
  <c r="U87" i="5"/>
  <c r="T87" i="5"/>
  <c r="S87" i="5"/>
  <c r="R87" i="5"/>
  <c r="Q87" i="5"/>
  <c r="P87" i="5"/>
  <c r="O87" i="5"/>
  <c r="N87" i="5"/>
  <c r="AD86" i="5"/>
  <c r="AC86" i="5"/>
  <c r="AB86" i="5"/>
  <c r="AA86" i="5"/>
  <c r="Z86" i="5"/>
  <c r="Y86" i="5"/>
  <c r="X86" i="5"/>
  <c r="W86" i="5"/>
  <c r="V86" i="5"/>
  <c r="U86" i="5"/>
  <c r="T86" i="5"/>
  <c r="S86" i="5"/>
  <c r="R86" i="5"/>
  <c r="Q86" i="5"/>
  <c r="P86" i="5"/>
  <c r="O86" i="5"/>
  <c r="N86" i="5"/>
  <c r="AD85" i="5"/>
  <c r="AC85" i="5"/>
  <c r="AB85" i="5"/>
  <c r="AA85" i="5"/>
  <c r="Z85" i="5"/>
  <c r="Y85" i="5"/>
  <c r="X85" i="5"/>
  <c r="W85" i="5"/>
  <c r="V85" i="5"/>
  <c r="U85" i="5"/>
  <c r="T85" i="5"/>
  <c r="S85" i="5"/>
  <c r="R85" i="5"/>
  <c r="Q85" i="5"/>
  <c r="P85" i="5"/>
  <c r="O85" i="5"/>
  <c r="N85" i="5"/>
  <c r="AD84" i="5"/>
  <c r="AC84" i="5"/>
  <c r="AB84" i="5"/>
  <c r="AA84" i="5"/>
  <c r="Z84" i="5"/>
  <c r="Y84" i="5"/>
  <c r="X84" i="5"/>
  <c r="W84" i="5"/>
  <c r="V84" i="5"/>
  <c r="U84" i="5"/>
  <c r="T84" i="5"/>
  <c r="S84" i="5"/>
  <c r="R84" i="5"/>
  <c r="Q84" i="5"/>
  <c r="P84" i="5"/>
  <c r="O84" i="5"/>
  <c r="N84" i="5"/>
  <c r="AD83" i="5"/>
  <c r="AC83" i="5"/>
  <c r="AB83" i="5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AD82" i="5"/>
  <c r="AC82" i="5"/>
  <c r="AB82" i="5"/>
  <c r="AA82" i="5"/>
  <c r="Z82" i="5"/>
  <c r="Y82" i="5"/>
  <c r="X82" i="5"/>
  <c r="W82" i="5"/>
  <c r="V82" i="5"/>
  <c r="U82" i="5"/>
  <c r="T82" i="5"/>
  <c r="S82" i="5"/>
  <c r="R82" i="5"/>
  <c r="Q82" i="5"/>
  <c r="P82" i="5"/>
  <c r="O82" i="5"/>
  <c r="N82" i="5"/>
  <c r="AD81" i="5"/>
  <c r="AC81" i="5"/>
  <c r="AB81" i="5"/>
  <c r="AA81" i="5"/>
  <c r="Z81" i="5"/>
  <c r="Y81" i="5"/>
  <c r="X81" i="5"/>
  <c r="W81" i="5"/>
  <c r="V81" i="5"/>
  <c r="U81" i="5"/>
  <c r="T81" i="5"/>
  <c r="S81" i="5"/>
  <c r="R81" i="5"/>
  <c r="Q81" i="5"/>
  <c r="P81" i="5"/>
  <c r="O81" i="5"/>
  <c r="N81" i="5"/>
  <c r="AD80" i="5"/>
  <c r="AC80" i="5"/>
  <c r="AB80" i="5"/>
  <c r="AA80" i="5"/>
  <c r="Z80" i="5"/>
  <c r="Y80" i="5"/>
  <c r="X80" i="5"/>
  <c r="W80" i="5"/>
  <c r="V80" i="5"/>
  <c r="U80" i="5"/>
  <c r="T80" i="5"/>
  <c r="S80" i="5"/>
  <c r="R80" i="5"/>
  <c r="Q80" i="5"/>
  <c r="P80" i="5"/>
  <c r="O80" i="5"/>
  <c r="N80" i="5"/>
  <c r="AD79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P79" i="5"/>
  <c r="O79" i="5"/>
  <c r="N79" i="5"/>
  <c r="AD78" i="5"/>
  <c r="AC78" i="5"/>
  <c r="AB78" i="5"/>
  <c r="AA78" i="5"/>
  <c r="Z78" i="5"/>
  <c r="Y78" i="5"/>
  <c r="X78" i="5"/>
  <c r="W78" i="5"/>
  <c r="V78" i="5"/>
  <c r="U78" i="5"/>
  <c r="T78" i="5"/>
  <c r="S78" i="5"/>
  <c r="R78" i="5"/>
  <c r="Q78" i="5"/>
  <c r="P78" i="5"/>
  <c r="O78" i="5"/>
  <c r="N78" i="5"/>
  <c r="AD77" i="5"/>
  <c r="AC77" i="5"/>
  <c r="AB77" i="5"/>
  <c r="AA77" i="5"/>
  <c r="Z77" i="5"/>
  <c r="Y77" i="5"/>
  <c r="X77" i="5"/>
  <c r="W77" i="5"/>
  <c r="V77" i="5"/>
  <c r="U77" i="5"/>
  <c r="T77" i="5"/>
  <c r="S77" i="5"/>
  <c r="R77" i="5"/>
  <c r="Q77" i="5"/>
  <c r="P77" i="5"/>
  <c r="O77" i="5"/>
  <c r="N77" i="5"/>
  <c r="AD76" i="5"/>
  <c r="AC76" i="5"/>
  <c r="AB76" i="5"/>
  <c r="AA76" i="5"/>
  <c r="Z76" i="5"/>
  <c r="Y76" i="5"/>
  <c r="X76" i="5"/>
  <c r="W76" i="5"/>
  <c r="V76" i="5"/>
  <c r="U76" i="5"/>
  <c r="T76" i="5"/>
  <c r="S76" i="5"/>
  <c r="R76" i="5"/>
  <c r="Q76" i="5"/>
  <c r="P76" i="5"/>
  <c r="O76" i="5"/>
  <c r="N76" i="5"/>
  <c r="AD75" i="5"/>
  <c r="AC75" i="5"/>
  <c r="AB75" i="5"/>
  <c r="AA75" i="5"/>
  <c r="Z75" i="5"/>
  <c r="Y75" i="5"/>
  <c r="X75" i="5"/>
  <c r="W75" i="5"/>
  <c r="V75" i="5"/>
  <c r="U75" i="5"/>
  <c r="T75" i="5"/>
  <c r="S75" i="5"/>
  <c r="R75" i="5"/>
  <c r="Q75" i="5"/>
  <c r="P75" i="5"/>
  <c r="O75" i="5"/>
  <c r="N75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AD73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AD72" i="5"/>
  <c r="AC72" i="5"/>
  <c r="AB72" i="5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AD71" i="5"/>
  <c r="AC71" i="5"/>
  <c r="AB71" i="5"/>
  <c r="AA71" i="5"/>
  <c r="Z71" i="5"/>
  <c r="Y71" i="5"/>
  <c r="X71" i="5"/>
  <c r="W71" i="5"/>
  <c r="V71" i="5"/>
  <c r="U71" i="5"/>
  <c r="T71" i="5"/>
  <c r="S71" i="5"/>
  <c r="R71" i="5"/>
  <c r="Q71" i="5"/>
  <c r="P71" i="5"/>
  <c r="O71" i="5"/>
  <c r="N71" i="5"/>
  <c r="AD70" i="5"/>
  <c r="AC70" i="5"/>
  <c r="AB70" i="5"/>
  <c r="AA70" i="5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AD69" i="5"/>
  <c r="AC69" i="5"/>
  <c r="AB69" i="5"/>
  <c r="AA69" i="5"/>
  <c r="Z69" i="5"/>
  <c r="Y69" i="5"/>
  <c r="X69" i="5"/>
  <c r="W69" i="5"/>
  <c r="V69" i="5"/>
  <c r="U69" i="5"/>
  <c r="T69" i="5"/>
  <c r="S69" i="5"/>
  <c r="R69" i="5"/>
  <c r="Q69" i="5"/>
  <c r="P69" i="5"/>
  <c r="O69" i="5"/>
  <c r="N69" i="5"/>
  <c r="AD68" i="5"/>
  <c r="AC68" i="5"/>
  <c r="AB68" i="5"/>
  <c r="AA68" i="5"/>
  <c r="Z68" i="5"/>
  <c r="Y68" i="5"/>
  <c r="X68" i="5"/>
  <c r="W68" i="5"/>
  <c r="V68" i="5"/>
  <c r="U68" i="5"/>
  <c r="T68" i="5"/>
  <c r="S68" i="5"/>
  <c r="R68" i="5"/>
  <c r="Q68" i="5"/>
  <c r="P68" i="5"/>
  <c r="O68" i="5"/>
  <c r="N68" i="5"/>
  <c r="AD67" i="5"/>
  <c r="AC67" i="5"/>
  <c r="AB67" i="5"/>
  <c r="AA67" i="5"/>
  <c r="Z67" i="5"/>
  <c r="Y67" i="5"/>
  <c r="X67" i="5"/>
  <c r="W67" i="5"/>
  <c r="V67" i="5"/>
  <c r="U67" i="5"/>
  <c r="T67" i="5"/>
  <c r="S67" i="5"/>
  <c r="R67" i="5"/>
  <c r="Q67" i="5"/>
  <c r="P67" i="5"/>
  <c r="O67" i="5"/>
  <c r="N67" i="5"/>
  <c r="AD66" i="5"/>
  <c r="AC66" i="5"/>
  <c r="AB66" i="5"/>
  <c r="AA66" i="5"/>
  <c r="Z66" i="5"/>
  <c r="Y66" i="5"/>
  <c r="X66" i="5"/>
  <c r="W66" i="5"/>
  <c r="V66" i="5"/>
  <c r="U66" i="5"/>
  <c r="T66" i="5"/>
  <c r="S66" i="5"/>
  <c r="R66" i="5"/>
  <c r="Q66" i="5"/>
  <c r="P66" i="5"/>
  <c r="O66" i="5"/>
  <c r="N66" i="5"/>
  <c r="AD65" i="5"/>
  <c r="AC65" i="5"/>
  <c r="AB65" i="5"/>
  <c r="AA65" i="5"/>
  <c r="Z65" i="5"/>
  <c r="Y65" i="5"/>
  <c r="X65" i="5"/>
  <c r="W65" i="5"/>
  <c r="V65" i="5"/>
  <c r="U65" i="5"/>
  <c r="T65" i="5"/>
  <c r="S65" i="5"/>
  <c r="R65" i="5"/>
  <c r="Q65" i="5"/>
  <c r="P65" i="5"/>
  <c r="O65" i="5"/>
  <c r="N65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AD63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AD62" i="5"/>
  <c r="AC62" i="5"/>
  <c r="AB62" i="5"/>
  <c r="AA62" i="5"/>
  <c r="Z62" i="5"/>
  <c r="Y62" i="5"/>
  <c r="X62" i="5"/>
  <c r="W62" i="5"/>
  <c r="V62" i="5"/>
  <c r="U62" i="5"/>
  <c r="T62" i="5"/>
  <c r="S62" i="5"/>
  <c r="R62" i="5"/>
  <c r="Q62" i="5"/>
  <c r="P62" i="5"/>
  <c r="O62" i="5"/>
  <c r="N62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AD2" i="5"/>
  <c r="AC2" i="5"/>
  <c r="AB2" i="5"/>
  <c r="AA2" i="5"/>
  <c r="Z2" i="5"/>
  <c r="Y2" i="5"/>
  <c r="X2" i="5"/>
  <c r="W2" i="5"/>
  <c r="V2" i="5"/>
  <c r="U2" i="5"/>
  <c r="T2" i="5"/>
  <c r="S2" i="5"/>
  <c r="R2" i="5"/>
  <c r="P2" i="5"/>
  <c r="Q2" i="5"/>
  <c r="O2" i="5"/>
  <c r="N2" i="5"/>
  <c r="Y545" i="1"/>
  <c r="X545" i="1"/>
  <c r="A583" i="5"/>
  <c r="A582" i="5"/>
  <c r="M581" i="5"/>
  <c r="L581" i="5"/>
  <c r="A581" i="5" s="1"/>
  <c r="M580" i="5"/>
  <c r="L580" i="5"/>
  <c r="A580" i="5" s="1"/>
  <c r="M579" i="5"/>
  <c r="L579" i="5"/>
  <c r="A579" i="5" s="1"/>
  <c r="M578" i="5"/>
  <c r="L578" i="5"/>
  <c r="A578" i="5" s="1"/>
  <c r="M577" i="5"/>
  <c r="L577" i="5"/>
  <c r="A577" i="5" s="1"/>
  <c r="M576" i="5"/>
  <c r="L576" i="5"/>
  <c r="A576" i="5" s="1"/>
  <c r="M575" i="5"/>
  <c r="L575" i="5"/>
  <c r="A575" i="5" s="1"/>
  <c r="M574" i="5"/>
  <c r="L574" i="5"/>
  <c r="A574" i="5" s="1"/>
  <c r="M573" i="5"/>
  <c r="L573" i="5"/>
  <c r="A573" i="5" s="1"/>
  <c r="M572" i="5"/>
  <c r="L572" i="5"/>
  <c r="A572" i="5" s="1"/>
  <c r="M571" i="5"/>
  <c r="L571" i="5"/>
  <c r="A571" i="5" s="1"/>
  <c r="M570" i="5"/>
  <c r="L570" i="5"/>
  <c r="A570" i="5" s="1"/>
  <c r="M569" i="5"/>
  <c r="L569" i="5"/>
  <c r="A569" i="5" s="1"/>
  <c r="M568" i="5"/>
  <c r="L568" i="5"/>
  <c r="A568" i="5" s="1"/>
  <c r="M567" i="5"/>
  <c r="L567" i="5"/>
  <c r="A567" i="5" s="1"/>
  <c r="M566" i="5"/>
  <c r="L566" i="5"/>
  <c r="A566" i="5" s="1"/>
  <c r="M565" i="5"/>
  <c r="L565" i="5"/>
  <c r="A565" i="5" s="1"/>
  <c r="M564" i="5"/>
  <c r="L564" i="5"/>
  <c r="A564" i="5" s="1"/>
  <c r="M563" i="5"/>
  <c r="L563" i="5"/>
  <c r="A563" i="5" s="1"/>
  <c r="M562" i="5"/>
  <c r="L562" i="5"/>
  <c r="A562" i="5" s="1"/>
  <c r="M561" i="5"/>
  <c r="L561" i="5"/>
  <c r="A561" i="5" s="1"/>
  <c r="M560" i="5"/>
  <c r="L560" i="5"/>
  <c r="A560" i="5" s="1"/>
  <c r="M559" i="5"/>
  <c r="L559" i="5"/>
  <c r="A559" i="5" s="1"/>
  <c r="M558" i="5"/>
  <c r="L558" i="5"/>
  <c r="A558" i="5" s="1"/>
  <c r="M557" i="5"/>
  <c r="L557" i="5"/>
  <c r="A557" i="5" s="1"/>
  <c r="M556" i="5"/>
  <c r="L556" i="5"/>
  <c r="A556" i="5" s="1"/>
  <c r="M555" i="5"/>
  <c r="L555" i="5"/>
  <c r="A555" i="5" s="1"/>
  <c r="M554" i="5"/>
  <c r="L554" i="5"/>
  <c r="A554" i="5" s="1"/>
  <c r="M553" i="5"/>
  <c r="L553" i="5"/>
  <c r="A553" i="5" s="1"/>
  <c r="M552" i="5"/>
  <c r="L552" i="5"/>
  <c r="A552" i="5" s="1"/>
  <c r="M551" i="5"/>
  <c r="L551" i="5"/>
  <c r="A551" i="5" s="1"/>
  <c r="M550" i="5"/>
  <c r="L550" i="5"/>
  <c r="A550" i="5" s="1"/>
  <c r="M549" i="5"/>
  <c r="L549" i="5"/>
  <c r="A549" i="5" s="1"/>
  <c r="M548" i="5"/>
  <c r="L548" i="5"/>
  <c r="A548" i="5" s="1"/>
  <c r="M547" i="5"/>
  <c r="L547" i="5"/>
  <c r="A547" i="5" s="1"/>
  <c r="M546" i="5"/>
  <c r="L546" i="5"/>
  <c r="A546" i="5" s="1"/>
  <c r="M545" i="5"/>
  <c r="L545" i="5"/>
  <c r="A545" i="5" s="1"/>
  <c r="M544" i="5"/>
  <c r="L544" i="5"/>
  <c r="A544" i="5" s="1"/>
  <c r="M543" i="5"/>
  <c r="L543" i="5"/>
  <c r="A543" i="5" s="1"/>
  <c r="M542" i="5"/>
  <c r="L542" i="5"/>
  <c r="A542" i="5" s="1"/>
  <c r="M541" i="5"/>
  <c r="L541" i="5"/>
  <c r="A541" i="5" s="1"/>
  <c r="M540" i="5"/>
  <c r="L540" i="5"/>
  <c r="A540" i="5" s="1"/>
  <c r="M539" i="5"/>
  <c r="L539" i="5"/>
  <c r="A539" i="5" s="1"/>
  <c r="M538" i="5"/>
  <c r="L538" i="5"/>
  <c r="A538" i="5" s="1"/>
  <c r="M537" i="5"/>
  <c r="L537" i="5"/>
  <c r="A537" i="5" s="1"/>
  <c r="M536" i="5"/>
  <c r="L536" i="5"/>
  <c r="A536" i="5" s="1"/>
  <c r="M535" i="5"/>
  <c r="L535" i="5"/>
  <c r="A535" i="5" s="1"/>
  <c r="M534" i="5"/>
  <c r="L534" i="5"/>
  <c r="A534" i="5" s="1"/>
  <c r="M533" i="5"/>
  <c r="L533" i="5"/>
  <c r="A533" i="5" s="1"/>
  <c r="M532" i="5"/>
  <c r="L532" i="5"/>
  <c r="A532" i="5" s="1"/>
  <c r="M531" i="5"/>
  <c r="L531" i="5"/>
  <c r="A531" i="5" s="1"/>
  <c r="M530" i="5"/>
  <c r="L530" i="5"/>
  <c r="A530" i="5" s="1"/>
  <c r="M529" i="5"/>
  <c r="L529" i="5"/>
  <c r="A529" i="5" s="1"/>
  <c r="M528" i="5"/>
  <c r="L528" i="5"/>
  <c r="A528" i="5" s="1"/>
  <c r="M527" i="5"/>
  <c r="L527" i="5"/>
  <c r="A527" i="5" s="1"/>
  <c r="M526" i="5"/>
  <c r="L526" i="5"/>
  <c r="A526" i="5" s="1"/>
  <c r="M525" i="5"/>
  <c r="L525" i="5"/>
  <c r="A525" i="5" s="1"/>
  <c r="M524" i="5"/>
  <c r="L524" i="5"/>
  <c r="A524" i="5" s="1"/>
  <c r="M523" i="5"/>
  <c r="L523" i="5"/>
  <c r="A523" i="5" s="1"/>
  <c r="M522" i="5"/>
  <c r="L522" i="5"/>
  <c r="A522" i="5" s="1"/>
  <c r="M521" i="5"/>
  <c r="L521" i="5"/>
  <c r="A521" i="5" s="1"/>
  <c r="M520" i="5"/>
  <c r="L520" i="5"/>
  <c r="A520" i="5" s="1"/>
  <c r="M519" i="5"/>
  <c r="L519" i="5"/>
  <c r="A519" i="5" s="1"/>
  <c r="M518" i="5"/>
  <c r="L518" i="5"/>
  <c r="A518" i="5" s="1"/>
  <c r="M517" i="5"/>
  <c r="L517" i="5"/>
  <c r="A517" i="5" s="1"/>
  <c r="M516" i="5"/>
  <c r="L516" i="5"/>
  <c r="A516" i="5" s="1"/>
  <c r="M515" i="5"/>
  <c r="L515" i="5"/>
  <c r="A515" i="5" s="1"/>
  <c r="M514" i="5"/>
  <c r="L514" i="5"/>
  <c r="A514" i="5" s="1"/>
  <c r="M513" i="5"/>
  <c r="M512" i="5"/>
  <c r="L512" i="5"/>
  <c r="A512" i="5" s="1"/>
  <c r="M511" i="5"/>
  <c r="L511" i="5"/>
  <c r="A511" i="5" s="1"/>
  <c r="M510" i="5"/>
  <c r="L510" i="5"/>
  <c r="A510" i="5" s="1"/>
  <c r="M509" i="5"/>
  <c r="L509" i="5"/>
  <c r="A509" i="5" s="1"/>
  <c r="M508" i="5"/>
  <c r="L508" i="5"/>
  <c r="A508" i="5" s="1"/>
  <c r="M507" i="5"/>
  <c r="L507" i="5"/>
  <c r="A507" i="5" s="1"/>
  <c r="M506" i="5"/>
  <c r="L506" i="5"/>
  <c r="A506" i="5" s="1"/>
  <c r="M505" i="5"/>
  <c r="L505" i="5"/>
  <c r="A505" i="5" s="1"/>
  <c r="M504" i="5"/>
  <c r="L504" i="5"/>
  <c r="A504" i="5" s="1"/>
  <c r="M503" i="5"/>
  <c r="L503" i="5"/>
  <c r="A503" i="5" s="1"/>
  <c r="M502" i="5"/>
  <c r="L502" i="5"/>
  <c r="A502" i="5" s="1"/>
  <c r="M501" i="5"/>
  <c r="L501" i="5"/>
  <c r="A501" i="5" s="1"/>
  <c r="M500" i="5"/>
  <c r="L500" i="5"/>
  <c r="A500" i="5" s="1"/>
  <c r="M499" i="5"/>
  <c r="L499" i="5"/>
  <c r="A499" i="5" s="1"/>
  <c r="M498" i="5"/>
  <c r="L498" i="5"/>
  <c r="A498" i="5" s="1"/>
  <c r="M497" i="5"/>
  <c r="L497" i="5"/>
  <c r="A497" i="5" s="1"/>
  <c r="M496" i="5"/>
  <c r="L496" i="5"/>
  <c r="A496" i="5" s="1"/>
  <c r="M495" i="5"/>
  <c r="L495" i="5"/>
  <c r="A495" i="5" s="1"/>
  <c r="M494" i="5"/>
  <c r="L494" i="5"/>
  <c r="A494" i="5" s="1"/>
  <c r="M493" i="5"/>
  <c r="L493" i="5"/>
  <c r="A493" i="5" s="1"/>
  <c r="M492" i="5"/>
  <c r="L492" i="5"/>
  <c r="A492" i="5" s="1"/>
  <c r="M491" i="5"/>
  <c r="L491" i="5"/>
  <c r="A491" i="5" s="1"/>
  <c r="M490" i="5"/>
  <c r="L490" i="5"/>
  <c r="A490" i="5" s="1"/>
  <c r="M489" i="5"/>
  <c r="L489" i="5"/>
  <c r="A489" i="5" s="1"/>
  <c r="M488" i="5"/>
  <c r="L488" i="5"/>
  <c r="A488" i="5" s="1"/>
  <c r="M487" i="5"/>
  <c r="L487" i="5"/>
  <c r="A487" i="5" s="1"/>
  <c r="M486" i="5"/>
  <c r="M485" i="5"/>
  <c r="L485" i="5"/>
  <c r="A485" i="5" s="1"/>
  <c r="M484" i="5"/>
  <c r="L484" i="5"/>
  <c r="A484" i="5" s="1"/>
  <c r="M483" i="5"/>
  <c r="L483" i="5"/>
  <c r="A483" i="5" s="1"/>
  <c r="M482" i="5"/>
  <c r="L482" i="5"/>
  <c r="A482" i="5" s="1"/>
  <c r="M481" i="5"/>
  <c r="L481" i="5"/>
  <c r="A481" i="5" s="1"/>
  <c r="M480" i="5"/>
  <c r="L480" i="5"/>
  <c r="A480" i="5" s="1"/>
  <c r="M479" i="5"/>
  <c r="L479" i="5"/>
  <c r="A479" i="5" s="1"/>
  <c r="M478" i="5"/>
  <c r="L478" i="5"/>
  <c r="A478" i="5" s="1"/>
  <c r="M477" i="5"/>
  <c r="L477" i="5"/>
  <c r="A477" i="5" s="1"/>
  <c r="M476" i="5"/>
  <c r="L476" i="5"/>
  <c r="A476" i="5" s="1"/>
  <c r="M475" i="5"/>
  <c r="L475" i="5"/>
  <c r="A475" i="5" s="1"/>
  <c r="M474" i="5"/>
  <c r="L474" i="5"/>
  <c r="A474" i="5" s="1"/>
  <c r="M473" i="5"/>
  <c r="L473" i="5"/>
  <c r="A473" i="5" s="1"/>
  <c r="M472" i="5"/>
  <c r="L472" i="5"/>
  <c r="A472" i="5" s="1"/>
  <c r="M471" i="5"/>
  <c r="L471" i="5"/>
  <c r="A471" i="5" s="1"/>
  <c r="M470" i="5"/>
  <c r="L470" i="5"/>
  <c r="A470" i="5" s="1"/>
  <c r="M469" i="5"/>
  <c r="L469" i="5"/>
  <c r="A469" i="5" s="1"/>
  <c r="M468" i="5"/>
  <c r="L468" i="5"/>
  <c r="A468" i="5" s="1"/>
  <c r="M467" i="5"/>
  <c r="L467" i="5"/>
  <c r="A467" i="5" s="1"/>
  <c r="M466" i="5"/>
  <c r="L466" i="5"/>
  <c r="A466" i="5" s="1"/>
  <c r="M465" i="5"/>
  <c r="L465" i="5"/>
  <c r="A465" i="5" s="1"/>
  <c r="M464" i="5"/>
  <c r="L464" i="5"/>
  <c r="A464" i="5" s="1"/>
  <c r="M463" i="5"/>
  <c r="L463" i="5"/>
  <c r="A463" i="5" s="1"/>
  <c r="M462" i="5"/>
  <c r="L462" i="5"/>
  <c r="A462" i="5" s="1"/>
  <c r="M461" i="5"/>
  <c r="L461" i="5"/>
  <c r="A461" i="5" s="1"/>
  <c r="M460" i="5"/>
  <c r="L460" i="5"/>
  <c r="A460" i="5" s="1"/>
  <c r="M459" i="5"/>
  <c r="L459" i="5"/>
  <c r="A459" i="5" s="1"/>
  <c r="M458" i="5"/>
  <c r="A457" i="5"/>
  <c r="A453" i="5"/>
  <c r="A452" i="5"/>
  <c r="A451" i="5"/>
  <c r="A448" i="5"/>
  <c r="A445" i="5"/>
  <c r="A444" i="5"/>
  <c r="A442" i="5"/>
  <c r="A439" i="5"/>
  <c r="A437" i="5"/>
  <c r="A436" i="5"/>
  <c r="M435" i="5"/>
  <c r="L435" i="5"/>
  <c r="A435" i="5" s="1"/>
  <c r="M434" i="5"/>
  <c r="L434" i="5"/>
  <c r="A434" i="5" s="1"/>
  <c r="M433" i="5"/>
  <c r="L433" i="5"/>
  <c r="A433" i="5" s="1"/>
  <c r="M432" i="5"/>
  <c r="L432" i="5"/>
  <c r="A432" i="5" s="1"/>
  <c r="M431" i="5"/>
  <c r="L431" i="5"/>
  <c r="A431" i="5" s="1"/>
  <c r="M430" i="5"/>
  <c r="L430" i="5"/>
  <c r="A430" i="5" s="1"/>
  <c r="M429" i="5"/>
  <c r="L429" i="5"/>
  <c r="A429" i="5" s="1"/>
  <c r="M428" i="5"/>
  <c r="L428" i="5"/>
  <c r="A428" i="5" s="1"/>
  <c r="M427" i="5"/>
  <c r="L427" i="5"/>
  <c r="A427" i="5" s="1"/>
  <c r="M426" i="5"/>
  <c r="M425" i="5"/>
  <c r="L425" i="5"/>
  <c r="A425" i="5" s="1"/>
  <c r="M424" i="5"/>
  <c r="M423" i="5"/>
  <c r="L423" i="5"/>
  <c r="A423" i="5" s="1"/>
  <c r="M422" i="5"/>
  <c r="L422" i="5"/>
  <c r="A422" i="5" s="1"/>
  <c r="M421" i="5"/>
  <c r="L421" i="5"/>
  <c r="A421" i="5" s="1"/>
  <c r="M420" i="5"/>
  <c r="L420" i="5"/>
  <c r="A420" i="5" s="1"/>
  <c r="M419" i="5"/>
  <c r="L419" i="5"/>
  <c r="A419" i="5" s="1"/>
  <c r="M418" i="5"/>
  <c r="L418" i="5"/>
  <c r="A418" i="5" s="1"/>
  <c r="M417" i="5"/>
  <c r="L417" i="5"/>
  <c r="A417" i="5" s="1"/>
  <c r="M416" i="5"/>
  <c r="L416" i="5"/>
  <c r="A416" i="5" s="1"/>
  <c r="M415" i="5"/>
  <c r="L415" i="5"/>
  <c r="A415" i="5" s="1"/>
  <c r="M414" i="5"/>
  <c r="M413" i="5"/>
  <c r="L413" i="5"/>
  <c r="A413" i="5" s="1"/>
  <c r="M412" i="5"/>
  <c r="M411" i="5"/>
  <c r="L411" i="5"/>
  <c r="A411" i="5" s="1"/>
  <c r="M410" i="5"/>
  <c r="L410" i="5"/>
  <c r="A410" i="5" s="1"/>
  <c r="M409" i="5"/>
  <c r="L409" i="5"/>
  <c r="A409" i="5" s="1"/>
  <c r="M408" i="5"/>
  <c r="L408" i="5"/>
  <c r="A408" i="5" s="1"/>
  <c r="M407" i="5"/>
  <c r="L407" i="5"/>
  <c r="A407" i="5" s="1"/>
  <c r="M406" i="5"/>
  <c r="L406" i="5"/>
  <c r="A406" i="5" s="1"/>
  <c r="M405" i="5"/>
  <c r="L405" i="5"/>
  <c r="A405" i="5" s="1"/>
  <c r="M404" i="5"/>
  <c r="L404" i="5"/>
  <c r="A404" i="5" s="1"/>
  <c r="M403" i="5"/>
  <c r="L403" i="5"/>
  <c r="A403" i="5" s="1"/>
  <c r="M402" i="5"/>
  <c r="L402" i="5"/>
  <c r="A402" i="5" s="1"/>
  <c r="M401" i="5"/>
  <c r="L401" i="5"/>
  <c r="A401" i="5" s="1"/>
  <c r="M400" i="5"/>
  <c r="L400" i="5"/>
  <c r="A400" i="5" s="1"/>
  <c r="M399" i="5"/>
  <c r="L399" i="5"/>
  <c r="A399" i="5" s="1"/>
  <c r="M398" i="5"/>
  <c r="M397" i="5"/>
  <c r="L397" i="5"/>
  <c r="A397" i="5" s="1"/>
  <c r="M396" i="5"/>
  <c r="M395" i="5"/>
  <c r="L395" i="5"/>
  <c r="A395" i="5" s="1"/>
  <c r="M394" i="5"/>
  <c r="L394" i="5"/>
  <c r="A394" i="5" s="1"/>
  <c r="M393" i="5"/>
  <c r="L393" i="5"/>
  <c r="A393" i="5" s="1"/>
  <c r="M392" i="5"/>
  <c r="L392" i="5"/>
  <c r="A392" i="5" s="1"/>
  <c r="M391" i="5"/>
  <c r="L391" i="5"/>
  <c r="A391" i="5" s="1"/>
  <c r="M390" i="5"/>
  <c r="L390" i="5"/>
  <c r="A390" i="5" s="1"/>
  <c r="M389" i="5"/>
  <c r="M388" i="5"/>
  <c r="L388" i="5"/>
  <c r="A388" i="5" s="1"/>
  <c r="M387" i="5"/>
  <c r="L387" i="5"/>
  <c r="A387" i="5" s="1"/>
  <c r="M386" i="5"/>
  <c r="L386" i="5"/>
  <c r="A386" i="5" s="1"/>
  <c r="M385" i="5"/>
  <c r="L385" i="5"/>
  <c r="A385" i="5" s="1"/>
  <c r="M384" i="5"/>
  <c r="L384" i="5"/>
  <c r="A384" i="5" s="1"/>
  <c r="M383" i="5"/>
  <c r="L383" i="5"/>
  <c r="A383" i="5" s="1"/>
  <c r="M382" i="5"/>
  <c r="M381" i="5"/>
  <c r="L381" i="5"/>
  <c r="A381" i="5" s="1"/>
  <c r="M380" i="5"/>
  <c r="M379" i="5"/>
  <c r="L379" i="5"/>
  <c r="A379" i="5" s="1"/>
  <c r="M378" i="5"/>
  <c r="L378" i="5"/>
  <c r="A378" i="5" s="1"/>
  <c r="M377" i="5"/>
  <c r="L377" i="5"/>
  <c r="A377" i="5" s="1"/>
  <c r="M376" i="5"/>
  <c r="L376" i="5"/>
  <c r="A376" i="5" s="1"/>
  <c r="M375" i="5"/>
  <c r="L375" i="5"/>
  <c r="A375" i="5" s="1"/>
  <c r="M374" i="5"/>
  <c r="L374" i="5"/>
  <c r="A374" i="5" s="1"/>
  <c r="M373" i="5"/>
  <c r="M372" i="5"/>
  <c r="L372" i="5"/>
  <c r="A372" i="5" s="1"/>
  <c r="M371" i="5"/>
  <c r="L371" i="5"/>
  <c r="A371" i="5" s="1"/>
  <c r="M370" i="5"/>
  <c r="L370" i="5"/>
  <c r="A370" i="5" s="1"/>
  <c r="M369" i="5"/>
  <c r="L369" i="5"/>
  <c r="A369" i="5" s="1"/>
  <c r="M368" i="5"/>
  <c r="L368" i="5"/>
  <c r="A368" i="5" s="1"/>
  <c r="M367" i="5"/>
  <c r="L367" i="5"/>
  <c r="A367" i="5" s="1"/>
  <c r="M366" i="5"/>
  <c r="M365" i="5"/>
  <c r="L365" i="5"/>
  <c r="A365" i="5" s="1"/>
  <c r="M364" i="5"/>
  <c r="M363" i="5"/>
  <c r="L363" i="5"/>
  <c r="A363" i="5" s="1"/>
  <c r="M362" i="5"/>
  <c r="L362" i="5"/>
  <c r="A362" i="5" s="1"/>
  <c r="M361" i="5"/>
  <c r="L361" i="5"/>
  <c r="A361" i="5" s="1"/>
  <c r="M360" i="5"/>
  <c r="L360" i="5"/>
  <c r="A360" i="5" s="1"/>
  <c r="M359" i="5"/>
  <c r="L359" i="5"/>
  <c r="A359" i="5" s="1"/>
  <c r="M358" i="5"/>
  <c r="L358" i="5"/>
  <c r="A358" i="5" s="1"/>
  <c r="M357" i="5"/>
  <c r="L357" i="5"/>
  <c r="A357" i="5" s="1"/>
  <c r="M356" i="5"/>
  <c r="L356" i="5"/>
  <c r="A356" i="5" s="1"/>
  <c r="M355" i="5"/>
  <c r="L355" i="5"/>
  <c r="A355" i="5" s="1"/>
  <c r="M354" i="5"/>
  <c r="L354" i="5"/>
  <c r="A354" i="5" s="1"/>
  <c r="M353" i="5"/>
  <c r="L353" i="5"/>
  <c r="A353" i="5" s="1"/>
  <c r="M352" i="5"/>
  <c r="L352" i="5"/>
  <c r="A352" i="5" s="1"/>
  <c r="M351" i="5"/>
  <c r="L351" i="5"/>
  <c r="A351" i="5" s="1"/>
  <c r="M350" i="5"/>
  <c r="M349" i="5"/>
  <c r="L349" i="5"/>
  <c r="A349" i="5" s="1"/>
  <c r="M348" i="5"/>
  <c r="M347" i="5"/>
  <c r="L347" i="5"/>
  <c r="A347" i="5" s="1"/>
  <c r="M346" i="5"/>
  <c r="L346" i="5"/>
  <c r="A346" i="5" s="1"/>
  <c r="M345" i="5"/>
  <c r="L345" i="5"/>
  <c r="A345" i="5" s="1"/>
  <c r="M344" i="5"/>
  <c r="L344" i="5"/>
  <c r="A344" i="5" s="1"/>
  <c r="M343" i="5"/>
  <c r="L343" i="5"/>
  <c r="A343" i="5" s="1"/>
  <c r="M342" i="5"/>
  <c r="L342" i="5"/>
  <c r="A342" i="5" s="1"/>
  <c r="M341" i="5"/>
  <c r="L341" i="5"/>
  <c r="A341" i="5" s="1"/>
  <c r="M340" i="5"/>
  <c r="L340" i="5"/>
  <c r="A340" i="5" s="1"/>
  <c r="M339" i="5"/>
  <c r="L339" i="5"/>
  <c r="A339" i="5" s="1"/>
  <c r="M338" i="5"/>
  <c r="L338" i="5"/>
  <c r="A338" i="5" s="1"/>
  <c r="M337" i="5"/>
  <c r="L337" i="5"/>
  <c r="A337" i="5" s="1"/>
  <c r="M336" i="5"/>
  <c r="L336" i="5"/>
  <c r="A336" i="5" s="1"/>
  <c r="M335" i="5"/>
  <c r="L335" i="5"/>
  <c r="A335" i="5" s="1"/>
  <c r="M334" i="5"/>
  <c r="M333" i="5"/>
  <c r="L333" i="5"/>
  <c r="A333" i="5" s="1"/>
  <c r="M332" i="5"/>
  <c r="M331" i="5"/>
  <c r="L331" i="5"/>
  <c r="A331" i="5" s="1"/>
  <c r="M330" i="5"/>
  <c r="L330" i="5"/>
  <c r="A330" i="5" s="1"/>
  <c r="M329" i="5"/>
  <c r="L329" i="5"/>
  <c r="A329" i="5" s="1"/>
  <c r="M328" i="5"/>
  <c r="L328" i="5"/>
  <c r="A328" i="5" s="1"/>
  <c r="M327" i="5"/>
  <c r="L327" i="5"/>
  <c r="A327" i="5" s="1"/>
  <c r="M326" i="5"/>
  <c r="L326" i="5"/>
  <c r="A326" i="5" s="1"/>
  <c r="M325" i="5"/>
  <c r="M324" i="5"/>
  <c r="L324" i="5"/>
  <c r="A324" i="5" s="1"/>
  <c r="M323" i="5"/>
  <c r="L323" i="5"/>
  <c r="A323" i="5" s="1"/>
  <c r="M322" i="5"/>
  <c r="L322" i="5"/>
  <c r="A322" i="5" s="1"/>
  <c r="M321" i="5"/>
  <c r="L321" i="5"/>
  <c r="A321" i="5" s="1"/>
  <c r="M320" i="5"/>
  <c r="L320" i="5"/>
  <c r="A320" i="5" s="1"/>
  <c r="M319" i="5"/>
  <c r="L319" i="5"/>
  <c r="A319" i="5" s="1"/>
  <c r="M318" i="5"/>
  <c r="M317" i="5"/>
  <c r="L317" i="5"/>
  <c r="A317" i="5" s="1"/>
  <c r="M316" i="5"/>
  <c r="M315" i="5"/>
  <c r="L315" i="5"/>
  <c r="A315" i="5" s="1"/>
  <c r="M314" i="5"/>
  <c r="L314" i="5"/>
  <c r="A314" i="5" s="1"/>
  <c r="M313" i="5"/>
  <c r="L313" i="5"/>
  <c r="A313" i="5" s="1"/>
  <c r="M312" i="5"/>
  <c r="L312" i="5"/>
  <c r="A312" i="5" s="1"/>
  <c r="M311" i="5"/>
  <c r="L311" i="5"/>
  <c r="A311" i="5" s="1"/>
  <c r="M310" i="5"/>
  <c r="L310" i="5"/>
  <c r="A310" i="5" s="1"/>
  <c r="M309" i="5"/>
  <c r="M308" i="5"/>
  <c r="L308" i="5"/>
  <c r="A308" i="5" s="1"/>
  <c r="M307" i="5"/>
  <c r="L307" i="5"/>
  <c r="A307" i="5" s="1"/>
  <c r="M306" i="5"/>
  <c r="L306" i="5"/>
  <c r="A306" i="5" s="1"/>
  <c r="M305" i="5"/>
  <c r="L305" i="5"/>
  <c r="A305" i="5" s="1"/>
  <c r="M304" i="5"/>
  <c r="L304" i="5"/>
  <c r="A304" i="5" s="1"/>
  <c r="M303" i="5"/>
  <c r="L303" i="5"/>
  <c r="A303" i="5" s="1"/>
  <c r="M302" i="5"/>
  <c r="M301" i="5"/>
  <c r="L301" i="5"/>
  <c r="A301" i="5" s="1"/>
  <c r="M300" i="5"/>
  <c r="M299" i="5"/>
  <c r="L299" i="5"/>
  <c r="A299" i="5" s="1"/>
  <c r="M298" i="5"/>
  <c r="L298" i="5"/>
  <c r="A298" i="5" s="1"/>
  <c r="M297" i="5"/>
  <c r="L297" i="5"/>
  <c r="A297" i="5" s="1"/>
  <c r="M296" i="5"/>
  <c r="L296" i="5"/>
  <c r="A296" i="5" s="1"/>
  <c r="M295" i="5"/>
  <c r="L295" i="5"/>
  <c r="A295" i="5" s="1"/>
  <c r="M294" i="5"/>
  <c r="L294" i="5"/>
  <c r="A294" i="5" s="1"/>
  <c r="M293" i="5"/>
  <c r="L293" i="5"/>
  <c r="A293" i="5" s="1"/>
  <c r="M292" i="5"/>
  <c r="L292" i="5"/>
  <c r="A292" i="5" s="1"/>
  <c r="M291" i="5"/>
  <c r="L291" i="5"/>
  <c r="A291" i="5" s="1"/>
  <c r="M290" i="5"/>
  <c r="L290" i="5"/>
  <c r="A290" i="5" s="1"/>
  <c r="M289" i="5"/>
  <c r="L289" i="5"/>
  <c r="A289" i="5" s="1"/>
  <c r="M288" i="5"/>
  <c r="L288" i="5"/>
  <c r="A288" i="5" s="1"/>
  <c r="M287" i="5"/>
  <c r="L287" i="5"/>
  <c r="A287" i="5" s="1"/>
  <c r="M286" i="5"/>
  <c r="M285" i="5"/>
  <c r="L285" i="5"/>
  <c r="A285" i="5" s="1"/>
  <c r="M284" i="5"/>
  <c r="M283" i="5"/>
  <c r="L283" i="5"/>
  <c r="A283" i="5" s="1"/>
  <c r="M282" i="5"/>
  <c r="L282" i="5"/>
  <c r="A282" i="5" s="1"/>
  <c r="M281" i="5"/>
  <c r="L281" i="5"/>
  <c r="A281" i="5" s="1"/>
  <c r="M280" i="5"/>
  <c r="L280" i="5"/>
  <c r="A280" i="5" s="1"/>
  <c r="M279" i="5"/>
  <c r="L279" i="5"/>
  <c r="A279" i="5" s="1"/>
  <c r="M278" i="5"/>
  <c r="L278" i="5"/>
  <c r="A278" i="5" s="1"/>
  <c r="M277" i="5"/>
  <c r="L277" i="5"/>
  <c r="A277" i="5" s="1"/>
  <c r="M276" i="5"/>
  <c r="L276" i="5"/>
  <c r="A276" i="5" s="1"/>
  <c r="M275" i="5"/>
  <c r="L275" i="5"/>
  <c r="A275" i="5" s="1"/>
  <c r="M274" i="5"/>
  <c r="L274" i="5"/>
  <c r="A274" i="5" s="1"/>
  <c r="M273" i="5"/>
  <c r="L273" i="5"/>
  <c r="A273" i="5" s="1"/>
  <c r="M272" i="5"/>
  <c r="L272" i="5"/>
  <c r="A272" i="5" s="1"/>
  <c r="M271" i="5"/>
  <c r="L271" i="5"/>
  <c r="A271" i="5" s="1"/>
  <c r="M270" i="5"/>
  <c r="M269" i="5"/>
  <c r="L269" i="5"/>
  <c r="A269" i="5" s="1"/>
  <c r="M268" i="5"/>
  <c r="M267" i="5"/>
  <c r="L267" i="5"/>
  <c r="A267" i="5" s="1"/>
  <c r="M266" i="5"/>
  <c r="M265" i="5"/>
  <c r="L265" i="5"/>
  <c r="A265" i="5" s="1"/>
  <c r="M264" i="5"/>
  <c r="M263" i="5"/>
  <c r="L263" i="5"/>
  <c r="A263" i="5" s="1"/>
  <c r="M262" i="5"/>
  <c r="M261" i="5"/>
  <c r="L261" i="5"/>
  <c r="A261" i="5" s="1"/>
  <c r="M260" i="5"/>
  <c r="M259" i="5"/>
  <c r="L259" i="5"/>
  <c r="A259" i="5" s="1"/>
  <c r="M258" i="5"/>
  <c r="M257" i="5"/>
  <c r="L257" i="5"/>
  <c r="A257" i="5" s="1"/>
  <c r="M256" i="5"/>
  <c r="M255" i="5"/>
  <c r="L255" i="5"/>
  <c r="A255" i="5" s="1"/>
  <c r="M254" i="5"/>
  <c r="M253" i="5"/>
  <c r="L253" i="5"/>
  <c r="A253" i="5" s="1"/>
  <c r="M252" i="5"/>
  <c r="M251" i="5"/>
  <c r="L251" i="5"/>
  <c r="A251" i="5" s="1"/>
  <c r="M250" i="5"/>
  <c r="M249" i="5"/>
  <c r="L249" i="5"/>
  <c r="A249" i="5" s="1"/>
  <c r="M248" i="5"/>
  <c r="M247" i="5"/>
  <c r="L247" i="5"/>
  <c r="A247" i="5" s="1"/>
  <c r="M246" i="5"/>
  <c r="M245" i="5"/>
  <c r="L245" i="5"/>
  <c r="A245" i="5" s="1"/>
  <c r="M244" i="5"/>
  <c r="A243" i="5"/>
  <c r="A241" i="5"/>
  <c r="A239" i="5"/>
  <c r="A237" i="5"/>
  <c r="M235" i="5"/>
  <c r="L235" i="5"/>
  <c r="A235" i="5" s="1"/>
  <c r="M234" i="5"/>
  <c r="M233" i="5"/>
  <c r="L233" i="5"/>
  <c r="A233" i="5" s="1"/>
  <c r="M232" i="5"/>
  <c r="M231" i="5"/>
  <c r="L231" i="5"/>
  <c r="A231" i="5" s="1"/>
  <c r="M230" i="5"/>
  <c r="M229" i="5"/>
  <c r="L229" i="5"/>
  <c r="A229" i="5" s="1"/>
  <c r="M228" i="5"/>
  <c r="M227" i="5"/>
  <c r="L227" i="5"/>
  <c r="A227" i="5" s="1"/>
  <c r="M226" i="5"/>
  <c r="M225" i="5"/>
  <c r="L225" i="5"/>
  <c r="A225" i="5" s="1"/>
  <c r="M224" i="5"/>
  <c r="M223" i="5"/>
  <c r="L223" i="5"/>
  <c r="A223" i="5" s="1"/>
  <c r="M222" i="5"/>
  <c r="M221" i="5"/>
  <c r="L221" i="5"/>
  <c r="A221" i="5" s="1"/>
  <c r="M220" i="5"/>
  <c r="M219" i="5"/>
  <c r="L219" i="5"/>
  <c r="A219" i="5" s="1"/>
  <c r="M218" i="5"/>
  <c r="M217" i="5"/>
  <c r="L217" i="5"/>
  <c r="A217" i="5" s="1"/>
  <c r="M216" i="5"/>
  <c r="M215" i="5"/>
  <c r="L215" i="5"/>
  <c r="A215" i="5" s="1"/>
  <c r="M214" i="5"/>
  <c r="M213" i="5"/>
  <c r="L213" i="5"/>
  <c r="A213" i="5" s="1"/>
  <c r="M212" i="5"/>
  <c r="M211" i="5"/>
  <c r="L211" i="5"/>
  <c r="A211" i="5" s="1"/>
  <c r="M210" i="5"/>
  <c r="M209" i="5"/>
  <c r="L209" i="5"/>
  <c r="A209" i="5" s="1"/>
  <c r="M208" i="5"/>
  <c r="M207" i="5"/>
  <c r="L207" i="5"/>
  <c r="A207" i="5" s="1"/>
  <c r="M206" i="5"/>
  <c r="M205" i="5"/>
  <c r="L205" i="5"/>
  <c r="A205" i="5" s="1"/>
  <c r="M204" i="5"/>
  <c r="M203" i="5"/>
  <c r="L203" i="5"/>
  <c r="A203" i="5" s="1"/>
  <c r="M202" i="5"/>
  <c r="M201" i="5"/>
  <c r="L201" i="5"/>
  <c r="A201" i="5" s="1"/>
  <c r="M200" i="5"/>
  <c r="M199" i="5"/>
  <c r="L199" i="5"/>
  <c r="A199" i="5" s="1"/>
  <c r="M198" i="5"/>
  <c r="M197" i="5"/>
  <c r="L197" i="5"/>
  <c r="A197" i="5" s="1"/>
  <c r="M196" i="5"/>
  <c r="M195" i="5"/>
  <c r="L195" i="5"/>
  <c r="A195" i="5" s="1"/>
  <c r="M194" i="5"/>
  <c r="M193" i="5"/>
  <c r="L193" i="5"/>
  <c r="A193" i="5" s="1"/>
  <c r="M192" i="5"/>
  <c r="M191" i="5"/>
  <c r="L191" i="5"/>
  <c r="A191" i="5" s="1"/>
  <c r="M190" i="5"/>
  <c r="M189" i="5"/>
  <c r="L189" i="5"/>
  <c r="A189" i="5" s="1"/>
  <c r="M188" i="5"/>
  <c r="M187" i="5"/>
  <c r="L187" i="5"/>
  <c r="A187" i="5" s="1"/>
  <c r="M186" i="5"/>
  <c r="M185" i="5"/>
  <c r="L185" i="5"/>
  <c r="A185" i="5" s="1"/>
  <c r="M184" i="5"/>
  <c r="M183" i="5"/>
  <c r="L183" i="5"/>
  <c r="A183" i="5" s="1"/>
  <c r="M182" i="5"/>
  <c r="M181" i="5"/>
  <c r="L181" i="5"/>
  <c r="A181" i="5" s="1"/>
  <c r="M180" i="5"/>
  <c r="M179" i="5"/>
  <c r="L179" i="5"/>
  <c r="A179" i="5" s="1"/>
  <c r="M178" i="5"/>
  <c r="M177" i="5"/>
  <c r="L177" i="5"/>
  <c r="A177" i="5" s="1"/>
  <c r="M176" i="5"/>
  <c r="M175" i="5"/>
  <c r="L175" i="5"/>
  <c r="A175" i="5" s="1"/>
  <c r="M174" i="5"/>
  <c r="M173" i="5"/>
  <c r="L173" i="5"/>
  <c r="A173" i="5" s="1"/>
  <c r="M172" i="5"/>
  <c r="M171" i="5"/>
  <c r="L171" i="5"/>
  <c r="A171" i="5" s="1"/>
  <c r="M170" i="5"/>
  <c r="M169" i="5"/>
  <c r="L169" i="5"/>
  <c r="A169" i="5" s="1"/>
  <c r="M168" i="5"/>
  <c r="M167" i="5"/>
  <c r="L167" i="5"/>
  <c r="A167" i="5" s="1"/>
  <c r="M166" i="5"/>
  <c r="M165" i="5"/>
  <c r="L165" i="5"/>
  <c r="A165" i="5" s="1"/>
  <c r="M164" i="5"/>
  <c r="M163" i="5"/>
  <c r="L163" i="5"/>
  <c r="A163" i="5" s="1"/>
  <c r="M162" i="5"/>
  <c r="M161" i="5"/>
  <c r="L161" i="5"/>
  <c r="A161" i="5" s="1"/>
  <c r="M160" i="5"/>
  <c r="M159" i="5"/>
  <c r="L159" i="5"/>
  <c r="A159" i="5" s="1"/>
  <c r="M158" i="5"/>
  <c r="M157" i="5"/>
  <c r="L157" i="5"/>
  <c r="A157" i="5" s="1"/>
  <c r="M156" i="5"/>
  <c r="M155" i="5"/>
  <c r="L155" i="5"/>
  <c r="A155" i="5" s="1"/>
  <c r="M154" i="5"/>
  <c r="M153" i="5"/>
  <c r="L153" i="5"/>
  <c r="A153" i="5" s="1"/>
  <c r="M152" i="5"/>
  <c r="M151" i="5"/>
  <c r="L151" i="5"/>
  <c r="A151" i="5" s="1"/>
  <c r="M150" i="5"/>
  <c r="M149" i="5"/>
  <c r="L149" i="5"/>
  <c r="A149" i="5" s="1"/>
  <c r="M148" i="5"/>
  <c r="M147" i="5"/>
  <c r="L147" i="5"/>
  <c r="A147" i="5" s="1"/>
  <c r="M146" i="5"/>
  <c r="M145" i="5"/>
  <c r="L145" i="5"/>
  <c r="A145" i="5" s="1"/>
  <c r="M144" i="5"/>
  <c r="M143" i="5"/>
  <c r="L143" i="5"/>
  <c r="A143" i="5" s="1"/>
  <c r="M142" i="5"/>
  <c r="M141" i="5"/>
  <c r="L141" i="5"/>
  <c r="A141" i="5" s="1"/>
  <c r="M140" i="5"/>
  <c r="M139" i="5"/>
  <c r="L139" i="5"/>
  <c r="A139" i="5" s="1"/>
  <c r="M138" i="5"/>
  <c r="M137" i="5"/>
  <c r="L137" i="5"/>
  <c r="A137" i="5" s="1"/>
  <c r="M136" i="5"/>
  <c r="M135" i="5"/>
  <c r="L135" i="5"/>
  <c r="A135" i="5" s="1"/>
  <c r="M134" i="5"/>
  <c r="M133" i="5"/>
  <c r="L133" i="5"/>
  <c r="A133" i="5" s="1"/>
  <c r="M132" i="5"/>
  <c r="M131" i="5"/>
  <c r="L131" i="5"/>
  <c r="A131" i="5" s="1"/>
  <c r="M130" i="5"/>
  <c r="M129" i="5"/>
  <c r="L129" i="5"/>
  <c r="A129" i="5" s="1"/>
  <c r="M128" i="5"/>
  <c r="M127" i="5"/>
  <c r="L127" i="5"/>
  <c r="A127" i="5" s="1"/>
  <c r="M126" i="5"/>
  <c r="M125" i="5"/>
  <c r="L125" i="5"/>
  <c r="A125" i="5" s="1"/>
  <c r="M124" i="5"/>
  <c r="M123" i="5"/>
  <c r="L123" i="5"/>
  <c r="A123" i="5" s="1"/>
  <c r="M122" i="5"/>
  <c r="M121" i="5"/>
  <c r="L121" i="5"/>
  <c r="A121" i="5" s="1"/>
  <c r="M120" i="5"/>
  <c r="M119" i="5"/>
  <c r="L119" i="5"/>
  <c r="A119" i="5" s="1"/>
  <c r="M118" i="5"/>
  <c r="M117" i="5"/>
  <c r="L117" i="5"/>
  <c r="A117" i="5" s="1"/>
  <c r="M116" i="5"/>
  <c r="M115" i="5"/>
  <c r="L115" i="5"/>
  <c r="A115" i="5" s="1"/>
  <c r="M114" i="5"/>
  <c r="M113" i="5"/>
  <c r="L113" i="5"/>
  <c r="A113" i="5" s="1"/>
  <c r="M112" i="5"/>
  <c r="M111" i="5"/>
  <c r="L111" i="5"/>
  <c r="A111" i="5" s="1"/>
  <c r="M110" i="5"/>
  <c r="M109" i="5"/>
  <c r="L109" i="5"/>
  <c r="A109" i="5" s="1"/>
  <c r="M108" i="5"/>
  <c r="M107" i="5"/>
  <c r="L107" i="5"/>
  <c r="A107" i="5" s="1"/>
  <c r="M106" i="5"/>
  <c r="M105" i="5"/>
  <c r="L105" i="5"/>
  <c r="A105" i="5" s="1"/>
  <c r="M104" i="5"/>
  <c r="M103" i="5"/>
  <c r="L103" i="5"/>
  <c r="A103" i="5" s="1"/>
  <c r="M102" i="5"/>
  <c r="M101" i="5"/>
  <c r="L101" i="5"/>
  <c r="A101" i="5" s="1"/>
  <c r="M100" i="5"/>
  <c r="M99" i="5"/>
  <c r="L99" i="5"/>
  <c r="A99" i="5" s="1"/>
  <c r="M98" i="5"/>
  <c r="M97" i="5"/>
  <c r="L97" i="5"/>
  <c r="A97" i="5" s="1"/>
  <c r="M96" i="5"/>
  <c r="M95" i="5"/>
  <c r="L95" i="5"/>
  <c r="A95" i="5" s="1"/>
  <c r="M94" i="5"/>
  <c r="M93" i="5"/>
  <c r="L93" i="5"/>
  <c r="A93" i="5" s="1"/>
  <c r="M92" i="5"/>
  <c r="M91" i="5"/>
  <c r="L91" i="5"/>
  <c r="A91" i="5" s="1"/>
  <c r="M90" i="5"/>
  <c r="M89" i="5"/>
  <c r="L89" i="5"/>
  <c r="A89" i="5" s="1"/>
  <c r="M88" i="5"/>
  <c r="M87" i="5"/>
  <c r="L87" i="5"/>
  <c r="A87" i="5" s="1"/>
  <c r="M86" i="5"/>
  <c r="M85" i="5"/>
  <c r="L85" i="5"/>
  <c r="A85" i="5" s="1"/>
  <c r="M84" i="5"/>
  <c r="M83" i="5"/>
  <c r="L83" i="5"/>
  <c r="A83" i="5" s="1"/>
  <c r="M82" i="5"/>
  <c r="M81" i="5"/>
  <c r="L81" i="5"/>
  <c r="A81" i="5" s="1"/>
  <c r="M80" i="5"/>
  <c r="M79" i="5"/>
  <c r="L79" i="5"/>
  <c r="A79" i="5" s="1"/>
  <c r="M78" i="5"/>
  <c r="M77" i="5"/>
  <c r="L77" i="5"/>
  <c r="A77" i="5" s="1"/>
  <c r="M76" i="5"/>
  <c r="M75" i="5"/>
  <c r="L75" i="5"/>
  <c r="A75" i="5" s="1"/>
  <c r="M74" i="5"/>
  <c r="M73" i="5"/>
  <c r="L73" i="5"/>
  <c r="A73" i="5" s="1"/>
  <c r="M72" i="5"/>
  <c r="M71" i="5"/>
  <c r="L71" i="5"/>
  <c r="A71" i="5" s="1"/>
  <c r="M70" i="5"/>
  <c r="M69" i="5"/>
  <c r="L69" i="5"/>
  <c r="A69" i="5" s="1"/>
  <c r="M68" i="5"/>
  <c r="M67" i="5"/>
  <c r="L67" i="5"/>
  <c r="A67" i="5" s="1"/>
  <c r="M66" i="5"/>
  <c r="M65" i="5"/>
  <c r="L65" i="5"/>
  <c r="A65" i="5" s="1"/>
  <c r="M64" i="5"/>
  <c r="M63" i="5"/>
  <c r="L63" i="5"/>
  <c r="A63" i="5" s="1"/>
  <c r="L61" i="5"/>
  <c r="A61" i="5" s="1"/>
  <c r="M59" i="5"/>
  <c r="L59" i="5"/>
  <c r="A59" i="5" s="1"/>
  <c r="M58" i="5"/>
  <c r="M57" i="5"/>
  <c r="L57" i="5"/>
  <c r="A57" i="5" s="1"/>
  <c r="M56" i="5"/>
  <c r="M55" i="5"/>
  <c r="L55" i="5"/>
  <c r="A55" i="5" s="1"/>
  <c r="M54" i="5"/>
  <c r="M53" i="5"/>
  <c r="L53" i="5"/>
  <c r="A53" i="5" s="1"/>
  <c r="M52" i="5"/>
  <c r="M51" i="5"/>
  <c r="L51" i="5"/>
  <c r="A51" i="5" s="1"/>
  <c r="M50" i="5"/>
  <c r="M49" i="5"/>
  <c r="L49" i="5"/>
  <c r="A49" i="5" s="1"/>
  <c r="M48" i="5"/>
  <c r="M47" i="5"/>
  <c r="L47" i="5"/>
  <c r="A47" i="5" s="1"/>
  <c r="M46" i="5"/>
  <c r="M45" i="5"/>
  <c r="L45" i="5"/>
  <c r="A45" i="5" s="1"/>
  <c r="M44" i="5"/>
  <c r="M43" i="5"/>
  <c r="L43" i="5"/>
  <c r="A43" i="5" s="1"/>
  <c r="M42" i="5"/>
  <c r="M41" i="5"/>
  <c r="L41" i="5"/>
  <c r="A41" i="5" s="1"/>
  <c r="M40" i="5"/>
  <c r="M39" i="5"/>
  <c r="L39" i="5"/>
  <c r="A39" i="5" s="1"/>
  <c r="M38" i="5"/>
  <c r="M37" i="5"/>
  <c r="L37" i="5"/>
  <c r="A37" i="5" s="1"/>
  <c r="M36" i="5"/>
  <c r="M35" i="5"/>
  <c r="L35" i="5"/>
  <c r="A35" i="5" s="1"/>
  <c r="M34" i="5"/>
  <c r="M33" i="5"/>
  <c r="L33" i="5"/>
  <c r="A33" i="5" s="1"/>
  <c r="M32" i="5"/>
  <c r="M31" i="5"/>
  <c r="L31" i="5"/>
  <c r="A31" i="5" s="1"/>
  <c r="M30" i="5"/>
  <c r="M29" i="5"/>
  <c r="L29" i="5"/>
  <c r="A29" i="5" s="1"/>
  <c r="M28" i="5"/>
  <c r="M27" i="5"/>
  <c r="L27" i="5"/>
  <c r="A27" i="5" s="1"/>
  <c r="M26" i="5"/>
  <c r="M25" i="5"/>
  <c r="L25" i="5"/>
  <c r="A25" i="5" s="1"/>
  <c r="M24" i="5"/>
  <c r="M23" i="5"/>
  <c r="L23" i="5"/>
  <c r="A23" i="5" s="1"/>
  <c r="M22" i="5"/>
  <c r="M21" i="5"/>
  <c r="L21" i="5"/>
  <c r="A21" i="5" s="1"/>
  <c r="M20" i="5"/>
  <c r="M19" i="5"/>
  <c r="L19" i="5"/>
  <c r="A19" i="5" s="1"/>
  <c r="M18" i="5"/>
  <c r="M17" i="5"/>
  <c r="L17" i="5"/>
  <c r="A17" i="5" s="1"/>
  <c r="M16" i="5"/>
  <c r="M15" i="5"/>
  <c r="L15" i="5"/>
  <c r="A15" i="5" s="1"/>
  <c r="M14" i="5"/>
  <c r="M13" i="5"/>
  <c r="L13" i="5"/>
  <c r="A13" i="5" s="1"/>
  <c r="M12" i="5"/>
  <c r="M11" i="5"/>
  <c r="L11" i="5"/>
  <c r="A11" i="5" s="1"/>
  <c r="M10" i="5"/>
  <c r="M9" i="5"/>
  <c r="L9" i="5"/>
  <c r="A9" i="5" s="1"/>
  <c r="M8" i="5"/>
  <c r="M7" i="5"/>
  <c r="L7" i="5"/>
  <c r="A7" i="5" s="1"/>
  <c r="M6" i="5"/>
  <c r="M5" i="5"/>
  <c r="L5" i="5"/>
  <c r="A5" i="5" s="1"/>
  <c r="M4" i="5"/>
  <c r="M3" i="5"/>
  <c r="L3" i="5"/>
  <c r="A3" i="5" s="1"/>
  <c r="M2" i="5"/>
  <c r="L116" i="3"/>
  <c r="K116" i="3"/>
  <c r="L122" i="3"/>
  <c r="K122" i="3"/>
  <c r="L115" i="3"/>
  <c r="K115" i="3"/>
  <c r="L114" i="3"/>
  <c r="K114" i="3"/>
  <c r="L113" i="3"/>
  <c r="K113" i="3"/>
  <c r="L112" i="3"/>
  <c r="K112" i="3"/>
  <c r="L136" i="3"/>
  <c r="K136" i="3"/>
  <c r="L128" i="3"/>
  <c r="K128" i="3"/>
  <c r="L121" i="3"/>
  <c r="K121" i="3"/>
  <c r="L120" i="3"/>
  <c r="K120" i="3"/>
  <c r="L93" i="3"/>
  <c r="K93" i="3"/>
  <c r="L101" i="3"/>
  <c r="K101" i="3"/>
  <c r="L100" i="3"/>
  <c r="K100" i="3"/>
  <c r="L99" i="3"/>
  <c r="K99" i="3"/>
  <c r="L98" i="3"/>
  <c r="K98" i="3"/>
  <c r="L103" i="3"/>
  <c r="K103" i="3"/>
  <c r="L96" i="3"/>
  <c r="K96" i="3"/>
  <c r="L95" i="3"/>
  <c r="K95" i="3"/>
  <c r="L102" i="3"/>
  <c r="K102" i="3"/>
  <c r="L94" i="3"/>
  <c r="K94" i="3"/>
  <c r="L97" i="3"/>
  <c r="K97" i="3"/>
  <c r="L117" i="3"/>
  <c r="K117" i="3"/>
  <c r="L111" i="3"/>
  <c r="K111" i="3"/>
  <c r="L110" i="3"/>
  <c r="K110" i="3"/>
  <c r="L109" i="3"/>
  <c r="K109" i="3"/>
  <c r="L108" i="3"/>
  <c r="K108" i="3"/>
  <c r="L105" i="3"/>
  <c r="K105" i="3"/>
  <c r="L104" i="3"/>
  <c r="K104" i="3"/>
  <c r="L135" i="3"/>
  <c r="K135" i="3"/>
  <c r="L134" i="3"/>
  <c r="K134" i="3"/>
  <c r="L133" i="3"/>
  <c r="K133" i="3"/>
  <c r="L119" i="3"/>
  <c r="K119" i="3"/>
  <c r="L118" i="3"/>
  <c r="K118" i="3"/>
  <c r="L107" i="3"/>
  <c r="K107" i="3"/>
  <c r="L106" i="3"/>
  <c r="K106" i="3"/>
  <c r="L142" i="3"/>
  <c r="K142" i="3"/>
  <c r="L141" i="3"/>
  <c r="K141" i="3"/>
  <c r="L140" i="3"/>
  <c r="K140" i="3"/>
  <c r="L139" i="3"/>
  <c r="K139" i="3"/>
  <c r="L138" i="3"/>
  <c r="K138" i="3"/>
  <c r="L137" i="3"/>
  <c r="K137" i="3"/>
  <c r="L132" i="3"/>
  <c r="K132" i="3"/>
  <c r="L131" i="3"/>
  <c r="K131" i="3"/>
  <c r="L130" i="3"/>
  <c r="K130" i="3"/>
  <c r="L129" i="3"/>
  <c r="K129" i="3"/>
  <c r="L127" i="3"/>
  <c r="K127" i="3"/>
  <c r="L126" i="3"/>
  <c r="K126" i="3"/>
  <c r="L125" i="3"/>
  <c r="K125" i="3"/>
  <c r="L124" i="3"/>
  <c r="K124" i="3"/>
  <c r="L123" i="3"/>
  <c r="K12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L46" i="3"/>
  <c r="K46" i="3"/>
  <c r="J23" i="12" l="1"/>
  <c r="K23" i="12" s="1"/>
  <c r="AT23" i="12"/>
  <c r="AU23" i="12" s="1"/>
  <c r="AN23" i="12"/>
  <c r="AO23" i="12" s="1"/>
  <c r="AH23" i="12"/>
  <c r="AI23" i="12" s="1"/>
  <c r="Y23" i="12"/>
  <c r="Z23" i="12" s="1"/>
  <c r="S23" i="12"/>
  <c r="T23" i="12" s="1"/>
  <c r="M23" i="12"/>
  <c r="N23" i="12" s="1"/>
  <c r="G23" i="12"/>
  <c r="H23" i="12" s="1"/>
  <c r="AW23" i="12"/>
  <c r="AX23" i="12" s="1"/>
  <c r="AQ23" i="12"/>
  <c r="AR23" i="12" s="1"/>
  <c r="AK23" i="12"/>
  <c r="AL23" i="12" s="1"/>
  <c r="AE23" i="12"/>
  <c r="AF23" i="12" s="1"/>
  <c r="AB23" i="12"/>
  <c r="AC23" i="12" s="1"/>
  <c r="V23" i="12"/>
  <c r="W23" i="12" s="1"/>
  <c r="P23" i="12"/>
  <c r="Q23" i="12" s="1"/>
  <c r="D23" i="12"/>
  <c r="E23" i="12" s="1"/>
  <c r="B24" i="12"/>
  <c r="A24" i="12"/>
  <c r="AA23" i="12"/>
  <c r="AG23" i="12"/>
  <c r="AJ23" i="12"/>
  <c r="AM23" i="12"/>
  <c r="AP23" i="12"/>
  <c r="AS23" i="12"/>
  <c r="AV23" i="12"/>
  <c r="C23" i="12"/>
  <c r="X23" i="12"/>
  <c r="U23" i="12"/>
  <c r="R23" i="12"/>
  <c r="O23" i="12"/>
  <c r="L23" i="12"/>
  <c r="I23" i="12"/>
  <c r="F23" i="12"/>
  <c r="AD23" i="12"/>
  <c r="BA24" i="12"/>
  <c r="AZ24" i="12"/>
  <c r="Z553" i="1"/>
  <c r="Z557" i="1"/>
  <c r="C22" i="12"/>
  <c r="E22" i="12" s="1"/>
  <c r="Z558" i="1"/>
  <c r="Z559" i="1"/>
  <c r="Z548" i="1"/>
  <c r="Z556" i="1"/>
  <c r="Z555" i="1"/>
  <c r="Z547" i="1"/>
  <c r="Z549" i="1"/>
  <c r="Z551" i="1"/>
  <c r="AB551" i="1" s="1"/>
  <c r="Z552" i="1"/>
  <c r="Z550" i="1"/>
  <c r="AA559" i="1"/>
  <c r="AB559" i="1"/>
  <c r="AC559" i="1"/>
  <c r="AD559" i="1"/>
  <c r="AE559" i="1"/>
  <c r="AF559" i="1"/>
  <c r="AG559" i="1"/>
  <c r="AH559" i="1"/>
  <c r="AI559" i="1"/>
  <c r="AJ559" i="1"/>
  <c r="AK559" i="1"/>
  <c r="AL559" i="1"/>
  <c r="AM559" i="1"/>
  <c r="AN559" i="1"/>
  <c r="AO559" i="1"/>
  <c r="AP559" i="1"/>
  <c r="AQ559" i="1"/>
  <c r="AA558" i="1"/>
  <c r="AB558" i="1"/>
  <c r="AC558" i="1"/>
  <c r="AD558" i="1"/>
  <c r="AE558" i="1"/>
  <c r="AF558" i="1"/>
  <c r="AG558" i="1"/>
  <c r="AH558" i="1"/>
  <c r="AI558" i="1"/>
  <c r="AJ558" i="1"/>
  <c r="AK558" i="1"/>
  <c r="AL558" i="1"/>
  <c r="AM558" i="1"/>
  <c r="AN558" i="1"/>
  <c r="AO558" i="1"/>
  <c r="AQ558" i="1"/>
  <c r="AP558" i="1"/>
  <c r="AA557" i="1"/>
  <c r="AB557" i="1"/>
  <c r="AC557" i="1"/>
  <c r="AD557" i="1"/>
  <c r="AE557" i="1"/>
  <c r="AF557" i="1"/>
  <c r="AG557" i="1"/>
  <c r="AH557" i="1"/>
  <c r="AI557" i="1"/>
  <c r="AJ557" i="1"/>
  <c r="AK557" i="1"/>
  <c r="AL557" i="1"/>
  <c r="AM557" i="1"/>
  <c r="AN557" i="1"/>
  <c r="AO557" i="1"/>
  <c r="AP557" i="1"/>
  <c r="AQ557" i="1"/>
  <c r="AA556" i="1"/>
  <c r="AB556" i="1"/>
  <c r="AC556" i="1"/>
  <c r="AD556" i="1"/>
  <c r="AE556" i="1"/>
  <c r="AF556" i="1"/>
  <c r="AG556" i="1"/>
  <c r="AH556" i="1"/>
  <c r="AI556" i="1"/>
  <c r="AJ556" i="1"/>
  <c r="AK556" i="1"/>
  <c r="AL556" i="1"/>
  <c r="AM556" i="1"/>
  <c r="AA554" i="1"/>
  <c r="AB554" i="1"/>
  <c r="AC554" i="1"/>
  <c r="AD554" i="1"/>
  <c r="AE554" i="1"/>
  <c r="AF554" i="1"/>
  <c r="AG554" i="1"/>
  <c r="AH554" i="1"/>
  <c r="AI554" i="1"/>
  <c r="AJ554" i="1"/>
  <c r="AK554" i="1"/>
  <c r="AL554" i="1"/>
  <c r="AM554" i="1"/>
  <c r="AN554" i="1"/>
  <c r="AO554" i="1"/>
  <c r="AP554" i="1"/>
  <c r="AQ554" i="1"/>
  <c r="AA553" i="1"/>
  <c r="AC553" i="1"/>
  <c r="AD553" i="1"/>
  <c r="AE553" i="1"/>
  <c r="AF553" i="1"/>
  <c r="AG553" i="1"/>
  <c r="AH553" i="1"/>
  <c r="AI553" i="1"/>
  <c r="AJ553" i="1"/>
  <c r="AK553" i="1"/>
  <c r="AL553" i="1"/>
  <c r="AM553" i="1"/>
  <c r="AN553" i="1"/>
  <c r="AP553" i="1"/>
  <c r="AQ553" i="1"/>
  <c r="AB553" i="1"/>
  <c r="AO553" i="1"/>
  <c r="AI552" i="1"/>
  <c r="AC546" i="1"/>
  <c r="AE546" i="1"/>
  <c r="AF546" i="1"/>
  <c r="AH546" i="1"/>
  <c r="AK546" i="1"/>
  <c r="AA546" i="1"/>
  <c r="AB546" i="1"/>
  <c r="AD546" i="1"/>
  <c r="AG546" i="1"/>
  <c r="AI546" i="1"/>
  <c r="AJ546" i="1"/>
  <c r="AL546" i="1"/>
  <c r="AM546" i="1"/>
  <c r="AN546" i="1"/>
  <c r="AO546" i="1"/>
  <c r="AP546" i="1"/>
  <c r="AQ546" i="1"/>
  <c r="Z4" i="1"/>
  <c r="Z32" i="1"/>
  <c r="AL4" i="1"/>
  <c r="Z117" i="1"/>
  <c r="Z105" i="1"/>
  <c r="Z81" i="1"/>
  <c r="Z17" i="1"/>
  <c r="Z13" i="1"/>
  <c r="Z6" i="1"/>
  <c r="Z9" i="1"/>
  <c r="Z19" i="1"/>
  <c r="AG19" i="1" s="1"/>
  <c r="Z15" i="1"/>
  <c r="Z11" i="1"/>
  <c r="Z7" i="1"/>
  <c r="AL7" i="1" s="1"/>
  <c r="Z5" i="1"/>
  <c r="Z16" i="1"/>
  <c r="AM16" i="1" s="1"/>
  <c r="Z12" i="1"/>
  <c r="AH12" i="1" s="1"/>
  <c r="Z8" i="1"/>
  <c r="AE8" i="1" s="1"/>
  <c r="Z10" i="1"/>
  <c r="AG10" i="1" s="1"/>
  <c r="Z50" i="1"/>
  <c r="AO50" i="1" s="1"/>
  <c r="Z37" i="1"/>
  <c r="Z54" i="1"/>
  <c r="AA54" i="1" s="1"/>
  <c r="Z46" i="1"/>
  <c r="Z42" i="1"/>
  <c r="Z38" i="1"/>
  <c r="Z34" i="1"/>
  <c r="Z30" i="1"/>
  <c r="AP30" i="1" s="1"/>
  <c r="Z26" i="1"/>
  <c r="Z22" i="1"/>
  <c r="AI22" i="1" s="1"/>
  <c r="Z18" i="1"/>
  <c r="AF18" i="1" s="1"/>
  <c r="Z14" i="1"/>
  <c r="AM14" i="1" s="1"/>
  <c r="Z65" i="1"/>
  <c r="AK65" i="1" s="1"/>
  <c r="Z61" i="1"/>
  <c r="AC61" i="1" s="1"/>
  <c r="Z57" i="1"/>
  <c r="Z49" i="1"/>
  <c r="Z45" i="1"/>
  <c r="Z33" i="1"/>
  <c r="AM33" i="1" s="1"/>
  <c r="Z29" i="1"/>
  <c r="AM29" i="1" s="1"/>
  <c r="Z104" i="1"/>
  <c r="AH104" i="1" s="1"/>
  <c r="Z80" i="1"/>
  <c r="AP80" i="1" s="1"/>
  <c r="Z68" i="1"/>
  <c r="AQ68" i="1" s="1"/>
  <c r="Z64" i="1"/>
  <c r="Z60" i="1"/>
  <c r="Z56" i="1"/>
  <c r="Z52" i="1"/>
  <c r="AP52" i="1" s="1"/>
  <c r="Z48" i="1"/>
  <c r="AQ48" i="1" s="1"/>
  <c r="Z44" i="1"/>
  <c r="Z36" i="1"/>
  <c r="AE36" i="1" s="1"/>
  <c r="Z28" i="1"/>
  <c r="AO28" i="1" s="1"/>
  <c r="Z83" i="1"/>
  <c r="AB83" i="1" s="1"/>
  <c r="Z79" i="1"/>
  <c r="AF79" i="1" s="1"/>
  <c r="Z75" i="1"/>
  <c r="AM75" i="1" s="1"/>
  <c r="Z71" i="1"/>
  <c r="Z67" i="1"/>
  <c r="Z63" i="1"/>
  <c r="AG63" i="1" s="1"/>
  <c r="Z59" i="1"/>
  <c r="Z51" i="1"/>
  <c r="Z47" i="1"/>
  <c r="AD47" i="1" s="1"/>
  <c r="Z43" i="1"/>
  <c r="Z39" i="1"/>
  <c r="AM39" i="1" s="1"/>
  <c r="Z35" i="1"/>
  <c r="AO35" i="1" s="1"/>
  <c r="Z31" i="1"/>
  <c r="Z27" i="1"/>
  <c r="Z23" i="1"/>
  <c r="AM23" i="1" s="1"/>
  <c r="Z41" i="1"/>
  <c r="Z25" i="1"/>
  <c r="AP25" i="1" s="1"/>
  <c r="Z21" i="1"/>
  <c r="Z228" i="1"/>
  <c r="AM228" i="1" s="1"/>
  <c r="Z128" i="1"/>
  <c r="AL128" i="1" s="1"/>
  <c r="Z120" i="1"/>
  <c r="Z116" i="1"/>
  <c r="AH116" i="1" s="1"/>
  <c r="Z112" i="1"/>
  <c r="AO112" i="1" s="1"/>
  <c r="Z108" i="1"/>
  <c r="AM108" i="1" s="1"/>
  <c r="Z100" i="1"/>
  <c r="Z84" i="1"/>
  <c r="AH84" i="1" s="1"/>
  <c r="Z76" i="1"/>
  <c r="AM76" i="1" s="1"/>
  <c r="Z72" i="1"/>
  <c r="AH72" i="1" s="1"/>
  <c r="Z40" i="1"/>
  <c r="AH40" i="1" s="1"/>
  <c r="Z24" i="1"/>
  <c r="Z20" i="1"/>
  <c r="Z55" i="1"/>
  <c r="AP55" i="1" s="1"/>
  <c r="Z106" i="1"/>
  <c r="Z545" i="1"/>
  <c r="Z544" i="1"/>
  <c r="Z540" i="1"/>
  <c r="Z536" i="1"/>
  <c r="Z532" i="1"/>
  <c r="AQ532" i="1" s="1"/>
  <c r="Z528" i="1"/>
  <c r="AQ528" i="1" s="1"/>
  <c r="Z524" i="1"/>
  <c r="AN524" i="1" s="1"/>
  <c r="Z520" i="1"/>
  <c r="Z516" i="1"/>
  <c r="Z512" i="1"/>
  <c r="Z508" i="1"/>
  <c r="Z504" i="1"/>
  <c r="Z500" i="1"/>
  <c r="Z496" i="1"/>
  <c r="Z492" i="1"/>
  <c r="AA492" i="1" s="1"/>
  <c r="Z488" i="1"/>
  <c r="AM488" i="1" s="1"/>
  <c r="Z484" i="1"/>
  <c r="Z480" i="1"/>
  <c r="Z476" i="1"/>
  <c r="AH476" i="1" s="1"/>
  <c r="Z472" i="1"/>
  <c r="AH472" i="1" s="1"/>
  <c r="Z468" i="1"/>
  <c r="AH468" i="1" s="1"/>
  <c r="Z464" i="1"/>
  <c r="AH464" i="1" s="1"/>
  <c r="Z460" i="1"/>
  <c r="AH460" i="1" s="1"/>
  <c r="Z456" i="1"/>
  <c r="AA456" i="1" s="1"/>
  <c r="Z452" i="1"/>
  <c r="Z448" i="1"/>
  <c r="Z444" i="1"/>
  <c r="Z440" i="1"/>
  <c r="AQ440" i="1" s="1"/>
  <c r="Z436" i="1"/>
  <c r="Z432" i="1"/>
  <c r="AJ432" i="1" s="1"/>
  <c r="Z428" i="1"/>
  <c r="AB428" i="1" s="1"/>
  <c r="Z424" i="1"/>
  <c r="Z420" i="1"/>
  <c r="Z416" i="1"/>
  <c r="AH416" i="1" s="1"/>
  <c r="Z412" i="1"/>
  <c r="Z408" i="1"/>
  <c r="AF408" i="1" s="1"/>
  <c r="Z404" i="1"/>
  <c r="Z400" i="1"/>
  <c r="AF400" i="1" s="1"/>
  <c r="Z396" i="1"/>
  <c r="AH396" i="1" s="1"/>
  <c r="Z392" i="1"/>
  <c r="AH392" i="1" s="1"/>
  <c r="Z388" i="1"/>
  <c r="Z384" i="1"/>
  <c r="Z380" i="1"/>
  <c r="Z376" i="1"/>
  <c r="AF376" i="1" s="1"/>
  <c r="Z372" i="1"/>
  <c r="Z368" i="1"/>
  <c r="AQ368" i="1" s="1"/>
  <c r="Z364" i="1"/>
  <c r="AP364" i="1" s="1"/>
  <c r="Z360" i="1"/>
  <c r="AG360" i="1" s="1"/>
  <c r="Z356" i="1"/>
  <c r="Z352" i="1"/>
  <c r="Z348" i="1"/>
  <c r="Z344" i="1"/>
  <c r="Z340" i="1"/>
  <c r="Z336" i="1"/>
  <c r="Z332" i="1"/>
  <c r="AB332" i="1" s="1"/>
  <c r="Z328" i="1"/>
  <c r="AB328" i="1" s="1"/>
  <c r="Z324" i="1"/>
  <c r="Z320" i="1"/>
  <c r="Z316" i="1"/>
  <c r="Z312" i="1"/>
  <c r="AG312" i="1" s="1"/>
  <c r="Z308" i="1"/>
  <c r="Z304" i="1"/>
  <c r="AQ304" i="1" s="1"/>
  <c r="Z300" i="1"/>
  <c r="AB300" i="1" s="1"/>
  <c r="Z296" i="1"/>
  <c r="AA296" i="1" s="1"/>
  <c r="Z292" i="1"/>
  <c r="Z288" i="1"/>
  <c r="Z284" i="1"/>
  <c r="Z280" i="1"/>
  <c r="Z276" i="1"/>
  <c r="Z272" i="1"/>
  <c r="Z268" i="1"/>
  <c r="AO268" i="1" s="1"/>
  <c r="Z264" i="1"/>
  <c r="AI264" i="1" s="1"/>
  <c r="Z260" i="1"/>
  <c r="AG260" i="1" s="1"/>
  <c r="Z256" i="1"/>
  <c r="Z252" i="1"/>
  <c r="Z248" i="1"/>
  <c r="AI248" i="1" s="1"/>
  <c r="Z244" i="1"/>
  <c r="Z240" i="1"/>
  <c r="Z236" i="1"/>
  <c r="AO236" i="1" s="1"/>
  <c r="Z232" i="1"/>
  <c r="AC232" i="1" s="1"/>
  <c r="Z224" i="1"/>
  <c r="Z220" i="1"/>
  <c r="AF220" i="1" s="1"/>
  <c r="Z216" i="1"/>
  <c r="AH216" i="1" s="1"/>
  <c r="Z212" i="1"/>
  <c r="Z208" i="1"/>
  <c r="Z204" i="1"/>
  <c r="AB204" i="1" s="1"/>
  <c r="Z200" i="1"/>
  <c r="AD200" i="1" s="1"/>
  <c r="Z196" i="1"/>
  <c r="AF196" i="1" s="1"/>
  <c r="Z192" i="1"/>
  <c r="Z188" i="1"/>
  <c r="AE188" i="1" s="1"/>
  <c r="Z184" i="1"/>
  <c r="Z180" i="1"/>
  <c r="Z176" i="1"/>
  <c r="AH176" i="1" s="1"/>
  <c r="Z172" i="1"/>
  <c r="AH172" i="1" s="1"/>
  <c r="Z168" i="1"/>
  <c r="AH168" i="1" s="1"/>
  <c r="Z164" i="1"/>
  <c r="Z160" i="1"/>
  <c r="AH160" i="1" s="1"/>
  <c r="Z156" i="1"/>
  <c r="AH156" i="1" s="1"/>
  <c r="Z152" i="1"/>
  <c r="AH152" i="1" s="1"/>
  <c r="Z148" i="1"/>
  <c r="AH148" i="1" s="1"/>
  <c r="Z144" i="1"/>
  <c r="AH144" i="1" s="1"/>
  <c r="Z140" i="1"/>
  <c r="AH140" i="1" s="1"/>
  <c r="Z136" i="1"/>
  <c r="AH136" i="1" s="1"/>
  <c r="Z132" i="1"/>
  <c r="Z124" i="1"/>
  <c r="AH124" i="1" s="1"/>
  <c r="Z96" i="1"/>
  <c r="AH96" i="1" s="1"/>
  <c r="Z92" i="1"/>
  <c r="AH92" i="1" s="1"/>
  <c r="Z88" i="1"/>
  <c r="AH88" i="1" s="1"/>
  <c r="Z543" i="1"/>
  <c r="Z539" i="1"/>
  <c r="AH539" i="1" s="1"/>
  <c r="Z535" i="1"/>
  <c r="Z531" i="1"/>
  <c r="Z527" i="1"/>
  <c r="AH527" i="1" s="1"/>
  <c r="Z523" i="1"/>
  <c r="AH523" i="1" s="1"/>
  <c r="Z519" i="1"/>
  <c r="AH519" i="1" s="1"/>
  <c r="Z515" i="1"/>
  <c r="AC515" i="1" s="1"/>
  <c r="Z511" i="1"/>
  <c r="Z507" i="1"/>
  <c r="Z503" i="1"/>
  <c r="Z499" i="1"/>
  <c r="Z495" i="1"/>
  <c r="AC495" i="1" s="1"/>
  <c r="Z491" i="1"/>
  <c r="AK491" i="1" s="1"/>
  <c r="Z487" i="1"/>
  <c r="AG487" i="1" s="1"/>
  <c r="Z483" i="1"/>
  <c r="Z479" i="1"/>
  <c r="Z475" i="1"/>
  <c r="AJ475" i="1" s="1"/>
  <c r="Z471" i="1"/>
  <c r="Z467" i="1"/>
  <c r="Z463" i="1"/>
  <c r="AO463" i="1" s="1"/>
  <c r="Z459" i="1"/>
  <c r="Z455" i="1"/>
  <c r="AC455" i="1" s="1"/>
  <c r="Z451" i="1"/>
  <c r="AL451" i="1" s="1"/>
  <c r="Z447" i="1"/>
  <c r="Z443" i="1"/>
  <c r="Z439" i="1"/>
  <c r="Z435" i="1"/>
  <c r="Z431" i="1"/>
  <c r="AH431" i="1" s="1"/>
  <c r="Z427" i="1"/>
  <c r="AH427" i="1" s="1"/>
  <c r="Z423" i="1"/>
  <c r="AH423" i="1" s="1"/>
  <c r="Z419" i="1"/>
  <c r="AH419" i="1" s="1"/>
  <c r="Z415" i="1"/>
  <c r="AH415" i="1" s="1"/>
  <c r="Z411" i="1"/>
  <c r="AH411" i="1" s="1"/>
  <c r="Z407" i="1"/>
  <c r="AH407" i="1" s="1"/>
  <c r="Z403" i="1"/>
  <c r="AH403" i="1" s="1"/>
  <c r="Z399" i="1"/>
  <c r="AH399" i="1" s="1"/>
  <c r="Z395" i="1"/>
  <c r="AH395" i="1" s="1"/>
  <c r="Z391" i="1"/>
  <c r="AH391" i="1" s="1"/>
  <c r="Z387" i="1"/>
  <c r="AH387" i="1" s="1"/>
  <c r="Z383" i="1"/>
  <c r="AH383" i="1" s="1"/>
  <c r="Z379" i="1"/>
  <c r="AG379" i="1" s="1"/>
  <c r="Z375" i="1"/>
  <c r="Z371" i="1"/>
  <c r="Z367" i="1"/>
  <c r="AO367" i="1" s="1"/>
  <c r="Z363" i="1"/>
  <c r="AH363" i="1" s="1"/>
  <c r="Z359" i="1"/>
  <c r="AH359" i="1" s="1"/>
  <c r="Z355" i="1"/>
  <c r="Z351" i="1"/>
  <c r="Z347" i="1"/>
  <c r="AO347" i="1" s="1"/>
  <c r="Z343" i="1"/>
  <c r="Z339" i="1"/>
  <c r="Z335" i="1"/>
  <c r="AL335" i="1" s="1"/>
  <c r="Z331" i="1"/>
  <c r="Z327" i="1"/>
  <c r="AO327" i="1" s="1"/>
  <c r="Z323" i="1"/>
  <c r="Z319" i="1"/>
  <c r="Z315" i="1"/>
  <c r="Z311" i="1"/>
  <c r="AD311" i="1" s="1"/>
  <c r="Z307" i="1"/>
  <c r="Z303" i="1"/>
  <c r="AL303" i="1" s="1"/>
  <c r="Z299" i="1"/>
  <c r="Z295" i="1"/>
  <c r="AK295" i="1" s="1"/>
  <c r="Z291" i="1"/>
  <c r="AQ291" i="1" s="1"/>
  <c r="Z287" i="1"/>
  <c r="Z283" i="1"/>
  <c r="Z279" i="1"/>
  <c r="AF279" i="1" s="1"/>
  <c r="Z275" i="1"/>
  <c r="Z271" i="1"/>
  <c r="AG271" i="1" s="1"/>
  <c r="Z267" i="1"/>
  <c r="AM267" i="1" s="1"/>
  <c r="Z263" i="1"/>
  <c r="AM263" i="1" s="1"/>
  <c r="Z259" i="1"/>
  <c r="AG259" i="1" s="1"/>
  <c r="Z255" i="1"/>
  <c r="Z251" i="1"/>
  <c r="Z247" i="1"/>
  <c r="Z243" i="1"/>
  <c r="Z239" i="1"/>
  <c r="AM239" i="1" s="1"/>
  <c r="Z235" i="1"/>
  <c r="Z231" i="1"/>
  <c r="AE231" i="1" s="1"/>
  <c r="Z227" i="1"/>
  <c r="Z223" i="1"/>
  <c r="Z219" i="1"/>
  <c r="Z215" i="1"/>
  <c r="AH215" i="1" s="1"/>
  <c r="Z211" i="1"/>
  <c r="Z207" i="1"/>
  <c r="AO207" i="1" s="1"/>
  <c r="Z203" i="1"/>
  <c r="Z199" i="1"/>
  <c r="AH199" i="1" s="1"/>
  <c r="Z195" i="1"/>
  <c r="Z191" i="1"/>
  <c r="Z187" i="1"/>
  <c r="Z183" i="1"/>
  <c r="AF183" i="1" s="1"/>
  <c r="Z179" i="1"/>
  <c r="Z175" i="1"/>
  <c r="AP175" i="1" s="1"/>
  <c r="Z171" i="1"/>
  <c r="Z167" i="1"/>
  <c r="AH167" i="1" s="1"/>
  <c r="Z163" i="1"/>
  <c r="Z159" i="1"/>
  <c r="Z155" i="1"/>
  <c r="AH155" i="1" s="1"/>
  <c r="Z151" i="1"/>
  <c r="AP151" i="1" s="1"/>
  <c r="Z147" i="1"/>
  <c r="Z143" i="1"/>
  <c r="AH143" i="1" s="1"/>
  <c r="Z139" i="1"/>
  <c r="Z135" i="1"/>
  <c r="AH135" i="1" s="1"/>
  <c r="Z131" i="1"/>
  <c r="AB131" i="1" s="1"/>
  <c r="Z127" i="1"/>
  <c r="Z123" i="1"/>
  <c r="AB123" i="1" s="1"/>
  <c r="Z119" i="1"/>
  <c r="AH119" i="1" s="1"/>
  <c r="Z115" i="1"/>
  <c r="Z111" i="1"/>
  <c r="AP111" i="1" s="1"/>
  <c r="Z107" i="1"/>
  <c r="Z103" i="1"/>
  <c r="AH103" i="1" s="1"/>
  <c r="Z99" i="1"/>
  <c r="AP99" i="1" s="1"/>
  <c r="Z95" i="1"/>
  <c r="AB95" i="1" s="1"/>
  <c r="Z91" i="1"/>
  <c r="AP91" i="1" s="1"/>
  <c r="Z87" i="1"/>
  <c r="AP87" i="1" s="1"/>
  <c r="Z542" i="1"/>
  <c r="Z538" i="1"/>
  <c r="AH538" i="1" s="1"/>
  <c r="Z534" i="1"/>
  <c r="Z530" i="1"/>
  <c r="AF530" i="1" s="1"/>
  <c r="Z526" i="1"/>
  <c r="AN526" i="1" s="1"/>
  <c r="Z522" i="1"/>
  <c r="AM522" i="1" s="1"/>
  <c r="Z518" i="1"/>
  <c r="AA518" i="1" s="1"/>
  <c r="Z514" i="1"/>
  <c r="AE514" i="1" s="1"/>
  <c r="Z510" i="1"/>
  <c r="AA510" i="1" s="1"/>
  <c r="Z506" i="1"/>
  <c r="Z502" i="1"/>
  <c r="Z498" i="1"/>
  <c r="AE498" i="1" s="1"/>
  <c r="Z494" i="1"/>
  <c r="AA494" i="1" s="1"/>
  <c r="Z490" i="1"/>
  <c r="AM490" i="1" s="1"/>
  <c r="Z486" i="1"/>
  <c r="AA486" i="1" s="1"/>
  <c r="Z482" i="1"/>
  <c r="AO482" i="1" s="1"/>
  <c r="Z478" i="1"/>
  <c r="Z474" i="1"/>
  <c r="Z470" i="1"/>
  <c r="Z466" i="1"/>
  <c r="Z462" i="1"/>
  <c r="AE462" i="1" s="1"/>
  <c r="Z458" i="1"/>
  <c r="AM458" i="1" s="1"/>
  <c r="Z454" i="1"/>
  <c r="AQ454" i="1" s="1"/>
  <c r="Z450" i="1"/>
  <c r="AO450" i="1" s="1"/>
  <c r="Z446" i="1"/>
  <c r="Z442" i="1"/>
  <c r="AL442" i="1" s="1"/>
  <c r="Z438" i="1"/>
  <c r="Z434" i="1"/>
  <c r="AA434" i="1" s="1"/>
  <c r="Z430" i="1"/>
  <c r="AP430" i="1" s="1"/>
  <c r="Z426" i="1"/>
  <c r="Z422" i="1"/>
  <c r="AH422" i="1" s="1"/>
  <c r="Z418" i="1"/>
  <c r="AP418" i="1" s="1"/>
  <c r="Z414" i="1"/>
  <c r="Z410" i="1"/>
  <c r="Z406" i="1"/>
  <c r="Z402" i="1"/>
  <c r="Z398" i="1"/>
  <c r="AJ398" i="1" s="1"/>
  <c r="Z394" i="1"/>
  <c r="AH394" i="1" s="1"/>
  <c r="Z390" i="1"/>
  <c r="AJ390" i="1" s="1"/>
  <c r="Z386" i="1"/>
  <c r="Z382" i="1"/>
  <c r="Z378" i="1"/>
  <c r="AP378" i="1" s="1"/>
  <c r="Z182" i="1"/>
  <c r="AC182" i="1" s="1"/>
  <c r="Z170" i="1"/>
  <c r="Z142" i="1"/>
  <c r="AK142" i="1" s="1"/>
  <c r="Z122" i="1"/>
  <c r="Z118" i="1"/>
  <c r="AN118" i="1" s="1"/>
  <c r="Z102" i="1"/>
  <c r="AL102" i="1" s="1"/>
  <c r="Z98" i="1"/>
  <c r="Z94" i="1"/>
  <c r="AO94" i="1" s="1"/>
  <c r="Z78" i="1"/>
  <c r="AM78" i="1" s="1"/>
  <c r="Z541" i="1"/>
  <c r="AB541" i="1" s="1"/>
  <c r="Z537" i="1"/>
  <c r="AL537" i="1" s="1"/>
  <c r="Z533" i="1"/>
  <c r="Z529" i="1"/>
  <c r="AD529" i="1" s="1"/>
  <c r="Z525" i="1"/>
  <c r="AM525" i="1" s="1"/>
  <c r="Z521" i="1"/>
  <c r="AO521" i="1" s="1"/>
  <c r="Z517" i="1"/>
  <c r="AJ517" i="1" s="1"/>
  <c r="Z513" i="1"/>
  <c r="AO513" i="1" s="1"/>
  <c r="Z509" i="1"/>
  <c r="AI509" i="1" s="1"/>
  <c r="Z505" i="1"/>
  <c r="AL505" i="1" s="1"/>
  <c r="Z501" i="1"/>
  <c r="AG501" i="1" s="1"/>
  <c r="Z497" i="1"/>
  <c r="AI497" i="1" s="1"/>
  <c r="Z493" i="1"/>
  <c r="AP493" i="1" s="1"/>
  <c r="Z489" i="1"/>
  <c r="AG489" i="1" s="1"/>
  <c r="Z485" i="1"/>
  <c r="Z481" i="1"/>
  <c r="AO481" i="1" s="1"/>
  <c r="Z477" i="1"/>
  <c r="AN477" i="1" s="1"/>
  <c r="Z473" i="1"/>
  <c r="AQ473" i="1" s="1"/>
  <c r="Z469" i="1"/>
  <c r="Z465" i="1"/>
  <c r="AH465" i="1" s="1"/>
  <c r="Z461" i="1"/>
  <c r="AJ461" i="1" s="1"/>
  <c r="Z457" i="1"/>
  <c r="AN457" i="1" s="1"/>
  <c r="Z453" i="1"/>
  <c r="AG453" i="1" s="1"/>
  <c r="Z449" i="1"/>
  <c r="AQ449" i="1" s="1"/>
  <c r="Z445" i="1"/>
  <c r="AJ445" i="1" s="1"/>
  <c r="Z441" i="1"/>
  <c r="Z437" i="1"/>
  <c r="Z433" i="1"/>
  <c r="AH433" i="1" s="1"/>
  <c r="Z429" i="1"/>
  <c r="AD429" i="1" s="1"/>
  <c r="Z425" i="1"/>
  <c r="AI425" i="1" s="1"/>
  <c r="Z421" i="1"/>
  <c r="Z417" i="1"/>
  <c r="Z413" i="1"/>
  <c r="Z409" i="1"/>
  <c r="Z405" i="1"/>
  <c r="AL405" i="1" s="1"/>
  <c r="Z401" i="1"/>
  <c r="Z397" i="1"/>
  <c r="AI397" i="1" s="1"/>
  <c r="Z393" i="1"/>
  <c r="AL393" i="1" s="1"/>
  <c r="Z389" i="1"/>
  <c r="AL389" i="1" s="1"/>
  <c r="Z385" i="1"/>
  <c r="Z381" i="1"/>
  <c r="Z377" i="1"/>
  <c r="Z373" i="1"/>
  <c r="AB373" i="1" s="1"/>
  <c r="Z337" i="1"/>
  <c r="AI337" i="1" s="1"/>
  <c r="Z257" i="1"/>
  <c r="Z133" i="1"/>
  <c r="AC133" i="1" s="1"/>
  <c r="Z129" i="1"/>
  <c r="AD129" i="1" s="1"/>
  <c r="Z93" i="1"/>
  <c r="Z89" i="1"/>
  <c r="AB89" i="1" s="1"/>
  <c r="Z85" i="1"/>
  <c r="AI85" i="1" s="1"/>
  <c r="Z374" i="1"/>
  <c r="Z370" i="1"/>
  <c r="AC370" i="1" s="1"/>
  <c r="Z366" i="1"/>
  <c r="AB366" i="1" s="1"/>
  <c r="Z362" i="1"/>
  <c r="AJ362" i="1" s="1"/>
  <c r="Z358" i="1"/>
  <c r="AQ358" i="1" s="1"/>
  <c r="Z354" i="1"/>
  <c r="AK354" i="1" s="1"/>
  <c r="Z350" i="1"/>
  <c r="Z346" i="1"/>
  <c r="AB346" i="1" s="1"/>
  <c r="Z342" i="1"/>
  <c r="Z338" i="1"/>
  <c r="AH338" i="1" s="1"/>
  <c r="Z334" i="1"/>
  <c r="AN334" i="1" s="1"/>
  <c r="Z330" i="1"/>
  <c r="AQ330" i="1" s="1"/>
  <c r="Z326" i="1"/>
  <c r="AO326" i="1" s="1"/>
  <c r="Z322" i="1"/>
  <c r="AK322" i="1" s="1"/>
  <c r="Z318" i="1"/>
  <c r="AJ318" i="1" s="1"/>
  <c r="Z314" i="1"/>
  <c r="AL314" i="1" s="1"/>
  <c r="Z310" i="1"/>
  <c r="AM310" i="1" s="1"/>
  <c r="Z306" i="1"/>
  <c r="AA306" i="1" s="1"/>
  <c r="Z302" i="1"/>
  <c r="Z298" i="1"/>
  <c r="AE298" i="1" s="1"/>
  <c r="Z294" i="1"/>
  <c r="Z290" i="1"/>
  <c r="AN290" i="1" s="1"/>
  <c r="Z286" i="1"/>
  <c r="AL286" i="1" s="1"/>
  <c r="Z282" i="1"/>
  <c r="AB282" i="1" s="1"/>
  <c r="Z278" i="1"/>
  <c r="AB278" i="1" s="1"/>
  <c r="Z274" i="1"/>
  <c r="AF274" i="1" s="1"/>
  <c r="Z270" i="1"/>
  <c r="Z266" i="1"/>
  <c r="AN266" i="1" s="1"/>
  <c r="Z262" i="1"/>
  <c r="Z258" i="1"/>
  <c r="Z254" i="1"/>
  <c r="AO254" i="1" s="1"/>
  <c r="Z250" i="1"/>
  <c r="AL250" i="1" s="1"/>
  <c r="Z246" i="1"/>
  <c r="Z242" i="1"/>
  <c r="AD242" i="1" s="1"/>
  <c r="Z238" i="1"/>
  <c r="AO238" i="1" s="1"/>
  <c r="Z234" i="1"/>
  <c r="AA234" i="1" s="1"/>
  <c r="Z230" i="1"/>
  <c r="Z226" i="1"/>
  <c r="AL226" i="1" s="1"/>
  <c r="Z222" i="1"/>
  <c r="Z218" i="1"/>
  <c r="AI218" i="1" s="1"/>
  <c r="Z214" i="1"/>
  <c r="AQ214" i="1" s="1"/>
  <c r="Z210" i="1"/>
  <c r="AF210" i="1" s="1"/>
  <c r="Z206" i="1"/>
  <c r="AN206" i="1" s="1"/>
  <c r="Z202" i="1"/>
  <c r="AG202" i="1" s="1"/>
  <c r="Z198" i="1"/>
  <c r="Z194" i="1"/>
  <c r="Z190" i="1"/>
  <c r="AA190" i="1" s="1"/>
  <c r="Z186" i="1"/>
  <c r="AI186" i="1" s="1"/>
  <c r="Z178" i="1"/>
  <c r="Z174" i="1"/>
  <c r="AM174" i="1" s="1"/>
  <c r="Z166" i="1"/>
  <c r="AI166" i="1" s="1"/>
  <c r="Z162" i="1"/>
  <c r="AE162" i="1" s="1"/>
  <c r="Z158" i="1"/>
  <c r="Z154" i="1"/>
  <c r="AE154" i="1" s="1"/>
  <c r="Z150" i="1"/>
  <c r="AC150" i="1" s="1"/>
  <c r="Z146" i="1"/>
  <c r="AI146" i="1" s="1"/>
  <c r="Z138" i="1"/>
  <c r="AA138" i="1" s="1"/>
  <c r="Z134" i="1"/>
  <c r="AC134" i="1" s="1"/>
  <c r="Z130" i="1"/>
  <c r="AQ130" i="1" s="1"/>
  <c r="Z126" i="1"/>
  <c r="AN126" i="1" s="1"/>
  <c r="Z114" i="1"/>
  <c r="Z110" i="1"/>
  <c r="Z90" i="1"/>
  <c r="AP90" i="1" s="1"/>
  <c r="Z86" i="1"/>
  <c r="AP86" i="1" s="1"/>
  <c r="Z82" i="1"/>
  <c r="Z74" i="1"/>
  <c r="Z70" i="1"/>
  <c r="AL70" i="1" s="1"/>
  <c r="Z66" i="1"/>
  <c r="AI66" i="1" s="1"/>
  <c r="Z62" i="1"/>
  <c r="AG62" i="1" s="1"/>
  <c r="Z58" i="1"/>
  <c r="AD58" i="1" s="1"/>
  <c r="Z369" i="1"/>
  <c r="AL369" i="1" s="1"/>
  <c r="Z365" i="1"/>
  <c r="AD365" i="1" s="1"/>
  <c r="Z361" i="1"/>
  <c r="AG361" i="1" s="1"/>
  <c r="Z357" i="1"/>
  <c r="AK357" i="1" s="1"/>
  <c r="Z353" i="1"/>
  <c r="AD353" i="1" s="1"/>
  <c r="Z349" i="1"/>
  <c r="AB349" i="1" s="1"/>
  <c r="Z345" i="1"/>
  <c r="AM345" i="1" s="1"/>
  <c r="Z341" i="1"/>
  <c r="AI341" i="1" s="1"/>
  <c r="Z333" i="1"/>
  <c r="AP333" i="1" s="1"/>
  <c r="Z329" i="1"/>
  <c r="AH329" i="1" s="1"/>
  <c r="Z325" i="1"/>
  <c r="AH325" i="1" s="1"/>
  <c r="Z321" i="1"/>
  <c r="AE321" i="1" s="1"/>
  <c r="Z317" i="1"/>
  <c r="Z313" i="1"/>
  <c r="AH313" i="1" s="1"/>
  <c r="Z309" i="1"/>
  <c r="Z305" i="1"/>
  <c r="AM305" i="1" s="1"/>
  <c r="Z301" i="1"/>
  <c r="Z297" i="1"/>
  <c r="AH297" i="1" s="1"/>
  <c r="Z293" i="1"/>
  <c r="AH293" i="1" s="1"/>
  <c r="Z289" i="1"/>
  <c r="AE289" i="1" s="1"/>
  <c r="Z285" i="1"/>
  <c r="Z281" i="1"/>
  <c r="AH281" i="1" s="1"/>
  <c r="Z277" i="1"/>
  <c r="Z273" i="1"/>
  <c r="AM273" i="1" s="1"/>
  <c r="Z269" i="1"/>
  <c r="AE269" i="1" s="1"/>
  <c r="Z265" i="1"/>
  <c r="AE265" i="1" s="1"/>
  <c r="Z261" i="1"/>
  <c r="Z253" i="1"/>
  <c r="AP253" i="1" s="1"/>
  <c r="Z249" i="1"/>
  <c r="AE249" i="1" s="1"/>
  <c r="Z245" i="1"/>
  <c r="Z241" i="1"/>
  <c r="AA241" i="1" s="1"/>
  <c r="Z237" i="1"/>
  <c r="AN237" i="1" s="1"/>
  <c r="Z233" i="1"/>
  <c r="AG233" i="1" s="1"/>
  <c r="Z229" i="1"/>
  <c r="AO229" i="1" s="1"/>
  <c r="Z225" i="1"/>
  <c r="AQ225" i="1" s="1"/>
  <c r="Z221" i="1"/>
  <c r="Z217" i="1"/>
  <c r="AL217" i="1" s="1"/>
  <c r="Z213" i="1"/>
  <c r="Z209" i="1"/>
  <c r="AH209" i="1" s="1"/>
  <c r="Z205" i="1"/>
  <c r="AP205" i="1" s="1"/>
  <c r="Z201" i="1"/>
  <c r="AE201" i="1" s="1"/>
  <c r="Z197" i="1"/>
  <c r="AM197" i="1" s="1"/>
  <c r="Z193" i="1"/>
  <c r="AE193" i="1" s="1"/>
  <c r="Z189" i="1"/>
  <c r="Z185" i="1"/>
  <c r="AM185" i="1" s="1"/>
  <c r="Z181" i="1"/>
  <c r="Z177" i="1"/>
  <c r="AJ177" i="1" s="1"/>
  <c r="Z173" i="1"/>
  <c r="AH173" i="1" s="1"/>
  <c r="Z169" i="1"/>
  <c r="Z165" i="1"/>
  <c r="AK165" i="1" s="1"/>
  <c r="Z161" i="1"/>
  <c r="AJ161" i="1" s="1"/>
  <c r="Z157" i="1"/>
  <c r="AB157" i="1" s="1"/>
  <c r="Z153" i="1"/>
  <c r="AF153" i="1" s="1"/>
  <c r="Z149" i="1"/>
  <c r="Z145" i="1"/>
  <c r="AD145" i="1" s="1"/>
  <c r="Z141" i="1"/>
  <c r="Z137" i="1"/>
  <c r="AM137" i="1" s="1"/>
  <c r="Z125" i="1"/>
  <c r="AQ125" i="1" s="1"/>
  <c r="Z121" i="1"/>
  <c r="AQ121" i="1" s="1"/>
  <c r="Z113" i="1"/>
  <c r="AE113" i="1" s="1"/>
  <c r="Z109" i="1"/>
  <c r="Z101" i="1"/>
  <c r="Z97" i="1"/>
  <c r="AQ97" i="1" s="1"/>
  <c r="Z77" i="1"/>
  <c r="AJ77" i="1" s="1"/>
  <c r="Z73" i="1"/>
  <c r="AN73" i="1" s="1"/>
  <c r="Z69" i="1"/>
  <c r="AF69" i="1" s="1"/>
  <c r="Z53" i="1"/>
  <c r="AN53" i="1" s="1"/>
  <c r="AQ556" i="1" l="1"/>
  <c r="AN556" i="1"/>
  <c r="AO556" i="1"/>
  <c r="AP556" i="1"/>
  <c r="AA555" i="1"/>
  <c r="AB555" i="1"/>
  <c r="AC555" i="1"/>
  <c r="AD555" i="1"/>
  <c r="AE555" i="1"/>
  <c r="AF555" i="1"/>
  <c r="AG555" i="1"/>
  <c r="AH555" i="1"/>
  <c r="AI555" i="1"/>
  <c r="AJ555" i="1"/>
  <c r="AK555" i="1"/>
  <c r="AL555" i="1"/>
  <c r="AM555" i="1"/>
  <c r="AN555" i="1"/>
  <c r="AO555" i="1"/>
  <c r="AP555" i="1"/>
  <c r="AQ555" i="1"/>
  <c r="J24" i="12"/>
  <c r="K24" i="12" s="1"/>
  <c r="G24" i="12"/>
  <c r="H24" i="12" s="1"/>
  <c r="AT24" i="12"/>
  <c r="AU24" i="12" s="1"/>
  <c r="AN24" i="12"/>
  <c r="AO24" i="12" s="1"/>
  <c r="AB24" i="12"/>
  <c r="AC24" i="12" s="1"/>
  <c r="V24" i="12"/>
  <c r="W24" i="12" s="1"/>
  <c r="P24" i="12"/>
  <c r="Q24" i="12" s="1"/>
  <c r="AH24" i="12"/>
  <c r="AI24" i="12" s="1"/>
  <c r="M24" i="12"/>
  <c r="N24" i="12" s="1"/>
  <c r="AW24" i="12"/>
  <c r="AX24" i="12" s="1"/>
  <c r="AQ24" i="12"/>
  <c r="AR24" i="12" s="1"/>
  <c r="AK24" i="12"/>
  <c r="AL24" i="12" s="1"/>
  <c r="AE24" i="12"/>
  <c r="AF24" i="12" s="1"/>
  <c r="Y24" i="12"/>
  <c r="Z24" i="12" s="1"/>
  <c r="S24" i="12"/>
  <c r="T24" i="12" s="1"/>
  <c r="D24" i="12"/>
  <c r="E24" i="12" s="1"/>
  <c r="A25" i="12"/>
  <c r="B25" i="12"/>
  <c r="C24" i="12"/>
  <c r="AV24" i="12"/>
  <c r="AS24" i="12"/>
  <c r="AP24" i="12"/>
  <c r="BO24" i="12" s="1"/>
  <c r="AM24" i="12"/>
  <c r="BN24" i="12" s="1"/>
  <c r="AJ24" i="12"/>
  <c r="BM24" i="12" s="1"/>
  <c r="AG24" i="12"/>
  <c r="BL24" i="12" s="1"/>
  <c r="AD24" i="12"/>
  <c r="BK24" i="12" s="1"/>
  <c r="AA24" i="12"/>
  <c r="BJ24" i="12" s="1"/>
  <c r="X24" i="12"/>
  <c r="BI24" i="12" s="1"/>
  <c r="U24" i="12"/>
  <c r="BH24" i="12" s="1"/>
  <c r="R24" i="12"/>
  <c r="BG24" i="12" s="1"/>
  <c r="O24" i="12"/>
  <c r="BF24" i="12" s="1"/>
  <c r="L24" i="12"/>
  <c r="I24" i="12"/>
  <c r="BD24" i="12" s="1"/>
  <c r="F24" i="12"/>
  <c r="BC24" i="12" s="1"/>
  <c r="BG23" i="12"/>
  <c r="BJ23" i="12"/>
  <c r="BD23" i="12"/>
  <c r="BM23" i="12"/>
  <c r="BN23" i="12"/>
  <c r="BI23" i="12"/>
  <c r="BF23" i="12"/>
  <c r="BH23" i="12"/>
  <c r="BK23" i="12"/>
  <c r="BL23" i="12"/>
  <c r="BB23" i="12"/>
  <c r="BP23" i="12"/>
  <c r="BQ23" i="12"/>
  <c r="BC23" i="12"/>
  <c r="BE23" i="12"/>
  <c r="BO23" i="12"/>
  <c r="BQ24" i="12"/>
  <c r="BP24" i="12"/>
  <c r="BB24" i="12"/>
  <c r="AZ25" i="12"/>
  <c r="BA25" i="12"/>
  <c r="BO22" i="12"/>
  <c r="BD22" i="12"/>
  <c r="BK22" i="12"/>
  <c r="BH22" i="12"/>
  <c r="BP22" i="12"/>
  <c r="BB22" i="12"/>
  <c r="BL22" i="12"/>
  <c r="BC22" i="12"/>
  <c r="BJ22" i="12"/>
  <c r="BE22" i="12"/>
  <c r="BN22" i="12"/>
  <c r="BI22" i="12"/>
  <c r="BG22" i="12"/>
  <c r="BF22" i="12"/>
  <c r="BQ22" i="12"/>
  <c r="BM22" i="12"/>
  <c r="AB548" i="1"/>
  <c r="AC548" i="1"/>
  <c r="AD548" i="1"/>
  <c r="AE548" i="1"/>
  <c r="AF548" i="1"/>
  <c r="AH548" i="1"/>
  <c r="AI548" i="1"/>
  <c r="AJ548" i="1"/>
  <c r="AK548" i="1"/>
  <c r="AL548" i="1"/>
  <c r="AM548" i="1"/>
  <c r="AN548" i="1"/>
  <c r="AO548" i="1"/>
  <c r="AP548" i="1"/>
  <c r="AQ548" i="1"/>
  <c r="AG548" i="1"/>
  <c r="AA548" i="1"/>
  <c r="AJ552" i="1"/>
  <c r="AN552" i="1"/>
  <c r="AO552" i="1"/>
  <c r="AP552" i="1"/>
  <c r="AQ552" i="1"/>
  <c r="AB552" i="1"/>
  <c r="AO4" i="1"/>
  <c r="AB4" i="1"/>
  <c r="AQ4" i="1"/>
  <c r="AI4" i="1"/>
  <c r="AA4" i="1"/>
  <c r="AP4" i="1"/>
  <c r="AH4" i="1"/>
  <c r="AL32" i="1"/>
  <c r="AN32" i="1"/>
  <c r="AE32" i="1"/>
  <c r="AH32" i="1"/>
  <c r="AO105" i="1"/>
  <c r="AJ105" i="1"/>
  <c r="AP105" i="1"/>
  <c r="AB147" i="1"/>
  <c r="AP147" i="1"/>
  <c r="AH127" i="1"/>
  <c r="AP127" i="1"/>
  <c r="AB127" i="1"/>
  <c r="AB115" i="1"/>
  <c r="AP115" i="1"/>
  <c r="AH107" i="1"/>
  <c r="AP107" i="1"/>
  <c r="AG552" i="1"/>
  <c r="AH552" i="1"/>
  <c r="AK552" i="1"/>
  <c r="AM552" i="1"/>
  <c r="AC552" i="1"/>
  <c r="AD552" i="1"/>
  <c r="AN547" i="1"/>
  <c r="AQ547" i="1"/>
  <c r="AP547" i="1"/>
  <c r="AO547" i="1"/>
  <c r="AA547" i="1"/>
  <c r="AB547" i="1"/>
  <c r="AC547" i="1"/>
  <c r="AD547" i="1"/>
  <c r="AE547" i="1"/>
  <c r="AF547" i="1"/>
  <c r="AG547" i="1"/>
  <c r="AH547" i="1"/>
  <c r="AI547" i="1"/>
  <c r="AJ547" i="1"/>
  <c r="AK547" i="1"/>
  <c r="AL547" i="1"/>
  <c r="AM547" i="1"/>
  <c r="AA552" i="1"/>
  <c r="AL552" i="1"/>
  <c r="AF552" i="1"/>
  <c r="AE552" i="1"/>
  <c r="AK252" i="1"/>
  <c r="AC252" i="1"/>
  <c r="AJ252" i="1"/>
  <c r="AB252" i="1"/>
  <c r="AJ244" i="1"/>
  <c r="AB244" i="1"/>
  <c r="AA549" i="1"/>
  <c r="AL549" i="1"/>
  <c r="AQ549" i="1"/>
  <c r="AP549" i="1"/>
  <c r="AO549" i="1"/>
  <c r="AN549" i="1"/>
  <c r="AM549" i="1"/>
  <c r="AK549" i="1"/>
  <c r="AJ549" i="1"/>
  <c r="AI549" i="1"/>
  <c r="AH549" i="1"/>
  <c r="AG549" i="1"/>
  <c r="AF549" i="1"/>
  <c r="AE549" i="1"/>
  <c r="AD549" i="1"/>
  <c r="AC549" i="1"/>
  <c r="AB549" i="1"/>
  <c r="AE551" i="1"/>
  <c r="AA551" i="1"/>
  <c r="AO551" i="1"/>
  <c r="AP551" i="1"/>
  <c r="AQ551" i="1"/>
  <c r="AC551" i="1"/>
  <c r="AP550" i="1"/>
  <c r="AQ550" i="1"/>
  <c r="AO550" i="1"/>
  <c r="AM550" i="1"/>
  <c r="AG550" i="1"/>
  <c r="AE550" i="1"/>
  <c r="AD550" i="1"/>
  <c r="AB550" i="1"/>
  <c r="AA550" i="1"/>
  <c r="AN550" i="1"/>
  <c r="AC550" i="1"/>
  <c r="AL550" i="1"/>
  <c r="AK550" i="1"/>
  <c r="AJ550" i="1"/>
  <c r="AI550" i="1"/>
  <c r="AH550" i="1"/>
  <c r="AF550" i="1"/>
  <c r="AD551" i="1"/>
  <c r="AF551" i="1"/>
  <c r="AG551" i="1"/>
  <c r="AH551" i="1"/>
  <c r="AI551" i="1"/>
  <c r="AJ551" i="1"/>
  <c r="AK551" i="1"/>
  <c r="AL551" i="1"/>
  <c r="AM551" i="1"/>
  <c r="AN551" i="1"/>
  <c r="AG4" i="1"/>
  <c r="AN4" i="1"/>
  <c r="AF4" i="1"/>
  <c r="AM4" i="1"/>
  <c r="AE4" i="1"/>
  <c r="AK4" i="1"/>
  <c r="AC4" i="1"/>
  <c r="AH105" i="1"/>
  <c r="AG105" i="1"/>
  <c r="AB105" i="1"/>
  <c r="AP81" i="1"/>
  <c r="AM81" i="1"/>
  <c r="AB81" i="1"/>
  <c r="AK256" i="1"/>
  <c r="AN256" i="1"/>
  <c r="AJ4" i="1"/>
  <c r="AD4" i="1"/>
  <c r="AP117" i="1"/>
  <c r="AN117" i="1"/>
  <c r="AJ117" i="1"/>
  <c r="AB117" i="1"/>
  <c r="AA117" i="1"/>
  <c r="AI117" i="1"/>
  <c r="AQ117" i="1"/>
  <c r="AO117" i="1"/>
  <c r="AC117" i="1"/>
  <c r="AH117" i="1"/>
  <c r="AK117" i="1"/>
  <c r="AD117" i="1"/>
  <c r="AL117" i="1"/>
  <c r="AE117" i="1"/>
  <c r="AM117" i="1"/>
  <c r="AF117" i="1"/>
  <c r="AG117" i="1"/>
  <c r="AK105" i="1"/>
  <c r="AC105" i="1"/>
  <c r="AQ105" i="1"/>
  <c r="AN105" i="1"/>
  <c r="AL105" i="1"/>
  <c r="AE105" i="1"/>
  <c r="AI105" i="1"/>
  <c r="AA105" i="1"/>
  <c r="AM105" i="1"/>
  <c r="AF105" i="1"/>
  <c r="AD105" i="1"/>
  <c r="AE81" i="1"/>
  <c r="AG81" i="1"/>
  <c r="AN81" i="1"/>
  <c r="AF81" i="1"/>
  <c r="AL81" i="1"/>
  <c r="AD81" i="1"/>
  <c r="AK81" i="1"/>
  <c r="AQ81" i="1"/>
  <c r="AI81" i="1"/>
  <c r="AA81" i="1"/>
  <c r="AO81" i="1"/>
  <c r="AH81" i="1"/>
  <c r="AC81" i="1"/>
  <c r="AJ81" i="1"/>
  <c r="AD17" i="1"/>
  <c r="AP17" i="1"/>
  <c r="AK17" i="1"/>
  <c r="AC17" i="1"/>
  <c r="AL17" i="1"/>
  <c r="AG17" i="1"/>
  <c r="AN17" i="1"/>
  <c r="AF17" i="1"/>
  <c r="AQ17" i="1"/>
  <c r="AI17" i="1"/>
  <c r="AA17" i="1"/>
  <c r="AJ17" i="1"/>
  <c r="AB17" i="1"/>
  <c r="AG13" i="1"/>
  <c r="AF13" i="1"/>
  <c r="AH13" i="1"/>
  <c r="AP13" i="1"/>
  <c r="AN13" i="1"/>
  <c r="AB13" i="1"/>
  <c r="AL13" i="1"/>
  <c r="AJ13" i="1"/>
  <c r="AC13" i="1"/>
  <c r="AK13" i="1"/>
  <c r="AD13" i="1"/>
  <c r="AF6" i="1"/>
  <c r="AJ6" i="1"/>
  <c r="AQ9" i="1"/>
  <c r="AG9" i="1"/>
  <c r="AK9" i="1"/>
  <c r="AC9" i="1"/>
  <c r="AF9" i="1"/>
  <c r="AJ9" i="1"/>
  <c r="AB9" i="1"/>
  <c r="AN9" i="1"/>
  <c r="AD9" i="1"/>
  <c r="AP9" i="1"/>
  <c r="AH9" i="1"/>
  <c r="AL9" i="1"/>
  <c r="AJ15" i="1"/>
  <c r="AH15" i="1"/>
  <c r="AG15" i="1"/>
  <c r="AE15" i="1"/>
  <c r="AM15" i="1"/>
  <c r="AC15" i="1"/>
  <c r="AO15" i="1"/>
  <c r="AB15" i="1"/>
  <c r="AP15" i="1"/>
  <c r="AO11" i="1"/>
  <c r="AH11" i="1"/>
  <c r="AE11" i="1"/>
  <c r="AB11" i="1"/>
  <c r="AJ11" i="1"/>
  <c r="AC11" i="1"/>
  <c r="AG11" i="1"/>
  <c r="AP11" i="1"/>
  <c r="AE5" i="1"/>
  <c r="AI5" i="1"/>
  <c r="AG5" i="1"/>
  <c r="AL5" i="1"/>
  <c r="AJ5" i="1"/>
  <c r="AB5" i="1"/>
  <c r="AC5" i="1"/>
  <c r="AK5" i="1"/>
  <c r="AQ5" i="1"/>
  <c r="AD5" i="1"/>
  <c r="AP5" i="1"/>
  <c r="AH5" i="1"/>
  <c r="AN5" i="1"/>
  <c r="AF5" i="1"/>
  <c r="AM50" i="1"/>
  <c r="AG50" i="1"/>
  <c r="AJ50" i="1"/>
  <c r="AA50" i="1"/>
  <c r="AI37" i="1"/>
  <c r="AA37" i="1"/>
  <c r="AG37" i="1"/>
  <c r="AK37" i="1"/>
  <c r="AP37" i="1"/>
  <c r="AL37" i="1"/>
  <c r="AD37" i="1"/>
  <c r="AC37" i="1"/>
  <c r="AN37" i="1"/>
  <c r="AH37" i="1"/>
  <c r="AQ37" i="1"/>
  <c r="AB37" i="1"/>
  <c r="AF37" i="1"/>
  <c r="AJ37" i="1"/>
  <c r="AG46" i="1"/>
  <c r="AJ46" i="1"/>
  <c r="AA46" i="1"/>
  <c r="AF38" i="1"/>
  <c r="AH38" i="1"/>
  <c r="AL34" i="1"/>
  <c r="AJ34" i="1"/>
  <c r="AG34" i="1"/>
  <c r="AO34" i="1"/>
  <c r="AD34" i="1"/>
  <c r="AH34" i="1"/>
  <c r="AP34" i="1"/>
  <c r="AA34" i="1"/>
  <c r="AI34" i="1"/>
  <c r="AQ34" i="1"/>
  <c r="AE34" i="1"/>
  <c r="AB34" i="1"/>
  <c r="AC26" i="1"/>
  <c r="AD26" i="1"/>
  <c r="AJ14" i="1"/>
  <c r="AQ14" i="1"/>
  <c r="AG14" i="1"/>
  <c r="AE14" i="1"/>
  <c r="AH14" i="1"/>
  <c r="AP14" i="1"/>
  <c r="AL14" i="1"/>
  <c r="AB14" i="1"/>
  <c r="AA14" i="1"/>
  <c r="AI14" i="1"/>
  <c r="AA57" i="1"/>
  <c r="AJ57" i="1"/>
  <c r="AG57" i="1"/>
  <c r="AD64" i="1"/>
  <c r="AH64" i="1"/>
  <c r="AK44" i="1"/>
  <c r="AH44" i="1"/>
  <c r="AK67" i="1"/>
  <c r="AG67" i="1"/>
  <c r="AO59" i="1"/>
  <c r="AK59" i="1"/>
  <c r="AE31" i="1"/>
  <c r="AG31" i="1"/>
  <c r="AO31" i="1"/>
  <c r="AH31" i="1"/>
  <c r="AP31" i="1"/>
  <c r="AJ31" i="1"/>
  <c r="AC31" i="1"/>
  <c r="AM31" i="1"/>
  <c r="AP27" i="1"/>
  <c r="AJ27" i="1"/>
  <c r="AK120" i="1"/>
  <c r="AH120" i="1"/>
  <c r="AK20" i="1"/>
  <c r="AE20" i="1"/>
  <c r="AK224" i="1"/>
  <c r="AM224" i="1"/>
  <c r="AH224" i="1"/>
  <c r="AD224" i="1"/>
  <c r="AA224" i="1"/>
  <c r="AI224" i="1"/>
  <c r="AJ224" i="1"/>
  <c r="AB224" i="1"/>
  <c r="AL224" i="1"/>
  <c r="AE224" i="1"/>
  <c r="AN224" i="1"/>
  <c r="AG224" i="1"/>
  <c r="AP224" i="1"/>
  <c r="AC224" i="1"/>
  <c r="AF224" i="1"/>
  <c r="AL212" i="1"/>
  <c r="AJ212" i="1"/>
  <c r="AE208" i="1"/>
  <c r="AJ208" i="1"/>
  <c r="AG192" i="1"/>
  <c r="AB192" i="1"/>
  <c r="AF192" i="1"/>
  <c r="AK192" i="1"/>
  <c r="AA192" i="1"/>
  <c r="AQ192" i="1"/>
  <c r="AJ192" i="1"/>
  <c r="AE192" i="1"/>
  <c r="AP192" i="1"/>
  <c r="AO192" i="1"/>
  <c r="AD192" i="1"/>
  <c r="AN192" i="1"/>
  <c r="AM192" i="1"/>
  <c r="AC192" i="1"/>
  <c r="AL192" i="1"/>
  <c r="AE184" i="1"/>
  <c r="AO184" i="1"/>
  <c r="AG184" i="1"/>
  <c r="AM184" i="1"/>
  <c r="AJ184" i="1"/>
  <c r="AH180" i="1"/>
  <c r="AF180" i="1"/>
  <c r="AQ287" i="1"/>
  <c r="AA287" i="1"/>
  <c r="AL287" i="1"/>
  <c r="AD287" i="1"/>
  <c r="AI287" i="1"/>
  <c r="AN247" i="1"/>
  <c r="AH247" i="1"/>
  <c r="AO243" i="1"/>
  <c r="AF243" i="1"/>
  <c r="AM243" i="1"/>
  <c r="AJ243" i="1"/>
  <c r="AA243" i="1"/>
  <c r="AH243" i="1"/>
  <c r="AG243" i="1"/>
  <c r="AI243" i="1"/>
  <c r="AA223" i="1"/>
  <c r="AC223" i="1"/>
  <c r="AL223" i="1"/>
  <c r="AI223" i="1"/>
  <c r="AM223" i="1"/>
  <c r="AE223" i="1"/>
  <c r="AP223" i="1"/>
  <c r="AG223" i="1"/>
  <c r="AN223" i="1"/>
  <c r="AH223" i="1"/>
  <c r="AD223" i="1"/>
  <c r="AK223" i="1"/>
  <c r="AJ223" i="1"/>
  <c r="AF223" i="1"/>
  <c r="AE211" i="1"/>
  <c r="AA211" i="1"/>
  <c r="AO211" i="1"/>
  <c r="AD211" i="1"/>
  <c r="AM211" i="1"/>
  <c r="AC211" i="1"/>
  <c r="AQ203" i="1"/>
  <c r="AB203" i="1"/>
  <c r="AB191" i="1"/>
  <c r="AK191" i="1"/>
  <c r="AG191" i="1"/>
  <c r="AA191" i="1"/>
  <c r="AL191" i="1"/>
  <c r="AI191" i="1"/>
  <c r="AP191" i="1"/>
  <c r="AE191" i="1"/>
  <c r="AH191" i="1"/>
  <c r="AQ191" i="1"/>
  <c r="AP187" i="1"/>
  <c r="AQ187" i="1"/>
  <c r="AD179" i="1"/>
  <c r="AQ179" i="1"/>
  <c r="AH159" i="1"/>
  <c r="AB159" i="1"/>
  <c r="AP159" i="1"/>
  <c r="AP95" i="1"/>
  <c r="AH95" i="1"/>
  <c r="AO17" i="1"/>
  <c r="AE17" i="1"/>
  <c r="AM17" i="1"/>
  <c r="AO13" i="1"/>
  <c r="AE13" i="1"/>
  <c r="AM13" i="1"/>
  <c r="AO9" i="1"/>
  <c r="AE9" i="1"/>
  <c r="AM9" i="1"/>
  <c r="AK15" i="1"/>
  <c r="AA15" i="1"/>
  <c r="AI15" i="1"/>
  <c r="AQ15" i="1"/>
  <c r="AF11" i="1"/>
  <c r="AA11" i="1"/>
  <c r="AI11" i="1"/>
  <c r="AQ11" i="1"/>
  <c r="AO5" i="1"/>
  <c r="AM5" i="1"/>
  <c r="AC50" i="1"/>
  <c r="AI50" i="1"/>
  <c r="AD50" i="1"/>
  <c r="AL50" i="1"/>
  <c r="AO37" i="1"/>
  <c r="AM37" i="1"/>
  <c r="AE37" i="1"/>
  <c r="AF46" i="1"/>
  <c r="AL46" i="1"/>
  <c r="AD46" i="1"/>
  <c r="AI46" i="1"/>
  <c r="AM34" i="1"/>
  <c r="AC34" i="1"/>
  <c r="AK34" i="1"/>
  <c r="AF14" i="1"/>
  <c r="AK14" i="1"/>
  <c r="AC14" i="1"/>
  <c r="AB57" i="1"/>
  <c r="AI57" i="1"/>
  <c r="AN57" i="1"/>
  <c r="AF57" i="1"/>
  <c r="AL45" i="1"/>
  <c r="AF45" i="1"/>
  <c r="AO67" i="1"/>
  <c r="AI67" i="1"/>
  <c r="AB67" i="1"/>
  <c r="AJ67" i="1"/>
  <c r="AN51" i="1"/>
  <c r="AJ51" i="1"/>
  <c r="AB51" i="1"/>
  <c r="AF31" i="1"/>
  <c r="AI31" i="1"/>
  <c r="AA31" i="1"/>
  <c r="AQ31" i="1"/>
  <c r="AL41" i="1"/>
  <c r="AI41" i="1"/>
  <c r="AD545" i="1"/>
  <c r="AG545" i="1"/>
  <c r="AO545" i="1"/>
  <c r="AH545" i="1"/>
  <c r="AL545" i="1"/>
  <c r="AJ544" i="1"/>
  <c r="AB544" i="1"/>
  <c r="AO544" i="1"/>
  <c r="AG544" i="1"/>
  <c r="AH544" i="1"/>
  <c r="AC544" i="1"/>
  <c r="AM544" i="1"/>
  <c r="AF544" i="1"/>
  <c r="AN544" i="1"/>
  <c r="AA540" i="1"/>
  <c r="AQ540" i="1"/>
  <c r="AN540" i="1"/>
  <c r="AK540" i="1"/>
  <c r="AC540" i="1"/>
  <c r="AM540" i="1"/>
  <c r="AF540" i="1"/>
  <c r="AI540" i="1"/>
  <c r="AI536" i="1"/>
  <c r="AC536" i="1"/>
  <c r="AQ520" i="1"/>
  <c r="AF520" i="1"/>
  <c r="AK516" i="1"/>
  <c r="AL516" i="1"/>
  <c r="AJ516" i="1"/>
  <c r="AG516" i="1"/>
  <c r="AI516" i="1"/>
  <c r="AN516" i="1"/>
  <c r="AP516" i="1"/>
  <c r="AO516" i="1"/>
  <c r="AM516" i="1"/>
  <c r="AH516" i="1"/>
  <c r="AD516" i="1"/>
  <c r="AQ516" i="1"/>
  <c r="AA516" i="1"/>
  <c r="AF516" i="1"/>
  <c r="AE516" i="1"/>
  <c r="AC516" i="1"/>
  <c r="AB516" i="1"/>
  <c r="AA512" i="1"/>
  <c r="AQ512" i="1"/>
  <c r="AI512" i="1"/>
  <c r="AD512" i="1"/>
  <c r="AH512" i="1"/>
  <c r="AG512" i="1"/>
  <c r="AP512" i="1"/>
  <c r="AB508" i="1"/>
  <c r="AQ508" i="1"/>
  <c r="AF508" i="1"/>
  <c r="AA508" i="1"/>
  <c r="AC508" i="1"/>
  <c r="AN508" i="1"/>
  <c r="AO508" i="1"/>
  <c r="AP508" i="1"/>
  <c r="AI508" i="1"/>
  <c r="AE508" i="1"/>
  <c r="AD508" i="1"/>
  <c r="AJ508" i="1"/>
  <c r="AE504" i="1"/>
  <c r="AD504" i="1"/>
  <c r="AK500" i="1"/>
  <c r="AO500" i="1"/>
  <c r="AC500" i="1"/>
  <c r="AK496" i="1"/>
  <c r="AJ496" i="1"/>
  <c r="AB496" i="1"/>
  <c r="AP484" i="1"/>
  <c r="AE484" i="1"/>
  <c r="AN484" i="1"/>
  <c r="AD484" i="1"/>
  <c r="AJ484" i="1"/>
  <c r="AF484" i="1"/>
  <c r="AO484" i="1"/>
  <c r="AM484" i="1"/>
  <c r="AC484" i="1"/>
  <c r="AO480" i="1"/>
  <c r="AD480" i="1"/>
  <c r="AE480" i="1"/>
  <c r="AC480" i="1"/>
  <c r="AQ480" i="1"/>
  <c r="AN480" i="1"/>
  <c r="AD452" i="1"/>
  <c r="AF452" i="1"/>
  <c r="AG452" i="1"/>
  <c r="AH452" i="1"/>
  <c r="AL452" i="1"/>
  <c r="AN452" i="1"/>
  <c r="AP452" i="1"/>
  <c r="AB452" i="1"/>
  <c r="AM452" i="1"/>
  <c r="AE452" i="1"/>
  <c r="AO452" i="1"/>
  <c r="AA452" i="1"/>
  <c r="AI452" i="1"/>
  <c r="AQ452" i="1"/>
  <c r="AC452" i="1"/>
  <c r="AK452" i="1"/>
  <c r="AJ452" i="1"/>
  <c r="AI448" i="1"/>
  <c r="AP448" i="1"/>
  <c r="AQ448" i="1"/>
  <c r="AA448" i="1"/>
  <c r="AD448" i="1"/>
  <c r="AE448" i="1"/>
  <c r="AC448" i="1"/>
  <c r="AM444" i="1"/>
  <c r="AI444" i="1"/>
  <c r="AQ444" i="1"/>
  <c r="AP444" i="1"/>
  <c r="AB444" i="1"/>
  <c r="AK444" i="1"/>
  <c r="AF444" i="1"/>
  <c r="AO444" i="1"/>
  <c r="AA444" i="1"/>
  <c r="AD444" i="1"/>
  <c r="AD436" i="1"/>
  <c r="AM436" i="1"/>
  <c r="AJ424" i="1"/>
  <c r="AD424" i="1"/>
  <c r="AM420" i="1"/>
  <c r="AJ420" i="1"/>
  <c r="AI420" i="1"/>
  <c r="AN420" i="1"/>
  <c r="AF420" i="1"/>
  <c r="AL420" i="1"/>
  <c r="AD420" i="1"/>
  <c r="AO420" i="1"/>
  <c r="AP420" i="1"/>
  <c r="AC420" i="1"/>
  <c r="AQ420" i="1"/>
  <c r="AE420" i="1"/>
  <c r="AG420" i="1"/>
  <c r="AH420" i="1"/>
  <c r="AA420" i="1"/>
  <c r="AK420" i="1"/>
  <c r="AB420" i="1"/>
  <c r="AH412" i="1"/>
  <c r="AI412" i="1"/>
  <c r="AF412" i="1"/>
  <c r="AN412" i="1"/>
  <c r="AH404" i="1"/>
  <c r="AF404" i="1"/>
  <c r="AH388" i="1"/>
  <c r="AI388" i="1"/>
  <c r="AF388" i="1"/>
  <c r="AN388" i="1"/>
  <c r="AN384" i="1"/>
  <c r="AH384" i="1"/>
  <c r="AH380" i="1"/>
  <c r="AI380" i="1"/>
  <c r="AF380" i="1"/>
  <c r="AN380" i="1"/>
  <c r="AJ372" i="1"/>
  <c r="AN372" i="1"/>
  <c r="AL356" i="1"/>
  <c r="AC356" i="1"/>
  <c r="AD356" i="1"/>
  <c r="AP356" i="1"/>
  <c r="AO356" i="1"/>
  <c r="AE356" i="1"/>
  <c r="AM356" i="1"/>
  <c r="AF356" i="1"/>
  <c r="AN356" i="1"/>
  <c r="AK356" i="1"/>
  <c r="AA356" i="1"/>
  <c r="AB356" i="1"/>
  <c r="AK352" i="1"/>
  <c r="AN352" i="1"/>
  <c r="AA352" i="1"/>
  <c r="AM352" i="1"/>
  <c r="AF352" i="1"/>
  <c r="AL348" i="1"/>
  <c r="AJ348" i="1"/>
  <c r="AF348" i="1"/>
  <c r="AM348" i="1"/>
  <c r="AE348" i="1"/>
  <c r="AD344" i="1"/>
  <c r="AN344" i="1"/>
  <c r="AE340" i="1"/>
  <c r="AC340" i="1"/>
  <c r="AN340" i="1"/>
  <c r="AD336" i="1"/>
  <c r="AL336" i="1"/>
  <c r="AK336" i="1"/>
  <c r="AA324" i="1"/>
  <c r="AP324" i="1"/>
  <c r="AH324" i="1"/>
  <c r="AO324" i="1"/>
  <c r="AG324" i="1"/>
  <c r="AI324" i="1"/>
  <c r="AQ324" i="1"/>
  <c r="AB324" i="1"/>
  <c r="AI320" i="1"/>
  <c r="AG320" i="1"/>
  <c r="AB320" i="1"/>
  <c r="AP320" i="1"/>
  <c r="AH316" i="1"/>
  <c r="AB316" i="1"/>
  <c r="AQ316" i="1"/>
  <c r="AI316" i="1"/>
  <c r="AA316" i="1"/>
  <c r="AP316" i="1"/>
  <c r="AO316" i="1"/>
  <c r="AG316" i="1"/>
  <c r="AA308" i="1"/>
  <c r="AO308" i="1"/>
  <c r="AQ292" i="1"/>
  <c r="AF292" i="1"/>
  <c r="AJ292" i="1"/>
  <c r="AB292" i="1"/>
  <c r="AH292" i="1"/>
  <c r="AI292" i="1"/>
  <c r="AA292" i="1"/>
  <c r="AO292" i="1"/>
  <c r="AG292" i="1"/>
  <c r="AM292" i="1"/>
  <c r="AA288" i="1"/>
  <c r="AO288" i="1"/>
  <c r="AG284" i="1"/>
  <c r="AK284" i="1"/>
  <c r="AO284" i="1"/>
  <c r="AB284" i="1"/>
  <c r="AJ284" i="1"/>
  <c r="AN280" i="1"/>
  <c r="AF280" i="1"/>
  <c r="AQ276" i="1"/>
  <c r="AD276" i="1"/>
  <c r="AK272" i="1"/>
  <c r="AG272" i="1"/>
  <c r="AA260" i="1"/>
  <c r="AO260" i="1"/>
  <c r="AK260" i="1"/>
  <c r="AC260" i="1"/>
  <c r="AB260" i="1"/>
  <c r="AH260" i="1"/>
  <c r="AN260" i="1"/>
  <c r="AF260" i="1"/>
  <c r="AM260" i="1"/>
  <c r="AJ260" i="1"/>
  <c r="AE252" i="1"/>
  <c r="AQ252" i="1"/>
  <c r="AG252" i="1"/>
  <c r="AL216" i="1"/>
  <c r="AB216" i="1"/>
  <c r="AI216" i="1"/>
  <c r="AC216" i="1"/>
  <c r="AK216" i="1"/>
  <c r="AE216" i="1"/>
  <c r="AN216" i="1"/>
  <c r="AC543" i="1"/>
  <c r="AH543" i="1"/>
  <c r="AP543" i="1"/>
  <c r="AC535" i="1"/>
  <c r="AP535" i="1"/>
  <c r="AH535" i="1"/>
  <c r="AC531" i="1"/>
  <c r="AH531" i="1"/>
  <c r="AP531" i="1"/>
  <c r="AC511" i="1"/>
  <c r="AH511" i="1"/>
  <c r="AP511" i="1"/>
  <c r="AK507" i="1"/>
  <c r="AA507" i="1"/>
  <c r="AO503" i="1"/>
  <c r="AG503" i="1"/>
  <c r="AM503" i="1"/>
  <c r="AI503" i="1"/>
  <c r="AQ503" i="1"/>
  <c r="AE503" i="1"/>
  <c r="AC503" i="1"/>
  <c r="AK503" i="1"/>
  <c r="AP503" i="1"/>
  <c r="AB503" i="1"/>
  <c r="AF503" i="1"/>
  <c r="AD503" i="1"/>
  <c r="AA503" i="1"/>
  <c r="AP499" i="1"/>
  <c r="AA499" i="1"/>
  <c r="AO499" i="1"/>
  <c r="AB499" i="1"/>
  <c r="AD499" i="1"/>
  <c r="AM499" i="1"/>
  <c r="AL499" i="1"/>
  <c r="AK499" i="1"/>
  <c r="AC499" i="1"/>
  <c r="AQ483" i="1"/>
  <c r="AE483" i="1"/>
  <c r="AG483" i="1"/>
  <c r="AJ479" i="1"/>
  <c r="AG479" i="1"/>
  <c r="AD479" i="1"/>
  <c r="AK479" i="1"/>
  <c r="AA479" i="1"/>
  <c r="AO479" i="1"/>
  <c r="AM479" i="1"/>
  <c r="AM471" i="1"/>
  <c r="AJ471" i="1"/>
  <c r="AH471" i="1"/>
  <c r="AD471" i="1"/>
  <c r="AE471" i="1"/>
  <c r="AC471" i="1"/>
  <c r="AO467" i="1"/>
  <c r="AK467" i="1"/>
  <c r="AA467" i="1"/>
  <c r="AM467" i="1"/>
  <c r="AG467" i="1"/>
  <c r="AQ467" i="1"/>
  <c r="AB467" i="1"/>
  <c r="AJ467" i="1"/>
  <c r="AD459" i="1"/>
  <c r="AJ459" i="1"/>
  <c r="AB459" i="1"/>
  <c r="AO459" i="1"/>
  <c r="AD447" i="1"/>
  <c r="AF447" i="1"/>
  <c r="AJ447" i="1"/>
  <c r="AO447" i="1"/>
  <c r="AM447" i="1"/>
  <c r="AE447" i="1"/>
  <c r="AK447" i="1"/>
  <c r="AC447" i="1"/>
  <c r="AI447" i="1"/>
  <c r="AQ447" i="1"/>
  <c r="AG447" i="1"/>
  <c r="AH447" i="1"/>
  <c r="AA447" i="1"/>
  <c r="AB447" i="1"/>
  <c r="AE443" i="1"/>
  <c r="AK443" i="1"/>
  <c r="AC439" i="1"/>
  <c r="AN439" i="1"/>
  <c r="AI439" i="1"/>
  <c r="AB435" i="1"/>
  <c r="AK435" i="1"/>
  <c r="AM435" i="1"/>
  <c r="AA435" i="1"/>
  <c r="AQ435" i="1"/>
  <c r="AH435" i="1"/>
  <c r="AL435" i="1"/>
  <c r="AG435" i="1"/>
  <c r="AG375" i="1"/>
  <c r="AO375" i="1"/>
  <c r="AH371" i="1"/>
  <c r="AO371" i="1"/>
  <c r="AG371" i="1"/>
  <c r="AO351" i="1"/>
  <c r="AH351" i="1"/>
  <c r="AG351" i="1"/>
  <c r="AM343" i="1"/>
  <c r="AO343" i="1"/>
  <c r="AE343" i="1"/>
  <c r="AN343" i="1"/>
  <c r="AN339" i="1"/>
  <c r="AF339" i="1"/>
  <c r="AG339" i="1"/>
  <c r="AD339" i="1"/>
  <c r="AL339" i="1"/>
  <c r="AM339" i="1"/>
  <c r="AI339" i="1"/>
  <c r="AL331" i="1"/>
  <c r="AE331" i="1"/>
  <c r="AM319" i="1"/>
  <c r="AK319" i="1"/>
  <c r="AH319" i="1"/>
  <c r="AD319" i="1"/>
  <c r="AJ319" i="1"/>
  <c r="AL319" i="1"/>
  <c r="AB319" i="1"/>
  <c r="AQ319" i="1"/>
  <c r="AE319" i="1"/>
  <c r="AI319" i="1"/>
  <c r="AA319" i="1"/>
  <c r="AP319" i="1"/>
  <c r="AG319" i="1"/>
  <c r="AC319" i="1"/>
  <c r="AH315" i="1"/>
  <c r="AE315" i="1"/>
  <c r="AD307" i="1"/>
  <c r="AQ307" i="1"/>
  <c r="AB307" i="1"/>
  <c r="AM307" i="1"/>
  <c r="AF307" i="1"/>
  <c r="AJ307" i="1"/>
  <c r="AK307" i="1"/>
  <c r="AD299" i="1"/>
  <c r="AL299" i="1"/>
  <c r="AJ287" i="1"/>
  <c r="AH287" i="1"/>
  <c r="AG287" i="1"/>
  <c r="AO287" i="1"/>
  <c r="AE287" i="1"/>
  <c r="AN287" i="1"/>
  <c r="AC287" i="1"/>
  <c r="AM287" i="1"/>
  <c r="AB287" i="1"/>
  <c r="AP287" i="1"/>
  <c r="AD283" i="1"/>
  <c r="AL283" i="1"/>
  <c r="AA275" i="1"/>
  <c r="AI275" i="1"/>
  <c r="AQ275" i="1"/>
  <c r="AL275" i="1"/>
  <c r="AD275" i="1"/>
  <c r="AH275" i="1"/>
  <c r="AC275" i="1"/>
  <c r="AB255" i="1"/>
  <c r="AP255" i="1"/>
  <c r="AF255" i="1"/>
  <c r="AN255" i="1"/>
  <c r="AJ255" i="1"/>
  <c r="AD255" i="1"/>
  <c r="AL255" i="1"/>
  <c r="AE255" i="1"/>
  <c r="AM255" i="1"/>
  <c r="AO251" i="1"/>
  <c r="AF251" i="1"/>
  <c r="AN215" i="1"/>
  <c r="AK215" i="1"/>
  <c r="AE215" i="1"/>
  <c r="AF542" i="1"/>
  <c r="AJ542" i="1"/>
  <c r="AA542" i="1"/>
  <c r="AB534" i="1"/>
  <c r="AC534" i="1"/>
  <c r="AD534" i="1"/>
  <c r="AJ534" i="1"/>
  <c r="AM534" i="1"/>
  <c r="AK502" i="1"/>
  <c r="AC502" i="1"/>
  <c r="AD502" i="1"/>
  <c r="AG478" i="1"/>
  <c r="AN478" i="1"/>
  <c r="AQ470" i="1"/>
  <c r="AA470" i="1"/>
  <c r="AD470" i="1"/>
  <c r="AO470" i="1"/>
  <c r="AC466" i="1"/>
  <c r="AL466" i="1"/>
  <c r="AQ446" i="1"/>
  <c r="AM446" i="1"/>
  <c r="AD438" i="1"/>
  <c r="AI438" i="1"/>
  <c r="AN438" i="1"/>
  <c r="AB414" i="1"/>
  <c r="AI414" i="1"/>
  <c r="AI455" i="1"/>
  <c r="AI368" i="1"/>
  <c r="AL6" i="1"/>
  <c r="AF41" i="1"/>
  <c r="AG55" i="1"/>
  <c r="AN41" i="1"/>
  <c r="AG51" i="1"/>
  <c r="AM528" i="1"/>
  <c r="AI336" i="1"/>
  <c r="AK55" i="1"/>
  <c r="AJ41" i="1"/>
  <c r="AH28" i="1"/>
  <c r="AP204" i="1"/>
  <c r="AO528" i="1"/>
  <c r="AN432" i="1"/>
  <c r="AA368" i="1"/>
  <c r="AG304" i="1"/>
  <c r="AA55" i="1"/>
  <c r="AA41" i="1"/>
  <c r="AM204" i="1"/>
  <c r="AO304" i="1"/>
  <c r="AK51" i="1"/>
  <c r="AI55" i="1"/>
  <c r="AG41" i="1"/>
  <c r="AA51" i="1"/>
  <c r="AB55" i="1"/>
  <c r="AE28" i="1"/>
  <c r="AF432" i="1"/>
  <c r="AI400" i="1"/>
  <c r="AL455" i="1"/>
  <c r="AH368" i="1"/>
  <c r="AJ55" i="1"/>
  <c r="AM28" i="1"/>
  <c r="AI6" i="1"/>
  <c r="AE204" i="1"/>
  <c r="AA5" i="1"/>
  <c r="AO14" i="1"/>
  <c r="AH17" i="1"/>
  <c r="AO46" i="1"/>
  <c r="AI522" i="1"/>
  <c r="AM482" i="1"/>
  <c r="AP450" i="1"/>
  <c r="AN482" i="1"/>
  <c r="AM505" i="1"/>
  <c r="AA482" i="1"/>
  <c r="AC450" i="1"/>
  <c r="AB514" i="1"/>
  <c r="AI450" i="1"/>
  <c r="AJ514" i="1"/>
  <c r="AK514" i="1"/>
  <c r="AH505" i="1"/>
  <c r="AH482" i="1"/>
  <c r="AJ102" i="1"/>
  <c r="AK522" i="1"/>
  <c r="AH108" i="1"/>
  <c r="AI51" i="1"/>
  <c r="AQ38" i="1"/>
  <c r="AC204" i="1"/>
  <c r="AB68" i="1"/>
  <c r="AE23" i="1"/>
  <c r="AQ13" i="1"/>
  <c r="AI9" i="1"/>
  <c r="AA9" i="1"/>
  <c r="AJ541" i="1"/>
  <c r="AN404" i="1"/>
  <c r="AA436" i="1"/>
  <c r="AB6" i="1"/>
  <c r="AI38" i="1"/>
  <c r="AD244" i="1"/>
  <c r="AB23" i="1"/>
  <c r="AJ38" i="1"/>
  <c r="AE12" i="1"/>
  <c r="AG436" i="1"/>
  <c r="AL340" i="1"/>
  <c r="AI340" i="1"/>
  <c r="AG244" i="1"/>
  <c r="AM244" i="1"/>
  <c r="AO208" i="1"/>
  <c r="AE38" i="1"/>
  <c r="AH23" i="1"/>
  <c r="AL500" i="1"/>
  <c r="AG308" i="1"/>
  <c r="AN276" i="1"/>
  <c r="AL244" i="1"/>
  <c r="AM208" i="1"/>
  <c r="AA59" i="1"/>
  <c r="AA6" i="1"/>
  <c r="AK532" i="1"/>
  <c r="AE500" i="1"/>
  <c r="AQ436" i="1"/>
  <c r="AF276" i="1"/>
  <c r="AG208" i="1"/>
  <c r="AI61" i="1"/>
  <c r="AF532" i="1"/>
  <c r="AA500" i="1"/>
  <c r="AJ23" i="1"/>
  <c r="AD6" i="1"/>
  <c r="AG59" i="1"/>
  <c r="AD500" i="1"/>
  <c r="AL436" i="1"/>
  <c r="AE436" i="1"/>
  <c r="AD340" i="1"/>
  <c r="AB308" i="1"/>
  <c r="AK38" i="1"/>
  <c r="AP23" i="1"/>
  <c r="AA38" i="1"/>
  <c r="AF500" i="1"/>
  <c r="AH276" i="1"/>
  <c r="AH20" i="1"/>
  <c r="AF61" i="1"/>
  <c r="AC38" i="1"/>
  <c r="AN532" i="1"/>
  <c r="AH500" i="1"/>
  <c r="AI500" i="1"/>
  <c r="AJ436" i="1"/>
  <c r="AH436" i="1"/>
  <c r="AM340" i="1"/>
  <c r="AQ308" i="1"/>
  <c r="AA276" i="1"/>
  <c r="AG276" i="1"/>
  <c r="AP244" i="1"/>
  <c r="AC244" i="1"/>
  <c r="AN244" i="1"/>
  <c r="AN61" i="1"/>
  <c r="AQ23" i="1"/>
  <c r="AK6" i="1"/>
  <c r="AA532" i="1"/>
  <c r="AJ500" i="1"/>
  <c r="AQ500" i="1"/>
  <c r="AE372" i="1"/>
  <c r="AB436" i="1"/>
  <c r="AP340" i="1"/>
  <c r="AI308" i="1"/>
  <c r="AP308" i="1"/>
  <c r="AL276" i="1"/>
  <c r="AO276" i="1"/>
  <c r="AH244" i="1"/>
  <c r="AK244" i="1"/>
  <c r="AH68" i="1"/>
  <c r="AF244" i="1"/>
  <c r="AB59" i="1"/>
  <c r="AA23" i="1"/>
  <c r="AC6" i="1"/>
  <c r="AO23" i="1"/>
  <c r="AP6" i="1"/>
  <c r="AP500" i="1"/>
  <c r="AG340" i="1"/>
  <c r="AQ372" i="1"/>
  <c r="AB340" i="1"/>
  <c r="AH308" i="1"/>
  <c r="AB276" i="1"/>
  <c r="AE6" i="1"/>
  <c r="AJ61" i="1"/>
  <c r="AL38" i="1"/>
  <c r="AJ59" i="1"/>
  <c r="AG23" i="1"/>
  <c r="AH6" i="1"/>
  <c r="AK340" i="1"/>
  <c r="AI532" i="1"/>
  <c r="AN500" i="1"/>
  <c r="AM372" i="1"/>
  <c r="AC436" i="1"/>
  <c r="AK436" i="1"/>
  <c r="AC276" i="1"/>
  <c r="AQ244" i="1"/>
  <c r="AL208" i="1"/>
  <c r="AI404" i="1"/>
  <c r="AB500" i="1"/>
  <c r="AF372" i="1"/>
  <c r="AG372" i="1"/>
  <c r="AJ340" i="1"/>
  <c r="AH340" i="1"/>
  <c r="AM276" i="1"/>
  <c r="AJ276" i="1"/>
  <c r="AA244" i="1"/>
  <c r="AB208" i="1"/>
  <c r="AH112" i="1"/>
  <c r="AC23" i="1"/>
  <c r="AA61" i="1"/>
  <c r="AD38" i="1"/>
  <c r="AM20" i="1"/>
  <c r="AQ6" i="1"/>
  <c r="AP38" i="1"/>
  <c r="AO38" i="1"/>
  <c r="AD20" i="1"/>
  <c r="AO6" i="1"/>
  <c r="AG6" i="1"/>
  <c r="AQ61" i="1"/>
  <c r="AN513" i="1"/>
  <c r="AI13" i="1"/>
  <c r="AH393" i="1"/>
  <c r="AA13" i="1"/>
  <c r="AN50" i="1"/>
  <c r="AB50" i="1"/>
  <c r="AB394" i="1"/>
  <c r="AQ50" i="1"/>
  <c r="AH57" i="1"/>
  <c r="AH46" i="1"/>
  <c r="AM19" i="1"/>
  <c r="AI487" i="1"/>
  <c r="AO364" i="1"/>
  <c r="AB487" i="1"/>
  <c r="AO455" i="1"/>
  <c r="AN295" i="1"/>
  <c r="AL487" i="1"/>
  <c r="AA295" i="1"/>
  <c r="AA455" i="1"/>
  <c r="AF327" i="1"/>
  <c r="AI295" i="1"/>
  <c r="AK57" i="1"/>
  <c r="AF59" i="1"/>
  <c r="AC487" i="1"/>
  <c r="AQ455" i="1"/>
  <c r="AE455" i="1"/>
  <c r="AC428" i="1"/>
  <c r="AJ327" i="1"/>
  <c r="AQ295" i="1"/>
  <c r="AD487" i="1"/>
  <c r="AO487" i="1"/>
  <c r="AO359" i="1"/>
  <c r="AN455" i="1"/>
  <c r="AA364" i="1"/>
  <c r="AF428" i="1"/>
  <c r="AE327" i="1"/>
  <c r="AG359" i="1"/>
  <c r="AK455" i="1"/>
  <c r="AM327" i="1"/>
  <c r="AE524" i="1"/>
  <c r="AJ455" i="1"/>
  <c r="AN200" i="1"/>
  <c r="AF32" i="1"/>
  <c r="AB455" i="1"/>
  <c r="AM455" i="1"/>
  <c r="AG327" i="1"/>
  <c r="AD295" i="1"/>
  <c r="AN487" i="1"/>
  <c r="AF487" i="1"/>
  <c r="AF455" i="1"/>
  <c r="AD455" i="1"/>
  <c r="AL295" i="1"/>
  <c r="AH263" i="1"/>
  <c r="AD51" i="1"/>
  <c r="AE50" i="1"/>
  <c r="AC519" i="1"/>
  <c r="AI492" i="1"/>
  <c r="AM487" i="1"/>
  <c r="AP519" i="1"/>
  <c r="AA487" i="1"/>
  <c r="AP487" i="1"/>
  <c r="AG455" i="1"/>
  <c r="AP455" i="1"/>
  <c r="AN263" i="1"/>
  <c r="AD263" i="1"/>
  <c r="AI263" i="1"/>
  <c r="AD199" i="1"/>
  <c r="AI10" i="1"/>
  <c r="AH487" i="1"/>
  <c r="AH455" i="1"/>
  <c r="AE263" i="1"/>
  <c r="AL199" i="1"/>
  <c r="AH50" i="1"/>
  <c r="AP50" i="1"/>
  <c r="AO20" i="1"/>
  <c r="AE59" i="1"/>
  <c r="AK32" i="1"/>
  <c r="AD61" i="1"/>
  <c r="AD393" i="1"/>
  <c r="AE61" i="1"/>
  <c r="AN38" i="1"/>
  <c r="AM38" i="1"/>
  <c r="AQ378" i="1"/>
  <c r="AH41" i="1"/>
  <c r="AM41" i="1"/>
  <c r="AO41" i="1"/>
  <c r="AD57" i="1"/>
  <c r="AG268" i="1"/>
  <c r="AP268" i="1"/>
  <c r="AH268" i="1"/>
  <c r="AE268" i="1"/>
  <c r="AN106" i="1"/>
  <c r="AD106" i="1"/>
  <c r="AO106" i="1"/>
  <c r="AK106" i="1"/>
  <c r="AG106" i="1"/>
  <c r="AC106" i="1"/>
  <c r="AJ106" i="1"/>
  <c r="AE106" i="1"/>
  <c r="AH49" i="1"/>
  <c r="AD49" i="1"/>
  <c r="AF49" i="1"/>
  <c r="AA49" i="1"/>
  <c r="AI49" i="1"/>
  <c r="AJ49" i="1"/>
  <c r="AP49" i="1"/>
  <c r="AQ49" i="1"/>
  <c r="AO49" i="1"/>
  <c r="AM49" i="1"/>
  <c r="AD364" i="1"/>
  <c r="AB268" i="1"/>
  <c r="AI30" i="1"/>
  <c r="AI460" i="1"/>
  <c r="AG428" i="1"/>
  <c r="AN332" i="1"/>
  <c r="AJ268" i="1"/>
  <c r="AP200" i="1"/>
  <c r="AH83" i="1"/>
  <c r="AM200" i="1"/>
  <c r="AA47" i="1"/>
  <c r="AN25" i="1"/>
  <c r="AA106" i="1"/>
  <c r="AC10" i="1"/>
  <c r="AJ30" i="1"/>
  <c r="AG49" i="1"/>
  <c r="AA30" i="1"/>
  <c r="AG83" i="1"/>
  <c r="AI179" i="1"/>
  <c r="AA179" i="1"/>
  <c r="AL179" i="1"/>
  <c r="AP211" i="1"/>
  <c r="AH211" i="1"/>
  <c r="AI211" i="1"/>
  <c r="AQ243" i="1"/>
  <c r="AL243" i="1"/>
  <c r="AC243" i="1"/>
  <c r="AK243" i="1"/>
  <c r="AN275" i="1"/>
  <c r="AK275" i="1"/>
  <c r="AE275" i="1"/>
  <c r="AO275" i="1"/>
  <c r="AN307" i="1"/>
  <c r="AI307" i="1"/>
  <c r="AA307" i="1"/>
  <c r="AE307" i="1"/>
  <c r="AL307" i="1"/>
  <c r="AP307" i="1"/>
  <c r="AE339" i="1"/>
  <c r="AP339" i="1"/>
  <c r="AO339" i="1"/>
  <c r="AD435" i="1"/>
  <c r="AE435" i="1"/>
  <c r="AJ435" i="1"/>
  <c r="AF435" i="1"/>
  <c r="AH467" i="1"/>
  <c r="AD467" i="1"/>
  <c r="AP467" i="1"/>
  <c r="AQ499" i="1"/>
  <c r="AF499" i="1"/>
  <c r="AJ236" i="1"/>
  <c r="AK236" i="1"/>
  <c r="AC236" i="1"/>
  <c r="AE236" i="1"/>
  <c r="AE364" i="1"/>
  <c r="AH364" i="1"/>
  <c r="AH524" i="1"/>
  <c r="AG524" i="1"/>
  <c r="AJ524" i="1"/>
  <c r="AD19" i="1"/>
  <c r="AA19" i="1"/>
  <c r="AE19" i="1"/>
  <c r="AI19" i="1"/>
  <c r="AF524" i="1"/>
  <c r="AE25" i="1"/>
  <c r="AA10" i="1"/>
  <c r="AA524" i="1"/>
  <c r="AA460" i="1"/>
  <c r="AG364" i="1"/>
  <c r="AI428" i="1"/>
  <c r="AC268" i="1"/>
  <c r="AF236" i="1"/>
  <c r="AC200" i="1"/>
  <c r="AG200" i="1"/>
  <c r="AI106" i="1"/>
  <c r="AG47" i="1"/>
  <c r="AK332" i="1"/>
  <c r="AQ332" i="1"/>
  <c r="AC332" i="1"/>
  <c r="AO100" i="1"/>
  <c r="AH100" i="1"/>
  <c r="AN30" i="1"/>
  <c r="AQ30" i="1"/>
  <c r="AD30" i="1"/>
  <c r="AL30" i="1"/>
  <c r="AG30" i="1"/>
  <c r="AC30" i="1"/>
  <c r="AH30" i="1"/>
  <c r="AB30" i="1"/>
  <c r="AK30" i="1"/>
  <c r="AM30" i="1"/>
  <c r="AE30" i="1"/>
  <c r="AO30" i="1"/>
  <c r="AF30" i="1"/>
  <c r="AI524" i="1"/>
  <c r="AP460" i="1"/>
  <c r="AI396" i="1"/>
  <c r="AA428" i="1"/>
  <c r="AQ364" i="1"/>
  <c r="AK364" i="1"/>
  <c r="AJ332" i="1"/>
  <c r="AQ268" i="1"/>
  <c r="AN236" i="1"/>
  <c r="AQ200" i="1"/>
  <c r="AO200" i="1"/>
  <c r="AQ106" i="1"/>
  <c r="AN49" i="1"/>
  <c r="AQ19" i="1"/>
  <c r="AO10" i="1"/>
  <c r="AE49" i="1"/>
  <c r="AI300" i="1"/>
  <c r="AF300" i="1"/>
  <c r="AA300" i="1"/>
  <c r="AH300" i="1"/>
  <c r="AO300" i="1"/>
  <c r="AH428" i="1"/>
  <c r="AN428" i="1"/>
  <c r="AK428" i="1"/>
  <c r="AN60" i="1"/>
  <c r="AH60" i="1"/>
  <c r="AJ300" i="1"/>
  <c r="AQ524" i="1"/>
  <c r="AF396" i="1"/>
  <c r="AM364" i="1"/>
  <c r="AJ428" i="1"/>
  <c r="AE332" i="1"/>
  <c r="AM300" i="1"/>
  <c r="AA236" i="1"/>
  <c r="AI268" i="1"/>
  <c r="AC19" i="1"/>
  <c r="AB106" i="1"/>
  <c r="AI47" i="1"/>
  <c r="AA25" i="1"/>
  <c r="AK49" i="1"/>
  <c r="AA83" i="1"/>
  <c r="AQ83" i="1"/>
  <c r="AE428" i="1"/>
  <c r="AJ492" i="1"/>
  <c r="AI489" i="1"/>
  <c r="AN396" i="1"/>
  <c r="AF364" i="1"/>
  <c r="AD428" i="1"/>
  <c r="AM332" i="1"/>
  <c r="AG300" i="1"/>
  <c r="AD268" i="1"/>
  <c r="AJ19" i="1"/>
  <c r="AL106" i="1"/>
  <c r="AB47" i="1"/>
  <c r="AP19" i="1"/>
  <c r="AE200" i="1"/>
  <c r="AJ200" i="1"/>
  <c r="AB200" i="1"/>
  <c r="AH200" i="1"/>
  <c r="AF200" i="1"/>
  <c r="AO25" i="1"/>
  <c r="AI25" i="1"/>
  <c r="AD25" i="1"/>
  <c r="AM25" i="1"/>
  <c r="AQ25" i="1"/>
  <c r="AB25" i="1"/>
  <c r="AL25" i="1"/>
  <c r="AG25" i="1"/>
  <c r="AH25" i="1"/>
  <c r="AJ25" i="1"/>
  <c r="AC25" i="1"/>
  <c r="AK25" i="1"/>
  <c r="AF25" i="1"/>
  <c r="AN10" i="1"/>
  <c r="AB10" i="1"/>
  <c r="AH10" i="1"/>
  <c r="AJ10" i="1"/>
  <c r="AE10" i="1"/>
  <c r="AP10" i="1"/>
  <c r="AD10" i="1"/>
  <c r="AL10" i="1"/>
  <c r="AF10" i="1"/>
  <c r="AQ492" i="1"/>
  <c r="AI236" i="1"/>
  <c r="AP83" i="1"/>
  <c r="AA200" i="1"/>
  <c r="AL200" i="1"/>
  <c r="AK47" i="1"/>
  <c r="AK10" i="1"/>
  <c r="AO19" i="1"/>
  <c r="AO524" i="1"/>
  <c r="AP489" i="1"/>
  <c r="AC364" i="1"/>
  <c r="AN364" i="1"/>
  <c r="AL428" i="1"/>
  <c r="AJ364" i="1"/>
  <c r="AQ300" i="1"/>
  <c r="AH236" i="1"/>
  <c r="AN268" i="1"/>
  <c r="AB19" i="1"/>
  <c r="AJ47" i="1"/>
  <c r="AH19" i="1"/>
  <c r="AQ10" i="1"/>
  <c r="AC41" i="1"/>
  <c r="AL57" i="1"/>
  <c r="AK61" i="1"/>
  <c r="AQ59" i="1"/>
  <c r="AQ41" i="1"/>
  <c r="AB61" i="1"/>
  <c r="AP61" i="1"/>
  <c r="AD28" i="1"/>
  <c r="AL59" i="1"/>
  <c r="AE41" i="1"/>
  <c r="AL61" i="1"/>
  <c r="AM59" i="1"/>
  <c r="AH55" i="1"/>
  <c r="AC57" i="1"/>
  <c r="AM61" i="1"/>
  <c r="AN34" i="1"/>
  <c r="AC51" i="1"/>
  <c r="AC59" i="1"/>
  <c r="AJ20" i="1"/>
  <c r="AN6" i="1"/>
  <c r="AQ32" i="1"/>
  <c r="AO57" i="1"/>
  <c r="AO51" i="1"/>
  <c r="AP59" i="1"/>
  <c r="AL28" i="1"/>
  <c r="AM10" i="1"/>
  <c r="AF19" i="1"/>
  <c r="AL19" i="1"/>
  <c r="AN19" i="1"/>
  <c r="AC481" i="1"/>
  <c r="AK19" i="1"/>
  <c r="AK513" i="1"/>
  <c r="AI493" i="1"/>
  <c r="AA20" i="1"/>
  <c r="AN112" i="1"/>
  <c r="AC162" i="1"/>
  <c r="AM462" i="1"/>
  <c r="AO461" i="1"/>
  <c r="AK525" i="1"/>
  <c r="AJ32" i="1"/>
  <c r="AG112" i="1"/>
  <c r="AP337" i="1"/>
  <c r="AN473" i="1"/>
  <c r="AF112" i="1"/>
  <c r="AO465" i="1"/>
  <c r="AA453" i="1"/>
  <c r="AH501" i="1"/>
  <c r="AP497" i="1"/>
  <c r="AP46" i="1"/>
  <c r="AO44" i="1"/>
  <c r="AF47" i="1"/>
  <c r="AA237" i="1"/>
  <c r="AC46" i="1"/>
  <c r="AC83" i="1"/>
  <c r="AQ46" i="1"/>
  <c r="AM83" i="1"/>
  <c r="AI338" i="1"/>
  <c r="AB20" i="1"/>
  <c r="AO32" i="1"/>
  <c r="AB112" i="1"/>
  <c r="AM6" i="1"/>
  <c r="AB473" i="1"/>
  <c r="AP537" i="1"/>
  <c r="AB505" i="1"/>
  <c r="AO457" i="1"/>
  <c r="AK473" i="1"/>
  <c r="AC210" i="1"/>
  <c r="AL20" i="1"/>
  <c r="AK112" i="1"/>
  <c r="AM537" i="1"/>
  <c r="AG537" i="1"/>
  <c r="AQ365" i="1"/>
  <c r="AE346" i="1"/>
  <c r="AH305" i="1"/>
  <c r="AA473" i="1"/>
  <c r="AK274" i="1"/>
  <c r="AH59" i="1"/>
  <c r="AQ20" i="1"/>
  <c r="AA32" i="1"/>
  <c r="AE112" i="1"/>
  <c r="AQ55" i="1"/>
  <c r="AG28" i="1"/>
  <c r="AQ112" i="1"/>
  <c r="AC341" i="1"/>
  <c r="AL424" i="1"/>
  <c r="AO495" i="1"/>
  <c r="AK488" i="1"/>
  <c r="AF228" i="1"/>
  <c r="AE174" i="1"/>
  <c r="AG39" i="1"/>
  <c r="AP456" i="1"/>
  <c r="AQ360" i="1"/>
  <c r="AN22" i="1"/>
  <c r="AK495" i="1"/>
  <c r="AN501" i="1"/>
  <c r="AO338" i="1"/>
  <c r="AG218" i="1"/>
  <c r="AO242" i="1"/>
  <c r="AF134" i="1"/>
  <c r="AC55" i="1"/>
  <c r="AA488" i="1"/>
  <c r="AC229" i="1"/>
  <c r="AQ196" i="1"/>
  <c r="AM271" i="1"/>
  <c r="AA242" i="1"/>
  <c r="AE495" i="1"/>
  <c r="AM370" i="1"/>
  <c r="AQ341" i="1"/>
  <c r="AJ242" i="1"/>
  <c r="AA39" i="1"/>
  <c r="AQ134" i="1"/>
  <c r="AH530" i="1"/>
  <c r="AM264" i="1"/>
  <c r="AD306" i="1"/>
  <c r="AP242" i="1"/>
  <c r="AG264" i="1"/>
  <c r="AE33" i="1"/>
  <c r="AA125" i="1"/>
  <c r="AM463" i="1"/>
  <c r="AL328" i="1"/>
  <c r="AH456" i="1"/>
  <c r="AB207" i="1"/>
  <c r="AD130" i="1"/>
  <c r="AD193" i="1"/>
  <c r="AM542" i="1"/>
  <c r="AF501" i="1"/>
  <c r="AH414" i="1"/>
  <c r="AP329" i="1"/>
  <c r="AI296" i="1"/>
  <c r="AJ22" i="1"/>
  <c r="AL520" i="1"/>
  <c r="AO501" i="1"/>
  <c r="AI405" i="1"/>
  <c r="AN335" i="1"/>
  <c r="AI306" i="1"/>
  <c r="AO22" i="1"/>
  <c r="AI112" i="1"/>
  <c r="AC527" i="1"/>
  <c r="AG520" i="1"/>
  <c r="AF466" i="1"/>
  <c r="AA210" i="1"/>
  <c r="AB430" i="1"/>
  <c r="AF424" i="1"/>
  <c r="AI392" i="1"/>
  <c r="AA463" i="1"/>
  <c r="AO335" i="1"/>
  <c r="AJ328" i="1"/>
  <c r="AE360" i="1"/>
  <c r="AB296" i="1"/>
  <c r="AA271" i="1"/>
  <c r="AG232" i="1"/>
  <c r="AD207" i="1"/>
  <c r="AO228" i="1"/>
  <c r="AN33" i="1"/>
  <c r="AB22" i="1"/>
  <c r="AK33" i="1"/>
  <c r="AH196" i="1"/>
  <c r="AJ33" i="1"/>
  <c r="AG22" i="1"/>
  <c r="AP33" i="1"/>
  <c r="AP22" i="1"/>
  <c r="AP527" i="1"/>
  <c r="AF488" i="1"/>
  <c r="AF392" i="1"/>
  <c r="AQ463" i="1"/>
  <c r="AL207" i="1"/>
  <c r="AH228" i="1"/>
  <c r="AL39" i="1"/>
  <c r="AK39" i="1"/>
  <c r="AF33" i="1"/>
  <c r="AA196" i="1"/>
  <c r="AI196" i="1"/>
  <c r="AB33" i="1"/>
  <c r="AF22" i="1"/>
  <c r="AP495" i="1"/>
  <c r="AO488" i="1"/>
  <c r="AA520" i="1"/>
  <c r="AN328" i="1"/>
  <c r="AK22" i="1"/>
  <c r="AN520" i="1"/>
  <c r="AQ495" i="1"/>
  <c r="AK328" i="1"/>
  <c r="AF360" i="1"/>
  <c r="AJ296" i="1"/>
  <c r="AD495" i="1"/>
  <c r="AJ495" i="1"/>
  <c r="AO494" i="1"/>
  <c r="AH360" i="1"/>
  <c r="AA328" i="1"/>
  <c r="AE328" i="1"/>
  <c r="AB360" i="1"/>
  <c r="AN264" i="1"/>
  <c r="AJ228" i="1"/>
  <c r="AG228" i="1"/>
  <c r="AI207" i="1"/>
  <c r="AK196" i="1"/>
  <c r="AM22" i="1"/>
  <c r="AD39" i="1"/>
  <c r="AD75" i="1"/>
  <c r="AA495" i="1"/>
  <c r="AN424" i="1"/>
  <c r="AD271" i="1"/>
  <c r="AI520" i="1"/>
  <c r="AQ488" i="1"/>
  <c r="AN392" i="1"/>
  <c r="AD463" i="1"/>
  <c r="AI360" i="1"/>
  <c r="AN360" i="1"/>
  <c r="AF296" i="1"/>
  <c r="AH52" i="1"/>
  <c r="AQ228" i="1"/>
  <c r="AC39" i="1"/>
  <c r="AM196" i="1"/>
  <c r="AB52" i="1"/>
  <c r="AH22" i="1"/>
  <c r="AC522" i="1"/>
  <c r="AI456" i="1"/>
  <c r="AI490" i="1"/>
  <c r="AB495" i="1"/>
  <c r="AG488" i="1"/>
  <c r="AH367" i="1"/>
  <c r="AF346" i="1"/>
  <c r="AN463" i="1"/>
  <c r="AP335" i="1"/>
  <c r="AC360" i="1"/>
  <c r="AK346" i="1"/>
  <c r="AN303" i="1"/>
  <c r="AI237" i="1"/>
  <c r="AP75" i="1"/>
  <c r="AE228" i="1"/>
  <c r="AK228" i="1"/>
  <c r="AB196" i="1"/>
  <c r="AO196" i="1"/>
  <c r="AQ33" i="1"/>
  <c r="AF495" i="1"/>
  <c r="AL495" i="1"/>
  <c r="AM513" i="1"/>
  <c r="AE488" i="1"/>
  <c r="AG367" i="1"/>
  <c r="AA329" i="1"/>
  <c r="AP341" i="1"/>
  <c r="AJ346" i="1"/>
  <c r="AB463" i="1"/>
  <c r="AA335" i="1"/>
  <c r="AO360" i="1"/>
  <c r="AI303" i="1"/>
  <c r="AO334" i="1"/>
  <c r="AM296" i="1"/>
  <c r="AH75" i="1"/>
  <c r="AL228" i="1"/>
  <c r="AL33" i="1"/>
  <c r="AC196" i="1"/>
  <c r="AL165" i="1"/>
  <c r="AE39" i="1"/>
  <c r="AI33" i="1"/>
  <c r="AJ39" i="1"/>
  <c r="AN75" i="1"/>
  <c r="AJ60" i="1"/>
  <c r="AP20" i="1"/>
  <c r="AM112" i="1"/>
  <c r="AJ112" i="1"/>
  <c r="AC463" i="1"/>
  <c r="AD335" i="1"/>
  <c r="AP360" i="1"/>
  <c r="AQ303" i="1"/>
  <c r="AG296" i="1"/>
  <c r="AI232" i="1"/>
  <c r="AI239" i="1"/>
  <c r="AD228" i="1"/>
  <c r="AL22" i="1"/>
  <c r="AH33" i="1"/>
  <c r="AQ39" i="1"/>
  <c r="AD33" i="1"/>
  <c r="AQ22" i="1"/>
  <c r="AN196" i="1"/>
  <c r="AA33" i="1"/>
  <c r="AL11" i="1"/>
  <c r="AC112" i="1"/>
  <c r="AP112" i="1"/>
  <c r="AK232" i="1"/>
  <c r="AE239" i="1"/>
  <c r="AH76" i="1"/>
  <c r="AL142" i="1"/>
  <c r="AD22" i="1"/>
  <c r="AI39" i="1"/>
  <c r="AH39" i="1"/>
  <c r="AP39" i="1"/>
  <c r="AN11" i="1"/>
  <c r="AK149" i="1"/>
  <c r="AP149" i="1"/>
  <c r="AA194" i="1"/>
  <c r="AI194" i="1"/>
  <c r="AO421" i="1"/>
  <c r="AE421" i="1"/>
  <c r="AA485" i="1"/>
  <c r="AC485" i="1"/>
  <c r="AE21" i="1"/>
  <c r="AJ21" i="1"/>
  <c r="AN21" i="1"/>
  <c r="AA21" i="1"/>
  <c r="AM21" i="1"/>
  <c r="AQ21" i="1"/>
  <c r="AB21" i="1"/>
  <c r="AC21" i="1"/>
  <c r="AD21" i="1"/>
  <c r="AK21" i="1"/>
  <c r="AH21" i="1"/>
  <c r="AL21" i="1"/>
  <c r="AG21" i="1"/>
  <c r="AO43" i="1"/>
  <c r="AP43" i="1"/>
  <c r="AG43" i="1"/>
  <c r="AA43" i="1"/>
  <c r="AL43" i="1"/>
  <c r="AJ43" i="1"/>
  <c r="AK43" i="1"/>
  <c r="AE43" i="1"/>
  <c r="AB43" i="1"/>
  <c r="AI43" i="1"/>
  <c r="AN43" i="1"/>
  <c r="AM43" i="1"/>
  <c r="AQ79" i="1"/>
  <c r="AN79" i="1"/>
  <c r="AH79" i="1"/>
  <c r="AD79" i="1"/>
  <c r="AP79" i="1"/>
  <c r="AG79" i="1"/>
  <c r="AB79" i="1"/>
  <c r="AQ56" i="1"/>
  <c r="AH56" i="1"/>
  <c r="AK45" i="1"/>
  <c r="AP45" i="1"/>
  <c r="AH45" i="1"/>
  <c r="AI45" i="1"/>
  <c r="AD45" i="1"/>
  <c r="AE45" i="1"/>
  <c r="AQ45" i="1"/>
  <c r="AC45" i="1"/>
  <c r="AG45" i="1"/>
  <c r="AO45" i="1"/>
  <c r="AA45" i="1"/>
  <c r="AB45" i="1"/>
  <c r="AJ45" i="1"/>
  <c r="AM45" i="1"/>
  <c r="AN45" i="1"/>
  <c r="AM26" i="1"/>
  <c r="AK26" i="1"/>
  <c r="AL26" i="1"/>
  <c r="AF26" i="1"/>
  <c r="AH26" i="1"/>
  <c r="AE26" i="1"/>
  <c r="AN26" i="1"/>
  <c r="AG26" i="1"/>
  <c r="AP26" i="1"/>
  <c r="AO26" i="1"/>
  <c r="AA26" i="1"/>
  <c r="AB26" i="1"/>
  <c r="AI26" i="1"/>
  <c r="AJ26" i="1"/>
  <c r="AQ26" i="1"/>
  <c r="AI410" i="1"/>
  <c r="AJ410" i="1"/>
  <c r="AK474" i="1"/>
  <c r="AP474" i="1"/>
  <c r="AN506" i="1"/>
  <c r="AO506" i="1"/>
  <c r="AG506" i="1"/>
  <c r="AO188" i="1"/>
  <c r="AL188" i="1"/>
  <c r="AG188" i="1"/>
  <c r="AJ188" i="1"/>
  <c r="AD220" i="1"/>
  <c r="AM220" i="1"/>
  <c r="AO220" i="1"/>
  <c r="AK220" i="1"/>
  <c r="AC220" i="1"/>
  <c r="AI220" i="1"/>
  <c r="AC256" i="1"/>
  <c r="AD256" i="1"/>
  <c r="AJ256" i="1"/>
  <c r="AM256" i="1"/>
  <c r="AB256" i="1"/>
  <c r="AA256" i="1"/>
  <c r="AH256" i="1"/>
  <c r="AO256" i="1"/>
  <c r="AQ256" i="1"/>
  <c r="AL256" i="1"/>
  <c r="AG256" i="1"/>
  <c r="AE256" i="1"/>
  <c r="AF256" i="1"/>
  <c r="AJ288" i="1"/>
  <c r="AL288" i="1"/>
  <c r="AB288" i="1"/>
  <c r="AG288" i="1"/>
  <c r="AK288" i="1"/>
  <c r="AQ320" i="1"/>
  <c r="AO320" i="1"/>
  <c r="AH320" i="1"/>
  <c r="AA320" i="1"/>
  <c r="AE352" i="1"/>
  <c r="AJ352" i="1"/>
  <c r="AC352" i="1"/>
  <c r="AO352" i="1"/>
  <c r="AF384" i="1"/>
  <c r="AI384" i="1"/>
  <c r="AN416" i="1"/>
  <c r="AF416" i="1"/>
  <c r="AI416" i="1"/>
  <c r="AM448" i="1"/>
  <c r="AB448" i="1"/>
  <c r="AJ448" i="1"/>
  <c r="AH448" i="1"/>
  <c r="AG448" i="1"/>
  <c r="AF448" i="1"/>
  <c r="AK448" i="1"/>
  <c r="AL480" i="1"/>
  <c r="AB480" i="1"/>
  <c r="AM480" i="1"/>
  <c r="AI480" i="1"/>
  <c r="AN512" i="1"/>
  <c r="AF512" i="1"/>
  <c r="AO512" i="1"/>
  <c r="AQ544" i="1"/>
  <c r="AI544" i="1"/>
  <c r="AE544" i="1"/>
  <c r="AA544" i="1"/>
  <c r="AF453" i="1"/>
  <c r="AJ7" i="1"/>
  <c r="AK11" i="1"/>
  <c r="AO83" i="1"/>
  <c r="AD83" i="1"/>
  <c r="AB60" i="1"/>
  <c r="AA346" i="1"/>
  <c r="AH273" i="1"/>
  <c r="AC7" i="1"/>
  <c r="AB7" i="1"/>
  <c r="AJ165" i="1"/>
  <c r="AO7" i="1"/>
  <c r="AM7" i="1"/>
  <c r="AE482" i="1"/>
  <c r="AI393" i="1"/>
  <c r="AJ373" i="1"/>
  <c r="AQ346" i="1"/>
  <c r="AB146" i="1"/>
  <c r="AQ7" i="1"/>
  <c r="AG7" i="1"/>
  <c r="AO102" i="1"/>
  <c r="AM11" i="1"/>
  <c r="AE7" i="1"/>
  <c r="AF50" i="1"/>
  <c r="AN7" i="1"/>
  <c r="AD41" i="1"/>
  <c r="AL49" i="1"/>
  <c r="AM57" i="1"/>
  <c r="AP57" i="1"/>
  <c r="AF34" i="1"/>
  <c r="AQ51" i="1"/>
  <c r="AE83" i="1"/>
  <c r="AN83" i="1"/>
  <c r="AA28" i="1"/>
  <c r="AL60" i="1"/>
  <c r="AD15" i="1"/>
  <c r="AI7" i="1"/>
  <c r="AD7" i="1"/>
  <c r="AE55" i="1"/>
  <c r="AF83" i="1"/>
  <c r="AJ83" i="1"/>
  <c r="AJ64" i="1"/>
  <c r="AP108" i="1"/>
  <c r="AF15" i="1"/>
  <c r="AA7" i="1"/>
  <c r="AP7" i="1"/>
  <c r="AG165" i="1"/>
  <c r="AK50" i="1"/>
  <c r="AK41" i="1"/>
  <c r="AP41" i="1"/>
  <c r="AB49" i="1"/>
  <c r="AQ57" i="1"/>
  <c r="AK7" i="1"/>
  <c r="AL55" i="1"/>
  <c r="AI83" i="1"/>
  <c r="AL64" i="1"/>
  <c r="AL15" i="1"/>
  <c r="AH7" i="1"/>
  <c r="AD11" i="1"/>
  <c r="AL51" i="1"/>
  <c r="AM55" i="1"/>
  <c r="AK83" i="1"/>
  <c r="AN64" i="1"/>
  <c r="AN15" i="1"/>
  <c r="AM100" i="1"/>
  <c r="AB41" i="1"/>
  <c r="AC49" i="1"/>
  <c r="AE57" i="1"/>
  <c r="AF64" i="1"/>
  <c r="AM51" i="1"/>
  <c r="AN55" i="1"/>
  <c r="AL83" i="1"/>
  <c r="AC219" i="1"/>
  <c r="AF219" i="1"/>
  <c r="AB475" i="1"/>
  <c r="AO475" i="1"/>
  <c r="AQ475" i="1"/>
  <c r="AK248" i="1"/>
  <c r="AL248" i="1"/>
  <c r="AC248" i="1"/>
  <c r="AE248" i="1"/>
  <c r="AM536" i="1"/>
  <c r="AM344" i="1"/>
  <c r="AN248" i="1"/>
  <c r="AG315" i="1"/>
  <c r="AH187" i="1"/>
  <c r="AQ180" i="1"/>
  <c r="AN504" i="1"/>
  <c r="AE536" i="1"/>
  <c r="AD536" i="1"/>
  <c r="AH507" i="1"/>
  <c r="AM493" i="1"/>
  <c r="AK475" i="1"/>
  <c r="AB443" i="1"/>
  <c r="AQ312" i="1"/>
  <c r="AG283" i="1"/>
  <c r="AD280" i="1"/>
  <c r="AI251" i="1"/>
  <c r="AM212" i="1"/>
  <c r="AB245" i="1"/>
  <c r="AL245" i="1"/>
  <c r="AO315" i="1"/>
  <c r="AN315" i="1"/>
  <c r="AP315" i="1"/>
  <c r="AN180" i="1"/>
  <c r="AJ180" i="1"/>
  <c r="AO180" i="1"/>
  <c r="AK180" i="1"/>
  <c r="AN376" i="1"/>
  <c r="AM376" i="1"/>
  <c r="AE376" i="1"/>
  <c r="AF475" i="1"/>
  <c r="AH344" i="1"/>
  <c r="AM280" i="1"/>
  <c r="AE212" i="1"/>
  <c r="AC539" i="1"/>
  <c r="AA504" i="1"/>
  <c r="AG536" i="1"/>
  <c r="AO536" i="1"/>
  <c r="AE507" i="1"/>
  <c r="AA475" i="1"/>
  <c r="AJ440" i="1"/>
  <c r="AH347" i="1"/>
  <c r="AQ344" i="1"/>
  <c r="AB312" i="1"/>
  <c r="AI312" i="1"/>
  <c r="AG344" i="1"/>
  <c r="AI315" i="1"/>
  <c r="AH248" i="1"/>
  <c r="AO212" i="1"/>
  <c r="AI180" i="1"/>
  <c r="AB382" i="1"/>
  <c r="AJ382" i="1"/>
  <c r="AF443" i="1"/>
  <c r="AM443" i="1"/>
  <c r="AH280" i="1"/>
  <c r="AB280" i="1"/>
  <c r="AO280" i="1"/>
  <c r="AI504" i="1"/>
  <c r="AN507" i="1"/>
  <c r="AI379" i="1"/>
  <c r="AH443" i="1"/>
  <c r="AK344" i="1"/>
  <c r="AP539" i="1"/>
  <c r="AL525" i="1"/>
  <c r="AQ504" i="1"/>
  <c r="AP536" i="1"/>
  <c r="AD507" i="1"/>
  <c r="AF507" i="1"/>
  <c r="AG475" i="1"/>
  <c r="AI440" i="1"/>
  <c r="AH379" i="1"/>
  <c r="AI443" i="1"/>
  <c r="AA443" i="1"/>
  <c r="AP312" i="1"/>
  <c r="AA283" i="1"/>
  <c r="AP280" i="1"/>
  <c r="AJ315" i="1"/>
  <c r="AC212" i="1"/>
  <c r="AQ433" i="1"/>
  <c r="AD433" i="1"/>
  <c r="AI529" i="1"/>
  <c r="AB529" i="1"/>
  <c r="AC344" i="1"/>
  <c r="AO344" i="1"/>
  <c r="AJ344" i="1"/>
  <c r="AI344" i="1"/>
  <c r="AB344" i="1"/>
  <c r="AH408" i="1"/>
  <c r="AI408" i="1"/>
  <c r="AA536" i="1"/>
  <c r="AB536" i="1"/>
  <c r="AN536" i="1"/>
  <c r="AJ536" i="1"/>
  <c r="AM504" i="1"/>
  <c r="AK536" i="1"/>
  <c r="AM475" i="1"/>
  <c r="AA440" i="1"/>
  <c r="AN408" i="1"/>
  <c r="AO312" i="1"/>
  <c r="AL251" i="1"/>
  <c r="AB315" i="1"/>
  <c r="AB180" i="1"/>
  <c r="AE180" i="1"/>
  <c r="AG525" i="1"/>
  <c r="AH536" i="1"/>
  <c r="AQ536" i="1"/>
  <c r="AI507" i="1"/>
  <c r="AN440" i="1"/>
  <c r="AP475" i="1"/>
  <c r="AP379" i="1"/>
  <c r="AK376" i="1"/>
  <c r="AJ443" i="1"/>
  <c r="AL344" i="1"/>
  <c r="AH312" i="1"/>
  <c r="AP283" i="1"/>
  <c r="AI283" i="1"/>
  <c r="AI280" i="1"/>
  <c r="AB248" i="1"/>
  <c r="AK315" i="1"/>
  <c r="AP123" i="1"/>
  <c r="AA180" i="1"/>
  <c r="AH265" i="1"/>
  <c r="AM265" i="1"/>
  <c r="AM297" i="1"/>
  <c r="AE297" i="1"/>
  <c r="AI329" i="1"/>
  <c r="AQ329" i="1"/>
  <c r="AC329" i="1"/>
  <c r="AC365" i="1"/>
  <c r="AK365" i="1"/>
  <c r="AD74" i="1"/>
  <c r="AK74" i="1"/>
  <c r="AD134" i="1"/>
  <c r="AA134" i="1"/>
  <c r="AG174" i="1"/>
  <c r="AJ174" i="1"/>
  <c r="AN306" i="1"/>
  <c r="AH306" i="1"/>
  <c r="AE306" i="1"/>
  <c r="AF338" i="1"/>
  <c r="AG338" i="1"/>
  <c r="AA338" i="1"/>
  <c r="AJ370" i="1"/>
  <c r="AQ370" i="1"/>
  <c r="AI370" i="1"/>
  <c r="AO370" i="1"/>
  <c r="AQ469" i="1"/>
  <c r="AH469" i="1"/>
  <c r="AJ469" i="1"/>
  <c r="AC533" i="1"/>
  <c r="AJ533" i="1"/>
  <c r="AQ490" i="1"/>
  <c r="AA490" i="1"/>
  <c r="AI187" i="1"/>
  <c r="AM187" i="1"/>
  <c r="AG187" i="1"/>
  <c r="AC507" i="1"/>
  <c r="AP507" i="1"/>
  <c r="AO507" i="1"/>
  <c r="AM507" i="1"/>
  <c r="AF536" i="1"/>
  <c r="AN443" i="1"/>
  <c r="AL443" i="1"/>
  <c r="AG443" i="1"/>
  <c r="AA312" i="1"/>
  <c r="AE280" i="1"/>
  <c r="AE35" i="1"/>
  <c r="AK493" i="1"/>
  <c r="AA493" i="1"/>
  <c r="AO525" i="1"/>
  <c r="AL504" i="1"/>
  <c r="AL536" i="1"/>
  <c r="AG507" i="1"/>
  <c r="AE440" i="1"/>
  <c r="AH475" i="1"/>
  <c r="AG347" i="1"/>
  <c r="AA376" i="1"/>
  <c r="AJ376" i="1"/>
  <c r="AH376" i="1"/>
  <c r="AC443" i="1"/>
  <c r="AE344" i="1"/>
  <c r="AJ280" i="1"/>
  <c r="AD315" i="1"/>
  <c r="AH128" i="1"/>
  <c r="AB212" i="1"/>
  <c r="AH123" i="1"/>
  <c r="AP180" i="1"/>
  <c r="AA85" i="1"/>
  <c r="AP85" i="1"/>
  <c r="AC377" i="1"/>
  <c r="AO377" i="1"/>
  <c r="AD409" i="1"/>
  <c r="AL409" i="1"/>
  <c r="AC441" i="1"/>
  <c r="AN441" i="1"/>
  <c r="AM441" i="1"/>
  <c r="AM494" i="1"/>
  <c r="AF494" i="1"/>
  <c r="AE526" i="1"/>
  <c r="AM526" i="1"/>
  <c r="AH526" i="1"/>
  <c r="AE75" i="1"/>
  <c r="AO75" i="1"/>
  <c r="AN346" i="1"/>
  <c r="AL346" i="1"/>
  <c r="AA75" i="1"/>
  <c r="AF75" i="1"/>
  <c r="AC76" i="1"/>
  <c r="AI75" i="1"/>
  <c r="AG75" i="1"/>
  <c r="AF39" i="1"/>
  <c r="AK75" i="1"/>
  <c r="AJ75" i="1"/>
  <c r="AO39" i="1"/>
  <c r="AC75" i="1"/>
  <c r="AM258" i="1"/>
  <c r="AA258" i="1"/>
  <c r="AK453" i="1"/>
  <c r="AB421" i="1"/>
  <c r="AI478" i="1"/>
  <c r="AM478" i="1"/>
  <c r="AB478" i="1"/>
  <c r="AB272" i="1"/>
  <c r="AO272" i="1"/>
  <c r="AI528" i="1"/>
  <c r="AC528" i="1"/>
  <c r="AI474" i="1"/>
  <c r="AD204" i="1"/>
  <c r="AN461" i="1"/>
  <c r="AG461" i="1"/>
  <c r="AI386" i="1"/>
  <c r="AB386" i="1"/>
  <c r="AE450" i="1"/>
  <c r="AM450" i="1"/>
  <c r="AM183" i="1"/>
  <c r="AQ183" i="1"/>
  <c r="AN183" i="1"/>
  <c r="AM247" i="1"/>
  <c r="AI247" i="1"/>
  <c r="AE279" i="1"/>
  <c r="AL279" i="1"/>
  <c r="AK311" i="1"/>
  <c r="AP311" i="1"/>
  <c r="AK439" i="1"/>
  <c r="AE439" i="1"/>
  <c r="AN503" i="1"/>
  <c r="AH503" i="1"/>
  <c r="AH506" i="1"/>
  <c r="AK485" i="1"/>
  <c r="AC489" i="1"/>
  <c r="AH478" i="1"/>
  <c r="AL485" i="1"/>
  <c r="AQ474" i="1"/>
  <c r="AE368" i="1"/>
  <c r="AK378" i="1"/>
  <c r="AJ414" i="1"/>
  <c r="AN400" i="1"/>
  <c r="AJ386" i="1"/>
  <c r="AH386" i="1"/>
  <c r="AF471" i="1"/>
  <c r="AH446" i="1"/>
  <c r="AC453" i="1"/>
  <c r="AD421" i="1"/>
  <c r="AH442" i="1"/>
  <c r="AB474" i="1"/>
  <c r="AD378" i="1"/>
  <c r="AI354" i="1"/>
  <c r="AM336" i="1"/>
  <c r="AM368" i="1"/>
  <c r="AJ368" i="1"/>
  <c r="AG336" i="1"/>
  <c r="AP272" i="1"/>
  <c r="AK279" i="1"/>
  <c r="AI304" i="1"/>
  <c r="AK183" i="1"/>
  <c r="AQ204" i="1"/>
  <c r="AO204" i="1"/>
  <c r="AD102" i="1"/>
  <c r="AC497" i="1"/>
  <c r="AG497" i="1"/>
  <c r="AO485" i="1"/>
  <c r="AE485" i="1"/>
  <c r="AK538" i="1"/>
  <c r="AJ485" i="1"/>
  <c r="AH474" i="1"/>
  <c r="AD538" i="1"/>
  <c r="AI506" i="1"/>
  <c r="AE336" i="1"/>
  <c r="AA304" i="1"/>
  <c r="AJ272" i="1"/>
  <c r="AG204" i="1"/>
  <c r="AH257" i="1"/>
  <c r="AI257" i="1"/>
  <c r="AI517" i="1"/>
  <c r="AB482" i="1"/>
  <c r="AI482" i="1"/>
  <c r="AD478" i="1"/>
  <c r="AK457" i="1"/>
  <c r="AN450" i="1"/>
  <c r="AM538" i="1"/>
  <c r="AJ521" i="1"/>
  <c r="AM514" i="1"/>
  <c r="AJ510" i="1"/>
  <c r="AE517" i="1"/>
  <c r="AD517" i="1"/>
  <c r="AA496" i="1"/>
  <c r="AI464" i="1"/>
  <c r="AP464" i="1"/>
  <c r="AB528" i="1"/>
  <c r="AJ528" i="1"/>
  <c r="AA506" i="1"/>
  <c r="AG493" i="1"/>
  <c r="AJ503" i="1"/>
  <c r="AO489" i="1"/>
  <c r="AG482" i="1"/>
  <c r="AQ482" i="1"/>
  <c r="AQ478" i="1"/>
  <c r="AI471" i="1"/>
  <c r="AA457" i="1"/>
  <c r="AF450" i="1"/>
  <c r="AM432" i="1"/>
  <c r="AH400" i="1"/>
  <c r="AG471" i="1"/>
  <c r="AB485" i="1"/>
  <c r="AI446" i="1"/>
  <c r="AE453" i="1"/>
  <c r="AL421" i="1"/>
  <c r="AA442" i="1"/>
  <c r="AA474" i="1"/>
  <c r="AN378" i="1"/>
  <c r="AB354" i="1"/>
  <c r="AP336" i="1"/>
  <c r="AF368" i="1"/>
  <c r="AP343" i="1"/>
  <c r="AL368" i="1"/>
  <c r="AH336" i="1"/>
  <c r="AI311" i="1"/>
  <c r="AQ272" i="1"/>
  <c r="AE272" i="1"/>
  <c r="AN322" i="1"/>
  <c r="AI279" i="1"/>
  <c r="AO183" i="1"/>
  <c r="AF204" i="1"/>
  <c r="AE506" i="1"/>
  <c r="AH389" i="1"/>
  <c r="AI453" i="1"/>
  <c r="AG290" i="1"/>
  <c r="AK240" i="1"/>
  <c r="AC240" i="1"/>
  <c r="AH517" i="1"/>
  <c r="AL453" i="1"/>
  <c r="AA63" i="1"/>
  <c r="AM221" i="1"/>
  <c r="AO221" i="1"/>
  <c r="AE538" i="1"/>
  <c r="AK510" i="1"/>
  <c r="AL496" i="1"/>
  <c r="AP528" i="1"/>
  <c r="AJ506" i="1"/>
  <c r="AB493" i="1"/>
  <c r="AK489" i="1"/>
  <c r="AD521" i="1"/>
  <c r="AA525" i="1"/>
  <c r="AE510" i="1"/>
  <c r="AL517" i="1"/>
  <c r="AI496" i="1"/>
  <c r="AA464" i="1"/>
  <c r="AF528" i="1"/>
  <c r="AL506" i="1"/>
  <c r="AF493" i="1"/>
  <c r="AO493" i="1"/>
  <c r="AL503" i="1"/>
  <c r="AD489" i="1"/>
  <c r="AC482" i="1"/>
  <c r="AB418" i="1"/>
  <c r="AD482" i="1"/>
  <c r="AP478" i="1"/>
  <c r="AM457" i="1"/>
  <c r="AQ450" i="1"/>
  <c r="AB432" i="1"/>
  <c r="AI389" i="1"/>
  <c r="AA471" i="1"/>
  <c r="AH397" i="1"/>
  <c r="AH382" i="1"/>
  <c r="AP471" i="1"/>
  <c r="AM485" i="1"/>
  <c r="AD446" i="1"/>
  <c r="AP453" i="1"/>
  <c r="AJ442" i="1"/>
  <c r="AE474" i="1"/>
  <c r="AE378" i="1"/>
  <c r="AB336" i="1"/>
  <c r="AD368" i="1"/>
  <c r="AN368" i="1"/>
  <c r="AD343" i="1"/>
  <c r="AQ311" i="1"/>
  <c r="AF272" i="1"/>
  <c r="AQ279" i="1"/>
  <c r="AK247" i="1"/>
  <c r="AI183" i="1"/>
  <c r="AG65" i="1"/>
  <c r="AH204" i="1"/>
  <c r="AJ181" i="1"/>
  <c r="AK181" i="1"/>
  <c r="AP538" i="1"/>
  <c r="AB538" i="1"/>
  <c r="AO538" i="1"/>
  <c r="AN517" i="1"/>
  <c r="AQ322" i="1"/>
  <c r="AQ542" i="1"/>
  <c r="AE542" i="1"/>
  <c r="AJ304" i="1"/>
  <c r="AH304" i="1"/>
  <c r="AB304" i="1"/>
  <c r="AH24" i="1"/>
  <c r="AM24" i="1"/>
  <c r="AJ538" i="1"/>
  <c r="AC496" i="1"/>
  <c r="AK528" i="1"/>
  <c r="AF446" i="1"/>
  <c r="AF538" i="1"/>
  <c r="AG517" i="1"/>
  <c r="AQ496" i="1"/>
  <c r="AN489" i="1"/>
  <c r="AQ457" i="1"/>
  <c r="AD432" i="1"/>
  <c r="AD389" i="1"/>
  <c r="AP485" i="1"/>
  <c r="AG485" i="1"/>
  <c r="AG446" i="1"/>
  <c r="AE442" i="1"/>
  <c r="AJ474" i="1"/>
  <c r="AF378" i="1"/>
  <c r="AJ336" i="1"/>
  <c r="AP368" i="1"/>
  <c r="AL378" i="1"/>
  <c r="AE354" i="1"/>
  <c r="AB311" i="1"/>
  <c r="AF304" i="1"/>
  <c r="AI240" i="1"/>
  <c r="AF102" i="1"/>
  <c r="AL86" i="1"/>
  <c r="AD86" i="1"/>
  <c r="AM453" i="1"/>
  <c r="AQ453" i="1"/>
  <c r="AN453" i="1"/>
  <c r="AD506" i="1"/>
  <c r="AQ506" i="1"/>
  <c r="AH149" i="1"/>
  <c r="AL149" i="1"/>
  <c r="AK204" i="1"/>
  <c r="AN204" i="1"/>
  <c r="AL204" i="1"/>
  <c r="AI204" i="1"/>
  <c r="AA204" i="1"/>
  <c r="AL528" i="1"/>
  <c r="AD528" i="1"/>
  <c r="AH457" i="1"/>
  <c r="AJ421" i="1"/>
  <c r="AK542" i="1"/>
  <c r="AL521" i="1"/>
  <c r="AM510" i="1"/>
  <c r="AH528" i="1"/>
  <c r="AE528" i="1"/>
  <c r="AN528" i="1"/>
  <c r="AB506" i="1"/>
  <c r="AC478" i="1"/>
  <c r="AK478" i="1"/>
  <c r="AL542" i="1"/>
  <c r="AB542" i="1"/>
  <c r="AG521" i="1"/>
  <c r="AG542" i="1"/>
  <c r="AP542" i="1"/>
  <c r="AD525" i="1"/>
  <c r="AO517" i="1"/>
  <c r="AO496" i="1"/>
  <c r="AG528" i="1"/>
  <c r="AA528" i="1"/>
  <c r="AC506" i="1"/>
  <c r="AF506" i="1"/>
  <c r="AL493" i="1"/>
  <c r="AH489" i="1"/>
  <c r="AF461" i="1"/>
  <c r="AJ482" i="1"/>
  <c r="AA478" i="1"/>
  <c r="AH418" i="1"/>
  <c r="AI457" i="1"/>
  <c r="AG450" i="1"/>
  <c r="AL432" i="1"/>
  <c r="AI382" i="1"/>
  <c r="AH375" i="1"/>
  <c r="AB471" i="1"/>
  <c r="AH485" i="1"/>
  <c r="AE446" i="1"/>
  <c r="AD442" i="1"/>
  <c r="AO453" i="1"/>
  <c r="AN421" i="1"/>
  <c r="AM442" i="1"/>
  <c r="AF474" i="1"/>
  <c r="AC336" i="1"/>
  <c r="AG368" i="1"/>
  <c r="AF343" i="1"/>
  <c r="AK368" i="1"/>
  <c r="AJ311" i="1"/>
  <c r="AM304" i="1"/>
  <c r="AJ204" i="1"/>
  <c r="AB222" i="1"/>
  <c r="AE222" i="1"/>
  <c r="AF350" i="1"/>
  <c r="AC350" i="1"/>
  <c r="AO449" i="1"/>
  <c r="AA449" i="1"/>
  <c r="AI406" i="1"/>
  <c r="AB406" i="1"/>
  <c r="AL469" i="1"/>
  <c r="AL365" i="1"/>
  <c r="AL370" i="1"/>
  <c r="AB174" i="1"/>
  <c r="AO125" i="1"/>
  <c r="AG64" i="1"/>
  <c r="AF93" i="1"/>
  <c r="AK93" i="1"/>
  <c r="AG40" i="1"/>
  <c r="AC40" i="1"/>
  <c r="AO40" i="1"/>
  <c r="AN31" i="1"/>
  <c r="AK31" i="1"/>
  <c r="AB31" i="1"/>
  <c r="AL31" i="1"/>
  <c r="AL67" i="1"/>
  <c r="AA67" i="1"/>
  <c r="AN104" i="1"/>
  <c r="AB104" i="1"/>
  <c r="AN14" i="1"/>
  <c r="AD14" i="1"/>
  <c r="AN46" i="1"/>
  <c r="AM46" i="1"/>
  <c r="AE46" i="1"/>
  <c r="AK46" i="1"/>
  <c r="AQ12" i="1"/>
  <c r="AM12" i="1"/>
  <c r="AE27" i="1"/>
  <c r="AQ27" i="1"/>
  <c r="AO42" i="1"/>
  <c r="AF42" i="1"/>
  <c r="AB42" i="1"/>
  <c r="AQ518" i="1"/>
  <c r="AB27" i="1"/>
  <c r="AA27" i="1"/>
  <c r="AO27" i="1"/>
  <c r="AD121" i="1"/>
  <c r="AK121" i="1"/>
  <c r="AE302" i="1"/>
  <c r="AN302" i="1"/>
  <c r="AA366" i="1"/>
  <c r="AI366" i="1"/>
  <c r="AP421" i="1"/>
  <c r="AF421" i="1"/>
  <c r="AC421" i="1"/>
  <c r="AQ485" i="1"/>
  <c r="AD485" i="1"/>
  <c r="AN120" i="1"/>
  <c r="AM180" i="1"/>
  <c r="AC180" i="1"/>
  <c r="AI518" i="1"/>
  <c r="AH80" i="1"/>
  <c r="AN65" i="1"/>
  <c r="AF229" i="1"/>
  <c r="AE229" i="1"/>
  <c r="AJ274" i="1"/>
  <c r="AL274" i="1"/>
  <c r="AL252" i="1"/>
  <c r="AO252" i="1"/>
  <c r="AN348" i="1"/>
  <c r="AB348" i="1"/>
  <c r="AK486" i="1"/>
  <c r="AF518" i="1"/>
  <c r="AB63" i="1"/>
  <c r="AM36" i="1"/>
  <c r="AF65" i="1"/>
  <c r="AP65" i="1"/>
  <c r="AO486" i="1"/>
  <c r="AL518" i="1"/>
  <c r="AH8" i="1"/>
  <c r="AJ63" i="1"/>
  <c r="AA341" i="1"/>
  <c r="AH341" i="1"/>
  <c r="AM282" i="1"/>
  <c r="AN282" i="1"/>
  <c r="AO346" i="1"/>
  <c r="AG346" i="1"/>
  <c r="AL65" i="1"/>
  <c r="AP42" i="1"/>
  <c r="AB378" i="1"/>
  <c r="AJ378" i="1"/>
  <c r="AF442" i="1"/>
  <c r="AI442" i="1"/>
  <c r="AO474" i="1"/>
  <c r="AD474" i="1"/>
  <c r="AN474" i="1"/>
  <c r="AK454" i="1"/>
  <c r="AL454" i="1"/>
  <c r="AH27" i="1"/>
  <c r="AE24" i="1"/>
  <c r="AJ509" i="1"/>
  <c r="AJ518" i="1"/>
  <c r="AJ65" i="1"/>
  <c r="AI42" i="1"/>
  <c r="AH65" i="1"/>
  <c r="AK446" i="1"/>
  <c r="AJ446" i="1"/>
  <c r="AF27" i="1"/>
  <c r="AK303" i="1"/>
  <c r="AD303" i="1"/>
  <c r="AM335" i="1"/>
  <c r="AG335" i="1"/>
  <c r="AJ463" i="1"/>
  <c r="AI463" i="1"/>
  <c r="AA65" i="1"/>
  <c r="AJ42" i="1"/>
  <c r="AD42" i="1"/>
  <c r="AQ118" i="1"/>
  <c r="AQ40" i="1"/>
  <c r="AK179" i="1"/>
  <c r="AO179" i="1"/>
  <c r="AG211" i="1"/>
  <c r="AQ211" i="1"/>
  <c r="AC307" i="1"/>
  <c r="AG307" i="1"/>
  <c r="AC435" i="1"/>
  <c r="AI435" i="1"/>
  <c r="AD43" i="1"/>
  <c r="AF51" i="1"/>
  <c r="AE51" i="1"/>
  <c r="AO55" i="1"/>
  <c r="AI79" i="1"/>
  <c r="AE79" i="1"/>
  <c r="AN20" i="1"/>
  <c r="AC28" i="1"/>
  <c r="AQ64" i="1"/>
  <c r="AQ43" i="1"/>
  <c r="AH51" i="1"/>
  <c r="AP51" i="1"/>
  <c r="AD55" i="1"/>
  <c r="AK79" i="1"/>
  <c r="AO79" i="1"/>
  <c r="AF20" i="1"/>
  <c r="AF28" i="1"/>
  <c r="AA64" i="1"/>
  <c r="AF7" i="1"/>
  <c r="AF43" i="1"/>
  <c r="AF55" i="1"/>
  <c r="AA79" i="1"/>
  <c r="AJ79" i="1"/>
  <c r="AI20" i="1"/>
  <c r="AJ28" i="1"/>
  <c r="AC64" i="1"/>
  <c r="AB108" i="1"/>
  <c r="AH43" i="1"/>
  <c r="AC79" i="1"/>
  <c r="AM79" i="1"/>
  <c r="AN101" i="1"/>
  <c r="AG101" i="1"/>
  <c r="AH101" i="1"/>
  <c r="AH213" i="1"/>
  <c r="AK213" i="1"/>
  <c r="AL349" i="1"/>
  <c r="AN349" i="1"/>
  <c r="AB110" i="1"/>
  <c r="AF110" i="1"/>
  <c r="AB154" i="1"/>
  <c r="AL154" i="1"/>
  <c r="AG154" i="1"/>
  <c r="AH226" i="1"/>
  <c r="AF226" i="1"/>
  <c r="AF290" i="1"/>
  <c r="AQ290" i="1"/>
  <c r="AC322" i="1"/>
  <c r="AA322" i="1"/>
  <c r="AG322" i="1"/>
  <c r="AI401" i="1"/>
  <c r="AD401" i="1"/>
  <c r="AB390" i="1"/>
  <c r="AH390" i="1"/>
  <c r="AE537" i="1"/>
  <c r="AO537" i="1"/>
  <c r="AM529" i="1"/>
  <c r="AQ505" i="1"/>
  <c r="AF486" i="1"/>
  <c r="AA526" i="1"/>
  <c r="AG526" i="1"/>
  <c r="AN518" i="1"/>
  <c r="AD505" i="1"/>
  <c r="AK518" i="1"/>
  <c r="AB518" i="1"/>
  <c r="AI494" i="1"/>
  <c r="AD497" i="1"/>
  <c r="AO497" i="1"/>
  <c r="AE465" i="1"/>
  <c r="AL401" i="1"/>
  <c r="AI390" i="1"/>
  <c r="AE377" i="1"/>
  <c r="AI441" i="1"/>
  <c r="AO441" i="1"/>
  <c r="AB454" i="1"/>
  <c r="AQ354" i="1"/>
  <c r="AF454" i="1"/>
  <c r="AE349" i="1"/>
  <c r="AJ473" i="1"/>
  <c r="AI322" i="1"/>
  <c r="AD302" i="1"/>
  <c r="AP322" i="1"/>
  <c r="AM266" i="1"/>
  <c r="AM213" i="1"/>
  <c r="AQ194" i="1"/>
  <c r="AE181" i="1"/>
  <c r="AD245" i="1"/>
  <c r="AE258" i="1"/>
  <c r="AB258" i="1"/>
  <c r="AN226" i="1"/>
  <c r="AO154" i="1"/>
  <c r="AM154" i="1"/>
  <c r="AE142" i="1"/>
  <c r="AE149" i="1"/>
  <c r="AI101" i="1"/>
  <c r="AG110" i="1"/>
  <c r="AG458" i="1"/>
  <c r="AI458" i="1"/>
  <c r="AK85" i="1"/>
  <c r="AF85" i="1"/>
  <c r="AJ85" i="1"/>
  <c r="AM149" i="1"/>
  <c r="AJ354" i="1"/>
  <c r="AA454" i="1"/>
  <c r="AD473" i="1"/>
  <c r="AE245" i="1"/>
  <c r="AD226" i="1"/>
  <c r="AC258" i="1"/>
  <c r="AG226" i="1"/>
  <c r="AK18" i="1"/>
  <c r="AQ85" i="1"/>
  <c r="AQ537" i="1"/>
  <c r="AG529" i="1"/>
  <c r="AI526" i="1"/>
  <c r="AI486" i="1"/>
  <c r="AG494" i="1"/>
  <c r="AO526" i="1"/>
  <c r="AN505" i="1"/>
  <c r="AP494" i="1"/>
  <c r="AO518" i="1"/>
  <c r="AM518" i="1"/>
  <c r="AB494" i="1"/>
  <c r="AQ497" i="1"/>
  <c r="AH430" i="1"/>
  <c r="AL465" i="1"/>
  <c r="AF430" i="1"/>
  <c r="AC477" i="1"/>
  <c r="AJ441" i="1"/>
  <c r="AM377" i="1"/>
  <c r="AJ377" i="1"/>
  <c r="AP354" i="1"/>
  <c r="AE454" i="1"/>
  <c r="AP349" i="1"/>
  <c r="AM473" i="1"/>
  <c r="AP473" i="1"/>
  <c r="AM313" i="1"/>
  <c r="AM293" i="1"/>
  <c r="AL322" i="1"/>
  <c r="AJ290" i="1"/>
  <c r="AC213" i="1"/>
  <c r="AQ258" i="1"/>
  <c r="AP245" i="1"/>
  <c r="AQ245" i="1"/>
  <c r="AF258" i="1"/>
  <c r="AO226" i="1"/>
  <c r="AQ154" i="1"/>
  <c r="AO142" i="1"/>
  <c r="AP110" i="1"/>
  <c r="AL58" i="1"/>
  <c r="AE29" i="1"/>
  <c r="AO149" i="1"/>
  <c r="AK101" i="1"/>
  <c r="AC85" i="1"/>
  <c r="AQ110" i="1"/>
  <c r="AE213" i="1"/>
  <c r="AP258" i="1"/>
  <c r="AC194" i="1"/>
  <c r="AD258" i="1"/>
  <c r="AQ101" i="1"/>
  <c r="AA110" i="1"/>
  <c r="AO128" i="1"/>
  <c r="AG128" i="1"/>
  <c r="AD128" i="1"/>
  <c r="AL71" i="1"/>
  <c r="AM71" i="1"/>
  <c r="AQ16" i="1"/>
  <c r="AI16" i="1"/>
  <c r="AE518" i="1"/>
  <c r="AJ494" i="1"/>
  <c r="AJ497" i="1"/>
  <c r="AH409" i="1"/>
  <c r="AG142" i="1"/>
  <c r="AC101" i="1"/>
  <c r="AB361" i="1"/>
  <c r="AH361" i="1"/>
  <c r="AN270" i="1"/>
  <c r="AJ270" i="1"/>
  <c r="AA537" i="1"/>
  <c r="AH537" i="1"/>
  <c r="AO529" i="1"/>
  <c r="AQ486" i="1"/>
  <c r="AB526" i="1"/>
  <c r="AG505" i="1"/>
  <c r="AC494" i="1"/>
  <c r="AD518" i="1"/>
  <c r="AK494" i="1"/>
  <c r="AB497" i="1"/>
  <c r="AJ462" i="1"/>
  <c r="AB422" i="1"/>
  <c r="AP422" i="1"/>
  <c r="AP465" i="1"/>
  <c r="AI398" i="1"/>
  <c r="AH401" i="1"/>
  <c r="AD441" i="1"/>
  <c r="AA377" i="1"/>
  <c r="AK377" i="1"/>
  <c r="AG354" i="1"/>
  <c r="AC349" i="1"/>
  <c r="AP330" i="1"/>
  <c r="AO473" i="1"/>
  <c r="AH473" i="1"/>
  <c r="AE313" i="1"/>
  <c r="AM281" i="1"/>
  <c r="AH322" i="1"/>
  <c r="AE290" i="1"/>
  <c r="AA302" i="1"/>
  <c r="AE322" i="1"/>
  <c r="AC290" i="1"/>
  <c r="AH245" i="1"/>
  <c r="AN258" i="1"/>
  <c r="AB226" i="1"/>
  <c r="AC154" i="1"/>
  <c r="AI142" i="1"/>
  <c r="AO101" i="1"/>
  <c r="AG85" i="1"/>
  <c r="AA157" i="1"/>
  <c r="AD101" i="1"/>
  <c r="AD85" i="1"/>
  <c r="AJ110" i="1"/>
  <c r="AH453" i="1"/>
  <c r="AJ453" i="1"/>
  <c r="AN485" i="1"/>
  <c r="AF485" i="1"/>
  <c r="AI485" i="1"/>
  <c r="AA245" i="1"/>
  <c r="AQ226" i="1"/>
  <c r="AA154" i="1"/>
  <c r="AG357" i="1"/>
  <c r="AH357" i="1"/>
  <c r="AG441" i="1"/>
  <c r="AK441" i="1"/>
  <c r="AF537" i="1"/>
  <c r="AA465" i="1"/>
  <c r="AN430" i="1"/>
  <c r="AF330" i="1"/>
  <c r="AD322" i="1"/>
  <c r="AI245" i="1"/>
  <c r="AI154" i="1"/>
  <c r="AH85" i="1"/>
  <c r="AI110" i="1"/>
  <c r="AK537" i="1"/>
  <c r="AN529" i="1"/>
  <c r="AP505" i="1"/>
  <c r="AC526" i="1"/>
  <c r="AJ526" i="1"/>
  <c r="AO505" i="1"/>
  <c r="AP518" i="1"/>
  <c r="AE494" i="1"/>
  <c r="AK497" i="1"/>
  <c r="AD462" i="1"/>
  <c r="AQ465" i="1"/>
  <c r="AI409" i="1"/>
  <c r="AB398" i="1"/>
  <c r="AL441" i="1"/>
  <c r="AQ337" i="1"/>
  <c r="AD377" i="1"/>
  <c r="AH354" i="1"/>
  <c r="AA349" i="1"/>
  <c r="AK349" i="1"/>
  <c r="AL354" i="1"/>
  <c r="AC473" i="1"/>
  <c r="AE281" i="1"/>
  <c r="AB334" i="1"/>
  <c r="AM322" i="1"/>
  <c r="AK290" i="1"/>
  <c r="AJ226" i="1"/>
  <c r="AK245" i="1"/>
  <c r="AH258" i="1"/>
  <c r="AG258" i="1"/>
  <c r="AK226" i="1"/>
  <c r="AK154" i="1"/>
  <c r="AB142" i="1"/>
  <c r="AN110" i="1"/>
  <c r="AJ58" i="1"/>
  <c r="AB149" i="1"/>
  <c r="AB85" i="1"/>
  <c r="AG58" i="1"/>
  <c r="AA149" i="1"/>
  <c r="AF101" i="1"/>
  <c r="AN85" i="1"/>
  <c r="AD110" i="1"/>
  <c r="AK237" i="1"/>
  <c r="AB237" i="1"/>
  <c r="AK314" i="1"/>
  <c r="AE314" i="1"/>
  <c r="AF457" i="1"/>
  <c r="AG457" i="1"/>
  <c r="AI436" i="1"/>
  <c r="AF436" i="1"/>
  <c r="AN436" i="1"/>
  <c r="AM500" i="1"/>
  <c r="AG500" i="1"/>
  <c r="AO349" i="1"/>
  <c r="AP213" i="1"/>
  <c r="AM181" i="1"/>
  <c r="AL258" i="1"/>
  <c r="AL473" i="1"/>
  <c r="AI473" i="1"/>
  <c r="AJ72" i="1"/>
  <c r="AC72" i="1"/>
  <c r="AN72" i="1"/>
  <c r="AC54" i="1"/>
  <c r="AK54" i="1"/>
  <c r="AD54" i="1"/>
  <c r="AL529" i="1"/>
  <c r="AD526" i="1"/>
  <c r="AE505" i="1"/>
  <c r="AC518" i="1"/>
  <c r="AA441" i="1"/>
  <c r="AF354" i="1"/>
  <c r="AF349" i="1"/>
  <c r="AG473" i="1"/>
  <c r="AK194" i="1"/>
  <c r="AJ258" i="1"/>
  <c r="AF149" i="1"/>
  <c r="AD537" i="1"/>
  <c r="AB537" i="1"/>
  <c r="AH494" i="1"/>
  <c r="AA505" i="1"/>
  <c r="AF526" i="1"/>
  <c r="AA497" i="1"/>
  <c r="AL462" i="1"/>
  <c r="AL433" i="1"/>
  <c r="AF465" i="1"/>
  <c r="AH398" i="1"/>
  <c r="AE441" i="1"/>
  <c r="AL377" i="1"/>
  <c r="AC454" i="1"/>
  <c r="AA354" i="1"/>
  <c r="AD454" i="1"/>
  <c r="AM349" i="1"/>
  <c r="AD349" i="1"/>
  <c r="AM354" i="1"/>
  <c r="AE473" i="1"/>
  <c r="AF473" i="1"/>
  <c r="AF322" i="1"/>
  <c r="AM302" i="1"/>
  <c r="AM290" i="1"/>
  <c r="AO234" i="1"/>
  <c r="AL194" i="1"/>
  <c r="AC181" i="1"/>
  <c r="AC245" i="1"/>
  <c r="AI258" i="1"/>
  <c r="AK225" i="1"/>
  <c r="AC226" i="1"/>
  <c r="AD154" i="1"/>
  <c r="AD142" i="1"/>
  <c r="AO130" i="1"/>
  <c r="AH35" i="1"/>
  <c r="AQ149" i="1"/>
  <c r="AL397" i="1"/>
  <c r="AD397" i="1"/>
  <c r="AH429" i="1"/>
  <c r="AP429" i="1"/>
  <c r="AI271" i="1"/>
  <c r="AC271" i="1"/>
  <c r="AP463" i="1"/>
  <c r="AH463" i="1"/>
  <c r="AL44" i="1"/>
  <c r="AD67" i="1"/>
  <c r="AP44" i="1"/>
  <c r="AN67" i="1"/>
  <c r="AD31" i="1"/>
  <c r="AQ67" i="1"/>
  <c r="AK12" i="1"/>
  <c r="AM64" i="1"/>
  <c r="AC12" i="1"/>
  <c r="AB118" i="1"/>
  <c r="AO118" i="1"/>
  <c r="AG118" i="1"/>
  <c r="AI454" i="1"/>
  <c r="AP454" i="1"/>
  <c r="AG454" i="1"/>
  <c r="AN454" i="1"/>
  <c r="AF24" i="1"/>
  <c r="AD24" i="1"/>
  <c r="AB24" i="1"/>
  <c r="AA24" i="1"/>
  <c r="AN24" i="1"/>
  <c r="AP24" i="1"/>
  <c r="AI24" i="1"/>
  <c r="AD27" i="1"/>
  <c r="AG27" i="1"/>
  <c r="AM27" i="1"/>
  <c r="AK27" i="1"/>
  <c r="AI27" i="1"/>
  <c r="AC27" i="1"/>
  <c r="AP63" i="1"/>
  <c r="AN63" i="1"/>
  <c r="AH63" i="1"/>
  <c r="AI63" i="1"/>
  <c r="AF63" i="1"/>
  <c r="AO63" i="1"/>
  <c r="AE63" i="1"/>
  <c r="AK63" i="1"/>
  <c r="AJ36" i="1"/>
  <c r="AH36" i="1"/>
  <c r="AB36" i="1"/>
  <c r="AK36" i="1"/>
  <c r="AA36" i="1"/>
  <c r="AG36" i="1"/>
  <c r="AD36" i="1"/>
  <c r="AO80" i="1"/>
  <c r="AG80" i="1"/>
  <c r="AD80" i="1"/>
  <c r="AC80" i="1"/>
  <c r="AM65" i="1"/>
  <c r="AD65" i="1"/>
  <c r="AQ65" i="1"/>
  <c r="AO65" i="1"/>
  <c r="AB65" i="1"/>
  <c r="AI65" i="1"/>
  <c r="AE42" i="1"/>
  <c r="AN42" i="1"/>
  <c r="AM42" i="1"/>
  <c r="AG42" i="1"/>
  <c r="AL42" i="1"/>
  <c r="AA42" i="1"/>
  <c r="AH42" i="1"/>
  <c r="AQ42" i="1"/>
  <c r="AA8" i="1"/>
  <c r="AC8" i="1"/>
  <c r="AL8" i="1"/>
  <c r="AM8" i="1"/>
  <c r="AP8" i="1"/>
  <c r="AM169" i="1"/>
  <c r="AA169" i="1"/>
  <c r="AI246" i="1"/>
  <c r="AG246" i="1"/>
  <c r="AI342" i="1"/>
  <c r="AG342" i="1"/>
  <c r="AH342" i="1"/>
  <c r="AO374" i="1"/>
  <c r="AF374" i="1"/>
  <c r="AK374" i="1"/>
  <c r="AA342" i="1"/>
  <c r="AJ118" i="1"/>
  <c r="AM141" i="1"/>
  <c r="AE141" i="1"/>
  <c r="AH205" i="1"/>
  <c r="AK205" i="1"/>
  <c r="AQ186" i="1"/>
  <c r="AB186" i="1"/>
  <c r="AI346" i="1"/>
  <c r="AD346" i="1"/>
  <c r="AP346" i="1"/>
  <c r="AL385" i="1"/>
  <c r="AD385" i="1"/>
  <c r="AH417" i="1"/>
  <c r="AI417" i="1"/>
  <c r="AE481" i="1"/>
  <c r="AA481" i="1"/>
  <c r="AI394" i="1"/>
  <c r="AJ394" i="1"/>
  <c r="AB426" i="1"/>
  <c r="AP426" i="1"/>
  <c r="AL27" i="1"/>
  <c r="AC63" i="1"/>
  <c r="AN8" i="1"/>
  <c r="AP342" i="1"/>
  <c r="AH269" i="1"/>
  <c r="AE310" i="1"/>
  <c r="AF118" i="1"/>
  <c r="AC118" i="1"/>
  <c r="AE277" i="1"/>
  <c r="AH277" i="1"/>
  <c r="AK286" i="1"/>
  <c r="AP286" i="1"/>
  <c r="AF286" i="1"/>
  <c r="AQ142" i="1"/>
  <c r="AJ142" i="1"/>
  <c r="AM142" i="1"/>
  <c r="AA142" i="1"/>
  <c r="AN27" i="1"/>
  <c r="AH454" i="1"/>
  <c r="AM454" i="1"/>
  <c r="AQ138" i="1"/>
  <c r="AC65" i="1"/>
  <c r="AQ82" i="1"/>
  <c r="AB82" i="1"/>
  <c r="AJ454" i="1"/>
  <c r="AO454" i="1"/>
  <c r="AP118" i="1"/>
  <c r="AI137" i="1"/>
  <c r="AE65" i="1"/>
  <c r="AJ493" i="1"/>
  <c r="AE493" i="1"/>
  <c r="AD493" i="1"/>
  <c r="AQ24" i="1"/>
  <c r="AB189" i="1"/>
  <c r="AC189" i="1"/>
  <c r="AF298" i="1"/>
  <c r="AA298" i="1"/>
  <c r="AH337" i="1"/>
  <c r="AA337" i="1"/>
  <c r="AC337" i="1"/>
  <c r="AG465" i="1"/>
  <c r="AN465" i="1"/>
  <c r="AJ465" i="1"/>
  <c r="AE497" i="1"/>
  <c r="AL497" i="1"/>
  <c r="AH497" i="1"/>
  <c r="AG94" i="1"/>
  <c r="AA94" i="1"/>
  <c r="AF94" i="1"/>
  <c r="AA378" i="1"/>
  <c r="AI378" i="1"/>
  <c r="AO378" i="1"/>
  <c r="AB410" i="1"/>
  <c r="AH410" i="1"/>
  <c r="AO442" i="1"/>
  <c r="AG442" i="1"/>
  <c r="AB442" i="1"/>
  <c r="AK442" i="1"/>
  <c r="AC442" i="1"/>
  <c r="AG474" i="1"/>
  <c r="AM474" i="1"/>
  <c r="AL474" i="1"/>
  <c r="AC474" i="1"/>
  <c r="AP506" i="1"/>
  <c r="AM506" i="1"/>
  <c r="AK506" i="1"/>
  <c r="AN451" i="1"/>
  <c r="AK451" i="1"/>
  <c r="AM118" i="1"/>
  <c r="AM437" i="1"/>
  <c r="AD437" i="1"/>
  <c r="AP469" i="1"/>
  <c r="AF469" i="1"/>
  <c r="AA469" i="1"/>
  <c r="AC42" i="1"/>
  <c r="AI231" i="1"/>
  <c r="AM231" i="1"/>
  <c r="AF342" i="1"/>
  <c r="AP374" i="1"/>
  <c r="AH125" i="1"/>
  <c r="AE125" i="1"/>
  <c r="AQ165" i="1"/>
  <c r="AP165" i="1"/>
  <c r="AJ197" i="1"/>
  <c r="AE197" i="1"/>
  <c r="AI229" i="1"/>
  <c r="AL229" i="1"/>
  <c r="AJ74" i="1"/>
  <c r="AO74" i="1"/>
  <c r="AO174" i="1"/>
  <c r="AI174" i="1"/>
  <c r="AH242" i="1"/>
  <c r="AL242" i="1"/>
  <c r="AK306" i="1"/>
  <c r="AM306" i="1"/>
  <c r="AP306" i="1"/>
  <c r="AP338" i="1"/>
  <c r="AN338" i="1"/>
  <c r="AB370" i="1"/>
  <c r="AA370" i="1"/>
  <c r="AK42" i="1"/>
  <c r="AP196" i="1"/>
  <c r="AJ196" i="1"/>
  <c r="AE196" i="1"/>
  <c r="AL196" i="1"/>
  <c r="AD264" i="1"/>
  <c r="AE264" i="1"/>
  <c r="AO264" i="1"/>
  <c r="AQ296" i="1"/>
  <c r="AO296" i="1"/>
  <c r="AH296" i="1"/>
  <c r="AM328" i="1"/>
  <c r="AC328" i="1"/>
  <c r="AO328" i="1"/>
  <c r="AD360" i="1"/>
  <c r="AM360" i="1"/>
  <c r="AL360" i="1"/>
  <c r="AD488" i="1"/>
  <c r="AP488" i="1"/>
  <c r="AL40" i="1"/>
  <c r="AG12" i="1"/>
  <c r="AK104" i="1"/>
  <c r="AE457" i="1"/>
  <c r="AL182" i="1"/>
  <c r="AC67" i="1"/>
  <c r="AB28" i="1"/>
  <c r="AK28" i="1"/>
  <c r="AD40" i="1"/>
  <c r="AK64" i="1"/>
  <c r="AO72" i="1"/>
  <c r="AQ120" i="1"/>
  <c r="AI12" i="1"/>
  <c r="AC104" i="1"/>
  <c r="AQ128" i="1"/>
  <c r="AF67" i="1"/>
  <c r="AN44" i="1"/>
  <c r="AD72" i="1"/>
  <c r="AO120" i="1"/>
  <c r="AP12" i="1"/>
  <c r="AF104" i="1"/>
  <c r="AP128" i="1"/>
  <c r="AH67" i="1"/>
  <c r="AG44" i="1"/>
  <c r="AE72" i="1"/>
  <c r="AC120" i="1"/>
  <c r="AO104" i="1"/>
  <c r="AM67" i="1"/>
  <c r="AN40" i="1"/>
  <c r="AQ44" i="1"/>
  <c r="AB72" i="1"/>
  <c r="AD120" i="1"/>
  <c r="AP104" i="1"/>
  <c r="AP67" i="1"/>
  <c r="AQ28" i="1"/>
  <c r="AF40" i="1"/>
  <c r="AC44" i="1"/>
  <c r="AI64" i="1"/>
  <c r="AE64" i="1"/>
  <c r="AK72" i="1"/>
  <c r="AA12" i="1"/>
  <c r="AC128" i="1"/>
  <c r="AF54" i="1"/>
  <c r="AK35" i="1"/>
  <c r="AK16" i="1"/>
  <c r="AC35" i="1"/>
  <c r="AK71" i="1"/>
  <c r="AD18" i="1"/>
  <c r="AG93" i="1"/>
  <c r="AJ71" i="1"/>
  <c r="AG71" i="1"/>
  <c r="AG54" i="1"/>
  <c r="AI534" i="1"/>
  <c r="AN534" i="1"/>
  <c r="AE534" i="1"/>
  <c r="AL502" i="1"/>
  <c r="AB513" i="1"/>
  <c r="AJ470" i="1"/>
  <c r="AL470" i="1"/>
  <c r="AI449" i="1"/>
  <c r="AJ406" i="1"/>
  <c r="AI385" i="1"/>
  <c r="AH385" i="1"/>
  <c r="AC362" i="1"/>
  <c r="AB481" i="1"/>
  <c r="AK481" i="1"/>
  <c r="AH362" i="1"/>
  <c r="AC357" i="1"/>
  <c r="AP266" i="1"/>
  <c r="AQ162" i="1"/>
  <c r="AA71" i="1"/>
  <c r="AJ54" i="1"/>
  <c r="AI54" i="1"/>
  <c r="AP35" i="1"/>
  <c r="AL126" i="1"/>
  <c r="AM35" i="1"/>
  <c r="AP54" i="1"/>
  <c r="AO29" i="1"/>
  <c r="AP29" i="1"/>
  <c r="AN502" i="1"/>
  <c r="AH513" i="1"/>
  <c r="AH321" i="1"/>
  <c r="AA182" i="1"/>
  <c r="AE18" i="1"/>
  <c r="AQ113" i="1"/>
  <c r="AL54" i="1"/>
  <c r="AC18" i="1"/>
  <c r="AK157" i="1"/>
  <c r="AC161" i="1"/>
  <c r="AK161" i="1"/>
  <c r="AB161" i="1"/>
  <c r="AA261" i="1"/>
  <c r="AH261" i="1"/>
  <c r="AQ166" i="1"/>
  <c r="AJ166" i="1"/>
  <c r="AK334" i="1"/>
  <c r="AC334" i="1"/>
  <c r="AC129" i="1"/>
  <c r="AL129" i="1"/>
  <c r="AN54" i="1"/>
  <c r="AN71" i="1"/>
  <c r="AM279" i="1"/>
  <c r="AP279" i="1"/>
  <c r="AF76" i="1"/>
  <c r="AI76" i="1"/>
  <c r="AK76" i="1"/>
  <c r="AQ76" i="1"/>
  <c r="AJ76" i="1"/>
  <c r="AG76" i="1"/>
  <c r="AA76" i="1"/>
  <c r="AO76" i="1"/>
  <c r="AN76" i="1"/>
  <c r="AD76" i="1"/>
  <c r="AP76" i="1"/>
  <c r="AL76" i="1"/>
  <c r="AP228" i="1"/>
  <c r="AC228" i="1"/>
  <c r="AB228" i="1"/>
  <c r="AA228" i="1"/>
  <c r="AK298" i="1"/>
  <c r="AD298" i="1"/>
  <c r="AM470" i="1"/>
  <c r="AE438" i="1"/>
  <c r="AD417" i="1"/>
  <c r="AL481" i="1"/>
  <c r="AH289" i="1"/>
  <c r="AN330" i="1"/>
  <c r="AN234" i="1"/>
  <c r="AF202" i="1"/>
  <c r="AD162" i="1"/>
  <c r="AL29" i="1"/>
  <c r="AG534" i="1"/>
  <c r="AE502" i="1"/>
  <c r="AE513" i="1"/>
  <c r="AD513" i="1"/>
  <c r="AG470" i="1"/>
  <c r="AP449" i="1"/>
  <c r="AM438" i="1"/>
  <c r="AL417" i="1"/>
  <c r="AF481" i="1"/>
  <c r="AA362" i="1"/>
  <c r="AB357" i="1"/>
  <c r="AE357" i="1"/>
  <c r="AO330" i="1"/>
  <c r="AI253" i="1"/>
  <c r="AC266" i="1"/>
  <c r="AE234" i="1"/>
  <c r="AD234" i="1"/>
  <c r="AP189" i="1"/>
  <c r="AK182" i="1"/>
  <c r="AN202" i="1"/>
  <c r="AG29" i="1"/>
  <c r="AD113" i="1"/>
  <c r="AD78" i="1"/>
  <c r="AD29" i="1"/>
  <c r="AB18" i="1"/>
  <c r="AP18" i="1"/>
  <c r="AQ29" i="1"/>
  <c r="AB54" i="1"/>
  <c r="AQ98" i="1"/>
  <c r="AI98" i="1"/>
  <c r="AH71" i="1"/>
  <c r="AG180" i="1"/>
  <c r="AD180" i="1"/>
  <c r="AL180" i="1"/>
  <c r="AG212" i="1"/>
  <c r="AP212" i="1"/>
  <c r="AG280" i="1"/>
  <c r="AC280" i="1"/>
  <c r="AL35" i="1"/>
  <c r="AF35" i="1"/>
  <c r="AG35" i="1"/>
  <c r="AJ35" i="1"/>
  <c r="AE48" i="1"/>
  <c r="AK48" i="1"/>
  <c r="AF48" i="1"/>
  <c r="AB48" i="1"/>
  <c r="AM48" i="1"/>
  <c r="AH48" i="1"/>
  <c r="AJ48" i="1"/>
  <c r="AD48" i="1"/>
  <c r="AA48" i="1"/>
  <c r="AL48" i="1"/>
  <c r="AI48" i="1"/>
  <c r="AC48" i="1"/>
  <c r="AG48" i="1"/>
  <c r="AN48" i="1"/>
  <c r="AP48" i="1"/>
  <c r="AO48" i="1"/>
  <c r="AH266" i="1"/>
  <c r="AM189" i="1"/>
  <c r="AB35" i="1"/>
  <c r="AK78" i="1"/>
  <c r="AJ18" i="1"/>
  <c r="AQ534" i="1"/>
  <c r="AM502" i="1"/>
  <c r="AF513" i="1"/>
  <c r="AL513" i="1"/>
  <c r="AP470" i="1"/>
  <c r="AE449" i="1"/>
  <c r="AK449" i="1"/>
  <c r="AD481" i="1"/>
  <c r="AP481" i="1"/>
  <c r="AI362" i="1"/>
  <c r="AO357" i="1"/>
  <c r="AA330" i="1"/>
  <c r="AM321" i="1"/>
  <c r="AM289" i="1"/>
  <c r="AQ298" i="1"/>
  <c r="AF266" i="1"/>
  <c r="AI221" i="1"/>
  <c r="AQ189" i="1"/>
  <c r="AQ202" i="1"/>
  <c r="AF113" i="1"/>
  <c r="AN29" i="1"/>
  <c r="AL78" i="1"/>
  <c r="AQ35" i="1"/>
  <c r="AQ18" i="1"/>
  <c r="AH18" i="1"/>
  <c r="AI29" i="1"/>
  <c r="AO54" i="1"/>
  <c r="AC71" i="1"/>
  <c r="AF71" i="1"/>
  <c r="AE71" i="1"/>
  <c r="AQ71" i="1"/>
  <c r="AD71" i="1"/>
  <c r="AO71" i="1"/>
  <c r="AC16" i="1"/>
  <c r="AF16" i="1"/>
  <c r="AO16" i="1"/>
  <c r="AE16" i="1"/>
  <c r="AD16" i="1"/>
  <c r="AP16" i="1"/>
  <c r="AL16" i="1"/>
  <c r="AJ16" i="1"/>
  <c r="AB16" i="1"/>
  <c r="AG16" i="1"/>
  <c r="AA16" i="1"/>
  <c r="AO534" i="1"/>
  <c r="AH534" i="1"/>
  <c r="AJ513" i="1"/>
  <c r="AI513" i="1"/>
  <c r="AP513" i="1"/>
  <c r="AG513" i="1"/>
  <c r="AH470" i="1"/>
  <c r="AG449" i="1"/>
  <c r="AJ481" i="1"/>
  <c r="AQ481" i="1"/>
  <c r="AB362" i="1"/>
  <c r="AP357" i="1"/>
  <c r="AI330" i="1"/>
  <c r="AQ221" i="1"/>
  <c r="AG189" i="1"/>
  <c r="AF29" i="1"/>
  <c r="AJ157" i="1"/>
  <c r="AI71" i="1"/>
  <c r="AI35" i="1"/>
  <c r="AK29" i="1"/>
  <c r="AI18" i="1"/>
  <c r="AJ29" i="1"/>
  <c r="AA29" i="1"/>
  <c r="AO18" i="1"/>
  <c r="AN18" i="1"/>
  <c r="AD35" i="1"/>
  <c r="AP71" i="1"/>
  <c r="AJ66" i="1"/>
  <c r="AA66" i="1"/>
  <c r="AK202" i="1"/>
  <c r="AO202" i="1"/>
  <c r="AH54" i="1"/>
  <c r="AM54" i="1"/>
  <c r="AQ54" i="1"/>
  <c r="AH406" i="1"/>
  <c r="AA357" i="1"/>
  <c r="AD357" i="1"/>
  <c r="AH16" i="1"/>
  <c r="AF534" i="1"/>
  <c r="AA513" i="1"/>
  <c r="AH481" i="1"/>
  <c r="AB330" i="1"/>
  <c r="AL298" i="1"/>
  <c r="AI234" i="1"/>
  <c r="AD189" i="1"/>
  <c r="AH29" i="1"/>
  <c r="AL18" i="1"/>
  <c r="AB71" i="1"/>
  <c r="AA35" i="1"/>
  <c r="AC29" i="1"/>
  <c r="AA18" i="1"/>
  <c r="AB29" i="1"/>
  <c r="AG18" i="1"/>
  <c r="AF345" i="1"/>
  <c r="AG345" i="1"/>
  <c r="AM18" i="1"/>
  <c r="AE54" i="1"/>
  <c r="AN16" i="1"/>
  <c r="AN35" i="1"/>
  <c r="AF120" i="1"/>
  <c r="AL120" i="1"/>
  <c r="AL80" i="1"/>
  <c r="AQ80" i="1"/>
  <c r="AB46" i="1"/>
  <c r="AL63" i="1"/>
  <c r="AE67" i="1"/>
  <c r="AL79" i="1"/>
  <c r="AD8" i="1"/>
  <c r="AG20" i="1"/>
  <c r="AN28" i="1"/>
  <c r="AP28" i="1"/>
  <c r="AO36" i="1"/>
  <c r="AL36" i="1"/>
  <c r="AI40" i="1"/>
  <c r="AM40" i="1"/>
  <c r="AI44" i="1"/>
  <c r="AK60" i="1"/>
  <c r="AB64" i="1"/>
  <c r="AP64" i="1"/>
  <c r="AG72" i="1"/>
  <c r="AL72" i="1"/>
  <c r="AL112" i="1"/>
  <c r="AA112" i="1"/>
  <c r="AI120" i="1"/>
  <c r="AM120" i="1"/>
  <c r="AN12" i="1"/>
  <c r="AA80" i="1"/>
  <c r="AM80" i="1"/>
  <c r="AA104" i="1"/>
  <c r="AL104" i="1"/>
  <c r="AB128" i="1"/>
  <c r="AM128" i="1"/>
  <c r="AQ63" i="1"/>
  <c r="AM63" i="1"/>
  <c r="AI8" i="1"/>
  <c r="AO8" i="1"/>
  <c r="AF36" i="1"/>
  <c r="AC36" i="1"/>
  <c r="AA40" i="1"/>
  <c r="AP40" i="1"/>
  <c r="AA44" i="1"/>
  <c r="AQ72" i="1"/>
  <c r="AP72" i="1"/>
  <c r="AA120" i="1"/>
  <c r="AP120" i="1"/>
  <c r="AD12" i="1"/>
  <c r="AB80" i="1"/>
  <c r="AE80" i="1"/>
  <c r="AG104" i="1"/>
  <c r="AD104" i="1"/>
  <c r="AI128" i="1"/>
  <c r="AE128" i="1"/>
  <c r="AF8" i="1"/>
  <c r="AQ36" i="1"/>
  <c r="AN36" i="1"/>
  <c r="AJ40" i="1"/>
  <c r="AD44" i="1"/>
  <c r="AJ44" i="1"/>
  <c r="AI72" i="1"/>
  <c r="AJ120" i="1"/>
  <c r="AL12" i="1"/>
  <c r="AO12" i="1"/>
  <c r="AI80" i="1"/>
  <c r="AN80" i="1"/>
  <c r="AI104" i="1"/>
  <c r="AM104" i="1"/>
  <c r="AK128" i="1"/>
  <c r="AN128" i="1"/>
  <c r="AD63" i="1"/>
  <c r="AF44" i="1"/>
  <c r="AJ8" i="1"/>
  <c r="AQ8" i="1"/>
  <c r="AI36" i="1"/>
  <c r="AP36" i="1"/>
  <c r="AB40" i="1"/>
  <c r="AM44" i="1"/>
  <c r="AB44" i="1"/>
  <c r="AF72" i="1"/>
  <c r="AA72" i="1"/>
  <c r="AE120" i="1"/>
  <c r="AB120" i="1"/>
  <c r="AB12" i="1"/>
  <c r="AF12" i="1"/>
  <c r="AJ80" i="1"/>
  <c r="AF80" i="1"/>
  <c r="AJ104" i="1"/>
  <c r="AE104" i="1"/>
  <c r="AA128" i="1"/>
  <c r="AF128" i="1"/>
  <c r="AK8" i="1"/>
  <c r="AB8" i="1"/>
  <c r="AG8" i="1"/>
  <c r="AC20" i="1"/>
  <c r="AI28" i="1"/>
  <c r="AE40" i="1"/>
  <c r="AK40" i="1"/>
  <c r="AE44" i="1"/>
  <c r="AO64" i="1"/>
  <c r="AM72" i="1"/>
  <c r="AD112" i="1"/>
  <c r="AG120" i="1"/>
  <c r="AJ12" i="1"/>
  <c r="AK80" i="1"/>
  <c r="AQ104" i="1"/>
  <c r="AJ128" i="1"/>
  <c r="AM309" i="1"/>
  <c r="AE309" i="1"/>
  <c r="AP318" i="1"/>
  <c r="AF318" i="1"/>
  <c r="AB350" i="1"/>
  <c r="AJ350" i="1"/>
  <c r="AL373" i="1"/>
  <c r="AN373" i="1"/>
  <c r="AI122" i="1"/>
  <c r="AC122" i="1"/>
  <c r="AE458" i="1"/>
  <c r="AJ458" i="1"/>
  <c r="AF323" i="1"/>
  <c r="AJ323" i="1"/>
  <c r="AG323" i="1"/>
  <c r="AM235" i="1"/>
  <c r="AO235" i="1"/>
  <c r="AL267" i="1"/>
  <c r="AB267" i="1"/>
  <c r="AK267" i="1"/>
  <c r="AK299" i="1"/>
  <c r="AN299" i="1"/>
  <c r="AD331" i="1"/>
  <c r="AM331" i="1"/>
  <c r="AE459" i="1"/>
  <c r="AN459" i="1"/>
  <c r="AL113" i="1"/>
  <c r="AK113" i="1"/>
  <c r="AO157" i="1"/>
  <c r="AI157" i="1"/>
  <c r="AJ189" i="1"/>
  <c r="AO189" i="1"/>
  <c r="AL189" i="1"/>
  <c r="AF189" i="1"/>
  <c r="AE189" i="1"/>
  <c r="AJ221" i="1"/>
  <c r="AD221" i="1"/>
  <c r="AF221" i="1"/>
  <c r="AA253" i="1"/>
  <c r="AH253" i="1"/>
  <c r="AL357" i="1"/>
  <c r="AF357" i="1"/>
  <c r="AQ357" i="1"/>
  <c r="AK126" i="1"/>
  <c r="AC126" i="1"/>
  <c r="AM126" i="1"/>
  <c r="AM162" i="1"/>
  <c r="AO162" i="1"/>
  <c r="AL162" i="1"/>
  <c r="AB162" i="1"/>
  <c r="AM202" i="1"/>
  <c r="AB202" i="1"/>
  <c r="AH202" i="1"/>
  <c r="AI202" i="1"/>
  <c r="AH234" i="1"/>
  <c r="AM234" i="1"/>
  <c r="AG234" i="1"/>
  <c r="AJ234" i="1"/>
  <c r="AK266" i="1"/>
  <c r="AI266" i="1"/>
  <c r="AB266" i="1"/>
  <c r="AN298" i="1"/>
  <c r="AM298" i="1"/>
  <c r="AC298" i="1"/>
  <c r="AO298" i="1"/>
  <c r="AG298" i="1"/>
  <c r="AL330" i="1"/>
  <c r="AM330" i="1"/>
  <c r="AC330" i="1"/>
  <c r="AG330" i="1"/>
  <c r="AL362" i="1"/>
  <c r="AM362" i="1"/>
  <c r="AQ362" i="1"/>
  <c r="AB93" i="1"/>
  <c r="AN93" i="1"/>
  <c r="AG481" i="1"/>
  <c r="AM481" i="1"/>
  <c r="AN481" i="1"/>
  <c r="AI481" i="1"/>
  <c r="AA78" i="1"/>
  <c r="AJ78" i="1"/>
  <c r="AN182" i="1"/>
  <c r="AQ182" i="1"/>
  <c r="AP143" i="1"/>
  <c r="AB143" i="1"/>
  <c r="AB175" i="1"/>
  <c r="AH175" i="1"/>
  <c r="AA207" i="1"/>
  <c r="AQ207" i="1"/>
  <c r="AG207" i="1"/>
  <c r="AN207" i="1"/>
  <c r="AE207" i="1"/>
  <c r="AL271" i="1"/>
  <c r="AB271" i="1"/>
  <c r="AQ271" i="1"/>
  <c r="AN271" i="1"/>
  <c r="AA303" i="1"/>
  <c r="AC303" i="1"/>
  <c r="AK335" i="1"/>
  <c r="AE335" i="1"/>
  <c r="AK463" i="1"/>
  <c r="AG463" i="1"/>
  <c r="AE463" i="1"/>
  <c r="AF463" i="1"/>
  <c r="AL463" i="1"/>
  <c r="AA162" i="1"/>
  <c r="AL150" i="1"/>
  <c r="AC113" i="1"/>
  <c r="AE93" i="1"/>
  <c r="AG69" i="1"/>
  <c r="AJ69" i="1"/>
  <c r="AN69" i="1"/>
  <c r="AM125" i="1"/>
  <c r="AN125" i="1"/>
  <c r="AB125" i="1"/>
  <c r="AD125" i="1"/>
  <c r="AG125" i="1"/>
  <c r="AF165" i="1"/>
  <c r="AD165" i="1"/>
  <c r="AC165" i="1"/>
  <c r="AO165" i="1"/>
  <c r="AK197" i="1"/>
  <c r="AC197" i="1"/>
  <c r="AQ229" i="1"/>
  <c r="AH229" i="1"/>
  <c r="AM229" i="1"/>
  <c r="AG365" i="1"/>
  <c r="AJ365" i="1"/>
  <c r="AL74" i="1"/>
  <c r="AB74" i="1"/>
  <c r="AI134" i="1"/>
  <c r="AB134" i="1"/>
  <c r="AQ174" i="1"/>
  <c r="AA174" i="1"/>
  <c r="AL174" i="1"/>
  <c r="AQ210" i="1"/>
  <c r="AN210" i="1"/>
  <c r="AM210" i="1"/>
  <c r="AK210" i="1"/>
  <c r="AK242" i="1"/>
  <c r="AG242" i="1"/>
  <c r="AB242" i="1"/>
  <c r="AI242" i="1"/>
  <c r="AQ242" i="1"/>
  <c r="AC274" i="1"/>
  <c r="AN274" i="1"/>
  <c r="AA274" i="1"/>
  <c r="AC306" i="1"/>
  <c r="AQ306" i="1"/>
  <c r="AG306" i="1"/>
  <c r="AF306" i="1"/>
  <c r="AL306" i="1"/>
  <c r="AD133" i="1"/>
  <c r="AH133" i="1"/>
  <c r="AO446" i="1"/>
  <c r="AB446" i="1"/>
  <c r="AN446" i="1"/>
  <c r="AC446" i="1"/>
  <c r="AH87" i="1"/>
  <c r="AB87" i="1"/>
  <c r="AB119" i="1"/>
  <c r="AP119" i="1"/>
  <c r="AB151" i="1"/>
  <c r="AH151" i="1"/>
  <c r="AA183" i="1"/>
  <c r="AD183" i="1"/>
  <c r="AG183" i="1"/>
  <c r="AC183" i="1"/>
  <c r="AM215" i="1"/>
  <c r="AI215" i="1"/>
  <c r="AB215" i="1"/>
  <c r="AD215" i="1"/>
  <c r="AB247" i="1"/>
  <c r="AD247" i="1"/>
  <c r="AE247" i="1"/>
  <c r="AB279" i="1"/>
  <c r="AD279" i="1"/>
  <c r="AA279" i="1"/>
  <c r="AO279" i="1"/>
  <c r="AC311" i="1"/>
  <c r="AL311" i="1"/>
  <c r="AA311" i="1"/>
  <c r="AI343" i="1"/>
  <c r="AG343" i="1"/>
  <c r="AL343" i="1"/>
  <c r="AQ471" i="1"/>
  <c r="AK471" i="1"/>
  <c r="AO471" i="1"/>
  <c r="AE301" i="1"/>
  <c r="AH301" i="1"/>
  <c r="AL278" i="1"/>
  <c r="AM278" i="1"/>
  <c r="AL310" i="1"/>
  <c r="AI310" i="1"/>
  <c r="AA310" i="1"/>
  <c r="AN342" i="1"/>
  <c r="AO342" i="1"/>
  <c r="AA257" i="1"/>
  <c r="AP257" i="1"/>
  <c r="AK102" i="1"/>
  <c r="AN102" i="1"/>
  <c r="AI102" i="1"/>
  <c r="AP102" i="1"/>
  <c r="AB91" i="1"/>
  <c r="AH91" i="1"/>
  <c r="AP155" i="1"/>
  <c r="AB155" i="1"/>
  <c r="AC187" i="1"/>
  <c r="AE187" i="1"/>
  <c r="AO187" i="1"/>
  <c r="AF187" i="1"/>
  <c r="AK187" i="1"/>
  <c r="AI219" i="1"/>
  <c r="AE219" i="1"/>
  <c r="AL219" i="1"/>
  <c r="AO219" i="1"/>
  <c r="AE251" i="1"/>
  <c r="AC251" i="1"/>
  <c r="AK283" i="1"/>
  <c r="AF283" i="1"/>
  <c r="AQ283" i="1"/>
  <c r="AQ315" i="1"/>
  <c r="AF315" i="1"/>
  <c r="AL315" i="1"/>
  <c r="AA315" i="1"/>
  <c r="AC315" i="1"/>
  <c r="AM315" i="1"/>
  <c r="AP443" i="1"/>
  <c r="AD443" i="1"/>
  <c r="AO443" i="1"/>
  <c r="AQ443" i="1"/>
  <c r="AP106" i="1"/>
  <c r="AK56" i="1"/>
  <c r="AL100" i="1"/>
  <c r="AA56" i="1"/>
  <c r="AB100" i="1"/>
  <c r="AD56" i="1"/>
  <c r="AG100" i="1"/>
  <c r="AM56" i="1"/>
  <c r="AQ100" i="1"/>
  <c r="AE56" i="1"/>
  <c r="AP56" i="1"/>
  <c r="AN228" i="1"/>
  <c r="AL97" i="1"/>
  <c r="AB97" i="1"/>
  <c r="AE97" i="1"/>
  <c r="AI145" i="1"/>
  <c r="AB145" i="1"/>
  <c r="AQ177" i="1"/>
  <c r="AH177" i="1"/>
  <c r="AI90" i="1"/>
  <c r="AB90" i="1"/>
  <c r="AP190" i="1"/>
  <c r="AI190" i="1"/>
  <c r="AD222" i="1"/>
  <c r="AI222" i="1"/>
  <c r="AD84" i="1"/>
  <c r="AI84" i="1"/>
  <c r="AL84" i="1"/>
  <c r="AG84" i="1"/>
  <c r="AC84" i="1"/>
  <c r="AF84" i="1"/>
  <c r="AK84" i="1"/>
  <c r="AQ84" i="1"/>
  <c r="AP84" i="1"/>
  <c r="AB84" i="1"/>
  <c r="AN84" i="1"/>
  <c r="AJ84" i="1"/>
  <c r="AE84" i="1"/>
  <c r="AA84" i="1"/>
  <c r="AO21" i="1"/>
  <c r="AI21" i="1"/>
  <c r="AP21" i="1"/>
  <c r="AF21" i="1"/>
  <c r="AN39" i="1"/>
  <c r="AB39" i="1"/>
  <c r="AQ75" i="1"/>
  <c r="AL75" i="1"/>
  <c r="AB75" i="1"/>
  <c r="AI52" i="1"/>
  <c r="AD52" i="1"/>
  <c r="AQ52" i="1"/>
  <c r="AL52" i="1"/>
  <c r="AG52" i="1"/>
  <c r="AK52" i="1"/>
  <c r="AO52" i="1"/>
  <c r="AJ52" i="1"/>
  <c r="AF52" i="1"/>
  <c r="AC52" i="1"/>
  <c r="AO33" i="1"/>
  <c r="AC33" i="1"/>
  <c r="AG33" i="1"/>
  <c r="AA22" i="1"/>
  <c r="AC22" i="1"/>
  <c r="AE22" i="1"/>
  <c r="AH309" i="1"/>
  <c r="AP350" i="1"/>
  <c r="AH345" i="1"/>
  <c r="AD345" i="1"/>
  <c r="AE286" i="1"/>
  <c r="AO286" i="1"/>
  <c r="AQ326" i="1"/>
  <c r="AA286" i="1"/>
  <c r="AN286" i="1"/>
  <c r="AO318" i="1"/>
  <c r="AN318" i="1"/>
  <c r="AJ241" i="1"/>
  <c r="AF235" i="1"/>
  <c r="AL222" i="1"/>
  <c r="AB107" i="1"/>
  <c r="AK222" i="1"/>
  <c r="AM150" i="1"/>
  <c r="AH97" i="1"/>
  <c r="AD122" i="1"/>
  <c r="AG97" i="1"/>
  <c r="AH161" i="1"/>
  <c r="AO90" i="1"/>
  <c r="AQ190" i="1"/>
  <c r="AA165" i="1"/>
  <c r="AI161" i="1"/>
  <c r="AM145" i="1"/>
  <c r="AC125" i="1"/>
  <c r="AF97" i="1"/>
  <c r="AG350" i="1"/>
  <c r="AL541" i="1"/>
  <c r="AD533" i="1"/>
  <c r="AI491" i="1"/>
  <c r="AN522" i="1"/>
  <c r="AC501" i="1"/>
  <c r="AH426" i="1"/>
  <c r="AM445" i="1"/>
  <c r="AC469" i="1"/>
  <c r="AN469" i="1"/>
  <c r="AD405" i="1"/>
  <c r="AQ477" i="1"/>
  <c r="AA458" i="1"/>
  <c r="AH405" i="1"/>
  <c r="AQ459" i="1"/>
  <c r="AC459" i="1"/>
  <c r="AC373" i="1"/>
  <c r="AH350" i="1"/>
  <c r="AM277" i="1"/>
  <c r="AP345" i="1"/>
  <c r="AE345" i="1"/>
  <c r="AA299" i="1"/>
  <c r="AA291" i="1"/>
  <c r="AF331" i="1"/>
  <c r="AG331" i="1"/>
  <c r="AA267" i="1"/>
  <c r="AK323" i="1"/>
  <c r="AA235" i="1"/>
  <c r="AQ318" i="1"/>
  <c r="AK318" i="1"/>
  <c r="AJ254" i="1"/>
  <c r="AI241" i="1"/>
  <c r="AF222" i="1"/>
  <c r="AI150" i="1"/>
  <c r="AF90" i="1"/>
  <c r="AO122" i="1"/>
  <c r="AH145" i="1"/>
  <c r="AQ90" i="1"/>
  <c r="AD190" i="1"/>
  <c r="AI177" i="1"/>
  <c r="AG145" i="1"/>
  <c r="AF206" i="1"/>
  <c r="AG66" i="1"/>
  <c r="AD66" i="1"/>
  <c r="AJ162" i="1"/>
  <c r="AI162" i="1"/>
  <c r="AA202" i="1"/>
  <c r="AP202" i="1"/>
  <c r="AP93" i="1"/>
  <c r="AH93" i="1"/>
  <c r="AI182" i="1"/>
  <c r="AD182" i="1"/>
  <c r="AH111" i="1"/>
  <c r="AB111" i="1"/>
  <c r="AI345" i="1"/>
  <c r="AC318" i="1"/>
  <c r="AP145" i="1"/>
  <c r="AB190" i="1"/>
  <c r="AC523" i="1"/>
  <c r="AP523" i="1"/>
  <c r="AK533" i="1"/>
  <c r="AL533" i="1"/>
  <c r="AC491" i="1"/>
  <c r="AB522" i="1"/>
  <c r="AE501" i="1"/>
  <c r="AP501" i="1"/>
  <c r="AL501" i="1"/>
  <c r="AI437" i="1"/>
  <c r="AH434" i="1"/>
  <c r="AO469" i="1"/>
  <c r="AH459" i="1"/>
  <c r="AK458" i="1"/>
  <c r="AO363" i="1"/>
  <c r="AG459" i="1"/>
  <c r="AK459" i="1"/>
  <c r="AK373" i="1"/>
  <c r="AA350" i="1"/>
  <c r="AQ345" i="1"/>
  <c r="AO345" i="1"/>
  <c r="AI299" i="1"/>
  <c r="AH331" i="1"/>
  <c r="AO331" i="1"/>
  <c r="AI267" i="1"/>
  <c r="AI235" i="1"/>
  <c r="AB318" i="1"/>
  <c r="AD318" i="1"/>
  <c r="AF254" i="1"/>
  <c r="AQ241" i="1"/>
  <c r="AH235" i="1"/>
  <c r="AK209" i="1"/>
  <c r="AI217" i="1"/>
  <c r="AH259" i="1"/>
  <c r="AH222" i="1"/>
  <c r="AP222" i="1"/>
  <c r="AQ150" i="1"/>
  <c r="AJ145" i="1"/>
  <c r="AA122" i="1"/>
  <c r="AJ90" i="1"/>
  <c r="AN190" i="1"/>
  <c r="AD177" i="1"/>
  <c r="AP193" i="1"/>
  <c r="AF193" i="1"/>
  <c r="AI225" i="1"/>
  <c r="AL225" i="1"/>
  <c r="AA70" i="1"/>
  <c r="AI70" i="1"/>
  <c r="AJ70" i="1"/>
  <c r="AE243" i="1"/>
  <c r="AP243" i="1"/>
  <c r="AA52" i="1"/>
  <c r="AA318" i="1"/>
  <c r="AM222" i="1"/>
  <c r="AG150" i="1"/>
  <c r="AL122" i="1"/>
  <c r="AA90" i="1"/>
  <c r="AF145" i="1"/>
  <c r="AG533" i="1"/>
  <c r="AJ522" i="1"/>
  <c r="AL490" i="1"/>
  <c r="AK490" i="1"/>
  <c r="AA501" i="1"/>
  <c r="AD501" i="1"/>
  <c r="AG437" i="1"/>
  <c r="AJ477" i="1"/>
  <c r="AE469" i="1"/>
  <c r="AB458" i="1"/>
  <c r="AF459" i="1"/>
  <c r="AD458" i="1"/>
  <c r="AG363" i="1"/>
  <c r="AA459" i="1"/>
  <c r="AD373" i="1"/>
  <c r="AI350" i="1"/>
  <c r="AA345" i="1"/>
  <c r="AC345" i="1"/>
  <c r="AA331" i="1"/>
  <c r="AQ299" i="1"/>
  <c r="AI331" i="1"/>
  <c r="AE323" i="1"/>
  <c r="AQ267" i="1"/>
  <c r="AJ286" i="1"/>
  <c r="AE235" i="1"/>
  <c r="AG318" i="1"/>
  <c r="AL318" i="1"/>
  <c r="AN254" i="1"/>
  <c r="AC209" i="1"/>
  <c r="AO222" i="1"/>
  <c r="AB150" i="1"/>
  <c r="AQ122" i="1"/>
  <c r="AD90" i="1"/>
  <c r="AE190" i="1"/>
  <c r="AM177" i="1"/>
  <c r="AA229" i="1"/>
  <c r="AG229" i="1"/>
  <c r="AO134" i="1"/>
  <c r="AM134" i="1"/>
  <c r="AN134" i="1"/>
  <c r="AD174" i="1"/>
  <c r="AK174" i="1"/>
  <c r="AA425" i="1"/>
  <c r="AE425" i="1"/>
  <c r="AM52" i="1"/>
  <c r="AB177" i="1"/>
  <c r="AN533" i="1"/>
  <c r="AO533" i="1"/>
  <c r="AA530" i="1"/>
  <c r="AE522" i="1"/>
  <c r="AB490" i="1"/>
  <c r="AG490" i="1"/>
  <c r="AO498" i="1"/>
  <c r="AM501" i="1"/>
  <c r="AO437" i="1"/>
  <c r="AI477" i="1"/>
  <c r="AG469" i="1"/>
  <c r="AC458" i="1"/>
  <c r="AL458" i="1"/>
  <c r="AM459" i="1"/>
  <c r="AD350" i="1"/>
  <c r="AE350" i="1"/>
  <c r="AQ350" i="1"/>
  <c r="AB466" i="1"/>
  <c r="AJ345" i="1"/>
  <c r="AK345" i="1"/>
  <c r="AC299" i="1"/>
  <c r="AJ331" i="1"/>
  <c r="AD267" i="1"/>
  <c r="AC286" i="1"/>
  <c r="AH318" i="1"/>
  <c r="AE318" i="1"/>
  <c r="AG254" i="1"/>
  <c r="AC222" i="1"/>
  <c r="AJ150" i="1"/>
  <c r="AB122" i="1"/>
  <c r="AO190" i="1"/>
  <c r="AF177" i="1"/>
  <c r="AA145" i="1"/>
  <c r="AD178" i="1"/>
  <c r="AL178" i="1"/>
  <c r="AC102" i="1"/>
  <c r="AG102" i="1"/>
  <c r="AE52" i="1"/>
  <c r="AO84" i="1"/>
  <c r="AN345" i="1"/>
  <c r="AD286" i="1"/>
  <c r="AK190" i="1"/>
  <c r="AN97" i="1"/>
  <c r="AG522" i="1"/>
  <c r="AP522" i="1"/>
  <c r="AI501" i="1"/>
  <c r="AI459" i="1"/>
  <c r="AQ458" i="1"/>
  <c r="AO350" i="1"/>
  <c r="AJ466" i="1"/>
  <c r="AB345" i="1"/>
  <c r="AL345" i="1"/>
  <c r="AE209" i="1"/>
  <c r="AI318" i="1"/>
  <c r="AM318" i="1"/>
  <c r="AJ222" i="1"/>
  <c r="AK150" i="1"/>
  <c r="AP177" i="1"/>
  <c r="AE122" i="1"/>
  <c r="AJ122" i="1"/>
  <c r="AG190" i="1"/>
  <c r="AN177" i="1"/>
  <c r="AC145" i="1"/>
  <c r="AA97" i="1"/>
  <c r="AD173" i="1"/>
  <c r="AK173" i="1"/>
  <c r="AK118" i="1"/>
  <c r="AD118" i="1"/>
  <c r="AN52" i="1"/>
  <c r="AM84" i="1"/>
  <c r="AM188" i="1"/>
  <c r="AB188" i="1"/>
  <c r="AP256" i="1"/>
  <c r="AI256" i="1"/>
  <c r="AB56" i="1"/>
  <c r="AN56" i="1"/>
  <c r="AC100" i="1"/>
  <c r="AI100" i="1"/>
  <c r="AC43" i="1"/>
  <c r="AI56" i="1"/>
  <c r="AF56" i="1"/>
  <c r="AF60" i="1"/>
  <c r="AD100" i="1"/>
  <c r="AA100" i="1"/>
  <c r="AJ56" i="1"/>
  <c r="AO56" i="1"/>
  <c r="AO60" i="1"/>
  <c r="AE76" i="1"/>
  <c r="AE100" i="1"/>
  <c r="AJ100" i="1"/>
  <c r="AF106" i="1"/>
  <c r="AC56" i="1"/>
  <c r="AG56" i="1"/>
  <c r="AN100" i="1"/>
  <c r="AP100" i="1"/>
  <c r="AH106" i="1"/>
  <c r="AL56" i="1"/>
  <c r="AB76" i="1"/>
  <c r="AF100" i="1"/>
  <c r="AF108" i="1"/>
  <c r="AM106" i="1"/>
  <c r="AN47" i="1"/>
  <c r="AK100" i="1"/>
  <c r="AA108" i="1"/>
  <c r="AQ47" i="1"/>
  <c r="AD326" i="1"/>
  <c r="AK185" i="1"/>
  <c r="AN185" i="1"/>
  <c r="AP109" i="1"/>
  <c r="AM109" i="1"/>
  <c r="AA109" i="1"/>
  <c r="AG109" i="1"/>
  <c r="AD109" i="1"/>
  <c r="AK109" i="1"/>
  <c r="AB109" i="1"/>
  <c r="AC109" i="1"/>
  <c r="AJ109" i="1"/>
  <c r="AQ109" i="1"/>
  <c r="AO109" i="1"/>
  <c r="AN109" i="1"/>
  <c r="AI109" i="1"/>
  <c r="AF109" i="1"/>
  <c r="AE109" i="1"/>
  <c r="AC185" i="1"/>
  <c r="AJ185" i="1"/>
  <c r="AB185" i="1"/>
  <c r="AE185" i="1"/>
  <c r="AA217" i="1"/>
  <c r="AJ217" i="1"/>
  <c r="AE217" i="1"/>
  <c r="AN217" i="1"/>
  <c r="AC217" i="1"/>
  <c r="AQ217" i="1"/>
  <c r="AE285" i="1"/>
  <c r="AM285" i="1"/>
  <c r="AH285" i="1"/>
  <c r="AE317" i="1"/>
  <c r="AM317" i="1"/>
  <c r="AH317" i="1"/>
  <c r="AQ353" i="1"/>
  <c r="AM353" i="1"/>
  <c r="AG353" i="1"/>
  <c r="AJ353" i="1"/>
  <c r="AP353" i="1"/>
  <c r="AI353" i="1"/>
  <c r="AF353" i="1"/>
  <c r="AH353" i="1"/>
  <c r="AL353" i="1"/>
  <c r="AO353" i="1"/>
  <c r="AA353" i="1"/>
  <c r="AK353" i="1"/>
  <c r="AN353" i="1"/>
  <c r="AA62" i="1"/>
  <c r="AJ62" i="1"/>
  <c r="AL62" i="1"/>
  <c r="AD62" i="1"/>
  <c r="AI114" i="1"/>
  <c r="AL114" i="1"/>
  <c r="AO114" i="1"/>
  <c r="AD114" i="1"/>
  <c r="AG114" i="1"/>
  <c r="AK114" i="1"/>
  <c r="AC114" i="1"/>
  <c r="AJ114" i="1"/>
  <c r="AB114" i="1"/>
  <c r="AQ114" i="1"/>
  <c r="AE114" i="1"/>
  <c r="AL158" i="1"/>
  <c r="AA158" i="1"/>
  <c r="AJ158" i="1"/>
  <c r="AB158" i="1"/>
  <c r="AQ158" i="1"/>
  <c r="AM158" i="1"/>
  <c r="AI158" i="1"/>
  <c r="AE158" i="1"/>
  <c r="AO158" i="1"/>
  <c r="AG158" i="1"/>
  <c r="AD158" i="1"/>
  <c r="AK158" i="1"/>
  <c r="AI198" i="1"/>
  <c r="AA198" i="1"/>
  <c r="AN198" i="1"/>
  <c r="AD198" i="1"/>
  <c r="AF198" i="1"/>
  <c r="AP198" i="1"/>
  <c r="AM198" i="1"/>
  <c r="AC198" i="1"/>
  <c r="AO230" i="1"/>
  <c r="AG230" i="1"/>
  <c r="AF230" i="1"/>
  <c r="AI230" i="1"/>
  <c r="AO262" i="1"/>
  <c r="AG262" i="1"/>
  <c r="AN262" i="1"/>
  <c r="AF262" i="1"/>
  <c r="AJ262" i="1"/>
  <c r="AL262" i="1"/>
  <c r="AF294" i="1"/>
  <c r="AM294" i="1"/>
  <c r="AD294" i="1"/>
  <c r="AE294" i="1"/>
  <c r="AQ294" i="1"/>
  <c r="AG294" i="1"/>
  <c r="AK294" i="1"/>
  <c r="AA294" i="1"/>
  <c r="AC294" i="1"/>
  <c r="AO294" i="1"/>
  <c r="AG326" i="1"/>
  <c r="AA326" i="1"/>
  <c r="AB326" i="1"/>
  <c r="AH326" i="1"/>
  <c r="AF326" i="1"/>
  <c r="AP326" i="1"/>
  <c r="AK326" i="1"/>
  <c r="AE326" i="1"/>
  <c r="AN326" i="1"/>
  <c r="AI326" i="1"/>
  <c r="AM326" i="1"/>
  <c r="AL358" i="1"/>
  <c r="AJ358" i="1"/>
  <c r="AB358" i="1"/>
  <c r="AI358" i="1"/>
  <c r="AH381" i="1"/>
  <c r="AL381" i="1"/>
  <c r="AD381" i="1"/>
  <c r="AI381" i="1"/>
  <c r="AH413" i="1"/>
  <c r="AL413" i="1"/>
  <c r="AD413" i="1"/>
  <c r="AI413" i="1"/>
  <c r="AB445" i="1"/>
  <c r="AO445" i="1"/>
  <c r="AN445" i="1"/>
  <c r="AG445" i="1"/>
  <c r="AP445" i="1"/>
  <c r="AF445" i="1"/>
  <c r="AD445" i="1"/>
  <c r="AH477" i="1"/>
  <c r="AA477" i="1"/>
  <c r="AP477" i="1"/>
  <c r="AL477" i="1"/>
  <c r="AG477" i="1"/>
  <c r="AE477" i="1"/>
  <c r="AO477" i="1"/>
  <c r="AF477" i="1"/>
  <c r="AD477" i="1"/>
  <c r="AH509" i="1"/>
  <c r="AP509" i="1"/>
  <c r="AL509" i="1"/>
  <c r="AN509" i="1"/>
  <c r="AO509" i="1"/>
  <c r="AC509" i="1"/>
  <c r="AG509" i="1"/>
  <c r="AQ509" i="1"/>
  <c r="AA509" i="1"/>
  <c r="AM541" i="1"/>
  <c r="AF541" i="1"/>
  <c r="AE541" i="1"/>
  <c r="AQ541" i="1"/>
  <c r="AC541" i="1"/>
  <c r="AG541" i="1"/>
  <c r="AP541" i="1"/>
  <c r="AO541" i="1"/>
  <c r="AH541" i="1"/>
  <c r="AD541" i="1"/>
  <c r="AB170" i="1"/>
  <c r="AQ170" i="1"/>
  <c r="AI170" i="1"/>
  <c r="AM170" i="1"/>
  <c r="AO170" i="1"/>
  <c r="AE170" i="1"/>
  <c r="AG170" i="1"/>
  <c r="AD170" i="1"/>
  <c r="AK170" i="1"/>
  <c r="AC170" i="1"/>
  <c r="AH402" i="1"/>
  <c r="AJ402" i="1"/>
  <c r="AB402" i="1"/>
  <c r="AI402" i="1"/>
  <c r="AM434" i="1"/>
  <c r="AO434" i="1"/>
  <c r="AE434" i="1"/>
  <c r="AL434" i="1"/>
  <c r="AC434" i="1"/>
  <c r="AK434" i="1"/>
  <c r="AJ434" i="1"/>
  <c r="AQ434" i="1"/>
  <c r="AD466" i="1"/>
  <c r="AE466" i="1"/>
  <c r="AQ466" i="1"/>
  <c r="AA466" i="1"/>
  <c r="AH466" i="1"/>
  <c r="AM466" i="1"/>
  <c r="AP466" i="1"/>
  <c r="AN466" i="1"/>
  <c r="AG466" i="1"/>
  <c r="AK466" i="1"/>
  <c r="AO466" i="1"/>
  <c r="AI466" i="1"/>
  <c r="AL498" i="1"/>
  <c r="AF498" i="1"/>
  <c r="AC498" i="1"/>
  <c r="AK498" i="1"/>
  <c r="AB498" i="1"/>
  <c r="AG498" i="1"/>
  <c r="AJ498" i="1"/>
  <c r="AM498" i="1"/>
  <c r="AM530" i="1"/>
  <c r="AO530" i="1"/>
  <c r="AE530" i="1"/>
  <c r="AJ530" i="1"/>
  <c r="AB530" i="1"/>
  <c r="AP530" i="1"/>
  <c r="AL530" i="1"/>
  <c r="AP163" i="1"/>
  <c r="AB163" i="1"/>
  <c r="AQ195" i="1"/>
  <c r="AI195" i="1"/>
  <c r="AA195" i="1"/>
  <c r="AB195" i="1"/>
  <c r="AG195" i="1"/>
  <c r="AL195" i="1"/>
  <c r="AN195" i="1"/>
  <c r="AL227" i="1"/>
  <c r="AC227" i="1"/>
  <c r="AK227" i="1"/>
  <c r="AM227" i="1"/>
  <c r="AB227" i="1"/>
  <c r="AE227" i="1"/>
  <c r="AO227" i="1"/>
  <c r="AG227" i="1"/>
  <c r="AJ227" i="1"/>
  <c r="AC259" i="1"/>
  <c r="AE259" i="1"/>
  <c r="AQ259" i="1"/>
  <c r="AL259" i="1"/>
  <c r="AD259" i="1"/>
  <c r="AP259" i="1"/>
  <c r="AK259" i="1"/>
  <c r="AN291" i="1"/>
  <c r="AL291" i="1"/>
  <c r="AD291" i="1"/>
  <c r="AK291" i="1"/>
  <c r="AC291" i="1"/>
  <c r="AI291" i="1"/>
  <c r="AB323" i="1"/>
  <c r="AN323" i="1"/>
  <c r="AQ323" i="1"/>
  <c r="AM323" i="1"/>
  <c r="AI323" i="1"/>
  <c r="AL323" i="1"/>
  <c r="AA323" i="1"/>
  <c r="AD323" i="1"/>
  <c r="AP323" i="1"/>
  <c r="AC323" i="1"/>
  <c r="AG355" i="1"/>
  <c r="AO355" i="1"/>
  <c r="AH355" i="1"/>
  <c r="AA451" i="1"/>
  <c r="AI451" i="1"/>
  <c r="AQ451" i="1"/>
  <c r="AM451" i="1"/>
  <c r="AG451" i="1"/>
  <c r="AE451" i="1"/>
  <c r="AP451" i="1"/>
  <c r="AC451" i="1"/>
  <c r="AL483" i="1"/>
  <c r="AB483" i="1"/>
  <c r="AK483" i="1"/>
  <c r="AA483" i="1"/>
  <c r="AO483" i="1"/>
  <c r="AH483" i="1"/>
  <c r="AN483" i="1"/>
  <c r="AH515" i="1"/>
  <c r="AP515" i="1"/>
  <c r="AI249" i="1"/>
  <c r="AA249" i="1"/>
  <c r="AJ249" i="1"/>
  <c r="AC249" i="1"/>
  <c r="AL249" i="1"/>
  <c r="AN249" i="1"/>
  <c r="AC158" i="1"/>
  <c r="AN541" i="1"/>
  <c r="AB353" i="1"/>
  <c r="AQ249" i="1"/>
  <c r="AQ198" i="1"/>
  <c r="AD227" i="1"/>
  <c r="AM153" i="1"/>
  <c r="AA153" i="1"/>
  <c r="AE153" i="1"/>
  <c r="AL153" i="1"/>
  <c r="AD153" i="1"/>
  <c r="AK153" i="1"/>
  <c r="AH153" i="1"/>
  <c r="AJ153" i="1"/>
  <c r="AP153" i="1"/>
  <c r="AO153" i="1"/>
  <c r="AC153" i="1"/>
  <c r="AG153" i="1"/>
  <c r="AQ153" i="1"/>
  <c r="AB153" i="1"/>
  <c r="AN153" i="1"/>
  <c r="AI153" i="1"/>
  <c r="AC89" i="1"/>
  <c r="AD89" i="1"/>
  <c r="AG89" i="1"/>
  <c r="AF89" i="1"/>
  <c r="AL89" i="1"/>
  <c r="AK89" i="1"/>
  <c r="AJ89" i="1"/>
  <c r="AQ89" i="1"/>
  <c r="AE89" i="1"/>
  <c r="AI89" i="1"/>
  <c r="AP89" i="1"/>
  <c r="AB509" i="1"/>
  <c r="AK445" i="1"/>
  <c r="AB477" i="1"/>
  <c r="AA358" i="1"/>
  <c r="AE353" i="1"/>
  <c r="AL294" i="1"/>
  <c r="AB262" i="1"/>
  <c r="AB99" i="1"/>
  <c r="AK198" i="1"/>
  <c r="AP131" i="1"/>
  <c r="AF227" i="1"/>
  <c r="AA114" i="1"/>
  <c r="AI62" i="1"/>
  <c r="AL109" i="1"/>
  <c r="AG358" i="1"/>
  <c r="AC353" i="1"/>
  <c r="AC326" i="1"/>
  <c r="AN294" i="1"/>
  <c r="AK195" i="1"/>
  <c r="AQ227" i="1"/>
  <c r="AJ170" i="1"/>
  <c r="AH109" i="1"/>
  <c r="AQ366" i="1"/>
  <c r="AQ361" i="1"/>
  <c r="AP261" i="1"/>
  <c r="AH334" i="1"/>
  <c r="AM334" i="1"/>
  <c r="AG334" i="1"/>
  <c r="AF302" i="1"/>
  <c r="AC225" i="1"/>
  <c r="AE130" i="1"/>
  <c r="AC121" i="1"/>
  <c r="AJ53" i="1"/>
  <c r="AG130" i="1"/>
  <c r="AD70" i="1"/>
  <c r="AO193" i="1"/>
  <c r="AM193" i="1"/>
  <c r="AN113" i="1"/>
  <c r="AI113" i="1"/>
  <c r="AG157" i="1"/>
  <c r="AC157" i="1"/>
  <c r="AQ126" i="1"/>
  <c r="AD126" i="1"/>
  <c r="AF126" i="1"/>
  <c r="AD93" i="1"/>
  <c r="AJ93" i="1"/>
  <c r="AL161" i="1"/>
  <c r="AD161" i="1"/>
  <c r="AP161" i="1"/>
  <c r="AL166" i="1"/>
  <c r="AO166" i="1"/>
  <c r="AK206" i="1"/>
  <c r="AM206" i="1"/>
  <c r="AC24" i="1"/>
  <c r="AO24" i="1"/>
  <c r="AQ116" i="1"/>
  <c r="AL116" i="1"/>
  <c r="AG116" i="1"/>
  <c r="AC116" i="1"/>
  <c r="AO116" i="1"/>
  <c r="AJ116" i="1"/>
  <c r="AF116" i="1"/>
  <c r="AA116" i="1"/>
  <c r="AN116" i="1"/>
  <c r="AB116" i="1"/>
  <c r="AM116" i="1"/>
  <c r="AI116" i="1"/>
  <c r="AP116" i="1"/>
  <c r="AD116" i="1"/>
  <c r="AL23" i="1"/>
  <c r="AF23" i="1"/>
  <c r="AI23" i="1"/>
  <c r="AD23" i="1"/>
  <c r="AK23" i="1"/>
  <c r="AN23" i="1"/>
  <c r="AD59" i="1"/>
  <c r="AN59" i="1"/>
  <c r="AI59" i="1"/>
  <c r="AI32" i="1"/>
  <c r="AM32" i="1"/>
  <c r="AM68" i="1"/>
  <c r="AI68" i="1"/>
  <c r="AD68" i="1"/>
  <c r="AN68" i="1"/>
  <c r="AL68" i="1"/>
  <c r="AG68" i="1"/>
  <c r="AC68" i="1"/>
  <c r="AF68" i="1"/>
  <c r="AK68" i="1"/>
  <c r="AE68" i="1"/>
  <c r="AJ68" i="1"/>
  <c r="AO68" i="1"/>
  <c r="AP68" i="1"/>
  <c r="AA68" i="1"/>
  <c r="AH61" i="1"/>
  <c r="AO61" i="1"/>
  <c r="AG61" i="1"/>
  <c r="AG38" i="1"/>
  <c r="AB38" i="1"/>
  <c r="AJ366" i="1"/>
  <c r="AI361" i="1"/>
  <c r="AM361" i="1"/>
  <c r="AE361" i="1"/>
  <c r="AM325" i="1"/>
  <c r="AE293" i="1"/>
  <c r="AG302" i="1"/>
  <c r="AC270" i="1"/>
  <c r="AP334" i="1"/>
  <c r="AA334" i="1"/>
  <c r="AM225" i="1"/>
  <c r="AJ225" i="1"/>
  <c r="AH225" i="1"/>
  <c r="AE225" i="1"/>
  <c r="AC166" i="1"/>
  <c r="AE121" i="1"/>
  <c r="AI130" i="1"/>
  <c r="AI53" i="1"/>
  <c r="AQ193" i="1"/>
  <c r="AH157" i="1"/>
  <c r="AA177" i="1"/>
  <c r="AG177" i="1"/>
  <c r="AE161" i="1"/>
  <c r="AL157" i="1"/>
  <c r="AN145" i="1"/>
  <c r="AP97" i="1"/>
  <c r="AA93" i="1"/>
  <c r="AG126" i="1"/>
  <c r="AA102" i="1"/>
  <c r="AL125" i="1"/>
  <c r="AK125" i="1"/>
  <c r="AN165" i="1"/>
  <c r="AM165" i="1"/>
  <c r="AH165" i="1"/>
  <c r="AJ134" i="1"/>
  <c r="AL134" i="1"/>
  <c r="AP134" i="1"/>
  <c r="AG24" i="1"/>
  <c r="AC32" i="1"/>
  <c r="AB32" i="1"/>
  <c r="AC361" i="1"/>
  <c r="AN361" i="1"/>
  <c r="AE325" i="1"/>
  <c r="AK270" i="1"/>
  <c r="AL334" i="1"/>
  <c r="AD334" i="1"/>
  <c r="AI334" i="1"/>
  <c r="AL302" i="1"/>
  <c r="AI238" i="1"/>
  <c r="AN225" i="1"/>
  <c r="AK166" i="1"/>
  <c r="AM121" i="1"/>
  <c r="AB130" i="1"/>
  <c r="AF53" i="1"/>
  <c r="AH193" i="1"/>
  <c r="AM161" i="1"/>
  <c r="AE157" i="1"/>
  <c r="AI93" i="1"/>
  <c r="AO126" i="1"/>
  <c r="AK361" i="1"/>
  <c r="AJ361" i="1"/>
  <c r="AH302" i="1"/>
  <c r="AF270" i="1"/>
  <c r="AI261" i="1"/>
  <c r="AE334" i="1"/>
  <c r="AQ334" i="1"/>
  <c r="AC302" i="1"/>
  <c r="AG238" i="1"/>
  <c r="AG225" i="1"/>
  <c r="AD166" i="1"/>
  <c r="AF121" i="1"/>
  <c r="AJ130" i="1"/>
  <c r="AL193" i="1"/>
  <c r="AI193" i="1"/>
  <c r="AF161" i="1"/>
  <c r="AM157" i="1"/>
  <c r="AI97" i="1"/>
  <c r="AC93" i="1"/>
  <c r="AA126" i="1"/>
  <c r="AB102" i="1"/>
  <c r="AB206" i="1"/>
  <c r="AK24" i="1"/>
  <c r="AJ24" i="1"/>
  <c r="AD32" i="1"/>
  <c r="AP32" i="1"/>
  <c r="AN366" i="1"/>
  <c r="AL366" i="1"/>
  <c r="AF361" i="1"/>
  <c r="AD361" i="1"/>
  <c r="AJ334" i="1"/>
  <c r="AK302" i="1"/>
  <c r="AA225" i="1"/>
  <c r="AG166" i="1"/>
  <c r="AE166" i="1"/>
  <c r="AA121" i="1"/>
  <c r="AN121" i="1"/>
  <c r="AJ193" i="1"/>
  <c r="AC130" i="1"/>
  <c r="AB193" i="1"/>
  <c r="AC193" i="1"/>
  <c r="AG53" i="1"/>
  <c r="AG161" i="1"/>
  <c r="AF157" i="1"/>
  <c r="AI126" i="1"/>
  <c r="AO206" i="1"/>
  <c r="AL145" i="1"/>
  <c r="AO145" i="1"/>
  <c r="AQ145" i="1"/>
  <c r="AL177" i="1"/>
  <c r="AK177" i="1"/>
  <c r="AE150" i="1"/>
  <c r="AA150" i="1"/>
  <c r="AH190" i="1"/>
  <c r="AL190" i="1"/>
  <c r="AK122" i="1"/>
  <c r="AG122" i="1"/>
  <c r="AK116" i="1"/>
  <c r="AD366" i="1"/>
  <c r="AP361" i="1"/>
  <c r="AL361" i="1"/>
  <c r="AQ302" i="1"/>
  <c r="AO302" i="1"/>
  <c r="AF334" i="1"/>
  <c r="AB225" i="1"/>
  <c r="AA166" i="1"/>
  <c r="AM166" i="1"/>
  <c r="AI121" i="1"/>
  <c r="AK130" i="1"/>
  <c r="AN193" i="1"/>
  <c r="AK193" i="1"/>
  <c r="AE177" i="1"/>
  <c r="AA161" i="1"/>
  <c r="AO161" i="1"/>
  <c r="AN157" i="1"/>
  <c r="AK145" i="1"/>
  <c r="AC97" i="1"/>
  <c r="AL93" i="1"/>
  <c r="AJ126" i="1"/>
  <c r="AJ206" i="1"/>
  <c r="AL101" i="1"/>
  <c r="AJ101" i="1"/>
  <c r="AD149" i="1"/>
  <c r="AJ149" i="1"/>
  <c r="AK110" i="1"/>
  <c r="AM110" i="1"/>
  <c r="AL24" i="1"/>
  <c r="AG32" i="1"/>
  <c r="AE116" i="1"/>
  <c r="AC60" i="1"/>
  <c r="AP60" i="1"/>
  <c r="AE108" i="1"/>
  <c r="AJ108" i="1"/>
  <c r="AE47" i="1"/>
  <c r="AG60" i="1"/>
  <c r="AD60" i="1"/>
  <c r="AG108" i="1"/>
  <c r="AK108" i="1"/>
  <c r="AL47" i="1"/>
  <c r="AH47" i="1"/>
  <c r="AI60" i="1"/>
  <c r="AM60" i="1"/>
  <c r="AN108" i="1"/>
  <c r="AC108" i="1"/>
  <c r="AM47" i="1"/>
  <c r="AP47" i="1"/>
  <c r="AI228" i="1"/>
  <c r="AQ60" i="1"/>
  <c r="AE60" i="1"/>
  <c r="AQ108" i="1"/>
  <c r="AL108" i="1"/>
  <c r="AC47" i="1"/>
  <c r="AA60" i="1"/>
  <c r="AO108" i="1"/>
  <c r="AD108" i="1"/>
  <c r="AO47" i="1"/>
  <c r="AI108" i="1"/>
  <c r="AJ233" i="1"/>
  <c r="AA233" i="1"/>
  <c r="AG178" i="1"/>
  <c r="AD369" i="1"/>
  <c r="AO178" i="1"/>
  <c r="AA137" i="1"/>
  <c r="AI138" i="1"/>
  <c r="AO246" i="1"/>
  <c r="AA214" i="1"/>
  <c r="AI214" i="1"/>
  <c r="AE178" i="1"/>
  <c r="AP169" i="1"/>
  <c r="AF137" i="1"/>
  <c r="AJ82" i="1"/>
  <c r="AF169" i="1"/>
  <c r="AC333" i="1"/>
  <c r="AH333" i="1"/>
  <c r="AK246" i="1"/>
  <c r="AH246" i="1"/>
  <c r="AK214" i="1"/>
  <c r="AI169" i="1"/>
  <c r="AN169" i="1"/>
  <c r="AI77" i="1"/>
  <c r="AQ77" i="1"/>
  <c r="AO77" i="1"/>
  <c r="AM77" i="1"/>
  <c r="AK77" i="1"/>
  <c r="AG77" i="1"/>
  <c r="AB77" i="1"/>
  <c r="AA77" i="1"/>
  <c r="AC77" i="1"/>
  <c r="AP77" i="1"/>
  <c r="AF77" i="1"/>
  <c r="AF141" i="1"/>
  <c r="AI141" i="1"/>
  <c r="AJ141" i="1"/>
  <c r="AF173" i="1"/>
  <c r="AI173" i="1"/>
  <c r="AJ173" i="1"/>
  <c r="AM205" i="1"/>
  <c r="AF205" i="1"/>
  <c r="AQ205" i="1"/>
  <c r="AD205" i="1"/>
  <c r="AO205" i="1"/>
  <c r="AB205" i="1"/>
  <c r="AN205" i="1"/>
  <c r="AA205" i="1"/>
  <c r="AL205" i="1"/>
  <c r="AJ205" i="1"/>
  <c r="AI205" i="1"/>
  <c r="AG205" i="1"/>
  <c r="AH237" i="1"/>
  <c r="AM237" i="1"/>
  <c r="AL237" i="1"/>
  <c r="AG237" i="1"/>
  <c r="AD237" i="1"/>
  <c r="AC237" i="1"/>
  <c r="AP237" i="1"/>
  <c r="AE237" i="1"/>
  <c r="AP273" i="1"/>
  <c r="AQ273" i="1"/>
  <c r="AF273" i="1"/>
  <c r="AO273" i="1"/>
  <c r="AD273" i="1"/>
  <c r="AN273" i="1"/>
  <c r="AC273" i="1"/>
  <c r="AL273" i="1"/>
  <c r="AB273" i="1"/>
  <c r="AK273" i="1"/>
  <c r="AA273" i="1"/>
  <c r="AJ273" i="1"/>
  <c r="AI273" i="1"/>
  <c r="AG273" i="1"/>
  <c r="AP305" i="1"/>
  <c r="AK305" i="1"/>
  <c r="AA305" i="1"/>
  <c r="AJ305" i="1"/>
  <c r="AI305" i="1"/>
  <c r="AG305" i="1"/>
  <c r="AQ305" i="1"/>
  <c r="AF305" i="1"/>
  <c r="AO305" i="1"/>
  <c r="AD305" i="1"/>
  <c r="AN305" i="1"/>
  <c r="AL305" i="1"/>
  <c r="AC305" i="1"/>
  <c r="AB305" i="1"/>
  <c r="AK341" i="1"/>
  <c r="AM341" i="1"/>
  <c r="AL341" i="1"/>
  <c r="AJ341" i="1"/>
  <c r="AG341" i="1"/>
  <c r="AF341" i="1"/>
  <c r="AE341" i="1"/>
  <c r="AO341" i="1"/>
  <c r="AN341" i="1"/>
  <c r="AD341" i="1"/>
  <c r="AB341" i="1"/>
  <c r="AH86" i="1"/>
  <c r="AE86" i="1"/>
  <c r="AC86" i="1"/>
  <c r="AN86" i="1"/>
  <c r="AM86" i="1"/>
  <c r="AK86" i="1"/>
  <c r="AB86" i="1"/>
  <c r="AP146" i="1"/>
  <c r="AF146" i="1"/>
  <c r="AN146" i="1"/>
  <c r="AH146" i="1"/>
  <c r="AM146" i="1"/>
  <c r="AQ146" i="1"/>
  <c r="AJ186" i="1"/>
  <c r="AH186" i="1"/>
  <c r="AK186" i="1"/>
  <c r="AN186" i="1"/>
  <c r="AE186" i="1"/>
  <c r="AF186" i="1"/>
  <c r="AF218" i="1"/>
  <c r="AD218" i="1"/>
  <c r="AQ218" i="1"/>
  <c r="AB218" i="1"/>
  <c r="AP218" i="1"/>
  <c r="AA218" i="1"/>
  <c r="AM218" i="1"/>
  <c r="AK218" i="1"/>
  <c r="AJ218" i="1"/>
  <c r="AH218" i="1"/>
  <c r="AP250" i="1"/>
  <c r="AA250" i="1"/>
  <c r="AM250" i="1"/>
  <c r="AK250" i="1"/>
  <c r="AJ250" i="1"/>
  <c r="AH250" i="1"/>
  <c r="AF250" i="1"/>
  <c r="AQ250" i="1"/>
  <c r="AD250" i="1"/>
  <c r="AB250" i="1"/>
  <c r="AI282" i="1"/>
  <c r="AQ282" i="1"/>
  <c r="AP282" i="1"/>
  <c r="AL282" i="1"/>
  <c r="AG282" i="1"/>
  <c r="AE282" i="1"/>
  <c r="AA282" i="1"/>
  <c r="AJ314" i="1"/>
  <c r="AI314" i="1"/>
  <c r="AH314" i="1"/>
  <c r="AG314" i="1"/>
  <c r="AB314" i="1"/>
  <c r="AA314" i="1"/>
  <c r="AQ314" i="1"/>
  <c r="AO314" i="1"/>
  <c r="AM346" i="1"/>
  <c r="AH346" i="1"/>
  <c r="AC346" i="1"/>
  <c r="AP133" i="1"/>
  <c r="AK133" i="1"/>
  <c r="AB133" i="1"/>
  <c r="AG133" i="1"/>
  <c r="AQ393" i="1"/>
  <c r="AN393" i="1"/>
  <c r="AB393" i="1"/>
  <c r="AM393" i="1"/>
  <c r="AA393" i="1"/>
  <c r="AK393" i="1"/>
  <c r="AJ393" i="1"/>
  <c r="AG393" i="1"/>
  <c r="AP393" i="1"/>
  <c r="AO393" i="1"/>
  <c r="AF393" i="1"/>
  <c r="AE393" i="1"/>
  <c r="AC393" i="1"/>
  <c r="AD425" i="1"/>
  <c r="AH425" i="1"/>
  <c r="AD457" i="1"/>
  <c r="AC457" i="1"/>
  <c r="AB457" i="1"/>
  <c r="AP457" i="1"/>
  <c r="AL457" i="1"/>
  <c r="AJ457" i="1"/>
  <c r="AL489" i="1"/>
  <c r="AF489" i="1"/>
  <c r="AE489" i="1"/>
  <c r="AB489" i="1"/>
  <c r="AA489" i="1"/>
  <c r="AQ489" i="1"/>
  <c r="AM489" i="1"/>
  <c r="AJ489" i="1"/>
  <c r="AN521" i="1"/>
  <c r="AB521" i="1"/>
  <c r="AM521" i="1"/>
  <c r="AA521" i="1"/>
  <c r="AK521" i="1"/>
  <c r="AI521" i="1"/>
  <c r="AH521" i="1"/>
  <c r="AQ521" i="1"/>
  <c r="AE521" i="1"/>
  <c r="AP521" i="1"/>
  <c r="AF521" i="1"/>
  <c r="AC521" i="1"/>
  <c r="AN98" i="1"/>
  <c r="AM98" i="1"/>
  <c r="AK98" i="1"/>
  <c r="AH98" i="1"/>
  <c r="AE98" i="1"/>
  <c r="AC98" i="1"/>
  <c r="AJ98" i="1"/>
  <c r="AQ382" i="1"/>
  <c r="AN382" i="1"/>
  <c r="AC382" i="1"/>
  <c r="AM382" i="1"/>
  <c r="AA382" i="1"/>
  <c r="AL382" i="1"/>
  <c r="AK382" i="1"/>
  <c r="AG382" i="1"/>
  <c r="AF382" i="1"/>
  <c r="AE382" i="1"/>
  <c r="AD382" i="1"/>
  <c r="AP382" i="1"/>
  <c r="AO382" i="1"/>
  <c r="AQ414" i="1"/>
  <c r="AN414" i="1"/>
  <c r="AC414" i="1"/>
  <c r="AM414" i="1"/>
  <c r="AA414" i="1"/>
  <c r="AL414" i="1"/>
  <c r="AK414" i="1"/>
  <c r="AG414" i="1"/>
  <c r="AF414" i="1"/>
  <c r="AP414" i="1"/>
  <c r="AO414" i="1"/>
  <c r="AE414" i="1"/>
  <c r="AD414" i="1"/>
  <c r="AA446" i="1"/>
  <c r="AP446" i="1"/>
  <c r="AL446" i="1"/>
  <c r="AL478" i="1"/>
  <c r="AF478" i="1"/>
  <c r="AE478" i="1"/>
  <c r="AJ478" i="1"/>
  <c r="AO478" i="1"/>
  <c r="AN510" i="1"/>
  <c r="AB510" i="1"/>
  <c r="AL510" i="1"/>
  <c r="AI510" i="1"/>
  <c r="AH510" i="1"/>
  <c r="AG510" i="1"/>
  <c r="AP510" i="1"/>
  <c r="AD510" i="1"/>
  <c r="AQ510" i="1"/>
  <c r="AO510" i="1"/>
  <c r="AF510" i="1"/>
  <c r="AC510" i="1"/>
  <c r="AI542" i="1"/>
  <c r="AN542" i="1"/>
  <c r="AH542" i="1"/>
  <c r="AD542" i="1"/>
  <c r="AC542" i="1"/>
  <c r="AO542" i="1"/>
  <c r="AJ107" i="1"/>
  <c r="AM107" i="1"/>
  <c r="AC107" i="1"/>
  <c r="AL107" i="1"/>
  <c r="AA107" i="1"/>
  <c r="AK107" i="1"/>
  <c r="AI107" i="1"/>
  <c r="AG107" i="1"/>
  <c r="AF107" i="1"/>
  <c r="AE107" i="1"/>
  <c r="AD107" i="1"/>
  <c r="AO107" i="1"/>
  <c r="AN107" i="1"/>
  <c r="AQ107" i="1"/>
  <c r="AJ139" i="1"/>
  <c r="AG139" i="1"/>
  <c r="AQ139" i="1"/>
  <c r="AF139" i="1"/>
  <c r="AO139" i="1"/>
  <c r="AE139" i="1"/>
  <c r="AN139" i="1"/>
  <c r="AD139" i="1"/>
  <c r="AM139" i="1"/>
  <c r="AC139" i="1"/>
  <c r="AK139" i="1"/>
  <c r="AL139" i="1"/>
  <c r="AI139" i="1"/>
  <c r="AA139" i="1"/>
  <c r="AJ171" i="1"/>
  <c r="AN171" i="1"/>
  <c r="AD171" i="1"/>
  <c r="AM171" i="1"/>
  <c r="AC171" i="1"/>
  <c r="AL171" i="1"/>
  <c r="AA171" i="1"/>
  <c r="AK171" i="1"/>
  <c r="AI171" i="1"/>
  <c r="AG171" i="1"/>
  <c r="AQ171" i="1"/>
  <c r="AO171" i="1"/>
  <c r="AF171" i="1"/>
  <c r="AE171" i="1"/>
  <c r="AK203" i="1"/>
  <c r="AE203" i="1"/>
  <c r="AC203" i="1"/>
  <c r="AP203" i="1"/>
  <c r="AH203" i="1"/>
  <c r="AJ203" i="1"/>
  <c r="AM203" i="1"/>
  <c r="AQ235" i="1"/>
  <c r="AG235" i="1"/>
  <c r="AC235" i="1"/>
  <c r="AB235" i="1"/>
  <c r="AP235" i="1"/>
  <c r="AL235" i="1"/>
  <c r="AK235" i="1"/>
  <c r="AO267" i="1"/>
  <c r="AN267" i="1"/>
  <c r="AJ267" i="1"/>
  <c r="AH267" i="1"/>
  <c r="AG267" i="1"/>
  <c r="AP267" i="1"/>
  <c r="AF267" i="1"/>
  <c r="AE267" i="1"/>
  <c r="AC267" i="1"/>
  <c r="AM299" i="1"/>
  <c r="AJ299" i="1"/>
  <c r="AH299" i="1"/>
  <c r="AG299" i="1"/>
  <c r="AF299" i="1"/>
  <c r="AE299" i="1"/>
  <c r="AB299" i="1"/>
  <c r="AP299" i="1"/>
  <c r="AO299" i="1"/>
  <c r="AB331" i="1"/>
  <c r="AQ331" i="1"/>
  <c r="AP331" i="1"/>
  <c r="AN331" i="1"/>
  <c r="AK331" i="1"/>
  <c r="AC331" i="1"/>
  <c r="AP363" i="1"/>
  <c r="AJ363" i="1"/>
  <c r="AI363" i="1"/>
  <c r="AF363" i="1"/>
  <c r="AQ363" i="1"/>
  <c r="AE363" i="1"/>
  <c r="AN363" i="1"/>
  <c r="AD363" i="1"/>
  <c r="AM363" i="1"/>
  <c r="AC363" i="1"/>
  <c r="AL363" i="1"/>
  <c r="AK363" i="1"/>
  <c r="AB363" i="1"/>
  <c r="AA363" i="1"/>
  <c r="AP395" i="1"/>
  <c r="AI395" i="1"/>
  <c r="AQ395" i="1"/>
  <c r="AG395" i="1"/>
  <c r="AO395" i="1"/>
  <c r="AF395" i="1"/>
  <c r="AN395" i="1"/>
  <c r="AE395" i="1"/>
  <c r="AM395" i="1"/>
  <c r="AD395" i="1"/>
  <c r="AJ395" i="1"/>
  <c r="AC395" i="1"/>
  <c r="AB395" i="1"/>
  <c r="AA395" i="1"/>
  <c r="AL395" i="1"/>
  <c r="AK395" i="1"/>
  <c r="AP427" i="1"/>
  <c r="AK427" i="1"/>
  <c r="AB427" i="1"/>
  <c r="AJ427" i="1"/>
  <c r="AA427" i="1"/>
  <c r="AI427" i="1"/>
  <c r="AQ427" i="1"/>
  <c r="AG427" i="1"/>
  <c r="AO427" i="1"/>
  <c r="AF427" i="1"/>
  <c r="AN427" i="1"/>
  <c r="AE427" i="1"/>
  <c r="AM427" i="1"/>
  <c r="AL427" i="1"/>
  <c r="AD427" i="1"/>
  <c r="AC427" i="1"/>
  <c r="AP459" i="1"/>
  <c r="AL459" i="1"/>
  <c r="AM491" i="1"/>
  <c r="AB491" i="1"/>
  <c r="AL491" i="1"/>
  <c r="AA491" i="1"/>
  <c r="AJ491" i="1"/>
  <c r="AH491" i="1"/>
  <c r="AQ491" i="1"/>
  <c r="AG491" i="1"/>
  <c r="AP491" i="1"/>
  <c r="AO491" i="1"/>
  <c r="AN491" i="1"/>
  <c r="AF491" i="1"/>
  <c r="AE491" i="1"/>
  <c r="AD491" i="1"/>
  <c r="AK523" i="1"/>
  <c r="AQ523" i="1"/>
  <c r="AF523" i="1"/>
  <c r="AO523" i="1"/>
  <c r="AE523" i="1"/>
  <c r="AN523" i="1"/>
  <c r="AD523" i="1"/>
  <c r="AM523" i="1"/>
  <c r="AB523" i="1"/>
  <c r="AL523" i="1"/>
  <c r="AA523" i="1"/>
  <c r="AI523" i="1"/>
  <c r="AJ523" i="1"/>
  <c r="AG523" i="1"/>
  <c r="AQ333" i="1"/>
  <c r="AH374" i="1"/>
  <c r="AC374" i="1"/>
  <c r="AA374" i="1"/>
  <c r="AE305" i="1"/>
  <c r="AE273" i="1"/>
  <c r="AM314" i="1"/>
  <c r="AF310" i="1"/>
  <c r="AQ263" i="1"/>
  <c r="AI233" i="1"/>
  <c r="AQ237" i="1"/>
  <c r="AJ278" i="1"/>
  <c r="AC250" i="1"/>
  <c r="AB246" i="1"/>
  <c r="AC205" i="1"/>
  <c r="AO237" i="1"/>
  <c r="AG278" i="1"/>
  <c r="AC278" i="1"/>
  <c r="AO218" i="1"/>
  <c r="AP201" i="1"/>
  <c r="AG199" i="1"/>
  <c r="AB139" i="1"/>
  <c r="AD203" i="1"/>
  <c r="AP139" i="1"/>
  <c r="AP103" i="1"/>
  <c r="AD214" i="1"/>
  <c r="AC186" i="1"/>
  <c r="AA178" i="1"/>
  <c r="AM178" i="1"/>
  <c r="AJ146" i="1"/>
  <c r="AD77" i="1"/>
  <c r="AC137" i="1"/>
  <c r="AJ133" i="1"/>
  <c r="AE129" i="1"/>
  <c r="AK73" i="1"/>
  <c r="AB138" i="1"/>
  <c r="AB98" i="1"/>
  <c r="AQ94" i="1"/>
  <c r="AG86" i="1"/>
  <c r="AD82" i="1"/>
  <c r="AL173" i="1"/>
  <c r="AQ169" i="1"/>
  <c r="AG169" i="1"/>
  <c r="AA141" i="1"/>
  <c r="AN141" i="1"/>
  <c r="AL133" i="1"/>
  <c r="AK425" i="1"/>
  <c r="AM425" i="1"/>
  <c r="AD206" i="1"/>
  <c r="AA206" i="1"/>
  <c r="AO97" i="1"/>
  <c r="AM97" i="1"/>
  <c r="AK97" i="1"/>
  <c r="AJ97" i="1"/>
  <c r="AM209" i="1"/>
  <c r="AG209" i="1"/>
  <c r="AF209" i="1"/>
  <c r="AQ209" i="1"/>
  <c r="AD209" i="1"/>
  <c r="AO209" i="1"/>
  <c r="AB209" i="1"/>
  <c r="AN209" i="1"/>
  <c r="AA209" i="1"/>
  <c r="AL209" i="1"/>
  <c r="AJ209" i="1"/>
  <c r="AI209" i="1"/>
  <c r="AP209" i="1"/>
  <c r="AL241" i="1"/>
  <c r="AB241" i="1"/>
  <c r="AK241" i="1"/>
  <c r="AH241" i="1"/>
  <c r="AG241" i="1"/>
  <c r="AP241" i="1"/>
  <c r="AF241" i="1"/>
  <c r="AO241" i="1"/>
  <c r="AE241" i="1"/>
  <c r="AN241" i="1"/>
  <c r="AM241" i="1"/>
  <c r="AD241" i="1"/>
  <c r="AC241" i="1"/>
  <c r="AP277" i="1"/>
  <c r="AK277" i="1"/>
  <c r="AA277" i="1"/>
  <c r="AJ277" i="1"/>
  <c r="AI277" i="1"/>
  <c r="AG277" i="1"/>
  <c r="AQ277" i="1"/>
  <c r="AF277" i="1"/>
  <c r="AL277" i="1"/>
  <c r="AD277" i="1"/>
  <c r="AC277" i="1"/>
  <c r="AB277" i="1"/>
  <c r="AO277" i="1"/>
  <c r="AN277" i="1"/>
  <c r="AP309" i="1"/>
  <c r="AQ309" i="1"/>
  <c r="AF309" i="1"/>
  <c r="AO309" i="1"/>
  <c r="AD309" i="1"/>
  <c r="AN309" i="1"/>
  <c r="AC309" i="1"/>
  <c r="AL309" i="1"/>
  <c r="AB309" i="1"/>
  <c r="AK309" i="1"/>
  <c r="AA309" i="1"/>
  <c r="AJ309" i="1"/>
  <c r="AI309" i="1"/>
  <c r="AG309" i="1"/>
  <c r="AK90" i="1"/>
  <c r="AH90" i="1"/>
  <c r="AE90" i="1"/>
  <c r="AC90" i="1"/>
  <c r="AM90" i="1"/>
  <c r="AN90" i="1"/>
  <c r="AL90" i="1"/>
  <c r="AG90" i="1"/>
  <c r="AP150" i="1"/>
  <c r="AN150" i="1"/>
  <c r="AH150" i="1"/>
  <c r="AF150" i="1"/>
  <c r="AD150" i="1"/>
  <c r="AO150" i="1"/>
  <c r="AC190" i="1"/>
  <c r="AF190" i="1"/>
  <c r="AQ222" i="1"/>
  <c r="AN222" i="1"/>
  <c r="AG222" i="1"/>
  <c r="AA222" i="1"/>
  <c r="AE254" i="1"/>
  <c r="AQ254" i="1"/>
  <c r="AD254" i="1"/>
  <c r="AP254" i="1"/>
  <c r="AC254" i="1"/>
  <c r="AM254" i="1"/>
  <c r="AB254" i="1"/>
  <c r="AL254" i="1"/>
  <c r="AA254" i="1"/>
  <c r="AK254" i="1"/>
  <c r="AI254" i="1"/>
  <c r="AH254" i="1"/>
  <c r="AI286" i="1"/>
  <c r="AM286" i="1"/>
  <c r="AH286" i="1"/>
  <c r="AG286" i="1"/>
  <c r="AB286" i="1"/>
  <c r="AQ286" i="1"/>
  <c r="AN350" i="1"/>
  <c r="AM350" i="1"/>
  <c r="AL350" i="1"/>
  <c r="AK350" i="1"/>
  <c r="AQ257" i="1"/>
  <c r="AJ257" i="1"/>
  <c r="AG257" i="1"/>
  <c r="AF257" i="1"/>
  <c r="AO257" i="1"/>
  <c r="AE257" i="1"/>
  <c r="AN257" i="1"/>
  <c r="AD257" i="1"/>
  <c r="AM257" i="1"/>
  <c r="AC257" i="1"/>
  <c r="AL257" i="1"/>
  <c r="AK257" i="1"/>
  <c r="AB257" i="1"/>
  <c r="AQ397" i="1"/>
  <c r="AO397" i="1"/>
  <c r="AC397" i="1"/>
  <c r="AN397" i="1"/>
  <c r="AB397" i="1"/>
  <c r="AM397" i="1"/>
  <c r="AA397" i="1"/>
  <c r="AK397" i="1"/>
  <c r="AJ397" i="1"/>
  <c r="AP397" i="1"/>
  <c r="AG397" i="1"/>
  <c r="AF397" i="1"/>
  <c r="AE397" i="1"/>
  <c r="AL429" i="1"/>
  <c r="AQ429" i="1"/>
  <c r="AF429" i="1"/>
  <c r="AO429" i="1"/>
  <c r="AE429" i="1"/>
  <c r="AN429" i="1"/>
  <c r="AC429" i="1"/>
  <c r="AM429" i="1"/>
  <c r="AB429" i="1"/>
  <c r="AK429" i="1"/>
  <c r="AA429" i="1"/>
  <c r="AJ429" i="1"/>
  <c r="AI429" i="1"/>
  <c r="AG429" i="1"/>
  <c r="AH461" i="1"/>
  <c r="AD461" i="1"/>
  <c r="AQ461" i="1"/>
  <c r="AC461" i="1"/>
  <c r="AP461" i="1"/>
  <c r="AB461" i="1"/>
  <c r="AM461" i="1"/>
  <c r="AA461" i="1"/>
  <c r="AL461" i="1"/>
  <c r="AE461" i="1"/>
  <c r="AK461" i="1"/>
  <c r="AI461" i="1"/>
  <c r="AQ493" i="1"/>
  <c r="AN493" i="1"/>
  <c r="AH493" i="1"/>
  <c r="AC493" i="1"/>
  <c r="AJ525" i="1"/>
  <c r="AI525" i="1"/>
  <c r="AH525" i="1"/>
  <c r="AF525" i="1"/>
  <c r="AE525" i="1"/>
  <c r="AP525" i="1"/>
  <c r="AB525" i="1"/>
  <c r="AQ525" i="1"/>
  <c r="AN525" i="1"/>
  <c r="AC525" i="1"/>
  <c r="AH102" i="1"/>
  <c r="AE102" i="1"/>
  <c r="AQ102" i="1"/>
  <c r="AM102" i="1"/>
  <c r="AQ386" i="1"/>
  <c r="AO386" i="1"/>
  <c r="AD386" i="1"/>
  <c r="AN386" i="1"/>
  <c r="AC386" i="1"/>
  <c r="AM386" i="1"/>
  <c r="AA386" i="1"/>
  <c r="AL386" i="1"/>
  <c r="AK386" i="1"/>
  <c r="AG386" i="1"/>
  <c r="AP386" i="1"/>
  <c r="AF386" i="1"/>
  <c r="AE386" i="1"/>
  <c r="AJ418" i="1"/>
  <c r="AN418" i="1"/>
  <c r="AD418" i="1"/>
  <c r="AM418" i="1"/>
  <c r="AC418" i="1"/>
  <c r="AL418" i="1"/>
  <c r="AA418" i="1"/>
  <c r="AK418" i="1"/>
  <c r="AI418" i="1"/>
  <c r="AG418" i="1"/>
  <c r="AQ418" i="1"/>
  <c r="AO418" i="1"/>
  <c r="AF418" i="1"/>
  <c r="AE418" i="1"/>
  <c r="AL450" i="1"/>
  <c r="AD450" i="1"/>
  <c r="AB450" i="1"/>
  <c r="AA450" i="1"/>
  <c r="AK450" i="1"/>
  <c r="AJ450" i="1"/>
  <c r="AH450" i="1"/>
  <c r="AP482" i="1"/>
  <c r="AF482" i="1"/>
  <c r="AL482" i="1"/>
  <c r="AK482" i="1"/>
  <c r="AP514" i="1"/>
  <c r="AD514" i="1"/>
  <c r="AO514" i="1"/>
  <c r="AC514" i="1"/>
  <c r="AN514" i="1"/>
  <c r="AA514" i="1"/>
  <c r="AL514" i="1"/>
  <c r="AI514" i="1"/>
  <c r="AG514" i="1"/>
  <c r="AQ514" i="1"/>
  <c r="AH514" i="1"/>
  <c r="AF514" i="1"/>
  <c r="AJ111" i="1"/>
  <c r="AI111" i="1"/>
  <c r="AG111" i="1"/>
  <c r="AQ111" i="1"/>
  <c r="AF111" i="1"/>
  <c r="AO111" i="1"/>
  <c r="AE111" i="1"/>
  <c r="AN111" i="1"/>
  <c r="AD111" i="1"/>
  <c r="AL111" i="1"/>
  <c r="AA111" i="1"/>
  <c r="AM111" i="1"/>
  <c r="AC111" i="1"/>
  <c r="AK111" i="1"/>
  <c r="AJ143" i="1"/>
  <c r="AN143" i="1"/>
  <c r="AD143" i="1"/>
  <c r="AM143" i="1"/>
  <c r="AC143" i="1"/>
  <c r="AL143" i="1"/>
  <c r="AA143" i="1"/>
  <c r="AK143" i="1"/>
  <c r="AI143" i="1"/>
  <c r="AQ143" i="1"/>
  <c r="AF143" i="1"/>
  <c r="AG143" i="1"/>
  <c r="AE143" i="1"/>
  <c r="AO143" i="1"/>
  <c r="AJ175" i="1"/>
  <c r="AK175" i="1"/>
  <c r="AI175" i="1"/>
  <c r="AG175" i="1"/>
  <c r="AQ175" i="1"/>
  <c r="AF175" i="1"/>
  <c r="AO175" i="1"/>
  <c r="AE175" i="1"/>
  <c r="AN175" i="1"/>
  <c r="AD175" i="1"/>
  <c r="AM175" i="1"/>
  <c r="AL175" i="1"/>
  <c r="AC175" i="1"/>
  <c r="AA175" i="1"/>
  <c r="AP207" i="1"/>
  <c r="AK207" i="1"/>
  <c r="AJ207" i="1"/>
  <c r="AH207" i="1"/>
  <c r="AF207" i="1"/>
  <c r="AC207" i="1"/>
  <c r="AM207" i="1"/>
  <c r="AH239" i="1"/>
  <c r="AQ239" i="1"/>
  <c r="AG239" i="1"/>
  <c r="AP239" i="1"/>
  <c r="AF239" i="1"/>
  <c r="AO239" i="1"/>
  <c r="AD239" i="1"/>
  <c r="AN239" i="1"/>
  <c r="AC239" i="1"/>
  <c r="AL239" i="1"/>
  <c r="AB239" i="1"/>
  <c r="AK239" i="1"/>
  <c r="AJ239" i="1"/>
  <c r="AA239" i="1"/>
  <c r="AO271" i="1"/>
  <c r="AK271" i="1"/>
  <c r="AJ271" i="1"/>
  <c r="AH271" i="1"/>
  <c r="AF271" i="1"/>
  <c r="AP271" i="1"/>
  <c r="AE271" i="1"/>
  <c r="AF303" i="1"/>
  <c r="AE303" i="1"/>
  <c r="AP303" i="1"/>
  <c r="AB303" i="1"/>
  <c r="AO303" i="1"/>
  <c r="AM303" i="1"/>
  <c r="AJ303" i="1"/>
  <c r="AH303" i="1"/>
  <c r="AG303" i="1"/>
  <c r="AI335" i="1"/>
  <c r="AF335" i="1"/>
  <c r="AC335" i="1"/>
  <c r="AB335" i="1"/>
  <c r="AQ335" i="1"/>
  <c r="AJ335" i="1"/>
  <c r="AH335" i="1"/>
  <c r="AP367" i="1"/>
  <c r="AN367" i="1"/>
  <c r="AD367" i="1"/>
  <c r="AM367" i="1"/>
  <c r="AC367" i="1"/>
  <c r="AL367" i="1"/>
  <c r="AB367" i="1"/>
  <c r="AK367" i="1"/>
  <c r="AA367" i="1"/>
  <c r="AJ367" i="1"/>
  <c r="AI367" i="1"/>
  <c r="AQ367" i="1"/>
  <c r="AF367" i="1"/>
  <c r="AE367" i="1"/>
  <c r="AP399" i="1"/>
  <c r="AJ399" i="1"/>
  <c r="AA399" i="1"/>
  <c r="AI399" i="1"/>
  <c r="AQ399" i="1"/>
  <c r="AG399" i="1"/>
  <c r="AO399" i="1"/>
  <c r="AF399" i="1"/>
  <c r="AN399" i="1"/>
  <c r="AE399" i="1"/>
  <c r="AM399" i="1"/>
  <c r="AL399" i="1"/>
  <c r="AK399" i="1"/>
  <c r="AD399" i="1"/>
  <c r="AC399" i="1"/>
  <c r="AB399" i="1"/>
  <c r="AP431" i="1"/>
  <c r="AL431" i="1"/>
  <c r="AC431" i="1"/>
  <c r="AK431" i="1"/>
  <c r="AB431" i="1"/>
  <c r="AJ431" i="1"/>
  <c r="AA431" i="1"/>
  <c r="AI431" i="1"/>
  <c r="AQ431" i="1"/>
  <c r="AG431" i="1"/>
  <c r="AO431" i="1"/>
  <c r="AF431" i="1"/>
  <c r="AE431" i="1"/>
  <c r="AD431" i="1"/>
  <c r="AN431" i="1"/>
  <c r="AM431" i="1"/>
  <c r="AM495" i="1"/>
  <c r="AN495" i="1"/>
  <c r="AI495" i="1"/>
  <c r="AH495" i="1"/>
  <c r="AG495" i="1"/>
  <c r="AK527" i="1"/>
  <c r="AI527" i="1"/>
  <c r="AG527" i="1"/>
  <c r="AQ527" i="1"/>
  <c r="AF527" i="1"/>
  <c r="AO527" i="1"/>
  <c r="AE527" i="1"/>
  <c r="AN527" i="1"/>
  <c r="AD527" i="1"/>
  <c r="AL527" i="1"/>
  <c r="AA527" i="1"/>
  <c r="AM527" i="1"/>
  <c r="AJ527" i="1"/>
  <c r="AB527" i="1"/>
  <c r="AM369" i="1"/>
  <c r="AJ369" i="1"/>
  <c r="AI333" i="1"/>
  <c r="AG378" i="1"/>
  <c r="AM374" i="1"/>
  <c r="AI374" i="1"/>
  <c r="AM301" i="1"/>
  <c r="AM269" i="1"/>
  <c r="AG310" i="1"/>
  <c r="AF314" i="1"/>
  <c r="AC295" i="1"/>
  <c r="AP310" i="1"/>
  <c r="AN310" i="1"/>
  <c r="AJ310" i="1"/>
  <c r="AQ233" i="1"/>
  <c r="AN218" i="1"/>
  <c r="AK201" i="1"/>
  <c r="AF237" i="1"/>
  <c r="AQ278" i="1"/>
  <c r="AK278" i="1"/>
  <c r="AI250" i="1"/>
  <c r="AH201" i="1"/>
  <c r="AO199" i="1"/>
  <c r="AB171" i="1"/>
  <c r="AB103" i="1"/>
  <c r="AL203" i="1"/>
  <c r="AJ199" i="1"/>
  <c r="AD186" i="1"/>
  <c r="AH139" i="1"/>
  <c r="AM214" i="1"/>
  <c r="AF199" i="1"/>
  <c r="AF203" i="1"/>
  <c r="AI178" i="1"/>
  <c r="AC146" i="1"/>
  <c r="AL77" i="1"/>
  <c r="AK137" i="1"/>
  <c r="AM129" i="1"/>
  <c r="AF86" i="1"/>
  <c r="AA73" i="1"/>
  <c r="AJ138" i="1"/>
  <c r="AH77" i="1"/>
  <c r="AB141" i="1"/>
  <c r="AD98" i="1"/>
  <c r="AB94" i="1"/>
  <c r="AO86" i="1"/>
  <c r="AP82" i="1"/>
  <c r="AL82" i="1"/>
  <c r="AE173" i="1"/>
  <c r="AC169" i="1"/>
  <c r="AQ141" i="1"/>
  <c r="AG141" i="1"/>
  <c r="AE133" i="1"/>
  <c r="AO425" i="1"/>
  <c r="AC425" i="1"/>
  <c r="AP206" i="1"/>
  <c r="AI206" i="1"/>
  <c r="AP101" i="1"/>
  <c r="AM101" i="1"/>
  <c r="AA101" i="1"/>
  <c r="AB101" i="1"/>
  <c r="AG149" i="1"/>
  <c r="AC149" i="1"/>
  <c r="AQ181" i="1"/>
  <c r="AF181" i="1"/>
  <c r="AP181" i="1"/>
  <c r="AD181" i="1"/>
  <c r="AO181" i="1"/>
  <c r="AB181" i="1"/>
  <c r="AN181" i="1"/>
  <c r="AA181" i="1"/>
  <c r="AL181" i="1"/>
  <c r="AI181" i="1"/>
  <c r="AH181" i="1"/>
  <c r="AG181" i="1"/>
  <c r="AQ213" i="1"/>
  <c r="AL213" i="1"/>
  <c r="AJ213" i="1"/>
  <c r="AI213" i="1"/>
  <c r="AG213" i="1"/>
  <c r="AF213" i="1"/>
  <c r="AD213" i="1"/>
  <c r="AB213" i="1"/>
  <c r="AA213" i="1"/>
  <c r="AO213" i="1"/>
  <c r="AN213" i="1"/>
  <c r="AN245" i="1"/>
  <c r="AF245" i="1"/>
  <c r="AO245" i="1"/>
  <c r="AJ245" i="1"/>
  <c r="AM245" i="1"/>
  <c r="AG245" i="1"/>
  <c r="AP281" i="1"/>
  <c r="AQ281" i="1"/>
  <c r="AF281" i="1"/>
  <c r="AO281" i="1"/>
  <c r="AD281" i="1"/>
  <c r="AN281" i="1"/>
  <c r="AC281" i="1"/>
  <c r="AL281" i="1"/>
  <c r="AB281" i="1"/>
  <c r="AK281" i="1"/>
  <c r="AA281" i="1"/>
  <c r="AJ281" i="1"/>
  <c r="AI281" i="1"/>
  <c r="AG281" i="1"/>
  <c r="AP313" i="1"/>
  <c r="AO313" i="1"/>
  <c r="AD313" i="1"/>
  <c r="AN313" i="1"/>
  <c r="AC313" i="1"/>
  <c r="AL313" i="1"/>
  <c r="AB313" i="1"/>
  <c r="AK313" i="1"/>
  <c r="AA313" i="1"/>
  <c r="AJ313" i="1"/>
  <c r="AI313" i="1"/>
  <c r="AQ313" i="1"/>
  <c r="AG313" i="1"/>
  <c r="AF313" i="1"/>
  <c r="AQ349" i="1"/>
  <c r="AJ349" i="1"/>
  <c r="AI349" i="1"/>
  <c r="AH349" i="1"/>
  <c r="AG349" i="1"/>
  <c r="AP58" i="1"/>
  <c r="AF58" i="1"/>
  <c r="AE58" i="1"/>
  <c r="AQ58" i="1"/>
  <c r="AC58" i="1"/>
  <c r="AO58" i="1"/>
  <c r="AB58" i="1"/>
  <c r="AN58" i="1"/>
  <c r="AH58" i="1"/>
  <c r="AM58" i="1"/>
  <c r="AK58" i="1"/>
  <c r="AI58" i="1"/>
  <c r="AA58" i="1"/>
  <c r="AH110" i="1"/>
  <c r="AE110" i="1"/>
  <c r="AC110" i="1"/>
  <c r="AP154" i="1"/>
  <c r="AN154" i="1"/>
  <c r="AH154" i="1"/>
  <c r="AF154" i="1"/>
  <c r="AJ154" i="1"/>
  <c r="AM194" i="1"/>
  <c r="AJ194" i="1"/>
  <c r="AH194" i="1"/>
  <c r="AG194" i="1"/>
  <c r="AF194" i="1"/>
  <c r="AP194" i="1"/>
  <c r="AE194" i="1"/>
  <c r="AO194" i="1"/>
  <c r="AN194" i="1"/>
  <c r="AD194" i="1"/>
  <c r="AB194" i="1"/>
  <c r="AA226" i="1"/>
  <c r="AP226" i="1"/>
  <c r="AM226" i="1"/>
  <c r="AI226" i="1"/>
  <c r="AE226" i="1"/>
  <c r="AO258" i="1"/>
  <c r="AK258" i="1"/>
  <c r="AB290" i="1"/>
  <c r="AA290" i="1"/>
  <c r="AP290" i="1"/>
  <c r="AO290" i="1"/>
  <c r="AL290" i="1"/>
  <c r="AI290" i="1"/>
  <c r="AH290" i="1"/>
  <c r="AD290" i="1"/>
  <c r="AO322" i="1"/>
  <c r="AB322" i="1"/>
  <c r="AJ322" i="1"/>
  <c r="AN354" i="1"/>
  <c r="AO354" i="1"/>
  <c r="AD354" i="1"/>
  <c r="AC354" i="1"/>
  <c r="AK337" i="1"/>
  <c r="AL337" i="1"/>
  <c r="AJ337" i="1"/>
  <c r="AG337" i="1"/>
  <c r="AF337" i="1"/>
  <c r="AE337" i="1"/>
  <c r="AO337" i="1"/>
  <c r="AD337" i="1"/>
  <c r="AN337" i="1"/>
  <c r="AM337" i="1"/>
  <c r="AB337" i="1"/>
  <c r="AQ401" i="1"/>
  <c r="AP401" i="1"/>
  <c r="AE401" i="1"/>
  <c r="AO401" i="1"/>
  <c r="AC401" i="1"/>
  <c r="AN401" i="1"/>
  <c r="AB401" i="1"/>
  <c r="AM401" i="1"/>
  <c r="AA401" i="1"/>
  <c r="AK401" i="1"/>
  <c r="AJ401" i="1"/>
  <c r="AG401" i="1"/>
  <c r="AF401" i="1"/>
  <c r="AO433" i="1"/>
  <c r="AK433" i="1"/>
  <c r="AA433" i="1"/>
  <c r="AJ433" i="1"/>
  <c r="AI433" i="1"/>
  <c r="AG433" i="1"/>
  <c r="AF433" i="1"/>
  <c r="AP433" i="1"/>
  <c r="AE433" i="1"/>
  <c r="AN433" i="1"/>
  <c r="AM433" i="1"/>
  <c r="AC433" i="1"/>
  <c r="AB433" i="1"/>
  <c r="AK465" i="1"/>
  <c r="AI465" i="1"/>
  <c r="AD465" i="1"/>
  <c r="AC465" i="1"/>
  <c r="AB465" i="1"/>
  <c r="AM465" i="1"/>
  <c r="AN497" i="1"/>
  <c r="AM497" i="1"/>
  <c r="AF497" i="1"/>
  <c r="AK529" i="1"/>
  <c r="AQ529" i="1"/>
  <c r="AP529" i="1"/>
  <c r="AJ529" i="1"/>
  <c r="AH529" i="1"/>
  <c r="AF529" i="1"/>
  <c r="AC529" i="1"/>
  <c r="AE529" i="1"/>
  <c r="AA529" i="1"/>
  <c r="AH118" i="1"/>
  <c r="AE118" i="1"/>
  <c r="AL118" i="1"/>
  <c r="AA118" i="1"/>
  <c r="AQ390" i="1"/>
  <c r="AP390" i="1"/>
  <c r="AE390" i="1"/>
  <c r="AO390" i="1"/>
  <c r="AD390" i="1"/>
  <c r="AN390" i="1"/>
  <c r="AC390" i="1"/>
  <c r="AM390" i="1"/>
  <c r="AA390" i="1"/>
  <c r="AL390" i="1"/>
  <c r="AK390" i="1"/>
  <c r="AG390" i="1"/>
  <c r="AF390" i="1"/>
  <c r="AJ422" i="1"/>
  <c r="AO422" i="1"/>
  <c r="AE422" i="1"/>
  <c r="AN422" i="1"/>
  <c r="AD422" i="1"/>
  <c r="AM422" i="1"/>
  <c r="AC422" i="1"/>
  <c r="AL422" i="1"/>
  <c r="AA422" i="1"/>
  <c r="AK422" i="1"/>
  <c r="AI422" i="1"/>
  <c r="AQ422" i="1"/>
  <c r="AG422" i="1"/>
  <c r="AF422" i="1"/>
  <c r="AP486" i="1"/>
  <c r="AD486" i="1"/>
  <c r="AN486" i="1"/>
  <c r="AC486" i="1"/>
  <c r="AM486" i="1"/>
  <c r="AB486" i="1"/>
  <c r="AL486" i="1"/>
  <c r="AJ486" i="1"/>
  <c r="AH486" i="1"/>
  <c r="AG486" i="1"/>
  <c r="AE486" i="1"/>
  <c r="AH518" i="1"/>
  <c r="AG518" i="1"/>
  <c r="AJ115" i="1"/>
  <c r="AQ115" i="1"/>
  <c r="AF115" i="1"/>
  <c r="AO115" i="1"/>
  <c r="AE115" i="1"/>
  <c r="AN115" i="1"/>
  <c r="AD115" i="1"/>
  <c r="AM115" i="1"/>
  <c r="AC115" i="1"/>
  <c r="AL115" i="1"/>
  <c r="AA115" i="1"/>
  <c r="AI115" i="1"/>
  <c r="AK115" i="1"/>
  <c r="AG115" i="1"/>
  <c r="AH115" i="1"/>
  <c r="AJ147" i="1"/>
  <c r="AQ147" i="1"/>
  <c r="AF147" i="1"/>
  <c r="AO147" i="1"/>
  <c r="AE147" i="1"/>
  <c r="AN147" i="1"/>
  <c r="AD147" i="1"/>
  <c r="AM147" i="1"/>
  <c r="AC147" i="1"/>
  <c r="AL147" i="1"/>
  <c r="AA147" i="1"/>
  <c r="AK147" i="1"/>
  <c r="AI147" i="1"/>
  <c r="AG147" i="1"/>
  <c r="AH147" i="1"/>
  <c r="AJ179" i="1"/>
  <c r="AH179" i="1"/>
  <c r="AF179" i="1"/>
  <c r="AE179" i="1"/>
  <c r="AC179" i="1"/>
  <c r="AP179" i="1"/>
  <c r="AM179" i="1"/>
  <c r="AG179" i="1"/>
  <c r="AB179" i="1"/>
  <c r="AN179" i="1"/>
  <c r="AN211" i="1"/>
  <c r="AK211" i="1"/>
  <c r="AJ211" i="1"/>
  <c r="AF211" i="1"/>
  <c r="AB211" i="1"/>
  <c r="AL211" i="1"/>
  <c r="AN243" i="1"/>
  <c r="AD243" i="1"/>
  <c r="AB243" i="1"/>
  <c r="AJ275" i="1"/>
  <c r="AM275" i="1"/>
  <c r="AG275" i="1"/>
  <c r="AF275" i="1"/>
  <c r="AB275" i="1"/>
  <c r="AP275" i="1"/>
  <c r="AO307" i="1"/>
  <c r="AH307" i="1"/>
  <c r="AK339" i="1"/>
  <c r="AC339" i="1"/>
  <c r="AB339" i="1"/>
  <c r="AA339" i="1"/>
  <c r="AQ339" i="1"/>
  <c r="AJ339" i="1"/>
  <c r="AH339" i="1"/>
  <c r="AP371" i="1"/>
  <c r="AK371" i="1"/>
  <c r="AA371" i="1"/>
  <c r="AJ371" i="1"/>
  <c r="AI371" i="1"/>
  <c r="AF371" i="1"/>
  <c r="AQ371" i="1"/>
  <c r="AE371" i="1"/>
  <c r="AN371" i="1"/>
  <c r="AD371" i="1"/>
  <c r="AM371" i="1"/>
  <c r="AL371" i="1"/>
  <c r="AC371" i="1"/>
  <c r="AB371" i="1"/>
  <c r="AP403" i="1"/>
  <c r="AK403" i="1"/>
  <c r="AB403" i="1"/>
  <c r="AJ403" i="1"/>
  <c r="AA403" i="1"/>
  <c r="AI403" i="1"/>
  <c r="AQ403" i="1"/>
  <c r="AG403" i="1"/>
  <c r="AO403" i="1"/>
  <c r="AF403" i="1"/>
  <c r="AD403" i="1"/>
  <c r="AC403" i="1"/>
  <c r="AN403" i="1"/>
  <c r="AM403" i="1"/>
  <c r="AL403" i="1"/>
  <c r="AE403" i="1"/>
  <c r="AP435" i="1"/>
  <c r="AO435" i="1"/>
  <c r="AN435" i="1"/>
  <c r="AL467" i="1"/>
  <c r="AN467" i="1"/>
  <c r="AI467" i="1"/>
  <c r="AF467" i="1"/>
  <c r="AE467" i="1"/>
  <c r="AC467" i="1"/>
  <c r="AG499" i="1"/>
  <c r="AE499" i="1"/>
  <c r="AN499" i="1"/>
  <c r="AI499" i="1"/>
  <c r="AJ499" i="1"/>
  <c r="AH499" i="1"/>
  <c r="AK531" i="1"/>
  <c r="AJ531" i="1"/>
  <c r="AI531" i="1"/>
  <c r="AG531" i="1"/>
  <c r="AQ531" i="1"/>
  <c r="AF531" i="1"/>
  <c r="AO531" i="1"/>
  <c r="AE531" i="1"/>
  <c r="AM531" i="1"/>
  <c r="AB531" i="1"/>
  <c r="AN531" i="1"/>
  <c r="AL531" i="1"/>
  <c r="AD531" i="1"/>
  <c r="AA531" i="1"/>
  <c r="AP96" i="1"/>
  <c r="AI96" i="1"/>
  <c r="AQ96" i="1"/>
  <c r="AG96" i="1"/>
  <c r="AO96" i="1"/>
  <c r="AF96" i="1"/>
  <c r="AN96" i="1"/>
  <c r="AE96" i="1"/>
  <c r="AM96" i="1"/>
  <c r="AD96" i="1"/>
  <c r="AB96" i="1"/>
  <c r="AA96" i="1"/>
  <c r="AL96" i="1"/>
  <c r="AJ96" i="1"/>
  <c r="AC96" i="1"/>
  <c r="AK96" i="1"/>
  <c r="AP132" i="1"/>
  <c r="AN132" i="1"/>
  <c r="AE132" i="1"/>
  <c r="AM132" i="1"/>
  <c r="AD132" i="1"/>
  <c r="AL132" i="1"/>
  <c r="AC132" i="1"/>
  <c r="AK132" i="1"/>
  <c r="AB132" i="1"/>
  <c r="AJ132" i="1"/>
  <c r="AA132" i="1"/>
  <c r="AQ132" i="1"/>
  <c r="AG132" i="1"/>
  <c r="AI132" i="1"/>
  <c r="AF132" i="1"/>
  <c r="AO132" i="1"/>
  <c r="AH132" i="1"/>
  <c r="AP164" i="1"/>
  <c r="AL164" i="1"/>
  <c r="AC164" i="1"/>
  <c r="AK164" i="1"/>
  <c r="AB164" i="1"/>
  <c r="AJ164" i="1"/>
  <c r="AA164" i="1"/>
  <c r="AI164" i="1"/>
  <c r="AQ164" i="1"/>
  <c r="AG164" i="1"/>
  <c r="AO164" i="1"/>
  <c r="AF164" i="1"/>
  <c r="AE164" i="1"/>
  <c r="AD164" i="1"/>
  <c r="AN164" i="1"/>
  <c r="AM164" i="1"/>
  <c r="AH164" i="1"/>
  <c r="AG196" i="1"/>
  <c r="AD196" i="1"/>
  <c r="AP232" i="1"/>
  <c r="AO232" i="1"/>
  <c r="AD232" i="1"/>
  <c r="AN232" i="1"/>
  <c r="AB232" i="1"/>
  <c r="AM232" i="1"/>
  <c r="AA232" i="1"/>
  <c r="AL232" i="1"/>
  <c r="AJ232" i="1"/>
  <c r="AH232" i="1"/>
  <c r="AQ232" i="1"/>
  <c r="AF232" i="1"/>
  <c r="AE232" i="1"/>
  <c r="AP264" i="1"/>
  <c r="AA264" i="1"/>
  <c r="AL264" i="1"/>
  <c r="AK264" i="1"/>
  <c r="AJ264" i="1"/>
  <c r="AH264" i="1"/>
  <c r="AF264" i="1"/>
  <c r="AQ264" i="1"/>
  <c r="AC264" i="1"/>
  <c r="AB264" i="1"/>
  <c r="AD296" i="1"/>
  <c r="AC296" i="1"/>
  <c r="AP296" i="1"/>
  <c r="AN296" i="1"/>
  <c r="AK296" i="1"/>
  <c r="AE296" i="1"/>
  <c r="AL296" i="1"/>
  <c r="AI328" i="1"/>
  <c r="AQ328" i="1"/>
  <c r="AP328" i="1"/>
  <c r="AH328" i="1"/>
  <c r="AG328" i="1"/>
  <c r="AF328" i="1"/>
  <c r="AD328" i="1"/>
  <c r="AK360" i="1"/>
  <c r="AJ360" i="1"/>
  <c r="AA360" i="1"/>
  <c r="AQ392" i="1"/>
  <c r="AP392" i="1"/>
  <c r="AO392" i="1"/>
  <c r="AJ392" i="1"/>
  <c r="AG392" i="1"/>
  <c r="AE392" i="1"/>
  <c r="AD392" i="1"/>
  <c r="AC392" i="1"/>
  <c r="AM392" i="1"/>
  <c r="AB392" i="1"/>
  <c r="AL392" i="1"/>
  <c r="AK392" i="1"/>
  <c r="AA392" i="1"/>
  <c r="AH424" i="1"/>
  <c r="AG424" i="1"/>
  <c r="AQ424" i="1"/>
  <c r="AE424" i="1"/>
  <c r="AP424" i="1"/>
  <c r="AC424" i="1"/>
  <c r="AO424" i="1"/>
  <c r="AB424" i="1"/>
  <c r="AM424" i="1"/>
  <c r="AA424" i="1"/>
  <c r="AK424" i="1"/>
  <c r="AI424" i="1"/>
  <c r="AQ456" i="1"/>
  <c r="AK456" i="1"/>
  <c r="AJ456" i="1"/>
  <c r="AG456" i="1"/>
  <c r="AF456" i="1"/>
  <c r="AO456" i="1"/>
  <c r="AE456" i="1"/>
  <c r="AN456" i="1"/>
  <c r="AD456" i="1"/>
  <c r="AM456" i="1"/>
  <c r="AL456" i="1"/>
  <c r="AC456" i="1"/>
  <c r="AB456" i="1"/>
  <c r="AL488" i="1"/>
  <c r="AH488" i="1"/>
  <c r="AC488" i="1"/>
  <c r="AB488" i="1"/>
  <c r="AI488" i="1"/>
  <c r="AN488" i="1"/>
  <c r="AJ488" i="1"/>
  <c r="AK520" i="1"/>
  <c r="AE520" i="1"/>
  <c r="AD520" i="1"/>
  <c r="AC520" i="1"/>
  <c r="AP520" i="1"/>
  <c r="AB520" i="1"/>
  <c r="AO520" i="1"/>
  <c r="AJ520" i="1"/>
  <c r="AM520" i="1"/>
  <c r="AH520" i="1"/>
  <c r="AA369" i="1"/>
  <c r="AC369" i="1"/>
  <c r="AA333" i="1"/>
  <c r="AD374" i="1"/>
  <c r="AQ374" i="1"/>
  <c r="AP314" i="1"/>
  <c r="AN314" i="1"/>
  <c r="AO282" i="1"/>
  <c r="AC310" i="1"/>
  <c r="AJ282" i="1"/>
  <c r="AP278" i="1"/>
  <c r="AJ235" i="1"/>
  <c r="AE218" i="1"/>
  <c r="AC201" i="1"/>
  <c r="AH278" i="1"/>
  <c r="AF278" i="1"/>
  <c r="AG250" i="1"/>
  <c r="AN235" i="1"/>
  <c r="AA199" i="1"/>
  <c r="AB135" i="1"/>
  <c r="AG203" i="1"/>
  <c r="AP171" i="1"/>
  <c r="AP135" i="1"/>
  <c r="AG214" i="1"/>
  <c r="AP199" i="1"/>
  <c r="AJ178" i="1"/>
  <c r="AK146" i="1"/>
  <c r="AN77" i="1"/>
  <c r="AD137" i="1"/>
  <c r="AA129" i="1"/>
  <c r="AF129" i="1"/>
  <c r="AK138" i="1"/>
  <c r="AJ73" i="1"/>
  <c r="AB173" i="1"/>
  <c r="AP98" i="1"/>
  <c r="AL98" i="1"/>
  <c r="AJ94" i="1"/>
  <c r="AA86" i="1"/>
  <c r="AG82" i="1"/>
  <c r="AM190" i="1"/>
  <c r="AJ190" i="1"/>
  <c r="AC177" i="1"/>
  <c r="AO177" i="1"/>
  <c r="AM173" i="1"/>
  <c r="AD169" i="1"/>
  <c r="AI165" i="1"/>
  <c r="AQ157" i="1"/>
  <c r="AI149" i="1"/>
  <c r="AN149" i="1"/>
  <c r="AE145" i="1"/>
  <c r="AC141" i="1"/>
  <c r="AO141" i="1"/>
  <c r="AM133" i="1"/>
  <c r="AE101" i="1"/>
  <c r="AD97" i="1"/>
  <c r="AI118" i="1"/>
  <c r="AO110" i="1"/>
  <c r="AL110" i="1"/>
  <c r="AP425" i="1"/>
  <c r="AN425" i="1"/>
  <c r="AE206" i="1"/>
  <c r="AQ206" i="1"/>
  <c r="AK369" i="1"/>
  <c r="AH369" i="1"/>
  <c r="AN374" i="1"/>
  <c r="AB374" i="1"/>
  <c r="AC314" i="1"/>
  <c r="AD282" i="1"/>
  <c r="AK310" i="1"/>
  <c r="AC282" i="1"/>
  <c r="AG231" i="1"/>
  <c r="AL218" i="1"/>
  <c r="AI278" i="1"/>
  <c r="AO250" i="1"/>
  <c r="AD235" i="1"/>
  <c r="AI199" i="1"/>
  <c r="AN203" i="1"/>
  <c r="AB167" i="1"/>
  <c r="AO203" i="1"/>
  <c r="AH171" i="1"/>
  <c r="AP214" i="1"/>
  <c r="AO214" i="1"/>
  <c r="AC178" i="1"/>
  <c r="AG146" i="1"/>
  <c r="AD146" i="1"/>
  <c r="AO133" i="1"/>
  <c r="AL137" i="1"/>
  <c r="AI129" i="1"/>
  <c r="AN129" i="1"/>
  <c r="AF82" i="1"/>
  <c r="AG138" i="1"/>
  <c r="AD138" i="1"/>
  <c r="AD73" i="1"/>
  <c r="AB169" i="1"/>
  <c r="AG98" i="1"/>
  <c r="AD94" i="1"/>
  <c r="AI86" i="1"/>
  <c r="AO82" i="1"/>
  <c r="AE77" i="1"/>
  <c r="AA173" i="1"/>
  <c r="AN173" i="1"/>
  <c r="AL169" i="1"/>
  <c r="AK141" i="1"/>
  <c r="AA133" i="1"/>
  <c r="AF133" i="1"/>
  <c r="AQ425" i="1"/>
  <c r="AB425" i="1"/>
  <c r="AG206" i="1"/>
  <c r="AB113" i="1"/>
  <c r="AP113" i="1"/>
  <c r="AO113" i="1"/>
  <c r="AH113" i="1"/>
  <c r="AJ113" i="1"/>
  <c r="AG113" i="1"/>
  <c r="AM113" i="1"/>
  <c r="AA113" i="1"/>
  <c r="AD157" i="1"/>
  <c r="AP157" i="1"/>
  <c r="AI189" i="1"/>
  <c r="AH189" i="1"/>
  <c r="AK189" i="1"/>
  <c r="AA189" i="1"/>
  <c r="AN189" i="1"/>
  <c r="AE221" i="1"/>
  <c r="AC221" i="1"/>
  <c r="AP221" i="1"/>
  <c r="AB221" i="1"/>
  <c r="AN221" i="1"/>
  <c r="AL221" i="1"/>
  <c r="AK221" i="1"/>
  <c r="AH221" i="1"/>
  <c r="AG221" i="1"/>
  <c r="AA221" i="1"/>
  <c r="AQ253" i="1"/>
  <c r="AM253" i="1"/>
  <c r="AC253" i="1"/>
  <c r="AL253" i="1"/>
  <c r="AB253" i="1"/>
  <c r="AK253" i="1"/>
  <c r="AJ253" i="1"/>
  <c r="AG253" i="1"/>
  <c r="AF253" i="1"/>
  <c r="AO253" i="1"/>
  <c r="AN253" i="1"/>
  <c r="AE253" i="1"/>
  <c r="AD253" i="1"/>
  <c r="AP289" i="1"/>
  <c r="AJ289" i="1"/>
  <c r="AI289" i="1"/>
  <c r="AG289" i="1"/>
  <c r="AQ289" i="1"/>
  <c r="AF289" i="1"/>
  <c r="AO289" i="1"/>
  <c r="AD289" i="1"/>
  <c r="AL289" i="1"/>
  <c r="AK289" i="1"/>
  <c r="AC289" i="1"/>
  <c r="AB289" i="1"/>
  <c r="AA289" i="1"/>
  <c r="AN289" i="1"/>
  <c r="AP321" i="1"/>
  <c r="AI321" i="1"/>
  <c r="AG321" i="1"/>
  <c r="AQ321" i="1"/>
  <c r="AF321" i="1"/>
  <c r="AO321" i="1"/>
  <c r="AD321" i="1"/>
  <c r="AN321" i="1"/>
  <c r="AC321" i="1"/>
  <c r="AL321" i="1"/>
  <c r="AB321" i="1"/>
  <c r="AK321" i="1"/>
  <c r="AJ321" i="1"/>
  <c r="AA321" i="1"/>
  <c r="AM357" i="1"/>
  <c r="AJ357" i="1"/>
  <c r="AI357" i="1"/>
  <c r="AN357" i="1"/>
  <c r="AP66" i="1"/>
  <c r="AQ66" i="1"/>
  <c r="AC66" i="1"/>
  <c r="AO66" i="1"/>
  <c r="AB66" i="1"/>
  <c r="AN66" i="1"/>
  <c r="AM66" i="1"/>
  <c r="AK66" i="1"/>
  <c r="AH66" i="1"/>
  <c r="AF66" i="1"/>
  <c r="AE66" i="1"/>
  <c r="AL66" i="1"/>
  <c r="AH126" i="1"/>
  <c r="AE126" i="1"/>
  <c r="AB126" i="1"/>
  <c r="AP126" i="1"/>
  <c r="AP162" i="1"/>
  <c r="AN162" i="1"/>
  <c r="AH162" i="1"/>
  <c r="AF162" i="1"/>
  <c r="AK162" i="1"/>
  <c r="AG162" i="1"/>
  <c r="AL202" i="1"/>
  <c r="AJ202" i="1"/>
  <c r="AC202" i="1"/>
  <c r="AD202" i="1"/>
  <c r="AE202" i="1"/>
  <c r="AQ234" i="1"/>
  <c r="AC234" i="1"/>
  <c r="AB234" i="1"/>
  <c r="AP234" i="1"/>
  <c r="AL234" i="1"/>
  <c r="AK234" i="1"/>
  <c r="AF234" i="1"/>
  <c r="AL266" i="1"/>
  <c r="AQ266" i="1"/>
  <c r="AO266" i="1"/>
  <c r="AJ266" i="1"/>
  <c r="AG266" i="1"/>
  <c r="AE266" i="1"/>
  <c r="AD266" i="1"/>
  <c r="AA266" i="1"/>
  <c r="AJ298" i="1"/>
  <c r="AP298" i="1"/>
  <c r="AI298" i="1"/>
  <c r="AH298" i="1"/>
  <c r="AB298" i="1"/>
  <c r="AK330" i="1"/>
  <c r="AJ330" i="1"/>
  <c r="AH330" i="1"/>
  <c r="AE330" i="1"/>
  <c r="AD330" i="1"/>
  <c r="AK362" i="1"/>
  <c r="AP362" i="1"/>
  <c r="AO362" i="1"/>
  <c r="AN362" i="1"/>
  <c r="AG362" i="1"/>
  <c r="AF362" i="1"/>
  <c r="AE362" i="1"/>
  <c r="AD362" i="1"/>
  <c r="AO85" i="1"/>
  <c r="AM85" i="1"/>
  <c r="AL85" i="1"/>
  <c r="AE85" i="1"/>
  <c r="AI377" i="1"/>
  <c r="AH377" i="1"/>
  <c r="AG377" i="1"/>
  <c r="AF377" i="1"/>
  <c r="AB377" i="1"/>
  <c r="AQ377" i="1"/>
  <c r="AP377" i="1"/>
  <c r="AN377" i="1"/>
  <c r="AQ409" i="1"/>
  <c r="AG409" i="1"/>
  <c r="AF409" i="1"/>
  <c r="AP409" i="1"/>
  <c r="AE409" i="1"/>
  <c r="AO409" i="1"/>
  <c r="AC409" i="1"/>
  <c r="AN409" i="1"/>
  <c r="AB409" i="1"/>
  <c r="AM409" i="1"/>
  <c r="AA409" i="1"/>
  <c r="AK409" i="1"/>
  <c r="AJ409" i="1"/>
  <c r="AH441" i="1"/>
  <c r="AF441" i="1"/>
  <c r="AB441" i="1"/>
  <c r="AQ441" i="1"/>
  <c r="AP441" i="1"/>
  <c r="AJ505" i="1"/>
  <c r="AK505" i="1"/>
  <c r="AI505" i="1"/>
  <c r="AC505" i="1"/>
  <c r="AF505" i="1"/>
  <c r="AN537" i="1"/>
  <c r="AC537" i="1"/>
  <c r="AJ537" i="1"/>
  <c r="AI537" i="1"/>
  <c r="AP142" i="1"/>
  <c r="AN142" i="1"/>
  <c r="AF142" i="1"/>
  <c r="AH142" i="1"/>
  <c r="AC142" i="1"/>
  <c r="AQ398" i="1"/>
  <c r="AG398" i="1"/>
  <c r="AF398" i="1"/>
  <c r="AP398" i="1"/>
  <c r="AE398" i="1"/>
  <c r="AO398" i="1"/>
  <c r="AD398" i="1"/>
  <c r="AN398" i="1"/>
  <c r="AC398" i="1"/>
  <c r="AL398" i="1"/>
  <c r="AK398" i="1"/>
  <c r="AA398" i="1"/>
  <c r="AM398" i="1"/>
  <c r="AJ430" i="1"/>
  <c r="AK430" i="1"/>
  <c r="AI430" i="1"/>
  <c r="AG430" i="1"/>
  <c r="AE430" i="1"/>
  <c r="AQ430" i="1"/>
  <c r="AD430" i="1"/>
  <c r="AO430" i="1"/>
  <c r="AC430" i="1"/>
  <c r="AM430" i="1"/>
  <c r="AL430" i="1"/>
  <c r="AA430" i="1"/>
  <c r="AK462" i="1"/>
  <c r="AI462" i="1"/>
  <c r="AH462" i="1"/>
  <c r="AG462" i="1"/>
  <c r="AQ462" i="1"/>
  <c r="AF462" i="1"/>
  <c r="AP462" i="1"/>
  <c r="AO462" i="1"/>
  <c r="AN462" i="1"/>
  <c r="AC462" i="1"/>
  <c r="AB462" i="1"/>
  <c r="AA462" i="1"/>
  <c r="AD494" i="1"/>
  <c r="AN494" i="1"/>
  <c r="AQ494" i="1"/>
  <c r="AL494" i="1"/>
  <c r="AQ526" i="1"/>
  <c r="AP526" i="1"/>
  <c r="AL526" i="1"/>
  <c r="AK526" i="1"/>
  <c r="AJ91" i="1"/>
  <c r="AQ91" i="1"/>
  <c r="AF91" i="1"/>
  <c r="AO91" i="1"/>
  <c r="AE91" i="1"/>
  <c r="AN91" i="1"/>
  <c r="AD91" i="1"/>
  <c r="AM91" i="1"/>
  <c r="AC91" i="1"/>
  <c r="AL91" i="1"/>
  <c r="AA91" i="1"/>
  <c r="AK91" i="1"/>
  <c r="AI91" i="1"/>
  <c r="AG91" i="1"/>
  <c r="AJ123" i="1"/>
  <c r="AK123" i="1"/>
  <c r="AI123" i="1"/>
  <c r="AG123" i="1"/>
  <c r="AQ123" i="1"/>
  <c r="AF123" i="1"/>
  <c r="AO123" i="1"/>
  <c r="AE123" i="1"/>
  <c r="AM123" i="1"/>
  <c r="AC123" i="1"/>
  <c r="AD123" i="1"/>
  <c r="AA123" i="1"/>
  <c r="AN123" i="1"/>
  <c r="AL123" i="1"/>
  <c r="AJ155" i="1"/>
  <c r="AI155" i="1"/>
  <c r="AG155" i="1"/>
  <c r="AQ155" i="1"/>
  <c r="AF155" i="1"/>
  <c r="AO155" i="1"/>
  <c r="AE155" i="1"/>
  <c r="AN155" i="1"/>
  <c r="AD155" i="1"/>
  <c r="AM155" i="1"/>
  <c r="AC155" i="1"/>
  <c r="AL155" i="1"/>
  <c r="AA155" i="1"/>
  <c r="AK155" i="1"/>
  <c r="AJ187" i="1"/>
  <c r="AN187" i="1"/>
  <c r="AL187" i="1"/>
  <c r="AD187" i="1"/>
  <c r="AB187" i="1"/>
  <c r="AA187" i="1"/>
  <c r="AP219" i="1"/>
  <c r="AA219" i="1"/>
  <c r="AN219" i="1"/>
  <c r="AK219" i="1"/>
  <c r="AJ219" i="1"/>
  <c r="AH219" i="1"/>
  <c r="AG219" i="1"/>
  <c r="AQ219" i="1"/>
  <c r="AD219" i="1"/>
  <c r="AB219" i="1"/>
  <c r="AM219" i="1"/>
  <c r="AJ251" i="1"/>
  <c r="AH251" i="1"/>
  <c r="AG251" i="1"/>
  <c r="AD251" i="1"/>
  <c r="AQ251" i="1"/>
  <c r="AB251" i="1"/>
  <c r="AP251" i="1"/>
  <c r="AA251" i="1"/>
  <c r="AN251" i="1"/>
  <c r="AK251" i="1"/>
  <c r="AM251" i="1"/>
  <c r="AO283" i="1"/>
  <c r="AN283" i="1"/>
  <c r="AM283" i="1"/>
  <c r="AJ283" i="1"/>
  <c r="AH283" i="1"/>
  <c r="AC283" i="1"/>
  <c r="AB283" i="1"/>
  <c r="AE283" i="1"/>
  <c r="AP347" i="1"/>
  <c r="AQ347" i="1"/>
  <c r="AE347" i="1"/>
  <c r="AN347" i="1"/>
  <c r="AD347" i="1"/>
  <c r="AM347" i="1"/>
  <c r="AC347" i="1"/>
  <c r="AL347" i="1"/>
  <c r="AB347" i="1"/>
  <c r="AK347" i="1"/>
  <c r="AA347" i="1"/>
  <c r="AJ347" i="1"/>
  <c r="AI347" i="1"/>
  <c r="AF347" i="1"/>
  <c r="AQ379" i="1"/>
  <c r="AL379" i="1"/>
  <c r="AA379" i="1"/>
  <c r="AK379" i="1"/>
  <c r="AJ379" i="1"/>
  <c r="AF379" i="1"/>
  <c r="AE379" i="1"/>
  <c r="AO379" i="1"/>
  <c r="AD379" i="1"/>
  <c r="AN379" i="1"/>
  <c r="AM379" i="1"/>
  <c r="AC379" i="1"/>
  <c r="AB379" i="1"/>
  <c r="AP411" i="1"/>
  <c r="AM411" i="1"/>
  <c r="AD411" i="1"/>
  <c r="AL411" i="1"/>
  <c r="AC411" i="1"/>
  <c r="AK411" i="1"/>
  <c r="AB411" i="1"/>
  <c r="AJ411" i="1"/>
  <c r="AA411" i="1"/>
  <c r="AI411" i="1"/>
  <c r="AQ411" i="1"/>
  <c r="AG411" i="1"/>
  <c r="AO411" i="1"/>
  <c r="AN411" i="1"/>
  <c r="AF411" i="1"/>
  <c r="AE411" i="1"/>
  <c r="AI475" i="1"/>
  <c r="AE475" i="1"/>
  <c r="AD475" i="1"/>
  <c r="AC475" i="1"/>
  <c r="AN475" i="1"/>
  <c r="AL475" i="1"/>
  <c r="AQ507" i="1"/>
  <c r="AJ507" i="1"/>
  <c r="AL507" i="1"/>
  <c r="AB507" i="1"/>
  <c r="AK539" i="1"/>
  <c r="AG539" i="1"/>
  <c r="AQ539" i="1"/>
  <c r="AF539" i="1"/>
  <c r="AO539" i="1"/>
  <c r="AE539" i="1"/>
  <c r="AN539" i="1"/>
  <c r="AD539" i="1"/>
  <c r="AM539" i="1"/>
  <c r="AB539" i="1"/>
  <c r="AJ539" i="1"/>
  <c r="AL539" i="1"/>
  <c r="AI539" i="1"/>
  <c r="AA539" i="1"/>
  <c r="AE374" i="1"/>
  <c r="AJ374" i="1"/>
  <c r="AD310" i="1"/>
  <c r="AK282" i="1"/>
  <c r="AH282" i="1"/>
  <c r="AN250" i="1"/>
  <c r="AM246" i="1"/>
  <c r="AE205" i="1"/>
  <c r="AC218" i="1"/>
  <c r="AA278" i="1"/>
  <c r="AA203" i="1"/>
  <c r="AO186" i="1"/>
  <c r="AP167" i="1"/>
  <c r="AH214" i="1"/>
  <c r="AL186" i="1"/>
  <c r="AK178" i="1"/>
  <c r="AO146" i="1"/>
  <c r="AL146" i="1"/>
  <c r="AP141" i="1"/>
  <c r="AE137" i="1"/>
  <c r="AQ129" i="1"/>
  <c r="AF98" i="1"/>
  <c r="AJ169" i="1"/>
  <c r="AO138" i="1"/>
  <c r="AL138" i="1"/>
  <c r="AL73" i="1"/>
  <c r="AO98" i="1"/>
  <c r="AP94" i="1"/>
  <c r="AL94" i="1"/>
  <c r="AQ86" i="1"/>
  <c r="AI82" i="1"/>
  <c r="AQ173" i="1"/>
  <c r="AG173" i="1"/>
  <c r="AE169" i="1"/>
  <c r="AD141" i="1"/>
  <c r="AI133" i="1"/>
  <c r="AN133" i="1"/>
  <c r="AF425" i="1"/>
  <c r="AJ425" i="1"/>
  <c r="AP53" i="1"/>
  <c r="AM53" i="1"/>
  <c r="AL53" i="1"/>
  <c r="AK53" i="1"/>
  <c r="AH53" i="1"/>
  <c r="AE53" i="1"/>
  <c r="AB53" i="1"/>
  <c r="AQ53" i="1"/>
  <c r="AD53" i="1"/>
  <c r="AC53" i="1"/>
  <c r="AO53" i="1"/>
  <c r="AA53" i="1"/>
  <c r="AJ121" i="1"/>
  <c r="AH121" i="1"/>
  <c r="AG121" i="1"/>
  <c r="AB121" i="1"/>
  <c r="AP121" i="1"/>
  <c r="AO121" i="1"/>
  <c r="AL121" i="1"/>
  <c r="AN161" i="1"/>
  <c r="AQ161" i="1"/>
  <c r="AG193" i="1"/>
  <c r="AA193" i="1"/>
  <c r="AO225" i="1"/>
  <c r="AP225" i="1"/>
  <c r="AD225" i="1"/>
  <c r="AF225" i="1"/>
  <c r="AQ261" i="1"/>
  <c r="AN261" i="1"/>
  <c r="AD261" i="1"/>
  <c r="AM261" i="1"/>
  <c r="AC261" i="1"/>
  <c r="AL261" i="1"/>
  <c r="AB261" i="1"/>
  <c r="AK261" i="1"/>
  <c r="AJ261" i="1"/>
  <c r="AG261" i="1"/>
  <c r="AO261" i="1"/>
  <c r="AF261" i="1"/>
  <c r="AE261" i="1"/>
  <c r="AP293" i="1"/>
  <c r="AI293" i="1"/>
  <c r="AG293" i="1"/>
  <c r="AQ293" i="1"/>
  <c r="AF293" i="1"/>
  <c r="AO293" i="1"/>
  <c r="AD293" i="1"/>
  <c r="AN293" i="1"/>
  <c r="AC293" i="1"/>
  <c r="AL293" i="1"/>
  <c r="AK293" i="1"/>
  <c r="AJ293" i="1"/>
  <c r="AB293" i="1"/>
  <c r="AA293" i="1"/>
  <c r="AP325" i="1"/>
  <c r="AN325" i="1"/>
  <c r="AC325" i="1"/>
  <c r="AL325" i="1"/>
  <c r="AB325" i="1"/>
  <c r="AK325" i="1"/>
  <c r="AA325" i="1"/>
  <c r="AJ325" i="1"/>
  <c r="AI325" i="1"/>
  <c r="AG325" i="1"/>
  <c r="AQ325" i="1"/>
  <c r="AO325" i="1"/>
  <c r="AF325" i="1"/>
  <c r="AD325" i="1"/>
  <c r="AO361" i="1"/>
  <c r="AA361" i="1"/>
  <c r="AP70" i="1"/>
  <c r="AO70" i="1"/>
  <c r="AB70" i="1"/>
  <c r="AN70" i="1"/>
  <c r="AM70" i="1"/>
  <c r="AK70" i="1"/>
  <c r="AH70" i="1"/>
  <c r="AF70" i="1"/>
  <c r="AE70" i="1"/>
  <c r="AC70" i="1"/>
  <c r="AQ70" i="1"/>
  <c r="AG70" i="1"/>
  <c r="AP130" i="1"/>
  <c r="AN130" i="1"/>
  <c r="AH130" i="1"/>
  <c r="AM130" i="1"/>
  <c r="AF130" i="1"/>
  <c r="AL130" i="1"/>
  <c r="AA130" i="1"/>
  <c r="AP166" i="1"/>
  <c r="AH166" i="1"/>
  <c r="AF166" i="1"/>
  <c r="AN166" i="1"/>
  <c r="AB166" i="1"/>
  <c r="AC206" i="1"/>
  <c r="AH206" i="1"/>
  <c r="AQ238" i="1"/>
  <c r="AF238" i="1"/>
  <c r="AP238" i="1"/>
  <c r="AE238" i="1"/>
  <c r="AN238" i="1"/>
  <c r="AD238" i="1"/>
  <c r="AM238" i="1"/>
  <c r="AC238" i="1"/>
  <c r="AL238" i="1"/>
  <c r="AB238" i="1"/>
  <c r="AK238" i="1"/>
  <c r="AA238" i="1"/>
  <c r="AJ238" i="1"/>
  <c r="AH238" i="1"/>
  <c r="AP270" i="1"/>
  <c r="AD270" i="1"/>
  <c r="AO270" i="1"/>
  <c r="AB270" i="1"/>
  <c r="AM270" i="1"/>
  <c r="AA270" i="1"/>
  <c r="AL270" i="1"/>
  <c r="AI270" i="1"/>
  <c r="AQ270" i="1"/>
  <c r="AH270" i="1"/>
  <c r="AG270" i="1"/>
  <c r="AE270" i="1"/>
  <c r="AJ302" i="1"/>
  <c r="AP302" i="1"/>
  <c r="AI302" i="1"/>
  <c r="AB302" i="1"/>
  <c r="AK366" i="1"/>
  <c r="AH366" i="1"/>
  <c r="AG366" i="1"/>
  <c r="AF366" i="1"/>
  <c r="AE366" i="1"/>
  <c r="AC366" i="1"/>
  <c r="AP366" i="1"/>
  <c r="AO366" i="1"/>
  <c r="AM366" i="1"/>
  <c r="AO89" i="1"/>
  <c r="AM89" i="1"/>
  <c r="AN89" i="1"/>
  <c r="AA89" i="1"/>
  <c r="AH89" i="1"/>
  <c r="AQ381" i="1"/>
  <c r="AJ381" i="1"/>
  <c r="AG381" i="1"/>
  <c r="AF381" i="1"/>
  <c r="AP381" i="1"/>
  <c r="AE381" i="1"/>
  <c r="AO381" i="1"/>
  <c r="AC381" i="1"/>
  <c r="AN381" i="1"/>
  <c r="AB381" i="1"/>
  <c r="AM381" i="1"/>
  <c r="AK381" i="1"/>
  <c r="AA381" i="1"/>
  <c r="AQ413" i="1"/>
  <c r="AJ413" i="1"/>
  <c r="AG413" i="1"/>
  <c r="AF413" i="1"/>
  <c r="AP413" i="1"/>
  <c r="AE413" i="1"/>
  <c r="AO413" i="1"/>
  <c r="AC413" i="1"/>
  <c r="AN413" i="1"/>
  <c r="AB413" i="1"/>
  <c r="AM413" i="1"/>
  <c r="AK413" i="1"/>
  <c r="AA413" i="1"/>
  <c r="AL445" i="1"/>
  <c r="AQ445" i="1"/>
  <c r="AI445" i="1"/>
  <c r="AH445" i="1"/>
  <c r="AE445" i="1"/>
  <c r="AC445" i="1"/>
  <c r="AA445" i="1"/>
  <c r="AM477" i="1"/>
  <c r="AK477" i="1"/>
  <c r="AK509" i="1"/>
  <c r="AM509" i="1"/>
  <c r="AF509" i="1"/>
  <c r="AE509" i="1"/>
  <c r="AD509" i="1"/>
  <c r="AI541" i="1"/>
  <c r="AA541" i="1"/>
  <c r="AK541" i="1"/>
  <c r="AP170" i="1"/>
  <c r="AN170" i="1"/>
  <c r="AH170" i="1"/>
  <c r="AF170" i="1"/>
  <c r="AL170" i="1"/>
  <c r="AA170" i="1"/>
  <c r="AQ402" i="1"/>
  <c r="AK402" i="1"/>
  <c r="AG402" i="1"/>
  <c r="AF402" i="1"/>
  <c r="AP402" i="1"/>
  <c r="AE402" i="1"/>
  <c r="AO402" i="1"/>
  <c r="AD402" i="1"/>
  <c r="AN402" i="1"/>
  <c r="AM402" i="1"/>
  <c r="AL402" i="1"/>
  <c r="AC402" i="1"/>
  <c r="AA402" i="1"/>
  <c r="AN434" i="1"/>
  <c r="AG434" i="1"/>
  <c r="AF434" i="1"/>
  <c r="AD434" i="1"/>
  <c r="AB434" i="1"/>
  <c r="AP434" i="1"/>
  <c r="AI434" i="1"/>
  <c r="AD498" i="1"/>
  <c r="AA498" i="1"/>
  <c r="AQ498" i="1"/>
  <c r="AP498" i="1"/>
  <c r="AI498" i="1"/>
  <c r="AN498" i="1"/>
  <c r="AH498" i="1"/>
  <c r="AI530" i="1"/>
  <c r="AQ530" i="1"/>
  <c r="AN530" i="1"/>
  <c r="AK530" i="1"/>
  <c r="AG530" i="1"/>
  <c r="AC530" i="1"/>
  <c r="AD530" i="1"/>
  <c r="AJ95" i="1"/>
  <c r="AG95" i="1"/>
  <c r="AQ95" i="1"/>
  <c r="AF95" i="1"/>
  <c r="AO95" i="1"/>
  <c r="AE95" i="1"/>
  <c r="AN95" i="1"/>
  <c r="AD95" i="1"/>
  <c r="AM95" i="1"/>
  <c r="AC95" i="1"/>
  <c r="AL95" i="1"/>
  <c r="AK95" i="1"/>
  <c r="AI95" i="1"/>
  <c r="AA95" i="1"/>
  <c r="AJ127" i="1"/>
  <c r="AQ127" i="1"/>
  <c r="AF127" i="1"/>
  <c r="AO127" i="1"/>
  <c r="AE127" i="1"/>
  <c r="AN127" i="1"/>
  <c r="AD127" i="1"/>
  <c r="AM127" i="1"/>
  <c r="AC127" i="1"/>
  <c r="AL127" i="1"/>
  <c r="AA127" i="1"/>
  <c r="AI127" i="1"/>
  <c r="AK127" i="1"/>
  <c r="AG127" i="1"/>
  <c r="AJ159" i="1"/>
  <c r="AO159" i="1"/>
  <c r="AE159" i="1"/>
  <c r="AN159" i="1"/>
  <c r="AD159" i="1"/>
  <c r="AM159" i="1"/>
  <c r="AC159" i="1"/>
  <c r="AL159" i="1"/>
  <c r="AA159" i="1"/>
  <c r="AK159" i="1"/>
  <c r="AI159" i="1"/>
  <c r="AQ159" i="1"/>
  <c r="AG159" i="1"/>
  <c r="AF159" i="1"/>
  <c r="AJ191" i="1"/>
  <c r="AC191" i="1"/>
  <c r="AN191" i="1"/>
  <c r="AM191" i="1"/>
  <c r="AF191" i="1"/>
  <c r="AD191" i="1"/>
  <c r="AO191" i="1"/>
  <c r="AQ223" i="1"/>
  <c r="AO223" i="1"/>
  <c r="AB223" i="1"/>
  <c r="AI255" i="1"/>
  <c r="AQ255" i="1"/>
  <c r="AO255" i="1"/>
  <c r="AK255" i="1"/>
  <c r="AH255" i="1"/>
  <c r="AG255" i="1"/>
  <c r="AC255" i="1"/>
  <c r="AA255" i="1"/>
  <c r="AK287" i="1"/>
  <c r="AF287" i="1"/>
  <c r="AO319" i="1"/>
  <c r="AN319" i="1"/>
  <c r="AF319" i="1"/>
  <c r="AP351" i="1"/>
  <c r="AM351" i="1"/>
  <c r="AC351" i="1"/>
  <c r="AL351" i="1"/>
  <c r="AB351" i="1"/>
  <c r="AK351" i="1"/>
  <c r="AA351" i="1"/>
  <c r="AJ351" i="1"/>
  <c r="AI351" i="1"/>
  <c r="AF351" i="1"/>
  <c r="AQ351" i="1"/>
  <c r="AN351" i="1"/>
  <c r="AE351" i="1"/>
  <c r="AD351" i="1"/>
  <c r="AP383" i="1"/>
  <c r="AN383" i="1"/>
  <c r="AE383" i="1"/>
  <c r="AM383" i="1"/>
  <c r="AD383" i="1"/>
  <c r="AL383" i="1"/>
  <c r="AC383" i="1"/>
  <c r="AK383" i="1"/>
  <c r="AB383" i="1"/>
  <c r="AJ383" i="1"/>
  <c r="AA383" i="1"/>
  <c r="AI383" i="1"/>
  <c r="AQ383" i="1"/>
  <c r="AO383" i="1"/>
  <c r="AG383" i="1"/>
  <c r="AF383" i="1"/>
  <c r="AP415" i="1"/>
  <c r="AN415" i="1"/>
  <c r="AE415" i="1"/>
  <c r="AM415" i="1"/>
  <c r="AD415" i="1"/>
  <c r="AL415" i="1"/>
  <c r="AC415" i="1"/>
  <c r="AK415" i="1"/>
  <c r="AB415" i="1"/>
  <c r="AJ415" i="1"/>
  <c r="AA415" i="1"/>
  <c r="AI415" i="1"/>
  <c r="AQ415" i="1"/>
  <c r="AO415" i="1"/>
  <c r="AG415" i="1"/>
  <c r="AF415" i="1"/>
  <c r="AP447" i="1"/>
  <c r="AN447" i="1"/>
  <c r="AL447" i="1"/>
  <c r="AH479" i="1"/>
  <c r="AF479" i="1"/>
  <c r="AE479" i="1"/>
  <c r="AQ479" i="1"/>
  <c r="AC479" i="1"/>
  <c r="AP479" i="1"/>
  <c r="AB479" i="1"/>
  <c r="AN479" i="1"/>
  <c r="AL479" i="1"/>
  <c r="AI479" i="1"/>
  <c r="AK511" i="1"/>
  <c r="AO511" i="1"/>
  <c r="AE511" i="1"/>
  <c r="AN511" i="1"/>
  <c r="AD511" i="1"/>
  <c r="AM511" i="1"/>
  <c r="AB511" i="1"/>
  <c r="AL511" i="1"/>
  <c r="AA511" i="1"/>
  <c r="AJ511" i="1"/>
  <c r="AG511" i="1"/>
  <c r="AQ511" i="1"/>
  <c r="AI511" i="1"/>
  <c r="AF511" i="1"/>
  <c r="AK543" i="1"/>
  <c r="AG543" i="1"/>
  <c r="AQ543" i="1"/>
  <c r="AF543" i="1"/>
  <c r="AO543" i="1"/>
  <c r="AE543" i="1"/>
  <c r="AN543" i="1"/>
  <c r="AD543" i="1"/>
  <c r="AM543" i="1"/>
  <c r="AB543" i="1"/>
  <c r="AJ543" i="1"/>
  <c r="AL543" i="1"/>
  <c r="AI543" i="1"/>
  <c r="AA543" i="1"/>
  <c r="AD314" i="1"/>
  <c r="AB310" i="1"/>
  <c r="AQ310" i="1"/>
  <c r="AF282" i="1"/>
  <c r="AE250" i="1"/>
  <c r="AD246" i="1"/>
  <c r="AJ237" i="1"/>
  <c r="AM199" i="1"/>
  <c r="AG186" i="1"/>
  <c r="AP186" i="1"/>
  <c r="AI203" i="1"/>
  <c r="AM186" i="1"/>
  <c r="AA186" i="1"/>
  <c r="AA146" i="1"/>
  <c r="AE146" i="1"/>
  <c r="AP173" i="1"/>
  <c r="AE138" i="1"/>
  <c r="AH141" i="1"/>
  <c r="AA98" i="1"/>
  <c r="AJ86" i="1"/>
  <c r="AC173" i="1"/>
  <c r="AO173" i="1"/>
  <c r="AL141" i="1"/>
  <c r="AQ133" i="1"/>
  <c r="AG425" i="1"/>
  <c r="AL425" i="1"/>
  <c r="AL206" i="1"/>
  <c r="AP69" i="1"/>
  <c r="AE69" i="1"/>
  <c r="AD69" i="1"/>
  <c r="AQ69" i="1"/>
  <c r="AC69" i="1"/>
  <c r="AO69" i="1"/>
  <c r="AB69" i="1"/>
  <c r="AM69" i="1"/>
  <c r="AL69" i="1"/>
  <c r="AK69" i="1"/>
  <c r="AH69" i="1"/>
  <c r="AI69" i="1"/>
  <c r="AA69" i="1"/>
  <c r="AP125" i="1"/>
  <c r="AF125" i="1"/>
  <c r="AI125" i="1"/>
  <c r="AJ125" i="1"/>
  <c r="AE165" i="1"/>
  <c r="AB165" i="1"/>
  <c r="AP197" i="1"/>
  <c r="AD197" i="1"/>
  <c r="AO197" i="1"/>
  <c r="AB197" i="1"/>
  <c r="AN197" i="1"/>
  <c r="AA197" i="1"/>
  <c r="AL197" i="1"/>
  <c r="AI197" i="1"/>
  <c r="AH197" i="1"/>
  <c r="AQ197" i="1"/>
  <c r="AG197" i="1"/>
  <c r="AF197" i="1"/>
  <c r="AJ229" i="1"/>
  <c r="AB229" i="1"/>
  <c r="AP229" i="1"/>
  <c r="AN229" i="1"/>
  <c r="AD229" i="1"/>
  <c r="AK229" i="1"/>
  <c r="AP265" i="1"/>
  <c r="AG265" i="1"/>
  <c r="AQ265" i="1"/>
  <c r="AF265" i="1"/>
  <c r="AO265" i="1"/>
  <c r="AD265" i="1"/>
  <c r="AN265" i="1"/>
  <c r="AC265" i="1"/>
  <c r="AL265" i="1"/>
  <c r="AB265" i="1"/>
  <c r="AK265" i="1"/>
  <c r="AA265" i="1"/>
  <c r="AJ265" i="1"/>
  <c r="AI265" i="1"/>
  <c r="AP297" i="1"/>
  <c r="AL297" i="1"/>
  <c r="AB297" i="1"/>
  <c r="AK297" i="1"/>
  <c r="AA297" i="1"/>
  <c r="AJ297" i="1"/>
  <c r="AI297" i="1"/>
  <c r="AG297" i="1"/>
  <c r="AQ297" i="1"/>
  <c r="AO297" i="1"/>
  <c r="AN297" i="1"/>
  <c r="AF297" i="1"/>
  <c r="AD297" i="1"/>
  <c r="AC297" i="1"/>
  <c r="AK329" i="1"/>
  <c r="AN329" i="1"/>
  <c r="AB329" i="1"/>
  <c r="AM329" i="1"/>
  <c r="AL329" i="1"/>
  <c r="AJ329" i="1"/>
  <c r="AG329" i="1"/>
  <c r="AF329" i="1"/>
  <c r="AO329" i="1"/>
  <c r="AE329" i="1"/>
  <c r="AD329" i="1"/>
  <c r="AH365" i="1"/>
  <c r="AN365" i="1"/>
  <c r="AM365" i="1"/>
  <c r="AI365" i="1"/>
  <c r="AF365" i="1"/>
  <c r="AE365" i="1"/>
  <c r="AB365" i="1"/>
  <c r="AP365" i="1"/>
  <c r="AO365" i="1"/>
  <c r="AA365" i="1"/>
  <c r="AP74" i="1"/>
  <c r="AA74" i="1"/>
  <c r="AN74" i="1"/>
  <c r="AM74" i="1"/>
  <c r="AI74" i="1"/>
  <c r="AH74" i="1"/>
  <c r="AC74" i="1"/>
  <c r="AG74" i="1"/>
  <c r="AF74" i="1"/>
  <c r="AQ74" i="1"/>
  <c r="AE74" i="1"/>
  <c r="AH134" i="1"/>
  <c r="AE134" i="1"/>
  <c r="AK134" i="1"/>
  <c r="AG134" i="1"/>
  <c r="AP174" i="1"/>
  <c r="AN174" i="1"/>
  <c r="AH174" i="1"/>
  <c r="AF174" i="1"/>
  <c r="AC174" i="1"/>
  <c r="AP210" i="1"/>
  <c r="AB210" i="1"/>
  <c r="AO210" i="1"/>
  <c r="AL210" i="1"/>
  <c r="AJ210" i="1"/>
  <c r="AH210" i="1"/>
  <c r="AG210" i="1"/>
  <c r="AE210" i="1"/>
  <c r="AD210" i="1"/>
  <c r="AI210" i="1"/>
  <c r="AN242" i="1"/>
  <c r="AM242" i="1"/>
  <c r="AE242" i="1"/>
  <c r="AC242" i="1"/>
  <c r="AF242" i="1"/>
  <c r="AM274" i="1"/>
  <c r="AI274" i="1"/>
  <c r="AH274" i="1"/>
  <c r="AG274" i="1"/>
  <c r="AE274" i="1"/>
  <c r="AP274" i="1"/>
  <c r="AO274" i="1"/>
  <c r="AD274" i="1"/>
  <c r="AB274" i="1"/>
  <c r="AQ274" i="1"/>
  <c r="AO306" i="1"/>
  <c r="AJ306" i="1"/>
  <c r="AB306" i="1"/>
  <c r="AQ338" i="1"/>
  <c r="AE338" i="1"/>
  <c r="AD338" i="1"/>
  <c r="AC338" i="1"/>
  <c r="AB338" i="1"/>
  <c r="AM338" i="1"/>
  <c r="AL338" i="1"/>
  <c r="AK338" i="1"/>
  <c r="AJ338" i="1"/>
  <c r="AE370" i="1"/>
  <c r="AD370" i="1"/>
  <c r="AP370" i="1"/>
  <c r="AN370" i="1"/>
  <c r="AK370" i="1"/>
  <c r="AH370" i="1"/>
  <c r="AG370" i="1"/>
  <c r="AF370" i="1"/>
  <c r="AO93" i="1"/>
  <c r="AM93" i="1"/>
  <c r="AQ93" i="1"/>
  <c r="AQ385" i="1"/>
  <c r="AK385" i="1"/>
  <c r="AJ385" i="1"/>
  <c r="AG385" i="1"/>
  <c r="AF385" i="1"/>
  <c r="AP385" i="1"/>
  <c r="AE385" i="1"/>
  <c r="AO385" i="1"/>
  <c r="AC385" i="1"/>
  <c r="AN385" i="1"/>
  <c r="AM385" i="1"/>
  <c r="AB385" i="1"/>
  <c r="AA385" i="1"/>
  <c r="AQ417" i="1"/>
  <c r="AK417" i="1"/>
  <c r="AJ417" i="1"/>
  <c r="AG417" i="1"/>
  <c r="AF417" i="1"/>
  <c r="AP417" i="1"/>
  <c r="AE417" i="1"/>
  <c r="AO417" i="1"/>
  <c r="AC417" i="1"/>
  <c r="AB417" i="1"/>
  <c r="AA417" i="1"/>
  <c r="AN417" i="1"/>
  <c r="AM417" i="1"/>
  <c r="AH449" i="1"/>
  <c r="AF449" i="1"/>
  <c r="AD449" i="1"/>
  <c r="AC449" i="1"/>
  <c r="AN449" i="1"/>
  <c r="AB449" i="1"/>
  <c r="AM449" i="1"/>
  <c r="AL449" i="1"/>
  <c r="AJ449" i="1"/>
  <c r="AQ513" i="1"/>
  <c r="AC513" i="1"/>
  <c r="AH78" i="1"/>
  <c r="AO78" i="1"/>
  <c r="AN78" i="1"/>
  <c r="AI78" i="1"/>
  <c r="AG78" i="1"/>
  <c r="AF78" i="1"/>
  <c r="AQ78" i="1"/>
  <c r="AP78" i="1"/>
  <c r="AE78" i="1"/>
  <c r="AC78" i="1"/>
  <c r="AB78" i="1"/>
  <c r="AM182" i="1"/>
  <c r="AJ182" i="1"/>
  <c r="AH182" i="1"/>
  <c r="AG182" i="1"/>
  <c r="AF182" i="1"/>
  <c r="AE182" i="1"/>
  <c r="AP182" i="1"/>
  <c r="AO182" i="1"/>
  <c r="AB182" i="1"/>
  <c r="AQ406" i="1"/>
  <c r="AL406" i="1"/>
  <c r="AK406" i="1"/>
  <c r="AG406" i="1"/>
  <c r="AF406" i="1"/>
  <c r="AP406" i="1"/>
  <c r="AE406" i="1"/>
  <c r="AD406" i="1"/>
  <c r="AC406" i="1"/>
  <c r="AA406" i="1"/>
  <c r="AO406" i="1"/>
  <c r="AN406" i="1"/>
  <c r="AM406" i="1"/>
  <c r="AL438" i="1"/>
  <c r="AA438" i="1"/>
  <c r="AK438" i="1"/>
  <c r="AJ438" i="1"/>
  <c r="AH438" i="1"/>
  <c r="AG438" i="1"/>
  <c r="AQ438" i="1"/>
  <c r="AF438" i="1"/>
  <c r="AC438" i="1"/>
  <c r="AB438" i="1"/>
  <c r="AP438" i="1"/>
  <c r="AO438" i="1"/>
  <c r="AB470" i="1"/>
  <c r="AN470" i="1"/>
  <c r="AK470" i="1"/>
  <c r="AI470" i="1"/>
  <c r="AF470" i="1"/>
  <c r="AE470" i="1"/>
  <c r="AC470" i="1"/>
  <c r="AH502" i="1"/>
  <c r="AG502" i="1"/>
  <c r="AF502" i="1"/>
  <c r="AQ502" i="1"/>
  <c r="AB502" i="1"/>
  <c r="AP502" i="1"/>
  <c r="AA502" i="1"/>
  <c r="AJ502" i="1"/>
  <c r="AO502" i="1"/>
  <c r="AI502" i="1"/>
  <c r="AP534" i="1"/>
  <c r="AL534" i="1"/>
  <c r="AK534" i="1"/>
  <c r="AA534" i="1"/>
  <c r="AJ99" i="1"/>
  <c r="AI99" i="1"/>
  <c r="AG99" i="1"/>
  <c r="AQ99" i="1"/>
  <c r="AF99" i="1"/>
  <c r="AO99" i="1"/>
  <c r="AE99" i="1"/>
  <c r="AN99" i="1"/>
  <c r="AD99" i="1"/>
  <c r="AM99" i="1"/>
  <c r="AL99" i="1"/>
  <c r="AC99" i="1"/>
  <c r="AA99" i="1"/>
  <c r="AK99" i="1"/>
  <c r="AH99" i="1"/>
  <c r="AJ131" i="1"/>
  <c r="AN131" i="1"/>
  <c r="AD131" i="1"/>
  <c r="AM131" i="1"/>
  <c r="AC131" i="1"/>
  <c r="AL131" i="1"/>
  <c r="AA131" i="1"/>
  <c r="AK131" i="1"/>
  <c r="AI131" i="1"/>
  <c r="AQ131" i="1"/>
  <c r="AF131" i="1"/>
  <c r="AO131" i="1"/>
  <c r="AG131" i="1"/>
  <c r="AE131" i="1"/>
  <c r="AH131" i="1"/>
  <c r="AJ163" i="1"/>
  <c r="AL163" i="1"/>
  <c r="AA163" i="1"/>
  <c r="AK163" i="1"/>
  <c r="AI163" i="1"/>
  <c r="AG163" i="1"/>
  <c r="AQ163" i="1"/>
  <c r="AF163" i="1"/>
  <c r="AO163" i="1"/>
  <c r="AE163" i="1"/>
  <c r="AN163" i="1"/>
  <c r="AM163" i="1"/>
  <c r="AD163" i="1"/>
  <c r="AC163" i="1"/>
  <c r="AH163" i="1"/>
  <c r="AH195" i="1"/>
  <c r="AF195" i="1"/>
  <c r="AE195" i="1"/>
  <c r="AC195" i="1"/>
  <c r="AP195" i="1"/>
  <c r="AM195" i="1"/>
  <c r="AJ195" i="1"/>
  <c r="AO195" i="1"/>
  <c r="AD195" i="1"/>
  <c r="AP227" i="1"/>
  <c r="AN227" i="1"/>
  <c r="AI227" i="1"/>
  <c r="AA227" i="1"/>
  <c r="AH227" i="1"/>
  <c r="AA259" i="1"/>
  <c r="AO259" i="1"/>
  <c r="AN259" i="1"/>
  <c r="AJ259" i="1"/>
  <c r="AI259" i="1"/>
  <c r="AF259" i="1"/>
  <c r="AB259" i="1"/>
  <c r="AM259" i="1"/>
  <c r="AP291" i="1"/>
  <c r="AB291" i="1"/>
  <c r="AO291" i="1"/>
  <c r="AM291" i="1"/>
  <c r="AJ291" i="1"/>
  <c r="AH291" i="1"/>
  <c r="AG291" i="1"/>
  <c r="AF291" i="1"/>
  <c r="AE291" i="1"/>
  <c r="AO323" i="1"/>
  <c r="AH323" i="1"/>
  <c r="AP355" i="1"/>
  <c r="AI355" i="1"/>
  <c r="AF355" i="1"/>
  <c r="AQ355" i="1"/>
  <c r="AE355" i="1"/>
  <c r="AN355" i="1"/>
  <c r="AD355" i="1"/>
  <c r="AM355" i="1"/>
  <c r="AC355" i="1"/>
  <c r="AL355" i="1"/>
  <c r="AB355" i="1"/>
  <c r="AK355" i="1"/>
  <c r="AJ355" i="1"/>
  <c r="AA355" i="1"/>
  <c r="AP387" i="1"/>
  <c r="AO387" i="1"/>
  <c r="AF387" i="1"/>
  <c r="AN387" i="1"/>
  <c r="AE387" i="1"/>
  <c r="AM387" i="1"/>
  <c r="AD387" i="1"/>
  <c r="AL387" i="1"/>
  <c r="AC387" i="1"/>
  <c r="AK387" i="1"/>
  <c r="AB387" i="1"/>
  <c r="AJ387" i="1"/>
  <c r="AA387" i="1"/>
  <c r="AQ387" i="1"/>
  <c r="AI387" i="1"/>
  <c r="AG387" i="1"/>
  <c r="AP419" i="1"/>
  <c r="AN419" i="1"/>
  <c r="AE419" i="1"/>
  <c r="AM419" i="1"/>
  <c r="AD419" i="1"/>
  <c r="AL419" i="1"/>
  <c r="AC419" i="1"/>
  <c r="AK419" i="1"/>
  <c r="AB419" i="1"/>
  <c r="AJ419" i="1"/>
  <c r="AA419" i="1"/>
  <c r="AI419" i="1"/>
  <c r="AG419" i="1"/>
  <c r="AF419" i="1"/>
  <c r="AQ419" i="1"/>
  <c r="AO419" i="1"/>
  <c r="AO451" i="1"/>
  <c r="AH451" i="1"/>
  <c r="AF451" i="1"/>
  <c r="AD451" i="1"/>
  <c r="AB451" i="1"/>
  <c r="AJ451" i="1"/>
  <c r="AM483" i="1"/>
  <c r="AJ483" i="1"/>
  <c r="AI483" i="1"/>
  <c r="AF483" i="1"/>
  <c r="AD483" i="1"/>
  <c r="AC483" i="1"/>
  <c r="AP483" i="1"/>
  <c r="AK515" i="1"/>
  <c r="AG515" i="1"/>
  <c r="AQ515" i="1"/>
  <c r="AF515" i="1"/>
  <c r="AO515" i="1"/>
  <c r="AE515" i="1"/>
  <c r="AN515" i="1"/>
  <c r="AD515" i="1"/>
  <c r="AM515" i="1"/>
  <c r="AB515" i="1"/>
  <c r="AJ515" i="1"/>
  <c r="AL515" i="1"/>
  <c r="AI515" i="1"/>
  <c r="AA515" i="1"/>
  <c r="AH73" i="1"/>
  <c r="AE73" i="1"/>
  <c r="AC73" i="1"/>
  <c r="AQ73" i="1"/>
  <c r="AB73" i="1"/>
  <c r="AP73" i="1"/>
  <c r="AO73" i="1"/>
  <c r="AM73" i="1"/>
  <c r="AI73" i="1"/>
  <c r="AG73" i="1"/>
  <c r="AF73" i="1"/>
  <c r="AG137" i="1"/>
  <c r="AB137" i="1"/>
  <c r="AP137" i="1"/>
  <c r="AJ137" i="1"/>
  <c r="AO137" i="1"/>
  <c r="AH137" i="1"/>
  <c r="AN137" i="1"/>
  <c r="AQ137" i="1"/>
  <c r="AO169" i="1"/>
  <c r="AK169" i="1"/>
  <c r="AH169" i="1"/>
  <c r="AM201" i="1"/>
  <c r="AL201" i="1"/>
  <c r="AJ201" i="1"/>
  <c r="AI201" i="1"/>
  <c r="AG201" i="1"/>
  <c r="AF201" i="1"/>
  <c r="AQ201" i="1"/>
  <c r="AD201" i="1"/>
  <c r="AO201" i="1"/>
  <c r="AB201" i="1"/>
  <c r="AN201" i="1"/>
  <c r="AA201" i="1"/>
  <c r="AP233" i="1"/>
  <c r="AH233" i="1"/>
  <c r="AF233" i="1"/>
  <c r="AE233" i="1"/>
  <c r="AO233" i="1"/>
  <c r="AD233" i="1"/>
  <c r="AN233" i="1"/>
  <c r="AC233" i="1"/>
  <c r="AM233" i="1"/>
  <c r="AB233" i="1"/>
  <c r="AL233" i="1"/>
  <c r="AK233" i="1"/>
  <c r="AP269" i="1"/>
  <c r="AK269" i="1"/>
  <c r="AA269" i="1"/>
  <c r="AJ269" i="1"/>
  <c r="AI269" i="1"/>
  <c r="AG269" i="1"/>
  <c r="AQ269" i="1"/>
  <c r="AF269" i="1"/>
  <c r="AC269" i="1"/>
  <c r="AB269" i="1"/>
  <c r="AO269" i="1"/>
  <c r="AN269" i="1"/>
  <c r="AL269" i="1"/>
  <c r="AD269" i="1"/>
  <c r="AP301" i="1"/>
  <c r="AQ301" i="1"/>
  <c r="AF301" i="1"/>
  <c r="AO301" i="1"/>
  <c r="AD301" i="1"/>
  <c r="AN301" i="1"/>
  <c r="AC301" i="1"/>
  <c r="AL301" i="1"/>
  <c r="AB301" i="1"/>
  <c r="AK301" i="1"/>
  <c r="AA301" i="1"/>
  <c r="AJ301" i="1"/>
  <c r="AI301" i="1"/>
  <c r="AG301" i="1"/>
  <c r="AK333" i="1"/>
  <c r="AM333" i="1"/>
  <c r="AL333" i="1"/>
  <c r="AJ333" i="1"/>
  <c r="AG333" i="1"/>
  <c r="AF333" i="1"/>
  <c r="AE333" i="1"/>
  <c r="AO333" i="1"/>
  <c r="AN333" i="1"/>
  <c r="AD333" i="1"/>
  <c r="AB333" i="1"/>
  <c r="AI369" i="1"/>
  <c r="AF369" i="1"/>
  <c r="AE369" i="1"/>
  <c r="AB369" i="1"/>
  <c r="AQ369" i="1"/>
  <c r="AP369" i="1"/>
  <c r="AO369" i="1"/>
  <c r="AN369" i="1"/>
  <c r="AG369" i="1"/>
  <c r="AE82" i="1"/>
  <c r="AC82" i="1"/>
  <c r="AN82" i="1"/>
  <c r="AM82" i="1"/>
  <c r="AK82" i="1"/>
  <c r="AH82" i="1"/>
  <c r="AA82" i="1"/>
  <c r="AP138" i="1"/>
  <c r="AM138" i="1"/>
  <c r="AH138" i="1"/>
  <c r="AF138" i="1"/>
  <c r="AN138" i="1"/>
  <c r="AC138" i="1"/>
  <c r="AP178" i="1"/>
  <c r="AF178" i="1"/>
  <c r="AN178" i="1"/>
  <c r="AH178" i="1"/>
  <c r="AQ178" i="1"/>
  <c r="AB178" i="1"/>
  <c r="AN214" i="1"/>
  <c r="AL214" i="1"/>
  <c r="AJ214" i="1"/>
  <c r="AF214" i="1"/>
  <c r="AC214" i="1"/>
  <c r="AB214" i="1"/>
  <c r="AE214" i="1"/>
  <c r="AQ246" i="1"/>
  <c r="AJ246" i="1"/>
  <c r="AF246" i="1"/>
  <c r="AE246" i="1"/>
  <c r="AC246" i="1"/>
  <c r="AA246" i="1"/>
  <c r="AP246" i="1"/>
  <c r="AN246" i="1"/>
  <c r="AL246" i="1"/>
  <c r="AO278" i="1"/>
  <c r="AE278" i="1"/>
  <c r="AD278" i="1"/>
  <c r="AN278" i="1"/>
  <c r="AO310" i="1"/>
  <c r="AH310" i="1"/>
  <c r="AQ342" i="1"/>
  <c r="AJ342" i="1"/>
  <c r="AE342" i="1"/>
  <c r="AD342" i="1"/>
  <c r="AC342" i="1"/>
  <c r="AB342" i="1"/>
  <c r="AM342" i="1"/>
  <c r="AL342" i="1"/>
  <c r="AK342" i="1"/>
  <c r="AL374" i="1"/>
  <c r="AG374" i="1"/>
  <c r="AP129" i="1"/>
  <c r="AO129" i="1"/>
  <c r="AJ129" i="1"/>
  <c r="AH129" i="1"/>
  <c r="AB129" i="1"/>
  <c r="AG129" i="1"/>
  <c r="AK129" i="1"/>
  <c r="AQ389" i="1"/>
  <c r="AM389" i="1"/>
  <c r="AA389" i="1"/>
  <c r="AK389" i="1"/>
  <c r="AJ389" i="1"/>
  <c r="AG389" i="1"/>
  <c r="AF389" i="1"/>
  <c r="AP389" i="1"/>
  <c r="AE389" i="1"/>
  <c r="AC389" i="1"/>
  <c r="AB389" i="1"/>
  <c r="AO389" i="1"/>
  <c r="AN389" i="1"/>
  <c r="AI421" i="1"/>
  <c r="AH421" i="1"/>
  <c r="AG421" i="1"/>
  <c r="AA421" i="1"/>
  <c r="AQ421" i="1"/>
  <c r="AM421" i="1"/>
  <c r="AK421" i="1"/>
  <c r="AD453" i="1"/>
  <c r="AB453" i="1"/>
  <c r="AM517" i="1"/>
  <c r="AK517" i="1"/>
  <c r="AF517" i="1"/>
  <c r="AC517" i="1"/>
  <c r="AB517" i="1"/>
  <c r="AQ517" i="1"/>
  <c r="AP517" i="1"/>
  <c r="AA517" i="1"/>
  <c r="AM94" i="1"/>
  <c r="AK94" i="1"/>
  <c r="AH94" i="1"/>
  <c r="AE94" i="1"/>
  <c r="AC94" i="1"/>
  <c r="AN94" i="1"/>
  <c r="AI94" i="1"/>
  <c r="AM378" i="1"/>
  <c r="AH378" i="1"/>
  <c r="AC378" i="1"/>
  <c r="AQ410" i="1"/>
  <c r="AM410" i="1"/>
  <c r="AA410" i="1"/>
  <c r="AL410" i="1"/>
  <c r="AK410" i="1"/>
  <c r="AG410" i="1"/>
  <c r="AF410" i="1"/>
  <c r="AP410" i="1"/>
  <c r="AE410" i="1"/>
  <c r="AD410" i="1"/>
  <c r="AC410" i="1"/>
  <c r="AO410" i="1"/>
  <c r="AN410" i="1"/>
  <c r="AQ442" i="1"/>
  <c r="AP442" i="1"/>
  <c r="AN442" i="1"/>
  <c r="AI538" i="1"/>
  <c r="AN538" i="1"/>
  <c r="AL538" i="1"/>
  <c r="AG538" i="1"/>
  <c r="AC538" i="1"/>
  <c r="AA538" i="1"/>
  <c r="AQ538" i="1"/>
  <c r="AJ103" i="1"/>
  <c r="AO103" i="1"/>
  <c r="AE103" i="1"/>
  <c r="AN103" i="1"/>
  <c r="AD103" i="1"/>
  <c r="AM103" i="1"/>
  <c r="AC103" i="1"/>
  <c r="AL103" i="1"/>
  <c r="AA103" i="1"/>
  <c r="AK103" i="1"/>
  <c r="AG103" i="1"/>
  <c r="AF103" i="1"/>
  <c r="AQ103" i="1"/>
  <c r="AI103" i="1"/>
  <c r="AJ135" i="1"/>
  <c r="AK135" i="1"/>
  <c r="AI135" i="1"/>
  <c r="AG135" i="1"/>
  <c r="AQ135" i="1"/>
  <c r="AF135" i="1"/>
  <c r="AO135" i="1"/>
  <c r="AE135" i="1"/>
  <c r="AM135" i="1"/>
  <c r="AC135" i="1"/>
  <c r="AN135" i="1"/>
  <c r="AL135" i="1"/>
  <c r="AD135" i="1"/>
  <c r="AA135" i="1"/>
  <c r="AJ167" i="1"/>
  <c r="AG167" i="1"/>
  <c r="AQ167" i="1"/>
  <c r="AF167" i="1"/>
  <c r="AO167" i="1"/>
  <c r="AE167" i="1"/>
  <c r="AN167" i="1"/>
  <c r="AD167" i="1"/>
  <c r="AM167" i="1"/>
  <c r="AC167" i="1"/>
  <c r="AL167" i="1"/>
  <c r="AA167" i="1"/>
  <c r="AK167" i="1"/>
  <c r="AI167" i="1"/>
  <c r="AK199" i="1"/>
  <c r="AN199" i="1"/>
  <c r="AE199" i="1"/>
  <c r="AB199" i="1"/>
  <c r="AC199" i="1"/>
  <c r="AQ199" i="1"/>
  <c r="AP231" i="1"/>
  <c r="AK231" i="1"/>
  <c r="AJ231" i="1"/>
  <c r="AH231" i="1"/>
  <c r="AF231" i="1"/>
  <c r="AQ231" i="1"/>
  <c r="AD231" i="1"/>
  <c r="AO231" i="1"/>
  <c r="AC231" i="1"/>
  <c r="AB231" i="1"/>
  <c r="AA231" i="1"/>
  <c r="AN231" i="1"/>
  <c r="AL231" i="1"/>
  <c r="AF263" i="1"/>
  <c r="AC263" i="1"/>
  <c r="AP263" i="1"/>
  <c r="AB263" i="1"/>
  <c r="AO263" i="1"/>
  <c r="AA263" i="1"/>
  <c r="AL263" i="1"/>
  <c r="AK263" i="1"/>
  <c r="AJ263" i="1"/>
  <c r="AG263" i="1"/>
  <c r="AG295" i="1"/>
  <c r="AF295" i="1"/>
  <c r="AE295" i="1"/>
  <c r="AP295" i="1"/>
  <c r="AB295" i="1"/>
  <c r="AO295" i="1"/>
  <c r="AM295" i="1"/>
  <c r="AJ295" i="1"/>
  <c r="AH295" i="1"/>
  <c r="AQ327" i="1"/>
  <c r="AC327" i="1"/>
  <c r="AP327" i="1"/>
  <c r="AB327" i="1"/>
  <c r="AN327" i="1"/>
  <c r="AA327" i="1"/>
  <c r="AL327" i="1"/>
  <c r="AK327" i="1"/>
  <c r="AI327" i="1"/>
  <c r="AH327" i="1"/>
  <c r="AD327" i="1"/>
  <c r="AP359" i="1"/>
  <c r="AN359" i="1"/>
  <c r="AD359" i="1"/>
  <c r="AM359" i="1"/>
  <c r="AC359" i="1"/>
  <c r="AL359" i="1"/>
  <c r="AB359" i="1"/>
  <c r="AK359" i="1"/>
  <c r="AA359" i="1"/>
  <c r="AJ359" i="1"/>
  <c r="AI359" i="1"/>
  <c r="AQ359" i="1"/>
  <c r="AF359" i="1"/>
  <c r="AE359" i="1"/>
  <c r="AP391" i="1"/>
  <c r="AQ391" i="1"/>
  <c r="AG391" i="1"/>
  <c r="AO391" i="1"/>
  <c r="AF391" i="1"/>
  <c r="AN391" i="1"/>
  <c r="AE391" i="1"/>
  <c r="AM391" i="1"/>
  <c r="AD391" i="1"/>
  <c r="AL391" i="1"/>
  <c r="AC391" i="1"/>
  <c r="AK391" i="1"/>
  <c r="AB391" i="1"/>
  <c r="AJ391" i="1"/>
  <c r="AI391" i="1"/>
  <c r="AA391" i="1"/>
  <c r="AP423" i="1"/>
  <c r="AO423" i="1"/>
  <c r="AF423" i="1"/>
  <c r="AN423" i="1"/>
  <c r="AE423" i="1"/>
  <c r="AM423" i="1"/>
  <c r="AD423" i="1"/>
  <c r="AL423" i="1"/>
  <c r="AC423" i="1"/>
  <c r="AK423" i="1"/>
  <c r="AB423" i="1"/>
  <c r="AJ423" i="1"/>
  <c r="AA423" i="1"/>
  <c r="AQ423" i="1"/>
  <c r="AI423" i="1"/>
  <c r="AG423" i="1"/>
  <c r="AQ487" i="1"/>
  <c r="AK487" i="1"/>
  <c r="AJ487" i="1"/>
  <c r="AE487" i="1"/>
  <c r="AK519" i="1"/>
  <c r="AM519" i="1"/>
  <c r="AB519" i="1"/>
  <c r="AL519" i="1"/>
  <c r="AA519" i="1"/>
  <c r="AJ519" i="1"/>
  <c r="AI519" i="1"/>
  <c r="AG519" i="1"/>
  <c r="AO519" i="1"/>
  <c r="AE519" i="1"/>
  <c r="AQ519" i="1"/>
  <c r="AN519" i="1"/>
  <c r="AF519" i="1"/>
  <c r="AD519" i="1"/>
  <c r="AP88" i="1"/>
  <c r="AO88" i="1"/>
  <c r="AF88" i="1"/>
  <c r="AN88" i="1"/>
  <c r="AE88" i="1"/>
  <c r="AM88" i="1"/>
  <c r="AD88" i="1"/>
  <c r="AL88" i="1"/>
  <c r="AC88" i="1"/>
  <c r="AK88" i="1"/>
  <c r="AB88" i="1"/>
  <c r="AQ88" i="1"/>
  <c r="AJ88" i="1"/>
  <c r="AI88" i="1"/>
  <c r="AG88" i="1"/>
  <c r="AA88" i="1"/>
  <c r="AP156" i="1"/>
  <c r="AJ156" i="1"/>
  <c r="AA156" i="1"/>
  <c r="AI156" i="1"/>
  <c r="AQ156" i="1"/>
  <c r="AG156" i="1"/>
  <c r="AO156" i="1"/>
  <c r="AF156" i="1"/>
  <c r="AN156" i="1"/>
  <c r="AE156" i="1"/>
  <c r="AM156" i="1"/>
  <c r="AD156" i="1"/>
  <c r="AL156" i="1"/>
  <c r="AK156" i="1"/>
  <c r="AC156" i="1"/>
  <c r="AB156" i="1"/>
  <c r="AK188" i="1"/>
  <c r="AI188" i="1"/>
  <c r="AH188" i="1"/>
  <c r="AF188" i="1"/>
  <c r="AD188" i="1"/>
  <c r="AQ188" i="1"/>
  <c r="AC188" i="1"/>
  <c r="AA188" i="1"/>
  <c r="AP188" i="1"/>
  <c r="AN188" i="1"/>
  <c r="AJ220" i="1"/>
  <c r="AH220" i="1"/>
  <c r="AG220" i="1"/>
  <c r="AE220" i="1"/>
  <c r="AQ220" i="1"/>
  <c r="AB220" i="1"/>
  <c r="AP220" i="1"/>
  <c r="AA220" i="1"/>
  <c r="AN220" i="1"/>
  <c r="AL220" i="1"/>
  <c r="AE288" i="1"/>
  <c r="AQ288" i="1"/>
  <c r="AD288" i="1"/>
  <c r="AP288" i="1"/>
  <c r="AC288" i="1"/>
  <c r="AN288" i="1"/>
  <c r="AM288" i="1"/>
  <c r="AI288" i="1"/>
  <c r="AH288" i="1"/>
  <c r="AF288" i="1"/>
  <c r="AJ320" i="1"/>
  <c r="AN320" i="1"/>
  <c r="AM320" i="1"/>
  <c r="AL320" i="1"/>
  <c r="AK320" i="1"/>
  <c r="AF320" i="1"/>
  <c r="AE320" i="1"/>
  <c r="AD320" i="1"/>
  <c r="AC320" i="1"/>
  <c r="AI352" i="1"/>
  <c r="AH352" i="1"/>
  <c r="AG352" i="1"/>
  <c r="AD352" i="1"/>
  <c r="AB352" i="1"/>
  <c r="AQ352" i="1"/>
  <c r="AP352" i="1"/>
  <c r="AL352" i="1"/>
  <c r="AQ384" i="1"/>
  <c r="AE384" i="1"/>
  <c r="AP384" i="1"/>
  <c r="AD384" i="1"/>
  <c r="AO384" i="1"/>
  <c r="AC384" i="1"/>
  <c r="AM384" i="1"/>
  <c r="AB384" i="1"/>
  <c r="AL384" i="1"/>
  <c r="AA384" i="1"/>
  <c r="AK384" i="1"/>
  <c r="AJ384" i="1"/>
  <c r="AG384" i="1"/>
  <c r="AQ416" i="1"/>
  <c r="AE416" i="1"/>
  <c r="AP416" i="1"/>
  <c r="AD416" i="1"/>
  <c r="AO416" i="1"/>
  <c r="AC416" i="1"/>
  <c r="AM416" i="1"/>
  <c r="AB416" i="1"/>
  <c r="AL416" i="1"/>
  <c r="AA416" i="1"/>
  <c r="AK416" i="1"/>
  <c r="AJ416" i="1"/>
  <c r="AG416" i="1"/>
  <c r="AL448" i="1"/>
  <c r="AO448" i="1"/>
  <c r="AN448" i="1"/>
  <c r="AF480" i="1"/>
  <c r="AA480" i="1"/>
  <c r="AP480" i="1"/>
  <c r="AK480" i="1"/>
  <c r="AJ480" i="1"/>
  <c r="AH480" i="1"/>
  <c r="AG480" i="1"/>
  <c r="AL512" i="1"/>
  <c r="AK512" i="1"/>
  <c r="AJ512" i="1"/>
  <c r="AE512" i="1"/>
  <c r="AC512" i="1"/>
  <c r="AB512" i="1"/>
  <c r="AM512" i="1"/>
  <c r="AP544" i="1"/>
  <c r="AK544" i="1"/>
  <c r="AL544" i="1"/>
  <c r="AD544" i="1"/>
  <c r="AP92" i="1"/>
  <c r="AQ92" i="1"/>
  <c r="AG92" i="1"/>
  <c r="AO92" i="1"/>
  <c r="AF92" i="1"/>
  <c r="AN92" i="1"/>
  <c r="AE92" i="1"/>
  <c r="AM92" i="1"/>
  <c r="AD92" i="1"/>
  <c r="AL92" i="1"/>
  <c r="AC92" i="1"/>
  <c r="AK92" i="1"/>
  <c r="AJ92" i="1"/>
  <c r="AB92" i="1"/>
  <c r="AA92" i="1"/>
  <c r="AI92" i="1"/>
  <c r="AP124" i="1"/>
  <c r="AK124" i="1"/>
  <c r="AB124" i="1"/>
  <c r="AJ124" i="1"/>
  <c r="AA124" i="1"/>
  <c r="AI124" i="1"/>
  <c r="AQ124" i="1"/>
  <c r="AG124" i="1"/>
  <c r="AO124" i="1"/>
  <c r="AF124" i="1"/>
  <c r="AM124" i="1"/>
  <c r="AD124" i="1"/>
  <c r="AN124" i="1"/>
  <c r="AL124" i="1"/>
  <c r="AE124" i="1"/>
  <c r="AC124" i="1"/>
  <c r="AP160" i="1"/>
  <c r="AO160" i="1"/>
  <c r="AF160" i="1"/>
  <c r="AN160" i="1"/>
  <c r="AE160" i="1"/>
  <c r="AM160" i="1"/>
  <c r="AD160" i="1"/>
  <c r="AL160" i="1"/>
  <c r="AC160" i="1"/>
  <c r="AK160" i="1"/>
  <c r="AB160" i="1"/>
  <c r="AJ160" i="1"/>
  <c r="AA160" i="1"/>
  <c r="AI160" i="1"/>
  <c r="AG160" i="1"/>
  <c r="AQ160" i="1"/>
  <c r="AI192" i="1"/>
  <c r="AH192" i="1"/>
  <c r="AQ224" i="1"/>
  <c r="AO224" i="1"/>
  <c r="AL260" i="1"/>
  <c r="AD260" i="1"/>
  <c r="AQ260" i="1"/>
  <c r="AP260" i="1"/>
  <c r="AI260" i="1"/>
  <c r="AE260" i="1"/>
  <c r="AP292" i="1"/>
  <c r="AN292" i="1"/>
  <c r="AL292" i="1"/>
  <c r="AK292" i="1"/>
  <c r="AE292" i="1"/>
  <c r="AD292" i="1"/>
  <c r="AC292" i="1"/>
  <c r="AJ324" i="1"/>
  <c r="AF324" i="1"/>
  <c r="AE324" i="1"/>
  <c r="AD324" i="1"/>
  <c r="AC324" i="1"/>
  <c r="AN324" i="1"/>
  <c r="AM324" i="1"/>
  <c r="AL324" i="1"/>
  <c r="AK324" i="1"/>
  <c r="AG356" i="1"/>
  <c r="AQ356" i="1"/>
  <c r="AJ356" i="1"/>
  <c r="AI356" i="1"/>
  <c r="AH356" i="1"/>
  <c r="AQ388" i="1"/>
  <c r="AG388" i="1"/>
  <c r="AE388" i="1"/>
  <c r="AP388" i="1"/>
  <c r="AD388" i="1"/>
  <c r="AO388" i="1"/>
  <c r="AC388" i="1"/>
  <c r="AM388" i="1"/>
  <c r="AB388" i="1"/>
  <c r="AL388" i="1"/>
  <c r="AA388" i="1"/>
  <c r="AK388" i="1"/>
  <c r="AJ388" i="1"/>
  <c r="AK484" i="1"/>
  <c r="AI484" i="1"/>
  <c r="AH484" i="1"/>
  <c r="AG484" i="1"/>
  <c r="AB484" i="1"/>
  <c r="AQ484" i="1"/>
  <c r="AL484" i="1"/>
  <c r="AA484" i="1"/>
  <c r="AP545" i="1"/>
  <c r="AQ545" i="1"/>
  <c r="AC545" i="1"/>
  <c r="AN545" i="1"/>
  <c r="AB545" i="1"/>
  <c r="AM545" i="1"/>
  <c r="AA545" i="1"/>
  <c r="AK545" i="1"/>
  <c r="AJ545" i="1"/>
  <c r="AF545" i="1"/>
  <c r="AI545" i="1"/>
  <c r="AE545" i="1"/>
  <c r="AP185" i="1"/>
  <c r="AA185" i="1"/>
  <c r="AO185" i="1"/>
  <c r="AL185" i="1"/>
  <c r="AI185" i="1"/>
  <c r="AH185" i="1"/>
  <c r="AG185" i="1"/>
  <c r="AQ185" i="1"/>
  <c r="AF185" i="1"/>
  <c r="AD185" i="1"/>
  <c r="AH217" i="1"/>
  <c r="AK217" i="1"/>
  <c r="AG217" i="1"/>
  <c r="AF217" i="1"/>
  <c r="AD217" i="1"/>
  <c r="AB217" i="1"/>
  <c r="AP217" i="1"/>
  <c r="AO217" i="1"/>
  <c r="AM217" i="1"/>
  <c r="AH249" i="1"/>
  <c r="AD249" i="1"/>
  <c r="AB249" i="1"/>
  <c r="AP249" i="1"/>
  <c r="AO249" i="1"/>
  <c r="AM249" i="1"/>
  <c r="AK249" i="1"/>
  <c r="AG249" i="1"/>
  <c r="AF249" i="1"/>
  <c r="AP285" i="1"/>
  <c r="AL285" i="1"/>
  <c r="AB285" i="1"/>
  <c r="AK285" i="1"/>
  <c r="AA285" i="1"/>
  <c r="AJ285" i="1"/>
  <c r="AI285" i="1"/>
  <c r="AG285" i="1"/>
  <c r="AC285" i="1"/>
  <c r="AQ285" i="1"/>
  <c r="AO285" i="1"/>
  <c r="AN285" i="1"/>
  <c r="AF285" i="1"/>
  <c r="AD285" i="1"/>
  <c r="AP317" i="1"/>
  <c r="AN317" i="1"/>
  <c r="AC317" i="1"/>
  <c r="AL317" i="1"/>
  <c r="AB317" i="1"/>
  <c r="AK317" i="1"/>
  <c r="AA317" i="1"/>
  <c r="AJ317" i="1"/>
  <c r="AI317" i="1"/>
  <c r="AG317" i="1"/>
  <c r="AQ317" i="1"/>
  <c r="AO317" i="1"/>
  <c r="AF317" i="1"/>
  <c r="AD317" i="1"/>
  <c r="AP62" i="1"/>
  <c r="AE62" i="1"/>
  <c r="AQ62" i="1"/>
  <c r="AC62" i="1"/>
  <c r="AO62" i="1"/>
  <c r="AB62" i="1"/>
  <c r="AN62" i="1"/>
  <c r="AM62" i="1"/>
  <c r="AK62" i="1"/>
  <c r="AF62" i="1"/>
  <c r="AH62" i="1"/>
  <c r="AP114" i="1"/>
  <c r="AH114" i="1"/>
  <c r="AF114" i="1"/>
  <c r="AN114" i="1"/>
  <c r="AM114" i="1"/>
  <c r="AP158" i="1"/>
  <c r="AN158" i="1"/>
  <c r="AH158" i="1"/>
  <c r="AF158" i="1"/>
  <c r="AL198" i="1"/>
  <c r="AJ198" i="1"/>
  <c r="AH198" i="1"/>
  <c r="AG198" i="1"/>
  <c r="AE198" i="1"/>
  <c r="AB198" i="1"/>
  <c r="AO198" i="1"/>
  <c r="AP230" i="1"/>
  <c r="AE230" i="1"/>
  <c r="AQ230" i="1"/>
  <c r="AD230" i="1"/>
  <c r="AN230" i="1"/>
  <c r="AC230" i="1"/>
  <c r="AM230" i="1"/>
  <c r="AB230" i="1"/>
  <c r="AL230" i="1"/>
  <c r="AA230" i="1"/>
  <c r="AK230" i="1"/>
  <c r="AJ230" i="1"/>
  <c r="AH230" i="1"/>
  <c r="AI262" i="1"/>
  <c r="AK262" i="1"/>
  <c r="AH262" i="1"/>
  <c r="AE262" i="1"/>
  <c r="AD262" i="1"/>
  <c r="AC262" i="1"/>
  <c r="AQ262" i="1"/>
  <c r="AA262" i="1"/>
  <c r="AP262" i="1"/>
  <c r="AM262" i="1"/>
  <c r="AJ294" i="1"/>
  <c r="AB294" i="1"/>
  <c r="AP294" i="1"/>
  <c r="AI294" i="1"/>
  <c r="AH294" i="1"/>
  <c r="AL326" i="1"/>
  <c r="AJ326" i="1"/>
  <c r="AH358" i="1"/>
  <c r="AM358" i="1"/>
  <c r="AK358" i="1"/>
  <c r="AF358" i="1"/>
  <c r="AE358" i="1"/>
  <c r="AD358" i="1"/>
  <c r="AP358" i="1"/>
  <c r="AC358" i="1"/>
  <c r="AO358" i="1"/>
  <c r="AN358" i="1"/>
  <c r="AI373" i="1"/>
  <c r="AQ373" i="1"/>
  <c r="AA373" i="1"/>
  <c r="AP373" i="1"/>
  <c r="AO373" i="1"/>
  <c r="AM373" i="1"/>
  <c r="AH373" i="1"/>
  <c r="AG373" i="1"/>
  <c r="AF373" i="1"/>
  <c r="AE373" i="1"/>
  <c r="AQ405" i="1"/>
  <c r="AF405" i="1"/>
  <c r="AP405" i="1"/>
  <c r="AE405" i="1"/>
  <c r="AO405" i="1"/>
  <c r="AC405" i="1"/>
  <c r="AN405" i="1"/>
  <c r="AB405" i="1"/>
  <c r="AM405" i="1"/>
  <c r="AA405" i="1"/>
  <c r="AK405" i="1"/>
  <c r="AJ405" i="1"/>
  <c r="AG405" i="1"/>
  <c r="AH437" i="1"/>
  <c r="AF437" i="1"/>
  <c r="AQ437" i="1"/>
  <c r="AE437" i="1"/>
  <c r="AP437" i="1"/>
  <c r="AC437" i="1"/>
  <c r="AN437" i="1"/>
  <c r="AB437" i="1"/>
  <c r="AL437" i="1"/>
  <c r="AA437" i="1"/>
  <c r="AK437" i="1"/>
  <c r="AJ437" i="1"/>
  <c r="AM469" i="1"/>
  <c r="AK469" i="1"/>
  <c r="AI469" i="1"/>
  <c r="AD469" i="1"/>
  <c r="AB469" i="1"/>
  <c r="AJ501" i="1"/>
  <c r="AB501" i="1"/>
  <c r="AQ501" i="1"/>
  <c r="AK501" i="1"/>
  <c r="AI533" i="1"/>
  <c r="AH533" i="1"/>
  <c r="AF533" i="1"/>
  <c r="AE533" i="1"/>
  <c r="AB533" i="1"/>
  <c r="AP533" i="1"/>
  <c r="AA533" i="1"/>
  <c r="AQ533" i="1"/>
  <c r="AM533" i="1"/>
  <c r="AP122" i="1"/>
  <c r="AN122" i="1"/>
  <c r="AM122" i="1"/>
  <c r="AH122" i="1"/>
  <c r="AF122" i="1"/>
  <c r="AQ394" i="1"/>
  <c r="AF394" i="1"/>
  <c r="AP394" i="1"/>
  <c r="AE394" i="1"/>
  <c r="AO394" i="1"/>
  <c r="AD394" i="1"/>
  <c r="AN394" i="1"/>
  <c r="AC394" i="1"/>
  <c r="AM394" i="1"/>
  <c r="AA394" i="1"/>
  <c r="AL394" i="1"/>
  <c r="AK394" i="1"/>
  <c r="AG394" i="1"/>
  <c r="AJ426" i="1"/>
  <c r="AK426" i="1"/>
  <c r="AI426" i="1"/>
  <c r="AG426" i="1"/>
  <c r="AQ426" i="1"/>
  <c r="AF426" i="1"/>
  <c r="AO426" i="1"/>
  <c r="AE426" i="1"/>
  <c r="AN426" i="1"/>
  <c r="AD426" i="1"/>
  <c r="AC426" i="1"/>
  <c r="AA426" i="1"/>
  <c r="AM426" i="1"/>
  <c r="AL426" i="1"/>
  <c r="AO458" i="1"/>
  <c r="AN458" i="1"/>
  <c r="AH458" i="1"/>
  <c r="AF458" i="1"/>
  <c r="AP458" i="1"/>
  <c r="AF490" i="1"/>
  <c r="AE490" i="1"/>
  <c r="AD490" i="1"/>
  <c r="AP490" i="1"/>
  <c r="AC490" i="1"/>
  <c r="AO490" i="1"/>
  <c r="AN490" i="1"/>
  <c r="AJ490" i="1"/>
  <c r="AH490" i="1"/>
  <c r="AL522" i="1"/>
  <c r="AH522" i="1"/>
  <c r="AF522" i="1"/>
  <c r="AD522" i="1"/>
  <c r="AA522" i="1"/>
  <c r="AQ522" i="1"/>
  <c r="AO522" i="1"/>
  <c r="AJ87" i="1"/>
  <c r="AO87" i="1"/>
  <c r="AE87" i="1"/>
  <c r="AN87" i="1"/>
  <c r="AD87" i="1"/>
  <c r="AM87" i="1"/>
  <c r="AC87" i="1"/>
  <c r="AL87" i="1"/>
  <c r="AA87" i="1"/>
  <c r="AK87" i="1"/>
  <c r="AI87" i="1"/>
  <c r="AG87" i="1"/>
  <c r="AF87" i="1"/>
  <c r="AQ87" i="1"/>
  <c r="AJ119" i="1"/>
  <c r="AM119" i="1"/>
  <c r="AC119" i="1"/>
  <c r="AL119" i="1"/>
  <c r="AA119" i="1"/>
  <c r="AK119" i="1"/>
  <c r="AI119" i="1"/>
  <c r="AG119" i="1"/>
  <c r="AO119" i="1"/>
  <c r="AE119" i="1"/>
  <c r="AQ119" i="1"/>
  <c r="AN119" i="1"/>
  <c r="AF119" i="1"/>
  <c r="AD119" i="1"/>
  <c r="AJ151" i="1"/>
  <c r="AM151" i="1"/>
  <c r="AC151" i="1"/>
  <c r="AL151" i="1"/>
  <c r="AA151" i="1"/>
  <c r="AK151" i="1"/>
  <c r="AI151" i="1"/>
  <c r="AG151" i="1"/>
  <c r="AQ151" i="1"/>
  <c r="AF151" i="1"/>
  <c r="AO151" i="1"/>
  <c r="AE151" i="1"/>
  <c r="AN151" i="1"/>
  <c r="AD151" i="1"/>
  <c r="AL183" i="1"/>
  <c r="AJ183" i="1"/>
  <c r="AH183" i="1"/>
  <c r="AE183" i="1"/>
  <c r="AB183" i="1"/>
  <c r="AP183" i="1"/>
  <c r="AQ215" i="1"/>
  <c r="AO215" i="1"/>
  <c r="AL215" i="1"/>
  <c r="AJ215" i="1"/>
  <c r="AG215" i="1"/>
  <c r="AF215" i="1"/>
  <c r="AC215" i="1"/>
  <c r="AP215" i="1"/>
  <c r="AA215" i="1"/>
  <c r="AQ247" i="1"/>
  <c r="AG247" i="1"/>
  <c r="AF247" i="1"/>
  <c r="AC247" i="1"/>
  <c r="AA247" i="1"/>
  <c r="AP247" i="1"/>
  <c r="AO247" i="1"/>
  <c r="AL247" i="1"/>
  <c r="AJ247" i="1"/>
  <c r="AJ279" i="1"/>
  <c r="AN279" i="1"/>
  <c r="AH279" i="1"/>
  <c r="AG279" i="1"/>
  <c r="AC279" i="1"/>
  <c r="AM311" i="1"/>
  <c r="AH311" i="1"/>
  <c r="AG311" i="1"/>
  <c r="AF311" i="1"/>
  <c r="AE311" i="1"/>
  <c r="AO311" i="1"/>
  <c r="AN311" i="1"/>
  <c r="AK343" i="1"/>
  <c r="AH343" i="1"/>
  <c r="AC343" i="1"/>
  <c r="AB343" i="1"/>
  <c r="AA343" i="1"/>
  <c r="AQ343" i="1"/>
  <c r="AJ343" i="1"/>
  <c r="AP375" i="1"/>
  <c r="AN375" i="1"/>
  <c r="AD375" i="1"/>
  <c r="AM375" i="1"/>
  <c r="AC375" i="1"/>
  <c r="AL375" i="1"/>
  <c r="AB375" i="1"/>
  <c r="AK375" i="1"/>
  <c r="AA375" i="1"/>
  <c r="AJ375" i="1"/>
  <c r="AI375" i="1"/>
  <c r="AQ375" i="1"/>
  <c r="AF375" i="1"/>
  <c r="AE375" i="1"/>
  <c r="AP407" i="1"/>
  <c r="AL407" i="1"/>
  <c r="AC407" i="1"/>
  <c r="AK407" i="1"/>
  <c r="AB407" i="1"/>
  <c r="AJ407" i="1"/>
  <c r="AA407" i="1"/>
  <c r="AI407" i="1"/>
  <c r="AQ407" i="1"/>
  <c r="AG407" i="1"/>
  <c r="AO407" i="1"/>
  <c r="AN407" i="1"/>
  <c r="AM407" i="1"/>
  <c r="AF407" i="1"/>
  <c r="AE407" i="1"/>
  <c r="AD407" i="1"/>
  <c r="AQ439" i="1"/>
  <c r="AF439" i="1"/>
  <c r="AP439" i="1"/>
  <c r="AD439" i="1"/>
  <c r="AO439" i="1"/>
  <c r="AB439" i="1"/>
  <c r="AM439" i="1"/>
  <c r="AA439" i="1"/>
  <c r="AL439" i="1"/>
  <c r="AJ439" i="1"/>
  <c r="AH439" i="1"/>
  <c r="AG439" i="1"/>
  <c r="AL471" i="1"/>
  <c r="AN471" i="1"/>
  <c r="AK535" i="1"/>
  <c r="AJ535" i="1"/>
  <c r="AI535" i="1"/>
  <c r="AG535" i="1"/>
  <c r="AQ535" i="1"/>
  <c r="AF535" i="1"/>
  <c r="AO535" i="1"/>
  <c r="AE535" i="1"/>
  <c r="AM535" i="1"/>
  <c r="AB535" i="1"/>
  <c r="AN535" i="1"/>
  <c r="AL535" i="1"/>
  <c r="AD535" i="1"/>
  <c r="AA535" i="1"/>
  <c r="AP136" i="1"/>
  <c r="AK136" i="1"/>
  <c r="AB136" i="1"/>
  <c r="AJ136" i="1"/>
  <c r="AA136" i="1"/>
  <c r="AI136" i="1"/>
  <c r="AQ136" i="1"/>
  <c r="AG136" i="1"/>
  <c r="AO136" i="1"/>
  <c r="AF136" i="1"/>
  <c r="AM136" i="1"/>
  <c r="AD136" i="1"/>
  <c r="AE136" i="1"/>
  <c r="AC136" i="1"/>
  <c r="AN136" i="1"/>
  <c r="AL136" i="1"/>
  <c r="AP168" i="1"/>
  <c r="AI168" i="1"/>
  <c r="AQ168" i="1"/>
  <c r="AG168" i="1"/>
  <c r="AO168" i="1"/>
  <c r="AF168" i="1"/>
  <c r="AN168" i="1"/>
  <c r="AE168" i="1"/>
  <c r="AM168" i="1"/>
  <c r="AD168" i="1"/>
  <c r="AL168" i="1"/>
  <c r="AC168" i="1"/>
  <c r="AB168" i="1"/>
  <c r="AA168" i="1"/>
  <c r="AK168" i="1"/>
  <c r="AJ168" i="1"/>
  <c r="AK200" i="1"/>
  <c r="AI200" i="1"/>
  <c r="AQ236" i="1"/>
  <c r="AL236" i="1"/>
  <c r="AG236" i="1"/>
  <c r="AD236" i="1"/>
  <c r="AB236" i="1"/>
  <c r="AP236" i="1"/>
  <c r="AM236" i="1"/>
  <c r="AM268" i="1"/>
  <c r="AL268" i="1"/>
  <c r="AK268" i="1"/>
  <c r="AF268" i="1"/>
  <c r="AA268" i="1"/>
  <c r="AL300" i="1"/>
  <c r="AK300" i="1"/>
  <c r="AE300" i="1"/>
  <c r="AD300" i="1"/>
  <c r="AC300" i="1"/>
  <c r="AP300" i="1"/>
  <c r="AN300" i="1"/>
  <c r="AD332" i="1"/>
  <c r="AP332" i="1"/>
  <c r="AA332" i="1"/>
  <c r="AO332" i="1"/>
  <c r="AL332" i="1"/>
  <c r="AI332" i="1"/>
  <c r="AH332" i="1"/>
  <c r="AG332" i="1"/>
  <c r="AF332" i="1"/>
  <c r="AL364" i="1"/>
  <c r="AI364" i="1"/>
  <c r="AB364" i="1"/>
  <c r="AQ396" i="1"/>
  <c r="AK396" i="1"/>
  <c r="AJ396" i="1"/>
  <c r="AG396" i="1"/>
  <c r="AE396" i="1"/>
  <c r="AP396" i="1"/>
  <c r="AD396" i="1"/>
  <c r="AO396" i="1"/>
  <c r="AM396" i="1"/>
  <c r="AL396" i="1"/>
  <c r="AC396" i="1"/>
  <c r="AB396" i="1"/>
  <c r="AA396" i="1"/>
  <c r="AO428" i="1"/>
  <c r="AM428" i="1"/>
  <c r="AQ428" i="1"/>
  <c r="AP428" i="1"/>
  <c r="AQ460" i="1"/>
  <c r="AL460" i="1"/>
  <c r="AB460" i="1"/>
  <c r="AK460" i="1"/>
  <c r="AJ460" i="1"/>
  <c r="AG460" i="1"/>
  <c r="AF460" i="1"/>
  <c r="AO460" i="1"/>
  <c r="AN460" i="1"/>
  <c r="AM460" i="1"/>
  <c r="AE460" i="1"/>
  <c r="AD460" i="1"/>
  <c r="AC460" i="1"/>
  <c r="AN492" i="1"/>
  <c r="AD492" i="1"/>
  <c r="AM492" i="1"/>
  <c r="AC492" i="1"/>
  <c r="AL492" i="1"/>
  <c r="AB492" i="1"/>
  <c r="AK492" i="1"/>
  <c r="AH492" i="1"/>
  <c r="AP492" i="1"/>
  <c r="AF492" i="1"/>
  <c r="AG492" i="1"/>
  <c r="AE492" i="1"/>
  <c r="AO492" i="1"/>
  <c r="AP524" i="1"/>
  <c r="AM524" i="1"/>
  <c r="AL524" i="1"/>
  <c r="AK524" i="1"/>
  <c r="AD524" i="1"/>
  <c r="AB524" i="1"/>
  <c r="AC524" i="1"/>
  <c r="AP140" i="1"/>
  <c r="AI140" i="1"/>
  <c r="AQ140" i="1"/>
  <c r="AG140" i="1"/>
  <c r="AO140" i="1"/>
  <c r="AF140" i="1"/>
  <c r="AN140" i="1"/>
  <c r="AE140" i="1"/>
  <c r="AM140" i="1"/>
  <c r="AD140" i="1"/>
  <c r="AK140" i="1"/>
  <c r="AB140" i="1"/>
  <c r="AL140" i="1"/>
  <c r="AC140" i="1"/>
  <c r="AA140" i="1"/>
  <c r="AJ140" i="1"/>
  <c r="AP172" i="1"/>
  <c r="AN172" i="1"/>
  <c r="AE172" i="1"/>
  <c r="AM172" i="1"/>
  <c r="AD172" i="1"/>
  <c r="AL172" i="1"/>
  <c r="AC172" i="1"/>
  <c r="AK172" i="1"/>
  <c r="AB172" i="1"/>
  <c r="AJ172" i="1"/>
  <c r="AA172" i="1"/>
  <c r="AI172" i="1"/>
  <c r="AQ172" i="1"/>
  <c r="AG172" i="1"/>
  <c r="AO172" i="1"/>
  <c r="AF172" i="1"/>
  <c r="AJ240" i="1"/>
  <c r="AH240" i="1"/>
  <c r="AQ240" i="1"/>
  <c r="AG240" i="1"/>
  <c r="AP240" i="1"/>
  <c r="AF240" i="1"/>
  <c r="AO240" i="1"/>
  <c r="AE240" i="1"/>
  <c r="AN240" i="1"/>
  <c r="AD240" i="1"/>
  <c r="AB240" i="1"/>
  <c r="AA240" i="1"/>
  <c r="AM240" i="1"/>
  <c r="AL240" i="1"/>
  <c r="AL272" i="1"/>
  <c r="AI272" i="1"/>
  <c r="AH272" i="1"/>
  <c r="AD272" i="1"/>
  <c r="AC272" i="1"/>
  <c r="AN272" i="1"/>
  <c r="AM272" i="1"/>
  <c r="AA272" i="1"/>
  <c r="AC304" i="1"/>
  <c r="AP304" i="1"/>
  <c r="AN304" i="1"/>
  <c r="AL304" i="1"/>
  <c r="AK304" i="1"/>
  <c r="AE304" i="1"/>
  <c r="AD304" i="1"/>
  <c r="AN336" i="1"/>
  <c r="AQ336" i="1"/>
  <c r="AO336" i="1"/>
  <c r="AF336" i="1"/>
  <c r="AA336" i="1"/>
  <c r="AO368" i="1"/>
  <c r="AC368" i="1"/>
  <c r="AB368" i="1"/>
  <c r="AQ400" i="1"/>
  <c r="AL400" i="1"/>
  <c r="AA400" i="1"/>
  <c r="AK400" i="1"/>
  <c r="AJ400" i="1"/>
  <c r="AG400" i="1"/>
  <c r="AE400" i="1"/>
  <c r="AB400" i="1"/>
  <c r="AP400" i="1"/>
  <c r="AO400" i="1"/>
  <c r="AM400" i="1"/>
  <c r="AD400" i="1"/>
  <c r="AC400" i="1"/>
  <c r="AK432" i="1"/>
  <c r="AE432" i="1"/>
  <c r="AC432" i="1"/>
  <c r="AQ432" i="1"/>
  <c r="AA432" i="1"/>
  <c r="AP432" i="1"/>
  <c r="AO432" i="1"/>
  <c r="AI432" i="1"/>
  <c r="AH432" i="1"/>
  <c r="AG432" i="1"/>
  <c r="AQ464" i="1"/>
  <c r="AM464" i="1"/>
  <c r="AC464" i="1"/>
  <c r="AL464" i="1"/>
  <c r="AB464" i="1"/>
  <c r="AK464" i="1"/>
  <c r="AJ464" i="1"/>
  <c r="AG464" i="1"/>
  <c r="AO464" i="1"/>
  <c r="AN464" i="1"/>
  <c r="AF464" i="1"/>
  <c r="AE464" i="1"/>
  <c r="AD464" i="1"/>
  <c r="AN496" i="1"/>
  <c r="AM496" i="1"/>
  <c r="AH496" i="1"/>
  <c r="AG496" i="1"/>
  <c r="AF496" i="1"/>
  <c r="AD496" i="1"/>
  <c r="AP496" i="1"/>
  <c r="AE496" i="1"/>
  <c r="AP144" i="1"/>
  <c r="AK144" i="1"/>
  <c r="AQ144" i="1"/>
  <c r="AO144" i="1"/>
  <c r="AN144" i="1"/>
  <c r="AE144" i="1"/>
  <c r="AD144" i="1"/>
  <c r="AM144" i="1"/>
  <c r="AC144" i="1"/>
  <c r="AL144" i="1"/>
  <c r="AB144" i="1"/>
  <c r="AJ144" i="1"/>
  <c r="AA144" i="1"/>
  <c r="AG144" i="1"/>
  <c r="AI144" i="1"/>
  <c r="AF144" i="1"/>
  <c r="AP176" i="1"/>
  <c r="AK176" i="1"/>
  <c r="AB176" i="1"/>
  <c r="AJ176" i="1"/>
  <c r="AA176" i="1"/>
  <c r="AI176" i="1"/>
  <c r="AQ176" i="1"/>
  <c r="AG176" i="1"/>
  <c r="AO176" i="1"/>
  <c r="AF176" i="1"/>
  <c r="AN176" i="1"/>
  <c r="AE176" i="1"/>
  <c r="AM176" i="1"/>
  <c r="AD176" i="1"/>
  <c r="AL176" i="1"/>
  <c r="AC176" i="1"/>
  <c r="AN208" i="1"/>
  <c r="AK208" i="1"/>
  <c r="AI208" i="1"/>
  <c r="AH208" i="1"/>
  <c r="AF208" i="1"/>
  <c r="AD208" i="1"/>
  <c r="AQ208" i="1"/>
  <c r="AP208" i="1"/>
  <c r="AC208" i="1"/>
  <c r="AA208" i="1"/>
  <c r="AO244" i="1"/>
  <c r="AI244" i="1"/>
  <c r="AE244" i="1"/>
  <c r="AP276" i="1"/>
  <c r="AK276" i="1"/>
  <c r="AI276" i="1"/>
  <c r="AE276" i="1"/>
  <c r="AJ308" i="1"/>
  <c r="AL308" i="1"/>
  <c r="AK308" i="1"/>
  <c r="AF308" i="1"/>
  <c r="AE308" i="1"/>
  <c r="AD308" i="1"/>
  <c r="AC308" i="1"/>
  <c r="AN308" i="1"/>
  <c r="AM308" i="1"/>
  <c r="AO340" i="1"/>
  <c r="AQ340" i="1"/>
  <c r="AF340" i="1"/>
  <c r="AA340" i="1"/>
  <c r="AH372" i="1"/>
  <c r="AC372" i="1"/>
  <c r="AB372" i="1"/>
  <c r="AP372" i="1"/>
  <c r="AA372" i="1"/>
  <c r="AO372" i="1"/>
  <c r="AL372" i="1"/>
  <c r="AK372" i="1"/>
  <c r="AI372" i="1"/>
  <c r="AD372" i="1"/>
  <c r="AQ404" i="1"/>
  <c r="AM404" i="1"/>
  <c r="AB404" i="1"/>
  <c r="AL404" i="1"/>
  <c r="AA404" i="1"/>
  <c r="AK404" i="1"/>
  <c r="AJ404" i="1"/>
  <c r="AG404" i="1"/>
  <c r="AO404" i="1"/>
  <c r="AE404" i="1"/>
  <c r="AD404" i="1"/>
  <c r="AC404" i="1"/>
  <c r="AP404" i="1"/>
  <c r="AO436" i="1"/>
  <c r="AP436" i="1"/>
  <c r="AP468" i="1"/>
  <c r="AQ468" i="1"/>
  <c r="AG468" i="1"/>
  <c r="AO468" i="1"/>
  <c r="AF468" i="1"/>
  <c r="AN468" i="1"/>
  <c r="AE468" i="1"/>
  <c r="AM468" i="1"/>
  <c r="AD468" i="1"/>
  <c r="AL468" i="1"/>
  <c r="AC468" i="1"/>
  <c r="AK468" i="1"/>
  <c r="AJ468" i="1"/>
  <c r="AI468" i="1"/>
  <c r="AB468" i="1"/>
  <c r="AA468" i="1"/>
  <c r="AO532" i="1"/>
  <c r="AC532" i="1"/>
  <c r="AM532" i="1"/>
  <c r="AB532" i="1"/>
  <c r="AL532" i="1"/>
  <c r="AJ532" i="1"/>
  <c r="AH532" i="1"/>
  <c r="AE532" i="1"/>
  <c r="AP532" i="1"/>
  <c r="AG532" i="1"/>
  <c r="AD532" i="1"/>
  <c r="AP148" i="1"/>
  <c r="AQ148" i="1"/>
  <c r="AG148" i="1"/>
  <c r="AO148" i="1"/>
  <c r="AF148" i="1"/>
  <c r="AN148" i="1"/>
  <c r="AE148" i="1"/>
  <c r="AM148" i="1"/>
  <c r="AD148" i="1"/>
  <c r="AL148" i="1"/>
  <c r="AC148" i="1"/>
  <c r="AK148" i="1"/>
  <c r="AB148" i="1"/>
  <c r="AJ148" i="1"/>
  <c r="AI148" i="1"/>
  <c r="AA148" i="1"/>
  <c r="AA212" i="1"/>
  <c r="AQ212" i="1"/>
  <c r="AN212" i="1"/>
  <c r="AK212" i="1"/>
  <c r="AI212" i="1"/>
  <c r="AH212" i="1"/>
  <c r="AF212" i="1"/>
  <c r="AD212" i="1"/>
  <c r="AQ248" i="1"/>
  <c r="AF248" i="1"/>
  <c r="AD248" i="1"/>
  <c r="AA248" i="1"/>
  <c r="AP248" i="1"/>
  <c r="AO248" i="1"/>
  <c r="AM248" i="1"/>
  <c r="AJ248" i="1"/>
  <c r="AG248" i="1"/>
  <c r="AK280" i="1"/>
  <c r="AA280" i="1"/>
  <c r="AQ280" i="1"/>
  <c r="AL280" i="1"/>
  <c r="AJ312" i="1"/>
  <c r="AK312" i="1"/>
  <c r="AF312" i="1"/>
  <c r="AE312" i="1"/>
  <c r="AD312" i="1"/>
  <c r="AC312" i="1"/>
  <c r="AN312" i="1"/>
  <c r="AM312" i="1"/>
  <c r="AL312" i="1"/>
  <c r="AP344" i="1"/>
  <c r="AF344" i="1"/>
  <c r="AA344" i="1"/>
  <c r="AI376" i="1"/>
  <c r="AO376" i="1"/>
  <c r="AL376" i="1"/>
  <c r="AG376" i="1"/>
  <c r="AD376" i="1"/>
  <c r="AC376" i="1"/>
  <c r="AB376" i="1"/>
  <c r="AQ376" i="1"/>
  <c r="AP376" i="1"/>
  <c r="AQ408" i="1"/>
  <c r="AO408" i="1"/>
  <c r="AC408" i="1"/>
  <c r="AM408" i="1"/>
  <c r="AB408" i="1"/>
  <c r="AL408" i="1"/>
  <c r="AA408" i="1"/>
  <c r="AK408" i="1"/>
  <c r="AJ408" i="1"/>
  <c r="AG408" i="1"/>
  <c r="AP408" i="1"/>
  <c r="AE408" i="1"/>
  <c r="AD408" i="1"/>
  <c r="AK440" i="1"/>
  <c r="AH440" i="1"/>
  <c r="AG440" i="1"/>
  <c r="AF440" i="1"/>
  <c r="AP440" i="1"/>
  <c r="AD440" i="1"/>
  <c r="AO440" i="1"/>
  <c r="AC440" i="1"/>
  <c r="AM440" i="1"/>
  <c r="AL440" i="1"/>
  <c r="AB440" i="1"/>
  <c r="AP472" i="1"/>
  <c r="AO472" i="1"/>
  <c r="AF472" i="1"/>
  <c r="AN472" i="1"/>
  <c r="AE472" i="1"/>
  <c r="AM472" i="1"/>
  <c r="AD472" i="1"/>
  <c r="AL472" i="1"/>
  <c r="AC472" i="1"/>
  <c r="AK472" i="1"/>
  <c r="AB472" i="1"/>
  <c r="AA472" i="1"/>
  <c r="AQ472" i="1"/>
  <c r="AJ472" i="1"/>
  <c r="AI472" i="1"/>
  <c r="AG472" i="1"/>
  <c r="AP504" i="1"/>
  <c r="AB504" i="1"/>
  <c r="AO504" i="1"/>
  <c r="AK504" i="1"/>
  <c r="AJ504" i="1"/>
  <c r="AH504" i="1"/>
  <c r="AF504" i="1"/>
  <c r="AG504" i="1"/>
  <c r="AC504" i="1"/>
  <c r="AP152" i="1"/>
  <c r="AM152" i="1"/>
  <c r="AD152" i="1"/>
  <c r="AL152" i="1"/>
  <c r="AC152" i="1"/>
  <c r="AK152" i="1"/>
  <c r="AB152" i="1"/>
  <c r="AJ152" i="1"/>
  <c r="AA152" i="1"/>
  <c r="AI152" i="1"/>
  <c r="AQ152" i="1"/>
  <c r="AG152" i="1"/>
  <c r="AO152" i="1"/>
  <c r="AN152" i="1"/>
  <c r="AF152" i="1"/>
  <c r="AE152" i="1"/>
  <c r="AH184" i="1"/>
  <c r="AF184" i="1"/>
  <c r="AQ184" i="1"/>
  <c r="AD184" i="1"/>
  <c r="AP184" i="1"/>
  <c r="AC184" i="1"/>
  <c r="AN184" i="1"/>
  <c r="AB184" i="1"/>
  <c r="AL184" i="1"/>
  <c r="AA184" i="1"/>
  <c r="AK184" i="1"/>
  <c r="AI184" i="1"/>
  <c r="AQ216" i="1"/>
  <c r="AM216" i="1"/>
  <c r="AJ216" i="1"/>
  <c r="AG216" i="1"/>
  <c r="AF216" i="1"/>
  <c r="AD216" i="1"/>
  <c r="AA216" i="1"/>
  <c r="AP216" i="1"/>
  <c r="AO216" i="1"/>
  <c r="AF252" i="1"/>
  <c r="AD252" i="1"/>
  <c r="AA252" i="1"/>
  <c r="AP252" i="1"/>
  <c r="AN252" i="1"/>
  <c r="AM252" i="1"/>
  <c r="AI252" i="1"/>
  <c r="AH252" i="1"/>
  <c r="AI284" i="1"/>
  <c r="AH284" i="1"/>
  <c r="AF284" i="1"/>
  <c r="AQ284" i="1"/>
  <c r="AE284" i="1"/>
  <c r="AP284" i="1"/>
  <c r="AD284" i="1"/>
  <c r="AN284" i="1"/>
  <c r="AM284" i="1"/>
  <c r="AL284" i="1"/>
  <c r="AC284" i="1"/>
  <c r="AA284" i="1"/>
  <c r="AJ316" i="1"/>
  <c r="AF316" i="1"/>
  <c r="AE316" i="1"/>
  <c r="AD316" i="1"/>
  <c r="AC316" i="1"/>
  <c r="AN316" i="1"/>
  <c r="AM316" i="1"/>
  <c r="AL316" i="1"/>
  <c r="AK316" i="1"/>
  <c r="AI348" i="1"/>
  <c r="AO348" i="1"/>
  <c r="AK348" i="1"/>
  <c r="AH348" i="1"/>
  <c r="AG348" i="1"/>
  <c r="AD348" i="1"/>
  <c r="AC348" i="1"/>
  <c r="AQ348" i="1"/>
  <c r="AP348" i="1"/>
  <c r="AA348" i="1"/>
  <c r="AQ380" i="1"/>
  <c r="AP380" i="1"/>
  <c r="AD380" i="1"/>
  <c r="AO380" i="1"/>
  <c r="AC380" i="1"/>
  <c r="AM380" i="1"/>
  <c r="AB380" i="1"/>
  <c r="AL380" i="1"/>
  <c r="AA380" i="1"/>
  <c r="AK380" i="1"/>
  <c r="AJ380" i="1"/>
  <c r="AG380" i="1"/>
  <c r="AE380" i="1"/>
  <c r="AQ412" i="1"/>
  <c r="AP412" i="1"/>
  <c r="AD412" i="1"/>
  <c r="AO412" i="1"/>
  <c r="AC412" i="1"/>
  <c r="AM412" i="1"/>
  <c r="AB412" i="1"/>
  <c r="AL412" i="1"/>
  <c r="AA412" i="1"/>
  <c r="AK412" i="1"/>
  <c r="AJ412" i="1"/>
  <c r="AG412" i="1"/>
  <c r="AE412" i="1"/>
  <c r="AN444" i="1"/>
  <c r="AL444" i="1"/>
  <c r="AJ444" i="1"/>
  <c r="AH444" i="1"/>
  <c r="AG444" i="1"/>
  <c r="AE444" i="1"/>
  <c r="AC444" i="1"/>
  <c r="AP476" i="1"/>
  <c r="AN476" i="1"/>
  <c r="AE476" i="1"/>
  <c r="AM476" i="1"/>
  <c r="AD476" i="1"/>
  <c r="AL476" i="1"/>
  <c r="AC476" i="1"/>
  <c r="AK476" i="1"/>
  <c r="AB476" i="1"/>
  <c r="AJ476" i="1"/>
  <c r="AA476" i="1"/>
  <c r="AQ476" i="1"/>
  <c r="AO476" i="1"/>
  <c r="AI476" i="1"/>
  <c r="AG476" i="1"/>
  <c r="AF476" i="1"/>
  <c r="AL508" i="1"/>
  <c r="AK508" i="1"/>
  <c r="AH508" i="1"/>
  <c r="AG508" i="1"/>
  <c r="AM508" i="1"/>
  <c r="AJ540" i="1"/>
  <c r="AP540" i="1"/>
  <c r="AO540" i="1"/>
  <c r="AL540" i="1"/>
  <c r="AH540" i="1"/>
  <c r="AG540" i="1"/>
  <c r="AD540" i="1"/>
  <c r="AE540" i="1"/>
  <c r="AB540" i="1"/>
  <c r="J25" i="12" l="1"/>
  <c r="K25" i="12" s="1"/>
  <c r="AT25" i="12"/>
  <c r="AU25" i="12" s="1"/>
  <c r="AN25" i="12"/>
  <c r="AO25" i="12" s="1"/>
  <c r="AH25" i="12"/>
  <c r="AI25" i="12" s="1"/>
  <c r="AB25" i="12"/>
  <c r="AC25" i="12" s="1"/>
  <c r="V25" i="12"/>
  <c r="W25" i="12" s="1"/>
  <c r="P25" i="12"/>
  <c r="Q25" i="12" s="1"/>
  <c r="G25" i="12"/>
  <c r="H25" i="12" s="1"/>
  <c r="M25" i="12"/>
  <c r="N25" i="12" s="1"/>
  <c r="AW25" i="12"/>
  <c r="AX25" i="12" s="1"/>
  <c r="AQ25" i="12"/>
  <c r="AR25" i="12" s="1"/>
  <c r="AK25" i="12"/>
  <c r="AL25" i="12" s="1"/>
  <c r="AE25" i="12"/>
  <c r="AF25" i="12" s="1"/>
  <c r="Y25" i="12"/>
  <c r="Z25" i="12" s="1"/>
  <c r="S25" i="12"/>
  <c r="T25" i="12" s="1"/>
  <c r="D25" i="12"/>
  <c r="E25" i="12" s="1"/>
  <c r="BE24" i="12"/>
  <c r="C25" i="12"/>
  <c r="AV25" i="12"/>
  <c r="AS25" i="12"/>
  <c r="AP25" i="12"/>
  <c r="AM25" i="12"/>
  <c r="AJ25" i="12"/>
  <c r="AG25" i="12"/>
  <c r="AD25" i="12"/>
  <c r="AA25" i="12"/>
  <c r="X25" i="12"/>
  <c r="U25" i="12"/>
  <c r="R25" i="12"/>
  <c r="O25" i="12"/>
  <c r="L25" i="12"/>
  <c r="I25" i="12"/>
  <c r="F25" i="12"/>
  <c r="A26" i="12"/>
  <c r="B26" i="12"/>
  <c r="AZ26" i="12"/>
  <c r="BA26" i="12"/>
  <c r="BQ25" i="12" l="1"/>
  <c r="BB25" i="12"/>
  <c r="J26" i="12"/>
  <c r="K26" i="12" s="1"/>
  <c r="AT26" i="12"/>
  <c r="AU26" i="12" s="1"/>
  <c r="AN26" i="12"/>
  <c r="AO26" i="12" s="1"/>
  <c r="AH26" i="12"/>
  <c r="AI26" i="12" s="1"/>
  <c r="AB26" i="12"/>
  <c r="AC26" i="12" s="1"/>
  <c r="V26" i="12"/>
  <c r="W26" i="12" s="1"/>
  <c r="P26" i="12"/>
  <c r="Q26" i="12" s="1"/>
  <c r="M26" i="12"/>
  <c r="N26" i="12" s="1"/>
  <c r="G26" i="12"/>
  <c r="H26" i="12" s="1"/>
  <c r="AW26" i="12"/>
  <c r="AQ26" i="12"/>
  <c r="AR26" i="12" s="1"/>
  <c r="AK26" i="12"/>
  <c r="AL26" i="12" s="1"/>
  <c r="AE26" i="12"/>
  <c r="AF26" i="12" s="1"/>
  <c r="Y26" i="12"/>
  <c r="Z26" i="12" s="1"/>
  <c r="S26" i="12"/>
  <c r="T26" i="12" s="1"/>
  <c r="D26" i="12"/>
  <c r="E26" i="12" s="1"/>
  <c r="BF25" i="12"/>
  <c r="BK25" i="12"/>
  <c r="BD25" i="12"/>
  <c r="BO25" i="12"/>
  <c r="BJ25" i="12"/>
  <c r="BP25" i="12"/>
  <c r="BN25" i="12"/>
  <c r="BI25" i="12"/>
  <c r="BC25" i="12"/>
  <c r="C26" i="12"/>
  <c r="AV26" i="12"/>
  <c r="AS26" i="12"/>
  <c r="AP26" i="12"/>
  <c r="AM26" i="12"/>
  <c r="AJ26" i="12"/>
  <c r="AG26" i="12"/>
  <c r="AD26" i="12"/>
  <c r="AA26" i="12"/>
  <c r="X26" i="12"/>
  <c r="U26" i="12"/>
  <c r="R26" i="12"/>
  <c r="O26" i="12"/>
  <c r="L26" i="12"/>
  <c r="I26" i="12"/>
  <c r="F26" i="12"/>
  <c r="B27" i="12"/>
  <c r="A27" i="12"/>
  <c r="BG25" i="12"/>
  <c r="BL25" i="12"/>
  <c r="BH25" i="12"/>
  <c r="BE25" i="12"/>
  <c r="BM25" i="12"/>
  <c r="AZ27" i="12"/>
  <c r="BA27" i="12"/>
  <c r="BQ26" i="12" l="1"/>
  <c r="AX26" i="12"/>
  <c r="J27" i="12"/>
  <c r="K27" i="12" s="1"/>
  <c r="G27" i="12"/>
  <c r="H27" i="12" s="1"/>
  <c r="AW27" i="12"/>
  <c r="AX27" i="12" s="1"/>
  <c r="AQ27" i="12"/>
  <c r="AR27" i="12" s="1"/>
  <c r="AK27" i="12"/>
  <c r="AL27" i="12" s="1"/>
  <c r="AE27" i="12"/>
  <c r="AF27" i="12" s="1"/>
  <c r="Y27" i="12"/>
  <c r="Z27" i="12" s="1"/>
  <c r="S27" i="12"/>
  <c r="T27" i="12" s="1"/>
  <c r="P27" i="12"/>
  <c r="Q27" i="12" s="1"/>
  <c r="M27" i="12"/>
  <c r="N27" i="12" s="1"/>
  <c r="AT27" i="12"/>
  <c r="AU27" i="12" s="1"/>
  <c r="AN27" i="12"/>
  <c r="AO27" i="12" s="1"/>
  <c r="AH27" i="12"/>
  <c r="AI27" i="12" s="1"/>
  <c r="AB27" i="12"/>
  <c r="AC27" i="12" s="1"/>
  <c r="V27" i="12"/>
  <c r="W27" i="12" s="1"/>
  <c r="D27" i="12"/>
  <c r="BK26" i="12"/>
  <c r="BP26" i="12"/>
  <c r="BJ26" i="12"/>
  <c r="BC26" i="12"/>
  <c r="BI26" i="12"/>
  <c r="BN26" i="12"/>
  <c r="B28" i="12"/>
  <c r="A28" i="12"/>
  <c r="C27" i="12"/>
  <c r="AV27" i="12"/>
  <c r="AS27" i="12"/>
  <c r="AP27" i="12"/>
  <c r="AM27" i="12"/>
  <c r="AJ27" i="12"/>
  <c r="AG27" i="12"/>
  <c r="AD27" i="12"/>
  <c r="AA27" i="12"/>
  <c r="X27" i="12"/>
  <c r="U27" i="12"/>
  <c r="R27" i="12"/>
  <c r="O27" i="12"/>
  <c r="L27" i="12"/>
  <c r="I27" i="12"/>
  <c r="F27" i="12"/>
  <c r="BL26" i="12"/>
  <c r="BF26" i="12"/>
  <c r="BO26" i="12"/>
  <c r="BH26" i="12"/>
  <c r="BG26" i="12"/>
  <c r="BM26" i="12"/>
  <c r="BE26" i="12"/>
  <c r="BD26" i="12"/>
  <c r="BB26" i="12"/>
  <c r="AZ28" i="12"/>
  <c r="BA28" i="12"/>
  <c r="BB27" i="12" l="1"/>
  <c r="E27" i="12"/>
  <c r="J28" i="12"/>
  <c r="K28" i="12" s="1"/>
  <c r="AW28" i="12"/>
  <c r="AX28" i="12" s="1"/>
  <c r="AQ28" i="12"/>
  <c r="AR28" i="12" s="1"/>
  <c r="AK28" i="12"/>
  <c r="AL28" i="12" s="1"/>
  <c r="Y28" i="12"/>
  <c r="Z28" i="12" s="1"/>
  <c r="S28" i="12"/>
  <c r="T28" i="12" s="1"/>
  <c r="G28" i="12"/>
  <c r="H28" i="12" s="1"/>
  <c r="M28" i="12"/>
  <c r="N28" i="12" s="1"/>
  <c r="AT28" i="12"/>
  <c r="AU28" i="12" s="1"/>
  <c r="AN28" i="12"/>
  <c r="AO28" i="12" s="1"/>
  <c r="AH28" i="12"/>
  <c r="AI28" i="12" s="1"/>
  <c r="AE28" i="12"/>
  <c r="AF28" i="12" s="1"/>
  <c r="AB28" i="12"/>
  <c r="AC28" i="12" s="1"/>
  <c r="V28" i="12"/>
  <c r="W28" i="12" s="1"/>
  <c r="P28" i="12"/>
  <c r="Q28" i="12" s="1"/>
  <c r="D28" i="12"/>
  <c r="E28" i="12" s="1"/>
  <c r="BI27" i="12"/>
  <c r="BP27" i="12"/>
  <c r="BL27" i="12"/>
  <c r="BC27" i="12"/>
  <c r="BD27" i="12"/>
  <c r="B29" i="12"/>
  <c r="A29" i="12"/>
  <c r="C28" i="12"/>
  <c r="AV28" i="12"/>
  <c r="AS28" i="12"/>
  <c r="AP28" i="12"/>
  <c r="AM28" i="12"/>
  <c r="AJ28" i="12"/>
  <c r="AG28" i="12"/>
  <c r="AD28" i="12"/>
  <c r="AA28" i="12"/>
  <c r="X28" i="12"/>
  <c r="U28" i="12"/>
  <c r="R28" i="12"/>
  <c r="O28" i="12"/>
  <c r="L28" i="12"/>
  <c r="I28" i="12"/>
  <c r="F28" i="12"/>
  <c r="BJ27" i="12"/>
  <c r="BN27" i="12"/>
  <c r="BG27" i="12"/>
  <c r="BE27" i="12"/>
  <c r="BQ27" i="12"/>
  <c r="BM27" i="12"/>
  <c r="BK27" i="12"/>
  <c r="BO27" i="12"/>
  <c r="BF27" i="12"/>
  <c r="BH27" i="12"/>
  <c r="AZ29" i="12"/>
  <c r="BA29" i="12"/>
  <c r="BQ28" i="12" l="1"/>
  <c r="J29" i="12"/>
  <c r="K29" i="12" s="1"/>
  <c r="AW29" i="12"/>
  <c r="AX29" i="12" s="1"/>
  <c r="AQ29" i="12"/>
  <c r="AR29" i="12" s="1"/>
  <c r="AK29" i="12"/>
  <c r="AL29" i="12" s="1"/>
  <c r="AE29" i="12"/>
  <c r="AF29" i="12" s="1"/>
  <c r="Y29" i="12"/>
  <c r="Z29" i="12" s="1"/>
  <c r="S29" i="12"/>
  <c r="T29" i="12" s="1"/>
  <c r="M29" i="12"/>
  <c r="N29" i="12" s="1"/>
  <c r="G29" i="12"/>
  <c r="H29" i="12" s="1"/>
  <c r="AT29" i="12"/>
  <c r="AU29" i="12" s="1"/>
  <c r="AN29" i="12"/>
  <c r="AO29" i="12" s="1"/>
  <c r="AH29" i="12"/>
  <c r="AI29" i="12" s="1"/>
  <c r="AB29" i="12"/>
  <c r="AC29" i="12" s="1"/>
  <c r="V29" i="12"/>
  <c r="W29" i="12" s="1"/>
  <c r="P29" i="12"/>
  <c r="Q29" i="12" s="1"/>
  <c r="D29" i="12"/>
  <c r="E29" i="12" s="1"/>
  <c r="BO28" i="12"/>
  <c r="BD28" i="12"/>
  <c r="B30" i="12"/>
  <c r="A30" i="12"/>
  <c r="C29" i="12"/>
  <c r="AV29" i="12"/>
  <c r="AS29" i="12"/>
  <c r="AP29" i="12"/>
  <c r="AM29" i="12"/>
  <c r="AJ29" i="12"/>
  <c r="AG29" i="12"/>
  <c r="AD29" i="12"/>
  <c r="AA29" i="12"/>
  <c r="X29" i="12"/>
  <c r="U29" i="12"/>
  <c r="R29" i="12"/>
  <c r="O29" i="12"/>
  <c r="L29" i="12"/>
  <c r="I29" i="12"/>
  <c r="F29" i="12"/>
  <c r="BK28" i="12"/>
  <c r="BE28" i="12"/>
  <c r="BP28" i="12"/>
  <c r="BM28" i="12"/>
  <c r="BG28" i="12"/>
  <c r="BI28" i="12"/>
  <c r="BC28" i="12"/>
  <c r="BN28" i="12"/>
  <c r="BL28" i="12"/>
  <c r="BJ28" i="12"/>
  <c r="BH28" i="12"/>
  <c r="BF28" i="12"/>
  <c r="BB28" i="12"/>
  <c r="AZ30" i="12"/>
  <c r="BA30" i="12"/>
  <c r="J30" i="12" l="1"/>
  <c r="K30" i="12" s="1"/>
  <c r="G30" i="12"/>
  <c r="H30" i="12" s="1"/>
  <c r="AW30" i="12"/>
  <c r="AX30" i="12" s="1"/>
  <c r="AQ30" i="12"/>
  <c r="AR30" i="12" s="1"/>
  <c r="AK30" i="12"/>
  <c r="AL30" i="12" s="1"/>
  <c r="AE30" i="12"/>
  <c r="AF30" i="12" s="1"/>
  <c r="Y30" i="12"/>
  <c r="Z30" i="12" s="1"/>
  <c r="S30" i="12"/>
  <c r="T30" i="12" s="1"/>
  <c r="M30" i="12"/>
  <c r="N30" i="12" s="1"/>
  <c r="AT30" i="12"/>
  <c r="AU30" i="12" s="1"/>
  <c r="AN30" i="12"/>
  <c r="AO30" i="12" s="1"/>
  <c r="AH30" i="12"/>
  <c r="AI30" i="12" s="1"/>
  <c r="AB30" i="12"/>
  <c r="AC30" i="12" s="1"/>
  <c r="V30" i="12"/>
  <c r="W30" i="12" s="1"/>
  <c r="P30" i="12"/>
  <c r="Q30" i="12" s="1"/>
  <c r="D30" i="12"/>
  <c r="BC29" i="12"/>
  <c r="B31" i="12"/>
  <c r="A31" i="12"/>
  <c r="C30" i="12"/>
  <c r="AV30" i="12"/>
  <c r="AS30" i="12"/>
  <c r="AP30" i="12"/>
  <c r="AM30" i="12"/>
  <c r="AJ30" i="12"/>
  <c r="AG30" i="12"/>
  <c r="AD30" i="12"/>
  <c r="AA30" i="12"/>
  <c r="X30" i="12"/>
  <c r="U30" i="12"/>
  <c r="R30" i="12"/>
  <c r="O30" i="12"/>
  <c r="L30" i="12"/>
  <c r="I30" i="12"/>
  <c r="F30" i="12"/>
  <c r="BK29" i="12"/>
  <c r="BN29" i="12"/>
  <c r="BM29" i="12"/>
  <c r="BI29" i="12"/>
  <c r="BE29" i="12"/>
  <c r="BO29" i="12"/>
  <c r="BP29" i="12"/>
  <c r="BD29" i="12"/>
  <c r="BQ29" i="12"/>
  <c r="BG29" i="12"/>
  <c r="BL29" i="12"/>
  <c r="BJ29" i="12"/>
  <c r="BH29" i="12"/>
  <c r="BF29" i="12"/>
  <c r="BB29" i="12"/>
  <c r="AZ31" i="12"/>
  <c r="BA31" i="12"/>
  <c r="BB30" i="12" l="1"/>
  <c r="E30" i="12"/>
  <c r="BP30" i="12"/>
  <c r="J31" i="12"/>
  <c r="K31" i="12" s="1"/>
  <c r="AW31" i="12"/>
  <c r="AX31" i="12" s="1"/>
  <c r="AQ31" i="12"/>
  <c r="AR31" i="12" s="1"/>
  <c r="AK31" i="12"/>
  <c r="AL31" i="12" s="1"/>
  <c r="AE31" i="12"/>
  <c r="AF31" i="12" s="1"/>
  <c r="Y31" i="12"/>
  <c r="Z31" i="12" s="1"/>
  <c r="S31" i="12"/>
  <c r="T31" i="12" s="1"/>
  <c r="G31" i="12"/>
  <c r="H31" i="12" s="1"/>
  <c r="M31" i="12"/>
  <c r="N31" i="12" s="1"/>
  <c r="AT31" i="12"/>
  <c r="AU31" i="12" s="1"/>
  <c r="AN31" i="12"/>
  <c r="AO31" i="12" s="1"/>
  <c r="AH31" i="12"/>
  <c r="AI31" i="12" s="1"/>
  <c r="AB31" i="12"/>
  <c r="AC31" i="12" s="1"/>
  <c r="V31" i="12"/>
  <c r="W31" i="12" s="1"/>
  <c r="P31" i="12"/>
  <c r="Q31" i="12" s="1"/>
  <c r="D31" i="12"/>
  <c r="BN30" i="12"/>
  <c r="BO30" i="12"/>
  <c r="BC30" i="12"/>
  <c r="BK30" i="12"/>
  <c r="B32" i="12"/>
  <c r="A32" i="12"/>
  <c r="C31" i="12"/>
  <c r="AV31" i="12"/>
  <c r="AS31" i="12"/>
  <c r="AP31" i="12"/>
  <c r="AM31" i="12"/>
  <c r="AJ31" i="12"/>
  <c r="AG31" i="12"/>
  <c r="AD31" i="12"/>
  <c r="AA31" i="12"/>
  <c r="X31" i="12"/>
  <c r="U31" i="12"/>
  <c r="R31" i="12"/>
  <c r="O31" i="12"/>
  <c r="L31" i="12"/>
  <c r="I31" i="12"/>
  <c r="F31" i="12"/>
  <c r="BM30" i="12"/>
  <c r="BJ30" i="12"/>
  <c r="BH30" i="12"/>
  <c r="BQ30" i="12"/>
  <c r="BE30" i="12"/>
  <c r="BD30" i="12"/>
  <c r="BI30" i="12"/>
  <c r="BG30" i="12"/>
  <c r="BL30" i="12"/>
  <c r="BF30" i="12"/>
  <c r="AZ32" i="12"/>
  <c r="BA32" i="12"/>
  <c r="BB31" i="12" l="1"/>
  <c r="E31" i="12"/>
  <c r="BQ31" i="12"/>
  <c r="BO31" i="12"/>
  <c r="J32" i="12"/>
  <c r="K32" i="12" s="1"/>
  <c r="AW32" i="12"/>
  <c r="AX32" i="12" s="1"/>
  <c r="AQ32" i="12"/>
  <c r="AR32" i="12" s="1"/>
  <c r="AK32" i="12"/>
  <c r="AL32" i="12" s="1"/>
  <c r="AE32" i="12"/>
  <c r="AF32" i="12" s="1"/>
  <c r="Y32" i="12"/>
  <c r="Z32" i="12" s="1"/>
  <c r="S32" i="12"/>
  <c r="T32" i="12" s="1"/>
  <c r="M32" i="12"/>
  <c r="N32" i="12" s="1"/>
  <c r="G32" i="12"/>
  <c r="H32" i="12" s="1"/>
  <c r="AT32" i="12"/>
  <c r="AU32" i="12" s="1"/>
  <c r="AN32" i="12"/>
  <c r="AO32" i="12" s="1"/>
  <c r="AH32" i="12"/>
  <c r="AI32" i="12" s="1"/>
  <c r="AB32" i="12"/>
  <c r="AC32" i="12" s="1"/>
  <c r="V32" i="12"/>
  <c r="W32" i="12" s="1"/>
  <c r="P32" i="12"/>
  <c r="Q32" i="12" s="1"/>
  <c r="D32" i="12"/>
  <c r="BL31" i="12"/>
  <c r="BC31" i="12"/>
  <c r="BD31" i="12"/>
  <c r="BP31" i="12"/>
  <c r="BK31" i="12"/>
  <c r="BJ31" i="12"/>
  <c r="BM31" i="12"/>
  <c r="B33" i="12"/>
  <c r="A33" i="12"/>
  <c r="C32" i="12"/>
  <c r="AV32" i="12"/>
  <c r="AS32" i="12"/>
  <c r="AP32" i="12"/>
  <c r="AM32" i="12"/>
  <c r="AJ32" i="12"/>
  <c r="AG32" i="12"/>
  <c r="AD32" i="12"/>
  <c r="AA32" i="12"/>
  <c r="X32" i="12"/>
  <c r="U32" i="12"/>
  <c r="R32" i="12"/>
  <c r="O32" i="12"/>
  <c r="L32" i="12"/>
  <c r="I32" i="12"/>
  <c r="F32" i="12"/>
  <c r="BI31" i="12"/>
  <c r="BN31" i="12"/>
  <c r="BG31" i="12"/>
  <c r="BH31" i="12"/>
  <c r="BF31" i="12"/>
  <c r="BE31" i="12"/>
  <c r="AZ33" i="12"/>
  <c r="BA33" i="12"/>
  <c r="BB32" i="12" l="1"/>
  <c r="E32" i="12"/>
  <c r="J33" i="12"/>
  <c r="K33" i="12" s="1"/>
  <c r="AW33" i="12"/>
  <c r="AX33" i="12" s="1"/>
  <c r="AQ33" i="12"/>
  <c r="AR33" i="12" s="1"/>
  <c r="AK33" i="12"/>
  <c r="AL33" i="12" s="1"/>
  <c r="AE33" i="12"/>
  <c r="AF33" i="12" s="1"/>
  <c r="Y33" i="12"/>
  <c r="Z33" i="12" s="1"/>
  <c r="S33" i="12"/>
  <c r="T33" i="12" s="1"/>
  <c r="G33" i="12"/>
  <c r="H33" i="12" s="1"/>
  <c r="M33" i="12"/>
  <c r="N33" i="12" s="1"/>
  <c r="AT33" i="12"/>
  <c r="AU33" i="12" s="1"/>
  <c r="AN33" i="12"/>
  <c r="AO33" i="12" s="1"/>
  <c r="AH33" i="12"/>
  <c r="AI33" i="12" s="1"/>
  <c r="AB33" i="12"/>
  <c r="AC33" i="12" s="1"/>
  <c r="V33" i="12"/>
  <c r="W33" i="12" s="1"/>
  <c r="P33" i="12"/>
  <c r="Q33" i="12" s="1"/>
  <c r="D33" i="12"/>
  <c r="E33" i="12" s="1"/>
  <c r="BO32" i="12"/>
  <c r="BM32" i="12"/>
  <c r="BK32" i="12"/>
  <c r="BL32" i="12"/>
  <c r="BE32" i="12"/>
  <c r="B34" i="12"/>
  <c r="A34" i="12"/>
  <c r="C33" i="12"/>
  <c r="AV33" i="12"/>
  <c r="AS33" i="12"/>
  <c r="AP33" i="12"/>
  <c r="AM33" i="12"/>
  <c r="AJ33" i="12"/>
  <c r="AG33" i="12"/>
  <c r="AD33" i="12"/>
  <c r="AA33" i="12"/>
  <c r="X33" i="12"/>
  <c r="U33" i="12"/>
  <c r="R33" i="12"/>
  <c r="O33" i="12"/>
  <c r="L33" i="12"/>
  <c r="I33" i="12"/>
  <c r="F33" i="12"/>
  <c r="BF32" i="12"/>
  <c r="BQ32" i="12"/>
  <c r="BN32" i="12"/>
  <c r="BH32" i="12"/>
  <c r="BI32" i="12"/>
  <c r="BD32" i="12"/>
  <c r="BP32" i="12"/>
  <c r="BJ32" i="12"/>
  <c r="BG32" i="12"/>
  <c r="BC32" i="12"/>
  <c r="AZ34" i="12"/>
  <c r="BA34" i="12"/>
  <c r="J34" i="12" l="1"/>
  <c r="K34" i="12" s="1"/>
  <c r="AW34" i="12"/>
  <c r="AX34" i="12" s="1"/>
  <c r="AQ34" i="12"/>
  <c r="AR34" i="12" s="1"/>
  <c r="AK34" i="12"/>
  <c r="AL34" i="12" s="1"/>
  <c r="AE34" i="12"/>
  <c r="AF34" i="12" s="1"/>
  <c r="Y34" i="12"/>
  <c r="Z34" i="12" s="1"/>
  <c r="S34" i="12"/>
  <c r="T34" i="12" s="1"/>
  <c r="G34" i="12"/>
  <c r="H34" i="12" s="1"/>
  <c r="M34" i="12"/>
  <c r="N34" i="12" s="1"/>
  <c r="AT34" i="12"/>
  <c r="AU34" i="12" s="1"/>
  <c r="AN34" i="12"/>
  <c r="AO34" i="12" s="1"/>
  <c r="AH34" i="12"/>
  <c r="AI34" i="12" s="1"/>
  <c r="AB34" i="12"/>
  <c r="AC34" i="12" s="1"/>
  <c r="V34" i="12"/>
  <c r="W34" i="12" s="1"/>
  <c r="P34" i="12"/>
  <c r="Q34" i="12" s="1"/>
  <c r="D34" i="12"/>
  <c r="E34" i="12" s="1"/>
  <c r="BO33" i="12"/>
  <c r="BB33" i="12"/>
  <c r="BK33" i="12"/>
  <c r="BC33" i="12"/>
  <c r="BL33" i="12"/>
  <c r="BP33" i="12"/>
  <c r="BD33" i="12"/>
  <c r="B35" i="12"/>
  <c r="A35" i="12"/>
  <c r="C34" i="12"/>
  <c r="AV34" i="12"/>
  <c r="AS34" i="12"/>
  <c r="AP34" i="12"/>
  <c r="AM34" i="12"/>
  <c r="AJ34" i="12"/>
  <c r="AG34" i="12"/>
  <c r="AD34" i="12"/>
  <c r="AA34" i="12"/>
  <c r="X34" i="12"/>
  <c r="U34" i="12"/>
  <c r="R34" i="12"/>
  <c r="O34" i="12"/>
  <c r="L34" i="12"/>
  <c r="I34" i="12"/>
  <c r="F34" i="12"/>
  <c r="BQ33" i="12"/>
  <c r="BM33" i="12"/>
  <c r="BN33" i="12"/>
  <c r="BF33" i="12"/>
  <c r="BI33" i="12"/>
  <c r="BG33" i="12"/>
  <c r="BJ33" i="12"/>
  <c r="BH33" i="12"/>
  <c r="BE33" i="12"/>
  <c r="AZ35" i="12"/>
  <c r="BA35" i="12"/>
  <c r="BQ34" i="12" l="1"/>
  <c r="J35" i="12"/>
  <c r="K35" i="12" s="1"/>
  <c r="G35" i="12"/>
  <c r="H35" i="12" s="1"/>
  <c r="AW35" i="12"/>
  <c r="AX35" i="12" s="1"/>
  <c r="AQ35" i="12"/>
  <c r="AR35" i="12" s="1"/>
  <c r="AK35" i="12"/>
  <c r="AL35" i="12" s="1"/>
  <c r="AE35" i="12"/>
  <c r="AF35" i="12" s="1"/>
  <c r="AB35" i="12"/>
  <c r="AC35" i="12" s="1"/>
  <c r="S35" i="12"/>
  <c r="T35" i="12" s="1"/>
  <c r="M35" i="12"/>
  <c r="N35" i="12" s="1"/>
  <c r="AT35" i="12"/>
  <c r="AU35" i="12" s="1"/>
  <c r="AN35" i="12"/>
  <c r="AO35" i="12" s="1"/>
  <c r="AH35" i="12"/>
  <c r="AI35" i="12" s="1"/>
  <c r="Y35" i="12"/>
  <c r="Z35" i="12" s="1"/>
  <c r="V35" i="12"/>
  <c r="W35" i="12" s="1"/>
  <c r="P35" i="12"/>
  <c r="Q35" i="12" s="1"/>
  <c r="D35" i="12"/>
  <c r="E35" i="12" s="1"/>
  <c r="BD34" i="12"/>
  <c r="BC34" i="12"/>
  <c r="BL34" i="12"/>
  <c r="BM34" i="12"/>
  <c r="B36" i="12"/>
  <c r="A36" i="12"/>
  <c r="C35" i="12"/>
  <c r="AV35" i="12"/>
  <c r="AS35" i="12"/>
  <c r="AP35" i="12"/>
  <c r="AM35" i="12"/>
  <c r="AJ35" i="12"/>
  <c r="AG35" i="12"/>
  <c r="AD35" i="12"/>
  <c r="AA35" i="12"/>
  <c r="X35" i="12"/>
  <c r="U35" i="12"/>
  <c r="R35" i="12"/>
  <c r="O35" i="12"/>
  <c r="L35" i="12"/>
  <c r="I35" i="12"/>
  <c r="F35" i="12"/>
  <c r="BJ34" i="12"/>
  <c r="BG34" i="12"/>
  <c r="BH34" i="12"/>
  <c r="BP34" i="12"/>
  <c r="BK34" i="12"/>
  <c r="BE34" i="12"/>
  <c r="BO34" i="12"/>
  <c r="BN34" i="12"/>
  <c r="BI34" i="12"/>
  <c r="BF34" i="12"/>
  <c r="BB34" i="12"/>
  <c r="AZ36" i="12"/>
  <c r="BA36" i="12"/>
  <c r="J36" i="12" l="1"/>
  <c r="K36" i="12" s="1"/>
  <c r="AW36" i="12"/>
  <c r="AX36" i="12" s="1"/>
  <c r="AQ36" i="12"/>
  <c r="AR36" i="12" s="1"/>
  <c r="AK36" i="12"/>
  <c r="AL36" i="12" s="1"/>
  <c r="AE36" i="12"/>
  <c r="AF36" i="12" s="1"/>
  <c r="Y36" i="12"/>
  <c r="Z36" i="12" s="1"/>
  <c r="S36" i="12"/>
  <c r="T36" i="12" s="1"/>
  <c r="M36" i="12"/>
  <c r="N36" i="12" s="1"/>
  <c r="G36" i="12"/>
  <c r="H36" i="12" s="1"/>
  <c r="AT36" i="12"/>
  <c r="AU36" i="12" s="1"/>
  <c r="AN36" i="12"/>
  <c r="AO36" i="12" s="1"/>
  <c r="AH36" i="12"/>
  <c r="AI36" i="12" s="1"/>
  <c r="AB36" i="12"/>
  <c r="AC36" i="12" s="1"/>
  <c r="V36" i="12"/>
  <c r="W36" i="12" s="1"/>
  <c r="P36" i="12"/>
  <c r="Q36" i="12" s="1"/>
  <c r="D36" i="12"/>
  <c r="E36" i="12" s="1"/>
  <c r="BB35" i="12"/>
  <c r="BO35" i="12"/>
  <c r="BC35" i="12"/>
  <c r="BK35" i="12"/>
  <c r="BL35" i="12"/>
  <c r="BJ35" i="12"/>
  <c r="BD35" i="12"/>
  <c r="B37" i="12"/>
  <c r="A37" i="12"/>
  <c r="C36" i="12"/>
  <c r="AV36" i="12"/>
  <c r="AS36" i="12"/>
  <c r="AP36" i="12"/>
  <c r="AM36" i="12"/>
  <c r="AJ36" i="12"/>
  <c r="AG36" i="12"/>
  <c r="AD36" i="12"/>
  <c r="AA36" i="12"/>
  <c r="X36" i="12"/>
  <c r="U36" i="12"/>
  <c r="R36" i="12"/>
  <c r="O36" i="12"/>
  <c r="L36" i="12"/>
  <c r="I36" i="12"/>
  <c r="F36" i="12"/>
  <c r="BQ35" i="12"/>
  <c r="BP35" i="12"/>
  <c r="BI35" i="12"/>
  <c r="BN35" i="12"/>
  <c r="BM35" i="12"/>
  <c r="BE35" i="12"/>
  <c r="BH35" i="12"/>
  <c r="BF35" i="12"/>
  <c r="BG35" i="12"/>
  <c r="AZ37" i="12"/>
  <c r="BA37" i="12"/>
  <c r="BD36" i="12" l="1"/>
  <c r="J37" i="12"/>
  <c r="K37" i="12" s="1"/>
  <c r="AW37" i="12"/>
  <c r="AX37" i="12" s="1"/>
  <c r="AQ37" i="12"/>
  <c r="AR37" i="12" s="1"/>
  <c r="AK37" i="12"/>
  <c r="AL37" i="12" s="1"/>
  <c r="AE37" i="12"/>
  <c r="AF37" i="12" s="1"/>
  <c r="Y37" i="12"/>
  <c r="Z37" i="12" s="1"/>
  <c r="S37" i="12"/>
  <c r="T37" i="12" s="1"/>
  <c r="G37" i="12"/>
  <c r="H37" i="12" s="1"/>
  <c r="M37" i="12"/>
  <c r="N37" i="12" s="1"/>
  <c r="AT37" i="12"/>
  <c r="AU37" i="12" s="1"/>
  <c r="AN37" i="12"/>
  <c r="AO37" i="12" s="1"/>
  <c r="AH37" i="12"/>
  <c r="AI37" i="12" s="1"/>
  <c r="AB37" i="12"/>
  <c r="AC37" i="12" s="1"/>
  <c r="V37" i="12"/>
  <c r="W37" i="12" s="1"/>
  <c r="P37" i="12"/>
  <c r="Q37" i="12" s="1"/>
  <c r="D37" i="12"/>
  <c r="BK36" i="12"/>
  <c r="BL36" i="12"/>
  <c r="BB36" i="12"/>
  <c r="B38" i="12"/>
  <c r="A38" i="12"/>
  <c r="C37" i="12"/>
  <c r="AV37" i="12"/>
  <c r="AS37" i="12"/>
  <c r="AP37" i="12"/>
  <c r="AM37" i="12"/>
  <c r="AJ37" i="12"/>
  <c r="AG37" i="12"/>
  <c r="AD37" i="12"/>
  <c r="AA37" i="12"/>
  <c r="X37" i="12"/>
  <c r="U37" i="12"/>
  <c r="R37" i="12"/>
  <c r="O37" i="12"/>
  <c r="L37" i="12"/>
  <c r="I37" i="12"/>
  <c r="F37" i="12"/>
  <c r="BO36" i="12"/>
  <c r="BQ36" i="12"/>
  <c r="BP36" i="12"/>
  <c r="BN36" i="12"/>
  <c r="BM36" i="12"/>
  <c r="BJ36" i="12"/>
  <c r="BI36" i="12"/>
  <c r="BH36" i="12"/>
  <c r="BG36" i="12"/>
  <c r="BF36" i="12"/>
  <c r="BE36" i="12"/>
  <c r="BC36" i="12"/>
  <c r="AZ38" i="12"/>
  <c r="BA38" i="12"/>
  <c r="BB37" i="12" l="1"/>
  <c r="E37" i="12"/>
  <c r="J38" i="12"/>
  <c r="K38" i="12" s="1"/>
  <c r="AW38" i="12"/>
  <c r="AX38" i="12" s="1"/>
  <c r="AQ38" i="12"/>
  <c r="AR38" i="12" s="1"/>
  <c r="AK38" i="12"/>
  <c r="AL38" i="12" s="1"/>
  <c r="AE38" i="12"/>
  <c r="AF38" i="12" s="1"/>
  <c r="Y38" i="12"/>
  <c r="Z38" i="12" s="1"/>
  <c r="S38" i="12"/>
  <c r="T38" i="12" s="1"/>
  <c r="G38" i="12"/>
  <c r="H38" i="12" s="1"/>
  <c r="M38" i="12"/>
  <c r="N38" i="12" s="1"/>
  <c r="AT38" i="12"/>
  <c r="AU38" i="12" s="1"/>
  <c r="AN38" i="12"/>
  <c r="AO38" i="12" s="1"/>
  <c r="AH38" i="12"/>
  <c r="AI38" i="12" s="1"/>
  <c r="AB38" i="12"/>
  <c r="AC38" i="12" s="1"/>
  <c r="V38" i="12"/>
  <c r="W38" i="12" s="1"/>
  <c r="P38" i="12"/>
  <c r="Q38" i="12" s="1"/>
  <c r="D38" i="12"/>
  <c r="E38" i="12" s="1"/>
  <c r="BK37" i="12"/>
  <c r="BL37" i="12"/>
  <c r="BC37" i="12"/>
  <c r="B39" i="12"/>
  <c r="A39" i="12"/>
  <c r="C38" i="12"/>
  <c r="AV38" i="12"/>
  <c r="AS38" i="12"/>
  <c r="AP38" i="12"/>
  <c r="AM38" i="12"/>
  <c r="AJ38" i="12"/>
  <c r="AG38" i="12"/>
  <c r="AD38" i="12"/>
  <c r="AA38" i="12"/>
  <c r="X38" i="12"/>
  <c r="U38" i="12"/>
  <c r="R38" i="12"/>
  <c r="O38" i="12"/>
  <c r="L38" i="12"/>
  <c r="I38" i="12"/>
  <c r="F38" i="12"/>
  <c r="BP37" i="12"/>
  <c r="BJ37" i="12"/>
  <c r="BE37" i="12"/>
  <c r="BQ37" i="12"/>
  <c r="BM37" i="12"/>
  <c r="BF37" i="12"/>
  <c r="BD37" i="12"/>
  <c r="BO37" i="12"/>
  <c r="BI37" i="12"/>
  <c r="BH37" i="12"/>
  <c r="BG37" i="12"/>
  <c r="BN37" i="12"/>
  <c r="AZ39" i="12"/>
  <c r="BA39" i="12"/>
  <c r="J39" i="12" l="1"/>
  <c r="K39" i="12" s="1"/>
  <c r="AW39" i="12"/>
  <c r="AX39" i="12" s="1"/>
  <c r="AQ39" i="12"/>
  <c r="AR39" i="12" s="1"/>
  <c r="AK39" i="12"/>
  <c r="AL39" i="12" s="1"/>
  <c r="AE39" i="12"/>
  <c r="AF39" i="12" s="1"/>
  <c r="Y39" i="12"/>
  <c r="Z39" i="12" s="1"/>
  <c r="S39" i="12"/>
  <c r="T39" i="12" s="1"/>
  <c r="G39" i="12"/>
  <c r="H39" i="12" s="1"/>
  <c r="M39" i="12"/>
  <c r="N39" i="12" s="1"/>
  <c r="AT39" i="12"/>
  <c r="AU39" i="12" s="1"/>
  <c r="AN39" i="12"/>
  <c r="AO39" i="12" s="1"/>
  <c r="AH39" i="12"/>
  <c r="AI39" i="12" s="1"/>
  <c r="AB39" i="12"/>
  <c r="AC39" i="12" s="1"/>
  <c r="V39" i="12"/>
  <c r="W39" i="12" s="1"/>
  <c r="P39" i="12"/>
  <c r="Q39" i="12" s="1"/>
  <c r="D39" i="12"/>
  <c r="BJ38" i="12"/>
  <c r="BL38" i="12"/>
  <c r="BG38" i="12"/>
  <c r="BC38" i="12"/>
  <c r="B40" i="12"/>
  <c r="A40" i="12"/>
  <c r="C39" i="12"/>
  <c r="AV39" i="12"/>
  <c r="AS39" i="12"/>
  <c r="AP39" i="12"/>
  <c r="AM39" i="12"/>
  <c r="AJ39" i="12"/>
  <c r="AG39" i="12"/>
  <c r="AD39" i="12"/>
  <c r="AA39" i="12"/>
  <c r="X39" i="12"/>
  <c r="U39" i="12"/>
  <c r="R39" i="12"/>
  <c r="O39" i="12"/>
  <c r="L39" i="12"/>
  <c r="I39" i="12"/>
  <c r="F39" i="12"/>
  <c r="BP38" i="12"/>
  <c r="BH38" i="12"/>
  <c r="BQ38" i="12"/>
  <c r="BN38" i="12"/>
  <c r="BI38" i="12"/>
  <c r="BO38" i="12"/>
  <c r="BM38" i="12"/>
  <c r="BK38" i="12"/>
  <c r="BF38" i="12"/>
  <c r="BE38" i="12"/>
  <c r="BD38" i="12"/>
  <c r="BB38" i="12"/>
  <c r="AZ40" i="12"/>
  <c r="BA40" i="12"/>
  <c r="BB39" i="12" l="1"/>
  <c r="E39" i="12"/>
  <c r="G40" i="12"/>
  <c r="H40" i="12" s="1"/>
  <c r="AW40" i="12"/>
  <c r="AX40" i="12" s="1"/>
  <c r="AQ40" i="12"/>
  <c r="AR40" i="12" s="1"/>
  <c r="AK40" i="12"/>
  <c r="AL40" i="12" s="1"/>
  <c r="AE40" i="12"/>
  <c r="AF40" i="12" s="1"/>
  <c r="Y40" i="12"/>
  <c r="Z40" i="12" s="1"/>
  <c r="S40" i="12"/>
  <c r="T40" i="12" s="1"/>
  <c r="M40" i="12"/>
  <c r="N40" i="12" s="1"/>
  <c r="J40" i="12"/>
  <c r="K40" i="12" s="1"/>
  <c r="AT40" i="12"/>
  <c r="AU40" i="12" s="1"/>
  <c r="AN40" i="12"/>
  <c r="AO40" i="12" s="1"/>
  <c r="AH40" i="12"/>
  <c r="AI40" i="12" s="1"/>
  <c r="AB40" i="12"/>
  <c r="AC40" i="12" s="1"/>
  <c r="V40" i="12"/>
  <c r="W40" i="12" s="1"/>
  <c r="P40" i="12"/>
  <c r="Q40" i="12" s="1"/>
  <c r="D40" i="12"/>
  <c r="E40" i="12" s="1"/>
  <c r="BP39" i="12"/>
  <c r="BL39" i="12"/>
  <c r="BD39" i="12"/>
  <c r="B41" i="12"/>
  <c r="A41" i="12"/>
  <c r="C40" i="12"/>
  <c r="AV40" i="12"/>
  <c r="AS40" i="12"/>
  <c r="AP40" i="12"/>
  <c r="AM40" i="12"/>
  <c r="AJ40" i="12"/>
  <c r="AG40" i="12"/>
  <c r="AD40" i="12"/>
  <c r="AA40" i="12"/>
  <c r="X40" i="12"/>
  <c r="U40" i="12"/>
  <c r="R40" i="12"/>
  <c r="O40" i="12"/>
  <c r="L40" i="12"/>
  <c r="I40" i="12"/>
  <c r="F40" i="12"/>
  <c r="BM39" i="12"/>
  <c r="BQ39" i="12"/>
  <c r="BO39" i="12"/>
  <c r="BN39" i="12"/>
  <c r="BE39" i="12"/>
  <c r="BK39" i="12"/>
  <c r="BJ39" i="12"/>
  <c r="BI39" i="12"/>
  <c r="BH39" i="12"/>
  <c r="BG39" i="12"/>
  <c r="BF39" i="12"/>
  <c r="BC39" i="12"/>
  <c r="AZ41" i="12"/>
  <c r="BA41" i="12"/>
  <c r="BB40" i="12" l="1"/>
  <c r="J41" i="12"/>
  <c r="K41" i="12" s="1"/>
  <c r="AW41" i="12"/>
  <c r="AX41" i="12" s="1"/>
  <c r="AQ41" i="12"/>
  <c r="AR41" i="12" s="1"/>
  <c r="AK41" i="12"/>
  <c r="AL41" i="12" s="1"/>
  <c r="AE41" i="12"/>
  <c r="AF41" i="12" s="1"/>
  <c r="Y41" i="12"/>
  <c r="Z41" i="12" s="1"/>
  <c r="S41" i="12"/>
  <c r="T41" i="12" s="1"/>
  <c r="G41" i="12"/>
  <c r="H41" i="12" s="1"/>
  <c r="M41" i="12"/>
  <c r="N41" i="12" s="1"/>
  <c r="AT41" i="12"/>
  <c r="AU41" i="12" s="1"/>
  <c r="AN41" i="12"/>
  <c r="AO41" i="12" s="1"/>
  <c r="AH41" i="12"/>
  <c r="AI41" i="12" s="1"/>
  <c r="AB41" i="12"/>
  <c r="AC41" i="12" s="1"/>
  <c r="V41" i="12"/>
  <c r="W41" i="12" s="1"/>
  <c r="P41" i="12"/>
  <c r="Q41" i="12" s="1"/>
  <c r="D41" i="12"/>
  <c r="E41" i="12" s="1"/>
  <c r="BL40" i="12"/>
  <c r="BD40" i="12"/>
  <c r="BJ40" i="12"/>
  <c r="C41" i="12"/>
  <c r="AV41" i="12"/>
  <c r="AS41" i="12"/>
  <c r="AP41" i="12"/>
  <c r="AM41" i="12"/>
  <c r="AJ41" i="12"/>
  <c r="AG41" i="12"/>
  <c r="AD41" i="12"/>
  <c r="AA41" i="12"/>
  <c r="X41" i="12"/>
  <c r="U41" i="12"/>
  <c r="R41" i="12"/>
  <c r="O41" i="12"/>
  <c r="L41" i="12"/>
  <c r="I41" i="12"/>
  <c r="F41" i="12"/>
  <c r="BM40" i="12"/>
  <c r="BI40" i="12"/>
  <c r="BQ40" i="12"/>
  <c r="BP40" i="12"/>
  <c r="BH40" i="12"/>
  <c r="BO40" i="12"/>
  <c r="BN40" i="12"/>
  <c r="BK40" i="12"/>
  <c r="BE40" i="12"/>
  <c r="BG40" i="12"/>
  <c r="BF40" i="12"/>
  <c r="BC40" i="12"/>
  <c r="BB41" i="12" l="1"/>
  <c r="BK41" i="12"/>
  <c r="BC41" i="12"/>
  <c r="BJ41" i="12"/>
  <c r="BI41" i="12"/>
  <c r="BO41" i="12"/>
  <c r="BQ41" i="12"/>
  <c r="BN41" i="12"/>
  <c r="BP41" i="12"/>
  <c r="BM41" i="12"/>
  <c r="BL41" i="12"/>
  <c r="BH41" i="12"/>
  <c r="BG41" i="12"/>
  <c r="BF41" i="12"/>
  <c r="BE41" i="12"/>
  <c r="BD41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A9B373C-1D4E-482F-9602-9320DBFAD560}" keepAlive="1" name="Query - correlated_names" description="Connection to the 'correlated_names' query in the workbook." type="5" refreshedVersion="0" background="1">
    <dbPr connection="Provider=Microsoft.Mashup.OleDb.1;Data Source=$Workbook$;Location=correlated_names;Extended Properties=&quot;&quot;" command="SELECT * FROM [correlated_names]"/>
  </connection>
  <connection id="2" xr16:uid="{D80ACAB8-6576-47FD-9D46-AA946C50BD63}" keepAlive="1" name="Query - Table-lacasa" description="Connection to the 'Table-lacasa' query in the workbook." type="5" refreshedVersion="0" background="1">
    <dbPr connection="Provider=Microsoft.Mashup.OleDb.1;Data Source=$Workbook$;Location=Table-lacasa;Extended Properties=&quot;&quot;" command="SELECT * FROM [Table-lacasa]"/>
  </connection>
  <connection id="3" xr16:uid="{A4EEC45D-1CAA-400C-B619-34B046E7796D}" keepAlive="1" name="Query - Table2" description="Connection to the 'Table2' query in the workbook." type="5" refreshedVersion="0" background="1">
    <dbPr connection="Provider=Microsoft.Mashup.OleDb.1;Data Source=$Workbook$;Location=Table2;Extended Properties=&quot;&quot;" command="SELECT * FROM [Table2]"/>
  </connection>
</connections>
</file>

<file path=xl/sharedStrings.xml><?xml version="1.0" encoding="utf-8"?>
<sst xmlns="http://schemas.openxmlformats.org/spreadsheetml/2006/main" count="16058" uniqueCount="4243">
  <si>
    <t>Data</t>
  </si>
  <si>
    <t>Horário</t>
  </si>
  <si>
    <t>Mandante</t>
  </si>
  <si>
    <t>Visitante</t>
  </si>
  <si>
    <t>X</t>
  </si>
  <si>
    <t>1X</t>
  </si>
  <si>
    <t>X2</t>
  </si>
  <si>
    <t>1 HT</t>
  </si>
  <si>
    <t>X HT</t>
  </si>
  <si>
    <t>2 HT</t>
  </si>
  <si>
    <t>Mais de 0.5 HT</t>
  </si>
  <si>
    <t>Mais de 1.5</t>
  </si>
  <si>
    <t>Mais de 2.5</t>
  </si>
  <si>
    <t>Menos de 2.5</t>
  </si>
  <si>
    <t>Menos de 3.5</t>
  </si>
  <si>
    <t>A/M Sim</t>
  </si>
  <si>
    <t>A/M Não</t>
  </si>
  <si>
    <t>22/07/2026</t>
  </si>
  <si>
    <t>Newcastle Olympic FC</t>
  </si>
  <si>
    <t>Belmont Swansea United SC</t>
  </si>
  <si>
    <t>-</t>
  </si>
  <si>
    <t>Tuggeranong Utd</t>
  </si>
  <si>
    <t>Canberra White Eagles</t>
  </si>
  <si>
    <t>Launceston City</t>
  </si>
  <si>
    <t>Launceston United</t>
  </si>
  <si>
    <t>Bucheon</t>
  </si>
  <si>
    <t>FC Anyang</t>
  </si>
  <si>
    <t>FC Seoul</t>
  </si>
  <si>
    <t>Pohang Steelers</t>
  </si>
  <si>
    <t>Gwangju FC</t>
  </si>
  <si>
    <t>Gimcheon Sangmu FC</t>
  </si>
  <si>
    <t>Bodo/Glimt</t>
  </si>
  <si>
    <t>Ham-Kam</t>
  </si>
  <si>
    <t>Lillestrom</t>
  </si>
  <si>
    <t>Viking FK</t>
  </si>
  <si>
    <t>Macara</t>
  </si>
  <si>
    <t>Club Deportivo Cuenca</t>
  </si>
  <si>
    <t>Independiente del Valle</t>
  </si>
  <si>
    <t>Tecnico Universitario</t>
  </si>
  <si>
    <t>Coritiba</t>
  </si>
  <si>
    <t>Palmeiras</t>
  </si>
  <si>
    <t>Ceará</t>
  </si>
  <si>
    <t>CRB</t>
  </si>
  <si>
    <t>Operário-PR</t>
  </si>
  <si>
    <t>Ponte Preta</t>
  </si>
  <si>
    <t>Carolina Core FC</t>
  </si>
  <si>
    <t>Inter Miami CF II</t>
  </si>
  <si>
    <t>Lexington SC</t>
  </si>
  <si>
    <t>Oakland Roots</t>
  </si>
  <si>
    <t>Goiás</t>
  </si>
  <si>
    <t>Sport Recife</t>
  </si>
  <si>
    <t>Columbus Crew SC</t>
  </si>
  <si>
    <t>New York City FC</t>
  </si>
  <si>
    <t>FC Cincinnati</t>
  </si>
  <si>
    <t>Vancouver Whitecaps</t>
  </si>
  <si>
    <t>Inter Miami CF</t>
  </si>
  <si>
    <t>Chicago Fire</t>
  </si>
  <si>
    <t>New England Revolution</t>
  </si>
  <si>
    <t>Toronto FC</t>
  </si>
  <si>
    <t>Philadelphia Union</t>
  </si>
  <si>
    <t>New York Red Bulls</t>
  </si>
  <si>
    <t>Manta FC</t>
  </si>
  <si>
    <t>LDU Quito</t>
  </si>
  <si>
    <t>Charlotte FC</t>
  </si>
  <si>
    <t>Atlanta United FC</t>
  </si>
  <si>
    <t>Chapecoense</t>
  </si>
  <si>
    <t>Flamengo</t>
  </si>
  <si>
    <t>Internacional</t>
  </si>
  <si>
    <t>Cruzeiro</t>
  </si>
  <si>
    <t>São Paulo</t>
  </si>
  <si>
    <t>Athletico-PR</t>
  </si>
  <si>
    <t>Nautico</t>
  </si>
  <si>
    <t>Londrina</t>
  </si>
  <si>
    <t>Austin FC</t>
  </si>
  <si>
    <t>Seattle Sounders FC</t>
  </si>
  <si>
    <t>Houston Dynamo</t>
  </si>
  <si>
    <t>DC United</t>
  </si>
  <si>
    <t>Nashville SC</t>
  </si>
  <si>
    <t>CF Montreal</t>
  </si>
  <si>
    <t>Sporting Kansas City</t>
  </si>
  <si>
    <t>Minnesota United FC</t>
  </si>
  <si>
    <t>Colorado Springs Switchbacks FC</t>
  </si>
  <si>
    <t>Miami FC</t>
  </si>
  <si>
    <t>Vancouver Whitecaps II</t>
  </si>
  <si>
    <t>Austin FC II</t>
  </si>
  <si>
    <t>Colorado Rapids</t>
  </si>
  <si>
    <t>San Diego FC</t>
  </si>
  <si>
    <t>LA Galaxy</t>
  </si>
  <si>
    <t>St. Louis City SC</t>
  </si>
  <si>
    <t>Los Angeles FC</t>
  </si>
  <si>
    <t>Real Salt Lake</t>
  </si>
  <si>
    <t>Portland Timbers</t>
  </si>
  <si>
    <t>FC Dallas</t>
  </si>
  <si>
    <t>San Jose Earthquakes</t>
  </si>
  <si>
    <t>Orlando City SC</t>
  </si>
  <si>
    <t>23/07/2026</t>
  </si>
  <si>
    <t>New England Revolution II</t>
  </si>
  <si>
    <t>New York City FC II</t>
  </si>
  <si>
    <t>Leiknir Reykjavik</t>
  </si>
  <si>
    <t>Throttur Reykjavik</t>
  </si>
  <si>
    <t>Leones FC</t>
  </si>
  <si>
    <t>Guayaquil City FC</t>
  </si>
  <si>
    <t>Orense</t>
  </si>
  <si>
    <t>Aucas</t>
  </si>
  <si>
    <t>Belgrano de Córdoba</t>
  </si>
  <si>
    <t>Rosario Central</t>
  </si>
  <si>
    <t>Sarmiento de Junín</t>
  </si>
  <si>
    <t>Argentinos Juniors</t>
  </si>
  <si>
    <t>Botafogo</t>
  </si>
  <si>
    <t>Vitória</t>
  </si>
  <si>
    <t>Corinthians</t>
  </si>
  <si>
    <t>Remo</t>
  </si>
  <si>
    <t>Athletic Club</t>
  </si>
  <si>
    <t>Sao Bernardo SP</t>
  </si>
  <si>
    <t>Cuiabá</t>
  </si>
  <si>
    <t>Atlético-GO</t>
  </si>
  <si>
    <t>Emelec</t>
  </si>
  <si>
    <t>Mushuc Runa</t>
  </si>
  <si>
    <t>Botafogo SP</t>
  </si>
  <si>
    <t>Juventude</t>
  </si>
  <si>
    <t>Defensa y Justicia</t>
  </si>
  <si>
    <t>Aldosivi</t>
  </si>
  <si>
    <t>24/07/2026</t>
  </si>
  <si>
    <t>Manly Utd</t>
  </si>
  <si>
    <t>Sydney Olympic</t>
  </si>
  <si>
    <t>Green Gully</t>
  </si>
  <si>
    <t>Dandenong City</t>
  </si>
  <si>
    <t>Heidelberg Utd</t>
  </si>
  <si>
    <t>Caroline Springs George Cross FC</t>
  </si>
  <si>
    <t>St Albans Saints</t>
  </si>
  <si>
    <t>Hume City</t>
  </si>
  <si>
    <t>Oakleigh Cannons</t>
  </si>
  <si>
    <t>South Melbourne</t>
  </si>
  <si>
    <t>Preston Lions</t>
  </si>
  <si>
    <t>Bentleigh Greens</t>
  </si>
  <si>
    <t>Gimhae FC 2008</t>
  </si>
  <si>
    <t>Chungbuk Cheongju</t>
  </si>
  <si>
    <t>Seoul E-Land FC</t>
  </si>
  <si>
    <t>Cheonan City</t>
  </si>
  <si>
    <t>FK Tauras</t>
  </si>
  <si>
    <t>FK Kauno Zalgiris II</t>
  </si>
  <si>
    <t>FF Jaro</t>
  </si>
  <si>
    <t>SJK</t>
  </si>
  <si>
    <t>FK Siauliai</t>
  </si>
  <si>
    <t>Hegelmann Litauen</t>
  </si>
  <si>
    <t>Vasteras SK</t>
  </si>
  <si>
    <t>Orgryte IS</t>
  </si>
  <si>
    <t>Volsungur</t>
  </si>
  <si>
    <t>Grindavik</t>
  </si>
  <si>
    <t>Cobh Ramblers</t>
  </si>
  <si>
    <t>Bray</t>
  </si>
  <si>
    <t>Kerry FC</t>
  </si>
  <si>
    <t>Finn Harps</t>
  </si>
  <si>
    <t>Treaty United FC</t>
  </si>
  <si>
    <t>Athlone Town</t>
  </si>
  <si>
    <t>UCD</t>
  </si>
  <si>
    <t>Cork</t>
  </si>
  <si>
    <t>St Patricks</t>
  </si>
  <si>
    <t>Dundalk</t>
  </si>
  <si>
    <t>2 de Mayo</t>
  </si>
  <si>
    <t>Rubio Nu</t>
  </si>
  <si>
    <t>Njardvik</t>
  </si>
  <si>
    <t>HK Kopavogur</t>
  </si>
  <si>
    <t>Fjolnir</t>
  </si>
  <si>
    <t>Haukar</t>
  </si>
  <si>
    <t>Gimnasia (M)</t>
  </si>
  <si>
    <t>Ctral. Córdoba SE</t>
  </si>
  <si>
    <t>Vikingur Reykjavik</t>
  </si>
  <si>
    <t>Keflavik</t>
  </si>
  <si>
    <t>Hviti Riddarinn</t>
  </si>
  <si>
    <t>Kari</t>
  </si>
  <si>
    <t>Alianza Atletico</t>
  </si>
  <si>
    <t>CD Los Chankas</t>
  </si>
  <si>
    <t>Deportes Quindío</t>
  </si>
  <si>
    <t>Boca Juniors De Cali</t>
  </si>
  <si>
    <t>Cerro Porteño</t>
  </si>
  <si>
    <t>Sportivo Trinidense</t>
  </si>
  <si>
    <t>Racing Club</t>
  </si>
  <si>
    <t>Gimnasia La Plata</t>
  </si>
  <si>
    <t>Vélez Sarsfield</t>
  </si>
  <si>
    <t>Instituto de Córdoba</t>
  </si>
  <si>
    <t>HFX Wanderers</t>
  </si>
  <si>
    <t>Supra du Quebec</t>
  </si>
  <si>
    <t>Unión La Calera</t>
  </si>
  <si>
    <t>Everton CD</t>
  </si>
  <si>
    <t>Nacional</t>
  </si>
  <si>
    <t>Progreso</t>
  </si>
  <si>
    <t>Aurora</t>
  </si>
  <si>
    <t>Academia de Balompie Boliviano</t>
  </si>
  <si>
    <t>Tigres FC</t>
  </si>
  <si>
    <t>Itagui Leones</t>
  </si>
  <si>
    <t>New York Red Bulls II</t>
  </si>
  <si>
    <t>Crown Legacy</t>
  </si>
  <si>
    <t>Llaneros</t>
  </si>
  <si>
    <t>Deportivo Pereira</t>
  </si>
  <si>
    <t>Birmingham Legion FC</t>
  </si>
  <si>
    <t>New Mexico United</t>
  </si>
  <si>
    <t>Huracán</t>
  </si>
  <si>
    <t>Banfield</t>
  </si>
  <si>
    <t>Platense</t>
  </si>
  <si>
    <t>Unión de Santa Fe</t>
  </si>
  <si>
    <t>Colo Colo</t>
  </si>
  <si>
    <t>Deportes Limache</t>
  </si>
  <si>
    <t>Deportes Iquique</t>
  </si>
  <si>
    <t>Deportes Temuco</t>
  </si>
  <si>
    <t>Deportivo Cali</t>
  </si>
  <si>
    <t>Jaguares de Córdoba</t>
  </si>
  <si>
    <t>CD Arabe Unido</t>
  </si>
  <si>
    <t>Plaza Amador</t>
  </si>
  <si>
    <t>Universitario de Deportes</t>
  </si>
  <si>
    <t>Cusco FC</t>
  </si>
  <si>
    <t>Vancouver FC</t>
  </si>
  <si>
    <t>Cavalry FC</t>
  </si>
  <si>
    <t>21/07/2026</t>
  </si>
  <si>
    <t>Canberra Juventus</t>
  </si>
  <si>
    <t>Canberra Croatia FC</t>
  </si>
  <si>
    <t>Jeju United</t>
  </si>
  <si>
    <t>Gangwon FC</t>
  </si>
  <si>
    <t>Jeonbuk Motors</t>
  </si>
  <si>
    <t>Daejeon Hana Citizen</t>
  </si>
  <si>
    <t>Ulsan HD</t>
  </si>
  <si>
    <t>Incheon Utd</t>
  </si>
  <si>
    <t>KaPa</t>
  </si>
  <si>
    <t>Klubi-04</t>
  </si>
  <si>
    <t>FC Hegelmann II</t>
  </si>
  <si>
    <t>FK Zalgiris Vilnius II</t>
  </si>
  <si>
    <t>Falkenbergs FF</t>
  </si>
  <si>
    <t>Helsingborg</t>
  </si>
  <si>
    <t>Club Atletico Libertad</t>
  </si>
  <si>
    <t>Delfin</t>
  </si>
  <si>
    <t>Atlético-MG</t>
  </si>
  <si>
    <t>Bahia</t>
  </si>
  <si>
    <t>Avaí</t>
  </si>
  <si>
    <t>América-MG</t>
  </si>
  <si>
    <t>Novorizontino</t>
  </si>
  <si>
    <t>Criciúma</t>
  </si>
  <si>
    <t>Independiente Petrolero</t>
  </si>
  <si>
    <t>Real Potosí</t>
  </si>
  <si>
    <t>U. Católica</t>
  </si>
  <si>
    <t>Barcelona S.C.</t>
  </si>
  <si>
    <t>Vila Nova-GO</t>
  </si>
  <si>
    <t>Fortaleza</t>
  </si>
  <si>
    <t>20/07/2026</t>
  </si>
  <si>
    <t>TPS</t>
  </si>
  <si>
    <t>FC Ilves</t>
  </si>
  <si>
    <t>FK Jelgava</t>
  </si>
  <si>
    <t>Rigas FS</t>
  </si>
  <si>
    <t>FK Transinvest II</t>
  </si>
  <si>
    <t>FK Neptunas Klaipeda</t>
  </si>
  <si>
    <t>Suduva Marijampole</t>
  </si>
  <si>
    <t>IFK Mariehamn</t>
  </si>
  <si>
    <t>FC Lahti</t>
  </si>
  <si>
    <t>SK Super Nova</t>
  </si>
  <si>
    <t>SC Grobinas</t>
  </si>
  <si>
    <t>FK Tukums 2000/TSS II</t>
  </si>
  <si>
    <t>RFS II</t>
  </si>
  <si>
    <t>Kalmar FF</t>
  </si>
  <si>
    <t>Malmo FF</t>
  </si>
  <si>
    <t>Djurgardens IF</t>
  </si>
  <si>
    <t>Norrby IF</t>
  </si>
  <si>
    <t>GIF Sundsvall</t>
  </si>
  <si>
    <t>San Antonio Bulo Bulo</t>
  </si>
  <si>
    <t>FH Hafnarfjordur</t>
  </si>
  <si>
    <t>Breidablik</t>
  </si>
  <si>
    <t>IA Akranes</t>
  </si>
  <si>
    <t>IF Vestri</t>
  </si>
  <si>
    <t>Nacional Potosí</t>
  </si>
  <si>
    <t>Real Oruro</t>
  </si>
  <si>
    <t>Sundsvall</t>
  </si>
  <si>
    <t>Norrby</t>
  </si>
  <si>
    <t>Energiya Khabarovsk</t>
  </si>
  <si>
    <t>Rotor Volgograd</t>
  </si>
  <si>
    <t>Sepsi OSK</t>
  </si>
  <si>
    <t>Rapid Bucuresti</t>
  </si>
  <si>
    <t>Csikszereda Miercurea Ciuc</t>
  </si>
  <si>
    <t>Hunedoara</t>
  </si>
  <si>
    <t>Deportivo San Martin</t>
  </si>
  <si>
    <t>Molinos El Pirata</t>
  </si>
  <si>
    <t>Fernando de la Mora</t>
  </si>
  <si>
    <t>Deportivo Santani</t>
  </si>
  <si>
    <t>Deportivo Capiata</t>
  </si>
  <si>
    <t>Tacuary</t>
  </si>
  <si>
    <t>Neptunas Klaipeda</t>
  </si>
  <si>
    <t>FK Suduva Marijampole</t>
  </si>
  <si>
    <t>Al Nejmeh</t>
  </si>
  <si>
    <t>Al Ansar</t>
  </si>
  <si>
    <t>Al Ahed</t>
  </si>
  <si>
    <t>Jwaya</t>
  </si>
  <si>
    <t>Rigas Futbola Skola II</t>
  </si>
  <si>
    <t>FK Tukums 2000 II</t>
  </si>
  <si>
    <t>Rigas Futbola Skola</t>
  </si>
  <si>
    <t>Jelgava</t>
  </si>
  <si>
    <t>Kopavogs</t>
  </si>
  <si>
    <t>Hafnarfjordur</t>
  </si>
  <si>
    <t>Rovaniemi PS</t>
  </si>
  <si>
    <t>KPV Kokkola</t>
  </si>
  <si>
    <t>Ilves</t>
  </si>
  <si>
    <t>Turku PS</t>
  </si>
  <si>
    <t>JK Tallinna Kalev II</t>
  </si>
  <si>
    <t>Tartu JK Tammeka II</t>
  </si>
  <si>
    <t>Orense SC</t>
  </si>
  <si>
    <t>Lokomotiv Sofia</t>
  </si>
  <si>
    <t>Botev Plovdiv</t>
  </si>
  <si>
    <t>CSKA</t>
  </si>
  <si>
    <t>Slavia</t>
  </si>
  <si>
    <t>Sao Jose Esporte Clube</t>
  </si>
  <si>
    <t>Sao Caetano SP</t>
  </si>
  <si>
    <t>Sao Goncalo</t>
  </si>
  <si>
    <t>Volta Redonda</t>
  </si>
  <si>
    <t>Nacional Potosi</t>
  </si>
  <si>
    <t>ABB</t>
  </si>
  <si>
    <t>SA Bulo Bulo</t>
  </si>
  <si>
    <t>Club Lujan</t>
  </si>
  <si>
    <t>Estrella del Sur</t>
  </si>
  <si>
    <t>Central Ballester</t>
  </si>
  <si>
    <t>Deportivo Paraguayo</t>
  </si>
  <si>
    <t>Leones de Rosario</t>
  </si>
  <si>
    <t>Centro Espanol</t>
  </si>
  <si>
    <t>Sacachispas</t>
  </si>
  <si>
    <t>CA Atlas</t>
  </si>
  <si>
    <t>Central Cordoba de Rosario</t>
  </si>
  <si>
    <t>Berazategui</t>
  </si>
  <si>
    <t>Deportivo Moron</t>
  </si>
  <si>
    <t>Central Norte</t>
  </si>
  <si>
    <t>CA San Miguel</t>
  </si>
  <si>
    <t>CA Chaco For Ever</t>
  </si>
  <si>
    <t>Gimnasia Jujuy</t>
  </si>
  <si>
    <t>Quilmes</t>
  </si>
  <si>
    <t>CA Atlanta</t>
  </si>
  <si>
    <t>Club Atletico Patronato</t>
  </si>
  <si>
    <t>Ferrocarril Midland</t>
  </si>
  <si>
    <t>CA Colegiales</t>
  </si>
  <si>
    <t>CSD Tristan Suarez</t>
  </si>
  <si>
    <t>San Martin de San Juan</t>
  </si>
  <si>
    <t>Los Andes</t>
  </si>
  <si>
    <t>Defensores de Belgrano</t>
  </si>
  <si>
    <t>San Telmo</t>
  </si>
  <si>
    <t>Club Atletico Acassuso</t>
  </si>
  <si>
    <t>CA Guemes</t>
  </si>
  <si>
    <t>Chacarita Juniors</t>
  </si>
  <si>
    <t>Malmo</t>
  </si>
  <si>
    <t>Kalmar</t>
  </si>
  <si>
    <t>end_away</t>
  </si>
  <si>
    <t>end_home</t>
  </si>
  <si>
    <t>halftime_away</t>
  </si>
  <si>
    <t>halftime_home</t>
  </si>
  <si>
    <t>away</t>
  </si>
  <si>
    <t>home</t>
  </si>
  <si>
    <t>time</t>
  </si>
  <si>
    <t>date</t>
  </si>
  <si>
    <t>time2</t>
  </si>
  <si>
    <t>Sabah Baku</t>
  </si>
  <si>
    <t>FK Vardar Skopje</t>
  </si>
  <si>
    <t>Ararat Armenia</t>
  </si>
  <si>
    <t>Shamrock Rovers</t>
  </si>
  <si>
    <t>Mjallby</t>
  </si>
  <si>
    <t>Lincoln Red Imps</t>
  </si>
  <si>
    <t>Kuopio PS</t>
  </si>
  <si>
    <t>Iberia 1999</t>
  </si>
  <si>
    <t>Slovan Bratislava</t>
  </si>
  <si>
    <t>AGF Aarhus</t>
  </si>
  <si>
    <t>Lech Poznan</t>
  </si>
  <si>
    <t>FC Thun</t>
  </si>
  <si>
    <t>Dinamo Zagreb</t>
  </si>
  <si>
    <t>Fenerbahce</t>
  </si>
  <si>
    <t>Gornik Zabrze</t>
  </si>
  <si>
    <t>Sturm Graz</t>
  </si>
  <si>
    <t>Hearts</t>
  </si>
  <si>
    <t>KI Klaksvik</t>
  </si>
  <si>
    <t>Kauno Zalgiris</t>
  </si>
  <si>
    <t>Larne FC</t>
  </si>
  <si>
    <t>Red Star Belgrade</t>
  </si>
  <si>
    <t>Hapoel Beer Sheva</t>
  </si>
  <si>
    <t>Atletico Mineiro</t>
  </si>
  <si>
    <t>Club Almagro</t>
  </si>
  <si>
    <t>Gimnasia y Tiro</t>
  </si>
  <si>
    <t>Deportivo Madryn</t>
  </si>
  <si>
    <t>Godoy Cruz</t>
  </si>
  <si>
    <t>CA Claypole</t>
  </si>
  <si>
    <t>Juventud Unida San Miguel</t>
  </si>
  <si>
    <t>Estudiantes de La Plata</t>
  </si>
  <si>
    <t>Independiente Rivadavia</t>
  </si>
  <si>
    <t>Gungahlin Juventus</t>
  </si>
  <si>
    <t>Canberra</t>
  </si>
  <si>
    <t>Adelaide Hills</t>
  </si>
  <si>
    <t>Vipers FC Adelaide</t>
  </si>
  <si>
    <t>Newcastle Olympic Reserves</t>
  </si>
  <si>
    <t>Belmont Swansea United SC Reserves</t>
  </si>
  <si>
    <t>Newcastle Jets</t>
  </si>
  <si>
    <t>Queensland Lions</t>
  </si>
  <si>
    <t>Perth Glory</t>
  </si>
  <si>
    <t>Cumberland United</t>
  </si>
  <si>
    <t>Heidelberg United</t>
  </si>
  <si>
    <t>Bayswater City</t>
  </si>
  <si>
    <t>Sydney</t>
  </si>
  <si>
    <t>Real Potosi</t>
  </si>
  <si>
    <t>Avai</t>
  </si>
  <si>
    <t>America Mineiro</t>
  </si>
  <si>
    <t>Novorizontino SP</t>
  </si>
  <si>
    <t>Criciuma</t>
  </si>
  <si>
    <t>Vila Nova GO</t>
  </si>
  <si>
    <t>Fortaleza EC</t>
  </si>
  <si>
    <t>Dalian Kewei</t>
  </si>
  <si>
    <t>Beijing Guoan</t>
  </si>
  <si>
    <t>Shanghai Port</t>
  </si>
  <si>
    <t>Shenzhen Peng City</t>
  </si>
  <si>
    <t>Chongqing Tonglianglong</t>
  </si>
  <si>
    <t>Qingdao Kangtine</t>
  </si>
  <si>
    <t>Shanghai Greenland Shenhua</t>
  </si>
  <si>
    <t>Qingdao Jonoon</t>
  </si>
  <si>
    <t>Wuhan Three Towns</t>
  </si>
  <si>
    <t>Shandong Luneng Taishan</t>
  </si>
  <si>
    <t>Henan Jianye</t>
  </si>
  <si>
    <t>Dalian Young Boy</t>
  </si>
  <si>
    <t>Yunnan Yukun</t>
  </si>
  <si>
    <t>Chengdu Qianbao</t>
  </si>
  <si>
    <t>Atletico Nacional</t>
  </si>
  <si>
    <t>Inter Bogota</t>
  </si>
  <si>
    <t>Internacional FC Palmira</t>
  </si>
  <si>
    <t>Deportes Tolima</t>
  </si>
  <si>
    <t>Deportes Quindio</t>
  </si>
  <si>
    <t>Independiente Santa Fe</t>
  </si>
  <si>
    <t>Union Magdalena</t>
  </si>
  <si>
    <t>Deportivo Pasto</t>
  </si>
  <si>
    <t>Bogota</t>
  </si>
  <si>
    <t>Once Caldas</t>
  </si>
  <si>
    <t>Envigado</t>
  </si>
  <si>
    <t>America de Cali</t>
  </si>
  <si>
    <t>Real Cartagena</t>
  </si>
  <si>
    <t>Libertad Loja</t>
  </si>
  <si>
    <t>Delfin SC</t>
  </si>
  <si>
    <t>CD Uni Catolica del Ecuador</t>
  </si>
  <si>
    <t>Barcelona SC</t>
  </si>
  <si>
    <t>Tabasalu Ulasabat</t>
  </si>
  <si>
    <t>Parnu JK Vaprus</t>
  </si>
  <si>
    <t>Kristiine JK</t>
  </si>
  <si>
    <t>Jogeva Wolves</t>
  </si>
  <si>
    <t>SC Brasil Capixaba</t>
  </si>
  <si>
    <t>EC Tupy</t>
  </si>
  <si>
    <t>1</t>
  </si>
  <si>
    <t>2</t>
  </si>
  <si>
    <t>12</t>
  </si>
  <si>
    <t>key</t>
  </si>
  <si>
    <t>Campeonato</t>
  </si>
  <si>
    <t>Placar</t>
  </si>
  <si>
    <t>Austrália NPL - ACT Capital Territory Premier League</t>
  </si>
  <si>
    <t>Coreia do Sul 1. K-League 1</t>
  </si>
  <si>
    <t>0 - 0</t>
  </si>
  <si>
    <t>Finlândia 2. Ykkonen</t>
  </si>
  <si>
    <t>0 - 2</t>
  </si>
  <si>
    <t>Lituânia 2. I Lyga</t>
  </si>
  <si>
    <t>Suécia 2. Superettan</t>
  </si>
  <si>
    <t>Equador 1. Série A (Liga Pro)</t>
  </si>
  <si>
    <t>1 - 0</t>
  </si>
  <si>
    <t>Brasil Série A</t>
  </si>
  <si>
    <t>Brasil Série B</t>
  </si>
  <si>
    <t>0 - 1</t>
  </si>
  <si>
    <t>Bolívia Divisão Profissional</t>
  </si>
  <si>
    <t>2 - 5</t>
  </si>
  <si>
    <t>1 - 1</t>
  </si>
  <si>
    <t>1 - 2</t>
  </si>
  <si>
    <t>2 - 3</t>
  </si>
  <si>
    <t>2 - 1</t>
  </si>
  <si>
    <t>Austrália NPL - Northern NSW Premier League</t>
  </si>
  <si>
    <t>Austrália NPL - Tasmania Premier League</t>
  </si>
  <si>
    <t>Noruega 1. Eliteserien Série de Elite</t>
  </si>
  <si>
    <t>Estados Unidos 3. MLS Next Pro</t>
  </si>
  <si>
    <t>Estados Unidos 2. USL</t>
  </si>
  <si>
    <t>Estados Unidos 1. MLS</t>
  </si>
  <si>
    <t>Islândia 2. Deild Karla (Lengjudeildin)</t>
  </si>
  <si>
    <t>Argentina 1. Superliga/Liga Profissional</t>
  </si>
  <si>
    <t>Austrália NPL - New South Wales Premier League</t>
  </si>
  <si>
    <t>Austrália NPL - Victoria Premier League</t>
  </si>
  <si>
    <t>Coreia do Sul 2. K-League 2</t>
  </si>
  <si>
    <t>Finlândia 1. Veikkausliiga</t>
  </si>
  <si>
    <t>Lituânia 1. A Lyga</t>
  </si>
  <si>
    <t>Suécia 1. Allsvenskan</t>
  </si>
  <si>
    <t>Irlanda 2. First Division</t>
  </si>
  <si>
    <t>Irlanda 1. Divisão Premier</t>
  </si>
  <si>
    <t>Paraguai 1. Primeira Divisão</t>
  </si>
  <si>
    <t>Islândia 3. Deild Karla (Divisão 2)</t>
  </si>
  <si>
    <t>Islândia 1. Premier League (Besta-deild karla)</t>
  </si>
  <si>
    <t>Peru 1. Primeira Divisão</t>
  </si>
  <si>
    <t>Colômbia 2. Primera B (Torneio Águila)</t>
  </si>
  <si>
    <t>Canada 1. Premier League</t>
  </si>
  <si>
    <t>Chile 1. Primeira Divisão</t>
  </si>
  <si>
    <t>Uruguai 1. Primeira Divisão</t>
  </si>
  <si>
    <t>Colômbia 1. Primera A (Liga Águila)</t>
  </si>
  <si>
    <t>Chile 2. Primeira B</t>
  </si>
  <si>
    <t>Panamá 1. LPF</t>
  </si>
  <si>
    <t>25/07/2026</t>
  </si>
  <si>
    <t>Cooks Hill United</t>
  </si>
  <si>
    <t>Lambton Jaffas</t>
  </si>
  <si>
    <t>Canberra Olympic</t>
  </si>
  <si>
    <t>Queanbeyan City</t>
  </si>
  <si>
    <t>Devonport City</t>
  </si>
  <si>
    <t>Riverside Olympic</t>
  </si>
  <si>
    <t>Brindabella Blues FC</t>
  </si>
  <si>
    <t>Austrália NPL - South Australia</t>
  </si>
  <si>
    <t>Adelaide City</t>
  </si>
  <si>
    <t>West Torrens Birkalla</t>
  </si>
  <si>
    <t>Croydon FC</t>
  </si>
  <si>
    <t>Campbelltown City</t>
  </si>
  <si>
    <t>Melbourne City FC 2</t>
  </si>
  <si>
    <t>Avondale</t>
  </si>
  <si>
    <t>Adelaide Comets</t>
  </si>
  <si>
    <t>White City FK Beograd</t>
  </si>
  <si>
    <t>Adelaide United NPL</t>
  </si>
  <si>
    <t>Sturt Lions</t>
  </si>
  <si>
    <t>Para Hills Knights</t>
  </si>
  <si>
    <t>Playford</t>
  </si>
  <si>
    <t>Belconnen United</t>
  </si>
  <si>
    <t>O'Connor Knights</t>
  </si>
  <si>
    <t>Maitland FC</t>
  </si>
  <si>
    <t>Broadmeadow Magic</t>
  </si>
  <si>
    <t>Valentine Phoenix</t>
  </si>
  <si>
    <t>Charlestown Azzurri</t>
  </si>
  <si>
    <t>SD Raiders</t>
  </si>
  <si>
    <t>Marconi Stallions</t>
  </si>
  <si>
    <t>Dandenong Thunder</t>
  </si>
  <si>
    <t>Altona Magic</t>
  </si>
  <si>
    <t>Austrália NPL - Western Australia Premier League</t>
  </si>
  <si>
    <t>Perth Glory U21</t>
  </si>
  <si>
    <t>Dianella White Eagles</t>
  </si>
  <si>
    <t>Perth RedStar FC</t>
  </si>
  <si>
    <t>Balcatta</t>
  </si>
  <si>
    <t>Perth SC</t>
  </si>
  <si>
    <t>Stirling Macedonia</t>
  </si>
  <si>
    <t>Armadale</t>
  </si>
  <si>
    <t>Western Knights</t>
  </si>
  <si>
    <t>Olympic Kingsway</t>
  </si>
  <si>
    <t>NWS Spirit FC</t>
  </si>
  <si>
    <t>Western Sydney Wanderers U21</t>
  </si>
  <si>
    <t>Tigers FC</t>
  </si>
  <si>
    <t>Apia L Tigers</t>
  </si>
  <si>
    <t>University NSW</t>
  </si>
  <si>
    <t>Austrália NPL - Queensland</t>
  </si>
  <si>
    <t>Gold Coast Knights</t>
  </si>
  <si>
    <t>Gold Coast Utd</t>
  </si>
  <si>
    <t>St George Saints</t>
  </si>
  <si>
    <t>Sydney FC U21</t>
  </si>
  <si>
    <t>St George City FA</t>
  </si>
  <si>
    <t>Sydney United 58</t>
  </si>
  <si>
    <t>China 1. Superliga</t>
  </si>
  <si>
    <t>Qingdao Hainiu</t>
  </si>
  <si>
    <t>Tianjin Jinmen Tigers</t>
  </si>
  <si>
    <t>China 3. Division 2 - League Two</t>
  </si>
  <si>
    <t>Dalian Young Boy Reserves</t>
  </si>
  <si>
    <t>Metrostars</t>
  </si>
  <si>
    <t>West Adelaide</t>
  </si>
  <si>
    <t>Busan I Park</t>
  </si>
  <si>
    <t>Suwon Bluewings</t>
  </si>
  <si>
    <t>Daegu FC</t>
  </si>
  <si>
    <t>Suwon FC</t>
  </si>
  <si>
    <t>Hwaseong FC</t>
  </si>
  <si>
    <t>Chungnam Asan FC</t>
  </si>
  <si>
    <t>Jeonnam Dragons</t>
  </si>
  <si>
    <t>Gyeongnam FC</t>
  </si>
  <si>
    <t>China 2. Division 1 - League One</t>
  </si>
  <si>
    <t>Changchun Yatai</t>
  </si>
  <si>
    <t>Nanjing City</t>
  </si>
  <si>
    <t>Ningbo Professional FC</t>
  </si>
  <si>
    <t>Guangdong GZ-Power</t>
  </si>
  <si>
    <t>Shaanxi Union</t>
  </si>
  <si>
    <t>Shenzhen Juniors</t>
  </si>
  <si>
    <t>Guangzhou Dandelion</t>
  </si>
  <si>
    <t>Wenzhou FC</t>
  </si>
  <si>
    <t>Shandong Taishan Reserves</t>
  </si>
  <si>
    <t>Changchun Xidu</t>
  </si>
  <si>
    <t>Letônia 2. 1 Liga</t>
  </si>
  <si>
    <t>FK Smiltene/BJSS</t>
  </si>
  <si>
    <t>Foshan Nanshi</t>
  </si>
  <si>
    <t>Wuxi Wugo</t>
  </si>
  <si>
    <t>Shijiazhuang Gongfu FC</t>
  </si>
  <si>
    <t>Nantong Zhiyun</t>
  </si>
  <si>
    <t>Guizhou Zhucheng Athletic</t>
  </si>
  <si>
    <t>Ganzhou Ruishi</t>
  </si>
  <si>
    <t>Jiangxi Lushan</t>
  </si>
  <si>
    <t>Shenzhen 2028</t>
  </si>
  <si>
    <t>Lanzhou Longyuan Athletic</t>
  </si>
  <si>
    <t>Shanghai Segenda</t>
  </si>
  <si>
    <t>Liaoning Ironman</t>
  </si>
  <si>
    <t>Qingdao West Coast</t>
  </si>
  <si>
    <t>Shanghai Shenhua</t>
  </si>
  <si>
    <t>Cazaquistão 1. Premier League</t>
  </si>
  <si>
    <t>FK Ulytau</t>
  </si>
  <si>
    <t>Irtysh Pavlodar</t>
  </si>
  <si>
    <t>FC Haka</t>
  </si>
  <si>
    <t>FK Atmosfera</t>
  </si>
  <si>
    <t>Zhetysu</t>
  </si>
  <si>
    <t>FK Kyzylzhar</t>
  </si>
  <si>
    <t>JaPS</t>
  </si>
  <si>
    <t>MP</t>
  </si>
  <si>
    <t>KTP</t>
  </si>
  <si>
    <t>SJK II</t>
  </si>
  <si>
    <t>Ekenas IF</t>
  </si>
  <si>
    <t>JDFS Alberts</t>
  </si>
  <si>
    <t>SK Super Nova II</t>
  </si>
  <si>
    <t>Degerfors</t>
  </si>
  <si>
    <t>IFK Varnamo</t>
  </si>
  <si>
    <t>IK Brage</t>
  </si>
  <si>
    <t>AC Oulu</t>
  </si>
  <si>
    <t>KuPS Kuopio</t>
  </si>
  <si>
    <t>VPS Vaasa</t>
  </si>
  <si>
    <t>Afturelding</t>
  </si>
  <si>
    <t>Grotta Seltjarnarnes</t>
  </si>
  <si>
    <t>IR Reykjavik</t>
  </si>
  <si>
    <t>Fylkir Reykjavik</t>
  </si>
  <si>
    <t>Fjardabyggd</t>
  </si>
  <si>
    <t>Throttur Vogum</t>
  </si>
  <si>
    <t>FK Beitar Riga/Mariners</t>
  </si>
  <si>
    <t>JFK Ventspils</t>
  </si>
  <si>
    <t>FK Siauliai II</t>
  </si>
  <si>
    <t>Kristiansund BK</t>
  </si>
  <si>
    <t>IK Start</t>
  </si>
  <si>
    <t>FK Aktobe</t>
  </si>
  <si>
    <t>Okzhetpes Kokshetau</t>
  </si>
  <si>
    <t>PK-35</t>
  </si>
  <si>
    <t>Jippo</t>
  </si>
  <si>
    <t>Rezeknes FA</t>
  </si>
  <si>
    <t>Marupes SC</t>
  </si>
  <si>
    <t>FK Babrungas</t>
  </si>
  <si>
    <t>FK Ekranas</t>
  </si>
  <si>
    <t>Central Espanol</t>
  </si>
  <si>
    <t>Liverpool</t>
  </si>
  <si>
    <t>Mjallby AIF</t>
  </si>
  <si>
    <t>Estônia 2. Esiliiga</t>
  </si>
  <si>
    <t>JK Nomme Kalju II</t>
  </si>
  <si>
    <t>FC Flora Tallinn II</t>
  </si>
  <si>
    <t>Galway United</t>
  </si>
  <si>
    <t>Waterford</t>
  </si>
  <si>
    <t>Dalvik/Reynir</t>
  </si>
  <si>
    <t>Vikingur Olafsvik</t>
  </si>
  <si>
    <t>Magni Grenivik</t>
  </si>
  <si>
    <t>KFG Gardabaer</t>
  </si>
  <si>
    <t>FK Kauno Zalgiris</t>
  </si>
  <si>
    <t>Lietava Jonava</t>
  </si>
  <si>
    <t>Garliava Kaunas</t>
  </si>
  <si>
    <t>Noruega 2. OBOS-ligaen (2ª Divisão)</t>
  </si>
  <si>
    <t>Stromsgodset</t>
  </si>
  <si>
    <t>Lyn 1896</t>
  </si>
  <si>
    <t>Santiago Wanderers</t>
  </si>
  <si>
    <t>Union San Felipe</t>
  </si>
  <si>
    <t>Kormakur/Hvot</t>
  </si>
  <si>
    <t>UMF Selfoss</t>
  </si>
  <si>
    <t>Estudiantes Rio Cuarto</t>
  </si>
  <si>
    <t>Tigre</t>
  </si>
  <si>
    <t>Argentina 2. Primeira Nacional (2ª Divisão)</t>
  </si>
  <si>
    <t>Estudiantes de Caseros</t>
  </si>
  <si>
    <t>Club Ciudad de Bolivar</t>
  </si>
  <si>
    <t>Argentina 4. Primeira C (4ª Divisão)</t>
  </si>
  <si>
    <t>Argentino Rosario</t>
  </si>
  <si>
    <t>Puerto Nuevo</t>
  </si>
  <si>
    <t>Atlas</t>
  </si>
  <si>
    <t>Deportivo Español</t>
  </si>
  <si>
    <t>Barracas Bolívar</t>
  </si>
  <si>
    <t>El Porvenir</t>
  </si>
  <si>
    <t>Club Mercedes</t>
  </si>
  <si>
    <t>Cañuelas</t>
  </si>
  <si>
    <t>Deportivo Muñiz</t>
  </si>
  <si>
    <t>Estrella del Sur Alejandro Korn</t>
  </si>
  <si>
    <t>Fénix</t>
  </si>
  <si>
    <t>Yupanqui</t>
  </si>
  <si>
    <t>General La Madrid</t>
  </si>
  <si>
    <t>Claypole</t>
  </si>
  <si>
    <t>Defensores Cambaceres</t>
  </si>
  <si>
    <t>Central Córdoba de Rosario</t>
  </si>
  <si>
    <t>Lugano</t>
  </si>
  <si>
    <t>Luján</t>
  </si>
  <si>
    <t>Leandro Nicéforo Alem</t>
  </si>
  <si>
    <t>Victoriano Arenas</t>
  </si>
  <si>
    <t>Justo José Urquiza</t>
  </si>
  <si>
    <t>Haugesund</t>
  </si>
  <si>
    <t>Bryne</t>
  </si>
  <si>
    <t>Sport Huancayo</t>
  </si>
  <si>
    <t>Atletico Grau</t>
  </si>
  <si>
    <t>Defensor Sporting</t>
  </si>
  <si>
    <t>Cerro</t>
  </si>
  <si>
    <t>Longford Town</t>
  </si>
  <si>
    <t>Wexford FC</t>
  </si>
  <si>
    <t>Sligo</t>
  </si>
  <si>
    <t>Drogheda United</t>
  </si>
  <si>
    <t>Atletico Rafaela</t>
  </si>
  <si>
    <t>Nueva Chicago</t>
  </si>
  <si>
    <t>Always Ready</t>
  </si>
  <si>
    <t>Brasil Série D</t>
  </si>
  <si>
    <t>Iguatu</t>
  </si>
  <si>
    <t>Nacional-AM</t>
  </si>
  <si>
    <t>Portuguesa</t>
  </si>
  <si>
    <t>Uberlândia</t>
  </si>
  <si>
    <t>Coquimbo Unido</t>
  </si>
  <si>
    <t>Universidad de Concepción</t>
  </si>
  <si>
    <t>Curico Unido</t>
  </si>
  <si>
    <t>San Luis</t>
  </si>
  <si>
    <t>Deportivo Recoleta</t>
  </si>
  <si>
    <t>Sportivo San Lorenzo</t>
  </si>
  <si>
    <t>Newell's Old Boys</t>
  </si>
  <si>
    <t>Talleres de Córdoba</t>
  </si>
  <si>
    <t>Acassuso</t>
  </si>
  <si>
    <t>Colón de Santa Fe</t>
  </si>
  <si>
    <t>Almagro</t>
  </si>
  <si>
    <t>Midland</t>
  </si>
  <si>
    <t>Atlanta</t>
  </si>
  <si>
    <t>San Martin de Tucuman</t>
  </si>
  <si>
    <t>San Martin SJ</t>
  </si>
  <si>
    <t>Argentina 3. Primeira B (3ª Divisão)</t>
  </si>
  <si>
    <t>Argentino Quilmes</t>
  </si>
  <si>
    <t>Villa Dálmine</t>
  </si>
  <si>
    <t>Atletico Camioneros</t>
  </si>
  <si>
    <t>San Martín Burzaco</t>
  </si>
  <si>
    <t>Brown de Adrogué</t>
  </si>
  <si>
    <t>Argentino Merlo</t>
  </si>
  <si>
    <t>Comunicaciones (Mercedes)</t>
  </si>
  <si>
    <t>Real Pilar</t>
  </si>
  <si>
    <t>Defensores Unidos</t>
  </si>
  <si>
    <t>UAI Urquiza</t>
  </si>
  <si>
    <t>Deportivo Armenio</t>
  </si>
  <si>
    <t>Arsenal de Sarandí</t>
  </si>
  <si>
    <t>Deportivo Laferrere</t>
  </si>
  <si>
    <t>Talleres de Remedios de Escalada</t>
  </si>
  <si>
    <t>Dock Sud</t>
  </si>
  <si>
    <t>Liniers</t>
  </si>
  <si>
    <t>Flandria</t>
  </si>
  <si>
    <t>Excursionistas</t>
  </si>
  <si>
    <t>Ituzaingó</t>
  </si>
  <si>
    <t>Club Sportivo Italiano</t>
  </si>
  <si>
    <t>Merlo</t>
  </si>
  <si>
    <t>San Carlos</t>
  </si>
  <si>
    <t>Brasil Série C</t>
  </si>
  <si>
    <t>Ferroviária</t>
  </si>
  <si>
    <t>Maranhão</t>
  </si>
  <si>
    <t>Santa Cruz</t>
  </si>
  <si>
    <t>Figueirense</t>
  </si>
  <si>
    <t>Juan Pablo II College</t>
  </si>
  <si>
    <t>Cienciano</t>
  </si>
  <si>
    <t>Boyacá Chicó FC</t>
  </si>
  <si>
    <t>Atlético Nacional</t>
  </si>
  <si>
    <t>Bogotá FC</t>
  </si>
  <si>
    <t>Unión Magdalena</t>
  </si>
  <si>
    <t>Toronto FC II</t>
  </si>
  <si>
    <t>Deportivo Maldonado</t>
  </si>
  <si>
    <t>Juventud</t>
  </si>
  <si>
    <t>Independiente Medellín</t>
  </si>
  <si>
    <t>Guabirá</t>
  </si>
  <si>
    <t>Santos</t>
  </si>
  <si>
    <t>Confiança</t>
  </si>
  <si>
    <t>Itabaiana</t>
  </si>
  <si>
    <t>Huachipato</t>
  </si>
  <si>
    <t>Cobresal</t>
  </si>
  <si>
    <t>Cobreloa</t>
  </si>
  <si>
    <t>Club Deportes Santa Cruz</t>
  </si>
  <si>
    <t>Sportivo Ameliano</t>
  </si>
  <si>
    <t>Temperley</t>
  </si>
  <si>
    <t>Anapolis FC</t>
  </si>
  <si>
    <t>River Plate</t>
  </si>
  <si>
    <t>Barracas Central</t>
  </si>
  <si>
    <t>Sport Boys</t>
  </si>
  <si>
    <t>AD Tarma</t>
  </si>
  <si>
    <t>Brooklyn FC</t>
  </si>
  <si>
    <t>San Antonio FC</t>
  </si>
  <si>
    <t>Detroit City FC</t>
  </si>
  <si>
    <t>Las Vegas Lights FC</t>
  </si>
  <si>
    <t>Indy Eleven</t>
  </si>
  <si>
    <t>Loudoun United FC</t>
  </si>
  <si>
    <t>Tampa Bay Rowdies</t>
  </si>
  <si>
    <t>Pittsburgh Riverhounds</t>
  </si>
  <si>
    <t>Rhode Island FC</t>
  </si>
  <si>
    <t>Chattanooga FC</t>
  </si>
  <si>
    <t>Philadelphia Union II</t>
  </si>
  <si>
    <t>LA Galaxy II</t>
  </si>
  <si>
    <t>The Town</t>
  </si>
  <si>
    <t>Millonarios</t>
  </si>
  <si>
    <t>Bucaramanga</t>
  </si>
  <si>
    <t>Alianza FC Panama</t>
  </si>
  <si>
    <t>UMECIT</t>
  </si>
  <si>
    <t>Oriente Petrolero</t>
  </si>
  <si>
    <t>Vasco</t>
  </si>
  <si>
    <t>Mirassol</t>
  </si>
  <si>
    <t>Chicago Fire II</t>
  </si>
  <si>
    <t>Universidad Católica</t>
  </si>
  <si>
    <t>La Serena</t>
  </si>
  <si>
    <t>Real Santander</t>
  </si>
  <si>
    <t>Lanús</t>
  </si>
  <si>
    <t>San Lorenzo</t>
  </si>
  <si>
    <t>Tulsa</t>
  </si>
  <si>
    <t>North Texas SC</t>
  </si>
  <si>
    <t>Los Angeles FC II</t>
  </si>
  <si>
    <t>Charleston Battery</t>
  </si>
  <si>
    <t>El Paso Locomotive FC</t>
  </si>
  <si>
    <t>Sporting JAX</t>
  </si>
  <si>
    <t>Melgar</t>
  </si>
  <si>
    <t>Sporting Cristal</t>
  </si>
  <si>
    <t>Atlético Junior</t>
  </si>
  <si>
    <t>CD Universitario</t>
  </si>
  <si>
    <t>San Francisco FC</t>
  </si>
  <si>
    <t>Monterey Bay FC</t>
  </si>
  <si>
    <t>Orange County SC</t>
  </si>
  <si>
    <t>Sacramento Republic FC</t>
  </si>
  <si>
    <t>Phoenix Rising FC</t>
  </si>
  <si>
    <t>Hartford Athletic</t>
  </si>
  <si>
    <t>country</t>
  </si>
  <si>
    <t>league</t>
  </si>
  <si>
    <t>Europe</t>
  </si>
  <si>
    <t>Champions League</t>
  </si>
  <si>
    <t>Brazil</t>
  </si>
  <si>
    <t>Serie A</t>
  </si>
  <si>
    <t>Argentina</t>
  </si>
  <si>
    <t>Primera B Nacional</t>
  </si>
  <si>
    <t>Primera C</t>
  </si>
  <si>
    <t>Super Cup</t>
  </si>
  <si>
    <t>Australia</t>
  </si>
  <si>
    <t>NPL ACT</t>
  </si>
  <si>
    <t>South Australia State League 2</t>
  </si>
  <si>
    <t>Northern NSW Reserves</t>
  </si>
  <si>
    <t>FFA Cup</t>
  </si>
  <si>
    <t>Bolivia</t>
  </si>
  <si>
    <t>Liga Profesional</t>
  </si>
  <si>
    <t>Serie B</t>
  </si>
  <si>
    <t>Campeonato Capixaba 2</t>
  </si>
  <si>
    <t>China</t>
  </si>
  <si>
    <t>FA Cup</t>
  </si>
  <si>
    <t>Colombia</t>
  </si>
  <si>
    <t>Copa Colombia</t>
  </si>
  <si>
    <t>Ecuador</t>
  </si>
  <si>
    <t>Primera A</t>
  </si>
  <si>
    <t>Estonia</t>
  </si>
  <si>
    <t>Estonian Cup</t>
  </si>
  <si>
    <t>Sweden</t>
  </si>
  <si>
    <t>Allsvenskan</t>
  </si>
  <si>
    <t>Copa Rio</t>
  </si>
  <si>
    <t>Paulista Cup</t>
  </si>
  <si>
    <t>Bulgaria</t>
  </si>
  <si>
    <t>Parva Liga</t>
  </si>
  <si>
    <t>Esiliiga B</t>
  </si>
  <si>
    <t>Finland</t>
  </si>
  <si>
    <t>Veikkausliiga</t>
  </si>
  <si>
    <t>Ykkonen</t>
  </si>
  <si>
    <t>Iceland</t>
  </si>
  <si>
    <t>Premier League</t>
  </si>
  <si>
    <t>First Division</t>
  </si>
  <si>
    <t>Latvia</t>
  </si>
  <si>
    <t>Higher League</t>
  </si>
  <si>
    <t>1. Liga</t>
  </si>
  <si>
    <t>Lebanon</t>
  </si>
  <si>
    <t>Lithuania</t>
  </si>
  <si>
    <t>A Liga</t>
  </si>
  <si>
    <t>1 Lyga</t>
  </si>
  <si>
    <t>Paraguay</t>
  </si>
  <si>
    <t>Segunda Division</t>
  </si>
  <si>
    <t>Peru</t>
  </si>
  <si>
    <t xml:space="preserve">Segunda Division </t>
  </si>
  <si>
    <t>Romania</t>
  </si>
  <si>
    <t>Liga 1</t>
  </si>
  <si>
    <t>Russia</t>
  </si>
  <si>
    <t>First League</t>
  </si>
  <si>
    <t>Superettan</t>
  </si>
  <si>
    <t>date2</t>
  </si>
  <si>
    <t>Country</t>
  </si>
  <si>
    <t>USA</t>
  </si>
  <si>
    <t>MLS</t>
  </si>
  <si>
    <t>Columbus Crew</t>
  </si>
  <si>
    <t>New York City</t>
  </si>
  <si>
    <t>Atlanta United</t>
  </si>
  <si>
    <t>Nashville FC</t>
  </si>
  <si>
    <t>Montreal Impact</t>
  </si>
  <si>
    <t>Minnesota United</t>
  </si>
  <si>
    <t>Saint Louis City</t>
  </si>
  <si>
    <t>Dallas</t>
  </si>
  <si>
    <t>Orlando City</t>
  </si>
  <si>
    <t>AC Omonia</t>
  </si>
  <si>
    <t>Kairat</t>
  </si>
  <si>
    <t>Levski</t>
  </si>
  <si>
    <t>CS Universitatea Craiova</t>
  </si>
  <si>
    <t>FK Egnatia</t>
  </si>
  <si>
    <t>NK Celje</t>
  </si>
  <si>
    <t>Coritiba PR</t>
  </si>
  <si>
    <t>Flamengo RJ</t>
  </si>
  <si>
    <t>Sao Paulo</t>
  </si>
  <si>
    <t>Athletico Paranaense</t>
  </si>
  <si>
    <t>Primera A Women</t>
  </si>
  <si>
    <t>Boca Juniors Women</t>
  </si>
  <si>
    <t>Talleres de Cordoba Women</t>
  </si>
  <si>
    <t>Satsaid Women</t>
  </si>
  <si>
    <t>Ferro Carril Oeste Women</t>
  </si>
  <si>
    <t>Huracan Women</t>
  </si>
  <si>
    <t>Banfield Women</t>
  </si>
  <si>
    <t>Lanus Women</t>
  </si>
  <si>
    <t>San Lorenzo Women</t>
  </si>
  <si>
    <t>San Luis FC Women</t>
  </si>
  <si>
    <t>Racing Avellaneda Women</t>
  </si>
  <si>
    <t>Union de Santa Fe Women</t>
  </si>
  <si>
    <t>Newell's Old Boys Women</t>
  </si>
  <si>
    <t>Tuggeranong United</t>
  </si>
  <si>
    <t>NPL Northern NSW</t>
  </si>
  <si>
    <t>Hamilton Olympic</t>
  </si>
  <si>
    <t>NPL Tasmania</t>
  </si>
  <si>
    <t>Edgeworth Eagles Reserves</t>
  </si>
  <si>
    <t>Kahibah FC Reserves</t>
  </si>
  <si>
    <t>Northern Territory PL</t>
  </si>
  <si>
    <t>Port Darwin FC</t>
  </si>
  <si>
    <t>Casuarina FC</t>
  </si>
  <si>
    <t>Mindil Aces</t>
  </si>
  <si>
    <t>Darwin Olympic</t>
  </si>
  <si>
    <t>Cooma</t>
  </si>
  <si>
    <t>Western Sydney Wanderers</t>
  </si>
  <si>
    <t>Fremantle City FC</t>
  </si>
  <si>
    <t>Central Coast Mariners</t>
  </si>
  <si>
    <t>University Azzurri FC</t>
  </si>
  <si>
    <t>Macarthur FC</t>
  </si>
  <si>
    <t>NPL ACT Youth</t>
  </si>
  <si>
    <t>Tuggeranong United U23</t>
  </si>
  <si>
    <t>Canberra White Eagles U23</t>
  </si>
  <si>
    <t>Ceara</t>
  </si>
  <si>
    <t>Clube de Regatas Brasil</t>
  </si>
  <si>
    <t>Operario PR</t>
  </si>
  <si>
    <t>Goias</t>
  </si>
  <si>
    <t>Londrina EC</t>
  </si>
  <si>
    <t>Campeonato Catarinense 2</t>
  </si>
  <si>
    <t xml:space="preserve">Blumenau </t>
  </si>
  <si>
    <t>Nacao Esportes</t>
  </si>
  <si>
    <t>Fluminense SC</t>
  </si>
  <si>
    <t>Atletico Tubarao SC</t>
  </si>
  <si>
    <t xml:space="preserve">GE Juventus </t>
  </si>
  <si>
    <t>CA Metropolitano</t>
  </si>
  <si>
    <t>Guarani SC</t>
  </si>
  <si>
    <t>Jaragua SC</t>
  </si>
  <si>
    <t>Hercilio Luz</t>
  </si>
  <si>
    <t>CF Caravaggio</t>
  </si>
  <si>
    <t>Audax Sao Mateus</t>
  </si>
  <si>
    <t>Espirito Santo FC</t>
  </si>
  <si>
    <t>26/07/2026</t>
  </si>
  <si>
    <t>Edgeworth Eagles</t>
  </si>
  <si>
    <t>México 1. Liga MX</t>
  </si>
  <si>
    <t>Tigres UANL</t>
  </si>
  <si>
    <t>At. San Luis</t>
  </si>
  <si>
    <t>Rockdale Ilinden FC</t>
  </si>
  <si>
    <t>Sutherland Sharks</t>
  </si>
  <si>
    <t>Wollongong Wolves</t>
  </si>
  <si>
    <t>Blacktown City</t>
  </si>
  <si>
    <t>Kahibah FC</t>
  </si>
  <si>
    <t>Monaro Panthers</t>
  </si>
  <si>
    <t>Shanxi Chongde Ronghai</t>
  </si>
  <si>
    <t>Nantong Haimen Codion</t>
  </si>
  <si>
    <t>Xiamen Feilu</t>
  </si>
  <si>
    <t>Hangzhou Linping Wuyue</t>
  </si>
  <si>
    <t>Shanghai Port Reserves</t>
  </si>
  <si>
    <t>Tai'an Tiankuang</t>
  </si>
  <si>
    <t>Rússia 2. Division 1 (FNL)</t>
  </si>
  <si>
    <t>Yenisey Krasnoyarsk</t>
  </si>
  <si>
    <t>Veles</t>
  </si>
  <si>
    <t>Yanbian Longding</t>
  </si>
  <si>
    <t>Meizhou Hakka</t>
  </si>
  <si>
    <t>Gimpo FC</t>
  </si>
  <si>
    <t>Yongin FC</t>
  </si>
  <si>
    <t>Paju Frontier FC</t>
  </si>
  <si>
    <t>Ansan Greeners FC</t>
  </si>
  <si>
    <t>Shenzhen Xinpengcheng</t>
  </si>
  <si>
    <t>Dalian K'un City</t>
  </si>
  <si>
    <t>Suzhou Dongwu</t>
  </si>
  <si>
    <t>Guangxi Hengchen</t>
  </si>
  <si>
    <t>Dingnan Ganlian FC</t>
  </si>
  <si>
    <t>Guangdong Mingtu</t>
  </si>
  <si>
    <t>Chengdu Rongcheng Reserves</t>
  </si>
  <si>
    <t>Hubei Istar</t>
  </si>
  <si>
    <t>Wuhan Three Towns Reserves</t>
  </si>
  <si>
    <t>Rússia 1. Premier League</t>
  </si>
  <si>
    <t>Gazovik Orenburg</t>
  </si>
  <si>
    <t>Rostov</t>
  </si>
  <si>
    <t>Chengdu Rongcheng</t>
  </si>
  <si>
    <t>Beijing Sinobo Guoan</t>
  </si>
  <si>
    <t>Shandong Taishan</t>
  </si>
  <si>
    <t>Henan</t>
  </si>
  <si>
    <t>Alemanha 4. Liga Regional Nordeste</t>
  </si>
  <si>
    <t>BSG Chemie Leipzig</t>
  </si>
  <si>
    <t>Babelsberg 03</t>
  </si>
  <si>
    <t>Carl Zeiss Jena</t>
  </si>
  <si>
    <t>Zwickau</t>
  </si>
  <si>
    <t>Greifswalder SV 04</t>
  </si>
  <si>
    <t>Hallescher</t>
  </si>
  <si>
    <t>Tobol Kostanay</t>
  </si>
  <si>
    <t>FK Atyrau</t>
  </si>
  <si>
    <t>Zhejiang</t>
  </si>
  <si>
    <t>Dinamarca 1. Superligaen</t>
  </si>
  <si>
    <t>Sonderjyske</t>
  </si>
  <si>
    <t>FC Midtjylland</t>
  </si>
  <si>
    <t>Dinamarca 2. 1ª Division</t>
  </si>
  <si>
    <t>Hobro IK</t>
  </si>
  <si>
    <t>Aarhus Fremad</t>
  </si>
  <si>
    <t>FC Inter</t>
  </si>
  <si>
    <t>IF Gnistan</t>
  </si>
  <si>
    <t>Letônia 1. Virsliga</t>
  </si>
  <si>
    <t>Riga FC</t>
  </si>
  <si>
    <t>FK Vilnius</t>
  </si>
  <si>
    <t>FK BE1</t>
  </si>
  <si>
    <t>FC Ufa</t>
  </si>
  <si>
    <t>SKA Energia Khabarovsk</t>
  </si>
  <si>
    <t>Brommapojkarna</t>
  </si>
  <si>
    <t>Hammarby</t>
  </si>
  <si>
    <t>Sirius</t>
  </si>
  <si>
    <t>IFK</t>
  </si>
  <si>
    <t>Ucrânia 2. Persha Liga</t>
  </si>
  <si>
    <t>FC Probiy Horodenka</t>
  </si>
  <si>
    <t>Ingulets</t>
  </si>
  <si>
    <t>FK Kulykiv-Bilka</t>
  </si>
  <si>
    <t>FC Metalist Kharkiv</t>
  </si>
  <si>
    <t>Kolos Kovalivka II</t>
  </si>
  <si>
    <t>Prykarpattya Ivano Frankivsk</t>
  </si>
  <si>
    <t>Uruguai 2. Segunda Divisão</t>
  </si>
  <si>
    <t>Huracan DPA</t>
  </si>
  <si>
    <t>Uruguay Montevideo</t>
  </si>
  <si>
    <t>SK Brann</t>
  </si>
  <si>
    <t>Valerenga</t>
  </si>
  <si>
    <t>Polônia 2. Divisão 1</t>
  </si>
  <si>
    <t>Termalica Nieciecza</t>
  </si>
  <si>
    <t>Ruch Chorzow</t>
  </si>
  <si>
    <t>Polônia 1. Ekstraklasa</t>
  </si>
  <si>
    <t>Rakow Czestochowa</t>
  </si>
  <si>
    <t>Wisla Plock</t>
  </si>
  <si>
    <t>FC Elimai Semey</t>
  </si>
  <si>
    <t>Kaisar Kyzylorda</t>
  </si>
  <si>
    <t>FK Leningradets</t>
  </si>
  <si>
    <t>Ural Sverdlovsk Oblast</t>
  </si>
  <si>
    <t>Ljungskile</t>
  </si>
  <si>
    <t>Sandvikens IF</t>
  </si>
  <si>
    <t>Hungria 1. NB I</t>
  </si>
  <si>
    <t>Vasas SC</t>
  </si>
  <si>
    <t>Gyori ETO</t>
  </si>
  <si>
    <t>FC Astana</t>
  </si>
  <si>
    <t>FC Altai Semey</t>
  </si>
  <si>
    <t>Kairat Almaty</t>
  </si>
  <si>
    <t>Ordabasy</t>
  </si>
  <si>
    <t>FC Copenhagen</t>
  </si>
  <si>
    <t>Lyngby</t>
  </si>
  <si>
    <t>Escócia Copa da Liga</t>
  </si>
  <si>
    <t>St Mirren</t>
  </si>
  <si>
    <t>Dunfermline Athletic</t>
  </si>
  <si>
    <t>HJK Helsinki</t>
  </si>
  <si>
    <t>Lokomotiv Moscow</t>
  </si>
  <si>
    <t>Akhmat Grozny</t>
  </si>
  <si>
    <t>Torpedo Moscow</t>
  </si>
  <si>
    <t>Shinnik Yaroslavl</t>
  </si>
  <si>
    <t>Racing (U)</t>
  </si>
  <si>
    <t>Boston River</t>
  </si>
  <si>
    <t>Romênia 1. Liga 1</t>
  </si>
  <si>
    <t>Sepsi Sfantu Gheorghe</t>
  </si>
  <si>
    <t>Universitatea Cluj</t>
  </si>
  <si>
    <t>GAIS</t>
  </si>
  <si>
    <t>Halmstad</t>
  </si>
  <si>
    <t>Elfsborg</t>
  </si>
  <si>
    <t>FK Kaspyi Aktau</t>
  </si>
  <si>
    <t>FK Zhenys</t>
  </si>
  <si>
    <t>Atlanta United 2</t>
  </si>
  <si>
    <t>Moldávia 1. Divizia Nationala</t>
  </si>
  <si>
    <t>FC Politehnica Chisinau</t>
  </si>
  <si>
    <t>Zimbru Chisinau</t>
  </si>
  <si>
    <t>KFUM</t>
  </si>
  <si>
    <t>Molde</t>
  </si>
  <si>
    <t>Sandefjord</t>
  </si>
  <si>
    <t>Sarpsborg FK</t>
  </si>
  <si>
    <t>Asane</t>
  </si>
  <si>
    <t>Egersund</t>
  </si>
  <si>
    <t>Moss</t>
  </si>
  <si>
    <t>Raufoss</t>
  </si>
  <si>
    <t>Sandnes Ulf</t>
  </si>
  <si>
    <t>Kongsvinger</t>
  </si>
  <si>
    <t>Sogndal</t>
  </si>
  <si>
    <t>Ranheim</t>
  </si>
  <si>
    <t>Strommen</t>
  </si>
  <si>
    <t>Odds BK</t>
  </si>
  <si>
    <t>Unia Skierniewice</t>
  </si>
  <si>
    <t>Stal Mielec</t>
  </si>
  <si>
    <t>PFC Sochi</t>
  </si>
  <si>
    <t>FC Arsenal Tula</t>
  </si>
  <si>
    <t>Östersunds FK</t>
  </si>
  <si>
    <t>CA Atenas</t>
  </si>
  <si>
    <t>Colon FC</t>
  </si>
  <si>
    <t>FK Liepaja</t>
  </si>
  <si>
    <t>Widzew Lodz</t>
  </si>
  <si>
    <t>Motor Lublin</t>
  </si>
  <si>
    <t>FK Transinvest</t>
  </si>
  <si>
    <t>FK Dziugas Telsiai</t>
  </si>
  <si>
    <t>Bulgária 1. Parva Liga</t>
  </si>
  <si>
    <t>Cherno More Varna</t>
  </si>
  <si>
    <t>Spartak Varna</t>
  </si>
  <si>
    <t>AC Horsens</t>
  </si>
  <si>
    <t>FC Nordsjaelland</t>
  </si>
  <si>
    <t>Eslovênia 1. Liga Prva</t>
  </si>
  <si>
    <t>NK Bravo</t>
  </si>
  <si>
    <t>NK Nafta 1903</t>
  </si>
  <si>
    <t>Debreceni VSC</t>
  </si>
  <si>
    <t>Puskas Academy</t>
  </si>
  <si>
    <t>FK Auda</t>
  </si>
  <si>
    <t>BFC Daugavpils</t>
  </si>
  <si>
    <t>Banga Gargzdai</t>
  </si>
  <si>
    <t>Panevezys</t>
  </si>
  <si>
    <t>Puerto Montt</t>
  </si>
  <si>
    <t>Antofagasta</t>
  </si>
  <si>
    <t>Rangers de Talca</t>
  </si>
  <si>
    <t>Deportes Copiapo</t>
  </si>
  <si>
    <t>FK Rubin Kazan</t>
  </si>
  <si>
    <t>Krasnodar</t>
  </si>
  <si>
    <t>FC Real Sireti</t>
  </si>
  <si>
    <t>CS Petrocub</t>
  </si>
  <si>
    <t>Sheriff Tiraspol</t>
  </si>
  <si>
    <t>FC Milsami</t>
  </si>
  <si>
    <t>Sérvia 1. Superliga</t>
  </si>
  <si>
    <t>Vojvodina</t>
  </si>
  <si>
    <t>Aalesund</t>
  </si>
  <si>
    <t>Puszcza Niepolomice</t>
  </si>
  <si>
    <t>Polonia Warsaw</t>
  </si>
  <si>
    <t>FK Csikszereda Miercurea Ciuc</t>
  </si>
  <si>
    <t>FCSB</t>
  </si>
  <si>
    <t>Atlético Tucumán</t>
  </si>
  <si>
    <t>Agropecuario</t>
  </si>
  <si>
    <t>All Boys</t>
  </si>
  <si>
    <t>Deportivo Morón</t>
  </si>
  <si>
    <t>Ferro Carril Oeste</t>
  </si>
  <si>
    <t>Atletico Ottawa</t>
  </si>
  <si>
    <t>Pacific FC (CA)</t>
  </si>
  <si>
    <t>Paksi</t>
  </si>
  <si>
    <t>Ferencvarosi TC</t>
  </si>
  <si>
    <t>UTC</t>
  </si>
  <si>
    <t>Deportivo Moquegua</t>
  </si>
  <si>
    <t>Albion FC</t>
  </si>
  <si>
    <t>Danubio F.C.</t>
  </si>
  <si>
    <t>Cerrito</t>
  </si>
  <si>
    <t>Lokomotiv Plovdiv</t>
  </si>
  <si>
    <t>Septemvri Sofia</t>
  </si>
  <si>
    <t>FC Koper</t>
  </si>
  <si>
    <t>NK Radomlje</t>
  </si>
  <si>
    <t>Wisla Krakow</t>
  </si>
  <si>
    <t>Gks Katowice</t>
  </si>
  <si>
    <t>San Miguel</t>
  </si>
  <si>
    <t>FK Radnicki 1923</t>
  </si>
  <si>
    <t>FK Zeleznicar Pancevo</t>
  </si>
  <si>
    <t>Mladost Lucani</t>
  </si>
  <si>
    <t>FK Novi Pazar</t>
  </si>
  <si>
    <t>Gimnasia y Esgrima de Jujuy</t>
  </si>
  <si>
    <t>Patronato</t>
  </si>
  <si>
    <t>Mitre (SE)</t>
  </si>
  <si>
    <t>Almirante Brown</t>
  </si>
  <si>
    <t>Colegiales</t>
  </si>
  <si>
    <t>Racing de Cordoba</t>
  </si>
  <si>
    <t>Real Tomayapo</t>
  </si>
  <si>
    <t>Brusque</t>
  </si>
  <si>
    <t>Ituano</t>
  </si>
  <si>
    <t>Ypiranga-RS</t>
  </si>
  <si>
    <t>Barra FC</t>
  </si>
  <si>
    <t>CSA</t>
  </si>
  <si>
    <t>São Luiz-RS</t>
  </si>
  <si>
    <t>Gama</t>
  </si>
  <si>
    <t>América-RN</t>
  </si>
  <si>
    <t>Nublense</t>
  </si>
  <si>
    <t>Palestino</t>
  </si>
  <si>
    <t>Internacional de Bogota</t>
  </si>
  <si>
    <t>América de Cali</t>
  </si>
  <si>
    <t>Olimpia</t>
  </si>
  <si>
    <t>Libertad</t>
  </si>
  <si>
    <t>FK Macva Sabac</t>
  </si>
  <si>
    <t>Partizan Belgrade</t>
  </si>
  <si>
    <t>Fram Reykjavik</t>
  </si>
  <si>
    <t>Stjarnan</t>
  </si>
  <si>
    <t>Godoy Cruz de Mendoza</t>
  </si>
  <si>
    <t>ABC</t>
  </si>
  <si>
    <t>Luverdense</t>
  </si>
  <si>
    <t>ASA</t>
  </si>
  <si>
    <t>Cianorte</t>
  </si>
  <si>
    <t>Ferroviário</t>
  </si>
  <si>
    <t>Goiatuba</t>
  </si>
  <si>
    <t>Treze</t>
  </si>
  <si>
    <t>São José-RS</t>
  </si>
  <si>
    <t>Portland Timbers 2</t>
  </si>
  <si>
    <t>Real Monarchs SLC</t>
  </si>
  <si>
    <t>Estudiantes La Plata</t>
  </si>
  <si>
    <t>Independiente</t>
  </si>
  <si>
    <t>Comerciantes Unidos</t>
  </si>
  <si>
    <t>Alianza Lima</t>
  </si>
  <si>
    <t>Deportivo Maipu</t>
  </si>
  <si>
    <t>Inter Toronto</t>
  </si>
  <si>
    <t>Forge FC</t>
  </si>
  <si>
    <t>Patriotas F.C.</t>
  </si>
  <si>
    <t>Internacional FC de Palmira</t>
  </si>
  <si>
    <t>Herrera FC</t>
  </si>
  <si>
    <t>Union Cocle</t>
  </si>
  <si>
    <t>Rionegro Águilas</t>
  </si>
  <si>
    <t>Bolívar</t>
  </si>
  <si>
    <t>Bragantino</t>
  </si>
  <si>
    <t>Grêmio</t>
  </si>
  <si>
    <t>Fluminense</t>
  </si>
  <si>
    <t>Caxias do Sul</t>
  </si>
  <si>
    <t>Botafogo-PB</t>
  </si>
  <si>
    <t>Audax Italiano</t>
  </si>
  <si>
    <t>Universidad de Chile</t>
  </si>
  <si>
    <t>San Marcos De Arica</t>
  </si>
  <si>
    <t>Magallanes</t>
  </si>
  <si>
    <t>Guaraní</t>
  </si>
  <si>
    <t>Sportivo Luqueño</t>
  </si>
  <si>
    <t>Orsomarso SC</t>
  </si>
  <si>
    <t>Barranquilla FC</t>
  </si>
  <si>
    <t>CT United</t>
  </si>
  <si>
    <t>Columbus Crew II</t>
  </si>
  <si>
    <t>FC Cincinnati II</t>
  </si>
  <si>
    <t>Deportivo Riestra</t>
  </si>
  <si>
    <t>Boca Juniors</t>
  </si>
  <si>
    <t>Miramar Misiones</t>
  </si>
  <si>
    <t>La Luz</t>
  </si>
  <si>
    <t>Houston Dynamo II</t>
  </si>
  <si>
    <t>Orlando City II</t>
  </si>
  <si>
    <t>Huntsville City</t>
  </si>
  <si>
    <t>St Louis City II</t>
  </si>
  <si>
    <t>Necaxa</t>
  </si>
  <si>
    <t>Monterrey</t>
  </si>
  <si>
    <t>Alianza</t>
  </si>
  <si>
    <t>Veraguas CD</t>
  </si>
  <si>
    <t>CA Independiente de la Chorrera</t>
  </si>
  <si>
    <t>Blooming</t>
  </si>
  <si>
    <t>The Strongest</t>
  </si>
  <si>
    <t>Amazonas FC</t>
  </si>
  <si>
    <t>Paysandu</t>
  </si>
  <si>
    <t>Nicarágua 1. Liga Primera</t>
  </si>
  <si>
    <t>UNAN Managua</t>
  </si>
  <si>
    <t>Rancho Santana FC</t>
  </si>
  <si>
    <t>Deportivo Garcilaso</t>
  </si>
  <si>
    <t>FC Cajamarca</t>
  </si>
  <si>
    <t>Deportes Concepcion</t>
  </si>
  <si>
    <t>O'Higgins</t>
  </si>
  <si>
    <t>Pachuca</t>
  </si>
  <si>
    <t>Querétaro</t>
  </si>
  <si>
    <t>Cúcuta Deportivo</t>
  </si>
  <si>
    <t>Tacoma Defiance</t>
  </si>
  <si>
    <t>Colorado Rapids II</t>
  </si>
  <si>
    <t>27/07/2026</t>
  </si>
  <si>
    <t>Qingdao Red Lions</t>
  </si>
  <si>
    <t>Beijing Institute</t>
  </si>
  <si>
    <t>Tukums 2000</t>
  </si>
  <si>
    <t>Valmiera FC</t>
  </si>
  <si>
    <t>Riga FC II</t>
  </si>
  <si>
    <t>CFR Cluj-Napoca</t>
  </si>
  <si>
    <t>Voluntari</t>
  </si>
  <si>
    <t>FK Zalgiris Vilnius</t>
  </si>
  <si>
    <t>Dunav Ruse</t>
  </si>
  <si>
    <t>Ludogorets Razgrad</t>
  </si>
  <si>
    <t>JK Nomme United II</t>
  </si>
  <si>
    <t>Viimsi JK</t>
  </si>
  <si>
    <t>Ogre United</t>
  </si>
  <si>
    <t>Metta/LU</t>
  </si>
  <si>
    <t>Randers FC</t>
  </si>
  <si>
    <t>Silkeborg IF</t>
  </si>
  <si>
    <t>Rosenborg</t>
  </si>
  <si>
    <t>Fredrikstad</t>
  </si>
  <si>
    <t>Stabaek</t>
  </si>
  <si>
    <t>Hodd</t>
  </si>
  <si>
    <t>Zaglebie Lubin</t>
  </si>
  <si>
    <t>Piast Gliwice</t>
  </si>
  <si>
    <t>Miedz Legnica</t>
  </si>
  <si>
    <t>Podbeskidzie</t>
  </si>
  <si>
    <t>Kamaz Nab Chelny</t>
  </si>
  <si>
    <t>BK Hacken</t>
  </si>
  <si>
    <t>AIK</t>
  </si>
  <si>
    <t>Orebro SK</t>
  </si>
  <si>
    <t>IK Oddevold</t>
  </si>
  <si>
    <t>Osters IF</t>
  </si>
  <si>
    <t>Varbergs BoIS FC</t>
  </si>
  <si>
    <t>IBV Vestmannaeyjar</t>
  </si>
  <si>
    <t>CSKA Sofia</t>
  </si>
  <si>
    <t>FC Botosani</t>
  </si>
  <si>
    <t>San Jose de Oruro</t>
  </si>
  <si>
    <t>Universitario De Vinto</t>
  </si>
  <si>
    <t>KA Akureyri</t>
  </si>
  <si>
    <t>Thor Akureyri</t>
  </si>
  <si>
    <t>Real Soacha Cundinamarca</t>
  </si>
  <si>
    <t>Paysandu FC</t>
  </si>
  <si>
    <t>Club Oriental</t>
  </si>
  <si>
    <t>Montevideo City</t>
  </si>
  <si>
    <t>Wanderers</t>
  </si>
  <si>
    <t>Floresta</t>
  </si>
  <si>
    <t>Maringá</t>
  </si>
  <si>
    <t>Guarani</t>
  </si>
  <si>
    <t>Inter de Limeira</t>
  </si>
  <si>
    <t>Unión Española</t>
  </si>
  <si>
    <t>Deportes Recoleta</t>
  </si>
  <si>
    <t>Atlético FC</t>
  </si>
  <si>
    <t>Independiente Yumbo</t>
  </si>
  <si>
    <t>Tauro FC</t>
  </si>
  <si>
    <t>Sporting San Miguelito</t>
  </si>
  <si>
    <t>Hapoel Petah Tikva</t>
  </si>
  <si>
    <t>Bnei Yehuda Tel Aviv</t>
  </si>
  <si>
    <t>Playford City</t>
  </si>
  <si>
    <t>Adelaide United</t>
  </si>
  <si>
    <t>Cambridge United</t>
  </si>
  <si>
    <t>Braintree Town</t>
  </si>
  <si>
    <t>Brommapojkarna U19</t>
  </si>
  <si>
    <t>Kalmar U19</t>
  </si>
  <si>
    <t>Torneo Feminino</t>
  </si>
  <si>
    <t>CD Recoleta Women</t>
  </si>
  <si>
    <t>Rubio Nu Women</t>
  </si>
  <si>
    <t>ATUS Velden</t>
  </si>
  <si>
    <t>Wolfsberger AC</t>
  </si>
  <si>
    <t>Lazio</t>
  </si>
  <si>
    <t>Lazio U20</t>
  </si>
  <si>
    <t>Cerro Porteno Women</t>
  </si>
  <si>
    <t>Sportivo San Lorenzo Women</t>
  </si>
  <si>
    <t>Redbridge</t>
  </si>
  <si>
    <t>Welwyn Garden City</t>
  </si>
  <si>
    <t>Trafford</t>
  </si>
  <si>
    <t>FC United of Manchester</t>
  </si>
  <si>
    <t>Copa do Brazil Women</t>
  </si>
  <si>
    <t>Coritiba PR Women</t>
  </si>
  <si>
    <t>Internacional RS Women</t>
  </si>
  <si>
    <t>Premier League Women</t>
  </si>
  <si>
    <t>Grindavik Women</t>
  </si>
  <si>
    <t>Throttur Women</t>
  </si>
  <si>
    <t>Sporting CP</t>
  </si>
  <si>
    <t>Strasbourg</t>
  </si>
  <si>
    <t>Torque</t>
  </si>
  <si>
    <t>Danubio</t>
  </si>
  <si>
    <t>Flamengo Women</t>
  </si>
  <si>
    <t>3B Sport AM Women</t>
  </si>
  <si>
    <t>Ferroviaria SP Women</t>
  </si>
  <si>
    <t>Corinthians SP Women</t>
  </si>
  <si>
    <t>Liverpool Montevideo</t>
  </si>
  <si>
    <t>South America</t>
  </si>
  <si>
    <t>Copa Sudamericana</t>
  </si>
  <si>
    <t>Nacional De Football</t>
  </si>
  <si>
    <t>Club Atletico Tigre</t>
  </si>
  <si>
    <t>Universidad Central de Venezuela</t>
  </si>
  <si>
    <t>Europa Conference League</t>
  </si>
  <si>
    <t>IFK Goteborg</t>
  </si>
  <si>
    <t>Levadia Tallinn</t>
  </si>
  <si>
    <t>Floriana</t>
  </si>
  <si>
    <t>KF Drita</t>
  </si>
  <si>
    <t>Atert Bissen</t>
  </si>
  <si>
    <t>Western Australia Reserves</t>
  </si>
  <si>
    <t>Cockburn City Reserves</t>
  </si>
  <si>
    <t>UWA-Nedlands FC Reserves</t>
  </si>
  <si>
    <t>Gungahlin Juventus U23</t>
  </si>
  <si>
    <t>Canberra Croatia U23</t>
  </si>
  <si>
    <t>Fluminense Women</t>
  </si>
  <si>
    <t>Cruzeiro RJ Women</t>
  </si>
  <si>
    <t>Itabirito FC Women</t>
  </si>
  <si>
    <t>EC Bahia Women</t>
  </si>
  <si>
    <t>Vasco da Gama Women</t>
  </si>
  <si>
    <t>Sao Paulo Women</t>
  </si>
  <si>
    <t>Kapylan Pallo</t>
  </si>
  <si>
    <t>Klubi 04</t>
  </si>
  <si>
    <t>Eintracht Bamberg</t>
  </si>
  <si>
    <t>Weiden</t>
  </si>
  <si>
    <t>DJK Don Bosco Bamberg</t>
  </si>
  <si>
    <t>TSV Kornburg</t>
  </si>
  <si>
    <t>Neudrossenfeld</t>
  </si>
  <si>
    <t>SV Fortuna Regensburg</t>
  </si>
  <si>
    <t>TSV Grossbardorf</t>
  </si>
  <si>
    <t>WÃ¼rzburger FV</t>
  </si>
  <si>
    <t>FC Pipinsried</t>
  </si>
  <si>
    <t>Heimstetten</t>
  </si>
  <si>
    <t>Sportfreunde Schwaig</t>
  </si>
  <si>
    <t>TSV 1860 Wasserburg</t>
  </si>
  <si>
    <t>TSV 1860 Rosenheim</t>
  </si>
  <si>
    <t>Schalding Heining</t>
  </si>
  <si>
    <t>TSV Kottern</t>
  </si>
  <si>
    <t>TSV Schwabmunchen</t>
  </si>
  <si>
    <t>Fylkir</t>
  </si>
  <si>
    <t>Hafnarfjodour Women</t>
  </si>
  <si>
    <t>Stjarnan Women</t>
  </si>
  <si>
    <t>Valur Women</t>
  </si>
  <si>
    <t>Breidablik Women</t>
  </si>
  <si>
    <t>Al Tadamon Sour</t>
  </si>
  <si>
    <t>Racing Beirut</t>
  </si>
  <si>
    <t>Hegelmann Litauen II</t>
  </si>
  <si>
    <t>VMFD Zalgiris Vilnius II</t>
  </si>
  <si>
    <t>Cruz Azul</t>
  </si>
  <si>
    <t>Puebla</t>
  </si>
  <si>
    <t>Deportivo Toluca</t>
  </si>
  <si>
    <t>Pumas UNAM</t>
  </si>
  <si>
    <t>Cruz Azul U21</t>
  </si>
  <si>
    <t>Puebla U21</t>
  </si>
  <si>
    <t>Deportivo Toluca U21</t>
  </si>
  <si>
    <t>Pumas UNAM U21</t>
  </si>
  <si>
    <t>Olympique Dcheira</t>
  </si>
  <si>
    <t>US Amal Tiznit</t>
  </si>
  <si>
    <t>Union de Touarga</t>
  </si>
  <si>
    <t>JSM Massira</t>
  </si>
  <si>
    <t>29 de Setiembre</t>
  </si>
  <si>
    <t>12 De Junio</t>
  </si>
  <si>
    <t>Alloa Athletic</t>
  </si>
  <si>
    <t>Falkirk</t>
  </si>
  <si>
    <t>Arbroath</t>
  </si>
  <si>
    <t>Montrose</t>
  </si>
  <si>
    <t>Clyde</t>
  </si>
  <si>
    <t>Annan Athletic</t>
  </si>
  <si>
    <t>Dundee United</t>
  </si>
  <si>
    <t>Spartans</t>
  </si>
  <si>
    <t>Cove Rangers</t>
  </si>
  <si>
    <t>East Fife</t>
  </si>
  <si>
    <t>Linlithgow Rose</t>
  </si>
  <si>
    <t>Inverness CT</t>
  </si>
  <si>
    <t>St Johnstone</t>
  </si>
  <si>
    <t>Kelty Hearts</t>
  </si>
  <si>
    <t>Brora Rangers</t>
  </si>
  <si>
    <t>Kilmarnock</t>
  </si>
  <si>
    <t>Hamilton Academical</t>
  </si>
  <si>
    <t>Livingston</t>
  </si>
  <si>
    <t>Forfar Athletic</t>
  </si>
  <si>
    <t>Partick Thistle</t>
  </si>
  <si>
    <t>Stenhousemuir</t>
  </si>
  <si>
    <t>Raith Rovers</t>
  </si>
  <si>
    <t>Peterhead</t>
  </si>
  <si>
    <t>Ross County</t>
  </si>
  <si>
    <t>Dundee</t>
  </si>
  <si>
    <t>St. Mirren</t>
  </si>
  <si>
    <t>East Kilbride</t>
  </si>
  <si>
    <t>Stranraer</t>
  </si>
  <si>
    <t>Edinburgh City</t>
  </si>
  <si>
    <t>Gangwon</t>
  </si>
  <si>
    <t>Jeonbuk Hyundai Motors</t>
  </si>
  <si>
    <t>Daejeon Citizen</t>
  </si>
  <si>
    <t>Ulsan Hyundai</t>
  </si>
  <si>
    <t>Incheon United</t>
  </si>
  <si>
    <t>Falkenberg</t>
  </si>
  <si>
    <t>Buxoro</t>
  </si>
  <si>
    <t>Bunyodkor</t>
  </si>
  <si>
    <t>Pakhtakor Tashkent</t>
  </si>
  <si>
    <t>Xorazm Urganch</t>
  </si>
  <si>
    <t>Sogdiana Jizzakh</t>
  </si>
  <si>
    <t>Neftchi Fargona</t>
  </si>
  <si>
    <t>Sheffield United</t>
  </si>
  <si>
    <t>Huddersfield Town</t>
  </si>
  <si>
    <t>Queens Park Rangers</t>
  </si>
  <si>
    <t>Wycombe Wanderers</t>
  </si>
  <si>
    <t>Zlatibor Cajetina</t>
  </si>
  <si>
    <t>Metalac Gornji Milanovac</t>
  </si>
  <si>
    <t>Fremad Amager</t>
  </si>
  <si>
    <t>Sundby</t>
  </si>
  <si>
    <t>ACS ASU Politehnica Timisoara</t>
  </si>
  <si>
    <t>Al Shabab Riyadh</t>
  </si>
  <si>
    <t>Hertha BSC</t>
  </si>
  <si>
    <t>Mamelodi Sundowns</t>
  </si>
  <si>
    <t>Brabrand</t>
  </si>
  <si>
    <t>VSK Arhus</t>
  </si>
  <si>
    <t>Dukla Prague II</t>
  </si>
  <si>
    <t>Banik Sous</t>
  </si>
  <si>
    <t>VfL Bochum</t>
  </si>
  <si>
    <t>Swansea City</t>
  </si>
  <si>
    <t>Fagiano Okayama</t>
  </si>
  <si>
    <t>FC Metalist 1925</t>
  </si>
  <si>
    <t>Petro Luanda</t>
  </si>
  <si>
    <t>Al Ittihad Jeddah U21</t>
  </si>
  <si>
    <t>Shakhtar Donetsk</t>
  </si>
  <si>
    <t>Slaven Belupo</t>
  </si>
  <si>
    <t>NK Istra 1961</t>
  </si>
  <si>
    <t>Orijent</t>
  </si>
  <si>
    <t>VfR Aalen</t>
  </si>
  <si>
    <t>Sonnenhof Grossaspach</t>
  </si>
  <si>
    <t>Al Ittihad Jeddah</t>
  </si>
  <si>
    <t>Orlando Pirates</t>
  </si>
  <si>
    <t>EVV Echt</t>
  </si>
  <si>
    <t>MVV Maastricht</t>
  </si>
  <si>
    <t>Sollentuna FF</t>
  </si>
  <si>
    <t>Karlbergs BK</t>
  </si>
  <si>
    <t>SV Donau</t>
  </si>
  <si>
    <t>Simmeringer SC</t>
  </si>
  <si>
    <t>Treibach</t>
  </si>
  <si>
    <t>Sirnitz</t>
  </si>
  <si>
    <t>Langenrohr</t>
  </si>
  <si>
    <t>Red Star Penzing</t>
  </si>
  <si>
    <t>Pau</t>
  </si>
  <si>
    <t>Espanyol</t>
  </si>
  <si>
    <t>Albacete</t>
  </si>
  <si>
    <t>Al Kholood</t>
  </si>
  <si>
    <t>Aldershot Town</t>
  </si>
  <si>
    <t>Oxford United</t>
  </si>
  <si>
    <t>Cheshunt</t>
  </si>
  <si>
    <t>Leyton Orient</t>
  </si>
  <si>
    <t>Ebbsfleet United</t>
  </si>
  <si>
    <t>West Ham U21</t>
  </si>
  <si>
    <t>Forest Green Rovers</t>
  </si>
  <si>
    <t>Bristol Rovers</t>
  </si>
  <si>
    <t>Gillingham</t>
  </si>
  <si>
    <t>Millwall</t>
  </si>
  <si>
    <t>Hebburn Town</t>
  </si>
  <si>
    <t>Hartlepool</t>
  </si>
  <si>
    <t>Leamington</t>
  </si>
  <si>
    <t>Walsall</t>
  </si>
  <si>
    <t>Oldham</t>
  </si>
  <si>
    <t>Bolton Wanderers</t>
  </si>
  <si>
    <t>Woking</t>
  </si>
  <si>
    <t>Swindon Town</t>
  </si>
  <si>
    <t>Crusaders</t>
  </si>
  <si>
    <t>Glenavon</t>
  </si>
  <si>
    <t>Alfreton Town</t>
  </si>
  <si>
    <t>Rotherham United</t>
  </si>
  <si>
    <t>Bishop Auckland</t>
  </si>
  <si>
    <t>Spennymoor Town</t>
  </si>
  <si>
    <t>Chertsey Town</t>
  </si>
  <si>
    <t>Wealdstone</t>
  </si>
  <si>
    <t>Dagenham &amp; Redbridge</t>
  </si>
  <si>
    <t>Crystal Palace U21</t>
  </si>
  <si>
    <t>Fleetwood Town</t>
  </si>
  <si>
    <t>Garforth Town AFC</t>
  </si>
  <si>
    <t>Guiseley AFC</t>
  </si>
  <si>
    <t>Kidsgrove Athletic</t>
  </si>
  <si>
    <t>Leek Town</t>
  </si>
  <si>
    <t>Merthyr Town</t>
  </si>
  <si>
    <t>Briton Ferry</t>
  </si>
  <si>
    <t>Northallerton Town</t>
  </si>
  <si>
    <t>Whitby Town</t>
  </si>
  <si>
    <t>Prescot Cables</t>
  </si>
  <si>
    <t>Marine</t>
  </si>
  <si>
    <t>Radcliffe Borough</t>
  </si>
  <si>
    <t>Barrow AFC</t>
  </si>
  <si>
    <t>Shrewsbury Town</t>
  </si>
  <si>
    <t>Everton U21</t>
  </si>
  <si>
    <t>South Shields</t>
  </si>
  <si>
    <t>Harrogate Town</t>
  </si>
  <si>
    <t>Taunton Town</t>
  </si>
  <si>
    <t>Weston Super Mare</t>
  </si>
  <si>
    <t>Telford United</t>
  </si>
  <si>
    <t>Crewe Alexandra</t>
  </si>
  <si>
    <t>Torquay United</t>
  </si>
  <si>
    <t>Plymouth Argyle</t>
  </si>
  <si>
    <t>Aston Villa</t>
  </si>
  <si>
    <t>AFC Hornchurch</t>
  </si>
  <si>
    <t>Basingstoke Town</t>
  </si>
  <si>
    <t>Chesham United</t>
  </si>
  <si>
    <t>Bedworth United</t>
  </si>
  <si>
    <t>Bromsgrove Sporting</t>
  </si>
  <si>
    <t>Brentwood Town</t>
  </si>
  <si>
    <t>Saffron Walden</t>
  </si>
  <si>
    <t>Broadbridge Heath</t>
  </si>
  <si>
    <t>Burgess Hill Town</t>
  </si>
  <si>
    <t>Chorley</t>
  </si>
  <si>
    <t>Altrincham</t>
  </si>
  <si>
    <t>Cobham</t>
  </si>
  <si>
    <t>Hampton &amp; Richmond Borough</t>
  </si>
  <si>
    <t xml:space="preserve">Colchester United </t>
  </si>
  <si>
    <t>Peterborough United</t>
  </si>
  <si>
    <t>Cray Wanderers</t>
  </si>
  <si>
    <t>Cray Valley Paper Mills</t>
  </si>
  <si>
    <t>Darlington 1883</t>
  </si>
  <si>
    <t>Carlisle United</t>
  </si>
  <si>
    <t>Dartford</t>
  </si>
  <si>
    <t>Billericay Town</t>
  </si>
  <si>
    <t>Dorking Wanderers</t>
  </si>
  <si>
    <t>Chatham Town</t>
  </si>
  <si>
    <t>Dover Athletic</t>
  </si>
  <si>
    <t>Deal Town</t>
  </si>
  <si>
    <t>Farnham</t>
  </si>
  <si>
    <t>Gainsborough Trinity</t>
  </si>
  <si>
    <t>Halifax Town</t>
  </si>
  <si>
    <t>Hendon</t>
  </si>
  <si>
    <t>Hemel Hempstead Town</t>
  </si>
  <si>
    <t>Heybridge</t>
  </si>
  <si>
    <t>Stanway</t>
  </si>
  <si>
    <t>Horsham</t>
  </si>
  <si>
    <t>Dulwich Hamlet</t>
  </si>
  <si>
    <t>Liversedge</t>
  </si>
  <si>
    <t>AFC Emley</t>
  </si>
  <si>
    <t>Loughgall FC</t>
  </si>
  <si>
    <t>Dungannon Swifts</t>
  </si>
  <si>
    <t>Needham Market</t>
  </si>
  <si>
    <t>Sudbury</t>
  </si>
  <si>
    <t>Rugby Borough</t>
  </si>
  <si>
    <t>South Park</t>
  </si>
  <si>
    <t>Leatherhead</t>
  </si>
  <si>
    <t>St Albans City</t>
  </si>
  <si>
    <t>Berkhamsted</t>
  </si>
  <si>
    <t>Stamford</t>
  </si>
  <si>
    <t>Grantham Town</t>
  </si>
  <si>
    <t>Stratford Town</t>
  </si>
  <si>
    <t>Brackley Town</t>
  </si>
  <si>
    <t>Sutton United</t>
  </si>
  <si>
    <t>Walton &amp; Hersham</t>
  </si>
  <si>
    <t>Three Bridges</t>
  </si>
  <si>
    <t>Croydon Athletic</t>
  </si>
  <si>
    <t>Tonbridge Angels</t>
  </si>
  <si>
    <t>Sittingbourne</t>
  </si>
  <si>
    <t>Uxbridge</t>
  </si>
  <si>
    <t>Slough Town</t>
  </si>
  <si>
    <t>Warrington Town</t>
  </si>
  <si>
    <t>Macclesfield Town</t>
  </si>
  <si>
    <t>Morocco Women</t>
  </si>
  <si>
    <t>Cape Verde Women</t>
  </si>
  <si>
    <t>VC Herentals</t>
  </si>
  <si>
    <t>Manica Diamonds</t>
  </si>
  <si>
    <t>FK Neftchi Baku Women</t>
  </si>
  <si>
    <t>Buducnost Podgorica Women</t>
  </si>
  <si>
    <t>NK Kustosija</t>
  </si>
  <si>
    <t>NK Krka</t>
  </si>
  <si>
    <t>Athlone Town Women</t>
  </si>
  <si>
    <t>ZFK Dragon Women</t>
  </si>
  <si>
    <t>Ipswich FC</t>
  </si>
  <si>
    <t>Brisbane Roar</t>
  </si>
  <si>
    <t>CD Nacional</t>
  </si>
  <si>
    <t>CD Leganes</t>
  </si>
  <si>
    <t>Nottingham Forest</t>
  </si>
  <si>
    <t>Blackburn Rovers</t>
  </si>
  <si>
    <t>Bucheon 1995</t>
  </si>
  <si>
    <t>Anyang</t>
  </si>
  <si>
    <t>Gwangju</t>
  </si>
  <si>
    <t>Sangju Sangmu</t>
  </si>
  <si>
    <t>Rizhao Yuqi</t>
  </si>
  <si>
    <t>Shaanxi Union FC</t>
  </si>
  <si>
    <t>Glentoran Belfast United Women</t>
  </si>
  <si>
    <t>Riga FC Women</t>
  </si>
  <si>
    <t>Dunkerque</t>
  </si>
  <si>
    <t>Samsunspor</t>
  </si>
  <si>
    <t>Famalicao</t>
  </si>
  <si>
    <t>Arouca</t>
  </si>
  <si>
    <t>Chicken Inn FC</t>
  </si>
  <si>
    <t>TelOne FC</t>
  </si>
  <si>
    <t>FC Platinum</t>
  </si>
  <si>
    <t>Dynamos FC</t>
  </si>
  <si>
    <t>Scottland FC</t>
  </si>
  <si>
    <t>Bulawayo Chiefs FC</t>
  </si>
  <si>
    <t>Simba Bhora</t>
  </si>
  <si>
    <t>Mwos FC</t>
  </si>
  <si>
    <t>ZPC Kariba FC</t>
  </si>
  <si>
    <t>Highlanders FC</t>
  </si>
  <si>
    <t>Bologna</t>
  </si>
  <si>
    <t>Heidenheim</t>
  </si>
  <si>
    <t>Schalke 04</t>
  </si>
  <si>
    <t>Reims</t>
  </si>
  <si>
    <t>Amiens</t>
  </si>
  <si>
    <t>KFF Mitrovica Women</t>
  </si>
  <si>
    <t>Zimbru Chisinau Women</t>
  </si>
  <si>
    <t>KI Klaksvik Women</t>
  </si>
  <si>
    <t>Ludogorets Women</t>
  </si>
  <si>
    <t>FC Hiiumaa</t>
  </si>
  <si>
    <t>JK Viljandi Tulevik</t>
  </si>
  <si>
    <t>Tabasalu Charma</t>
  </si>
  <si>
    <t>Tallinna FC Tamper</t>
  </si>
  <si>
    <t>Kokand 1912</t>
  </si>
  <si>
    <t>Olmaliq</t>
  </si>
  <si>
    <t>Lokomotiv Tashkent</t>
  </si>
  <si>
    <t>Andijan</t>
  </si>
  <si>
    <t>Mash Al Mubarek</t>
  </si>
  <si>
    <t>Nasaf Qarshi</t>
  </si>
  <si>
    <t>AS Avellino</t>
  </si>
  <si>
    <t>Scafatese Calcio</t>
  </si>
  <si>
    <t>FK Backa Topola</t>
  </si>
  <si>
    <t>Ilirija Ljubljana</t>
  </si>
  <si>
    <t>Palermo</t>
  </si>
  <si>
    <t>FC Paradiso</t>
  </si>
  <si>
    <t>Sassuolo</t>
  </si>
  <si>
    <t>Padova Calcio</t>
  </si>
  <si>
    <t>PAOK FC Women</t>
  </si>
  <si>
    <t>Hapoel Jerusalem Women</t>
  </si>
  <si>
    <t>FF Jaro II</t>
  </si>
  <si>
    <t xml:space="preserve">GBK Kokkola </t>
  </si>
  <si>
    <t>Kaapo Kaarina</t>
  </si>
  <si>
    <t>Pargas Idrottsforening</t>
  </si>
  <si>
    <t>Guingamp</t>
  </si>
  <si>
    <t>Concarneau</t>
  </si>
  <si>
    <t>Lecce</t>
  </si>
  <si>
    <t>Metz</t>
  </si>
  <si>
    <t>Sochaux</t>
  </si>
  <si>
    <t>Nantes</t>
  </si>
  <si>
    <t>La Roche VF</t>
  </si>
  <si>
    <t>ND Beltinci</t>
  </si>
  <si>
    <t>Al Sharjah</t>
  </si>
  <si>
    <t>SK Vysoke Myto</t>
  </si>
  <si>
    <t>Pardubice II</t>
  </si>
  <si>
    <t>Torino</t>
  </si>
  <si>
    <t>ASD Alcione</t>
  </si>
  <si>
    <t>Verona</t>
  </si>
  <si>
    <t>Virtus Vecomp Verona</t>
  </si>
  <si>
    <t>Werder Bremen</t>
  </si>
  <si>
    <t>CS 2 de Mayo Women</t>
  </si>
  <si>
    <t>Sportivo Luqueno Women</t>
  </si>
  <si>
    <t>FK Neftchi Baku</t>
  </si>
  <si>
    <t>Dinamo Minsk</t>
  </si>
  <si>
    <t>JK Trans Narva</t>
  </si>
  <si>
    <t>Flora Tallinn II</t>
  </si>
  <si>
    <t>Johvi FC Phoenix</t>
  </si>
  <si>
    <t>FC Hell Hunt</t>
  </si>
  <si>
    <t>Laanemaa JK Haapsalu</t>
  </si>
  <si>
    <t>Elva</t>
  </si>
  <si>
    <t>Czarni Sosnowiec Women</t>
  </si>
  <si>
    <t>Nike Women</t>
  </si>
  <si>
    <t>Flora Tallinn Women</t>
  </si>
  <si>
    <t>Mgarr United Women</t>
  </si>
  <si>
    <t>Pallokerho Keski-Uusimaa</t>
  </si>
  <si>
    <t>VJS Vantaa</t>
  </si>
  <si>
    <t>LePa</t>
  </si>
  <si>
    <t>Gilla FC</t>
  </si>
  <si>
    <t>FCJ Blackbird</t>
  </si>
  <si>
    <t>Komeetat</t>
  </si>
  <si>
    <t>Larsmo</t>
  </si>
  <si>
    <t>SJK-j Apollo</t>
  </si>
  <si>
    <t>3 de Mayo</t>
  </si>
  <si>
    <t>Club 1 de Marzo</t>
  </si>
  <si>
    <t>Brest</t>
  </si>
  <si>
    <t>Al Wakrah</t>
  </si>
  <si>
    <t>Clermont</t>
  </si>
  <si>
    <t>Quevilly</t>
  </si>
  <si>
    <t>FC Sloboda Uzice</t>
  </si>
  <si>
    <t>FK Omladinac Zablace</t>
  </si>
  <si>
    <t>Felgueiras</t>
  </si>
  <si>
    <t>Santa Clara</t>
  </si>
  <si>
    <t>FK Kolin</t>
  </si>
  <si>
    <t>FK TJ Stechovice</t>
  </si>
  <si>
    <t>HNK Segesta</t>
  </si>
  <si>
    <t>NK Jesenice</t>
  </si>
  <si>
    <t>Laval</t>
  </si>
  <si>
    <t>Avranches</t>
  </si>
  <si>
    <t>Le Mans</t>
  </si>
  <si>
    <t>Versailles 78</t>
  </si>
  <si>
    <t>Montpellier</t>
  </si>
  <si>
    <t>Cannes</t>
  </si>
  <si>
    <t>MSV Duisburg</t>
  </si>
  <si>
    <t>KFCO Wilrijk</t>
  </si>
  <si>
    <t>Napoli</t>
  </si>
  <si>
    <t>US Arezzo</t>
  </si>
  <si>
    <t>NK Hrvatski Dragovoljac</t>
  </si>
  <si>
    <t>NK Dubrava Zagreb</t>
  </si>
  <si>
    <t>OFK Brzi Brod</t>
  </si>
  <si>
    <t>FK Dubocica</t>
  </si>
  <si>
    <t>RAAL La Louviere</t>
  </si>
  <si>
    <t>Kifisias FC</t>
  </si>
  <si>
    <t>RFC Liege</t>
  </si>
  <si>
    <t>Sint Truiden</t>
  </si>
  <si>
    <t>Rodez Aveyron</t>
  </si>
  <si>
    <t>Nimes</t>
  </si>
  <si>
    <t>Slovan Rosice</t>
  </si>
  <si>
    <t>Sparta Brno</t>
  </si>
  <si>
    <t>Tottenham</t>
  </si>
  <si>
    <t>MK Dons</t>
  </si>
  <si>
    <t>VfL Halle 96</t>
  </si>
  <si>
    <t>TSV Lehnerz</t>
  </si>
  <si>
    <t>Arukula</t>
  </si>
  <si>
    <t>Raasiku FC Joker</t>
  </si>
  <si>
    <t>Jippo II</t>
  </si>
  <si>
    <t>Yllatys</t>
  </si>
  <si>
    <t>AZ Alkmaar</t>
  </si>
  <si>
    <t>Genk</t>
  </si>
  <si>
    <t>Bronshoj BK</t>
  </si>
  <si>
    <t>Avarta</t>
  </si>
  <si>
    <t>NK Karlovac</t>
  </si>
  <si>
    <t>NK Opatija</t>
  </si>
  <si>
    <t>NK Primorje</t>
  </si>
  <si>
    <t>NK Uljanik</t>
  </si>
  <si>
    <t>SV Wienerberger</t>
  </si>
  <si>
    <t>Wiener Viktoria</t>
  </si>
  <si>
    <t>TSG Balingen</t>
  </si>
  <si>
    <t>Stuttgart</t>
  </si>
  <si>
    <t>Mainz 05 II</t>
  </si>
  <si>
    <t>FC Kreuzlingen</t>
  </si>
  <si>
    <t>Bohemian</t>
  </si>
  <si>
    <t>KF Ballkani</t>
  </si>
  <si>
    <t>JaPS II</t>
  </si>
  <si>
    <t>Gnistan Ogeli</t>
  </si>
  <si>
    <t>TPV II</t>
  </si>
  <si>
    <t>TP-T</t>
  </si>
  <si>
    <t>Viking</t>
  </si>
  <si>
    <t>HamKam</t>
  </si>
  <si>
    <t>Angers</t>
  </si>
  <si>
    <t>Les Herbiers</t>
  </si>
  <si>
    <t>Cadiz</t>
  </si>
  <si>
    <t>Leicester City</t>
  </si>
  <si>
    <t>Dijon</t>
  </si>
  <si>
    <t>Bourg-Peronnas</t>
  </si>
  <si>
    <t>Fiorentina</t>
  </si>
  <si>
    <t>AS Gubbio 1910</t>
  </si>
  <si>
    <t>Juventud Torremolinos CF</t>
  </si>
  <si>
    <t>AD Ceuta</t>
  </si>
  <si>
    <t>NK Osijek</t>
  </si>
  <si>
    <t>Cibalia</t>
  </si>
  <si>
    <t>UD Las Palmas</t>
  </si>
  <si>
    <t>Algeria Women</t>
  </si>
  <si>
    <t>Zambia Women</t>
  </si>
  <si>
    <t>FC Echallens</t>
  </si>
  <si>
    <t>FC Bavois</t>
  </si>
  <si>
    <t>Sestao River</t>
  </si>
  <si>
    <t>Athletic Bilbao</t>
  </si>
  <si>
    <t>VfB Hilden</t>
  </si>
  <si>
    <t>Unterrath</t>
  </si>
  <si>
    <t>Istanbul BB</t>
  </si>
  <si>
    <t>Inter Turku</t>
  </si>
  <si>
    <t>Bangu RJ</t>
  </si>
  <si>
    <t>Olaria RJ</t>
  </si>
  <si>
    <t>CF Rio de Janeiro</t>
  </si>
  <si>
    <t>Perolas Negras</t>
  </si>
  <si>
    <t>Madureira EC</t>
  </si>
  <si>
    <t>Bonsucesso</t>
  </si>
  <si>
    <t>Nova Iguacu</t>
  </si>
  <si>
    <t>America RJ</t>
  </si>
  <si>
    <t>Club Olimpia Women</t>
  </si>
  <si>
    <t>Guarani Asuncion Women</t>
  </si>
  <si>
    <t>Estrela do Norte</t>
  </si>
  <si>
    <t>Pinheiros ES</t>
  </si>
  <si>
    <t>Zumbi EC U20</t>
  </si>
  <si>
    <t>Coruripe U20</t>
  </si>
  <si>
    <t>Figueirense U20</t>
  </si>
  <si>
    <t>Carlos Renaux U20</t>
  </si>
  <si>
    <t>Joinville U20</t>
  </si>
  <si>
    <t>Criciuma U20</t>
  </si>
  <si>
    <t>Nacao Esportes U20</t>
  </si>
  <si>
    <t>Avai U20</t>
  </si>
  <si>
    <t>Pyunik Women Women</t>
  </si>
  <si>
    <t>Wrexham Women</t>
  </si>
  <si>
    <t>KAC Kenitra</t>
  </si>
  <si>
    <t>AS Mansouria</t>
  </si>
  <si>
    <t>US Boujaad</t>
  </si>
  <si>
    <t>Rapide Oued Zem</t>
  </si>
  <si>
    <t>AFC Wimbledon</t>
  </si>
  <si>
    <t>Norwich</t>
  </si>
  <si>
    <t>UE Olot</t>
  </si>
  <si>
    <t>Girona</t>
  </si>
  <si>
    <t>Valencia</t>
  </si>
  <si>
    <t>Eldense</t>
  </si>
  <si>
    <t>Spartak Trnava</t>
  </si>
  <si>
    <t>CSKA 1948</t>
  </si>
  <si>
    <t>Deportivo Humaita</t>
  </si>
  <si>
    <t>Encarnacion FC</t>
  </si>
  <si>
    <t>Burton Albion</t>
  </si>
  <si>
    <t>Birmingham</t>
  </si>
  <si>
    <t>Maidenhead United</t>
  </si>
  <si>
    <t>Wolves</t>
  </si>
  <si>
    <t>Recreativo Huelva</t>
  </si>
  <si>
    <t>Real Betis</t>
  </si>
  <si>
    <t>Southend United</t>
  </si>
  <si>
    <t>Northampton</t>
  </si>
  <si>
    <t>Tenerife</t>
  </si>
  <si>
    <t>Getafe</t>
  </si>
  <si>
    <t>Queen of the South</t>
  </si>
  <si>
    <t>Aberdeen</t>
  </si>
  <si>
    <t>Eastleigh</t>
  </si>
  <si>
    <t>Valenciennes</t>
  </si>
  <si>
    <t>Peterborough Sports</t>
  </si>
  <si>
    <t>Rangers</t>
  </si>
  <si>
    <t>Saint-Etienne</t>
  </si>
  <si>
    <t>Stevenage</t>
  </si>
  <si>
    <t>West Ham</t>
  </si>
  <si>
    <t>Braga</t>
  </si>
  <si>
    <t>Boavista RJ</t>
  </si>
  <si>
    <t>Araruama FC</t>
  </si>
  <si>
    <t>Comercial</t>
  </si>
  <si>
    <t>EC Noroeste</t>
  </si>
  <si>
    <t>Santos U20</t>
  </si>
  <si>
    <t>Vasco Da Gama RJ U20</t>
  </si>
  <si>
    <t>CSD Macara</t>
  </si>
  <si>
    <t>Deportivo Cuenca</t>
  </si>
  <si>
    <t>Gil Vicente</t>
  </si>
  <si>
    <t>Porto</t>
  </si>
  <si>
    <t>Ellidi</t>
  </si>
  <si>
    <t>Alafoss</t>
  </si>
  <si>
    <t>9 de Octubre</t>
  </si>
  <si>
    <t>Gualaceo SC</t>
  </si>
  <si>
    <t>Independiente Juniors</t>
  </si>
  <si>
    <t>Atletico Rojiblanco</t>
  </si>
  <si>
    <t>Deportivo Cuenca Reserves</t>
  </si>
  <si>
    <t>LDU Portoviejo</t>
  </si>
  <si>
    <t>El Nacional</t>
  </si>
  <si>
    <t>Cumbaya</t>
  </si>
  <si>
    <t>San Antonio Cotacachi</t>
  </si>
  <si>
    <t>DSD Santo Domingo</t>
  </si>
  <si>
    <t>Universitario de Deportes Women</t>
  </si>
  <si>
    <t>Carlos Mannucci Women</t>
  </si>
  <si>
    <t>Club Sport Colombia</t>
  </si>
  <si>
    <t>Guairena FC</t>
  </si>
  <si>
    <t>Independiente Medellin</t>
  </si>
  <si>
    <t>Vasco Da Gama RJ</t>
  </si>
  <si>
    <t>Uniao Sao Joao</t>
  </si>
  <si>
    <t>XV de Novembro</t>
  </si>
  <si>
    <t>Botafogo RJ Women</t>
  </si>
  <si>
    <t>Red Bull Bragantino Women</t>
  </si>
  <si>
    <t>Sampaio Correa RJ</t>
  </si>
  <si>
    <t>Resende RJ</t>
  </si>
  <si>
    <t>Atletico Mineiro Women</t>
  </si>
  <si>
    <t>CA Piauiense Women</t>
  </si>
  <si>
    <t>Carolina Core</t>
  </si>
  <si>
    <t>Inter Miami II</t>
  </si>
  <si>
    <t>Portland Hearts of Pine</t>
  </si>
  <si>
    <t>Union Omaha SC</t>
  </si>
  <si>
    <t>Westchester SC</t>
  </si>
  <si>
    <t>New York Cosmos</t>
  </si>
  <si>
    <t>Portuguesa RJ</t>
  </si>
  <si>
    <t xml:space="preserve">Americano </t>
  </si>
  <si>
    <t>Lanus</t>
  </si>
  <si>
    <t>Red Bull Bragantino</t>
  </si>
  <si>
    <t>Junior FC</t>
  </si>
  <si>
    <t>Barranquilla</t>
  </si>
  <si>
    <t>Colorado Switchbacks</t>
  </si>
  <si>
    <t>Spokane Velocity FC</t>
  </si>
  <si>
    <t>Charlotte Independence</t>
  </si>
  <si>
    <t>Club Bolivar</t>
  </si>
  <si>
    <t>Gremio RS</t>
  </si>
  <si>
    <t>CD OHiggins</t>
  </si>
  <si>
    <t>Caracas</t>
  </si>
  <si>
    <t>Europa League</t>
  </si>
  <si>
    <t>Tromso</t>
  </si>
  <si>
    <t>Viktoria Plzen</t>
  </si>
  <si>
    <t>Qarabag FK</t>
  </si>
  <si>
    <t>Dynamo Kiev</t>
  </si>
  <si>
    <t>PAOK FC</t>
  </si>
  <si>
    <t>FC Sheriff Tiraspol</t>
  </si>
  <si>
    <t>Maccabi Tel Aviv</t>
  </si>
  <si>
    <t>Hammarby IF</t>
  </si>
  <si>
    <t>Anderlecht</t>
  </si>
  <si>
    <t>Hradec Kralove</t>
  </si>
  <si>
    <t>Besiktas</t>
  </si>
  <si>
    <t>St Gallen</t>
  </si>
  <si>
    <t>Benfica</t>
  </si>
  <si>
    <t>Twente</t>
  </si>
  <si>
    <t>HNK Hadjuk Split</t>
  </si>
  <si>
    <t>Pafos</t>
  </si>
  <si>
    <t>NK Varazdin</t>
  </si>
  <si>
    <t>Malisheva</t>
  </si>
  <si>
    <t>Hibernian</t>
  </si>
  <si>
    <t>Alashkert</t>
  </si>
  <si>
    <t>CFR Cluj</t>
  </si>
  <si>
    <t>Austria Wien</t>
  </si>
  <si>
    <t>FK Panevezys</t>
  </si>
  <si>
    <t>FC Tobol</t>
  </si>
  <si>
    <t>Pyunik Yerevan</t>
  </si>
  <si>
    <t>Dila Gori</t>
  </si>
  <si>
    <t>Apollon Limassol</t>
  </si>
  <si>
    <t>Flora Tallinn</t>
  </si>
  <si>
    <t>The New Saints</t>
  </si>
  <si>
    <t>Coleraine</t>
  </si>
  <si>
    <t>Paide Linnameeskond</t>
  </si>
  <si>
    <t>Zira IK</t>
  </si>
  <si>
    <t>AEK Larnaca</t>
  </si>
  <si>
    <t>Beitar Jerusalem</t>
  </si>
  <si>
    <t>Dunajska Streda</t>
  </si>
  <si>
    <t>FK Velez Mostar</t>
  </si>
  <si>
    <t>Valletta</t>
  </si>
  <si>
    <t>BATE Borisov</t>
  </si>
  <si>
    <t>FC Sion</t>
  </si>
  <si>
    <t>Dinamo Tbilisi</t>
  </si>
  <si>
    <t>VMFD Zalgiris</t>
  </si>
  <si>
    <t>FC Santa Coloma</t>
  </si>
  <si>
    <t>Rapid Wien</t>
  </si>
  <si>
    <t>FC Zimbru</t>
  </si>
  <si>
    <t>FC Noah</t>
  </si>
  <si>
    <t>GAIS Gothenburg</t>
  </si>
  <si>
    <t>Maxline Vitebsk</t>
  </si>
  <si>
    <t>FK Sutjeska Niksic</t>
  </si>
  <si>
    <t>Brann</t>
  </si>
  <si>
    <t>Vaduz</t>
  </si>
  <si>
    <t>Atletic Club Escaldes</t>
  </si>
  <si>
    <t>MFC Zhytomyr</t>
  </si>
  <si>
    <t>Copenhagen</t>
  </si>
  <si>
    <t>NK Aluminij</t>
  </si>
  <si>
    <t>FK Dinamo Tirana</t>
  </si>
  <si>
    <t>Baumit Jablonec</t>
  </si>
  <si>
    <t>Paksi SE</t>
  </si>
  <si>
    <t>Panathinaikos</t>
  </si>
  <si>
    <t>Ajax</t>
  </si>
  <si>
    <t>FK Borac Banja Luka</t>
  </si>
  <si>
    <t>Hapoel Tel Aviv</t>
  </si>
  <si>
    <t>Ludogorets</t>
  </si>
  <si>
    <t>LNZ Lebedyn</t>
  </si>
  <si>
    <t>Gent</t>
  </si>
  <si>
    <t>Dukagjini FK</t>
  </si>
  <si>
    <t>MSK Zilina</t>
  </si>
  <si>
    <t>GKS Katowice</t>
  </si>
  <si>
    <t>HNK Rijeka</t>
  </si>
  <si>
    <t>Derry City</t>
  </si>
  <si>
    <t>Motherwell</t>
  </si>
  <si>
    <t>HB Torshavn</t>
  </si>
  <si>
    <t>FK Shkendija</t>
  </si>
  <si>
    <t>NSI Runavik</t>
  </si>
  <si>
    <t>Koper</t>
  </si>
  <si>
    <t>Shelbourne</t>
  </si>
  <si>
    <t>Nomme Kalju</t>
  </si>
  <si>
    <t>UNA Strassen</t>
  </si>
  <si>
    <t>Stjarnan FC</t>
  </si>
  <si>
    <t xml:space="preserve">Valur </t>
  </si>
  <si>
    <t>HSK Zrinjski Mostar</t>
  </si>
  <si>
    <t>Clube Do Remo</t>
  </si>
  <si>
    <t>Botafogo RJ</t>
  </si>
  <si>
    <t>Vitoria BA</t>
  </si>
  <si>
    <t>Belgrano</t>
  </si>
  <si>
    <t>Sarmiento</t>
  </si>
  <si>
    <t>Defensa Y Justicia</t>
  </si>
  <si>
    <t>Atletico Argentino</t>
  </si>
  <si>
    <t>Hellenic Athletic</t>
  </si>
  <si>
    <t>Palmerston Rovers</t>
  </si>
  <si>
    <t>Garuda Darwin</t>
  </si>
  <si>
    <t>Darwin Hearts</t>
  </si>
  <si>
    <t>Athletic Club MG</t>
  </si>
  <si>
    <t>Sao Bernardo FC SP</t>
  </si>
  <si>
    <t>Cuiaba</t>
  </si>
  <si>
    <t>Atletico Goianiense</t>
  </si>
  <si>
    <t>EC Juventude</t>
  </si>
  <si>
    <t>Gremio Laranjeiras</t>
  </si>
  <si>
    <t>Doze ES</t>
  </si>
  <si>
    <t>Brasil Pelotas</t>
  </si>
  <si>
    <t>Gramadense</t>
  </si>
  <si>
    <t>Red Bull Bragantino U20</t>
  </si>
  <si>
    <t>Palmeiras U20</t>
  </si>
  <si>
    <t>Ceara U20</t>
  </si>
  <si>
    <t>Goias U20</t>
  </si>
  <si>
    <t>Chapecoense U20</t>
  </si>
  <si>
    <t>Barra dos Coqueiros U20</t>
  </si>
  <si>
    <t>Deportivo Cali Women</t>
  </si>
  <si>
    <t>America de Cali Women</t>
  </si>
  <si>
    <t>CS Herediano</t>
  </si>
  <si>
    <t>Puntarenas</t>
  </si>
  <si>
    <t>CD Leones Del Norte</t>
  </si>
  <si>
    <t>SD Aucas</t>
  </si>
  <si>
    <t>Vinotinto FC</t>
  </si>
  <si>
    <t>FC Helios Tartu</t>
  </si>
  <si>
    <t>FC Soccernet Tallinn</t>
  </si>
  <si>
    <t>Harju Jalgpallikool</t>
  </si>
  <si>
    <t>Rae Spordikool</t>
  </si>
  <si>
    <t>JK Nomme United</t>
  </si>
  <si>
    <t>Raplamaa JK</t>
  </si>
  <si>
    <t>JK Poseidon</t>
  </si>
  <si>
    <t>Team Helm</t>
  </si>
  <si>
    <t>Kuressaare</t>
  </si>
  <si>
    <t>Tartu JK Welco X</t>
  </si>
  <si>
    <t>Rumori Calcio II</t>
  </si>
  <si>
    <t>Jk Welco Elekter</t>
  </si>
  <si>
    <t>Tartu Kalev</t>
  </si>
  <si>
    <t>JK Kuusalu Kalev</t>
  </si>
  <si>
    <t>Saku Sporting Women</t>
  </si>
  <si>
    <t>Harju Jalgpallikooli Women</t>
  </si>
  <si>
    <t>Tornion Pallo 47</t>
  </si>
  <si>
    <t>JS Hercules</t>
  </si>
  <si>
    <t>Toolon Taisto</t>
  </si>
  <si>
    <t>TIPS Vantaa</t>
  </si>
  <si>
    <t>JyTy Turku</t>
  </si>
  <si>
    <t>Masku</t>
  </si>
  <si>
    <t>KoPa</t>
  </si>
  <si>
    <t>PeKa</t>
  </si>
  <si>
    <t>VG-62</t>
  </si>
  <si>
    <t>Abo CF</t>
  </si>
  <si>
    <t>Atlantis/PM</t>
  </si>
  <si>
    <t>FC Kontu</t>
  </si>
  <si>
    <t>TIPS Vantaa II</t>
  </si>
  <si>
    <t>Atlantis FC/Akatemia</t>
  </si>
  <si>
    <t>Fish United</t>
  </si>
  <si>
    <t>AC Estudiantes</t>
  </si>
  <si>
    <t>Ponnistus</t>
  </si>
  <si>
    <t>SibboV</t>
  </si>
  <si>
    <t>HooGee</t>
  </si>
  <si>
    <t>Sexy Poxyt</t>
  </si>
  <si>
    <t>FC Kiisto</t>
  </si>
  <si>
    <t>YPA</t>
  </si>
  <si>
    <t>KPV Akatemia</t>
  </si>
  <si>
    <t>VPV Pallo-Veikot</t>
  </si>
  <si>
    <t>Nykarleby IK</t>
  </si>
  <si>
    <t>Vasa IFK</t>
  </si>
  <si>
    <t xml:space="preserve">Throttur </t>
  </si>
  <si>
    <t>KA Hafnarfjordur</t>
  </si>
  <si>
    <t>Augnablik Kopavogur</t>
  </si>
  <si>
    <t>Alftanes</t>
  </si>
  <si>
    <t>Vaengir Jupiters</t>
  </si>
  <si>
    <t>Hamar</t>
  </si>
  <si>
    <t>KFR Hvolsvollur</t>
  </si>
  <si>
    <t>IH Hafnarfjordur</t>
  </si>
  <si>
    <t>KF Hafnir</t>
  </si>
  <si>
    <t>Grotta Women</t>
  </si>
  <si>
    <t>Hottur Women</t>
  </si>
  <si>
    <t>IA Akranes Women</t>
  </si>
  <si>
    <t>KR Reykjavik Women</t>
  </si>
  <si>
    <t>Selfoss Women</t>
  </si>
  <si>
    <t>Keflavik Women</t>
  </si>
  <si>
    <t>Volsungur Women</t>
  </si>
  <si>
    <t>Tindastoll Women</t>
  </si>
  <si>
    <t>Akademiya Ontustik</t>
  </si>
  <si>
    <t>Astana U21</t>
  </si>
  <si>
    <t>Akzhayik Uralsk</t>
  </si>
  <si>
    <t>Khan Tengry</t>
  </si>
  <si>
    <t>FK Kaspyi Aktau U21</t>
  </si>
  <si>
    <t>Ekibastuz</t>
  </si>
  <si>
    <t>Sportivo Iteno</t>
  </si>
  <si>
    <t>Naciones Unidas</t>
  </si>
  <si>
    <t>Independiente FBC</t>
  </si>
  <si>
    <t>New York City II</t>
  </si>
  <si>
    <t>Navbahor Namangan</t>
  </si>
  <si>
    <t>Qizilqum Zarafshon</t>
  </si>
  <si>
    <t>Termez Surkhon</t>
  </si>
  <si>
    <t>Dinamo Samarqand</t>
  </si>
  <si>
    <t>FK Gazalkent</t>
  </si>
  <si>
    <t>Metallurg Bekabad</t>
  </si>
  <si>
    <t>FC Liefering</t>
  </si>
  <si>
    <t>Eintracht Braunschweig</t>
  </si>
  <si>
    <t>FK Grbalj</t>
  </si>
  <si>
    <t>Waldhof Mannheim</t>
  </si>
  <si>
    <t>Cagliari</t>
  </si>
  <si>
    <t>Sampdoria</t>
  </si>
  <si>
    <t>Zorya Luhansk</t>
  </si>
  <si>
    <t>Goztepe</t>
  </si>
  <si>
    <t>Venezia FC</t>
  </si>
  <si>
    <t>Vis Pesaro</t>
  </si>
  <si>
    <t>Ascoli</t>
  </si>
  <si>
    <t>US Grosseto</t>
  </si>
  <si>
    <t>Bergisch Gladbach</t>
  </si>
  <si>
    <t>FC Cologne</t>
  </si>
  <si>
    <t>HNK Gorica</t>
  </si>
  <si>
    <t>Bayern Alzenau</t>
  </si>
  <si>
    <t>Wormatia Worms</t>
  </si>
  <si>
    <t>SC Inkberrow</t>
  </si>
  <si>
    <t>Evesham United</t>
  </si>
  <si>
    <t>Cordoba</t>
  </si>
  <si>
    <t>Sevilla</t>
  </si>
  <si>
    <t>Agama FC</t>
  </si>
  <si>
    <t>Hardrock</t>
  </si>
  <si>
    <t>CAPS United</t>
  </si>
  <si>
    <t>Hunters 2020</t>
  </si>
  <si>
    <t>Triangle United</t>
  </si>
  <si>
    <t>Ngezi Platinum FC</t>
  </si>
  <si>
    <t>Lacasa-name</t>
  </si>
  <si>
    <t>Oddspedia-name</t>
  </si>
  <si>
    <t>Rockdale not found</t>
  </si>
  <si>
    <t>Blumenau</t>
  </si>
  <si>
    <t>KAPYLAN PALLO</t>
  </si>
  <si>
    <t>OddsHome</t>
  </si>
  <si>
    <t>OddsAway</t>
  </si>
  <si>
    <t>O 0.5 HT</t>
  </si>
  <si>
    <t>O 1.5</t>
  </si>
  <si>
    <t>O 2.5</t>
  </si>
  <si>
    <t>U 2.5</t>
  </si>
  <si>
    <t>U 3.5</t>
  </si>
  <si>
    <t>20/07/2026Turku PSIlves</t>
  </si>
  <si>
    <t>1 - 3</t>
  </si>
  <si>
    <t>Red</t>
  </si>
  <si>
    <t>Green</t>
  </si>
  <si>
    <t>20/07/2026JelgavaRigas Futbola Skola</t>
  </si>
  <si>
    <t>20/07/2026FK Transinvest IINeptunas Klaipeda</t>
  </si>
  <si>
    <t>2 - 2</t>
  </si>
  <si>
    <t>20/07/2026FK Suduva MarijampoleHegelmann Litauen</t>
  </si>
  <si>
    <t>5 - 1</t>
  </si>
  <si>
    <t>20/07/2026IFK MariehamnFC Lahti</t>
  </si>
  <si>
    <t>20/07/2026SK Super NovaSC Grobinas</t>
  </si>
  <si>
    <t>2 - 0</t>
  </si>
  <si>
    <t>20/07/2026FK Tukums 2000 IIRigas Futbola Skola II</t>
  </si>
  <si>
    <t>20/07/2026KalmarMalmo</t>
  </si>
  <si>
    <t>20/07/2026Orgryte ISDjurgardens IF</t>
  </si>
  <si>
    <t>20/07/2026NorrbySundsvall</t>
  </si>
  <si>
    <t>3 - 1</t>
  </si>
  <si>
    <t>20/07/2026SA Bulo BuloABB</t>
  </si>
  <si>
    <t>20/07/2026Mushuc RunaOrense SC</t>
  </si>
  <si>
    <t>20/07/2026HafnarfjordurBreidablik</t>
  </si>
  <si>
    <t>20/07/2026KeflavikIA Akranes</t>
  </si>
  <si>
    <t>5 - 2</t>
  </si>
  <si>
    <t>20/07/2026KopavogsIF Vestri</t>
  </si>
  <si>
    <t>6 - 2</t>
  </si>
  <si>
    <t>20/07/2026Nacional PotosiReal Oruro</t>
  </si>
  <si>
    <t>1 - 4</t>
  </si>
  <si>
    <t>21/07/2026Gungahlin Juventus U23Canberra Croatia U23</t>
  </si>
  <si>
    <t>21/07/2026Jeju UnitedGangwon</t>
  </si>
  <si>
    <t>21/07/2026Jeonbuk Hyundai MotorsDaejeon Citizen</t>
  </si>
  <si>
    <t>21/07/2026Ulsan HyundaiIncheon United</t>
  </si>
  <si>
    <t>21/07/2026Kapylan PalloKlubi 04</t>
  </si>
  <si>
    <t>21/07/2026Hegelmann Litauen IIVMFD Zalgiris Vilnius II</t>
  </si>
  <si>
    <t>21/07/2026FalkenbergHelsingborg</t>
  </si>
  <si>
    <t>21/07/2026Libertad LojaDelfin SC</t>
  </si>
  <si>
    <t>21/07/2026Atletico MineiroBahia</t>
  </si>
  <si>
    <t>21/07/2026AvaiAmerica Mineiro</t>
  </si>
  <si>
    <t>21/07/2026Novorizontino SPCriciuma</t>
  </si>
  <si>
    <t>21/07/2026Independiente PetroleroReal Potosi</t>
  </si>
  <si>
    <t>21/07/2026CD Uni Catolica del EcuadorBarcelona SC</t>
  </si>
  <si>
    <t>21/07/2026Vila Nova GOFortaleza EC</t>
  </si>
  <si>
    <t>22/07/2026Hamilton OlympicBelmont Swansea United SC</t>
  </si>
  <si>
    <t>22/07/2026Tuggeranong UnitedCanberra White Eagles</t>
  </si>
  <si>
    <t>22/07/2026Launceston CityLaunceston United</t>
  </si>
  <si>
    <t>4 - 2</t>
  </si>
  <si>
    <t>22/07/2026Bucheon 1995Anyang</t>
  </si>
  <si>
    <t>22/07/2026FC SeoulPohang Steelers</t>
  </si>
  <si>
    <t>22/07/2026GwangjuSangju Sangmu</t>
  </si>
  <si>
    <t>22/07/2026Bodo/GlimtHamKam</t>
  </si>
  <si>
    <t>3 - 0</t>
  </si>
  <si>
    <t>22/07/2026LillestromViking</t>
  </si>
  <si>
    <t>22/07/2026CSD MacaraDeportivo Cuenca</t>
  </si>
  <si>
    <t>22/07/2026Independiente del ValleTecnico Universitario</t>
  </si>
  <si>
    <t>22/07/2026Coritiba PRPalmeiras</t>
  </si>
  <si>
    <t>22/07/2026CearaClube de Regatas Brasil</t>
  </si>
  <si>
    <t>22/07/2026Operario PRPonte Preta</t>
  </si>
  <si>
    <t>3 - 2</t>
  </si>
  <si>
    <t>22/07/2026Carolina CoreInter Miami II</t>
  </si>
  <si>
    <t>4 - 0</t>
  </si>
  <si>
    <t>22/07/2026Lexington SCOakland Roots</t>
  </si>
  <si>
    <t>22/07/2026GoiasSport Recife</t>
  </si>
  <si>
    <t>22/07/2026Columbus CrewNew York City</t>
  </si>
  <si>
    <t>22/07/2026FC CincinnatiVancouver Whitecaps</t>
  </si>
  <si>
    <t>4 - 3</t>
  </si>
  <si>
    <t>22/07/2026Inter Miami CFChicago Fire</t>
  </si>
  <si>
    <t>22/07/2026New England RevolutionToronto FC</t>
  </si>
  <si>
    <t>22/07/2026Philadelphia UnionNew York Red Bulls</t>
  </si>
  <si>
    <t>22/07/2026Manta FCLDU Quito</t>
  </si>
  <si>
    <t>22/07/2026Charlotte FCAtlanta United</t>
  </si>
  <si>
    <t>22/07/2026ChapecoenseFlamengo RJ</t>
  </si>
  <si>
    <t>0 - 4</t>
  </si>
  <si>
    <t>22/07/2026InternacionalCruzeiro</t>
  </si>
  <si>
    <t>22/07/2026Sao PauloAthletico Paranaense</t>
  </si>
  <si>
    <t>22/07/2026NauticoLondrina EC</t>
  </si>
  <si>
    <t>22/07/2026Austin FCSeattle Sounders FC</t>
  </si>
  <si>
    <t>22/07/2026Houston DynamoDC United</t>
  </si>
  <si>
    <t>22/07/2026Nashville FCMontreal Impact</t>
  </si>
  <si>
    <t>22/07/2026Sporting Kansas CityMinnesota United</t>
  </si>
  <si>
    <t>22/07/2026Colorado SwitchbacksMiami FC</t>
  </si>
  <si>
    <t>22/07/2026Vancouver Whitecaps IIAustin FC II</t>
  </si>
  <si>
    <t>22/07/2026Colorado RapidsSan Diego FC</t>
  </si>
  <si>
    <t>22/07/2026LA GalaxySaint Louis City</t>
  </si>
  <si>
    <t>22/07/2026Los Angeles FCReal Salt Lake</t>
  </si>
  <si>
    <t>22/07/2026Portland TimbersDallas</t>
  </si>
  <si>
    <t>22/07/2026San Jose EarthquakesOrlando City</t>
  </si>
  <si>
    <t>23/07/2026New England Revolution IINew York City II</t>
  </si>
  <si>
    <t xml:space="preserve">23/07/2026Leiknir ReykjavikThrottur </t>
  </si>
  <si>
    <t>1 - 5</t>
  </si>
  <si>
    <t>23/07/2026CD Leones Del NorteGuayaquil City FC</t>
  </si>
  <si>
    <t>23/07/2026Orense SCSD Aucas</t>
  </si>
  <si>
    <t>23/07/2026BelgranoRosario Central</t>
  </si>
  <si>
    <t>23/07/2026SarmientoArgentinos Juniors</t>
  </si>
  <si>
    <t>23/07/2026Botafogo RJVitoria BA</t>
  </si>
  <si>
    <t>23/07/2026CorinthiansClube Do Remo</t>
  </si>
  <si>
    <t>23/07/2026Athletic Club MGSao Bernardo FC SP</t>
  </si>
  <si>
    <t>23/07/2026CuiabaAtletico Goianiense</t>
  </si>
  <si>
    <t>23/07/2026EmelecMushuc Runa</t>
  </si>
  <si>
    <t>23/07/2026Botafogo SPEC Juventude</t>
  </si>
  <si>
    <t>23/07/2026Defensa Y JusticiaAldosivi</t>
  </si>
  <si>
    <t>Market</t>
  </si>
  <si>
    <t>Expected</t>
  </si>
  <si>
    <t>Real</t>
  </si>
  <si>
    <t>Min. Range</t>
  </si>
  <si>
    <t>Max. Range</t>
  </si>
  <si>
    <t>DC</t>
  </si>
  <si>
    <t>Total Accuracy</t>
  </si>
  <si>
    <t>28/07/2026</t>
  </si>
  <si>
    <t>DFK Dainava</t>
  </si>
  <si>
    <t>FK Minija</t>
  </si>
  <si>
    <t>Nordic United FC</t>
  </si>
  <si>
    <t>Landskrona BoIS</t>
  </si>
  <si>
    <t>IFK Norrkoping</t>
  </si>
  <si>
    <t>KF Aegir</t>
  </si>
  <si>
    <t>Primera Division</t>
  </si>
  <si>
    <t>Gimnasia Mendoza</t>
  </si>
  <si>
    <t>Central Cordoba SDE</t>
  </si>
  <si>
    <t>Racing Avellaneda</t>
  </si>
  <si>
    <t>Velez Sarsfield</t>
  </si>
  <si>
    <t>Instituto de Cordoba</t>
  </si>
  <si>
    <t>Atletico Huracan</t>
  </si>
  <si>
    <t>CA Platense</t>
  </si>
  <si>
    <t>Union de Santa Fe</t>
  </si>
  <si>
    <t>Torneo A</t>
  </si>
  <si>
    <t>Kimberley Mar del Plata</t>
  </si>
  <si>
    <t>Club Circulo Deportivo</t>
  </si>
  <si>
    <t>Sportivo Belgrano</t>
  </si>
  <si>
    <t>Escobar FC</t>
  </si>
  <si>
    <t>Asia</t>
  </si>
  <si>
    <t>AFF Suzuki Cup</t>
  </si>
  <si>
    <t>Cambodia</t>
  </si>
  <si>
    <t>Singapore</t>
  </si>
  <si>
    <t>Timor Leste</t>
  </si>
  <si>
    <t>Vietnam</t>
  </si>
  <si>
    <t>NPL NSW</t>
  </si>
  <si>
    <t>Manly United</t>
  </si>
  <si>
    <t>NPL Victoria</t>
  </si>
  <si>
    <t>Green Gully SC</t>
  </si>
  <si>
    <t>Sunshine George Cross</t>
  </si>
  <si>
    <t>South Melbourne FC</t>
  </si>
  <si>
    <t>VPL 1</t>
  </si>
  <si>
    <t>Brunswick City</t>
  </si>
  <si>
    <t>Western United Reserves</t>
  </si>
  <si>
    <t>Eltham Redbacks</t>
  </si>
  <si>
    <t>Melbourne Srbija</t>
  </si>
  <si>
    <t>VPL 2</t>
  </si>
  <si>
    <t>Keilor Park</t>
  </si>
  <si>
    <t>Bayside Argonauts</t>
  </si>
  <si>
    <t>Nunawading City</t>
  </si>
  <si>
    <t>Malvern City</t>
  </si>
  <si>
    <t>Eastern Lions</t>
  </si>
  <si>
    <t>Box Hill United</t>
  </si>
  <si>
    <t>Essendon Royals SC</t>
  </si>
  <si>
    <t>Kingston City</t>
  </si>
  <si>
    <t>Queensland Premier League 2</t>
  </si>
  <si>
    <t>Mitchelton</t>
  </si>
  <si>
    <t>Souths United</t>
  </si>
  <si>
    <t>South Australia State League 1</t>
  </si>
  <si>
    <t>Adelaide Olympic</t>
  </si>
  <si>
    <t>South Adelaide Panthers</t>
  </si>
  <si>
    <t>Eastern United</t>
  </si>
  <si>
    <t>Salisbury United</t>
  </si>
  <si>
    <t>Mount Barker United SC</t>
  </si>
  <si>
    <t>New Lambton FC Reserves</t>
  </si>
  <si>
    <t>Lake Macquarie City Reserves</t>
  </si>
  <si>
    <t>Cooks Hill United Reserves</t>
  </si>
  <si>
    <t>Lambton Jaffas Reserves</t>
  </si>
  <si>
    <t>Weston Workers Reserves</t>
  </si>
  <si>
    <t>Adamstown Rosebud Reserves</t>
  </si>
  <si>
    <t>NPL NSW 3</t>
  </si>
  <si>
    <t>Fraser Park</t>
  </si>
  <si>
    <t>Gladesville Ryde Magic</t>
  </si>
  <si>
    <t>Sydney University</t>
  </si>
  <si>
    <t>Mounties Wanderers</t>
  </si>
  <si>
    <t>Queensland NPL Women</t>
  </si>
  <si>
    <t>Olympic FC Women</t>
  </si>
  <si>
    <t>Brisbane City Women</t>
  </si>
  <si>
    <t>Queensland Lions Women</t>
  </si>
  <si>
    <t>Capalaba Women</t>
  </si>
  <si>
    <t>Victoria PL Women</t>
  </si>
  <si>
    <t>Preston Lions Women</t>
  </si>
  <si>
    <t>Keilor Park Women</t>
  </si>
  <si>
    <t>Box Hill United Women</t>
  </si>
  <si>
    <t>Alamein Women</t>
  </si>
  <si>
    <t>South Australia PL Women</t>
  </si>
  <si>
    <t>Salisbury Inter Women</t>
  </si>
  <si>
    <t>FFSA NTC Women</t>
  </si>
  <si>
    <t>Campbelltown City Women</t>
  </si>
  <si>
    <t>Adelaide Comets Women</t>
  </si>
  <si>
    <t>West Torrens Birkalla Reserves</t>
  </si>
  <si>
    <t>West Adelaide Women</t>
  </si>
  <si>
    <t>Adelaide University Women</t>
  </si>
  <si>
    <t>Modbury Vista Women</t>
  </si>
  <si>
    <t>Queensland PL 1 Women</t>
  </si>
  <si>
    <t>Peninsula Power Women</t>
  </si>
  <si>
    <t>The Gap NPL Women</t>
  </si>
  <si>
    <t>NPL Victoria Youth</t>
  </si>
  <si>
    <t>Oakleigh Cannons U23</t>
  </si>
  <si>
    <t>South Melbourne U23</t>
  </si>
  <si>
    <t>Green Gully SC U23</t>
  </si>
  <si>
    <t>Dandenong City U23</t>
  </si>
  <si>
    <t>Melbourne City U23</t>
  </si>
  <si>
    <t>Avondale Heights U23</t>
  </si>
  <si>
    <t>St Albans Saints U23</t>
  </si>
  <si>
    <t>Hume City U23</t>
  </si>
  <si>
    <t>U20 NPL NSW</t>
  </si>
  <si>
    <t>Manly United U20</t>
  </si>
  <si>
    <t>Sydney Olympic U20</t>
  </si>
  <si>
    <t>Canberra Olympic U23</t>
  </si>
  <si>
    <t>Queanbeyan City FC U23</t>
  </si>
  <si>
    <t>Brindabella Blues U23</t>
  </si>
  <si>
    <t>Austria</t>
  </si>
  <si>
    <t>Austrian Cup</t>
  </si>
  <si>
    <t>Dornbirn 1913</t>
  </si>
  <si>
    <t>SV Ried</t>
  </si>
  <si>
    <t>SC Wieselburg</t>
  </si>
  <si>
    <t>WSG Wattens</t>
  </si>
  <si>
    <t>Austria Klagenfurt</t>
  </si>
  <si>
    <t>Deutschlandsberger SC</t>
  </si>
  <si>
    <t>Amstetten</t>
  </si>
  <si>
    <t>FC Lauterach</t>
  </si>
  <si>
    <t>SV Lafnitz</t>
  </si>
  <si>
    <t>USV Scheiblingkirchen</t>
  </si>
  <si>
    <t>SV Leobendorf</t>
  </si>
  <si>
    <t>SCR Altach</t>
  </si>
  <si>
    <t>DSV Leoben</t>
  </si>
  <si>
    <t>Voitsberg</t>
  </si>
  <si>
    <t>FCM Traiskirchen</t>
  </si>
  <si>
    <t>SVG Bleiburg</t>
  </si>
  <si>
    <t>SU Tillmitsch</t>
  </si>
  <si>
    <t>St Polten</t>
  </si>
  <si>
    <t>SV Horn</t>
  </si>
  <si>
    <t>FAC Team fur Wien</t>
  </si>
  <si>
    <t>Union Gurten</t>
  </si>
  <si>
    <t>Blau Weiss Linz</t>
  </si>
  <si>
    <t>SV Seekirchen</t>
  </si>
  <si>
    <t>Reichenau</t>
  </si>
  <si>
    <t>Wacker Innsbruck</t>
  </si>
  <si>
    <t>Energetik BGU</t>
  </si>
  <si>
    <t>Dinamo Minsk Reserves</t>
  </si>
  <si>
    <t>FC Osipovichi</t>
  </si>
  <si>
    <t>BATE Borisov Reserves</t>
  </si>
  <si>
    <t>Club Aurora</t>
  </si>
  <si>
    <t>America MG Women</t>
  </si>
  <si>
    <t>Santos Women</t>
  </si>
  <si>
    <t>Gremio RS Women</t>
  </si>
  <si>
    <t>Rio Negro RR Women</t>
  </si>
  <si>
    <t>Sao Bento U20</t>
  </si>
  <si>
    <t>Jabaquara U20</t>
  </si>
  <si>
    <t>Ponte Preta U20</t>
  </si>
  <si>
    <t>Suzano SP U20</t>
  </si>
  <si>
    <t>Portuguesa RJ U20</t>
  </si>
  <si>
    <t>Juventus SP U20</t>
  </si>
  <si>
    <t>Portuguesa Santista U20</t>
  </si>
  <si>
    <t>Agua Santa SP U20</t>
  </si>
  <si>
    <t>Ituano U20</t>
  </si>
  <si>
    <t>Gremio Prudente SP U20</t>
  </si>
  <si>
    <t>XV de Jau U20</t>
  </si>
  <si>
    <t>Guarani SP U20</t>
  </si>
  <si>
    <t>Tanabi EC U20</t>
  </si>
  <si>
    <t>Ibrachina SP U20</t>
  </si>
  <si>
    <t>Velo Clube SP U20</t>
  </si>
  <si>
    <t>Maua FC U20</t>
  </si>
  <si>
    <t>Flamengo SP U20</t>
  </si>
  <si>
    <t>Paulinense SP U20</t>
  </si>
  <si>
    <t>Sao Caetano U20</t>
  </si>
  <si>
    <t>SC Aguai SP U20</t>
  </si>
  <si>
    <t>Bandeirante U20</t>
  </si>
  <si>
    <t>Sfera SP U20</t>
  </si>
  <si>
    <t>Audax SP U20</t>
  </si>
  <si>
    <t>Uniao Sao Joao U20</t>
  </si>
  <si>
    <t>EC Sao Bernardo U20</t>
  </si>
  <si>
    <t>Arda Kardzhali</t>
  </si>
  <si>
    <t>Beroe</t>
  </si>
  <si>
    <t>Hebar Pazardzhik</t>
  </si>
  <si>
    <t>Vancouver Langley</t>
  </si>
  <si>
    <t>Union La Calera</t>
  </si>
  <si>
    <t>Everton de Vina</t>
  </si>
  <si>
    <t>CD Magallanes Women</t>
  </si>
  <si>
    <t>Deportes Temuco Women</t>
  </si>
  <si>
    <t>Jaguares de Cordoba</t>
  </si>
  <si>
    <t>Universitario Popayan</t>
  </si>
  <si>
    <t>Independiente Medellin Women</t>
  </si>
  <si>
    <t>Atletico Nacional Women</t>
  </si>
  <si>
    <t>Deportivo Saprissa</t>
  </si>
  <si>
    <t>Perez Zeledon</t>
  </si>
  <si>
    <t>Dukla Prague</t>
  </si>
  <si>
    <t>Arsenal Ceska Lipa</t>
  </si>
  <si>
    <t>FK Prostejov</t>
  </si>
  <si>
    <t>Fotbal Trinec</t>
  </si>
  <si>
    <t>FK Usti nad Labem</t>
  </si>
  <si>
    <t>SK Kladno</t>
  </si>
  <si>
    <t>SK Hanacka Slavia</t>
  </si>
  <si>
    <t>Taborsko</t>
  </si>
  <si>
    <t>Vysocina Jihlava</t>
  </si>
  <si>
    <t>Viktoria Zizkov</t>
  </si>
  <si>
    <t>FC Strani</t>
  </si>
  <si>
    <t>FC Vsetin</t>
  </si>
  <si>
    <t>TJ Tatran Vsechovice</t>
  </si>
  <si>
    <t>TJ Unie Hlubina</t>
  </si>
  <si>
    <t>Viborg</t>
  </si>
  <si>
    <t>OB Odense</t>
  </si>
  <si>
    <t>Vejle BK</t>
  </si>
  <si>
    <t>AB Gladsaxe</t>
  </si>
  <si>
    <t>AaB Aalborg</t>
  </si>
  <si>
    <t>Hillerod</t>
  </si>
  <si>
    <t>CD FAS</t>
  </si>
  <si>
    <t>Municipal Limeno</t>
  </si>
  <si>
    <t>Tartu JK Tammeka</t>
  </si>
  <si>
    <t>Tallinna FC Zealot Sporting</t>
  </si>
  <si>
    <t>Seinajoen JK</t>
  </si>
  <si>
    <t>Jazz Pori</t>
  </si>
  <si>
    <t>TPV</t>
  </si>
  <si>
    <t>Tampere United</t>
  </si>
  <si>
    <t>Inter Turku II</t>
  </si>
  <si>
    <t>HJS Akatemia</t>
  </si>
  <si>
    <t>Esbo Bollklubb</t>
  </si>
  <si>
    <t>Nurmijarven Jalkapalloseura</t>
  </si>
  <si>
    <t>Abo IFK</t>
  </si>
  <si>
    <t>Pallo-Iirot</t>
  </si>
  <si>
    <t>Ilves II</t>
  </si>
  <si>
    <t>PEPO Lappeenranta</t>
  </si>
  <si>
    <t>Puistolan Urheilijat</t>
  </si>
  <si>
    <t>PPJ</t>
  </si>
  <si>
    <t>Union Plaani</t>
  </si>
  <si>
    <t>Laajasalon Palloseura</t>
  </si>
  <si>
    <t>VJS Vantaa II</t>
  </si>
  <si>
    <t>LeKi-futis</t>
  </si>
  <si>
    <t>Saaksjarven Loiske</t>
  </si>
  <si>
    <t>MPS Atletico/Malmi</t>
  </si>
  <si>
    <t>PPS/Old Stars</t>
  </si>
  <si>
    <t>Nokian Palloseura</t>
  </si>
  <si>
    <t>Haka Juniorit</t>
  </si>
  <si>
    <t>ToTe/Tapio</t>
  </si>
  <si>
    <t>Tuusulan Palloseura</t>
  </si>
  <si>
    <t>FC Lahti 69</t>
  </si>
  <si>
    <t>MK-United</t>
  </si>
  <si>
    <t>Puotinkylan Valtti</t>
  </si>
  <si>
    <t>ToTe</t>
  </si>
  <si>
    <t>KeuPa</t>
  </si>
  <si>
    <t>FC Vaajakoski II</t>
  </si>
  <si>
    <t>PK-37</t>
  </si>
  <si>
    <t>Kuopio PS III</t>
  </si>
  <si>
    <t>FC Metso</t>
  </si>
  <si>
    <t>JPS</t>
  </si>
  <si>
    <t>JJK Jyvaskyla II</t>
  </si>
  <si>
    <t>Savannan Pallo</t>
  </si>
  <si>
    <t>Toivalan Urheilijat</t>
  </si>
  <si>
    <t>NiemU</t>
  </si>
  <si>
    <t>Kings SC</t>
  </si>
  <si>
    <t>Zulimanit</t>
  </si>
  <si>
    <t>Margveti</t>
  </si>
  <si>
    <t>FSV 63 Luckenwalde</t>
  </si>
  <si>
    <t>Lokomotive Leipzig</t>
  </si>
  <si>
    <t>Rot Weiss Erfurt</t>
  </si>
  <si>
    <t>Berliner Dynamo</t>
  </si>
  <si>
    <t>HT 16</t>
  </si>
  <si>
    <t>USC Paloma</t>
  </si>
  <si>
    <t>DJK Gebenbach</t>
  </si>
  <si>
    <t>Ingolstadt II</t>
  </si>
  <si>
    <t>DJK Ammerthal</t>
  </si>
  <si>
    <t>ASV Cham</t>
  </si>
  <si>
    <t>Hankofen-Hailing</t>
  </si>
  <si>
    <t>Ismaning</t>
  </si>
  <si>
    <t>Landshut</t>
  </si>
  <si>
    <t>SV Erlbach</t>
  </si>
  <si>
    <t>Gundelfingen 1920</t>
  </si>
  <si>
    <t>Antigua GFC</t>
  </si>
  <si>
    <t>Deportivo Marquense</t>
  </si>
  <si>
    <t>CSD Municipal</t>
  </si>
  <si>
    <t>Deportivo Mixco</t>
  </si>
  <si>
    <t>Nyiregyhaza Spartacus</t>
  </si>
  <si>
    <t>Ujpest FC</t>
  </si>
  <si>
    <t>UMF Njardvik</t>
  </si>
  <si>
    <t xml:space="preserve">Fjolnir </t>
  </si>
  <si>
    <t>Ymir Kopavogur</t>
  </si>
  <si>
    <t>KH Hlidarendi</t>
  </si>
  <si>
    <t>Arborg</t>
  </si>
  <si>
    <t>Ulfarnir</t>
  </si>
  <si>
    <t>Haukar Women</t>
  </si>
  <si>
    <t>HK Kopavogur Women</t>
  </si>
  <si>
    <t>IBV Vestmannaeyjar Women</t>
  </si>
  <si>
    <t>St Patrick's Athletic</t>
  </si>
  <si>
    <t>Bray Wanderers</t>
  </si>
  <si>
    <t>Treaty United</t>
  </si>
  <si>
    <t>UC Dublin</t>
  </si>
  <si>
    <t>Cork City</t>
  </si>
  <si>
    <t>Altay Semey U21</t>
  </si>
  <si>
    <t>FC Taraz</t>
  </si>
  <si>
    <t>Aktobe U21</t>
  </si>
  <si>
    <t>Sport Academy Kairat</t>
  </si>
  <si>
    <t>Shakhter Karagandy</t>
  </si>
  <si>
    <t>FK Arys</t>
  </si>
  <si>
    <t>FC Turan Turkistan</t>
  </si>
  <si>
    <t>FC Tobol U21</t>
  </si>
  <si>
    <t>FA Siauliai</t>
  </si>
  <si>
    <t>Kauno Zalgiris II</t>
  </si>
  <si>
    <t>Atlante</t>
  </si>
  <si>
    <t>Club America</t>
  </si>
  <si>
    <t>Club Tijuana</t>
  </si>
  <si>
    <t>Club Leon</t>
  </si>
  <si>
    <t>Mineros De Zacatecas</t>
  </si>
  <si>
    <t>Correcaminos UAT</t>
  </si>
  <si>
    <t>Tepatitlan de Morelos</t>
  </si>
  <si>
    <t>Alacranes de Durango</t>
  </si>
  <si>
    <t>Atlante U21</t>
  </si>
  <si>
    <t>Club America U21</t>
  </si>
  <si>
    <t>Club Tijuana U21</t>
  </si>
  <si>
    <t>Club Leon U21</t>
  </si>
  <si>
    <t>Black Bulls</t>
  </si>
  <si>
    <t>Ferroviario Lichinga</t>
  </si>
  <si>
    <t>Eastern Suburbs NPL Women</t>
  </si>
  <si>
    <t>Auckland United Women</t>
  </si>
  <si>
    <t>Guatemala U20</t>
  </si>
  <si>
    <t>Costa Rica U20</t>
  </si>
  <si>
    <t>Mexico U20</t>
  </si>
  <si>
    <t>Antigua &amp; Barbuda U20</t>
  </si>
  <si>
    <t>Derry City Women</t>
  </si>
  <si>
    <t>Larne FC Women</t>
  </si>
  <si>
    <t>Linfield Women</t>
  </si>
  <si>
    <t>Crusaders Newtownabbey Strikers Women</t>
  </si>
  <si>
    <t>Lisburn Rangers Women</t>
  </si>
  <si>
    <t>Lisburn Ladies Women</t>
  </si>
  <si>
    <t>Cliftonville Women</t>
  </si>
  <si>
    <t>Tikves Kavadarci</t>
  </si>
  <si>
    <t>FK Arsimi 1973</t>
  </si>
  <si>
    <t>Arabe Unido</t>
  </si>
  <si>
    <t>CS 2 de Mayo</t>
  </si>
  <si>
    <t>Cerro Porteno</t>
  </si>
  <si>
    <t>Paraguari AC</t>
  </si>
  <si>
    <t>CSD Santa Rosa</t>
  </si>
  <si>
    <t>Union Minas</t>
  </si>
  <si>
    <t>Colegio Nacional De Iquitos</t>
  </si>
  <si>
    <t>AD Comerciantes</t>
  </si>
  <si>
    <t>Alianza Universidad</t>
  </si>
  <si>
    <t>FBC Melgar Women</t>
  </si>
  <si>
    <t>Sporting Cristal Women</t>
  </si>
  <si>
    <t>Radomiak Radom</t>
  </si>
  <si>
    <t>KS Wieczysta Krakow</t>
  </si>
  <si>
    <t>Pogon Szczecin</t>
  </si>
  <si>
    <t>Legia</t>
  </si>
  <si>
    <t>Polonia Bytom</t>
  </si>
  <si>
    <t>Warta Poznan</t>
  </si>
  <si>
    <t>Odra Opole</t>
  </si>
  <si>
    <t>Arka Gdynia</t>
  </si>
  <si>
    <t>Znicz Pruszkow</t>
  </si>
  <si>
    <t>Resovia Rzeszow</t>
  </si>
  <si>
    <t>FC Uta Arad</t>
  </si>
  <si>
    <t>Otelul Galati</t>
  </si>
  <si>
    <t>SCM Argesul Pitesti</t>
  </si>
  <si>
    <t>Petrolul Ploiesti</t>
  </si>
  <si>
    <t>Neftyanik Izberbash</t>
  </si>
  <si>
    <t>Zarya Russia</t>
  </si>
  <si>
    <t>Yenisey Krasnoyarsk II</t>
  </si>
  <si>
    <t>Torpedo Vladimir</t>
  </si>
  <si>
    <t>Almaz Antey Youth</t>
  </si>
  <si>
    <t>Lokomotiv Moscow Youth</t>
  </si>
  <si>
    <t>Academiya Konopleva Youth</t>
  </si>
  <si>
    <t>Rostov Youth</t>
  </si>
  <si>
    <t>Nizhny Novgorod Youth</t>
  </si>
  <si>
    <t>Spartak Moscow Youth</t>
  </si>
  <si>
    <t>Chertanovo Youth</t>
  </si>
  <si>
    <t>Zenit St. Petersburg Youth</t>
  </si>
  <si>
    <t>CSKA Moscow Youth</t>
  </si>
  <si>
    <t>Ural Youth</t>
  </si>
  <si>
    <t>Fakel Voronezh Youth</t>
  </si>
  <si>
    <t>Rubin Kazan Youth</t>
  </si>
  <si>
    <t>Dynamo Moscow Youth</t>
  </si>
  <si>
    <t>Dynamo Makhachkala Youth</t>
  </si>
  <si>
    <t>Rodina Youth</t>
  </si>
  <si>
    <t>Krasnodar Youth</t>
  </si>
  <si>
    <t>CSKA Moscow Women</t>
  </si>
  <si>
    <t>VDV Ryazan Women</t>
  </si>
  <si>
    <t>Gimhae City</t>
  </si>
  <si>
    <t>Seoul E-Land</t>
  </si>
  <si>
    <t>Gyeongju KHNP Women</t>
  </si>
  <si>
    <t>Changnyeong Women</t>
  </si>
  <si>
    <t>Hwacheon KSPO Women</t>
  </si>
  <si>
    <t>Busan Sangmu Women</t>
  </si>
  <si>
    <t>Seoul Amazones Women</t>
  </si>
  <si>
    <t>Gumi Sportstoto Women</t>
  </si>
  <si>
    <t>Suwon WFC</t>
  </si>
  <si>
    <t>Hyundai Steel Red Angels Women</t>
  </si>
  <si>
    <t>Helsingborg U19</t>
  </si>
  <si>
    <t>Hacken U19</t>
  </si>
  <si>
    <t>FC Rapperswil-Jona</t>
  </si>
  <si>
    <t>FC Wil 1900</t>
  </si>
  <si>
    <t>Neuchatel Xamax</t>
  </si>
  <si>
    <t>SC Kriens</t>
  </si>
  <si>
    <t>Stade Lausanne-Ouchy</t>
  </si>
  <si>
    <t>Stade Nyonnais</t>
  </si>
  <si>
    <t>Etoile Carouge</t>
  </si>
  <si>
    <t>Aarau</t>
  </si>
  <si>
    <t>Winterthur</t>
  </si>
  <si>
    <t>Yverdon Sport FC</t>
  </si>
  <si>
    <t>Yarud Mariupol</t>
  </si>
  <si>
    <t>FC Victoria Mykolaivka</t>
  </si>
  <si>
    <t>FC Oleksandriya</t>
  </si>
  <si>
    <t>FC Nyva Ternopil</t>
  </si>
  <si>
    <t>Club Atletico Progreso</t>
  </si>
  <si>
    <t>Ballard FC</t>
  </si>
  <si>
    <t>Ventura County Fusion</t>
  </si>
  <si>
    <t>Vermont Green</t>
  </si>
  <si>
    <t>Asheville City SC</t>
  </si>
  <si>
    <t>Flint City Bucks</t>
  </si>
  <si>
    <t>Peoria City</t>
  </si>
  <si>
    <t>Laredo Heat SC</t>
  </si>
  <si>
    <t>Fort Lauderdale United</t>
  </si>
  <si>
    <t>Houston Dash Women</t>
  </si>
  <si>
    <t>FC Bay Area Women</t>
  </si>
  <si>
    <t>Orlando Pride Women</t>
  </si>
  <si>
    <t>Chicago Red Stars Women</t>
  </si>
  <si>
    <t>Portland Thorns Women</t>
  </si>
  <si>
    <t>Sky Blue Women</t>
  </si>
  <si>
    <t>Aral Nukus</t>
  </si>
  <si>
    <t>Shurtan Guzar</t>
  </si>
  <si>
    <t>Buxoro II</t>
  </si>
  <si>
    <t>Pakhtakor Tashkent II</t>
  </si>
  <si>
    <t>Olimpik Mobiuz</t>
  </si>
  <si>
    <t>PFC Terdu</t>
  </si>
  <si>
    <t>CSM Flacara Moreni</t>
  </si>
  <si>
    <t>Chindia Targoviste</t>
  </si>
  <si>
    <t>Como</t>
  </si>
  <si>
    <t>Paris FC</t>
  </si>
  <si>
    <t>Boulogne</t>
  </si>
  <si>
    <t>Preston North End</t>
  </si>
  <si>
    <t>Udinese</t>
  </si>
  <si>
    <t>Lommel United</t>
  </si>
  <si>
    <t>ADO Den Haag</t>
  </si>
  <si>
    <t>Wolfsburg</t>
  </si>
  <si>
    <t>Lyon</t>
  </si>
  <si>
    <t>Bournemouth</t>
  </si>
  <si>
    <t>St. Pauli</t>
  </si>
  <si>
    <t>Derby County</t>
  </si>
  <si>
    <t>Freiburg</t>
  </si>
  <si>
    <t>Sparta Prague II</t>
  </si>
  <si>
    <t>Hostoun</t>
  </si>
  <si>
    <t>SV Gloggnitz</t>
  </si>
  <si>
    <t>Rapid Wien II</t>
  </si>
  <si>
    <t>Aubagne</t>
  </si>
  <si>
    <t>Bastia</t>
  </si>
  <si>
    <t>Pisek</t>
  </si>
  <si>
    <t>Cremonese</t>
  </si>
  <si>
    <t>Giana Erminio</t>
  </si>
  <si>
    <t>NK Triglav Kranj</t>
  </si>
  <si>
    <t>Man Utd</t>
  </si>
  <si>
    <t>Gleisdorf</t>
  </si>
  <si>
    <t>Sturm Graz II</t>
  </si>
  <si>
    <t>Heracles Almelo</t>
  </si>
  <si>
    <t>S.B.V. Excelsior</t>
  </si>
  <si>
    <t>Karlstad BK</t>
  </si>
  <si>
    <t>Orebro Syrianska IF</t>
  </si>
  <si>
    <t>LAC-Inter</t>
  </si>
  <si>
    <t>Favoritner AC</t>
  </si>
  <si>
    <t>Al Ettifaq</t>
  </si>
  <si>
    <t>York City</t>
  </si>
  <si>
    <t>CF OS Belenenses</t>
  </si>
  <si>
    <t>Blau-Weiss Lohne</t>
  </si>
  <si>
    <t>Osnabruck</t>
  </si>
  <si>
    <t>Elche</t>
  </si>
  <si>
    <t>Johor Darul</t>
  </si>
  <si>
    <t>Emmen</t>
  </si>
  <si>
    <t>Javor Ivanjica</t>
  </si>
  <si>
    <t>Kufstein</t>
  </si>
  <si>
    <t>Pinzgau Saalfelden</t>
  </si>
  <si>
    <t>Roda JC</t>
  </si>
  <si>
    <t>Alemannia Aachen</t>
  </si>
  <si>
    <t>Royal Antwerp</t>
  </si>
  <si>
    <t>Olympiacos</t>
  </si>
  <si>
    <t>TuS Koblenz</t>
  </si>
  <si>
    <t>VfB Giessen</t>
  </si>
  <si>
    <t>Vanersborgs FK</t>
  </si>
  <si>
    <t>IK Kongahalla</t>
  </si>
  <si>
    <t>Osasuna</t>
  </si>
  <si>
    <t>Racing Santander</t>
  </si>
  <si>
    <t>Barcelona</t>
  </si>
  <si>
    <t>CE Europa</t>
  </si>
  <si>
    <t>CP Cacereno</t>
  </si>
  <si>
    <t>Real Jaen</t>
  </si>
  <si>
    <t>Cardiff MU</t>
  </si>
  <si>
    <t>Southampton</t>
  </si>
  <si>
    <t>Galatasaray</t>
  </si>
  <si>
    <t>SSD Monza</t>
  </si>
  <si>
    <t>Yate Town</t>
  </si>
  <si>
    <t>Felixstowe &amp; Walton United</t>
  </si>
  <si>
    <t>Blackburn Rovers U21</t>
  </si>
  <si>
    <t>Silsden AFC</t>
  </si>
  <si>
    <t>Rylands</t>
  </si>
  <si>
    <t>Bedford Town</t>
  </si>
  <si>
    <t>Real Bedford</t>
  </si>
  <si>
    <t>Enfield Town</t>
  </si>
  <si>
    <t>Worthing</t>
  </si>
  <si>
    <t>Hyde FC</t>
  </si>
  <si>
    <t>Chester</t>
  </si>
  <si>
    <t>Limavady United</t>
  </si>
  <si>
    <t>Linfield</t>
  </si>
  <si>
    <t>Mulbarton Wanderers</t>
  </si>
  <si>
    <t>Leiston</t>
  </si>
  <si>
    <t>Rushden &amp; Diamonds</t>
  </si>
  <si>
    <t>Banbury United</t>
  </si>
  <si>
    <t>Southport</t>
  </si>
  <si>
    <t>Punjab United FC</t>
  </si>
  <si>
    <t>Welling United</t>
  </si>
  <si>
    <t>24/07/2026Manly UnitedSydney Olympic</t>
  </si>
  <si>
    <t>24/07/2026Green Gully SCDandenong City</t>
  </si>
  <si>
    <t>24/07/2026Heidelberg UnitedSunshine George Cross</t>
  </si>
  <si>
    <t>24/07/2026St Albans SaintsHume City</t>
  </si>
  <si>
    <t>24/07/2026Oakleigh CannonsSouth Melbourne FC</t>
  </si>
  <si>
    <t>24/07/2026Preston LionsBentleigh Greens</t>
  </si>
  <si>
    <t>24/07/2026Gimhae CityChungbuk Cheongju</t>
  </si>
  <si>
    <t>24/07/2026Seoul E-LandCheonan City</t>
  </si>
  <si>
    <t>24/07/2026VolsungurGrindavik</t>
  </si>
  <si>
    <t>24/07/2026Cobh RamblersBray Wanderers</t>
  </si>
  <si>
    <t>24/07/2026Kerry FCFinn Harps</t>
  </si>
  <si>
    <t>24/07/2026Treaty UnitedAthlone Town</t>
  </si>
  <si>
    <t>24/07/2026UC DublinCork City</t>
  </si>
  <si>
    <t>24/07/2026St Patrick's AthleticDundalk</t>
  </si>
  <si>
    <t>24/07/2026CS 2 de MayoRubio Nu</t>
  </si>
  <si>
    <t>24/07/2026Fjolnir Haukar</t>
  </si>
  <si>
    <t>24/07/2026Gimnasia MendozaCentral Cordoba SDE</t>
  </si>
  <si>
    <t>24/07/2026Hviti RiddarinnKari</t>
  </si>
  <si>
    <t>24/07/2026Alianza AtleticoCSD Santa Rosa</t>
  </si>
  <si>
    <t>24/07/2026Deportes QuindioUniversitario Popayan</t>
  </si>
  <si>
    <t>24/07/2026Cerro PortenoSportivo Trinidense</t>
  </si>
  <si>
    <t>24/07/2026Racing AvellanedaGimnasia La Plata</t>
  </si>
  <si>
    <t>24/07/2026Velez SarsfieldInstituto de Cordoba</t>
  </si>
  <si>
    <t>24/07/2026HFX WanderersSupra du Quebec</t>
  </si>
  <si>
    <t>24/07/2026Union La CaleraEverton de Vina</t>
  </si>
  <si>
    <t xml:space="preserve"> - </t>
  </si>
  <si>
    <t>24/07/2026Nacional De FootballClub Atletico Progreso</t>
  </si>
  <si>
    <t>24/07/2026Tigres FCLeones FC</t>
  </si>
  <si>
    <t>24/07/2026New York Red Bulls IICrown Legacy</t>
  </si>
  <si>
    <t>0 - 3</t>
  </si>
  <si>
    <t>24/07/2026LlanerosDeportivo Pereira</t>
  </si>
  <si>
    <t>24/07/202600</t>
  </si>
  <si>
    <t>24/07/2026Atletico HuracanBanfield</t>
  </si>
  <si>
    <t>24/07/2026CA PlatenseUnion de Santa Fe</t>
  </si>
  <si>
    <t>24/07/2026Colo ColoDeportes Limache</t>
  </si>
  <si>
    <t>24/07/2026Deportes IquiqueDeportes Temuco</t>
  </si>
  <si>
    <t>24/07/2026Deportivo CaliJaguares de Cordoba</t>
  </si>
  <si>
    <t>24/07/2026Arabe UnidoPlaza Amador</t>
  </si>
  <si>
    <t>24/07/2026Universitario de DeportesCusco FC</t>
  </si>
  <si>
    <t>24/07/2026Vancouver LangleyCavalry FC</t>
  </si>
  <si>
    <t>Degerfors IF</t>
  </si>
  <si>
    <t>Mirassol SP</t>
  </si>
  <si>
    <t>Talleres de Cordoba</t>
  </si>
  <si>
    <t>Estudiantes de BA</t>
  </si>
  <si>
    <t>Ciudad de Bolivar</t>
  </si>
  <si>
    <t>Atletico de Rafaela</t>
  </si>
  <si>
    <t>CA Temperley</t>
  </si>
  <si>
    <t>Club Atletico Colon</t>
  </si>
  <si>
    <t>Primera B Metropolitana</t>
  </si>
  <si>
    <t>Sportivo Dock Sud</t>
  </si>
  <si>
    <t>CSD Liniers</t>
  </si>
  <si>
    <t>CA Ituzaingo</t>
  </si>
  <si>
    <t>Sportivo Italiano</t>
  </si>
  <si>
    <t>Villa Dalmine</t>
  </si>
  <si>
    <t>San Martin De Burzaco</t>
  </si>
  <si>
    <t>Club Atl√©tico Brown</t>
  </si>
  <si>
    <t>Club Comunicaciones</t>
  </si>
  <si>
    <t>Arsenal de Sarandi</t>
  </si>
  <si>
    <t>Deportivo Merlo</t>
  </si>
  <si>
    <t>CA Villa San Carlos</t>
  </si>
  <si>
    <t>Deportivo Espanol</t>
  </si>
  <si>
    <t>CA Lugano</t>
  </si>
  <si>
    <t>CA Victoriano Arenas</t>
  </si>
  <si>
    <t>JJ Urquiza</t>
  </si>
  <si>
    <t>Canuelas FC</t>
  </si>
  <si>
    <t>Deportivo Muniz</t>
  </si>
  <si>
    <t>Defensores de Belgrano VR</t>
  </si>
  <si>
    <t>Gimnasia Chivilcoy</t>
  </si>
  <si>
    <t>Costa Brava</t>
  </si>
  <si>
    <t>Deportivo Rincon</t>
  </si>
  <si>
    <t>CA Independiente Women</t>
  </si>
  <si>
    <t>Myanmar</t>
  </si>
  <si>
    <t>Malaysia</t>
  </si>
  <si>
    <t>Laos</t>
  </si>
  <si>
    <t>Thailand</t>
  </si>
  <si>
    <t>Queanbeyan City FC</t>
  </si>
  <si>
    <t>SD Raiders FC</t>
  </si>
  <si>
    <t>Spirit FC</t>
  </si>
  <si>
    <t>APIA Leichhardt Tigers</t>
  </si>
  <si>
    <t>UNSW</t>
  </si>
  <si>
    <t>St George</t>
  </si>
  <si>
    <t>Sydney U21</t>
  </si>
  <si>
    <t>St George City</t>
  </si>
  <si>
    <t>Weston Workers</t>
  </si>
  <si>
    <t>Adamstown Rosebud</t>
  </si>
  <si>
    <t>Charlestown City Blues</t>
  </si>
  <si>
    <t>Edgeworth FC</t>
  </si>
  <si>
    <t>Gold Coast United</t>
  </si>
  <si>
    <t>Croydon Kings</t>
  </si>
  <si>
    <t>White City</t>
  </si>
  <si>
    <t>Adelaide United U21</t>
  </si>
  <si>
    <t>North Eastern MetroStars</t>
  </si>
  <si>
    <t>Melbourne City Reserves</t>
  </si>
  <si>
    <t>Avondale Heights</t>
  </si>
  <si>
    <t>Perth RedStar</t>
  </si>
  <si>
    <t>Perth Azzurri</t>
  </si>
  <si>
    <t>Sorrento</t>
  </si>
  <si>
    <t>Stirling Lions</t>
  </si>
  <si>
    <t>Olympic Kingsway SC</t>
  </si>
  <si>
    <t>Port Melbourne</t>
  </si>
  <si>
    <t>Northcote City</t>
  </si>
  <si>
    <t>Manningham United</t>
  </si>
  <si>
    <t>Melbourne Knights</t>
  </si>
  <si>
    <t>Brunswick Juventus</t>
  </si>
  <si>
    <t>North Geelong Warriors</t>
  </si>
  <si>
    <t>Moreland City</t>
  </si>
  <si>
    <t xml:space="preserve">Werribee City </t>
  </si>
  <si>
    <t>Goulburn Valley Suns</t>
  </si>
  <si>
    <t>Springvale White Eagles</t>
  </si>
  <si>
    <t>Altona City</t>
  </si>
  <si>
    <t>Whittlesea United SC</t>
  </si>
  <si>
    <t>Taringa Rovers</t>
  </si>
  <si>
    <t>Pine Hills</t>
  </si>
  <si>
    <t>Grange Thistle</t>
  </si>
  <si>
    <t>Moreton City Reserves</t>
  </si>
  <si>
    <t>SWQ Thunder</t>
  </si>
  <si>
    <t>Caloundra FC</t>
  </si>
  <si>
    <t>Virginia United</t>
  </si>
  <si>
    <t>Brisbane Knights</t>
  </si>
  <si>
    <t>Adelaide Raiders</t>
  </si>
  <si>
    <t>Fulham United FC</t>
  </si>
  <si>
    <t>Modbury Jets SC</t>
  </si>
  <si>
    <t>Adelaide Victory</t>
  </si>
  <si>
    <t>The Cove FC</t>
  </si>
  <si>
    <t>Adelaide Cobras</t>
  </si>
  <si>
    <t>Adelaide Blue Eagles</t>
  </si>
  <si>
    <t>Plympton FC</t>
  </si>
  <si>
    <t>Ghan Kilburn SC</t>
  </si>
  <si>
    <t>Adelaide Titans</t>
  </si>
  <si>
    <t>Western Strikers</t>
  </si>
  <si>
    <t>Angle Vale</t>
  </si>
  <si>
    <t>Pontian Eagles</t>
  </si>
  <si>
    <t>Barossa United</t>
  </si>
  <si>
    <t>Modbury Vista</t>
  </si>
  <si>
    <t>Gawler SC</t>
  </si>
  <si>
    <t>Port Adelaide SC</t>
  </si>
  <si>
    <t>Seaford Rangers FC</t>
  </si>
  <si>
    <t>Adelaide University SC</t>
  </si>
  <si>
    <t>Vipers FC Adelaide Reserves</t>
  </si>
  <si>
    <t>Noarlunga United</t>
  </si>
  <si>
    <t>Elizabeth Grove</t>
  </si>
  <si>
    <t>Northern Demons</t>
  </si>
  <si>
    <t>Salisbury Inter</t>
  </si>
  <si>
    <t>Elizabeth Downs</t>
  </si>
  <si>
    <t>Mandurah City</t>
  </si>
  <si>
    <t>Inglewood United</t>
  </si>
  <si>
    <t>Murdoch University Melville</t>
  </si>
  <si>
    <t>Gwelup Croatia SC</t>
  </si>
  <si>
    <t>Quinns FC</t>
  </si>
  <si>
    <t>Cockburn City</t>
  </si>
  <si>
    <t>Subiaco AFC</t>
  </si>
  <si>
    <t>Floreat Athena</t>
  </si>
  <si>
    <t>UWA-Nedlands FC</t>
  </si>
  <si>
    <t>Curtin University SC</t>
  </si>
  <si>
    <t>Kingsley FC</t>
  </si>
  <si>
    <t>Joondalup City</t>
  </si>
  <si>
    <t>Mandurah City Reserves</t>
  </si>
  <si>
    <t>Inglewood United Reserves</t>
  </si>
  <si>
    <t>Murdoch University Melville Reserves</t>
  </si>
  <si>
    <t>Gwelup Croatia SC Reserves</t>
  </si>
  <si>
    <t>Quinns FC Reserves</t>
  </si>
  <si>
    <t>Subiaco AFC Reserves</t>
  </si>
  <si>
    <t>Floreat Athena Reserves</t>
  </si>
  <si>
    <t>Curtin University SC Reserves</t>
  </si>
  <si>
    <t>Kingsley FC Reserves</t>
  </si>
  <si>
    <t>Joondalup City Reserves</t>
  </si>
  <si>
    <t>New Lambton FC</t>
  </si>
  <si>
    <t>Lake Macquarie City</t>
  </si>
  <si>
    <t>Newcastle Croatia</t>
  </si>
  <si>
    <t>Singleton Strikers FC</t>
  </si>
  <si>
    <t>South Cardiff</t>
  </si>
  <si>
    <t>Dudley Redhead</t>
  </si>
  <si>
    <t>West Wallsend SC</t>
  </si>
  <si>
    <t>Toronto Awaba FC</t>
  </si>
  <si>
    <t>Wallsend FC Reserves</t>
  </si>
  <si>
    <t>Cessnock City Reserves</t>
  </si>
  <si>
    <t>West Wallsend SC Reserves</t>
  </si>
  <si>
    <t>Toronto Awaba FC Reserves</t>
  </si>
  <si>
    <t>Maitland FC Reserves</t>
  </si>
  <si>
    <t>Broadmeadow Magic Reserves</t>
  </si>
  <si>
    <t>Valentine Phoenix Reserves</t>
  </si>
  <si>
    <t>Charlestown City Blues Reserves</t>
  </si>
  <si>
    <t>Hakoah Sydney City</t>
  </si>
  <si>
    <t>Rydalmere Lions FC</t>
  </si>
  <si>
    <t>Macarthur Rams</t>
  </si>
  <si>
    <t>Hurstville ZFC</t>
  </si>
  <si>
    <t>Northern Tigers</t>
  </si>
  <si>
    <t>Blacktown Spartans</t>
  </si>
  <si>
    <t>Bankstown City Lions</t>
  </si>
  <si>
    <t>Bankstown Berries</t>
  </si>
  <si>
    <t>Dulwich Hill</t>
  </si>
  <si>
    <t>Western City Rangers</t>
  </si>
  <si>
    <t>Inter Lions</t>
  </si>
  <si>
    <t>Prospect United</t>
  </si>
  <si>
    <t>Newcastle Jets U21</t>
  </si>
  <si>
    <t>Hills Brumbies</t>
  </si>
  <si>
    <t>Bankstown United FC</t>
  </si>
  <si>
    <t>Granville Rage</t>
  </si>
  <si>
    <t>Hawkesbury City SC</t>
  </si>
  <si>
    <t>Parramatta</t>
  </si>
  <si>
    <t>South Coast Flame</t>
  </si>
  <si>
    <t>Stanmore Hawks</t>
  </si>
  <si>
    <t>Camden Tigers</t>
  </si>
  <si>
    <t>Nepean FC</t>
  </si>
  <si>
    <t>Gold Coast United Women</t>
  </si>
  <si>
    <t>Sunshine Coast Women</t>
  </si>
  <si>
    <t>Souths United NPL Women</t>
  </si>
  <si>
    <t>Gold Coast Knights Women</t>
  </si>
  <si>
    <t>Brisbane Roar NTC Women</t>
  </si>
  <si>
    <t>North West Sydney Women</t>
  </si>
  <si>
    <t>Hills Brumbies Women</t>
  </si>
  <si>
    <t>UNSW Women</t>
  </si>
  <si>
    <t>APIA Leichhardt Tigers Women</t>
  </si>
  <si>
    <t>Riverside Olympic Women</t>
  </si>
  <si>
    <t>Kingborough Lions Women</t>
  </si>
  <si>
    <t>Essendon Royals SC Women</t>
  </si>
  <si>
    <t>Melbourne Victory Reserves Women</t>
  </si>
  <si>
    <t>South Melbourne Women</t>
  </si>
  <si>
    <t>Bulleen Lions Women</t>
  </si>
  <si>
    <t>Bentleigh Greens Women</t>
  </si>
  <si>
    <t>Melbourne City Reserves Women</t>
  </si>
  <si>
    <t>Heidelberg United Women</t>
  </si>
  <si>
    <t>Avondale Heights Women</t>
  </si>
  <si>
    <t>Boroondara Eagles Women</t>
  </si>
  <si>
    <t>Spring Hills Women</t>
  </si>
  <si>
    <t>Perth RedStar Women</t>
  </si>
  <si>
    <t>Balcatta Women</t>
  </si>
  <si>
    <t>North Eastern MetroStars Women</t>
  </si>
  <si>
    <t>Flinders United Women</t>
  </si>
  <si>
    <t>Charlestown City Blues Women</t>
  </si>
  <si>
    <t>Adamstown Rosebud Women</t>
  </si>
  <si>
    <t>Newcastle Olympic Women</t>
  </si>
  <si>
    <t>Broadmeadow Magic Women</t>
  </si>
  <si>
    <t>Virginia United Women</t>
  </si>
  <si>
    <t>Moreton City Excelsior Women</t>
  </si>
  <si>
    <t>Mitchelton Women</t>
  </si>
  <si>
    <t>Logan Lightning Women</t>
  </si>
  <si>
    <t>North Lakes United Women</t>
  </si>
  <si>
    <t>Palm Beach Sharks SC Women</t>
  </si>
  <si>
    <t>Grange Thistle Women</t>
  </si>
  <si>
    <t>Caboolture FC Women</t>
  </si>
  <si>
    <t>Dandenong Thunder U23</t>
  </si>
  <si>
    <t>Altona Magic U23</t>
  </si>
  <si>
    <t>APIA Leichhardt Tigers U20</t>
  </si>
  <si>
    <t>UNSW U20</t>
  </si>
  <si>
    <t>St George U20</t>
  </si>
  <si>
    <t>Sydney FC U20</t>
  </si>
  <si>
    <t>St George City U20</t>
  </si>
  <si>
    <t>Sydney United U20</t>
  </si>
  <si>
    <t>Hakoah Sydney City East U20</t>
  </si>
  <si>
    <t>Rydalmere Lions FC U20</t>
  </si>
  <si>
    <t>Macarthur Rams U20</t>
  </si>
  <si>
    <t>Hurstville ZFC U20</t>
  </si>
  <si>
    <t>Northern Tigers U20</t>
  </si>
  <si>
    <t>Blacktown Spartans U20</t>
  </si>
  <si>
    <t>Bankstown City Lions U20</t>
  </si>
  <si>
    <t>Bankstown Berries U20</t>
  </si>
  <si>
    <t>Dulwich Hill U20</t>
  </si>
  <si>
    <t>Western City Rangers U20</t>
  </si>
  <si>
    <t>Inter Lions U20</t>
  </si>
  <si>
    <t>Prospect United U20</t>
  </si>
  <si>
    <t>Newcastle Jets U20</t>
  </si>
  <si>
    <t>Hills Brumbies U20</t>
  </si>
  <si>
    <t>SD Raiders FC U20</t>
  </si>
  <si>
    <t>Marconi Stallions U20</t>
  </si>
  <si>
    <t>Spirit FC U20</t>
  </si>
  <si>
    <t>Western Sydney Wanderers U20</t>
  </si>
  <si>
    <t>Rockdale City Suns U20</t>
  </si>
  <si>
    <t>Sutherland Sharks U20</t>
  </si>
  <si>
    <t>Wollongong Wolves U20</t>
  </si>
  <si>
    <t>Blacktown City U20</t>
  </si>
  <si>
    <t>Perth Glory U23</t>
  </si>
  <si>
    <t>Dianella White Eagle U23</t>
  </si>
  <si>
    <t>Perth RedStar U23</t>
  </si>
  <si>
    <t>Balcatta U23</t>
  </si>
  <si>
    <t>Perth SC U23</t>
  </si>
  <si>
    <t>Bayswater City U23</t>
  </si>
  <si>
    <t>Stirling Lions U23</t>
  </si>
  <si>
    <t>Armadale U23</t>
  </si>
  <si>
    <t>Western Knights U23</t>
  </si>
  <si>
    <t>Olympic Kingsway SC U23</t>
  </si>
  <si>
    <t>Gold Coast Knights U23</t>
  </si>
  <si>
    <t>Gold Coast United U23</t>
  </si>
  <si>
    <t>Belconnen United U23</t>
  </si>
  <si>
    <t>O'Connor Knights U23</t>
  </si>
  <si>
    <t>Cooma Tigers U23</t>
  </si>
  <si>
    <t>SV Wals Grunau</t>
  </si>
  <si>
    <t>Austria Salzburg</t>
  </si>
  <si>
    <t>FC Lustenau</t>
  </si>
  <si>
    <t>FC Kitzbuhel</t>
  </si>
  <si>
    <t>SR Donaufeld</t>
  </si>
  <si>
    <t>Grazer AK</t>
  </si>
  <si>
    <t>Union Dietach</t>
  </si>
  <si>
    <t>SK Bischofshofen</t>
  </si>
  <si>
    <t>Oberwart</t>
  </si>
  <si>
    <t>Red Bull Salzburg</t>
  </si>
  <si>
    <t>SC Kalsdorf</t>
  </si>
  <si>
    <t>LASK Linz</t>
  </si>
  <si>
    <t>VFB Hohenems</t>
  </si>
  <si>
    <t>WSC Hertha Wels</t>
  </si>
  <si>
    <t>Vortuna Bad Leonfelden</t>
  </si>
  <si>
    <t>Bregenz</t>
  </si>
  <si>
    <t>Parndorf</t>
  </si>
  <si>
    <t>Kremser SC</t>
  </si>
  <si>
    <t>Austria Lustenau</t>
  </si>
  <si>
    <t>Mattersburg</t>
  </si>
  <si>
    <t>First Vienna</t>
  </si>
  <si>
    <t>SK Vorwarts Steyr</t>
  </si>
  <si>
    <t>SV Kuchl</t>
  </si>
  <si>
    <t>Kapfenberger SV</t>
  </si>
  <si>
    <t>FC Smorgon</t>
  </si>
  <si>
    <t>FC Gomel Reserves</t>
  </si>
  <si>
    <t>FC Volna Pinsk</t>
  </si>
  <si>
    <t>FC Orsha</t>
  </si>
  <si>
    <t>Niva Dolbizno</t>
  </si>
  <si>
    <t>Ostrovets FC</t>
  </si>
  <si>
    <t>Soligorsk</t>
  </si>
  <si>
    <t>FC Slutsk</t>
  </si>
  <si>
    <t>Belshina Bobruisk</t>
  </si>
  <si>
    <t>FC Minsk</t>
  </si>
  <si>
    <t>Isloch</t>
  </si>
  <si>
    <t>Baranovichi</t>
  </si>
  <si>
    <t>FC Gomel</t>
  </si>
  <si>
    <t>FC Vitebsk</t>
  </si>
  <si>
    <t>Torpedo Zhodino</t>
  </si>
  <si>
    <t>Dnepr Mogilev</t>
  </si>
  <si>
    <t>Guabira</t>
  </si>
  <si>
    <t>Ferroviaria SP</t>
  </si>
  <si>
    <t>Maranhao</t>
  </si>
  <si>
    <t>Confianca SE</t>
  </si>
  <si>
    <t>Itabaiana SE</t>
  </si>
  <si>
    <t>Anapolis GO</t>
  </si>
  <si>
    <t>Nacional AM</t>
  </si>
  <si>
    <t>Portuguesa SP</t>
  </si>
  <si>
    <t>Uberlandia MG</t>
  </si>
  <si>
    <t>Democrata SL</t>
  </si>
  <si>
    <t>CA Patrocinense</t>
  </si>
  <si>
    <t>Uberaba</t>
  </si>
  <si>
    <t>Mamore MG</t>
  </si>
  <si>
    <t>Vila Real CE</t>
  </si>
  <si>
    <t>Limoeiro</t>
  </si>
  <si>
    <t>Portuguesa Londrinense</t>
  </si>
  <si>
    <t>PSTC PR</t>
  </si>
  <si>
    <t>Tupy GO</t>
  </si>
  <si>
    <t>Trindade AC</t>
  </si>
  <si>
    <t>Gremio Anapolis GO</t>
  </si>
  <si>
    <t>Morrinhos FC</t>
  </si>
  <si>
    <t>Linhares</t>
  </si>
  <si>
    <t>Primavera SP</t>
  </si>
  <si>
    <t>Oeste</t>
  </si>
  <si>
    <t>EC Sao Bernardo SP</t>
  </si>
  <si>
    <t>Mixto MT Women</t>
  </si>
  <si>
    <t>Palmeiras Women</t>
  </si>
  <si>
    <t>Minas Icesp DF Women</t>
  </si>
  <si>
    <t>Ceara Women</t>
  </si>
  <si>
    <t>Taubate SP Women</t>
  </si>
  <si>
    <t>Sport Recife Women</t>
  </si>
  <si>
    <t>UDA AL Women</t>
  </si>
  <si>
    <t>Atlanta Doce Mel EC Women</t>
  </si>
  <si>
    <t>Vila Nova ES Women</t>
  </si>
  <si>
    <t>Paysandu PA Women</t>
  </si>
  <si>
    <t>JC Futbol Clube AM Women</t>
  </si>
  <si>
    <t>Sociedade Acao Women</t>
  </si>
  <si>
    <t>Perolas Negras Women</t>
  </si>
  <si>
    <t>Canoense Al U20</t>
  </si>
  <si>
    <t>Jacyoba AC U20</t>
  </si>
  <si>
    <t>Independente Atalaia U20</t>
  </si>
  <si>
    <t>Murici U20</t>
  </si>
  <si>
    <t>Guarani Paripueira U20</t>
  </si>
  <si>
    <t>Ponte Preta AL U20</t>
  </si>
  <si>
    <t>ASA U20</t>
  </si>
  <si>
    <t>Rio Largo FC U20</t>
  </si>
  <si>
    <t>Desportiva Alianca U20</t>
  </si>
  <si>
    <t>Concordia AC U20</t>
  </si>
  <si>
    <t>Brusque FC U20</t>
  </si>
  <si>
    <t>Anjos do Ceu U20</t>
  </si>
  <si>
    <t>Pague Menos U20</t>
  </si>
  <si>
    <t>Ferroviario CE U20</t>
  </si>
  <si>
    <t>Fortaleza EC U20</t>
  </si>
  <si>
    <t>Sertaozinho SP U20</t>
  </si>
  <si>
    <t>America SP U20</t>
  </si>
  <si>
    <t>Corinthians U20</t>
  </si>
  <si>
    <t>Itapirense U20</t>
  </si>
  <si>
    <t>Novorizontino SP U20</t>
  </si>
  <si>
    <t>Santo Andre SP U20</t>
  </si>
  <si>
    <t>Botev Vratsa</t>
  </si>
  <si>
    <t>Nesebar</t>
  </si>
  <si>
    <t>Etar 1924</t>
  </si>
  <si>
    <t>Sportist Svoge</t>
  </si>
  <si>
    <t>Montana</t>
  </si>
  <si>
    <t>FC Fratria</t>
  </si>
  <si>
    <t>Marek Dupnitsa</t>
  </si>
  <si>
    <t>Lokomotiv Gorna Oryahovitsa</t>
  </si>
  <si>
    <t>Chernomorets Burgas</t>
  </si>
  <si>
    <t>Yantra Gabrovo</t>
  </si>
  <si>
    <t>Spartak Pleven</t>
  </si>
  <si>
    <t>Universidad de Concepcion</t>
  </si>
  <si>
    <t>CD Uni Catolica Santiago</t>
  </si>
  <si>
    <t>CD La Serena</t>
  </si>
  <si>
    <t>San Luis Quillota</t>
  </si>
  <si>
    <t>Deportes Santa Cruz</t>
  </si>
  <si>
    <t>Santiago Wanderers Women</t>
  </si>
  <si>
    <t>Universidad de Chile Women</t>
  </si>
  <si>
    <t>Union Espanola Guayaquil Women</t>
  </si>
  <si>
    <t>Colo Colo Women</t>
  </si>
  <si>
    <t>Universidad Catolica Women</t>
  </si>
  <si>
    <t>Palestino Women</t>
  </si>
  <si>
    <t>Tianjin Teda</t>
  </si>
  <si>
    <t>Liaoning Tieren</t>
  </si>
  <si>
    <t>Ningbo Professional</t>
  </si>
  <si>
    <t>Guandong GZ-Power FC</t>
  </si>
  <si>
    <t>Wuxi Wugou</t>
  </si>
  <si>
    <t>Hebei KungFu</t>
  </si>
  <si>
    <t>Dalian Yingbo Reserves</t>
  </si>
  <si>
    <t>Guangzhou Dandelion Alpha</t>
  </si>
  <si>
    <t>Yichun Grand Tiger</t>
  </si>
  <si>
    <t>Shandong Luneng Taishan Reserves</t>
  </si>
  <si>
    <t>Guizhou Zhicheng</t>
  </si>
  <si>
    <t>Jiangxi Liansheng FC</t>
  </si>
  <si>
    <t>Boyaca Chico</t>
  </si>
  <si>
    <t>Millonarios FC</t>
  </si>
  <si>
    <t>Atletico Bucaramanga</t>
  </si>
  <si>
    <t>Atletico Bucaramanga Women</t>
  </si>
  <si>
    <t>Llaneros Women</t>
  </si>
  <si>
    <t>Cortulua Women</t>
  </si>
  <si>
    <t>Orsomarso Women</t>
  </si>
  <si>
    <t>Junior FC Women</t>
  </si>
  <si>
    <t>Millonarios FC Women</t>
  </si>
  <si>
    <t>CS Cartagines</t>
  </si>
  <si>
    <t>Inter San Carlos</t>
  </si>
  <si>
    <t>Sporting San Jose</t>
  </si>
  <si>
    <t>LD Alajuelense</t>
  </si>
  <si>
    <t>Fastav Zlin</t>
  </si>
  <si>
    <t>Banik Ostrava</t>
  </si>
  <si>
    <t>Teplice</t>
  </si>
  <si>
    <t>Bohemians 1905</t>
  </si>
  <si>
    <t>Slovan Liberec</t>
  </si>
  <si>
    <t>MFK Karvina</t>
  </si>
  <si>
    <t>Mlada Boleslav</t>
  </si>
  <si>
    <t>Zbrojovka Brno</t>
  </si>
  <si>
    <t>Sparta Prague</t>
  </si>
  <si>
    <t>Opava</t>
  </si>
  <si>
    <t>SK Lisen</t>
  </si>
  <si>
    <t>FC Vratimov</t>
  </si>
  <si>
    <t>MFK Havirov</t>
  </si>
  <si>
    <t>TJ Tatran Bohunice</t>
  </si>
  <si>
    <t>CSK Uhersky Brod</t>
  </si>
  <si>
    <t>FK Blansko</t>
  </si>
  <si>
    <t>Velka Bites</t>
  </si>
  <si>
    <t>SFK Vrchovina</t>
  </si>
  <si>
    <t>Bridlicna</t>
  </si>
  <si>
    <t>Hlucin</t>
  </si>
  <si>
    <t>Hluk</t>
  </si>
  <si>
    <t>Brumov</t>
  </si>
  <si>
    <t>Holesov</t>
  </si>
  <si>
    <t>Slavicin</t>
  </si>
  <si>
    <t>SK Stonava</t>
  </si>
  <si>
    <t>Polanka</t>
  </si>
  <si>
    <t>Sokol Lanzhot</t>
  </si>
  <si>
    <t>Dosta Bystrc</t>
  </si>
  <si>
    <t>Sternberk</t>
  </si>
  <si>
    <t>Jiskra Rymarov</t>
  </si>
  <si>
    <t>Brondby</t>
  </si>
  <si>
    <t>Hvidovre IF</t>
  </si>
  <si>
    <t>Vendsyssel</t>
  </si>
  <si>
    <t>Esbjerg</t>
  </si>
  <si>
    <t>Kolding IF</t>
  </si>
  <si>
    <t>Fredericia</t>
  </si>
  <si>
    <t>HB Koge</t>
  </si>
  <si>
    <t>ASA Aarhus Women</t>
  </si>
  <si>
    <t>AGF Aarhus Women</t>
  </si>
  <si>
    <t>FC Midtjylland Women</t>
  </si>
  <si>
    <t>Brondby Women</t>
  </si>
  <si>
    <t>22 de Julio</t>
  </si>
  <si>
    <t>Deportivo Ibarra Women</t>
  </si>
  <si>
    <t>CSD Macara Women</t>
  </si>
  <si>
    <t>El Nacional Women</t>
  </si>
  <si>
    <t>Independiente del Valle Women</t>
  </si>
  <si>
    <t>LDU Quito Women</t>
  </si>
  <si>
    <t>Barcelona SC Women</t>
  </si>
  <si>
    <t>Quito FC Women</t>
  </si>
  <si>
    <t>Espuce Women</t>
  </si>
  <si>
    <t>Universidad Catolica del Ecuador Women</t>
  </si>
  <si>
    <t>Emelec Women</t>
  </si>
  <si>
    <t>Atletico Balboa</t>
  </si>
  <si>
    <t>Inter FA</t>
  </si>
  <si>
    <t>CD Cacahuatique</t>
  </si>
  <si>
    <t>AD Isidro Metapan</t>
  </si>
  <si>
    <t>CD Inca</t>
  </si>
  <si>
    <t>Alianza El Salvador</t>
  </si>
  <si>
    <t>Nomme Kalju II</t>
  </si>
  <si>
    <t>Estham United</t>
  </si>
  <si>
    <t>FC Kose</t>
  </si>
  <si>
    <t>Spartak Myjava Women</t>
  </si>
  <si>
    <t>Vaasa PS</t>
  </si>
  <si>
    <t>Haka</t>
  </si>
  <si>
    <t>Mikkelin Palloilijat</t>
  </si>
  <si>
    <t>Seinajoen JK II</t>
  </si>
  <si>
    <t>EIF</t>
  </si>
  <si>
    <t>PK-35 VJS</t>
  </si>
  <si>
    <t>JJK Jyvaskyla</t>
  </si>
  <si>
    <t>Salon Palloilijat</t>
  </si>
  <si>
    <t>Atlantis</t>
  </si>
  <si>
    <t>Helsingin Palloseura</t>
  </si>
  <si>
    <t>Honka</t>
  </si>
  <si>
    <t>Grankulla IFK</t>
  </si>
  <si>
    <t>Huima</t>
  </si>
  <si>
    <t>Seinajoen JK III</t>
  </si>
  <si>
    <t>Musan Salama</t>
  </si>
  <si>
    <t>EPS FC</t>
  </si>
  <si>
    <t>Jakobstads BK</t>
  </si>
  <si>
    <t>Vaasa PS II</t>
  </si>
  <si>
    <t>Reipas Lahti</t>
  </si>
  <si>
    <t>Myllykosken</t>
  </si>
  <si>
    <t>FC Kiffen</t>
  </si>
  <si>
    <t>HIFK II</t>
  </si>
  <si>
    <t>Tampere United II</t>
  </si>
  <si>
    <t>FC Lasten</t>
  </si>
  <si>
    <t>EuPa</t>
  </si>
  <si>
    <t>Littoisten Ty√∂v√§en Urheilijat</t>
  </si>
  <si>
    <t>Kumu</t>
  </si>
  <si>
    <t>Mikkelin Kissat</t>
  </si>
  <si>
    <t>Sudet Kouvola</t>
  </si>
  <si>
    <t>HaPK</t>
  </si>
  <si>
    <t>TP-49</t>
  </si>
  <si>
    <t>Ylojarvi United</t>
  </si>
  <si>
    <t>LAUTP II</t>
  </si>
  <si>
    <t>LAUTP</t>
  </si>
  <si>
    <t>Peimari United</t>
  </si>
  <si>
    <t>Salon Palloilijat II</t>
  </si>
  <si>
    <t>IFK Mariehamn II</t>
  </si>
  <si>
    <t>PiPS</t>
  </si>
  <si>
    <t>Virkia Lapua</t>
  </si>
  <si>
    <t>Saaripotku</t>
  </si>
  <si>
    <t>Aaland United Women</t>
  </si>
  <si>
    <t>VIFK Vaasa Women</t>
  </si>
  <si>
    <t>HPS Women</t>
  </si>
  <si>
    <t>Ilves Women</t>
  </si>
  <si>
    <t>IF Gnistan Women</t>
  </si>
  <si>
    <t>Kuopio PS Women</t>
  </si>
  <si>
    <t>PK-35 Vantaa Women</t>
  </si>
  <si>
    <t>HJK Helsinki Women</t>
  </si>
  <si>
    <t>Dinamo Tbilisi II</t>
  </si>
  <si>
    <t>FC Spaeri</t>
  </si>
  <si>
    <t>FC Gonio</t>
  </si>
  <si>
    <t>Meshakhte Tkibuli</t>
  </si>
  <si>
    <t>FC Iberia Tbilisi</t>
  </si>
  <si>
    <t>FC Kolkheti Poti</t>
  </si>
  <si>
    <t>Aragvi Dusheti</t>
  </si>
  <si>
    <t>FC Irao</t>
  </si>
  <si>
    <t>Dinamo Batumi</t>
  </si>
  <si>
    <t>FC Gori</t>
  </si>
  <si>
    <t>FC Sioni Bolnisi</t>
  </si>
  <si>
    <t>BFC Preussen</t>
  </si>
  <si>
    <t>RSV Eintracht 1949</t>
  </si>
  <si>
    <t>Hertha BSC II</t>
  </si>
  <si>
    <t>Chemnitzer</t>
  </si>
  <si>
    <t>Magdeburg II</t>
  </si>
  <si>
    <t>SV Tasmania Berlin</t>
  </si>
  <si>
    <t>Erzgebirge Aue</t>
  </si>
  <si>
    <t>VSG Altglienicke</t>
  </si>
  <si>
    <t>Tus Dassendorf</t>
  </si>
  <si>
    <t>Etsv Hamburg</t>
  </si>
  <si>
    <t>FC Teutonia 05</t>
  </si>
  <si>
    <t>Concordia Hamburg</t>
  </si>
  <si>
    <t>FC Suderelbe</t>
  </si>
  <si>
    <t>Altona 93</t>
  </si>
  <si>
    <t>FSV Stadeln</t>
  </si>
  <si>
    <t>ASV Neumarkt</t>
  </si>
  <si>
    <t>Bayern Hof</t>
  </si>
  <si>
    <t>Jahn Regensburg II</t>
  </si>
  <si>
    <t>TSV Nordlingen</t>
  </si>
  <si>
    <t>FC Deisenhofen</t>
  </si>
  <si>
    <t>SV Kirschanschoering</t>
  </si>
  <si>
    <t>TuS Geretsried</t>
  </si>
  <si>
    <t>San Pedro (GTM)</t>
  </si>
  <si>
    <t>Club Xelaju</t>
  </si>
  <si>
    <t>Aurora FC</t>
  </si>
  <si>
    <t>Deportivo Guastatoya</t>
  </si>
  <si>
    <t>Deportivo Malacateco</t>
  </si>
  <si>
    <t>Coban Imperial</t>
  </si>
  <si>
    <t>AFF Palin</t>
  </si>
  <si>
    <t>Deportivo Sacachispas</t>
  </si>
  <si>
    <t>San Benito</t>
  </si>
  <si>
    <t>CD Mictlan</t>
  </si>
  <si>
    <t>Quiche</t>
  </si>
  <si>
    <t>Juventud Copalera</t>
  </si>
  <si>
    <t>Kisvarda FC</t>
  </si>
  <si>
    <t>Budapest Honved</t>
  </si>
  <si>
    <t>UFC Nagykanizsa</t>
  </si>
  <si>
    <t>Diosgyor VTK</t>
  </si>
  <si>
    <t>BVSC</t>
  </si>
  <si>
    <t>Kazincbarcikai SC</t>
  </si>
  <si>
    <t>FC Ajka</t>
  </si>
  <si>
    <t>Kecskemeti TE</t>
  </si>
  <si>
    <t>MOL Fehervar</t>
  </si>
  <si>
    <t>Kozarmisleny SE</t>
  </si>
  <si>
    <t>Tiszakecske FC</t>
  </si>
  <si>
    <t>Szeged</t>
  </si>
  <si>
    <t>Nyiregyhaza Spartacus II</t>
  </si>
  <si>
    <t>Diosgyori VTK II</t>
  </si>
  <si>
    <t>Szegedi VSE</t>
  </si>
  <si>
    <t>Vasas SC II</t>
  </si>
  <si>
    <t>Zalaegerszegi TE II</t>
  </si>
  <si>
    <t>Veszprem FC</t>
  </si>
  <si>
    <t>Bicskei TC</t>
  </si>
  <si>
    <t>Puskas Academy II</t>
  </si>
  <si>
    <t>Debreceni II</t>
  </si>
  <si>
    <t>Hajdunanas</t>
  </si>
  <si>
    <t>Erdi VSE</t>
  </si>
  <si>
    <t>Budaorsi SC</t>
  </si>
  <si>
    <t>Ferencvarosi TC II</t>
  </si>
  <si>
    <t>Dunaujvaros PASE</t>
  </si>
  <si>
    <t>Godolloi SK</t>
  </si>
  <si>
    <t>Salgotarjani BTC</t>
  </si>
  <si>
    <t>Gyulai Termal</t>
  </si>
  <si>
    <t>Hodmezovasarhelyi</t>
  </si>
  <si>
    <t>III Keruleti TVE</t>
  </si>
  <si>
    <t>Csepel</t>
  </si>
  <si>
    <t>Ivancsa</t>
  </si>
  <si>
    <t>Szekszardi</t>
  </si>
  <si>
    <t>Kaposvari Rakoczi</t>
  </si>
  <si>
    <t>BFC Siofok</t>
  </si>
  <si>
    <t>Komarom VSE</t>
  </si>
  <si>
    <t>1908 Szac Budapest</t>
  </si>
  <si>
    <t>Papai Perutz</t>
  </si>
  <si>
    <t>Kiraly SZE</t>
  </si>
  <si>
    <t>Tiszaujvaros</t>
  </si>
  <si>
    <t>Ozd-Sajovolgye</t>
  </si>
  <si>
    <t>Pecsi MFC</t>
  </si>
  <si>
    <t>Dunaharaszti MTK</t>
  </si>
  <si>
    <t>KFA Austfjarda</t>
  </si>
  <si>
    <t>Throttur Vogar</t>
  </si>
  <si>
    <t>Selfoss</t>
  </si>
  <si>
    <t>Magni</t>
  </si>
  <si>
    <t>Huginn/Hottur/Leiknir</t>
  </si>
  <si>
    <t>KV Vesturbaer</t>
  </si>
  <si>
    <t>Vidir Gardur</t>
  </si>
  <si>
    <t>Sindri</t>
  </si>
  <si>
    <t>Arbaer</t>
  </si>
  <si>
    <t>UMF Tindastoll</t>
  </si>
  <si>
    <t>KF Fjallabyggd</t>
  </si>
  <si>
    <t>Reynir Sandgerdi</t>
  </si>
  <si>
    <t>Fram Reykjavik Women</t>
  </si>
  <si>
    <t>East Bengal</t>
  </si>
  <si>
    <t>Mohun Bagan AC</t>
  </si>
  <si>
    <t>Galway FC</t>
  </si>
  <si>
    <t>Waterford United</t>
  </si>
  <si>
    <t>Sligo FC</t>
  </si>
  <si>
    <t>Wexford Youths</t>
  </si>
  <si>
    <t>Bohemian Women</t>
  </si>
  <si>
    <t>Sligo Rovers Women</t>
  </si>
  <si>
    <t>Shamrock Rovers Women</t>
  </si>
  <si>
    <t>Waterford Women</t>
  </si>
  <si>
    <t>Treaty United Women</t>
  </si>
  <si>
    <t>Shelbourne Women</t>
  </si>
  <si>
    <t>Peamount United Women</t>
  </si>
  <si>
    <t>Cork City Women</t>
  </si>
  <si>
    <t>Wexford Youths Women</t>
  </si>
  <si>
    <t>Maccabi Petah Tikva</t>
  </si>
  <si>
    <t>Ironi Tiberias</t>
  </si>
  <si>
    <t>Bnei Sakhnin</t>
  </si>
  <si>
    <t>Maccabi Haifa</t>
  </si>
  <si>
    <t>Hapoel Haifa</t>
  </si>
  <si>
    <t>Maccabi Netanya</t>
  </si>
  <si>
    <t>Hapoel Katamon Jerusalem</t>
  </si>
  <si>
    <t>FC Zhetysu</t>
  </si>
  <si>
    <t>Ulytau FC</t>
  </si>
  <si>
    <t>Aktobe</t>
  </si>
  <si>
    <t>Okzhetpes</t>
  </si>
  <si>
    <t>FK Smiltene</t>
  </si>
  <si>
    <t>DSVK Tractors</t>
  </si>
  <si>
    <t>Beitar Riga Mariners</t>
  </si>
  <si>
    <t>Ventspils</t>
  </si>
  <si>
    <t>Rezeknes BJSS</t>
  </si>
  <si>
    <t>Leevon PPK</t>
  </si>
  <si>
    <t>Skanstes SK</t>
  </si>
  <si>
    <t>Al Riyadi</t>
  </si>
  <si>
    <t>FC Siauliai II</t>
  </si>
  <si>
    <t>Ekranas</t>
  </si>
  <si>
    <t>Blue Eagles</t>
  </si>
  <si>
    <t>Red Lions</t>
  </si>
  <si>
    <t>Chitipa United</t>
  </si>
  <si>
    <t>Ekhaya FC</t>
  </si>
  <si>
    <t>CIVO United</t>
  </si>
  <si>
    <t>Moyale Barracks</t>
  </si>
  <si>
    <t>Dedza Dynamos</t>
  </si>
  <si>
    <t>Big Bullets</t>
  </si>
  <si>
    <t>Guadalajara</t>
  </si>
  <si>
    <t>FC Juarez</t>
  </si>
  <si>
    <t>Santos Laguna</t>
  </si>
  <si>
    <t>Club Atlas</t>
  </si>
  <si>
    <t>Atletico San Luis</t>
  </si>
  <si>
    <t>Tlaxcala FC</t>
  </si>
  <si>
    <t>Universidad de Guadalajara</t>
  </si>
  <si>
    <t>Venados</t>
  </si>
  <si>
    <t>Alebrijes de Oaxaca</t>
  </si>
  <si>
    <t>Atletico Morelia</t>
  </si>
  <si>
    <t>CA La Paz</t>
  </si>
  <si>
    <t>Dorados de Sinaloa</t>
  </si>
  <si>
    <t>Armadillos Cancun</t>
  </si>
  <si>
    <t>Tampico Madero</t>
  </si>
  <si>
    <t>Piratas FC</t>
  </si>
  <si>
    <t>Guadalajara U21</t>
  </si>
  <si>
    <t>FC Juarez U21</t>
  </si>
  <si>
    <t>Tigres UANL U21</t>
  </si>
  <si>
    <t>Atletico San Luis U21</t>
  </si>
  <si>
    <t>Santos Laguna U21</t>
  </si>
  <si>
    <t>Club Atlas U21</t>
  </si>
  <si>
    <t>FC Zaria Balti</t>
  </si>
  <si>
    <t>Dacia-2 Buiucani</t>
  </si>
  <si>
    <t>Fencibles United</t>
  </si>
  <si>
    <t>Auckland City</t>
  </si>
  <si>
    <t>Cashmere Technical</t>
  </si>
  <si>
    <t>Miramar Rangers</t>
  </si>
  <si>
    <t>Hibiscus Coast</t>
  </si>
  <si>
    <t>Napier City Rovers</t>
  </si>
  <si>
    <t>Nelson Suburbs</t>
  </si>
  <si>
    <t>Auckland United</t>
  </si>
  <si>
    <t>Cuba U20</t>
  </si>
  <si>
    <t>El Salvador U20</t>
  </si>
  <si>
    <t>USA U20</t>
  </si>
  <si>
    <t>Haiti U20</t>
  </si>
  <si>
    <t>FC Struga Trim Lum</t>
  </si>
  <si>
    <t>Shkendija Haracine</t>
  </si>
  <si>
    <t>Bregalnica Stip</t>
  </si>
  <si>
    <t>Lyn</t>
  </si>
  <si>
    <t>Bjarg</t>
  </si>
  <si>
    <t>Pors Grenland</t>
  </si>
  <si>
    <t>Brattvag</t>
  </si>
  <si>
    <t>Mjondalen</t>
  </si>
  <si>
    <t>Arendal</t>
  </si>
  <si>
    <t>Vidar</t>
  </si>
  <si>
    <t>Eik-Tonsberg</t>
  </si>
  <si>
    <t>IL Sandviken</t>
  </si>
  <si>
    <t>Notodden</t>
  </si>
  <si>
    <t>Sotra S–ö</t>
  </si>
  <si>
    <t>Honefoss</t>
  </si>
  <si>
    <t>Skeid</t>
  </si>
  <si>
    <t xml:space="preserve">Levanger FC </t>
  </si>
  <si>
    <t>Ull Kisa</t>
  </si>
  <si>
    <t>Grorud IL</t>
  </si>
  <si>
    <t>Stjordals-Blink</t>
  </si>
  <si>
    <t>Junkeren</t>
  </si>
  <si>
    <t>Lorenskog</t>
  </si>
  <si>
    <t>Tromsdalen</t>
  </si>
  <si>
    <t>Follo</t>
  </si>
  <si>
    <t>Grei</t>
  </si>
  <si>
    <t>Konnerud</t>
  </si>
  <si>
    <t>Nordstrand</t>
  </si>
  <si>
    <t>Gamle Oslo</t>
  </si>
  <si>
    <t>Ullern</t>
  </si>
  <si>
    <t>Heming</t>
  </si>
  <si>
    <t>Baerum</t>
  </si>
  <si>
    <t>Valerenga II</t>
  </si>
  <si>
    <t>Aalesunds II</t>
  </si>
  <si>
    <t>Orkla</t>
  </si>
  <si>
    <t>Molde II</t>
  </si>
  <si>
    <t>Byasen</t>
  </si>
  <si>
    <t>Spjelkavik</t>
  </si>
  <si>
    <t>Nardo</t>
  </si>
  <si>
    <t>Melhus</t>
  </si>
  <si>
    <t>Herd</t>
  </si>
  <si>
    <t>Forde</t>
  </si>
  <si>
    <t>Austevoll</t>
  </si>
  <si>
    <t>Fana</t>
  </si>
  <si>
    <t>Djerv 1919</t>
  </si>
  <si>
    <t>Stord</t>
  </si>
  <si>
    <t>Askoy FK</t>
  </si>
  <si>
    <t>Hinna FK</t>
  </si>
  <si>
    <t>Vindbjart</t>
  </si>
  <si>
    <t>Madla</t>
  </si>
  <si>
    <t>Flekkeroy</t>
  </si>
  <si>
    <t>Mandalskameratene</t>
  </si>
  <si>
    <t>Staal Jorpeland</t>
  </si>
  <si>
    <t>Stabaek II</t>
  </si>
  <si>
    <t>Viking II</t>
  </si>
  <si>
    <t>Harstad</t>
  </si>
  <si>
    <t>Fauske/Sprint</t>
  </si>
  <si>
    <t>Finnsnes</t>
  </si>
  <si>
    <t>Stromsgodset II</t>
  </si>
  <si>
    <t>Skjerv√∂y</t>
  </si>
  <si>
    <t>Alta</t>
  </si>
  <si>
    <t>Tromso II</t>
  </si>
  <si>
    <t>IL Ulfstind</t>
  </si>
  <si>
    <t>Floya</t>
  </si>
  <si>
    <t>Lillestrom II</t>
  </si>
  <si>
    <t>Drobak/Frogn</t>
  </si>
  <si>
    <t>Brumunddal</t>
  </si>
  <si>
    <t>Bjorkelangen</t>
  </si>
  <si>
    <t>Fram</t>
  </si>
  <si>
    <t>Elverum</t>
  </si>
  <si>
    <t>Sandefjord II</t>
  </si>
  <si>
    <t>Gjovik-Lyn</t>
  </si>
  <si>
    <t>Rade</t>
  </si>
  <si>
    <t>Raelingen</t>
  </si>
  <si>
    <t>Lillehammer</t>
  </si>
  <si>
    <t>Union Deportivo Universitario</t>
  </si>
  <si>
    <t>CD Recoleta</t>
  </si>
  <si>
    <t>Club Sportivo Ameliano</t>
  </si>
  <si>
    <t>Club Nacional</t>
  </si>
  <si>
    <t>Sol de America</t>
  </si>
  <si>
    <t>Club Sportivo Ameliano Women</t>
  </si>
  <si>
    <t>Libertad Limpeno Women</t>
  </si>
  <si>
    <t>National Humaita Women</t>
  </si>
  <si>
    <t>Juan Pablo II</t>
  </si>
  <si>
    <t>FBC Melgar</t>
  </si>
  <si>
    <t>Carlos Mannucci</t>
  </si>
  <si>
    <t>Universidad Cesar Vallejo</t>
  </si>
  <si>
    <t>Union Comercio</t>
  </si>
  <si>
    <t>Killas Women</t>
  </si>
  <si>
    <t>Alianza Lima Women</t>
  </si>
  <si>
    <t>Defensores Del Ilucan Women</t>
  </si>
  <si>
    <t>UNSAAC Women</t>
  </si>
  <si>
    <t>Jagiellonia Bialystok</t>
  </si>
  <si>
    <t>Korona Kielce</t>
  </si>
  <si>
    <t>Slask Wroclaw</t>
  </si>
  <si>
    <t>Cracovia</t>
  </si>
  <si>
    <t>Lechia Gdansk</t>
  </si>
  <si>
    <t>Pogon Grodzisk Mazowiecki</t>
  </si>
  <si>
    <t>Pogon Siedlce</t>
  </si>
  <si>
    <t>LKS Lodz</t>
  </si>
  <si>
    <t>Stal Rzeszow</t>
  </si>
  <si>
    <t>Chrobry Glogow</t>
  </si>
  <si>
    <t>NKP Podhale</t>
  </si>
  <si>
    <t>Slask Wroclaw II</t>
  </si>
  <si>
    <t>Legia II</t>
  </si>
  <si>
    <t>Stal Stalowa Wola</t>
  </si>
  <si>
    <t>OKS Swit Skolwin</t>
  </si>
  <si>
    <t>Gornik Leczna</t>
  </si>
  <si>
    <t>Zawisza Bydgoszcz</t>
  </si>
  <si>
    <t>Sokol Kleczew</t>
  </si>
  <si>
    <t>Sandecja Nowy Sacz</t>
  </si>
  <si>
    <t>Hutnik Nowa Huta</t>
  </si>
  <si>
    <t>UKP Zielona Gora</t>
  </si>
  <si>
    <t>Rekord Bielsko Biala</t>
  </si>
  <si>
    <t>Farul Constanta</t>
  </si>
  <si>
    <t>Dinamo Bucuresti</t>
  </si>
  <si>
    <t>Volga Ulyanovsk</t>
  </si>
  <si>
    <t>Neftekhimik Nizhnekamsk</t>
  </si>
  <si>
    <t>Chelyabinsk</t>
  </si>
  <si>
    <t>Pari Nizhny Novgorod</t>
  </si>
  <si>
    <t>Tekstilshik Ivanovo</t>
  </si>
  <si>
    <t>Spartak Kostroma</t>
  </si>
  <si>
    <t>FK Torpedo Miass</t>
  </si>
  <si>
    <t>Zenit St Petersburg II</t>
  </si>
  <si>
    <t>Dynamo Stavropol</t>
  </si>
  <si>
    <t>Irtysh Omsk</t>
  </si>
  <si>
    <t>Rodina II</t>
  </si>
  <si>
    <t>Dynamo-Vladivostok</t>
  </si>
  <si>
    <t>Dinamo Moscow II</t>
  </si>
  <si>
    <t>Tyumen</t>
  </si>
  <si>
    <t>Angusht Nazran</t>
  </si>
  <si>
    <t>Kyzyltash</t>
  </si>
  <si>
    <t>Astrakhan</t>
  </si>
  <si>
    <t>Chayka Peschanokopskoye II</t>
  </si>
  <si>
    <t>Pobeda Khasavyurt</t>
  </si>
  <si>
    <t>Shakhtar Taganrog</t>
  </si>
  <si>
    <t>Spartak Nalchik</t>
  </si>
  <si>
    <t>Rubin Yalta</t>
  </si>
  <si>
    <t>Druzhba Maikop</t>
  </si>
  <si>
    <t>FC Sevastopol</t>
  </si>
  <si>
    <t>FC Nart Cherkessk</t>
  </si>
  <si>
    <t>PSK Dinskaya</t>
  </si>
  <si>
    <t>Dynamo St Petersburg</t>
  </si>
  <si>
    <t>FC Murom</t>
  </si>
  <si>
    <t>Avangard Kursk</t>
  </si>
  <si>
    <t>Energiya Khabarovsk U21</t>
  </si>
  <si>
    <t>Rodina III</t>
  </si>
  <si>
    <t>Salyut Belgorod</t>
  </si>
  <si>
    <t>Kvant Obninsk</t>
  </si>
  <si>
    <t>Metallurg Lipetsk</t>
  </si>
  <si>
    <t>Shumbrat Saransk</t>
  </si>
  <si>
    <t>Spartak Tambov</t>
  </si>
  <si>
    <t>Orel</t>
  </si>
  <si>
    <t>Saturn Ramenskoye</t>
  </si>
  <si>
    <t>Strogino</t>
  </si>
  <si>
    <t>Volna Kovernino</t>
  </si>
  <si>
    <t>Rotor Volgograd II</t>
  </si>
  <si>
    <t>Zenit Penza</t>
  </si>
  <si>
    <t>Dynamo Moscow Women</t>
  </si>
  <si>
    <t>YM Spartak Moscow Women</t>
  </si>
  <si>
    <t>Zenit St Petersburg Women</t>
  </si>
  <si>
    <t>Zvezda 2005 Perm Women</t>
  </si>
  <si>
    <t>Kubanochka Krasnodar Women</t>
  </si>
  <si>
    <t>Lokomotiv Moscow Women</t>
  </si>
  <si>
    <t>Airdrieonians</t>
  </si>
  <si>
    <t>Stirling Albion</t>
  </si>
  <si>
    <t>Ayr United</t>
  </si>
  <si>
    <t>Dumbarton</t>
  </si>
  <si>
    <t>Brechin City</t>
  </si>
  <si>
    <t>Greenock Morton</t>
  </si>
  <si>
    <t>Elgin City</t>
  </si>
  <si>
    <t>Queen's Park</t>
  </si>
  <si>
    <t>Radnicki Nis</t>
  </si>
  <si>
    <t>Cukaricki</t>
  </si>
  <si>
    <t>IMT Novi Belgrade</t>
  </si>
  <si>
    <t>FK Zemun</t>
  </si>
  <si>
    <t>OFK Belgrade</t>
  </si>
  <si>
    <t>Radnik Surdulica</t>
  </si>
  <si>
    <t>AS Trencin</t>
  </si>
  <si>
    <t>KFC Komarno</t>
  </si>
  <si>
    <t>MFK Skalica</t>
  </si>
  <si>
    <t>Sport Podbrezova</t>
  </si>
  <si>
    <t>MFK Zemplin Michalovce</t>
  </si>
  <si>
    <t>SK Futura Humenne</t>
  </si>
  <si>
    <t>FC Tatran Presov</t>
  </si>
  <si>
    <t>FO Bytca</t>
  </si>
  <si>
    <t>Tatran Liptovsky Mikulas</t>
  </si>
  <si>
    <t>OFK Banik Lehota</t>
  </si>
  <si>
    <t>FK Pohronie</t>
  </si>
  <si>
    <t>Povazska Bystrica</t>
  </si>
  <si>
    <t>Inter Bratislava</t>
  </si>
  <si>
    <t>Slovan Galanta</t>
  </si>
  <si>
    <t>Lokomotiva Zvolen</t>
  </si>
  <si>
    <t>NS Mura</t>
  </si>
  <si>
    <t>NK Olimpija Ljubljana</t>
  </si>
  <si>
    <t>NK Maribor</t>
  </si>
  <si>
    <t>NK Brinje Grosuplje</t>
  </si>
  <si>
    <t>Busan IPark</t>
  </si>
  <si>
    <t>Suwon Samsung Bluewings</t>
  </si>
  <si>
    <t>Daegu</t>
  </si>
  <si>
    <t>Hwaseong</t>
  </si>
  <si>
    <t>Ansan Police</t>
  </si>
  <si>
    <t>Gyeongnam</t>
  </si>
  <si>
    <t>Gyeongju KHNP</t>
  </si>
  <si>
    <t>Siheung Citizen</t>
  </si>
  <si>
    <t>Pocheon</t>
  </si>
  <si>
    <t>Daejeon Korail</t>
  </si>
  <si>
    <t>Dangjin Citizen</t>
  </si>
  <si>
    <t>Mokpo City</t>
  </si>
  <si>
    <t>Gangneung City</t>
  </si>
  <si>
    <t>Yeoju Citizen</t>
  </si>
  <si>
    <t>GAIS Goteborg U19</t>
  </si>
  <si>
    <t>Mjallby U19</t>
  </si>
  <si>
    <t>Orebro U19</t>
  </si>
  <si>
    <t>Djurgardens U19</t>
  </si>
  <si>
    <t>Halmstads U19</t>
  </si>
  <si>
    <t>IK Sirius U19</t>
  </si>
  <si>
    <t>Norrkoping Women</t>
  </si>
  <si>
    <t>Hammarby Women</t>
  </si>
  <si>
    <t>Elfsborg Women</t>
  </si>
  <si>
    <t>Umea IK Women</t>
  </si>
  <si>
    <t>Husqvarna FF Women</t>
  </si>
  <si>
    <t>IFK Goteborg Women</t>
  </si>
  <si>
    <t>Sandvikens IF Women</t>
  </si>
  <si>
    <t>Holmalund Women</t>
  </si>
  <si>
    <t>Enskede IK Women</t>
  </si>
  <si>
    <t>Goteborg 2 Women</t>
  </si>
  <si>
    <t>IFK Trelleborg Women</t>
  </si>
  <si>
    <t>Linkopings Women</t>
  </si>
  <si>
    <t>Gamla Upsala SK Women</t>
  </si>
  <si>
    <t>KIF Orebro Women</t>
  </si>
  <si>
    <t>Orebro SK Women</t>
  </si>
  <si>
    <t>Jitex BK Women</t>
  </si>
  <si>
    <t>Lausanne Sport</t>
  </si>
  <si>
    <t>Grasshoppers</t>
  </si>
  <si>
    <t>Servette</t>
  </si>
  <si>
    <t>Basel</t>
  </si>
  <si>
    <t>Luzern</t>
  </si>
  <si>
    <t>Agrobiznes Volochysk</t>
  </si>
  <si>
    <t>SC Poltava</t>
  </si>
  <si>
    <t>FC Lokomotiv Kiev</t>
  </si>
  <si>
    <t>FC Chernigiv</t>
  </si>
  <si>
    <t>MFC Zhytomyr II</t>
  </si>
  <si>
    <t>UCSA</t>
  </si>
  <si>
    <t>Cerro Largo</t>
  </si>
  <si>
    <t>CA Cerro</t>
  </si>
  <si>
    <t>CA Juventud</t>
  </si>
  <si>
    <t>Colon Montevideo</t>
  </si>
  <si>
    <t>Tacuarembo</t>
  </si>
  <si>
    <t>Plaza Colonia</t>
  </si>
  <si>
    <t>CA Rentistas</t>
  </si>
  <si>
    <t>CA River Plate</t>
  </si>
  <si>
    <t>Birmingham Legion</t>
  </si>
  <si>
    <t>New Mexico</t>
  </si>
  <si>
    <t>Las Vegas Lights</t>
  </si>
  <si>
    <t>Loudoun United</t>
  </si>
  <si>
    <t>Rhode Island</t>
  </si>
  <si>
    <t>Tulsa Roughnecks</t>
  </si>
  <si>
    <t>El Paso Locomotive</t>
  </si>
  <si>
    <t>Sporting Jacksonville</t>
  </si>
  <si>
    <t>Monterey Bay</t>
  </si>
  <si>
    <t>Orange County Blues</t>
  </si>
  <si>
    <t>Sacramento Republic</t>
  </si>
  <si>
    <t>Richmond Kickers</t>
  </si>
  <si>
    <t>Chattanooga Red Wolves FC</t>
  </si>
  <si>
    <t>One Knoxville SC</t>
  </si>
  <si>
    <t>Forward Madison</t>
  </si>
  <si>
    <t>FC Naples</t>
  </si>
  <si>
    <t>AC Boise</t>
  </si>
  <si>
    <t>South Georgia Tormenta FC</t>
  </si>
  <si>
    <t>Corpus Christi FC</t>
  </si>
  <si>
    <t>Greenville Triumph</t>
  </si>
  <si>
    <t>Fort Wayne</t>
  </si>
  <si>
    <t>AV Alta</t>
  </si>
  <si>
    <t>L.A Galaxy II</t>
  </si>
  <si>
    <t>El Farolito</t>
  </si>
  <si>
    <t>Ambassadors FC Ohio</t>
  </si>
  <si>
    <t>Bristol Rhythm</t>
  </si>
  <si>
    <t>New Haven United</t>
  </si>
  <si>
    <t>Boston Legacy Women</t>
  </si>
  <si>
    <t>Kansas City Women</t>
  </si>
  <si>
    <t>North Carolina Women</t>
  </si>
  <si>
    <t>Utah Royals Women</t>
  </si>
  <si>
    <t>FK FarDU</t>
  </si>
  <si>
    <t>Lochin FK</t>
  </si>
  <si>
    <t>Respublika FA</t>
  </si>
  <si>
    <t>FC Jayxun</t>
  </si>
  <si>
    <t>Kattaqorgon</t>
  </si>
  <si>
    <t>Turon Yaypan</t>
  </si>
  <si>
    <t>Academia Puerto Cabello II</t>
  </si>
  <si>
    <t>Barquisimeto</t>
  </si>
  <si>
    <t>Real Frontera FC</t>
  </si>
  <si>
    <t>Urena</t>
  </si>
  <si>
    <t>Yaracuyanos</t>
  </si>
  <si>
    <t>Atletico El Vigia</t>
  </si>
  <si>
    <t>Deportivo Lara</t>
  </si>
  <si>
    <t>CA Barinas</t>
  </si>
  <si>
    <t xml:space="preserve">Matsumoto Yamaga </t>
  </si>
  <si>
    <t>Ventforet Kofu</t>
  </si>
  <si>
    <t>NK Radnik-Krizevci</t>
  </si>
  <si>
    <t>NK Jarun</t>
  </si>
  <si>
    <t>SD Huesca</t>
  </si>
  <si>
    <t>SK Aritma Praha</t>
  </si>
  <si>
    <t>Benatky Nad Jizerou</t>
  </si>
  <si>
    <t>Hradec Kralove II</t>
  </si>
  <si>
    <t>FC Hlinsko</t>
  </si>
  <si>
    <t>Usti Nad Orlici</t>
  </si>
  <si>
    <t>CE Sabadell</t>
  </si>
  <si>
    <t>FK Jedinstvo Stara Pazova</t>
  </si>
  <si>
    <t>Veternik</t>
  </si>
  <si>
    <t>Alaves</t>
  </si>
  <si>
    <t>Chainat Hornbill</t>
  </si>
  <si>
    <t>Lopburi City</t>
  </si>
  <si>
    <t>FC Langenthal</t>
  </si>
  <si>
    <t>FC Rotkreuz</t>
  </si>
  <si>
    <t>Kaiserslautern</t>
  </si>
  <si>
    <t>FC Sudtirol</t>
  </si>
  <si>
    <t>KV Kortrijk</t>
  </si>
  <si>
    <t>Royal Knokke</t>
  </si>
  <si>
    <t>Luton Town</t>
  </si>
  <si>
    <t>Real Oviedo B</t>
  </si>
  <si>
    <t>Real Aviles</t>
  </si>
  <si>
    <t>Fleury Merogis</t>
  </si>
  <si>
    <t>RB Leipzig</t>
  </si>
  <si>
    <t>Ingolstadt</t>
  </si>
  <si>
    <t>Annecy</t>
  </si>
  <si>
    <t>Brighton</t>
  </si>
  <si>
    <t>Lens</t>
  </si>
  <si>
    <t>Royal Charleroi SC</t>
  </si>
  <si>
    <t>SC Bruhl</t>
  </si>
  <si>
    <t>Dietikon</t>
  </si>
  <si>
    <t>Arlanda</t>
  </si>
  <si>
    <t>IFK Haninge/Brandbergen</t>
  </si>
  <si>
    <t>Dynamo Dresden</t>
  </si>
  <si>
    <t>Energie Cottbus</t>
  </si>
  <si>
    <t>Fortuna Dusseldorf</t>
  </si>
  <si>
    <t>Borussia Dortmund</t>
  </si>
  <si>
    <t>Doncaster Rovers</t>
  </si>
  <si>
    <t>Hassleholms IF</t>
  </si>
  <si>
    <t>BK Olympic</t>
  </si>
  <si>
    <t>Oskarshamn AIK</t>
  </si>
  <si>
    <t>Gute</t>
  </si>
  <si>
    <t>Cardiff City U21</t>
  </si>
  <si>
    <t>TSV Steinbach</t>
  </si>
  <si>
    <t>Sportfreunde Siegen</t>
  </si>
  <si>
    <t>Gateshead</t>
  </si>
  <si>
    <t>Newcastle</t>
  </si>
  <si>
    <t>Hamburg</t>
  </si>
  <si>
    <t>Augsburg</t>
  </si>
  <si>
    <t>FC Saarbrucken</t>
  </si>
  <si>
    <t>Brightlingsea Regent</t>
  </si>
  <si>
    <t>Aveley</t>
  </si>
  <si>
    <t>Coleshill Town</t>
  </si>
  <si>
    <t>RC Warwick</t>
  </si>
  <si>
    <t>CD Tondela</t>
  </si>
  <si>
    <t>Hanwell Town</t>
  </si>
  <si>
    <t>Fortuna Sittard</t>
  </si>
  <si>
    <t>NEC Nijmegen</t>
  </si>
  <si>
    <t>SV Elversberg</t>
  </si>
  <si>
    <t>Quorn</t>
  </si>
  <si>
    <t>Harborough Town</t>
  </si>
  <si>
    <t>Cercle Brugge</t>
  </si>
  <si>
    <t>Rot Weiss Essen</t>
  </si>
  <si>
    <t>Borussia Monchengladbach</t>
  </si>
  <si>
    <t>SC Paderborn 07</t>
  </si>
  <si>
    <t>Magdeburg</t>
  </si>
  <si>
    <t>Scarborough Athletic</t>
  </si>
  <si>
    <t>Barnsley</t>
  </si>
  <si>
    <t>SV Darmstadt 98</t>
  </si>
  <si>
    <t>Stuttgarter Kickers</t>
  </si>
  <si>
    <t>Jahn Regensburg</t>
  </si>
  <si>
    <t>Bristol City</t>
  </si>
  <si>
    <t>Willem II</t>
  </si>
  <si>
    <t>KV Mechelen</t>
  </si>
  <si>
    <t>SV Zulte Waregem</t>
  </si>
  <si>
    <t>Sparta Rotterdam</t>
  </si>
  <si>
    <t>Creteil</t>
  </si>
  <si>
    <t>Arminia Bielefeld</t>
  </si>
  <si>
    <t>Cleethorpes Town</t>
  </si>
  <si>
    <t>Grimsby Borough</t>
  </si>
  <si>
    <t>De Graafschap</t>
  </si>
  <si>
    <t>FSV Hollenbach</t>
  </si>
  <si>
    <t>Hereford United</t>
  </si>
  <si>
    <t>Solihull Moors</t>
  </si>
  <si>
    <t>Kickers Offenbach</t>
  </si>
  <si>
    <t>Bayer Leverkusen</t>
  </si>
  <si>
    <t>Mainz</t>
  </si>
  <si>
    <t>Holstein Kiel</t>
  </si>
  <si>
    <t>Meppen</t>
  </si>
  <si>
    <t>Schalke 04 II</t>
  </si>
  <si>
    <t>AC Ospitaletto</t>
  </si>
  <si>
    <t>Stuttgart II</t>
  </si>
  <si>
    <t>SSV Ulm 1846</t>
  </si>
  <si>
    <t>Watford</t>
  </si>
  <si>
    <t>Hansa Rostock</t>
  </si>
  <si>
    <t>Greuther Furth</t>
  </si>
  <si>
    <t>Hoffenheim</t>
  </si>
  <si>
    <t>Haverfordwest County</t>
  </si>
  <si>
    <t>Llanelli</t>
  </si>
  <si>
    <t>Wehen Wiesbaden</t>
  </si>
  <si>
    <t>Bayern Munich</t>
  </si>
  <si>
    <t>AFC Fylde</t>
  </si>
  <si>
    <t>Wigan</t>
  </si>
  <si>
    <t>Charlton Athletic</t>
  </si>
  <si>
    <t>AmaZulu</t>
  </si>
  <si>
    <t>Midlands Wanderers</t>
  </si>
  <si>
    <t>Barnet</t>
  </si>
  <si>
    <t>Blackpool</t>
  </si>
  <si>
    <t>Barry Town</t>
  </si>
  <si>
    <t>Gloucester City</t>
  </si>
  <si>
    <t>Bishops Cleeve</t>
  </si>
  <si>
    <t>Chippenham Town</t>
  </si>
  <si>
    <t>Blyth Spartans</t>
  </si>
  <si>
    <t>Stockton Town</t>
  </si>
  <si>
    <t>Iraklis Thermaikou</t>
  </si>
  <si>
    <t>Everton</t>
  </si>
  <si>
    <t>Boston United</t>
  </si>
  <si>
    <t>Bristol City U21</t>
  </si>
  <si>
    <t>Bromley</t>
  </si>
  <si>
    <t>Crystal Palace</t>
  </si>
  <si>
    <t>Trefelin BGC</t>
  </si>
  <si>
    <t>Bury Town</t>
  </si>
  <si>
    <t>Cambridge City</t>
  </si>
  <si>
    <t>Canvey Island</t>
  </si>
  <si>
    <t>Celtic</t>
  </si>
  <si>
    <t>AC Milan</t>
  </si>
  <si>
    <t>Chelmsford City</t>
  </si>
  <si>
    <t>Witham Town</t>
  </si>
  <si>
    <t>Waltham Abbey</t>
  </si>
  <si>
    <t>Chichester City</t>
  </si>
  <si>
    <t>Aylesbury United</t>
  </si>
  <si>
    <t>Accrington Stanley</t>
  </si>
  <si>
    <t>Whyteleafe</t>
  </si>
  <si>
    <t>Curzon Ashton</t>
  </si>
  <si>
    <t>Clitheroe</t>
  </si>
  <si>
    <t>Buxton</t>
  </si>
  <si>
    <t>Dundela</t>
  </si>
  <si>
    <t>Bangor FC</t>
  </si>
  <si>
    <t>Eastbourne Borough</t>
  </si>
  <si>
    <t>Eastbourne Town</t>
  </si>
  <si>
    <t>Crawley Town</t>
  </si>
  <si>
    <t>Faversham Town</t>
  </si>
  <si>
    <t>Cardiff City</t>
  </si>
  <si>
    <t>Frome Town</t>
  </si>
  <si>
    <t>Salisbury City</t>
  </si>
  <si>
    <t>Halesowen Town</t>
  </si>
  <si>
    <t>Tamworth</t>
  </si>
  <si>
    <t>Grimsby Town</t>
  </si>
  <si>
    <t>Anstey Nomads</t>
  </si>
  <si>
    <t>Kettering Town</t>
  </si>
  <si>
    <t>Ashford Town</t>
  </si>
  <si>
    <t>Lewes</t>
  </si>
  <si>
    <t>Lower Breck</t>
  </si>
  <si>
    <t>Avro FC</t>
  </si>
  <si>
    <t>Maidstone United</t>
  </si>
  <si>
    <t>Ashford United</t>
  </si>
  <si>
    <t>Morecambe</t>
  </si>
  <si>
    <t>Bury</t>
  </si>
  <si>
    <t>Mossley</t>
  </si>
  <si>
    <t>Newport Pagnell Town</t>
  </si>
  <si>
    <t>Oxford City</t>
  </si>
  <si>
    <t>Nurnberg</t>
  </si>
  <si>
    <t>Redditch United</t>
  </si>
  <si>
    <t>Loughborough University</t>
  </si>
  <si>
    <t xml:space="preserve">Rochdale AFC </t>
  </si>
  <si>
    <t>Royston Town</t>
  </si>
  <si>
    <t>Runcorn Linnets</t>
  </si>
  <si>
    <t>Ashton United</t>
  </si>
  <si>
    <t>Salford City</t>
  </si>
  <si>
    <t>Shifnal Town</t>
  </si>
  <si>
    <t>Rushall Olympic</t>
  </si>
  <si>
    <t>Sholing</t>
  </si>
  <si>
    <t>Folkestone Invicta</t>
  </si>
  <si>
    <t>West Bromwich Albion</t>
  </si>
  <si>
    <t>IFK Stocksund</t>
  </si>
  <si>
    <t>Spalding United</t>
  </si>
  <si>
    <t>Bishop's Stortford</t>
  </si>
  <si>
    <t>Stalybridge Celtic</t>
  </si>
  <si>
    <t>Bourne Town</t>
  </si>
  <si>
    <t>Steyning Town</t>
  </si>
  <si>
    <t>Whitehawk</t>
  </si>
  <si>
    <t>Stourbridge</t>
  </si>
  <si>
    <t>Malvern Town</t>
  </si>
  <si>
    <t>Troyes</t>
  </si>
  <si>
    <t>Grenoble</t>
  </si>
  <si>
    <t>Truro City</t>
  </si>
  <si>
    <t>Exeter</t>
  </si>
  <si>
    <t>Wimborne Town</t>
  </si>
  <si>
    <t>Wingate &amp; Finchley</t>
  </si>
  <si>
    <t>Reading</t>
  </si>
  <si>
    <t>Worksop Town</t>
  </si>
  <si>
    <t>AC Cesena</t>
  </si>
  <si>
    <t>Carpi FC</t>
  </si>
  <si>
    <t>Borac Cacak</t>
  </si>
  <si>
    <t>FK Graficar Beograd</t>
  </si>
  <si>
    <t>FC Rouen 1899</t>
  </si>
  <si>
    <t>Caen</t>
  </si>
  <si>
    <t>FK Bor 1919</t>
  </si>
  <si>
    <t>Genoa</t>
  </si>
  <si>
    <t>Vicenza Calcio</t>
  </si>
  <si>
    <t>Lorient</t>
  </si>
  <si>
    <t>Royal Union Saint-Gilloise</t>
  </si>
  <si>
    <t>Lille</t>
  </si>
  <si>
    <t>Cittadella</t>
  </si>
  <si>
    <t>Portsmouth</t>
  </si>
  <si>
    <t>1922 Konyaspor</t>
  </si>
  <si>
    <t>Hull City</t>
  </si>
  <si>
    <t>Torku Konyaspor</t>
  </si>
  <si>
    <t>Folgore Caratese</t>
  </si>
  <si>
    <t>Dolomiti Bellunesi</t>
  </si>
  <si>
    <t>A.C. Trento</t>
  </si>
  <si>
    <t>Empoli</t>
  </si>
  <si>
    <t>Virtus Entella</t>
  </si>
  <si>
    <t>FC Solothurn</t>
  </si>
  <si>
    <t>Luzern II</t>
  </si>
  <si>
    <t>FK Otrant Ulcinj</t>
  </si>
  <si>
    <t>KF Vllaznia</t>
  </si>
  <si>
    <t>FK Radnicki Valjevo</t>
  </si>
  <si>
    <t>FK Sloboda Donji Tovarnik</t>
  </si>
  <si>
    <t>Spartak Subotica</t>
  </si>
  <si>
    <t>FK Vrsac</t>
  </si>
  <si>
    <t>Le Havre</t>
  </si>
  <si>
    <t>Red Star FC</t>
  </si>
  <si>
    <t>Napredak Krusevac</t>
  </si>
  <si>
    <t>NK Lokomotiva</t>
  </si>
  <si>
    <t>NK Solin</t>
  </si>
  <si>
    <t>NK Posusje</t>
  </si>
  <si>
    <t>Marseille</t>
  </si>
  <si>
    <t>Nice</t>
  </si>
  <si>
    <t>Orleans</t>
  </si>
  <si>
    <t>Auxerre</t>
  </si>
  <si>
    <t>PSV Eindhoven</t>
  </si>
  <si>
    <t>Villarreal C</t>
  </si>
  <si>
    <t>Villarreal</t>
  </si>
  <si>
    <t>Rennes</t>
  </si>
  <si>
    <t>Club Brugge</t>
  </si>
  <si>
    <t>Sloboda Tuzla</t>
  </si>
  <si>
    <t>FK Zvijezda 09</t>
  </si>
  <si>
    <t>Real Sociedad</t>
  </si>
  <si>
    <t>Burgos</t>
  </si>
  <si>
    <t>Athletic Bilbao B</t>
  </si>
  <si>
    <t>Dren Vrhnika</t>
  </si>
  <si>
    <t>Arsenal Tivat</t>
  </si>
  <si>
    <t>Leotar Trebinje</t>
  </si>
  <si>
    <t>SD Eibar</t>
  </si>
  <si>
    <t>CD Lugo</t>
  </si>
  <si>
    <t>Celta de Vigo B</t>
  </si>
  <si>
    <t>Celta Vigo</t>
  </si>
  <si>
    <t>Sporting Gijon</t>
  </si>
  <si>
    <t>Malaga</t>
  </si>
  <si>
    <t>Mallorca</t>
  </si>
  <si>
    <t>Al Fateh</t>
  </si>
  <si>
    <t>Real Murcia</t>
  </si>
  <si>
    <t>Port Vale</t>
  </si>
  <si>
    <t>Real Valladolid</t>
  </si>
  <si>
    <t>Toulouse</t>
  </si>
  <si>
    <t>VVV Venlo</t>
  </si>
  <si>
    <t>Fortuna Koln</t>
  </si>
  <si>
    <t>Real Oviedo</t>
  </si>
  <si>
    <t>Deportivo La Coruna</t>
  </si>
  <si>
    <t>CD Aguilas</t>
  </si>
  <si>
    <t>Almeria</t>
  </si>
  <si>
    <t>Estoril</t>
  </si>
  <si>
    <t>Uniao Torreense</t>
  </si>
  <si>
    <t>Gimnastic de Tarragona</t>
  </si>
  <si>
    <t>FC Andorra</t>
  </si>
  <si>
    <t>Granada</t>
  </si>
  <si>
    <t>Juventus</t>
  </si>
  <si>
    <t>Standard Liege</t>
  </si>
  <si>
    <t>CD Castellon</t>
  </si>
  <si>
    <t>Parma</t>
  </si>
  <si>
    <t>Monaco</t>
  </si>
  <si>
    <t>Yeovil Town</t>
  </si>
  <si>
    <t>Sunderland</t>
  </si>
  <si>
    <t>Leeds</t>
  </si>
  <si>
    <t>Wrexham</t>
  </si>
  <si>
    <t>Auckland FC</t>
  </si>
  <si>
    <t>29/07/2026</t>
  </si>
  <si>
    <t>Louisville City FC</t>
  </si>
  <si>
    <t>Trust from here</t>
  </si>
  <si>
    <t>25/07/2026Cooks Hill UnitedLambton Jaffas</t>
  </si>
  <si>
    <t>25/07/2026Canberra OlympicQueanbeyan City FC</t>
  </si>
  <si>
    <t>25/07/2026Launceston UnitedDevonport City</t>
  </si>
  <si>
    <t>0 - 6</t>
  </si>
  <si>
    <t>25/07/2026Riverside OlympicLaunceston City</t>
  </si>
  <si>
    <t>25/07/2026Brindabella Blues FCCanberra White Eagles</t>
  </si>
  <si>
    <t>25/07/2026Adelaide CityWest Torrens Birkalla</t>
  </si>
  <si>
    <t>25/07/2026Croydon KingsCampbelltown City</t>
  </si>
  <si>
    <t>25/07/2026Melbourne City ReservesAvondale Heights</t>
  </si>
  <si>
    <t>25/07/2026Adelaide CometsWhite City</t>
  </si>
  <si>
    <t>25/07/2026Adelaide United U21Sturt Lions</t>
  </si>
  <si>
    <t>25/07/2026Para Hills KnightsPlayford City</t>
  </si>
  <si>
    <t>2 - 4</t>
  </si>
  <si>
    <t>25/07/2026Belconnen UnitedO'Connor Knights</t>
  </si>
  <si>
    <t>25/07/2026Maitland FCBroadmeadow Magic</t>
  </si>
  <si>
    <t>25/07/2026Valentine PhoenixCharlestown City Blues</t>
  </si>
  <si>
    <t>25/07/2026SD Raiders FCMarconi Stallions</t>
  </si>
  <si>
    <t>25/07/2026Dandenong ThunderAltona Magic</t>
  </si>
  <si>
    <t>25/07/2026Perth Glory U21Dianella White Eagles</t>
  </si>
  <si>
    <t>25/07/2026Perth RedStarBalcatta</t>
  </si>
  <si>
    <t>25/07/2026Perth AzzurriBayswater City</t>
  </si>
  <si>
    <t>25/07/2026Stirling LionsArmadale</t>
  </si>
  <si>
    <t>25/07/2026Western KnightsOlympic Kingsway SC</t>
  </si>
  <si>
    <t>25/07/2026Spirit FCWestern Sydney Wanderers U21</t>
  </si>
  <si>
    <t>25/07/2026CoomaTuggeranong United</t>
  </si>
  <si>
    <t>4 - 1</t>
  </si>
  <si>
    <t>25/07/2026APIA Leichhardt TigersUNSW</t>
  </si>
  <si>
    <t>25/07/2026Gold Coast KnightsGold Coast United</t>
  </si>
  <si>
    <t>25/07/2026St GeorgeSydney U21</t>
  </si>
  <si>
    <t>25/07/2026St George CitySydney United 58</t>
  </si>
  <si>
    <t>25/07/2026Qingdao JonoonTianjin Teda</t>
  </si>
  <si>
    <t>25/07/2026Dalian KeweiDalian Yingbo Reserves</t>
  </si>
  <si>
    <t>25/07/2026North Eastern MetroStarsWest Adelaide</t>
  </si>
  <si>
    <t>25/07/2026Sangju SangmuDaejeon Citizen</t>
  </si>
  <si>
    <t>25/07/2026Pohang SteelersJeonbuk Hyundai Motors</t>
  </si>
  <si>
    <t>25/07/2026Busan IParkSuwon Samsung Bluewings</t>
  </si>
  <si>
    <t>25/07/2026DaeguSuwon FC</t>
  </si>
  <si>
    <t>25/07/2026HwaseongAnsan Police</t>
  </si>
  <si>
    <t>25/07/2026Jeonnam DragonsGyeongnam</t>
  </si>
  <si>
    <t>25/07/2026Changchun YataiNanjing City</t>
  </si>
  <si>
    <t>25/07/2026Ningbo ProfessionalGuandong GZ-Power FC</t>
  </si>
  <si>
    <t>25/07/2026Shaanxi Union FCShenzhen Juniors</t>
  </si>
  <si>
    <t>25/07/2026Guangzhou Dandelion AlphaYichun Grand Tiger</t>
  </si>
  <si>
    <t>25/07/2026Shandong Luneng Taishan ReservesChangchun Xidu</t>
  </si>
  <si>
    <t>25/07/2026FK SmilteneRigas Futbola Skola II</t>
  </si>
  <si>
    <t>3 - 5</t>
  </si>
  <si>
    <t>25/07/2026Foshan NanshiWuxi Wugou</t>
  </si>
  <si>
    <t>25/07/2026Hebei KungFuNantong Zhiyun</t>
  </si>
  <si>
    <t>25/07/2026Guizhou ZhichengGanzhou Ruishi</t>
  </si>
  <si>
    <t>25/07/2026Jiangxi Liansheng FCShenzhen 2028</t>
  </si>
  <si>
    <t>25/07/2026Rizhao YuqiShanghai Segenda</t>
  </si>
  <si>
    <t>25/07/2026Liaoning TierenQingdao Kangtine</t>
  </si>
  <si>
    <t>25/07/2026Shanghai PortShanghai Greenland Shenhua</t>
  </si>
  <si>
    <t>25/07/2026Ulytau FCIrtysh Pavlodar</t>
  </si>
  <si>
    <t>25/07/2026Wuhan Three TownsChongqing Tonglianglong</t>
  </si>
  <si>
    <t>25/07/2026HakaKapylan Pallo</t>
  </si>
  <si>
    <t>25/07/2026FK AtmosferaHegelmann Litauen II</t>
  </si>
  <si>
    <t>25/07/2026FC ZhetysuFK Kyzylzhar</t>
  </si>
  <si>
    <t>25/07/2026JaPSKlubi 04</t>
  </si>
  <si>
    <t>25/07/2026Mikkelin PalloilijatKTP</t>
  </si>
  <si>
    <t>3 - 3</t>
  </si>
  <si>
    <t>25/07/2026Seinajoen JK IIEIF</t>
  </si>
  <si>
    <t>25/07/2026DSVK TractorsSK Super Nova II</t>
  </si>
  <si>
    <t>25/07/2026Degerfors IFDjurgardens IF</t>
  </si>
  <si>
    <t>25/07/2026IFK VarnamoIK Brage</t>
  </si>
  <si>
    <t>25/07/2026IFK MariehamnAC Oulu</t>
  </si>
  <si>
    <t>25/07/2026Kuopio PSVaasa PS</t>
  </si>
  <si>
    <t>25/07/2026AftureldingGrotta Seltjarnarnes</t>
  </si>
  <si>
    <t>25/07/2026IR ReykjavikFylkir</t>
  </si>
  <si>
    <t>25/07/2026KFA AustfjardaThrottur Vogar</t>
  </si>
  <si>
    <t>25/07/2026Beitar Riga MarinersVentspils</t>
  </si>
  <si>
    <t>25/07/2026Neptunas KlaipedaFC Siauliai II</t>
  </si>
  <si>
    <t>25/07/2026Kristiansund BKIK Start</t>
  </si>
  <si>
    <t>25/07/2026AktobeOkzhetpes</t>
  </si>
  <si>
    <t>25/07/2026PK-35 VJSJippo</t>
  </si>
  <si>
    <t>25/07/2026Rezeknes BJSSMarupes SC</t>
  </si>
  <si>
    <t>25/07/2026FK BabrungasEkranas</t>
  </si>
  <si>
    <t>25/07/2026Central EspanolLiverpool Montevideo</t>
  </si>
  <si>
    <t>25/07/2026KalmarMjallby</t>
  </si>
  <si>
    <t>25/07/2026Nomme Kalju IIFlora Tallinn II</t>
  </si>
  <si>
    <t>0 - 5</t>
  </si>
  <si>
    <t>25/07/2026Galway FCWaterford United</t>
  </si>
  <si>
    <t>25/07/2026Dalvik/ReynirVikingur Olafsvik</t>
  </si>
  <si>
    <t>25/07/2026MagniKFG Gardabaer</t>
  </si>
  <si>
    <t>25/07/2026Kauno ZalgirisFK Suduva Marijampole</t>
  </si>
  <si>
    <t>25/07/2026Lietava JonavaGarliava Kaunas</t>
  </si>
  <si>
    <t>25/07/2026StromsgodsetLyn</t>
  </si>
  <si>
    <t>25/07/2026Santiago WanderersUnion San Felipe</t>
  </si>
  <si>
    <t>25/07/2026Kormakur/HvotSelfoss</t>
  </si>
  <si>
    <t>25/07/2026Estudiantes Rio CuartoClub Atletico Tigre</t>
  </si>
  <si>
    <t>25/07/2026Estudiantes de BACiudad de Bolivar</t>
  </si>
  <si>
    <t>25/07/202600</t>
  </si>
  <si>
    <t>25/07/2026CA AtlasDeportivo Espanol</t>
  </si>
  <si>
    <t>25/07/2026BerazateguiClub Mercedes</t>
  </si>
  <si>
    <t>25/07/2026Canuelas FCDeportivo Muniz</t>
  </si>
  <si>
    <t>25/07/2026Estrella del SurDeportivo Paraguayo</t>
  </si>
  <si>
    <t>25/07/2026Leones de RosarioCentral Cordoba de Rosario</t>
  </si>
  <si>
    <t>25/07/2026CA LuganoCentro Espanol</t>
  </si>
  <si>
    <t>25/07/2026HaugesundBryne</t>
  </si>
  <si>
    <t>25/07/2026Sport HuancayoAtletico Grau</t>
  </si>
  <si>
    <t>25/07/2026Defensor SportingCA Cerro</t>
  </si>
  <si>
    <t>25/07/2026Longford TownWexford Youths</t>
  </si>
  <si>
    <t>25/07/2026Sligo FCDrogheda United</t>
  </si>
  <si>
    <t>25/07/2026Atletico de RafaelaNueva Chicago</t>
  </si>
  <si>
    <t>25/07/2026Always ReadySA Bulo Bulo</t>
  </si>
  <si>
    <t>25/07/2026IguatuNacional AM</t>
  </si>
  <si>
    <t>25/07/2026Portuguesa SPUberlandia MG</t>
  </si>
  <si>
    <t>25/07/2026Coquimbo UnidoUniversidad de Concepcion</t>
  </si>
  <si>
    <t>25/07/2026Curico UnidoSan Luis Quillota</t>
  </si>
  <si>
    <t>25/07/2026CD RecoletaSportivo San Lorenzo</t>
  </si>
  <si>
    <t>25/07/2026Newell's Old BoysTalleres de Cordoba</t>
  </si>
  <si>
    <t>25/07/2026Club Atletico AcassusoClub Atletico Colon</t>
  </si>
  <si>
    <t>25/07/2026Club AlmagroFerrocarril Midland</t>
  </si>
  <si>
    <t>25/07/2026CA AtlantaClub Almagro</t>
  </si>
  <si>
    <t>25/07/2026Nueva ChicagoSan Martin de Tucuman</t>
  </si>
  <si>
    <t>25/07/2026San Martin de San JuanAtletico de Rafaela</t>
  </si>
  <si>
    <t>25/07/2026Argentino QuilmesVilla Dalmine</t>
  </si>
  <si>
    <t>25/07/2026Atletico CamionerosSan Martin De Burzaco</t>
  </si>
  <si>
    <t>25/07/2026Club Atl√©tico BrownArgentino Merlo</t>
  </si>
  <si>
    <t>25/07/2026Club ComunicacionesReal Pilar</t>
  </si>
  <si>
    <t>25/07/2026Defensores UnidosUAI Urquiza</t>
  </si>
  <si>
    <t>25/07/2026Deportivo ArmenioArsenal de Sarandi</t>
  </si>
  <si>
    <t>25/07/2026Sportivo Dock SudCSD Liniers</t>
  </si>
  <si>
    <t>25/07/2026FlandriaExcursionistas</t>
  </si>
  <si>
    <t>25/07/2026Deportivo MerloCA Villa San Carlos</t>
  </si>
  <si>
    <t>25/07/2026Ferroviaria SPMaranhao</t>
  </si>
  <si>
    <t>25/07/2026Santa CruzFigueirense</t>
  </si>
  <si>
    <t>25/07/2026Juan Pablo IICienciano</t>
  </si>
  <si>
    <t>25/07/2026Boyaca ChicoAtletico Nacional</t>
  </si>
  <si>
    <t>25/07/2026BogotaUnion Magdalena</t>
  </si>
  <si>
    <t>25/07/2026Inter Miami IIToronto FC II</t>
  </si>
  <si>
    <t>25/07/2026Deportivo MaldonadoCA Juventud</t>
  </si>
  <si>
    <t>25/07/2026Independiente MedellinDeportivo Pasto</t>
  </si>
  <si>
    <t>25/07/2026GuabiraReal Oruro</t>
  </si>
  <si>
    <t>25/07/2026Athletico ParanaenseInternacional</t>
  </si>
  <si>
    <t>25/07/2026SantosChapecoense</t>
  </si>
  <si>
    <t>25/07/2026Confianca SEItabaiana SE</t>
  </si>
  <si>
    <t>25/07/2026HuachipatoCobresal</t>
  </si>
  <si>
    <t>25/07/2026CobreloaDeportes Santa Cruz</t>
  </si>
  <si>
    <t>25/07/2026Club Sportivo AmelianoNacional De Football</t>
  </si>
  <si>
    <t>25/07/2026San Martin de TucumanCA Temperley</t>
  </si>
  <si>
    <t>25/07/2026Volta RedondaAnapolis GO</t>
  </si>
  <si>
    <t>25/07/2026River PlateBarracas Central</t>
  </si>
  <si>
    <t>25/07/2026New York Red BullsCharlotte FC</t>
  </si>
  <si>
    <t>25/07/2026Sport BoysAD Tarma</t>
  </si>
  <si>
    <t>25/07/2026Columbus CrewFC Cincinnati</t>
  </si>
  <si>
    <t>25/07/2026Brooklyn FCSan Antonio FC</t>
  </si>
  <si>
    <t>25/07/2026Detroit City FCLas Vegas Lights</t>
  </si>
  <si>
    <t>25/07/2026Indy ElevenLoudoun United</t>
  </si>
  <si>
    <t>25/07/2026Miami FCTampa Bay Rowdies</t>
  </si>
  <si>
    <t>25/07/2026Pittsburgh RiverhoundsRhode Island</t>
  </si>
  <si>
    <t>25/07/2026Chattanooga FCPhiladelphia Union II</t>
  </si>
  <si>
    <t>25/07/2026L.A Galaxy IIThe Town</t>
  </si>
  <si>
    <t>25/07/2026Millonarios FCAtletico Bucaramanga</t>
  </si>
  <si>
    <t>25/07/2026AlianzaUMECIT</t>
  </si>
  <si>
    <t>25/07/2026Independiente PetroleroOriente Petrolero</t>
  </si>
  <si>
    <t>25/07/2026Vasco Da Gama RJMirassol SP</t>
  </si>
  <si>
    <t>25/07/2026Montreal ImpactInter Miami CF</t>
  </si>
  <si>
    <t>25/07/2026DC UnitedToronto FC</t>
  </si>
  <si>
    <t>25/07/2026New England RevolutionAtlanta United</t>
  </si>
  <si>
    <t>25/07/2026New York CityChicago Fire</t>
  </si>
  <si>
    <t>25/07/2026Orlando CityNashville FC</t>
  </si>
  <si>
    <t>25/07/2026Philadelphia UnionSeattle Sounders FC</t>
  </si>
  <si>
    <t>25/07/2026Carolina CoreChicago Fire II</t>
  </si>
  <si>
    <t>25/07/2026CD Uni Catolica SantiagoCD La Serena</t>
  </si>
  <si>
    <t>25/07/2026Real CartagenaReal Santander</t>
  </si>
  <si>
    <t>25/07/2026Tecnico UniversitarioManta FC</t>
  </si>
  <si>
    <t>25/07/2026LanusSan Lorenzo</t>
  </si>
  <si>
    <t>25/07/2026Houston DynamoAustin FC</t>
  </si>
  <si>
    <t>25/07/2026Minnesota UnitedVancouver Whitecaps</t>
  </si>
  <si>
    <t>25/07/2026Saint Louis CityColorado Rapids</t>
  </si>
  <si>
    <t>25/07/2026Tulsa RoughnecksLexington SC</t>
  </si>
  <si>
    <t>25/07/2026North Texas SCLos Angeles FC II</t>
  </si>
  <si>
    <t>25/07/2026Colorado SwitchbacksCharleston Battery</t>
  </si>
  <si>
    <t>25/07/2026El Paso LocomotiveSporting Jacksonville</t>
  </si>
  <si>
    <t>25/07/2026FBC MelgarSporting Cristal</t>
  </si>
  <si>
    <t>25/07/2026Deportes TolimaJunior FC</t>
  </si>
  <si>
    <t>25/07/2026San Diego FCDallas</t>
  </si>
  <si>
    <t>25/07/2026Union Deportivo UniversitarioSan Francisco FC</t>
  </si>
  <si>
    <t>25/07/2026Monterey BayOrange County Blues</t>
  </si>
  <si>
    <t>25/07/2026Oakland RootsSacramento Republic</t>
  </si>
  <si>
    <t>25/07/2026Los Angeles FCSporting Kansas City</t>
  </si>
  <si>
    <t>25/07/2026Portland TimbersReal Salt Lake</t>
  </si>
  <si>
    <t>25/07/2026San Jose EarthquakesLA Galaxy</t>
  </si>
  <si>
    <t>25/07/2026Phoenix Rising FCHartford Athletic</t>
  </si>
  <si>
    <t>Home</t>
  </si>
  <si>
    <t>Tie</t>
  </si>
  <si>
    <t>Away</t>
  </si>
  <si>
    <t>BTTS Yes</t>
  </si>
  <si>
    <t>BTTS No</t>
  </si>
  <si>
    <t>Home-Plan</t>
  </si>
  <si>
    <t>Tie-Plan</t>
  </si>
  <si>
    <t>Away-Plan</t>
  </si>
  <si>
    <t>1X-Plan</t>
  </si>
  <si>
    <t>X2-Plan</t>
  </si>
  <si>
    <t>DC-Plan</t>
  </si>
  <si>
    <t>1 HT-Plan</t>
  </si>
  <si>
    <t>X HT-Plan</t>
  </si>
  <si>
    <t>2 HT-Plan</t>
  </si>
  <si>
    <t>O 0.5 HT-Plan</t>
  </si>
  <si>
    <t>O 1.5-Plan</t>
  </si>
  <si>
    <t>O 2.5-Plan</t>
  </si>
  <si>
    <t>U 2.5-Plan</t>
  </si>
  <si>
    <t>U 3.5-Plan</t>
  </si>
  <si>
    <t>BTTS Yes-Plan</t>
  </si>
  <si>
    <t>BTTS No-Plan</t>
  </si>
  <si>
    <t>Home-Real</t>
  </si>
  <si>
    <t>Tie-Real</t>
  </si>
  <si>
    <t>Away-Real</t>
  </si>
  <si>
    <t>1X-Real</t>
  </si>
  <si>
    <t>X2-Real</t>
  </si>
  <si>
    <t>DC-Real</t>
  </si>
  <si>
    <t>1 HT-Real</t>
  </si>
  <si>
    <t>X HT-Real</t>
  </si>
  <si>
    <t>2 HT-Real</t>
  </si>
  <si>
    <t>O 0.5 HT-Real</t>
  </si>
  <si>
    <t>O 1.5-Real</t>
  </si>
  <si>
    <t>O 2.5-Real</t>
  </si>
  <si>
    <t>U 2.5-Real</t>
  </si>
  <si>
    <t>U 3.5-Real</t>
  </si>
  <si>
    <t>BTTS Yes-Real</t>
  </si>
  <si>
    <t>BTTS No-Real</t>
  </si>
  <si>
    <t>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</si>
</sst>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0.0%"/>
    <numFmt numFmtId="166" formatCode="_-* #,##0.0_-;\-* #,##0.0_-;_-* &quot;-&quot;??_-;_-@_-"/>
  </numFmts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9"/>
        <bgColor theme="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theme="4"/>
      </patternFill>
    </fill>
    <fill>
      <patternFill patternType="solid">
        <fgColor theme="8"/>
        <bgColor theme="4"/>
      </patternFill>
    </fill>
  </fills>
  <borders count="7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55">
    <xf numFmtId="0" fontId="0" fillId="0" borderId="0" xfId="0"/>
    <xf numFmtId="0" fontId="4" fillId="0" borderId="0" xfId="1"/>
    <xf numFmtId="14" fontId="0" fillId="0" borderId="0" xfId="0" applyNumberFormat="1"/>
    <xf numFmtId="21" fontId="0" fillId="0" borderId="0" xfId="0" applyNumberFormat="1"/>
    <xf numFmtId="49" fontId="0" fillId="0" borderId="0" xfId="0" applyNumberFormat="1"/>
    <xf numFmtId="0" fontId="5" fillId="2" borderId="0" xfId="1" applyFont="1" applyFill="1"/>
    <xf numFmtId="0" fontId="5" fillId="2" borderId="2" xfId="1" applyFont="1" applyFill="1" applyBorder="1"/>
    <xf numFmtId="0" fontId="6" fillId="4" borderId="1" xfId="0" applyFont="1" applyFill="1" applyBorder="1"/>
    <xf numFmtId="0" fontId="6" fillId="3" borderId="1" xfId="0" applyFont="1" applyFill="1" applyBorder="1"/>
    <xf numFmtId="0" fontId="6" fillId="4" borderId="5" xfId="0" applyFont="1" applyFill="1" applyBorder="1"/>
    <xf numFmtId="0" fontId="7" fillId="2" borderId="0" xfId="0" applyFont="1" applyFill="1"/>
    <xf numFmtId="0" fontId="7" fillId="2" borderId="2" xfId="0" applyFont="1" applyFill="1" applyBorder="1"/>
    <xf numFmtId="49" fontId="7" fillId="2" borderId="2" xfId="0" applyNumberFormat="1" applyFont="1" applyFill="1" applyBorder="1"/>
    <xf numFmtId="0" fontId="6" fillId="4" borderId="3" xfId="0" applyFont="1" applyFill="1" applyBorder="1"/>
    <xf numFmtId="0" fontId="6" fillId="4" borderId="4" xfId="0" applyFont="1" applyFill="1" applyBorder="1"/>
    <xf numFmtId="20" fontId="6" fillId="4" borderId="4" xfId="0" applyNumberFormat="1" applyFont="1" applyFill="1" applyBorder="1"/>
    <xf numFmtId="49" fontId="6" fillId="4" borderId="4" xfId="0" applyNumberFormat="1" applyFont="1" applyFill="1" applyBorder="1"/>
    <xf numFmtId="0" fontId="6" fillId="3" borderId="5" xfId="0" applyFont="1" applyFill="1" applyBorder="1"/>
    <xf numFmtId="20" fontId="6" fillId="3" borderId="1" xfId="0" applyNumberFormat="1" applyFont="1" applyFill="1" applyBorder="1"/>
    <xf numFmtId="49" fontId="6" fillId="3" borderId="1" xfId="0" applyNumberFormat="1" applyFont="1" applyFill="1" applyBorder="1"/>
    <xf numFmtId="20" fontId="6" fillId="4" borderId="1" xfId="0" applyNumberFormat="1" applyFont="1" applyFill="1" applyBorder="1"/>
    <xf numFmtId="49" fontId="6" fillId="4" borderId="1" xfId="0" applyNumberFormat="1" applyFont="1" applyFill="1" applyBorder="1"/>
    <xf numFmtId="0" fontId="3" fillId="3" borderId="0" xfId="1" applyFont="1" applyFill="1"/>
    <xf numFmtId="21" fontId="3" fillId="3" borderId="0" xfId="1" applyNumberFormat="1" applyFont="1" applyFill="1"/>
    <xf numFmtId="0" fontId="2" fillId="0" borderId="0" xfId="1" applyFont="1"/>
    <xf numFmtId="20" fontId="0" fillId="0" borderId="0" xfId="0" applyNumberFormat="1"/>
    <xf numFmtId="0" fontId="7" fillId="5" borderId="2" xfId="0" applyFont="1" applyFill="1" applyBorder="1"/>
    <xf numFmtId="49" fontId="7" fillId="5" borderId="2" xfId="0" applyNumberFormat="1" applyFont="1" applyFill="1" applyBorder="1"/>
    <xf numFmtId="0" fontId="9" fillId="0" borderId="0" xfId="0" applyFont="1"/>
    <xf numFmtId="0" fontId="1" fillId="3" borderId="0" xfId="1" applyFont="1" applyFill="1"/>
    <xf numFmtId="0" fontId="3" fillId="6" borderId="0" xfId="1" applyFont="1" applyFill="1"/>
    <xf numFmtId="21" fontId="3" fillId="6" borderId="0" xfId="1" applyNumberFormat="1" applyFont="1" applyFill="1"/>
    <xf numFmtId="9" fontId="0" fillId="0" borderId="0" xfId="3" applyFont="1"/>
    <xf numFmtId="0" fontId="9" fillId="0" borderId="6" xfId="0" applyFont="1" applyBorder="1"/>
    <xf numFmtId="0" fontId="0" fillId="0" borderId="6" xfId="0" applyBorder="1"/>
    <xf numFmtId="9" fontId="0" fillId="0" borderId="6" xfId="3" applyFont="1" applyBorder="1"/>
    <xf numFmtId="165" fontId="0" fillId="0" borderId="6" xfId="3" applyNumberFormat="1" applyFont="1" applyBorder="1"/>
    <xf numFmtId="49" fontId="0" fillId="0" borderId="6" xfId="0" applyNumberFormat="1" applyBorder="1"/>
    <xf numFmtId="164" fontId="9" fillId="0" borderId="6" xfId="2" applyFont="1" applyFill="1" applyBorder="1"/>
    <xf numFmtId="164" fontId="0" fillId="0" borderId="6" xfId="2" applyFont="1" applyBorder="1"/>
    <xf numFmtId="164" fontId="0" fillId="0" borderId="6" xfId="2" applyFont="1" applyFill="1" applyBorder="1"/>
    <xf numFmtId="49" fontId="9" fillId="0" borderId="0" xfId="0" applyNumberFormat="1" applyFont="1"/>
    <xf numFmtId="21" fontId="0" fillId="0" borderId="2" xfId="0" applyNumberFormat="1" applyBorder="1"/>
    <xf numFmtId="0" fontId="0" fillId="0" borderId="2" xfId="0" applyBorder="1"/>
    <xf numFmtId="0" fontId="3" fillId="3" borderId="2" xfId="1" applyFont="1" applyFill="1" applyBorder="1"/>
    <xf numFmtId="21" fontId="3" fillId="3" borderId="2" xfId="1" applyNumberFormat="1" applyFont="1" applyFill="1" applyBorder="1"/>
    <xf numFmtId="49" fontId="7" fillId="5" borderId="0" xfId="0" applyNumberFormat="1" applyFont="1" applyFill="1"/>
    <xf numFmtId="0" fontId="7" fillId="5" borderId="0" xfId="0" applyFont="1" applyFill="1"/>
    <xf numFmtId="0" fontId="8" fillId="0" borderId="0" xfId="0" applyFont="1"/>
    <xf numFmtId="0" fontId="1" fillId="7" borderId="0" xfId="1" applyFont="1" applyFill="1"/>
    <xf numFmtId="0" fontId="7" fillId="5" borderId="6" xfId="0" applyFont="1" applyFill="1" applyBorder="1" applyAlignment="1">
      <alignment horizontal="center"/>
    </xf>
    <xf numFmtId="0" fontId="7" fillId="8" borderId="6" xfId="0" applyFont="1" applyFill="1" applyBorder="1" applyAlignment="1">
      <alignment horizontal="center"/>
    </xf>
    <xf numFmtId="166" fontId="9" fillId="0" borderId="6" xfId="2" applyNumberFormat="1" applyFont="1" applyFill="1" applyBorder="1"/>
    <xf numFmtId="0" fontId="7" fillId="9" borderId="6" xfId="0" applyFont="1" applyFill="1" applyBorder="1" applyAlignment="1">
      <alignment horizontal="center"/>
    </xf>
    <xf numFmtId="9" fontId="0" fillId="0" borderId="6" xfId="3" applyNumberFormat="1" applyFont="1" applyBorder="1"/>
  </cellXfs>
  <cellStyles count="4">
    <cellStyle name="Comma" xfId="2" builtinId="3"/>
    <cellStyle name="Normal" xfId="0" builtinId="0"/>
    <cellStyle name="Normal 2" xfId="1" xr:uid="{D366C6B8-29CB-47F1-8CB5-78F57F211074}"/>
    <cellStyle name="Percent" xfId="3" builtinId="5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537</xdr:row>
      <xdr:rowOff>85725</xdr:rowOff>
    </xdr:from>
    <xdr:to>
      <xdr:col>5</xdr:col>
      <xdr:colOff>1952625</xdr:colOff>
      <xdr:row>540</xdr:row>
      <xdr:rowOff>114300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F365273-D21A-4C42-A80F-6D7EAA8947CE}"/>
            </a:ext>
          </a:extLst>
        </xdr:cNvPr>
        <xdr:cNvSpPr/>
      </xdr:nvSpPr>
      <xdr:spPr>
        <a:xfrm>
          <a:off x="6149975" y="102409625"/>
          <a:ext cx="5073650" cy="60007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Paste here from lacasa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7</xdr:col>
      <xdr:colOff>219075</xdr:colOff>
      <xdr:row>29</xdr:row>
      <xdr:rowOff>114300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3DD16033-B081-42B7-85F3-05A2581D3516}"/>
            </a:ext>
          </a:extLst>
        </xdr:cNvPr>
        <xdr:cNvSpPr/>
      </xdr:nvSpPr>
      <xdr:spPr>
        <a:xfrm>
          <a:off x="4657725" y="3048000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Paste here the results of the game</a:t>
          </a:r>
          <a:r>
            <a:rPr lang="en-CA" sz="1100" baseline="0"/>
            <a:t> using the browser</a:t>
          </a:r>
          <a:endParaRPr lang="en-CA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286</xdr:row>
      <xdr:rowOff>180975</xdr:rowOff>
    </xdr:from>
    <xdr:to>
      <xdr:col>10</xdr:col>
      <xdr:colOff>504825</xdr:colOff>
      <xdr:row>299</xdr:row>
      <xdr:rowOff>104775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492B651-4723-71A2-E912-C0B19CEE60FE}"/>
            </a:ext>
          </a:extLst>
        </xdr:cNvPr>
        <xdr:cNvSpPr/>
      </xdr:nvSpPr>
      <xdr:spPr>
        <a:xfrm>
          <a:off x="6381750" y="104574975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This table relates portuguese</a:t>
          </a:r>
          <a:r>
            <a:rPr lang="en-CA" sz="1100" baseline="0"/>
            <a:t> names and english names</a:t>
          </a:r>
          <a:endParaRPr lang="en-CA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542925</xdr:colOff>
      <xdr:row>65</xdr:row>
      <xdr:rowOff>104775</xdr:rowOff>
    </xdr:from>
    <xdr:to>
      <xdr:col>13</xdr:col>
      <xdr:colOff>342900</xdr:colOff>
      <xdr:row>78</xdr:row>
      <xdr:rowOff>28575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5459BF5-C097-4B0A-A3EF-61341C273FA3}"/>
            </a:ext>
          </a:extLst>
        </xdr:cNvPr>
        <xdr:cNvSpPr/>
      </xdr:nvSpPr>
      <xdr:spPr>
        <a:xfrm>
          <a:off x="3590925" y="12487275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here are the results</a:t>
          </a:r>
          <a:r>
            <a:rPr lang="en-CA" sz="1100" baseline="0"/>
            <a:t> from the games already done (solid results) - Copiar da aba general-lacasa</a:t>
          </a:r>
          <a:endParaRPr lang="en-CA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Q586"/>
  <sheetViews>
    <sheetView tabSelected="1" topLeftCell="B1" workbookViewId="0">
      <pane ySplit="3" topLeftCell="A474" activePane="bottomLeft" state="frozen"/>
      <selection pane="bottomLeft" activeCell="F488" sqref="A488:XFD488"/>
    </sheetView>
  </sheetViews>
  <sheetFormatPr baseColWidth="10" defaultColWidth="8.83203125" defaultRowHeight="15" outlineLevelCol="1" x14ac:dyDescent="0.2"/>
  <cols>
    <col min="2" max="2" width="48" bestFit="1" customWidth="1"/>
    <col min="3" max="3" width="13.5" customWidth="1"/>
    <col min="4" max="4" width="9.5" bestFit="1" customWidth="1"/>
    <col min="5" max="5" width="24.33203125" customWidth="1"/>
    <col min="6" max="6" width="22.33203125" customWidth="1"/>
    <col min="7" max="7" width="8.33203125" style="4" customWidth="1" outlineLevel="1"/>
    <col min="8" max="8" width="6.5" customWidth="1" outlineLevel="1"/>
    <col min="9" max="13" width="6" customWidth="1" outlineLevel="1"/>
    <col min="14" max="14" width="6.83203125" customWidth="1" outlineLevel="1"/>
    <col min="15" max="15" width="7" customWidth="1" outlineLevel="1"/>
    <col min="16" max="16" width="6.83203125" customWidth="1" outlineLevel="1"/>
    <col min="17" max="17" width="11.83203125" customWidth="1" outlineLevel="1"/>
    <col min="18" max="19" width="14.83203125" customWidth="1" outlineLevel="1"/>
    <col min="20" max="21" width="16.33203125" customWidth="1" outlineLevel="1"/>
    <col min="22" max="22" width="10.83203125" customWidth="1" outlineLevel="1"/>
    <col min="23" max="23" width="11.1640625" customWidth="1" outlineLevel="1"/>
    <col min="24" max="24" width="23.5" bestFit="1" customWidth="1"/>
    <col min="25" max="25" width="27" bestFit="1" customWidth="1"/>
    <col min="26" max="26" width="22.83203125" bestFit="1" customWidth="1"/>
  </cols>
  <sheetData>
    <row r="2" spans="1:43" x14ac:dyDescent="0.2">
      <c r="AA2">
        <v>14</v>
      </c>
      <c r="AB2">
        <v>15</v>
      </c>
      <c r="AC2">
        <v>16</v>
      </c>
      <c r="AD2">
        <v>17</v>
      </c>
      <c r="AE2">
        <v>18</v>
      </c>
      <c r="AF2">
        <v>19</v>
      </c>
      <c r="AG2">
        <v>20</v>
      </c>
      <c r="AH2">
        <v>21</v>
      </c>
      <c r="AI2">
        <v>22</v>
      </c>
      <c r="AJ2">
        <v>23</v>
      </c>
      <c r="AK2">
        <v>24</v>
      </c>
      <c r="AL2">
        <v>25</v>
      </c>
      <c r="AM2">
        <v>26</v>
      </c>
      <c r="AN2">
        <v>27</v>
      </c>
      <c r="AO2">
        <v>28</v>
      </c>
      <c r="AP2">
        <v>29</v>
      </c>
      <c r="AQ2">
        <v>30</v>
      </c>
    </row>
    <row r="3" spans="1:43" ht="16" thickBot="1" x14ac:dyDescent="0.25">
      <c r="A3" s="10" t="s">
        <v>857</v>
      </c>
      <c r="B3" s="10" t="s">
        <v>443</v>
      </c>
      <c r="C3" s="11" t="s">
        <v>0</v>
      </c>
      <c r="D3" s="11" t="s">
        <v>1</v>
      </c>
      <c r="E3" s="11" t="s">
        <v>2</v>
      </c>
      <c r="F3" s="11" t="s">
        <v>3</v>
      </c>
      <c r="G3" s="12" t="s">
        <v>444</v>
      </c>
      <c r="H3" s="11" t="s">
        <v>439</v>
      </c>
      <c r="I3" s="11" t="s">
        <v>4</v>
      </c>
      <c r="J3" s="11" t="s">
        <v>440</v>
      </c>
      <c r="K3" s="11" t="s">
        <v>5</v>
      </c>
      <c r="L3" s="11" t="s">
        <v>6</v>
      </c>
      <c r="M3" s="11" t="s">
        <v>441</v>
      </c>
      <c r="N3" s="11" t="s">
        <v>7</v>
      </c>
      <c r="O3" s="11" t="s">
        <v>8</v>
      </c>
      <c r="P3" s="11" t="s">
        <v>9</v>
      </c>
      <c r="Q3" s="11" t="s">
        <v>10</v>
      </c>
      <c r="R3" s="11" t="s">
        <v>11</v>
      </c>
      <c r="S3" s="11" t="s">
        <v>12</v>
      </c>
      <c r="T3" s="11" t="s">
        <v>13</v>
      </c>
      <c r="U3" s="11" t="s">
        <v>14</v>
      </c>
      <c r="V3" s="11" t="s">
        <v>15</v>
      </c>
      <c r="W3" s="11" t="s">
        <v>16</v>
      </c>
      <c r="X3" s="26" t="s">
        <v>2110</v>
      </c>
      <c r="Y3" s="26" t="s">
        <v>2111</v>
      </c>
      <c r="Z3" s="26" t="s">
        <v>442</v>
      </c>
      <c r="AA3" s="27" t="s">
        <v>444</v>
      </c>
      <c r="AB3" s="26" t="s">
        <v>439</v>
      </c>
      <c r="AC3" s="26" t="s">
        <v>4</v>
      </c>
      <c r="AD3" s="26" t="s">
        <v>440</v>
      </c>
      <c r="AE3" s="26" t="s">
        <v>5</v>
      </c>
      <c r="AF3" s="26" t="s">
        <v>6</v>
      </c>
      <c r="AG3" s="26" t="s">
        <v>441</v>
      </c>
      <c r="AH3" s="26" t="s">
        <v>7</v>
      </c>
      <c r="AI3" s="26" t="s">
        <v>8</v>
      </c>
      <c r="AJ3" s="26" t="s">
        <v>9</v>
      </c>
      <c r="AK3" s="26" t="s">
        <v>2112</v>
      </c>
      <c r="AL3" s="26" t="s">
        <v>2113</v>
      </c>
      <c r="AM3" s="26" t="s">
        <v>2114</v>
      </c>
      <c r="AN3" s="26" t="s">
        <v>2115</v>
      </c>
      <c r="AO3" s="26" t="s">
        <v>2116</v>
      </c>
      <c r="AP3" s="26" t="s">
        <v>15</v>
      </c>
      <c r="AQ3" s="26" t="s">
        <v>16</v>
      </c>
    </row>
    <row r="4" spans="1:43" ht="16" thickTop="1" x14ac:dyDescent="0.2">
      <c r="B4" s="13"/>
      <c r="C4" s="14" t="s">
        <v>242</v>
      </c>
      <c r="D4" s="15">
        <v>0.5</v>
      </c>
      <c r="E4" s="14" t="s">
        <v>243</v>
      </c>
      <c r="F4" s="14" t="s">
        <v>244</v>
      </c>
      <c r="G4" s="16"/>
      <c r="H4" s="14">
        <v>47.1</v>
      </c>
      <c r="I4" s="14">
        <v>26.8</v>
      </c>
      <c r="J4" s="14">
        <v>26</v>
      </c>
      <c r="K4" s="14">
        <v>74</v>
      </c>
      <c r="L4" s="14">
        <v>52.9</v>
      </c>
      <c r="M4" s="14">
        <v>73.2</v>
      </c>
      <c r="N4" s="14">
        <v>40.200000000000003</v>
      </c>
      <c r="O4" s="14">
        <v>38.200000000000003</v>
      </c>
      <c r="P4" s="14">
        <v>21.6</v>
      </c>
      <c r="Q4" s="14">
        <v>76.599999999999994</v>
      </c>
      <c r="R4" s="14">
        <v>79.5</v>
      </c>
      <c r="S4" s="14">
        <v>55.1</v>
      </c>
      <c r="T4" s="14">
        <v>44.9</v>
      </c>
      <c r="U4" s="14">
        <v>50.9</v>
      </c>
      <c r="V4" s="14">
        <v>58.3</v>
      </c>
      <c r="W4" s="14">
        <v>41.7</v>
      </c>
      <c r="X4" t="str">
        <f>VLOOKUP(E4,'Transform table'!A:B,2,0)</f>
        <v>Turku PS</v>
      </c>
      <c r="Y4" t="str">
        <f>VLOOKUP(F4,'Transform table'!A:B,2,0)</f>
        <v>Ilves</v>
      </c>
      <c r="Z4" t="str">
        <f t="shared" ref="Z4:Z67" si="0">C4&amp;X4&amp;Y4</f>
        <v>20/07/2026Turku PSIlves</v>
      </c>
      <c r="AA4" t="str">
        <f>VLOOKUP($Z4,'oddspedia-matches'!$A:$AD,AA$2,0)</f>
        <v>1 - 3</v>
      </c>
      <c r="AB4" t="str">
        <f>VLOOKUP($Z4,'oddspedia-matches'!$A:$AD,AB$2,0)</f>
        <v>Red</v>
      </c>
      <c r="AC4" t="str">
        <f>VLOOKUP($Z4,'oddspedia-matches'!$A:$AD,AC$2,0)</f>
        <v>Red</v>
      </c>
      <c r="AD4" t="str">
        <f>VLOOKUP($Z4,'oddspedia-matches'!$A:$AD,AD$2,0)</f>
        <v>Green</v>
      </c>
      <c r="AE4" t="str">
        <f>VLOOKUP($Z4,'oddspedia-matches'!$A:$AD,AE$2,0)</f>
        <v>Red</v>
      </c>
      <c r="AF4" t="str">
        <f>VLOOKUP($Z4,'oddspedia-matches'!$A:$AD,AF$2,0)</f>
        <v>Green</v>
      </c>
      <c r="AG4" t="str">
        <f>VLOOKUP($Z4,'oddspedia-matches'!$A:$AD,AG$2,0)</f>
        <v>Green</v>
      </c>
      <c r="AH4" t="str">
        <f>VLOOKUP($Z4,'oddspedia-matches'!$A:$AD,AH$2,0)</f>
        <v>Red</v>
      </c>
      <c r="AI4" t="str">
        <f>VLOOKUP($Z4,'oddspedia-matches'!$A:$AD,AI$2,0)</f>
        <v>Red</v>
      </c>
      <c r="AJ4" t="str">
        <f>VLOOKUP($Z4,'oddspedia-matches'!$A:$AD,AJ$2,0)</f>
        <v>Green</v>
      </c>
      <c r="AK4" t="str">
        <f>VLOOKUP($Z4,'oddspedia-matches'!$A:$AD,AK$2,0)</f>
        <v>Green</v>
      </c>
      <c r="AL4" t="str">
        <f>VLOOKUP($Z4,'oddspedia-matches'!$A:$AD,AL$2,0)</f>
        <v>Green</v>
      </c>
      <c r="AM4" t="str">
        <f>VLOOKUP($Z4,'oddspedia-matches'!$A:$AD,AM$2,0)</f>
        <v>Green</v>
      </c>
      <c r="AN4" t="str">
        <f>VLOOKUP($Z4,'oddspedia-matches'!$A:$AD,AN$2,0)</f>
        <v>Red</v>
      </c>
      <c r="AO4" t="str">
        <f>VLOOKUP($Z4,'oddspedia-matches'!$A:$AD,AO$2,0)</f>
        <v>Red</v>
      </c>
      <c r="AP4" t="str">
        <f>VLOOKUP($Z4,'oddspedia-matches'!$A:$AD,AP$2,0)</f>
        <v>Green</v>
      </c>
      <c r="AQ4" t="str">
        <f>VLOOKUP($Z4,'oddspedia-matches'!$A:$AD,AQ$2,0)</f>
        <v>Red</v>
      </c>
    </row>
    <row r="5" spans="1:43" x14ac:dyDescent="0.2">
      <c r="B5" s="17"/>
      <c r="C5" s="8" t="s">
        <v>242</v>
      </c>
      <c r="D5" s="18">
        <v>0.5</v>
      </c>
      <c r="E5" s="8" t="s">
        <v>245</v>
      </c>
      <c r="F5" s="8" t="s">
        <v>246</v>
      </c>
      <c r="G5" s="19"/>
      <c r="H5" s="8">
        <v>20.3</v>
      </c>
      <c r="I5" s="8">
        <v>27.1</v>
      </c>
      <c r="J5" s="8">
        <v>52.7</v>
      </c>
      <c r="K5" s="8">
        <v>47.3</v>
      </c>
      <c r="L5" s="8">
        <v>79.7</v>
      </c>
      <c r="M5" s="8">
        <v>72.900000000000006</v>
      </c>
      <c r="N5" s="8">
        <v>24.9</v>
      </c>
      <c r="O5" s="8">
        <v>41.7</v>
      </c>
      <c r="P5" s="8">
        <v>33.299999999999997</v>
      </c>
      <c r="Q5" s="8">
        <v>72.400000000000006</v>
      </c>
      <c r="R5" s="8">
        <v>79</v>
      </c>
      <c r="S5" s="8">
        <v>54.5</v>
      </c>
      <c r="T5" s="8">
        <v>45.5</v>
      </c>
      <c r="U5" s="8">
        <v>52.4</v>
      </c>
      <c r="V5" s="8">
        <v>55.6</v>
      </c>
      <c r="W5" s="8">
        <v>44.4</v>
      </c>
      <c r="X5" t="str">
        <f>VLOOKUP(E5,'Transform table'!A:B,2,0)</f>
        <v>Jelgava</v>
      </c>
      <c r="Y5" t="str">
        <f>VLOOKUP(F5,'Transform table'!A:B,2,0)</f>
        <v>Rigas Futbola Skola</v>
      </c>
      <c r="Z5" t="str">
        <f t="shared" si="0"/>
        <v>20/07/2026JelgavaRigas Futbola Skola</v>
      </c>
      <c r="AA5" t="str">
        <f>VLOOKUP($Z5,'oddspedia-matches'!$A:$AD,AA$2,0)</f>
        <v>0 - 1</v>
      </c>
      <c r="AB5" t="str">
        <f>VLOOKUP($Z5,'oddspedia-matches'!$A:$AD,AB$2,0)</f>
        <v>Red</v>
      </c>
      <c r="AC5" t="str">
        <f>VLOOKUP($Z5,'oddspedia-matches'!$A:$AD,AC$2,0)</f>
        <v>Red</v>
      </c>
      <c r="AD5" t="str">
        <f>VLOOKUP($Z5,'oddspedia-matches'!$A:$AD,AD$2,0)</f>
        <v>Green</v>
      </c>
      <c r="AE5" t="str">
        <f>VLOOKUP($Z5,'oddspedia-matches'!$A:$AD,AE$2,0)</f>
        <v>Red</v>
      </c>
      <c r="AF5" t="str">
        <f>VLOOKUP($Z5,'oddspedia-matches'!$A:$AD,AF$2,0)</f>
        <v>Green</v>
      </c>
      <c r="AG5" t="str">
        <f>VLOOKUP($Z5,'oddspedia-matches'!$A:$AD,AG$2,0)</f>
        <v>Green</v>
      </c>
      <c r="AH5" t="str">
        <f>VLOOKUP($Z5,'oddspedia-matches'!$A:$AD,AH$2,0)</f>
        <v>Red</v>
      </c>
      <c r="AI5" t="str">
        <f>VLOOKUP($Z5,'oddspedia-matches'!$A:$AD,AI$2,0)</f>
        <v>Red</v>
      </c>
      <c r="AJ5" t="str">
        <f>VLOOKUP($Z5,'oddspedia-matches'!$A:$AD,AJ$2,0)</f>
        <v>Green</v>
      </c>
      <c r="AK5" t="str">
        <f>VLOOKUP($Z5,'oddspedia-matches'!$A:$AD,AK$2,0)</f>
        <v>Green</v>
      </c>
      <c r="AL5" t="str">
        <f>VLOOKUP($Z5,'oddspedia-matches'!$A:$AD,AL$2,0)</f>
        <v>Red</v>
      </c>
      <c r="AM5" t="str">
        <f>VLOOKUP($Z5,'oddspedia-matches'!$A:$AD,AM$2,0)</f>
        <v>Red</v>
      </c>
      <c r="AN5" t="str">
        <f>VLOOKUP($Z5,'oddspedia-matches'!$A:$AD,AN$2,0)</f>
        <v>Green</v>
      </c>
      <c r="AO5" t="str">
        <f>VLOOKUP($Z5,'oddspedia-matches'!$A:$AD,AO$2,0)</f>
        <v>Green</v>
      </c>
      <c r="AP5" t="str">
        <f>VLOOKUP($Z5,'oddspedia-matches'!$A:$AD,AP$2,0)</f>
        <v>Red</v>
      </c>
      <c r="AQ5" t="str">
        <f>VLOOKUP($Z5,'oddspedia-matches'!$A:$AD,AQ$2,0)</f>
        <v>Green</v>
      </c>
    </row>
    <row r="6" spans="1:43" x14ac:dyDescent="0.2">
      <c r="B6" s="9"/>
      <c r="C6" s="7" t="s">
        <v>242</v>
      </c>
      <c r="D6" s="20">
        <v>0.5</v>
      </c>
      <c r="E6" s="7" t="s">
        <v>247</v>
      </c>
      <c r="F6" s="7" t="s">
        <v>248</v>
      </c>
      <c r="G6" s="21"/>
      <c r="H6" s="7">
        <v>25.6</v>
      </c>
      <c r="I6" s="7">
        <v>28.1</v>
      </c>
      <c r="J6" s="7">
        <v>46.3</v>
      </c>
      <c r="K6" s="7">
        <v>53.7</v>
      </c>
      <c r="L6" s="7">
        <v>74.400000000000006</v>
      </c>
      <c r="M6" s="7">
        <v>71.900000000000006</v>
      </c>
      <c r="N6" s="7">
        <v>22.6</v>
      </c>
      <c r="O6" s="7">
        <v>44.7</v>
      </c>
      <c r="P6" s="7">
        <v>32.700000000000003</v>
      </c>
      <c r="Q6" s="7">
        <v>67.8</v>
      </c>
      <c r="R6" s="7">
        <v>78</v>
      </c>
      <c r="S6" s="7">
        <v>53</v>
      </c>
      <c r="T6" s="7">
        <v>47</v>
      </c>
      <c r="U6" s="7">
        <v>53</v>
      </c>
      <c r="V6" s="7">
        <v>56.7</v>
      </c>
      <c r="W6" s="7">
        <v>43.3</v>
      </c>
      <c r="X6" t="str">
        <f>VLOOKUP(E6,'Transform table'!A:B,2,0)</f>
        <v>FK Transinvest II</v>
      </c>
      <c r="Y6" t="str">
        <f>VLOOKUP(F6,'Transform table'!A:B,2,0)</f>
        <v>Neptunas Klaipeda</v>
      </c>
      <c r="Z6" t="str">
        <f t="shared" si="0"/>
        <v>20/07/2026FK Transinvest IINeptunas Klaipeda</v>
      </c>
      <c r="AA6" t="str">
        <f>VLOOKUP($Z6,'oddspedia-matches'!$A:$AD,AA$2,0)</f>
        <v>2 - 2</v>
      </c>
      <c r="AB6" t="str">
        <f>VLOOKUP($Z6,'oddspedia-matches'!$A:$AD,AB$2,0)</f>
        <v>Red</v>
      </c>
      <c r="AC6" t="str">
        <f>VLOOKUP($Z6,'oddspedia-matches'!$A:$AD,AC$2,0)</f>
        <v>Green</v>
      </c>
      <c r="AD6" t="str">
        <f>VLOOKUP($Z6,'oddspedia-matches'!$A:$AD,AD$2,0)</f>
        <v>Red</v>
      </c>
      <c r="AE6" t="str">
        <f>VLOOKUP($Z6,'oddspedia-matches'!$A:$AD,AE$2,0)</f>
        <v>Green</v>
      </c>
      <c r="AF6" t="str">
        <f>VLOOKUP($Z6,'oddspedia-matches'!$A:$AD,AF$2,0)</f>
        <v>Green</v>
      </c>
      <c r="AG6" t="str">
        <f>VLOOKUP($Z6,'oddspedia-matches'!$A:$AD,AG$2,0)</f>
        <v>Red</v>
      </c>
      <c r="AH6" t="str">
        <f>VLOOKUP($Z6,'oddspedia-matches'!$A:$AD,AH$2,0)</f>
        <v>Red</v>
      </c>
      <c r="AI6" t="str">
        <f>VLOOKUP($Z6,'oddspedia-matches'!$A:$AD,AI$2,0)</f>
        <v>Green</v>
      </c>
      <c r="AJ6" t="str">
        <f>VLOOKUP($Z6,'oddspedia-matches'!$A:$AD,AJ$2,0)</f>
        <v>Red</v>
      </c>
      <c r="AK6" t="str">
        <f>VLOOKUP($Z6,'oddspedia-matches'!$A:$AD,AK$2,0)</f>
        <v>Green</v>
      </c>
      <c r="AL6" t="str">
        <f>VLOOKUP($Z6,'oddspedia-matches'!$A:$AD,AL$2,0)</f>
        <v>Green</v>
      </c>
      <c r="AM6" t="str">
        <f>VLOOKUP($Z6,'oddspedia-matches'!$A:$AD,AM$2,0)</f>
        <v>Green</v>
      </c>
      <c r="AN6" t="str">
        <f>VLOOKUP($Z6,'oddspedia-matches'!$A:$AD,AN$2,0)</f>
        <v>Red</v>
      </c>
      <c r="AO6" t="str">
        <f>VLOOKUP($Z6,'oddspedia-matches'!$A:$AD,AO$2,0)</f>
        <v>Red</v>
      </c>
      <c r="AP6" t="str">
        <f>VLOOKUP($Z6,'oddspedia-matches'!$A:$AD,AP$2,0)</f>
        <v>Green</v>
      </c>
      <c r="AQ6" t="str">
        <f>VLOOKUP($Z6,'oddspedia-matches'!$A:$AD,AQ$2,0)</f>
        <v>Red</v>
      </c>
    </row>
    <row r="7" spans="1:43" x14ac:dyDescent="0.2">
      <c r="B7" s="17"/>
      <c r="C7" s="8" t="s">
        <v>242</v>
      </c>
      <c r="D7" s="18">
        <v>0.53125</v>
      </c>
      <c r="E7" s="8" t="s">
        <v>249</v>
      </c>
      <c r="F7" s="8" t="s">
        <v>144</v>
      </c>
      <c r="G7" s="19"/>
      <c r="H7" s="8">
        <v>56.3</v>
      </c>
      <c r="I7" s="8">
        <v>27.1</v>
      </c>
      <c r="J7" s="8">
        <v>16.600000000000001</v>
      </c>
      <c r="K7" s="8">
        <v>83.4</v>
      </c>
      <c r="L7" s="8">
        <v>43.7</v>
      </c>
      <c r="M7" s="8">
        <v>72.900000000000006</v>
      </c>
      <c r="N7" s="8">
        <v>38.1</v>
      </c>
      <c r="O7" s="8">
        <v>46.9</v>
      </c>
      <c r="P7" s="8">
        <v>15</v>
      </c>
      <c r="Q7" s="8">
        <v>62.3</v>
      </c>
      <c r="R7" s="8">
        <v>69.400000000000006</v>
      </c>
      <c r="S7" s="8">
        <v>41.9</v>
      </c>
      <c r="T7" s="8">
        <v>58.1</v>
      </c>
      <c r="U7" s="8">
        <v>65.3</v>
      </c>
      <c r="V7" s="8">
        <v>43.5</v>
      </c>
      <c r="W7" s="8">
        <v>56.5</v>
      </c>
      <c r="X7" t="str">
        <f>VLOOKUP(E7,'Transform table'!A:B,2,0)</f>
        <v>FK Suduva Marijampole</v>
      </c>
      <c r="Y7" t="str">
        <f>VLOOKUP(F7,'Transform table'!A:B,2,0)</f>
        <v>Hegelmann Litauen</v>
      </c>
      <c r="Z7" t="str">
        <f t="shared" si="0"/>
        <v>20/07/2026FK Suduva MarijampoleHegelmann Litauen</v>
      </c>
      <c r="AA7" t="str">
        <f>VLOOKUP($Z7,'oddspedia-matches'!$A:$AD,AA$2,0)</f>
        <v>5 - 1</v>
      </c>
      <c r="AB7" t="str">
        <f>VLOOKUP($Z7,'oddspedia-matches'!$A:$AD,AB$2,0)</f>
        <v>Green</v>
      </c>
      <c r="AC7" t="str">
        <f>VLOOKUP($Z7,'oddspedia-matches'!$A:$AD,AC$2,0)</f>
        <v>Red</v>
      </c>
      <c r="AD7" t="str">
        <f>VLOOKUP($Z7,'oddspedia-matches'!$A:$AD,AD$2,0)</f>
        <v>Red</v>
      </c>
      <c r="AE7" t="str">
        <f>VLOOKUP($Z7,'oddspedia-matches'!$A:$AD,AE$2,0)</f>
        <v>Green</v>
      </c>
      <c r="AF7" t="str">
        <f>VLOOKUP($Z7,'oddspedia-matches'!$A:$AD,AF$2,0)</f>
        <v>Red</v>
      </c>
      <c r="AG7" t="str">
        <f>VLOOKUP($Z7,'oddspedia-matches'!$A:$AD,AG$2,0)</f>
        <v>Green</v>
      </c>
      <c r="AH7" t="str">
        <f>VLOOKUP($Z7,'oddspedia-matches'!$A:$AD,AH$2,0)</f>
        <v>Green</v>
      </c>
      <c r="AI7" t="str">
        <f>VLOOKUP($Z7,'oddspedia-matches'!$A:$AD,AI$2,0)</f>
        <v>Red</v>
      </c>
      <c r="AJ7" t="str">
        <f>VLOOKUP($Z7,'oddspedia-matches'!$A:$AD,AJ$2,0)</f>
        <v>Red</v>
      </c>
      <c r="AK7" t="str">
        <f>VLOOKUP($Z7,'oddspedia-matches'!$A:$AD,AK$2,0)</f>
        <v>Green</v>
      </c>
      <c r="AL7" t="str">
        <f>VLOOKUP($Z7,'oddspedia-matches'!$A:$AD,AL$2,0)</f>
        <v>Green</v>
      </c>
      <c r="AM7" t="str">
        <f>VLOOKUP($Z7,'oddspedia-matches'!$A:$AD,AM$2,0)</f>
        <v>Green</v>
      </c>
      <c r="AN7" t="str">
        <f>VLOOKUP($Z7,'oddspedia-matches'!$A:$AD,AN$2,0)</f>
        <v>Red</v>
      </c>
      <c r="AO7" t="str">
        <f>VLOOKUP($Z7,'oddspedia-matches'!$A:$AD,AO$2,0)</f>
        <v>Red</v>
      </c>
      <c r="AP7" t="str">
        <f>VLOOKUP($Z7,'oddspedia-matches'!$A:$AD,AP$2,0)</f>
        <v>Green</v>
      </c>
      <c r="AQ7" t="str">
        <f>VLOOKUP($Z7,'oddspedia-matches'!$A:$AD,AQ$2,0)</f>
        <v>Red</v>
      </c>
    </row>
    <row r="8" spans="1:43" x14ac:dyDescent="0.2">
      <c r="B8" s="9"/>
      <c r="C8" s="7" t="s">
        <v>242</v>
      </c>
      <c r="D8" s="20">
        <v>0.54166666666666663</v>
      </c>
      <c r="E8" s="7" t="s">
        <v>250</v>
      </c>
      <c r="F8" s="7" t="s">
        <v>251</v>
      </c>
      <c r="G8" s="21"/>
      <c r="H8" s="7">
        <v>22.1</v>
      </c>
      <c r="I8" s="7">
        <v>30.6</v>
      </c>
      <c r="J8" s="7">
        <v>47.2</v>
      </c>
      <c r="K8" s="7">
        <v>52.8</v>
      </c>
      <c r="L8" s="7">
        <v>77.900000000000006</v>
      </c>
      <c r="M8" s="7">
        <v>69.400000000000006</v>
      </c>
      <c r="N8" s="7">
        <v>15.5</v>
      </c>
      <c r="O8" s="7">
        <v>46.9</v>
      </c>
      <c r="P8" s="7">
        <v>37.6</v>
      </c>
      <c r="Q8" s="7">
        <v>63</v>
      </c>
      <c r="R8" s="7">
        <v>68.400000000000006</v>
      </c>
      <c r="S8" s="7">
        <v>40.700000000000003</v>
      </c>
      <c r="T8" s="7">
        <v>59.3</v>
      </c>
      <c r="U8" s="7">
        <v>65.2</v>
      </c>
      <c r="V8" s="7">
        <v>46.1</v>
      </c>
      <c r="W8" s="7">
        <v>53.9</v>
      </c>
      <c r="X8" t="str">
        <f>VLOOKUP(E8,'Transform table'!A:B,2,0)</f>
        <v>IFK Mariehamn</v>
      </c>
      <c r="Y8" t="str">
        <f>VLOOKUP(F8,'Transform table'!A:B,2,0)</f>
        <v>FC Lahti</v>
      </c>
      <c r="Z8" t="str">
        <f t="shared" si="0"/>
        <v>20/07/2026IFK MariehamnFC Lahti</v>
      </c>
      <c r="AA8" t="str">
        <f>VLOOKUP($Z8,'oddspedia-matches'!$A:$AD,AA$2,0)</f>
        <v>0 - 2</v>
      </c>
      <c r="AB8" t="str">
        <f>VLOOKUP($Z8,'oddspedia-matches'!$A:$AD,AB$2,0)</f>
        <v>Red</v>
      </c>
      <c r="AC8" t="str">
        <f>VLOOKUP($Z8,'oddspedia-matches'!$A:$AD,AC$2,0)</f>
        <v>Red</v>
      </c>
      <c r="AD8" t="str">
        <f>VLOOKUP($Z8,'oddspedia-matches'!$A:$AD,AD$2,0)</f>
        <v>Green</v>
      </c>
      <c r="AE8" t="str">
        <f>VLOOKUP($Z8,'oddspedia-matches'!$A:$AD,AE$2,0)</f>
        <v>Red</v>
      </c>
      <c r="AF8" t="str">
        <f>VLOOKUP($Z8,'oddspedia-matches'!$A:$AD,AF$2,0)</f>
        <v>Green</v>
      </c>
      <c r="AG8" t="str">
        <f>VLOOKUP($Z8,'oddspedia-matches'!$A:$AD,AG$2,0)</f>
        <v>Green</v>
      </c>
      <c r="AH8" t="str">
        <f>VLOOKUP($Z8,'oddspedia-matches'!$A:$AD,AH$2,0)</f>
        <v>Red</v>
      </c>
      <c r="AI8" t="str">
        <f>VLOOKUP($Z8,'oddspedia-matches'!$A:$AD,AI$2,0)</f>
        <v>Red</v>
      </c>
      <c r="AJ8" t="str">
        <f>VLOOKUP($Z8,'oddspedia-matches'!$A:$AD,AJ$2,0)</f>
        <v>Green</v>
      </c>
      <c r="AK8" t="str">
        <f>VLOOKUP($Z8,'oddspedia-matches'!$A:$AD,AK$2,0)</f>
        <v>Green</v>
      </c>
      <c r="AL8" t="str">
        <f>VLOOKUP($Z8,'oddspedia-matches'!$A:$AD,AL$2,0)</f>
        <v>Green</v>
      </c>
      <c r="AM8" t="str">
        <f>VLOOKUP($Z8,'oddspedia-matches'!$A:$AD,AM$2,0)</f>
        <v>Red</v>
      </c>
      <c r="AN8" t="str">
        <f>VLOOKUP($Z8,'oddspedia-matches'!$A:$AD,AN$2,0)</f>
        <v>Green</v>
      </c>
      <c r="AO8" t="str">
        <f>VLOOKUP($Z8,'oddspedia-matches'!$A:$AD,AO$2,0)</f>
        <v>Green</v>
      </c>
      <c r="AP8" t="str">
        <f>VLOOKUP($Z8,'oddspedia-matches'!$A:$AD,AP$2,0)</f>
        <v>Red</v>
      </c>
      <c r="AQ8" t="str">
        <f>VLOOKUP($Z8,'oddspedia-matches'!$A:$AD,AQ$2,0)</f>
        <v>Green</v>
      </c>
    </row>
    <row r="9" spans="1:43" x14ac:dyDescent="0.2">
      <c r="B9" s="17"/>
      <c r="C9" s="8" t="s">
        <v>242</v>
      </c>
      <c r="D9" s="18">
        <v>0.54166666666666663</v>
      </c>
      <c r="E9" s="8" t="s">
        <v>252</v>
      </c>
      <c r="F9" s="8" t="s">
        <v>253</v>
      </c>
      <c r="G9" s="19"/>
      <c r="H9" s="8">
        <v>44.9</v>
      </c>
      <c r="I9" s="8">
        <v>28.8</v>
      </c>
      <c r="J9" s="8">
        <v>26.2</v>
      </c>
      <c r="K9" s="8">
        <v>73.8</v>
      </c>
      <c r="L9" s="8">
        <v>55.1</v>
      </c>
      <c r="M9" s="8">
        <v>71.2</v>
      </c>
      <c r="N9" s="8">
        <v>34.299999999999997</v>
      </c>
      <c r="O9" s="8">
        <v>41.1</v>
      </c>
      <c r="P9" s="8">
        <v>24.6</v>
      </c>
      <c r="Q9" s="8">
        <v>73.099999999999994</v>
      </c>
      <c r="R9" s="8">
        <v>72.8</v>
      </c>
      <c r="S9" s="8">
        <v>46</v>
      </c>
      <c r="T9" s="8">
        <v>54</v>
      </c>
      <c r="U9" s="8">
        <v>59.8</v>
      </c>
      <c r="V9" s="8">
        <v>51.4</v>
      </c>
      <c r="W9" s="8">
        <v>48.6</v>
      </c>
      <c r="X9" t="str">
        <f>VLOOKUP(E9,'Transform table'!A:B,2,0)</f>
        <v>SK Super Nova</v>
      </c>
      <c r="Y9" t="str">
        <f>VLOOKUP(F9,'Transform table'!A:B,2,0)</f>
        <v>SC Grobinas</v>
      </c>
      <c r="Z9" t="str">
        <f t="shared" si="0"/>
        <v>20/07/2026SK Super NovaSC Grobinas</v>
      </c>
      <c r="AA9" t="str">
        <f>VLOOKUP($Z9,'oddspedia-matches'!$A:$AD,AA$2,0)</f>
        <v>2 - 0</v>
      </c>
      <c r="AB9" t="str">
        <f>VLOOKUP($Z9,'oddspedia-matches'!$A:$AD,AB$2,0)</f>
        <v>Green</v>
      </c>
      <c r="AC9" t="str">
        <f>VLOOKUP($Z9,'oddspedia-matches'!$A:$AD,AC$2,0)</f>
        <v>Red</v>
      </c>
      <c r="AD9" t="str">
        <f>VLOOKUP($Z9,'oddspedia-matches'!$A:$AD,AD$2,0)</f>
        <v>Red</v>
      </c>
      <c r="AE9" t="str">
        <f>VLOOKUP($Z9,'oddspedia-matches'!$A:$AD,AE$2,0)</f>
        <v>Green</v>
      </c>
      <c r="AF9" t="str">
        <f>VLOOKUP($Z9,'oddspedia-matches'!$A:$AD,AF$2,0)</f>
        <v>Red</v>
      </c>
      <c r="AG9" t="str">
        <f>VLOOKUP($Z9,'oddspedia-matches'!$A:$AD,AG$2,0)</f>
        <v>Green</v>
      </c>
      <c r="AH9" t="str">
        <f>VLOOKUP($Z9,'oddspedia-matches'!$A:$AD,AH$2,0)</f>
        <v>Red</v>
      </c>
      <c r="AI9" t="str">
        <f>VLOOKUP($Z9,'oddspedia-matches'!$A:$AD,AI$2,0)</f>
        <v>Green</v>
      </c>
      <c r="AJ9" t="str">
        <f>VLOOKUP($Z9,'oddspedia-matches'!$A:$AD,AJ$2,0)</f>
        <v>Red</v>
      </c>
      <c r="AK9" t="str">
        <f>VLOOKUP($Z9,'oddspedia-matches'!$A:$AD,AK$2,0)</f>
        <v>Red</v>
      </c>
      <c r="AL9" t="str">
        <f>VLOOKUP($Z9,'oddspedia-matches'!$A:$AD,AL$2,0)</f>
        <v>Green</v>
      </c>
      <c r="AM9" t="str">
        <f>VLOOKUP($Z9,'oddspedia-matches'!$A:$AD,AM$2,0)</f>
        <v>Red</v>
      </c>
      <c r="AN9" t="str">
        <f>VLOOKUP($Z9,'oddspedia-matches'!$A:$AD,AN$2,0)</f>
        <v>Green</v>
      </c>
      <c r="AO9" t="str">
        <f>VLOOKUP($Z9,'oddspedia-matches'!$A:$AD,AO$2,0)</f>
        <v>Green</v>
      </c>
      <c r="AP9" t="str">
        <f>VLOOKUP($Z9,'oddspedia-matches'!$A:$AD,AP$2,0)</f>
        <v>Red</v>
      </c>
      <c r="AQ9" t="str">
        <f>VLOOKUP($Z9,'oddspedia-matches'!$A:$AD,AQ$2,0)</f>
        <v>Green</v>
      </c>
    </row>
    <row r="10" spans="1:43" x14ac:dyDescent="0.2">
      <c r="B10" s="9"/>
      <c r="C10" s="7" t="s">
        <v>242</v>
      </c>
      <c r="D10" s="20">
        <v>0.54166666666666663</v>
      </c>
      <c r="E10" s="7" t="s">
        <v>254</v>
      </c>
      <c r="F10" s="7" t="s">
        <v>255</v>
      </c>
      <c r="G10" s="21"/>
      <c r="H10" s="7">
        <v>35.9</v>
      </c>
      <c r="I10" s="7">
        <v>26.1</v>
      </c>
      <c r="J10" s="7">
        <v>38</v>
      </c>
      <c r="K10" s="7">
        <v>62</v>
      </c>
      <c r="L10" s="7">
        <v>64.099999999999994</v>
      </c>
      <c r="M10" s="7">
        <v>73.900000000000006</v>
      </c>
      <c r="N10" s="7">
        <v>18.3</v>
      </c>
      <c r="O10" s="7">
        <v>42.3</v>
      </c>
      <c r="P10" s="7">
        <v>39.4</v>
      </c>
      <c r="Q10" s="7">
        <v>70.3</v>
      </c>
      <c r="R10" s="7">
        <v>86.6</v>
      </c>
      <c r="S10" s="7">
        <v>66.5</v>
      </c>
      <c r="T10" s="7">
        <v>33.5</v>
      </c>
      <c r="U10" s="7">
        <v>38.9</v>
      </c>
      <c r="V10" s="7">
        <v>68.400000000000006</v>
      </c>
      <c r="W10" s="7">
        <v>31.6</v>
      </c>
      <c r="X10" t="str">
        <f>VLOOKUP(E10,'Transform table'!A:B,2,0)</f>
        <v>FK Tukums 2000 II</v>
      </c>
      <c r="Y10" t="str">
        <f>VLOOKUP(F10,'Transform table'!A:B,2,0)</f>
        <v>Rigas Futbola Skola II</v>
      </c>
      <c r="Z10" t="str">
        <f t="shared" si="0"/>
        <v>20/07/2026FK Tukums 2000 IIRigas Futbola Skola II</v>
      </c>
      <c r="AA10" t="str">
        <f>VLOOKUP($Z10,'oddspedia-matches'!$A:$AD,AA$2,0)</f>
        <v>2 - 0</v>
      </c>
      <c r="AB10" t="str">
        <f>VLOOKUP($Z10,'oddspedia-matches'!$A:$AD,AB$2,0)</f>
        <v>Green</v>
      </c>
      <c r="AC10" t="str">
        <f>VLOOKUP($Z10,'oddspedia-matches'!$A:$AD,AC$2,0)</f>
        <v>Red</v>
      </c>
      <c r="AD10" t="str">
        <f>VLOOKUP($Z10,'oddspedia-matches'!$A:$AD,AD$2,0)</f>
        <v>Red</v>
      </c>
      <c r="AE10" t="str">
        <f>VLOOKUP($Z10,'oddspedia-matches'!$A:$AD,AE$2,0)</f>
        <v>Green</v>
      </c>
      <c r="AF10" t="str">
        <f>VLOOKUP($Z10,'oddspedia-matches'!$A:$AD,AF$2,0)</f>
        <v>Red</v>
      </c>
      <c r="AG10" t="str">
        <f>VLOOKUP($Z10,'oddspedia-matches'!$A:$AD,AG$2,0)</f>
        <v>Green</v>
      </c>
      <c r="AH10" t="str">
        <f>VLOOKUP($Z10,'oddspedia-matches'!$A:$AD,AH$2,0)</f>
        <v>Red</v>
      </c>
      <c r="AI10" t="str">
        <f>VLOOKUP($Z10,'oddspedia-matches'!$A:$AD,AI$2,0)</f>
        <v>Green</v>
      </c>
      <c r="AJ10" t="str">
        <f>VLOOKUP($Z10,'oddspedia-matches'!$A:$AD,AJ$2,0)</f>
        <v>Red</v>
      </c>
      <c r="AK10" t="str">
        <f>VLOOKUP($Z10,'oddspedia-matches'!$A:$AD,AK$2,0)</f>
        <v>Red</v>
      </c>
      <c r="AL10" t="str">
        <f>VLOOKUP($Z10,'oddspedia-matches'!$A:$AD,AL$2,0)</f>
        <v>Green</v>
      </c>
      <c r="AM10" t="str">
        <f>VLOOKUP($Z10,'oddspedia-matches'!$A:$AD,AM$2,0)</f>
        <v>Red</v>
      </c>
      <c r="AN10" t="str">
        <f>VLOOKUP($Z10,'oddspedia-matches'!$A:$AD,AN$2,0)</f>
        <v>Green</v>
      </c>
      <c r="AO10" t="str">
        <f>VLOOKUP($Z10,'oddspedia-matches'!$A:$AD,AO$2,0)</f>
        <v>Green</v>
      </c>
      <c r="AP10" t="str">
        <f>VLOOKUP($Z10,'oddspedia-matches'!$A:$AD,AP$2,0)</f>
        <v>Red</v>
      </c>
      <c r="AQ10" t="str">
        <f>VLOOKUP($Z10,'oddspedia-matches'!$A:$AD,AQ$2,0)</f>
        <v>Green</v>
      </c>
    </row>
    <row r="11" spans="1:43" x14ac:dyDescent="0.2">
      <c r="B11" s="17"/>
      <c r="C11" s="8" t="s">
        <v>242</v>
      </c>
      <c r="D11" s="18">
        <v>0.58333333333333337</v>
      </c>
      <c r="E11" s="8" t="s">
        <v>256</v>
      </c>
      <c r="F11" s="8" t="s">
        <v>257</v>
      </c>
      <c r="G11" s="19"/>
      <c r="H11" s="8">
        <v>41.2</v>
      </c>
      <c r="I11" s="8">
        <v>26.6</v>
      </c>
      <c r="J11" s="8">
        <v>32.1</v>
      </c>
      <c r="K11" s="8">
        <v>67.900000000000006</v>
      </c>
      <c r="L11" s="8">
        <v>58.8</v>
      </c>
      <c r="M11" s="8">
        <v>73.400000000000006</v>
      </c>
      <c r="N11" s="8">
        <v>37.9</v>
      </c>
      <c r="O11" s="8">
        <v>34.9</v>
      </c>
      <c r="P11" s="8">
        <v>27.1</v>
      </c>
      <c r="Q11" s="8">
        <v>82.7</v>
      </c>
      <c r="R11" s="8">
        <v>83.2</v>
      </c>
      <c r="S11" s="8">
        <v>60.9</v>
      </c>
      <c r="T11" s="8">
        <v>39.1</v>
      </c>
      <c r="U11" s="8">
        <v>44.8</v>
      </c>
      <c r="V11" s="8">
        <v>63.9</v>
      </c>
      <c r="W11" s="8">
        <v>36.1</v>
      </c>
      <c r="X11" t="str">
        <f>VLOOKUP(E11,'Transform table'!A:B,2,0)</f>
        <v>Kalmar</v>
      </c>
      <c r="Y11" t="str">
        <f>VLOOKUP(F11,'Transform table'!A:B,2,0)</f>
        <v>Malmo</v>
      </c>
      <c r="Z11" t="str">
        <f t="shared" si="0"/>
        <v>20/07/2026KalmarMalmo</v>
      </c>
      <c r="AA11" t="str">
        <f>VLOOKUP($Z11,'oddspedia-matches'!$A:$AD,AA$2,0)</f>
        <v>2 - 2</v>
      </c>
      <c r="AB11" t="str">
        <f>VLOOKUP($Z11,'oddspedia-matches'!$A:$AD,AB$2,0)</f>
        <v>Red</v>
      </c>
      <c r="AC11" t="str">
        <f>VLOOKUP($Z11,'oddspedia-matches'!$A:$AD,AC$2,0)</f>
        <v>Green</v>
      </c>
      <c r="AD11" t="str">
        <f>VLOOKUP($Z11,'oddspedia-matches'!$A:$AD,AD$2,0)</f>
        <v>Red</v>
      </c>
      <c r="AE11" t="str">
        <f>VLOOKUP($Z11,'oddspedia-matches'!$A:$AD,AE$2,0)</f>
        <v>Green</v>
      </c>
      <c r="AF11" t="str">
        <f>VLOOKUP($Z11,'oddspedia-matches'!$A:$AD,AF$2,0)</f>
        <v>Green</v>
      </c>
      <c r="AG11" t="str">
        <f>VLOOKUP($Z11,'oddspedia-matches'!$A:$AD,AG$2,0)</f>
        <v>Red</v>
      </c>
      <c r="AH11" t="str">
        <f>VLOOKUP($Z11,'oddspedia-matches'!$A:$AD,AH$2,0)</f>
        <v>Green</v>
      </c>
      <c r="AI11" t="str">
        <f>VLOOKUP($Z11,'oddspedia-matches'!$A:$AD,AI$2,0)</f>
        <v>Red</v>
      </c>
      <c r="AJ11" t="str">
        <f>VLOOKUP($Z11,'oddspedia-matches'!$A:$AD,AJ$2,0)</f>
        <v>Red</v>
      </c>
      <c r="AK11" t="str">
        <f>VLOOKUP($Z11,'oddspedia-matches'!$A:$AD,AK$2,0)</f>
        <v>Green</v>
      </c>
      <c r="AL11" t="str">
        <f>VLOOKUP($Z11,'oddspedia-matches'!$A:$AD,AL$2,0)</f>
        <v>Green</v>
      </c>
      <c r="AM11" t="str">
        <f>VLOOKUP($Z11,'oddspedia-matches'!$A:$AD,AM$2,0)</f>
        <v>Green</v>
      </c>
      <c r="AN11" t="str">
        <f>VLOOKUP($Z11,'oddspedia-matches'!$A:$AD,AN$2,0)</f>
        <v>Red</v>
      </c>
      <c r="AO11" t="str">
        <f>VLOOKUP($Z11,'oddspedia-matches'!$A:$AD,AO$2,0)</f>
        <v>Red</v>
      </c>
      <c r="AP11" t="str">
        <f>VLOOKUP($Z11,'oddspedia-matches'!$A:$AD,AP$2,0)</f>
        <v>Green</v>
      </c>
      <c r="AQ11" t="str">
        <f>VLOOKUP($Z11,'oddspedia-matches'!$A:$AD,AQ$2,0)</f>
        <v>Red</v>
      </c>
    </row>
    <row r="12" spans="1:43" x14ac:dyDescent="0.2">
      <c r="B12" s="9"/>
      <c r="C12" s="7" t="s">
        <v>242</v>
      </c>
      <c r="D12" s="20">
        <v>0.58333333333333337</v>
      </c>
      <c r="E12" s="7" t="s">
        <v>146</v>
      </c>
      <c r="F12" s="7" t="s">
        <v>258</v>
      </c>
      <c r="G12" s="21"/>
      <c r="H12" s="7">
        <v>22.7</v>
      </c>
      <c r="I12" s="7">
        <v>25.2</v>
      </c>
      <c r="J12" s="7">
        <v>52.1</v>
      </c>
      <c r="K12" s="7">
        <v>47.9</v>
      </c>
      <c r="L12" s="7">
        <v>77.3</v>
      </c>
      <c r="M12" s="7">
        <v>74.8</v>
      </c>
      <c r="N12" s="7">
        <v>20.399999999999999</v>
      </c>
      <c r="O12" s="7">
        <v>34</v>
      </c>
      <c r="P12" s="7">
        <v>45.7</v>
      </c>
      <c r="Q12" s="7">
        <v>83</v>
      </c>
      <c r="R12" s="7">
        <v>89</v>
      </c>
      <c r="S12" s="7">
        <v>71</v>
      </c>
      <c r="T12" s="7">
        <v>29</v>
      </c>
      <c r="U12" s="7">
        <v>35</v>
      </c>
      <c r="V12" s="7">
        <v>69.5</v>
      </c>
      <c r="W12" s="7">
        <v>30.5</v>
      </c>
      <c r="X12" t="str">
        <f>VLOOKUP(E12,'Transform table'!A:B,2,0)</f>
        <v>Orgryte IS</v>
      </c>
      <c r="Y12" t="str">
        <f>VLOOKUP(F12,'Transform table'!A:B,2,0)</f>
        <v>Djurgardens IF</v>
      </c>
      <c r="Z12" t="str">
        <f t="shared" si="0"/>
        <v>20/07/2026Orgryte ISDjurgardens IF</v>
      </c>
      <c r="AA12" t="str">
        <f>VLOOKUP($Z12,'oddspedia-matches'!$A:$AD,AA$2,0)</f>
        <v>0 - 0</v>
      </c>
      <c r="AB12" t="str">
        <f>VLOOKUP($Z12,'oddspedia-matches'!$A:$AD,AB$2,0)</f>
        <v>Red</v>
      </c>
      <c r="AC12" t="str">
        <f>VLOOKUP($Z12,'oddspedia-matches'!$A:$AD,AC$2,0)</f>
        <v>Green</v>
      </c>
      <c r="AD12" t="str">
        <f>VLOOKUP($Z12,'oddspedia-matches'!$A:$AD,AD$2,0)</f>
        <v>Red</v>
      </c>
      <c r="AE12" t="str">
        <f>VLOOKUP($Z12,'oddspedia-matches'!$A:$AD,AE$2,0)</f>
        <v>Green</v>
      </c>
      <c r="AF12" t="str">
        <f>VLOOKUP($Z12,'oddspedia-matches'!$A:$AD,AF$2,0)</f>
        <v>Green</v>
      </c>
      <c r="AG12" t="str">
        <f>VLOOKUP($Z12,'oddspedia-matches'!$A:$AD,AG$2,0)</f>
        <v>Red</v>
      </c>
      <c r="AH12" t="str">
        <f>VLOOKUP($Z12,'oddspedia-matches'!$A:$AD,AH$2,0)</f>
        <v>Red</v>
      </c>
      <c r="AI12" t="str">
        <f>VLOOKUP($Z12,'oddspedia-matches'!$A:$AD,AI$2,0)</f>
        <v>Green</v>
      </c>
      <c r="AJ12" t="str">
        <f>VLOOKUP($Z12,'oddspedia-matches'!$A:$AD,AJ$2,0)</f>
        <v>Red</v>
      </c>
      <c r="AK12" t="str">
        <f>VLOOKUP($Z12,'oddspedia-matches'!$A:$AD,AK$2,0)</f>
        <v>Red</v>
      </c>
      <c r="AL12" t="str">
        <f>VLOOKUP($Z12,'oddspedia-matches'!$A:$AD,AL$2,0)</f>
        <v>Red</v>
      </c>
      <c r="AM12" t="str">
        <f>VLOOKUP($Z12,'oddspedia-matches'!$A:$AD,AM$2,0)</f>
        <v>Red</v>
      </c>
      <c r="AN12" t="str">
        <f>VLOOKUP($Z12,'oddspedia-matches'!$A:$AD,AN$2,0)</f>
        <v>Green</v>
      </c>
      <c r="AO12" t="str">
        <f>VLOOKUP($Z12,'oddspedia-matches'!$A:$AD,AO$2,0)</f>
        <v>Green</v>
      </c>
      <c r="AP12" t="str">
        <f>VLOOKUP($Z12,'oddspedia-matches'!$A:$AD,AP$2,0)</f>
        <v>Red</v>
      </c>
      <c r="AQ12" t="str">
        <f>VLOOKUP($Z12,'oddspedia-matches'!$A:$AD,AQ$2,0)</f>
        <v>Green</v>
      </c>
    </row>
    <row r="13" spans="1:43" x14ac:dyDescent="0.2">
      <c r="B13" s="17"/>
      <c r="C13" s="8" t="s">
        <v>242</v>
      </c>
      <c r="D13" s="18">
        <v>0.58333333333333337</v>
      </c>
      <c r="E13" s="8" t="s">
        <v>259</v>
      </c>
      <c r="F13" s="8" t="s">
        <v>260</v>
      </c>
      <c r="G13" s="19"/>
      <c r="H13" s="8">
        <v>57.6</v>
      </c>
      <c r="I13" s="8">
        <v>24.8</v>
      </c>
      <c r="J13" s="8">
        <v>17.7</v>
      </c>
      <c r="K13" s="8">
        <v>82.3</v>
      </c>
      <c r="L13" s="8">
        <v>42.4</v>
      </c>
      <c r="M13" s="8">
        <v>75.2</v>
      </c>
      <c r="N13" s="8">
        <v>49.5</v>
      </c>
      <c r="O13" s="8">
        <v>40.1</v>
      </c>
      <c r="P13" s="8">
        <v>10.4</v>
      </c>
      <c r="Q13" s="8">
        <v>68.7</v>
      </c>
      <c r="R13" s="8">
        <v>79.3</v>
      </c>
      <c r="S13" s="8">
        <v>55</v>
      </c>
      <c r="T13" s="8">
        <v>45</v>
      </c>
      <c r="U13" s="8">
        <v>52.4</v>
      </c>
      <c r="V13" s="8">
        <v>54.2</v>
      </c>
      <c r="W13" s="8">
        <v>45.8</v>
      </c>
      <c r="X13" t="str">
        <f>VLOOKUP(E13,'Transform table'!A:B,2,0)</f>
        <v>Norrby</v>
      </c>
      <c r="Y13" t="str">
        <f>VLOOKUP(F13,'Transform table'!A:B,2,0)</f>
        <v>Sundsvall</v>
      </c>
      <c r="Z13" t="str">
        <f t="shared" si="0"/>
        <v>20/07/2026NorrbySundsvall</v>
      </c>
      <c r="AA13" t="str">
        <f>VLOOKUP($Z13,'oddspedia-matches'!$A:$AD,AA$2,0)</f>
        <v>3 - 1</v>
      </c>
      <c r="AB13" t="str">
        <f>VLOOKUP($Z13,'oddspedia-matches'!$A:$AD,AB$2,0)</f>
        <v>Green</v>
      </c>
      <c r="AC13" t="str">
        <f>VLOOKUP($Z13,'oddspedia-matches'!$A:$AD,AC$2,0)</f>
        <v>Red</v>
      </c>
      <c r="AD13" t="str">
        <f>VLOOKUP($Z13,'oddspedia-matches'!$A:$AD,AD$2,0)</f>
        <v>Red</v>
      </c>
      <c r="AE13" t="str">
        <f>VLOOKUP($Z13,'oddspedia-matches'!$A:$AD,AE$2,0)</f>
        <v>Green</v>
      </c>
      <c r="AF13" t="str">
        <f>VLOOKUP($Z13,'oddspedia-matches'!$A:$AD,AF$2,0)</f>
        <v>Red</v>
      </c>
      <c r="AG13" t="str">
        <f>VLOOKUP($Z13,'oddspedia-matches'!$A:$AD,AG$2,0)</f>
        <v>Green</v>
      </c>
      <c r="AH13" t="str">
        <f>VLOOKUP($Z13,'oddspedia-matches'!$A:$AD,AH$2,0)</f>
        <v>Red</v>
      </c>
      <c r="AI13" t="str">
        <f>VLOOKUP($Z13,'oddspedia-matches'!$A:$AD,AI$2,0)</f>
        <v>Green</v>
      </c>
      <c r="AJ13" t="str">
        <f>VLOOKUP($Z13,'oddspedia-matches'!$A:$AD,AJ$2,0)</f>
        <v>Red</v>
      </c>
      <c r="AK13" t="str">
        <f>VLOOKUP($Z13,'oddspedia-matches'!$A:$AD,AK$2,0)</f>
        <v>Red</v>
      </c>
      <c r="AL13" t="str">
        <f>VLOOKUP($Z13,'oddspedia-matches'!$A:$AD,AL$2,0)</f>
        <v>Green</v>
      </c>
      <c r="AM13" t="str">
        <f>VLOOKUP($Z13,'oddspedia-matches'!$A:$AD,AM$2,0)</f>
        <v>Green</v>
      </c>
      <c r="AN13" t="str">
        <f>VLOOKUP($Z13,'oddspedia-matches'!$A:$AD,AN$2,0)</f>
        <v>Red</v>
      </c>
      <c r="AO13" t="str">
        <f>VLOOKUP($Z13,'oddspedia-matches'!$A:$AD,AO$2,0)</f>
        <v>Red</v>
      </c>
      <c r="AP13" t="str">
        <f>VLOOKUP($Z13,'oddspedia-matches'!$A:$AD,AP$2,0)</f>
        <v>Green</v>
      </c>
      <c r="AQ13" t="str">
        <f>VLOOKUP($Z13,'oddspedia-matches'!$A:$AD,AQ$2,0)</f>
        <v>Red</v>
      </c>
    </row>
    <row r="14" spans="1:43" x14ac:dyDescent="0.2">
      <c r="B14" s="9"/>
      <c r="C14" s="7" t="s">
        <v>242</v>
      </c>
      <c r="D14" s="20">
        <v>0.66666666666666663</v>
      </c>
      <c r="E14" s="7" t="s">
        <v>261</v>
      </c>
      <c r="F14" s="7" t="s">
        <v>188</v>
      </c>
      <c r="G14" s="21"/>
      <c r="H14" s="7">
        <v>41.7</v>
      </c>
      <c r="I14" s="7">
        <v>25.5</v>
      </c>
      <c r="J14" s="7">
        <v>32.700000000000003</v>
      </c>
      <c r="K14" s="7">
        <v>67.3</v>
      </c>
      <c r="L14" s="7">
        <v>58.3</v>
      </c>
      <c r="M14" s="7">
        <v>74.5</v>
      </c>
      <c r="N14" s="7">
        <v>31.1</v>
      </c>
      <c r="O14" s="7">
        <v>40.200000000000003</v>
      </c>
      <c r="P14" s="7">
        <v>28.7</v>
      </c>
      <c r="Q14" s="7">
        <v>74.900000000000006</v>
      </c>
      <c r="R14" s="7">
        <v>88.5</v>
      </c>
      <c r="S14" s="7">
        <v>70</v>
      </c>
      <c r="T14" s="7">
        <v>30</v>
      </c>
      <c r="U14" s="7">
        <v>35.4</v>
      </c>
      <c r="V14" s="7">
        <v>70.900000000000006</v>
      </c>
      <c r="W14" s="7">
        <v>29.1</v>
      </c>
      <c r="X14" t="str">
        <f>VLOOKUP(E14,'Transform table'!A:B,2,0)</f>
        <v>SA Bulo Bulo</v>
      </c>
      <c r="Y14" t="str">
        <f>VLOOKUP(F14,'Transform table'!A:B,2,0)</f>
        <v>ABB</v>
      </c>
      <c r="Z14" t="str">
        <f t="shared" si="0"/>
        <v>20/07/2026SA Bulo BuloABB</v>
      </c>
      <c r="AA14" t="str">
        <f>VLOOKUP($Z14,'oddspedia-matches'!$A:$AD,AA$2,0)</f>
        <v>2 - 1</v>
      </c>
      <c r="AB14" t="str">
        <f>VLOOKUP($Z14,'oddspedia-matches'!$A:$AD,AB$2,0)</f>
        <v>Green</v>
      </c>
      <c r="AC14" t="str">
        <f>VLOOKUP($Z14,'oddspedia-matches'!$A:$AD,AC$2,0)</f>
        <v>Red</v>
      </c>
      <c r="AD14" t="str">
        <f>VLOOKUP($Z14,'oddspedia-matches'!$A:$AD,AD$2,0)</f>
        <v>Red</v>
      </c>
      <c r="AE14" t="str">
        <f>VLOOKUP($Z14,'oddspedia-matches'!$A:$AD,AE$2,0)</f>
        <v>Green</v>
      </c>
      <c r="AF14" t="str">
        <f>VLOOKUP($Z14,'oddspedia-matches'!$A:$AD,AF$2,0)</f>
        <v>Red</v>
      </c>
      <c r="AG14" t="str">
        <f>VLOOKUP($Z14,'oddspedia-matches'!$A:$AD,AG$2,0)</f>
        <v>Green</v>
      </c>
      <c r="AH14" t="str">
        <f>VLOOKUP($Z14,'oddspedia-matches'!$A:$AD,AH$2,0)</f>
        <v>Red</v>
      </c>
      <c r="AI14" t="str">
        <f>VLOOKUP($Z14,'oddspedia-matches'!$A:$AD,AI$2,0)</f>
        <v>Green</v>
      </c>
      <c r="AJ14" t="str">
        <f>VLOOKUP($Z14,'oddspedia-matches'!$A:$AD,AJ$2,0)</f>
        <v>Red</v>
      </c>
      <c r="AK14" t="str">
        <f>VLOOKUP($Z14,'oddspedia-matches'!$A:$AD,AK$2,0)</f>
        <v>Green</v>
      </c>
      <c r="AL14" t="str">
        <f>VLOOKUP($Z14,'oddspedia-matches'!$A:$AD,AL$2,0)</f>
        <v>Green</v>
      </c>
      <c r="AM14" t="str">
        <f>VLOOKUP($Z14,'oddspedia-matches'!$A:$AD,AM$2,0)</f>
        <v>Green</v>
      </c>
      <c r="AN14" t="str">
        <f>VLOOKUP($Z14,'oddspedia-matches'!$A:$AD,AN$2,0)</f>
        <v>Red</v>
      </c>
      <c r="AO14" t="str">
        <f>VLOOKUP($Z14,'oddspedia-matches'!$A:$AD,AO$2,0)</f>
        <v>Green</v>
      </c>
      <c r="AP14" t="str">
        <f>VLOOKUP($Z14,'oddspedia-matches'!$A:$AD,AP$2,0)</f>
        <v>Green</v>
      </c>
      <c r="AQ14" t="str">
        <f>VLOOKUP($Z14,'oddspedia-matches'!$A:$AD,AQ$2,0)</f>
        <v>Red</v>
      </c>
    </row>
    <row r="15" spans="1:43" x14ac:dyDescent="0.2">
      <c r="B15" s="17"/>
      <c r="C15" s="8" t="s">
        <v>242</v>
      </c>
      <c r="D15" s="18">
        <v>0.66666666666666663</v>
      </c>
      <c r="E15" s="8" t="s">
        <v>117</v>
      </c>
      <c r="F15" s="8" t="s">
        <v>102</v>
      </c>
      <c r="G15" s="19"/>
      <c r="H15" s="8">
        <v>43.7</v>
      </c>
      <c r="I15" s="8">
        <v>28.7</v>
      </c>
      <c r="J15" s="8">
        <v>27.5</v>
      </c>
      <c r="K15" s="8">
        <v>72.5</v>
      </c>
      <c r="L15" s="8">
        <v>56.3</v>
      </c>
      <c r="M15" s="8">
        <v>71.3</v>
      </c>
      <c r="N15" s="8">
        <v>38.200000000000003</v>
      </c>
      <c r="O15" s="8">
        <v>42.6</v>
      </c>
      <c r="P15" s="8">
        <v>19.100000000000001</v>
      </c>
      <c r="Q15" s="8">
        <v>69.5</v>
      </c>
      <c r="R15" s="8">
        <v>73.900000000000006</v>
      </c>
      <c r="S15" s="8">
        <v>47.3</v>
      </c>
      <c r="T15" s="8">
        <v>52.7</v>
      </c>
      <c r="U15" s="8">
        <v>58.4</v>
      </c>
      <c r="V15" s="8">
        <v>52.8</v>
      </c>
      <c r="W15" s="8">
        <v>47.2</v>
      </c>
      <c r="X15" t="str">
        <f>VLOOKUP(E15,'Transform table'!A:B,2,0)</f>
        <v>Mushuc Runa</v>
      </c>
      <c r="Y15" t="str">
        <f>VLOOKUP(F15,'Transform table'!A:B,2,0)</f>
        <v>Orense SC</v>
      </c>
      <c r="Z15" t="str">
        <f t="shared" si="0"/>
        <v>20/07/2026Mushuc RunaOrense SC</v>
      </c>
      <c r="AA15" t="str">
        <f>VLOOKUP($Z15,'oddspedia-matches'!$A:$AD,AA$2,0)</f>
        <v>2 - 1</v>
      </c>
      <c r="AB15" t="str">
        <f>VLOOKUP($Z15,'oddspedia-matches'!$A:$AD,AB$2,0)</f>
        <v>Green</v>
      </c>
      <c r="AC15" t="str">
        <f>VLOOKUP($Z15,'oddspedia-matches'!$A:$AD,AC$2,0)</f>
        <v>Red</v>
      </c>
      <c r="AD15" t="str">
        <f>VLOOKUP($Z15,'oddspedia-matches'!$A:$AD,AD$2,0)</f>
        <v>Red</v>
      </c>
      <c r="AE15" t="str">
        <f>VLOOKUP($Z15,'oddspedia-matches'!$A:$AD,AE$2,0)</f>
        <v>Green</v>
      </c>
      <c r="AF15" t="str">
        <f>VLOOKUP($Z15,'oddspedia-matches'!$A:$AD,AF$2,0)</f>
        <v>Red</v>
      </c>
      <c r="AG15" t="str">
        <f>VLOOKUP($Z15,'oddspedia-matches'!$A:$AD,AG$2,0)</f>
        <v>Green</v>
      </c>
      <c r="AH15" t="str">
        <f>VLOOKUP($Z15,'oddspedia-matches'!$A:$AD,AH$2,0)</f>
        <v>Red</v>
      </c>
      <c r="AI15" t="str">
        <f>VLOOKUP($Z15,'oddspedia-matches'!$A:$AD,AI$2,0)</f>
        <v>Green</v>
      </c>
      <c r="AJ15" t="str">
        <f>VLOOKUP($Z15,'oddspedia-matches'!$A:$AD,AJ$2,0)</f>
        <v>Red</v>
      </c>
      <c r="AK15" t="str">
        <f>VLOOKUP($Z15,'oddspedia-matches'!$A:$AD,AK$2,0)</f>
        <v>Green</v>
      </c>
      <c r="AL15" t="str">
        <f>VLOOKUP($Z15,'oddspedia-matches'!$A:$AD,AL$2,0)</f>
        <v>Green</v>
      </c>
      <c r="AM15" t="str">
        <f>VLOOKUP($Z15,'oddspedia-matches'!$A:$AD,AM$2,0)</f>
        <v>Green</v>
      </c>
      <c r="AN15" t="str">
        <f>VLOOKUP($Z15,'oddspedia-matches'!$A:$AD,AN$2,0)</f>
        <v>Red</v>
      </c>
      <c r="AO15" t="str">
        <f>VLOOKUP($Z15,'oddspedia-matches'!$A:$AD,AO$2,0)</f>
        <v>Green</v>
      </c>
      <c r="AP15" t="str">
        <f>VLOOKUP($Z15,'oddspedia-matches'!$A:$AD,AP$2,0)</f>
        <v>Green</v>
      </c>
      <c r="AQ15" t="str">
        <f>VLOOKUP($Z15,'oddspedia-matches'!$A:$AD,AQ$2,0)</f>
        <v>Red</v>
      </c>
    </row>
    <row r="16" spans="1:43" x14ac:dyDescent="0.2">
      <c r="B16" s="9"/>
      <c r="C16" s="7" t="s">
        <v>242</v>
      </c>
      <c r="D16" s="20">
        <v>0.67708333333333337</v>
      </c>
      <c r="E16" s="7" t="s">
        <v>262</v>
      </c>
      <c r="F16" s="7" t="s">
        <v>263</v>
      </c>
      <c r="G16" s="21"/>
      <c r="H16" s="7">
        <v>36.700000000000003</v>
      </c>
      <c r="I16" s="7">
        <v>25.5</v>
      </c>
      <c r="J16" s="7">
        <v>37.799999999999997</v>
      </c>
      <c r="K16" s="7">
        <v>62.2</v>
      </c>
      <c r="L16" s="7">
        <v>63.3</v>
      </c>
      <c r="M16" s="7">
        <v>74.5</v>
      </c>
      <c r="N16" s="7">
        <v>37</v>
      </c>
      <c r="O16" s="7">
        <v>34.4</v>
      </c>
      <c r="P16" s="7">
        <v>28.6</v>
      </c>
      <c r="Q16" s="7">
        <v>83.7</v>
      </c>
      <c r="R16" s="7">
        <v>91.2</v>
      </c>
      <c r="S16" s="7">
        <v>75.3</v>
      </c>
      <c r="T16" s="7">
        <v>24.7</v>
      </c>
      <c r="U16" s="7">
        <v>29.6</v>
      </c>
      <c r="V16" s="7">
        <v>75.3</v>
      </c>
      <c r="W16" s="7">
        <v>24.7</v>
      </c>
      <c r="X16" t="str">
        <f>VLOOKUP(E16,'Transform table'!A:B,2,0)</f>
        <v>Hafnarfjordur</v>
      </c>
      <c r="Y16" t="str">
        <f>VLOOKUP(F16,'Transform table'!A:B,2,0)</f>
        <v>Breidablik</v>
      </c>
      <c r="Z16" t="str">
        <f t="shared" si="0"/>
        <v>20/07/2026HafnarfjordurBreidablik</v>
      </c>
      <c r="AA16" t="str">
        <f>VLOOKUP($Z16,'oddspedia-matches'!$A:$AD,AA$2,0)</f>
        <v>0 - 0</v>
      </c>
      <c r="AB16" t="str">
        <f>VLOOKUP($Z16,'oddspedia-matches'!$A:$AD,AB$2,0)</f>
        <v>Red</v>
      </c>
      <c r="AC16" t="str">
        <f>VLOOKUP($Z16,'oddspedia-matches'!$A:$AD,AC$2,0)</f>
        <v>Green</v>
      </c>
      <c r="AD16" t="str">
        <f>VLOOKUP($Z16,'oddspedia-matches'!$A:$AD,AD$2,0)</f>
        <v>Red</v>
      </c>
      <c r="AE16" t="str">
        <f>VLOOKUP($Z16,'oddspedia-matches'!$A:$AD,AE$2,0)</f>
        <v>Green</v>
      </c>
      <c r="AF16" t="str">
        <f>VLOOKUP($Z16,'oddspedia-matches'!$A:$AD,AF$2,0)</f>
        <v>Green</v>
      </c>
      <c r="AG16" t="str">
        <f>VLOOKUP($Z16,'oddspedia-matches'!$A:$AD,AG$2,0)</f>
        <v>Red</v>
      </c>
      <c r="AH16" t="str">
        <f>VLOOKUP($Z16,'oddspedia-matches'!$A:$AD,AH$2,0)</f>
        <v>Red</v>
      </c>
      <c r="AI16" t="str">
        <f>VLOOKUP($Z16,'oddspedia-matches'!$A:$AD,AI$2,0)</f>
        <v>Green</v>
      </c>
      <c r="AJ16" t="str">
        <f>VLOOKUP($Z16,'oddspedia-matches'!$A:$AD,AJ$2,0)</f>
        <v>Red</v>
      </c>
      <c r="AK16" t="str">
        <f>VLOOKUP($Z16,'oddspedia-matches'!$A:$AD,AK$2,0)</f>
        <v>Red</v>
      </c>
      <c r="AL16" t="str">
        <f>VLOOKUP($Z16,'oddspedia-matches'!$A:$AD,AL$2,0)</f>
        <v>Red</v>
      </c>
      <c r="AM16" t="str">
        <f>VLOOKUP($Z16,'oddspedia-matches'!$A:$AD,AM$2,0)</f>
        <v>Red</v>
      </c>
      <c r="AN16" t="str">
        <f>VLOOKUP($Z16,'oddspedia-matches'!$A:$AD,AN$2,0)</f>
        <v>Green</v>
      </c>
      <c r="AO16" t="str">
        <f>VLOOKUP($Z16,'oddspedia-matches'!$A:$AD,AO$2,0)</f>
        <v>Green</v>
      </c>
      <c r="AP16" t="str">
        <f>VLOOKUP($Z16,'oddspedia-matches'!$A:$AD,AP$2,0)</f>
        <v>Red</v>
      </c>
      <c r="AQ16" t="str">
        <f>VLOOKUP($Z16,'oddspedia-matches'!$A:$AD,AQ$2,0)</f>
        <v>Green</v>
      </c>
    </row>
    <row r="17" spans="2:43" x14ac:dyDescent="0.2">
      <c r="B17" s="17"/>
      <c r="C17" s="8" t="s">
        <v>242</v>
      </c>
      <c r="D17" s="18">
        <v>0.67708333333333337</v>
      </c>
      <c r="E17" s="8" t="s">
        <v>168</v>
      </c>
      <c r="F17" s="8" t="s">
        <v>264</v>
      </c>
      <c r="G17" s="19"/>
      <c r="H17" s="8">
        <v>47.3</v>
      </c>
      <c r="I17" s="8">
        <v>25.6</v>
      </c>
      <c r="J17" s="8">
        <v>27.1</v>
      </c>
      <c r="K17" s="8">
        <v>72.900000000000006</v>
      </c>
      <c r="L17" s="8">
        <v>52.7</v>
      </c>
      <c r="M17" s="8">
        <v>74.400000000000006</v>
      </c>
      <c r="N17" s="8">
        <v>28.2</v>
      </c>
      <c r="O17" s="8">
        <v>46.1</v>
      </c>
      <c r="P17" s="8">
        <v>25.7</v>
      </c>
      <c r="Q17" s="8">
        <v>65.7</v>
      </c>
      <c r="R17" s="8">
        <v>85</v>
      </c>
      <c r="S17" s="8">
        <v>63.8</v>
      </c>
      <c r="T17" s="8">
        <v>36.200000000000003</v>
      </c>
      <c r="U17" s="8">
        <v>42.1</v>
      </c>
      <c r="V17" s="8">
        <v>65.2</v>
      </c>
      <c r="W17" s="8">
        <v>34.799999999999997</v>
      </c>
      <c r="X17" t="str">
        <f>VLOOKUP(E17,'Transform table'!A:B,2,0)</f>
        <v>Keflavik</v>
      </c>
      <c r="Y17" t="str">
        <f>VLOOKUP(F17,'Transform table'!A:B,2,0)</f>
        <v>IA Akranes</v>
      </c>
      <c r="Z17" t="str">
        <f t="shared" si="0"/>
        <v>20/07/2026KeflavikIA Akranes</v>
      </c>
      <c r="AA17" t="str">
        <f>VLOOKUP($Z17,'oddspedia-matches'!$A:$AD,AA$2,0)</f>
        <v>5 - 2</v>
      </c>
      <c r="AB17" t="str">
        <f>VLOOKUP($Z17,'oddspedia-matches'!$A:$AD,AB$2,0)</f>
        <v>Green</v>
      </c>
      <c r="AC17" t="str">
        <f>VLOOKUP($Z17,'oddspedia-matches'!$A:$AD,AC$2,0)</f>
        <v>Red</v>
      </c>
      <c r="AD17" t="str">
        <f>VLOOKUP($Z17,'oddspedia-matches'!$A:$AD,AD$2,0)</f>
        <v>Red</v>
      </c>
      <c r="AE17" t="str">
        <f>VLOOKUP($Z17,'oddspedia-matches'!$A:$AD,AE$2,0)</f>
        <v>Green</v>
      </c>
      <c r="AF17" t="str">
        <f>VLOOKUP($Z17,'oddspedia-matches'!$A:$AD,AF$2,0)</f>
        <v>Red</v>
      </c>
      <c r="AG17" t="str">
        <f>VLOOKUP($Z17,'oddspedia-matches'!$A:$AD,AG$2,0)</f>
        <v>Green</v>
      </c>
      <c r="AH17" t="str">
        <f>VLOOKUP($Z17,'oddspedia-matches'!$A:$AD,AH$2,0)</f>
        <v>Green</v>
      </c>
      <c r="AI17" t="str">
        <f>VLOOKUP($Z17,'oddspedia-matches'!$A:$AD,AI$2,0)</f>
        <v>Red</v>
      </c>
      <c r="AJ17" t="str">
        <f>VLOOKUP($Z17,'oddspedia-matches'!$A:$AD,AJ$2,0)</f>
        <v>Red</v>
      </c>
      <c r="AK17" t="str">
        <f>VLOOKUP($Z17,'oddspedia-matches'!$A:$AD,AK$2,0)</f>
        <v>Green</v>
      </c>
      <c r="AL17" t="str">
        <f>VLOOKUP($Z17,'oddspedia-matches'!$A:$AD,AL$2,0)</f>
        <v>Green</v>
      </c>
      <c r="AM17" t="str">
        <f>VLOOKUP($Z17,'oddspedia-matches'!$A:$AD,AM$2,0)</f>
        <v>Green</v>
      </c>
      <c r="AN17" t="str">
        <f>VLOOKUP($Z17,'oddspedia-matches'!$A:$AD,AN$2,0)</f>
        <v>Red</v>
      </c>
      <c r="AO17" t="str">
        <f>VLOOKUP($Z17,'oddspedia-matches'!$A:$AD,AO$2,0)</f>
        <v>Red</v>
      </c>
      <c r="AP17" t="str">
        <f>VLOOKUP($Z17,'oddspedia-matches'!$A:$AD,AP$2,0)</f>
        <v>Green</v>
      </c>
      <c r="AQ17" t="str">
        <f>VLOOKUP($Z17,'oddspedia-matches'!$A:$AD,AQ$2,0)</f>
        <v>Red</v>
      </c>
    </row>
    <row r="18" spans="2:43" x14ac:dyDescent="0.2">
      <c r="B18" s="9"/>
      <c r="C18" s="7" t="s">
        <v>242</v>
      </c>
      <c r="D18" s="20">
        <v>0.67708333333333337</v>
      </c>
      <c r="E18" s="7" t="s">
        <v>162</v>
      </c>
      <c r="F18" s="7" t="s">
        <v>265</v>
      </c>
      <c r="G18" s="21"/>
      <c r="H18" s="7">
        <v>52.6</v>
      </c>
      <c r="I18" s="7">
        <v>24.4</v>
      </c>
      <c r="J18" s="7">
        <v>23</v>
      </c>
      <c r="K18" s="7">
        <v>77</v>
      </c>
      <c r="L18" s="7">
        <v>47.4</v>
      </c>
      <c r="M18" s="7">
        <v>75.599999999999994</v>
      </c>
      <c r="N18" s="7">
        <v>50</v>
      </c>
      <c r="O18" s="7">
        <v>32</v>
      </c>
      <c r="P18" s="7">
        <v>18</v>
      </c>
      <c r="Q18" s="7">
        <v>83.8</v>
      </c>
      <c r="R18" s="7">
        <v>89</v>
      </c>
      <c r="S18" s="7">
        <v>71.099999999999994</v>
      </c>
      <c r="T18" s="7">
        <v>28.9</v>
      </c>
      <c r="U18" s="7">
        <v>35</v>
      </c>
      <c r="V18" s="7">
        <v>69.5</v>
      </c>
      <c r="W18" s="7">
        <v>30.5</v>
      </c>
      <c r="X18" t="str">
        <f>VLOOKUP(E18,'Transform table'!A:B,2,0)</f>
        <v>Kopavogs</v>
      </c>
      <c r="Y18" t="str">
        <f>VLOOKUP(F18,'Transform table'!A:B,2,0)</f>
        <v>IF Vestri</v>
      </c>
      <c r="Z18" t="str">
        <f t="shared" si="0"/>
        <v>20/07/2026KopavogsIF Vestri</v>
      </c>
      <c r="AA18" t="str">
        <f>VLOOKUP($Z18,'oddspedia-matches'!$A:$AD,AA$2,0)</f>
        <v>6 - 2</v>
      </c>
      <c r="AB18" t="str">
        <f>VLOOKUP($Z18,'oddspedia-matches'!$A:$AD,AB$2,0)</f>
        <v>Green</v>
      </c>
      <c r="AC18" t="str">
        <f>VLOOKUP($Z18,'oddspedia-matches'!$A:$AD,AC$2,0)</f>
        <v>Red</v>
      </c>
      <c r="AD18" t="str">
        <f>VLOOKUP($Z18,'oddspedia-matches'!$A:$AD,AD$2,0)</f>
        <v>Red</v>
      </c>
      <c r="AE18" t="str">
        <f>VLOOKUP($Z18,'oddspedia-matches'!$A:$AD,AE$2,0)</f>
        <v>Green</v>
      </c>
      <c r="AF18" t="str">
        <f>VLOOKUP($Z18,'oddspedia-matches'!$A:$AD,AF$2,0)</f>
        <v>Red</v>
      </c>
      <c r="AG18" t="str">
        <f>VLOOKUP($Z18,'oddspedia-matches'!$A:$AD,AG$2,0)</f>
        <v>Green</v>
      </c>
      <c r="AH18" t="str">
        <f>VLOOKUP($Z18,'oddspedia-matches'!$A:$AD,AH$2,0)</f>
        <v>Green</v>
      </c>
      <c r="AI18" t="str">
        <f>VLOOKUP($Z18,'oddspedia-matches'!$A:$AD,AI$2,0)</f>
        <v>Red</v>
      </c>
      <c r="AJ18" t="str">
        <f>VLOOKUP($Z18,'oddspedia-matches'!$A:$AD,AJ$2,0)</f>
        <v>Red</v>
      </c>
      <c r="AK18" t="str">
        <f>VLOOKUP($Z18,'oddspedia-matches'!$A:$AD,AK$2,0)</f>
        <v>Green</v>
      </c>
      <c r="AL18" t="str">
        <f>VLOOKUP($Z18,'oddspedia-matches'!$A:$AD,AL$2,0)</f>
        <v>Green</v>
      </c>
      <c r="AM18" t="str">
        <f>VLOOKUP($Z18,'oddspedia-matches'!$A:$AD,AM$2,0)</f>
        <v>Green</v>
      </c>
      <c r="AN18" t="str">
        <f>VLOOKUP($Z18,'oddspedia-matches'!$A:$AD,AN$2,0)</f>
        <v>Red</v>
      </c>
      <c r="AO18" t="str">
        <f>VLOOKUP($Z18,'oddspedia-matches'!$A:$AD,AO$2,0)</f>
        <v>Red</v>
      </c>
      <c r="AP18" t="str">
        <f>VLOOKUP($Z18,'oddspedia-matches'!$A:$AD,AP$2,0)</f>
        <v>Green</v>
      </c>
      <c r="AQ18" t="str">
        <f>VLOOKUP($Z18,'oddspedia-matches'!$A:$AD,AQ$2,0)</f>
        <v>Red</v>
      </c>
    </row>
    <row r="19" spans="2:43" x14ac:dyDescent="0.2">
      <c r="B19" s="17"/>
      <c r="C19" s="8" t="s">
        <v>242</v>
      </c>
      <c r="D19" s="18">
        <v>0.83333333333333337</v>
      </c>
      <c r="E19" s="8" t="s">
        <v>266</v>
      </c>
      <c r="F19" s="8" t="s">
        <v>267</v>
      </c>
      <c r="G19" s="19"/>
      <c r="H19" s="8">
        <v>56.9</v>
      </c>
      <c r="I19" s="8">
        <v>24</v>
      </c>
      <c r="J19" s="8">
        <v>19.100000000000001</v>
      </c>
      <c r="K19" s="8">
        <v>80.900000000000006</v>
      </c>
      <c r="L19" s="8">
        <v>43.1</v>
      </c>
      <c r="M19" s="8">
        <v>76</v>
      </c>
      <c r="N19" s="8">
        <v>45.8</v>
      </c>
      <c r="O19" s="8">
        <v>40.6</v>
      </c>
      <c r="P19" s="8">
        <v>13.6</v>
      </c>
      <c r="Q19" s="8">
        <v>69.8</v>
      </c>
      <c r="R19" s="8">
        <v>85.5</v>
      </c>
      <c r="S19" s="8">
        <v>64.900000000000006</v>
      </c>
      <c r="T19" s="8">
        <v>35.1</v>
      </c>
      <c r="U19" s="8">
        <v>42.1</v>
      </c>
      <c r="V19" s="8">
        <v>62.7</v>
      </c>
      <c r="W19" s="8">
        <v>37.299999999999997</v>
      </c>
      <c r="X19" t="str">
        <f>VLOOKUP(E19,'Transform table'!A:B,2,0)</f>
        <v>Nacional Potosi</v>
      </c>
      <c r="Y19" t="str">
        <f>VLOOKUP(F19,'Transform table'!A:B,2,0)</f>
        <v>Real Oruro</v>
      </c>
      <c r="Z19" t="str">
        <f t="shared" si="0"/>
        <v>20/07/2026Nacional PotosiReal Oruro</v>
      </c>
      <c r="AA19" t="str">
        <f>VLOOKUP($Z19,'oddspedia-matches'!$A:$AD,AA$2,0)</f>
        <v>1 - 4</v>
      </c>
      <c r="AB19" t="str">
        <f>VLOOKUP($Z19,'oddspedia-matches'!$A:$AD,AB$2,0)</f>
        <v>Red</v>
      </c>
      <c r="AC19" t="str">
        <f>VLOOKUP($Z19,'oddspedia-matches'!$A:$AD,AC$2,0)</f>
        <v>Red</v>
      </c>
      <c r="AD19" t="str">
        <f>VLOOKUP($Z19,'oddspedia-matches'!$A:$AD,AD$2,0)</f>
        <v>Green</v>
      </c>
      <c r="AE19" t="str">
        <f>VLOOKUP($Z19,'oddspedia-matches'!$A:$AD,AE$2,0)</f>
        <v>Red</v>
      </c>
      <c r="AF19" t="str">
        <f>VLOOKUP($Z19,'oddspedia-matches'!$A:$AD,AF$2,0)</f>
        <v>Green</v>
      </c>
      <c r="AG19" t="str">
        <f>VLOOKUP($Z19,'oddspedia-matches'!$A:$AD,AG$2,0)</f>
        <v>Green</v>
      </c>
      <c r="AH19" t="str">
        <f>VLOOKUP($Z19,'oddspedia-matches'!$A:$AD,AH$2,0)</f>
        <v>Red</v>
      </c>
      <c r="AI19" t="str">
        <f>VLOOKUP($Z19,'oddspedia-matches'!$A:$AD,AI$2,0)</f>
        <v>Red</v>
      </c>
      <c r="AJ19" t="str">
        <f>VLOOKUP($Z19,'oddspedia-matches'!$A:$AD,AJ$2,0)</f>
        <v>Green</v>
      </c>
      <c r="AK19" t="str">
        <f>VLOOKUP($Z19,'oddspedia-matches'!$A:$AD,AK$2,0)</f>
        <v>Green</v>
      </c>
      <c r="AL19" t="str">
        <f>VLOOKUP($Z19,'oddspedia-matches'!$A:$AD,AL$2,0)</f>
        <v>Green</v>
      </c>
      <c r="AM19" t="str">
        <f>VLOOKUP($Z19,'oddspedia-matches'!$A:$AD,AM$2,0)</f>
        <v>Green</v>
      </c>
      <c r="AN19" t="str">
        <f>VLOOKUP($Z19,'oddspedia-matches'!$A:$AD,AN$2,0)</f>
        <v>Red</v>
      </c>
      <c r="AO19" t="str">
        <f>VLOOKUP($Z19,'oddspedia-matches'!$A:$AD,AO$2,0)</f>
        <v>Red</v>
      </c>
      <c r="AP19" t="str">
        <f>VLOOKUP($Z19,'oddspedia-matches'!$A:$AD,AP$2,0)</f>
        <v>Green</v>
      </c>
      <c r="AQ19" t="str">
        <f>VLOOKUP($Z19,'oddspedia-matches'!$A:$AD,AQ$2,0)</f>
        <v>Red</v>
      </c>
    </row>
    <row r="20" spans="2:43" x14ac:dyDescent="0.2">
      <c r="B20" s="9" t="s">
        <v>445</v>
      </c>
      <c r="C20" s="7" t="s">
        <v>213</v>
      </c>
      <c r="D20" s="20">
        <v>0.27083333333333331</v>
      </c>
      <c r="E20" s="7" t="s">
        <v>214</v>
      </c>
      <c r="F20" s="7" t="s">
        <v>215</v>
      </c>
      <c r="G20" s="21" t="s">
        <v>458</v>
      </c>
      <c r="H20" s="7">
        <v>37.200000000000003</v>
      </c>
      <c r="I20" s="7">
        <v>25.5</v>
      </c>
      <c r="J20" s="7">
        <v>37.299999999999997</v>
      </c>
      <c r="K20" s="7">
        <v>62.7</v>
      </c>
      <c r="L20" s="7">
        <v>62.8</v>
      </c>
      <c r="M20" s="7">
        <v>74.5</v>
      </c>
      <c r="N20" s="7">
        <v>27.1</v>
      </c>
      <c r="O20" s="7">
        <v>38.6</v>
      </c>
      <c r="P20" s="7">
        <v>34.299999999999997</v>
      </c>
      <c r="Q20" s="7">
        <v>77.400000000000006</v>
      </c>
      <c r="R20" s="7">
        <v>90.2</v>
      </c>
      <c r="S20" s="7">
        <v>73.400000000000006</v>
      </c>
      <c r="T20" s="7">
        <v>26.6</v>
      </c>
      <c r="U20" s="7">
        <v>31.7</v>
      </c>
      <c r="V20" s="7">
        <v>73.7</v>
      </c>
      <c r="W20" s="7">
        <v>26.3</v>
      </c>
      <c r="X20" t="str">
        <f>VLOOKUP(E20,'Transform table'!A:B,2,0)</f>
        <v>Gungahlin Juventus U23</v>
      </c>
      <c r="Y20" t="str">
        <f>VLOOKUP(F20,'Transform table'!A:B,2,0)</f>
        <v>Canberra Croatia U23</v>
      </c>
      <c r="Z20" t="str">
        <f t="shared" si="0"/>
        <v>21/07/2026Gungahlin Juventus U23Canberra Croatia U23</v>
      </c>
      <c r="AA20" t="str">
        <f>VLOOKUP($Z20,'oddspedia-matches'!$A:$AD,AA$2,0)</f>
        <v>2 - 1</v>
      </c>
      <c r="AB20" t="str">
        <f>VLOOKUP($Z20,'oddspedia-matches'!$A:$AD,AB$2,0)</f>
        <v>Green</v>
      </c>
      <c r="AC20" t="str">
        <f>VLOOKUP($Z20,'oddspedia-matches'!$A:$AD,AC$2,0)</f>
        <v>Red</v>
      </c>
      <c r="AD20" t="str">
        <f>VLOOKUP($Z20,'oddspedia-matches'!$A:$AD,AD$2,0)</f>
        <v>Red</v>
      </c>
      <c r="AE20" t="str">
        <f>VLOOKUP($Z20,'oddspedia-matches'!$A:$AD,AE$2,0)</f>
        <v>Green</v>
      </c>
      <c r="AF20" t="str">
        <f>VLOOKUP($Z20,'oddspedia-matches'!$A:$AD,AF$2,0)</f>
        <v>Red</v>
      </c>
      <c r="AG20" t="str">
        <f>VLOOKUP($Z20,'oddspedia-matches'!$A:$AD,AG$2,0)</f>
        <v>Green</v>
      </c>
      <c r="AH20" t="str">
        <f>VLOOKUP($Z20,'oddspedia-matches'!$A:$AD,AH$2,0)</f>
        <v>Green</v>
      </c>
      <c r="AI20" t="str">
        <f>VLOOKUP($Z20,'oddspedia-matches'!$A:$AD,AI$2,0)</f>
        <v>Red</v>
      </c>
      <c r="AJ20" t="str">
        <f>VLOOKUP($Z20,'oddspedia-matches'!$A:$AD,AJ$2,0)</f>
        <v>Red</v>
      </c>
      <c r="AK20" t="str">
        <f>VLOOKUP($Z20,'oddspedia-matches'!$A:$AD,AK$2,0)</f>
        <v>Green</v>
      </c>
      <c r="AL20" t="str">
        <f>VLOOKUP($Z20,'oddspedia-matches'!$A:$AD,AL$2,0)</f>
        <v>Green</v>
      </c>
      <c r="AM20" t="str">
        <f>VLOOKUP($Z20,'oddspedia-matches'!$A:$AD,AM$2,0)</f>
        <v>Green</v>
      </c>
      <c r="AN20" t="str">
        <f>VLOOKUP($Z20,'oddspedia-matches'!$A:$AD,AN$2,0)</f>
        <v>Red</v>
      </c>
      <c r="AO20" t="str">
        <f>VLOOKUP($Z20,'oddspedia-matches'!$A:$AD,AO$2,0)</f>
        <v>Green</v>
      </c>
      <c r="AP20" t="str">
        <f>VLOOKUP($Z20,'oddspedia-matches'!$A:$AD,AP$2,0)</f>
        <v>Green</v>
      </c>
      <c r="AQ20" t="str">
        <f>VLOOKUP($Z20,'oddspedia-matches'!$A:$AD,AQ$2,0)</f>
        <v>Red</v>
      </c>
    </row>
    <row r="21" spans="2:43" x14ac:dyDescent="0.2">
      <c r="B21" s="17" t="s">
        <v>446</v>
      </c>
      <c r="C21" s="8" t="s">
        <v>213</v>
      </c>
      <c r="D21" s="18">
        <v>0.3125</v>
      </c>
      <c r="E21" s="8" t="s">
        <v>216</v>
      </c>
      <c r="F21" s="8" t="s">
        <v>217</v>
      </c>
      <c r="G21" s="19" t="s">
        <v>459</v>
      </c>
      <c r="H21" s="8">
        <v>27.2</v>
      </c>
      <c r="I21" s="8">
        <v>35.700000000000003</v>
      </c>
      <c r="J21" s="8">
        <v>37.1</v>
      </c>
      <c r="K21" s="8">
        <v>62.9</v>
      </c>
      <c r="L21" s="8">
        <v>72.8</v>
      </c>
      <c r="M21" s="8">
        <v>64.3</v>
      </c>
      <c r="N21" s="8">
        <v>19.8</v>
      </c>
      <c r="O21" s="8">
        <v>53.7</v>
      </c>
      <c r="P21" s="8">
        <v>26.6</v>
      </c>
      <c r="Q21" s="8">
        <v>54.5</v>
      </c>
      <c r="R21" s="8">
        <v>55</v>
      </c>
      <c r="S21" s="8">
        <v>26.9</v>
      </c>
      <c r="T21" s="8">
        <v>73.099999999999994</v>
      </c>
      <c r="U21" s="8">
        <v>77.2</v>
      </c>
      <c r="V21" s="8">
        <v>36.200000000000003</v>
      </c>
      <c r="W21" s="8">
        <v>63.8</v>
      </c>
      <c r="X21" t="str">
        <f>VLOOKUP(E21,'Transform table'!A:B,2,0)</f>
        <v>Jeju United</v>
      </c>
      <c r="Y21" t="str">
        <f>VLOOKUP(F21,'Transform table'!A:B,2,0)</f>
        <v>Gangwon</v>
      </c>
      <c r="Z21" t="str">
        <f t="shared" si="0"/>
        <v>21/07/2026Jeju UnitedGangwon</v>
      </c>
      <c r="AA21" t="str">
        <f>VLOOKUP($Z21,'oddspedia-matches'!$A:$AD,AA$2,0)</f>
        <v>1 - 1</v>
      </c>
      <c r="AB21" t="str">
        <f>VLOOKUP($Z21,'oddspedia-matches'!$A:$AD,AB$2,0)</f>
        <v>Red</v>
      </c>
      <c r="AC21" t="str">
        <f>VLOOKUP($Z21,'oddspedia-matches'!$A:$AD,AC$2,0)</f>
        <v>Green</v>
      </c>
      <c r="AD21" t="str">
        <f>VLOOKUP($Z21,'oddspedia-matches'!$A:$AD,AD$2,0)</f>
        <v>Red</v>
      </c>
      <c r="AE21" t="str">
        <f>VLOOKUP($Z21,'oddspedia-matches'!$A:$AD,AE$2,0)</f>
        <v>Green</v>
      </c>
      <c r="AF21" t="str">
        <f>VLOOKUP($Z21,'oddspedia-matches'!$A:$AD,AF$2,0)</f>
        <v>Green</v>
      </c>
      <c r="AG21" t="str">
        <f>VLOOKUP($Z21,'oddspedia-matches'!$A:$AD,AG$2,0)</f>
        <v>Red</v>
      </c>
      <c r="AH21" t="str">
        <f>VLOOKUP($Z21,'oddspedia-matches'!$A:$AD,AH$2,0)</f>
        <v>Red</v>
      </c>
      <c r="AI21" t="str">
        <f>VLOOKUP($Z21,'oddspedia-matches'!$A:$AD,AI$2,0)</f>
        <v>Green</v>
      </c>
      <c r="AJ21" t="str">
        <f>VLOOKUP($Z21,'oddspedia-matches'!$A:$AD,AJ$2,0)</f>
        <v>Red</v>
      </c>
      <c r="AK21" t="str">
        <f>VLOOKUP($Z21,'oddspedia-matches'!$A:$AD,AK$2,0)</f>
        <v>Green</v>
      </c>
      <c r="AL21" t="str">
        <f>VLOOKUP($Z21,'oddspedia-matches'!$A:$AD,AL$2,0)</f>
        <v>Green</v>
      </c>
      <c r="AM21" t="str">
        <f>VLOOKUP($Z21,'oddspedia-matches'!$A:$AD,AM$2,0)</f>
        <v>Red</v>
      </c>
      <c r="AN21" t="str">
        <f>VLOOKUP($Z21,'oddspedia-matches'!$A:$AD,AN$2,0)</f>
        <v>Green</v>
      </c>
      <c r="AO21" t="str">
        <f>VLOOKUP($Z21,'oddspedia-matches'!$A:$AD,AO$2,0)</f>
        <v>Green</v>
      </c>
      <c r="AP21" t="str">
        <f>VLOOKUP($Z21,'oddspedia-matches'!$A:$AD,AP$2,0)</f>
        <v>Green</v>
      </c>
      <c r="AQ21" t="str">
        <f>VLOOKUP($Z21,'oddspedia-matches'!$A:$AD,AQ$2,0)</f>
        <v>Red</v>
      </c>
    </row>
    <row r="22" spans="2:43" x14ac:dyDescent="0.2">
      <c r="B22" s="9" t="s">
        <v>446</v>
      </c>
      <c r="C22" s="7" t="s">
        <v>213</v>
      </c>
      <c r="D22" s="20">
        <v>0.3125</v>
      </c>
      <c r="E22" s="7" t="s">
        <v>218</v>
      </c>
      <c r="F22" s="7" t="s">
        <v>219</v>
      </c>
      <c r="G22" s="21" t="s">
        <v>447</v>
      </c>
      <c r="H22" s="7">
        <v>45.5</v>
      </c>
      <c r="I22" s="7">
        <v>29.2</v>
      </c>
      <c r="J22" s="7">
        <v>25.4</v>
      </c>
      <c r="K22" s="7">
        <v>74.599999999999994</v>
      </c>
      <c r="L22" s="7">
        <v>54.5</v>
      </c>
      <c r="M22" s="7">
        <v>70.8</v>
      </c>
      <c r="N22" s="7">
        <v>32.200000000000003</v>
      </c>
      <c r="O22" s="7">
        <v>46.9</v>
      </c>
      <c r="P22" s="7">
        <v>20.9</v>
      </c>
      <c r="Q22" s="7">
        <v>64</v>
      </c>
      <c r="R22" s="7">
        <v>71.2</v>
      </c>
      <c r="S22" s="7">
        <v>43.9</v>
      </c>
      <c r="T22" s="7">
        <v>56.1</v>
      </c>
      <c r="U22" s="7">
        <v>61.8</v>
      </c>
      <c r="V22" s="7">
        <v>49.6</v>
      </c>
      <c r="W22" s="7">
        <v>50.4</v>
      </c>
      <c r="X22" t="str">
        <f>VLOOKUP(E22,'Transform table'!A:B,2,0)</f>
        <v>Jeonbuk Hyundai Motors</v>
      </c>
      <c r="Y22" t="str">
        <f>VLOOKUP(F22,'Transform table'!A:B,2,0)</f>
        <v>Daejeon Citizen</v>
      </c>
      <c r="Z22" t="str">
        <f t="shared" si="0"/>
        <v>21/07/2026Jeonbuk Hyundai MotorsDaejeon Citizen</v>
      </c>
      <c r="AA22" t="str">
        <f>VLOOKUP($Z22,'oddspedia-matches'!$A:$AD,AA$2,0)</f>
        <v>0 - 0</v>
      </c>
      <c r="AB22" t="str">
        <f>VLOOKUP($Z22,'oddspedia-matches'!$A:$AD,AB$2,0)</f>
        <v>Red</v>
      </c>
      <c r="AC22" t="str">
        <f>VLOOKUP($Z22,'oddspedia-matches'!$A:$AD,AC$2,0)</f>
        <v>Green</v>
      </c>
      <c r="AD22" t="str">
        <f>VLOOKUP($Z22,'oddspedia-matches'!$A:$AD,AD$2,0)</f>
        <v>Red</v>
      </c>
      <c r="AE22" t="str">
        <f>VLOOKUP($Z22,'oddspedia-matches'!$A:$AD,AE$2,0)</f>
        <v>Green</v>
      </c>
      <c r="AF22" t="str">
        <f>VLOOKUP($Z22,'oddspedia-matches'!$A:$AD,AF$2,0)</f>
        <v>Green</v>
      </c>
      <c r="AG22" t="str">
        <f>VLOOKUP($Z22,'oddspedia-matches'!$A:$AD,AG$2,0)</f>
        <v>Red</v>
      </c>
      <c r="AH22" t="str">
        <f>VLOOKUP($Z22,'oddspedia-matches'!$A:$AD,AH$2,0)</f>
        <v>Red</v>
      </c>
      <c r="AI22" t="str">
        <f>VLOOKUP($Z22,'oddspedia-matches'!$A:$AD,AI$2,0)</f>
        <v>Green</v>
      </c>
      <c r="AJ22" t="str">
        <f>VLOOKUP($Z22,'oddspedia-matches'!$A:$AD,AJ$2,0)</f>
        <v>Red</v>
      </c>
      <c r="AK22" t="str">
        <f>VLOOKUP($Z22,'oddspedia-matches'!$A:$AD,AK$2,0)</f>
        <v>Red</v>
      </c>
      <c r="AL22" t="str">
        <f>VLOOKUP($Z22,'oddspedia-matches'!$A:$AD,AL$2,0)</f>
        <v>Red</v>
      </c>
      <c r="AM22" t="str">
        <f>VLOOKUP($Z22,'oddspedia-matches'!$A:$AD,AM$2,0)</f>
        <v>Red</v>
      </c>
      <c r="AN22" t="str">
        <f>VLOOKUP($Z22,'oddspedia-matches'!$A:$AD,AN$2,0)</f>
        <v>Green</v>
      </c>
      <c r="AO22" t="str">
        <f>VLOOKUP($Z22,'oddspedia-matches'!$A:$AD,AO$2,0)</f>
        <v>Green</v>
      </c>
      <c r="AP22" t="str">
        <f>VLOOKUP($Z22,'oddspedia-matches'!$A:$AD,AP$2,0)</f>
        <v>Red</v>
      </c>
      <c r="AQ22" t="str">
        <f>VLOOKUP($Z22,'oddspedia-matches'!$A:$AD,AQ$2,0)</f>
        <v>Green</v>
      </c>
    </row>
    <row r="23" spans="2:43" x14ac:dyDescent="0.2">
      <c r="B23" s="17" t="s">
        <v>446</v>
      </c>
      <c r="C23" s="8" t="s">
        <v>213</v>
      </c>
      <c r="D23" s="18">
        <v>0.3125</v>
      </c>
      <c r="E23" s="8" t="s">
        <v>220</v>
      </c>
      <c r="F23" s="8" t="s">
        <v>221</v>
      </c>
      <c r="G23" s="19" t="s">
        <v>460</v>
      </c>
      <c r="H23" s="8">
        <v>38.1</v>
      </c>
      <c r="I23" s="8">
        <v>29.3</v>
      </c>
      <c r="J23" s="8">
        <v>32.6</v>
      </c>
      <c r="K23" s="8">
        <v>67.400000000000006</v>
      </c>
      <c r="L23" s="8">
        <v>61.9</v>
      </c>
      <c r="M23" s="8">
        <v>70.7</v>
      </c>
      <c r="N23" s="8">
        <v>22.6</v>
      </c>
      <c r="O23" s="8">
        <v>42.5</v>
      </c>
      <c r="P23" s="8">
        <v>34.9</v>
      </c>
      <c r="Q23" s="8">
        <v>71</v>
      </c>
      <c r="R23" s="8">
        <v>74.2</v>
      </c>
      <c r="S23" s="8">
        <v>47.7</v>
      </c>
      <c r="T23" s="8">
        <v>52.3</v>
      </c>
      <c r="U23" s="8">
        <v>57.7</v>
      </c>
      <c r="V23" s="8">
        <v>53.9</v>
      </c>
      <c r="W23" s="8">
        <v>46.1</v>
      </c>
      <c r="X23" t="str">
        <f>VLOOKUP(E23,'Transform table'!A:B,2,0)</f>
        <v>Ulsan Hyundai</v>
      </c>
      <c r="Y23" t="str">
        <f>VLOOKUP(F23,'Transform table'!A:B,2,0)</f>
        <v>Incheon United</v>
      </c>
      <c r="Z23" t="str">
        <f t="shared" si="0"/>
        <v>21/07/2026Ulsan HyundaiIncheon United</v>
      </c>
      <c r="AA23" t="str">
        <f>VLOOKUP($Z23,'oddspedia-matches'!$A:$AD,AA$2,0)</f>
        <v>1 - 2</v>
      </c>
      <c r="AB23" t="str">
        <f>VLOOKUP($Z23,'oddspedia-matches'!$A:$AD,AB$2,0)</f>
        <v>Red</v>
      </c>
      <c r="AC23" t="str">
        <f>VLOOKUP($Z23,'oddspedia-matches'!$A:$AD,AC$2,0)</f>
        <v>Red</v>
      </c>
      <c r="AD23" t="str">
        <f>VLOOKUP($Z23,'oddspedia-matches'!$A:$AD,AD$2,0)</f>
        <v>Green</v>
      </c>
      <c r="AE23" t="str">
        <f>VLOOKUP($Z23,'oddspedia-matches'!$A:$AD,AE$2,0)</f>
        <v>Red</v>
      </c>
      <c r="AF23" t="str">
        <f>VLOOKUP($Z23,'oddspedia-matches'!$A:$AD,AF$2,0)</f>
        <v>Green</v>
      </c>
      <c r="AG23" t="str">
        <f>VLOOKUP($Z23,'oddspedia-matches'!$A:$AD,AG$2,0)</f>
        <v>Green</v>
      </c>
      <c r="AH23" t="str">
        <f>VLOOKUP($Z23,'oddspedia-matches'!$A:$AD,AH$2,0)</f>
        <v>Red</v>
      </c>
      <c r="AI23" t="str">
        <f>VLOOKUP($Z23,'oddspedia-matches'!$A:$AD,AI$2,0)</f>
        <v>Green</v>
      </c>
      <c r="AJ23" t="str">
        <f>VLOOKUP($Z23,'oddspedia-matches'!$A:$AD,AJ$2,0)</f>
        <v>Red</v>
      </c>
      <c r="AK23" t="str">
        <f>VLOOKUP($Z23,'oddspedia-matches'!$A:$AD,AK$2,0)</f>
        <v>Green</v>
      </c>
      <c r="AL23" t="str">
        <f>VLOOKUP($Z23,'oddspedia-matches'!$A:$AD,AL$2,0)</f>
        <v>Green</v>
      </c>
      <c r="AM23" t="str">
        <f>VLOOKUP($Z23,'oddspedia-matches'!$A:$AD,AM$2,0)</f>
        <v>Green</v>
      </c>
      <c r="AN23" t="str">
        <f>VLOOKUP($Z23,'oddspedia-matches'!$A:$AD,AN$2,0)</f>
        <v>Red</v>
      </c>
      <c r="AO23" t="str">
        <f>VLOOKUP($Z23,'oddspedia-matches'!$A:$AD,AO$2,0)</f>
        <v>Green</v>
      </c>
      <c r="AP23" t="str">
        <f>VLOOKUP($Z23,'oddspedia-matches'!$A:$AD,AP$2,0)</f>
        <v>Green</v>
      </c>
      <c r="AQ23" t="str">
        <f>VLOOKUP($Z23,'oddspedia-matches'!$A:$AD,AQ$2,0)</f>
        <v>Red</v>
      </c>
    </row>
    <row r="24" spans="2:43" x14ac:dyDescent="0.2">
      <c r="B24" s="9" t="s">
        <v>448</v>
      </c>
      <c r="C24" s="7" t="s">
        <v>213</v>
      </c>
      <c r="D24" s="20">
        <v>0.54166666666666663</v>
      </c>
      <c r="E24" s="7" t="s">
        <v>222</v>
      </c>
      <c r="F24" s="7" t="s">
        <v>223</v>
      </c>
      <c r="G24" s="21" t="s">
        <v>449</v>
      </c>
      <c r="H24" s="7">
        <v>43.2</v>
      </c>
      <c r="I24" s="7">
        <v>29.2</v>
      </c>
      <c r="J24" s="7">
        <v>27.6</v>
      </c>
      <c r="K24" s="7">
        <v>72.400000000000006</v>
      </c>
      <c r="L24" s="7">
        <v>56.8</v>
      </c>
      <c r="M24" s="7">
        <v>70.8</v>
      </c>
      <c r="N24" s="7">
        <v>37.700000000000003</v>
      </c>
      <c r="O24" s="7">
        <v>45.4</v>
      </c>
      <c r="P24" s="7">
        <v>16.899999999999999</v>
      </c>
      <c r="Q24" s="7">
        <v>64.8</v>
      </c>
      <c r="R24" s="7">
        <v>72.599999999999994</v>
      </c>
      <c r="S24" s="7">
        <v>45.7</v>
      </c>
      <c r="T24" s="7">
        <v>54.3</v>
      </c>
      <c r="U24" s="7">
        <v>60</v>
      </c>
      <c r="V24" s="7">
        <v>51.5</v>
      </c>
      <c r="W24" s="7">
        <v>48.5</v>
      </c>
      <c r="X24" t="str">
        <f>VLOOKUP(E24,'Transform table'!A:B,2,0)</f>
        <v>Kapylan Pallo</v>
      </c>
      <c r="Y24" t="str">
        <f>VLOOKUP(F24,'Transform table'!A:B,2,0)</f>
        <v>Klubi 04</v>
      </c>
      <c r="Z24" t="str">
        <f t="shared" si="0"/>
        <v>21/07/2026Kapylan PalloKlubi 04</v>
      </c>
      <c r="AA24" t="str">
        <f>VLOOKUP($Z24,'oddspedia-matches'!$A:$AD,AA$2,0)</f>
        <v>0 - 2</v>
      </c>
      <c r="AB24" t="str">
        <f>VLOOKUP($Z24,'oddspedia-matches'!$A:$AD,AB$2,0)</f>
        <v>Red</v>
      </c>
      <c r="AC24" t="str">
        <f>VLOOKUP($Z24,'oddspedia-matches'!$A:$AD,AC$2,0)</f>
        <v>Red</v>
      </c>
      <c r="AD24" t="str">
        <f>VLOOKUP($Z24,'oddspedia-matches'!$A:$AD,AD$2,0)</f>
        <v>Green</v>
      </c>
      <c r="AE24" t="str">
        <f>VLOOKUP($Z24,'oddspedia-matches'!$A:$AD,AE$2,0)</f>
        <v>Red</v>
      </c>
      <c r="AF24" t="str">
        <f>VLOOKUP($Z24,'oddspedia-matches'!$A:$AD,AF$2,0)</f>
        <v>Green</v>
      </c>
      <c r="AG24" t="str">
        <f>VLOOKUP($Z24,'oddspedia-matches'!$A:$AD,AG$2,0)</f>
        <v>Green</v>
      </c>
      <c r="AH24" t="str">
        <f>VLOOKUP($Z24,'oddspedia-matches'!$A:$AD,AH$2,0)</f>
        <v>Red</v>
      </c>
      <c r="AI24" t="str">
        <f>VLOOKUP($Z24,'oddspedia-matches'!$A:$AD,AI$2,0)</f>
        <v>Red</v>
      </c>
      <c r="AJ24" t="str">
        <f>VLOOKUP($Z24,'oddspedia-matches'!$A:$AD,AJ$2,0)</f>
        <v>Green</v>
      </c>
      <c r="AK24" t="str">
        <f>VLOOKUP($Z24,'oddspedia-matches'!$A:$AD,AK$2,0)</f>
        <v>Green</v>
      </c>
      <c r="AL24" t="str">
        <f>VLOOKUP($Z24,'oddspedia-matches'!$A:$AD,AL$2,0)</f>
        <v>Green</v>
      </c>
      <c r="AM24" t="str">
        <f>VLOOKUP($Z24,'oddspedia-matches'!$A:$AD,AM$2,0)</f>
        <v>Red</v>
      </c>
      <c r="AN24" t="str">
        <f>VLOOKUP($Z24,'oddspedia-matches'!$A:$AD,AN$2,0)</f>
        <v>Green</v>
      </c>
      <c r="AO24" t="str">
        <f>VLOOKUP($Z24,'oddspedia-matches'!$A:$AD,AO$2,0)</f>
        <v>Green</v>
      </c>
      <c r="AP24" t="str">
        <f>VLOOKUP($Z24,'oddspedia-matches'!$A:$AD,AP$2,0)</f>
        <v>Red</v>
      </c>
      <c r="AQ24" t="str">
        <f>VLOOKUP($Z24,'oddspedia-matches'!$A:$AD,AQ$2,0)</f>
        <v>Green</v>
      </c>
    </row>
    <row r="25" spans="2:43" x14ac:dyDescent="0.2">
      <c r="B25" s="17" t="s">
        <v>450</v>
      </c>
      <c r="C25" s="8" t="s">
        <v>213</v>
      </c>
      <c r="D25" s="18">
        <v>0.54166666666666663</v>
      </c>
      <c r="E25" s="8" t="s">
        <v>224</v>
      </c>
      <c r="F25" s="8" t="s">
        <v>225</v>
      </c>
      <c r="G25" s="19" t="s">
        <v>449</v>
      </c>
      <c r="H25" s="8">
        <v>37.4</v>
      </c>
      <c r="I25" s="8">
        <v>26.8</v>
      </c>
      <c r="J25" s="8">
        <v>35.700000000000003</v>
      </c>
      <c r="K25" s="8">
        <v>64.3</v>
      </c>
      <c r="L25" s="8">
        <v>62.6</v>
      </c>
      <c r="M25" s="8">
        <v>73.2</v>
      </c>
      <c r="N25" s="8">
        <v>21.4</v>
      </c>
      <c r="O25" s="8">
        <v>40.5</v>
      </c>
      <c r="P25" s="8">
        <v>38.1</v>
      </c>
      <c r="Q25" s="8">
        <v>73.7</v>
      </c>
      <c r="R25" s="8">
        <v>83.3</v>
      </c>
      <c r="S25" s="8">
        <v>61.1</v>
      </c>
      <c r="T25" s="8">
        <v>38.9</v>
      </c>
      <c r="U25" s="8">
        <v>44.5</v>
      </c>
      <c r="V25" s="8">
        <v>64.3</v>
      </c>
      <c r="W25" s="8">
        <v>35.700000000000003</v>
      </c>
      <c r="X25" t="str">
        <f>VLOOKUP(E25,'Transform table'!A:B,2,0)</f>
        <v>Hegelmann Litauen II</v>
      </c>
      <c r="Y25" t="str">
        <f>VLOOKUP(F25,'Transform table'!A:B,2,0)</f>
        <v>VMFD Zalgiris Vilnius II</v>
      </c>
      <c r="Z25" t="str">
        <f t="shared" si="0"/>
        <v>21/07/2026Hegelmann Litauen IIVMFD Zalgiris Vilnius II</v>
      </c>
      <c r="AA25" t="str">
        <f>VLOOKUP($Z25,'oddspedia-matches'!$A:$AD,AA$2,0)</f>
        <v>0 - 2</v>
      </c>
      <c r="AB25" t="str">
        <f>VLOOKUP($Z25,'oddspedia-matches'!$A:$AD,AB$2,0)</f>
        <v>Red</v>
      </c>
      <c r="AC25" t="str">
        <f>VLOOKUP($Z25,'oddspedia-matches'!$A:$AD,AC$2,0)</f>
        <v>Red</v>
      </c>
      <c r="AD25" t="str">
        <f>VLOOKUP($Z25,'oddspedia-matches'!$A:$AD,AD$2,0)</f>
        <v>Green</v>
      </c>
      <c r="AE25" t="str">
        <f>VLOOKUP($Z25,'oddspedia-matches'!$A:$AD,AE$2,0)</f>
        <v>Red</v>
      </c>
      <c r="AF25" t="str">
        <f>VLOOKUP($Z25,'oddspedia-matches'!$A:$AD,AF$2,0)</f>
        <v>Green</v>
      </c>
      <c r="AG25" t="str">
        <f>VLOOKUP($Z25,'oddspedia-matches'!$A:$AD,AG$2,0)</f>
        <v>Green</v>
      </c>
      <c r="AH25" t="str">
        <f>VLOOKUP($Z25,'oddspedia-matches'!$A:$AD,AH$2,0)</f>
        <v>Red</v>
      </c>
      <c r="AI25" t="str">
        <f>VLOOKUP($Z25,'oddspedia-matches'!$A:$AD,AI$2,0)</f>
        <v>Red</v>
      </c>
      <c r="AJ25" t="str">
        <f>VLOOKUP($Z25,'oddspedia-matches'!$A:$AD,AJ$2,0)</f>
        <v>Green</v>
      </c>
      <c r="AK25" t="str">
        <f>VLOOKUP($Z25,'oddspedia-matches'!$A:$AD,AK$2,0)</f>
        <v>Green</v>
      </c>
      <c r="AL25" t="str">
        <f>VLOOKUP($Z25,'oddspedia-matches'!$A:$AD,AL$2,0)</f>
        <v>Green</v>
      </c>
      <c r="AM25" t="str">
        <f>VLOOKUP($Z25,'oddspedia-matches'!$A:$AD,AM$2,0)</f>
        <v>Red</v>
      </c>
      <c r="AN25" t="str">
        <f>VLOOKUP($Z25,'oddspedia-matches'!$A:$AD,AN$2,0)</f>
        <v>Green</v>
      </c>
      <c r="AO25" t="str">
        <f>VLOOKUP($Z25,'oddspedia-matches'!$A:$AD,AO$2,0)</f>
        <v>Green</v>
      </c>
      <c r="AP25" t="str">
        <f>VLOOKUP($Z25,'oddspedia-matches'!$A:$AD,AP$2,0)</f>
        <v>Red</v>
      </c>
      <c r="AQ25" t="str">
        <f>VLOOKUP($Z25,'oddspedia-matches'!$A:$AD,AQ$2,0)</f>
        <v>Green</v>
      </c>
    </row>
    <row r="26" spans="2:43" x14ac:dyDescent="0.2">
      <c r="B26" s="9" t="s">
        <v>451</v>
      </c>
      <c r="C26" s="7" t="s">
        <v>213</v>
      </c>
      <c r="D26" s="20">
        <v>0.58333333333333337</v>
      </c>
      <c r="E26" s="7" t="s">
        <v>226</v>
      </c>
      <c r="F26" s="7" t="s">
        <v>227</v>
      </c>
      <c r="G26" s="21" t="s">
        <v>461</v>
      </c>
      <c r="H26" s="7">
        <v>55.1</v>
      </c>
      <c r="I26" s="7">
        <v>24.1</v>
      </c>
      <c r="J26" s="7">
        <v>20.9</v>
      </c>
      <c r="K26" s="7">
        <v>79.099999999999994</v>
      </c>
      <c r="L26" s="7">
        <v>44.9</v>
      </c>
      <c r="M26" s="7">
        <v>75.900000000000006</v>
      </c>
      <c r="N26" s="7">
        <v>37.9</v>
      </c>
      <c r="O26" s="7">
        <v>38.200000000000003</v>
      </c>
      <c r="P26" s="7">
        <v>23.9</v>
      </c>
      <c r="Q26" s="7">
        <v>77.2</v>
      </c>
      <c r="R26" s="7">
        <v>90.1</v>
      </c>
      <c r="S26" s="7">
        <v>73.2</v>
      </c>
      <c r="T26" s="7">
        <v>26.8</v>
      </c>
      <c r="U26" s="7">
        <v>32.9</v>
      </c>
      <c r="V26" s="7">
        <v>70.400000000000006</v>
      </c>
      <c r="W26" s="7">
        <v>29.6</v>
      </c>
      <c r="X26" t="str">
        <f>VLOOKUP(E26,'Transform table'!A:B,2,0)</f>
        <v>Falkenberg</v>
      </c>
      <c r="Y26" t="str">
        <f>VLOOKUP(F26,'Transform table'!A:B,2,0)</f>
        <v>Helsingborg</v>
      </c>
      <c r="Z26" t="str">
        <f t="shared" si="0"/>
        <v>21/07/2026FalkenbergHelsingborg</v>
      </c>
      <c r="AA26" t="str">
        <f>VLOOKUP($Z26,'oddspedia-matches'!$A:$AD,AA$2,0)</f>
        <v>2 - 3</v>
      </c>
      <c r="AB26" t="str">
        <f>VLOOKUP($Z26,'oddspedia-matches'!$A:$AD,AB$2,0)</f>
        <v>Red</v>
      </c>
      <c r="AC26" t="str">
        <f>VLOOKUP($Z26,'oddspedia-matches'!$A:$AD,AC$2,0)</f>
        <v>Red</v>
      </c>
      <c r="AD26" t="str">
        <f>VLOOKUP($Z26,'oddspedia-matches'!$A:$AD,AD$2,0)</f>
        <v>Green</v>
      </c>
      <c r="AE26" t="str">
        <f>VLOOKUP($Z26,'oddspedia-matches'!$A:$AD,AE$2,0)</f>
        <v>Red</v>
      </c>
      <c r="AF26" t="str">
        <f>VLOOKUP($Z26,'oddspedia-matches'!$A:$AD,AF$2,0)</f>
        <v>Green</v>
      </c>
      <c r="AG26" t="str">
        <f>VLOOKUP($Z26,'oddspedia-matches'!$A:$AD,AG$2,0)</f>
        <v>Green</v>
      </c>
      <c r="AH26" t="str">
        <f>VLOOKUP($Z26,'oddspedia-matches'!$A:$AD,AH$2,0)</f>
        <v>Red</v>
      </c>
      <c r="AI26" t="str">
        <f>VLOOKUP($Z26,'oddspedia-matches'!$A:$AD,AI$2,0)</f>
        <v>Red</v>
      </c>
      <c r="AJ26" t="str">
        <f>VLOOKUP($Z26,'oddspedia-matches'!$A:$AD,AJ$2,0)</f>
        <v>Green</v>
      </c>
      <c r="AK26" t="str">
        <f>VLOOKUP($Z26,'oddspedia-matches'!$A:$AD,AK$2,0)</f>
        <v>Green</v>
      </c>
      <c r="AL26" t="str">
        <f>VLOOKUP($Z26,'oddspedia-matches'!$A:$AD,AL$2,0)</f>
        <v>Green</v>
      </c>
      <c r="AM26" t="str">
        <f>VLOOKUP($Z26,'oddspedia-matches'!$A:$AD,AM$2,0)</f>
        <v>Green</v>
      </c>
      <c r="AN26" t="str">
        <f>VLOOKUP($Z26,'oddspedia-matches'!$A:$AD,AN$2,0)</f>
        <v>Red</v>
      </c>
      <c r="AO26" t="str">
        <f>VLOOKUP($Z26,'oddspedia-matches'!$A:$AD,AO$2,0)</f>
        <v>Red</v>
      </c>
      <c r="AP26" t="str">
        <f>VLOOKUP($Z26,'oddspedia-matches'!$A:$AD,AP$2,0)</f>
        <v>Green</v>
      </c>
      <c r="AQ26" t="str">
        <f>VLOOKUP($Z26,'oddspedia-matches'!$A:$AD,AQ$2,0)</f>
        <v>Red</v>
      </c>
    </row>
    <row r="27" spans="2:43" x14ac:dyDescent="0.2">
      <c r="B27" s="17" t="s">
        <v>452</v>
      </c>
      <c r="C27" s="8" t="s">
        <v>213</v>
      </c>
      <c r="D27" s="18">
        <v>0.77083333333333337</v>
      </c>
      <c r="E27" s="8" t="s">
        <v>228</v>
      </c>
      <c r="F27" s="8" t="s">
        <v>229</v>
      </c>
      <c r="G27" s="19" t="s">
        <v>453</v>
      </c>
      <c r="H27" s="8">
        <v>38</v>
      </c>
      <c r="I27" s="8">
        <v>34.4</v>
      </c>
      <c r="J27" s="8">
        <v>27.6</v>
      </c>
      <c r="K27" s="8">
        <v>72.400000000000006</v>
      </c>
      <c r="L27" s="8">
        <v>62</v>
      </c>
      <c r="M27" s="8">
        <v>65.599999999999994</v>
      </c>
      <c r="N27" s="8">
        <v>19.899999999999999</v>
      </c>
      <c r="O27" s="8">
        <v>56.3</v>
      </c>
      <c r="P27" s="8">
        <v>23.8</v>
      </c>
      <c r="Q27" s="8">
        <v>50.8</v>
      </c>
      <c r="R27" s="8">
        <v>57.1</v>
      </c>
      <c r="S27" s="8">
        <v>28.8</v>
      </c>
      <c r="T27" s="8">
        <v>71.2</v>
      </c>
      <c r="U27" s="8">
        <v>75.5</v>
      </c>
      <c r="V27" s="8">
        <v>37.9</v>
      </c>
      <c r="W27" s="8">
        <v>62.1</v>
      </c>
      <c r="X27" t="str">
        <f>VLOOKUP(E27,'Transform table'!A:B,2,0)</f>
        <v>Libertad Loja</v>
      </c>
      <c r="Y27" t="str">
        <f>VLOOKUP(F27,'Transform table'!A:B,2,0)</f>
        <v>Delfin SC</v>
      </c>
      <c r="Z27" t="str">
        <f t="shared" si="0"/>
        <v>21/07/2026Libertad LojaDelfin SC</v>
      </c>
      <c r="AA27" t="str">
        <f>VLOOKUP($Z27,'oddspedia-matches'!$A:$AD,AA$2,0)</f>
        <v>1 - 0</v>
      </c>
      <c r="AB27" t="str">
        <f>VLOOKUP($Z27,'oddspedia-matches'!$A:$AD,AB$2,0)</f>
        <v>Green</v>
      </c>
      <c r="AC27" t="str">
        <f>VLOOKUP($Z27,'oddspedia-matches'!$A:$AD,AC$2,0)</f>
        <v>Red</v>
      </c>
      <c r="AD27" t="str">
        <f>VLOOKUP($Z27,'oddspedia-matches'!$A:$AD,AD$2,0)</f>
        <v>Red</v>
      </c>
      <c r="AE27" t="str">
        <f>VLOOKUP($Z27,'oddspedia-matches'!$A:$AD,AE$2,0)</f>
        <v>Green</v>
      </c>
      <c r="AF27" t="str">
        <f>VLOOKUP($Z27,'oddspedia-matches'!$A:$AD,AF$2,0)</f>
        <v>Red</v>
      </c>
      <c r="AG27" t="str">
        <f>VLOOKUP($Z27,'oddspedia-matches'!$A:$AD,AG$2,0)</f>
        <v>Green</v>
      </c>
      <c r="AH27" t="str">
        <f>VLOOKUP($Z27,'oddspedia-matches'!$A:$AD,AH$2,0)</f>
        <v>Red</v>
      </c>
      <c r="AI27" t="str">
        <f>VLOOKUP($Z27,'oddspedia-matches'!$A:$AD,AI$2,0)</f>
        <v>Green</v>
      </c>
      <c r="AJ27" t="str">
        <f>VLOOKUP($Z27,'oddspedia-matches'!$A:$AD,AJ$2,0)</f>
        <v>Red</v>
      </c>
      <c r="AK27" t="str">
        <f>VLOOKUP($Z27,'oddspedia-matches'!$A:$AD,AK$2,0)</f>
        <v>Red</v>
      </c>
      <c r="AL27" t="str">
        <f>VLOOKUP($Z27,'oddspedia-matches'!$A:$AD,AL$2,0)</f>
        <v>Red</v>
      </c>
      <c r="AM27" t="str">
        <f>VLOOKUP($Z27,'oddspedia-matches'!$A:$AD,AM$2,0)</f>
        <v>Red</v>
      </c>
      <c r="AN27" t="str">
        <f>VLOOKUP($Z27,'oddspedia-matches'!$A:$AD,AN$2,0)</f>
        <v>Green</v>
      </c>
      <c r="AO27" t="str">
        <f>VLOOKUP($Z27,'oddspedia-matches'!$A:$AD,AO$2,0)</f>
        <v>Green</v>
      </c>
      <c r="AP27" t="str">
        <f>VLOOKUP($Z27,'oddspedia-matches'!$A:$AD,AP$2,0)</f>
        <v>Red</v>
      </c>
      <c r="AQ27" t="str">
        <f>VLOOKUP($Z27,'oddspedia-matches'!$A:$AD,AQ$2,0)</f>
        <v>Green</v>
      </c>
    </row>
    <row r="28" spans="2:43" x14ac:dyDescent="0.2">
      <c r="B28" s="9" t="s">
        <v>454</v>
      </c>
      <c r="C28" s="7" t="s">
        <v>213</v>
      </c>
      <c r="D28" s="20">
        <v>0.8125</v>
      </c>
      <c r="E28" s="7" t="s">
        <v>230</v>
      </c>
      <c r="F28" s="7" t="s">
        <v>231</v>
      </c>
      <c r="G28" s="21" t="s">
        <v>459</v>
      </c>
      <c r="H28" s="7">
        <v>39.799999999999997</v>
      </c>
      <c r="I28" s="7">
        <v>28.7</v>
      </c>
      <c r="J28" s="7">
        <v>31.5</v>
      </c>
      <c r="K28" s="7">
        <v>68.5</v>
      </c>
      <c r="L28" s="7">
        <v>60.2</v>
      </c>
      <c r="M28" s="7">
        <v>71.3</v>
      </c>
      <c r="N28" s="7">
        <v>34.299999999999997</v>
      </c>
      <c r="O28" s="7">
        <v>40.700000000000003</v>
      </c>
      <c r="P28" s="7">
        <v>24.9</v>
      </c>
      <c r="Q28" s="7">
        <v>73.7</v>
      </c>
      <c r="R28" s="7">
        <v>75.8</v>
      </c>
      <c r="S28" s="7">
        <v>49.8</v>
      </c>
      <c r="T28" s="7">
        <v>50.2</v>
      </c>
      <c r="U28" s="7">
        <v>55.8</v>
      </c>
      <c r="V28" s="7">
        <v>55.4</v>
      </c>
      <c r="W28" s="7">
        <v>44.6</v>
      </c>
      <c r="X28" t="str">
        <f>VLOOKUP(E28,'Transform table'!A:B,2,0)</f>
        <v>Atletico Mineiro</v>
      </c>
      <c r="Y28" t="str">
        <f>VLOOKUP(F28,'Transform table'!A:B,2,0)</f>
        <v>Bahia</v>
      </c>
      <c r="Z28" t="str">
        <f t="shared" si="0"/>
        <v>21/07/2026Atletico MineiroBahia</v>
      </c>
      <c r="AA28" t="str">
        <f>VLOOKUP($Z28,'oddspedia-matches'!$A:$AD,AA$2,0)</f>
        <v>1 - 1</v>
      </c>
      <c r="AB28" t="str">
        <f>VLOOKUP($Z28,'oddspedia-matches'!$A:$AD,AB$2,0)</f>
        <v>Red</v>
      </c>
      <c r="AC28" t="str">
        <f>VLOOKUP($Z28,'oddspedia-matches'!$A:$AD,AC$2,0)</f>
        <v>Green</v>
      </c>
      <c r="AD28" t="str">
        <f>VLOOKUP($Z28,'oddspedia-matches'!$A:$AD,AD$2,0)</f>
        <v>Red</v>
      </c>
      <c r="AE28" t="str">
        <f>VLOOKUP($Z28,'oddspedia-matches'!$A:$AD,AE$2,0)</f>
        <v>Green</v>
      </c>
      <c r="AF28" t="str">
        <f>VLOOKUP($Z28,'oddspedia-matches'!$A:$AD,AF$2,0)</f>
        <v>Green</v>
      </c>
      <c r="AG28" t="str">
        <f>VLOOKUP($Z28,'oddspedia-matches'!$A:$AD,AG$2,0)</f>
        <v>Red</v>
      </c>
      <c r="AH28" t="str">
        <f>VLOOKUP($Z28,'oddspedia-matches'!$A:$AD,AH$2,0)</f>
        <v>Green</v>
      </c>
      <c r="AI28" t="str">
        <f>VLOOKUP($Z28,'oddspedia-matches'!$A:$AD,AI$2,0)</f>
        <v>Red</v>
      </c>
      <c r="AJ28" t="str">
        <f>VLOOKUP($Z28,'oddspedia-matches'!$A:$AD,AJ$2,0)</f>
        <v>Red</v>
      </c>
      <c r="AK28" t="str">
        <f>VLOOKUP($Z28,'oddspedia-matches'!$A:$AD,AK$2,0)</f>
        <v>Green</v>
      </c>
      <c r="AL28" t="str">
        <f>VLOOKUP($Z28,'oddspedia-matches'!$A:$AD,AL$2,0)</f>
        <v>Green</v>
      </c>
      <c r="AM28" t="str">
        <f>VLOOKUP($Z28,'oddspedia-matches'!$A:$AD,AM$2,0)</f>
        <v>Red</v>
      </c>
      <c r="AN28" t="str">
        <f>VLOOKUP($Z28,'oddspedia-matches'!$A:$AD,AN$2,0)</f>
        <v>Green</v>
      </c>
      <c r="AO28" t="str">
        <f>VLOOKUP($Z28,'oddspedia-matches'!$A:$AD,AO$2,0)</f>
        <v>Green</v>
      </c>
      <c r="AP28" t="str">
        <f>VLOOKUP($Z28,'oddspedia-matches'!$A:$AD,AP$2,0)</f>
        <v>Green</v>
      </c>
      <c r="AQ28" t="str">
        <f>VLOOKUP($Z28,'oddspedia-matches'!$A:$AD,AQ$2,0)</f>
        <v>Red</v>
      </c>
    </row>
    <row r="29" spans="2:43" x14ac:dyDescent="0.2">
      <c r="B29" s="17" t="s">
        <v>455</v>
      </c>
      <c r="C29" s="8" t="s">
        <v>213</v>
      </c>
      <c r="D29" s="18">
        <v>0.8125</v>
      </c>
      <c r="E29" s="8" t="s">
        <v>232</v>
      </c>
      <c r="F29" s="8" t="s">
        <v>233</v>
      </c>
      <c r="G29" s="19" t="s">
        <v>462</v>
      </c>
      <c r="H29" s="8">
        <v>50.5</v>
      </c>
      <c r="I29" s="8">
        <v>28.3</v>
      </c>
      <c r="J29" s="8">
        <v>21.2</v>
      </c>
      <c r="K29" s="8">
        <v>78.8</v>
      </c>
      <c r="L29" s="8">
        <v>49.5</v>
      </c>
      <c r="M29" s="8">
        <v>71.7</v>
      </c>
      <c r="N29" s="8">
        <v>29.5</v>
      </c>
      <c r="O29" s="8">
        <v>48.4</v>
      </c>
      <c r="P29" s="8">
        <v>22.1</v>
      </c>
      <c r="Q29" s="8">
        <v>62</v>
      </c>
      <c r="R29" s="8">
        <v>70.7</v>
      </c>
      <c r="S29" s="8">
        <v>43.4</v>
      </c>
      <c r="T29" s="8">
        <v>56.6</v>
      </c>
      <c r="U29" s="8">
        <v>62.9</v>
      </c>
      <c r="V29" s="8">
        <v>47.5</v>
      </c>
      <c r="W29" s="8">
        <v>52.5</v>
      </c>
      <c r="X29" t="str">
        <f>VLOOKUP(E29,'Transform table'!A:B,2,0)</f>
        <v>Avai</v>
      </c>
      <c r="Y29" t="str">
        <f>VLOOKUP(F29,'Transform table'!A:B,2,0)</f>
        <v>America Mineiro</v>
      </c>
      <c r="Z29" t="str">
        <f t="shared" si="0"/>
        <v>21/07/2026AvaiAmerica Mineiro</v>
      </c>
      <c r="AA29" t="str">
        <f>VLOOKUP($Z29,'oddspedia-matches'!$A:$AD,AA$2,0)</f>
        <v>2 - 1</v>
      </c>
      <c r="AB29" t="str">
        <f>VLOOKUP($Z29,'oddspedia-matches'!$A:$AD,AB$2,0)</f>
        <v>Green</v>
      </c>
      <c r="AC29" t="str">
        <f>VLOOKUP($Z29,'oddspedia-matches'!$A:$AD,AC$2,0)</f>
        <v>Red</v>
      </c>
      <c r="AD29" t="str">
        <f>VLOOKUP($Z29,'oddspedia-matches'!$A:$AD,AD$2,0)</f>
        <v>Red</v>
      </c>
      <c r="AE29" t="str">
        <f>VLOOKUP($Z29,'oddspedia-matches'!$A:$AD,AE$2,0)</f>
        <v>Green</v>
      </c>
      <c r="AF29" t="str">
        <f>VLOOKUP($Z29,'oddspedia-matches'!$A:$AD,AF$2,0)</f>
        <v>Red</v>
      </c>
      <c r="AG29" t="str">
        <f>VLOOKUP($Z29,'oddspedia-matches'!$A:$AD,AG$2,0)</f>
        <v>Green</v>
      </c>
      <c r="AH29" t="str">
        <f>VLOOKUP($Z29,'oddspedia-matches'!$A:$AD,AH$2,0)</f>
        <v>Red</v>
      </c>
      <c r="AI29" t="str">
        <f>VLOOKUP($Z29,'oddspedia-matches'!$A:$AD,AI$2,0)</f>
        <v>Red</v>
      </c>
      <c r="AJ29" t="str">
        <f>VLOOKUP($Z29,'oddspedia-matches'!$A:$AD,AJ$2,0)</f>
        <v>Green</v>
      </c>
      <c r="AK29" t="str">
        <f>VLOOKUP($Z29,'oddspedia-matches'!$A:$AD,AK$2,0)</f>
        <v>Green</v>
      </c>
      <c r="AL29" t="str">
        <f>VLOOKUP($Z29,'oddspedia-matches'!$A:$AD,AL$2,0)</f>
        <v>Green</v>
      </c>
      <c r="AM29" t="str">
        <f>VLOOKUP($Z29,'oddspedia-matches'!$A:$AD,AM$2,0)</f>
        <v>Green</v>
      </c>
      <c r="AN29" t="str">
        <f>VLOOKUP($Z29,'oddspedia-matches'!$A:$AD,AN$2,0)</f>
        <v>Red</v>
      </c>
      <c r="AO29" t="str">
        <f>VLOOKUP($Z29,'oddspedia-matches'!$A:$AD,AO$2,0)</f>
        <v>Green</v>
      </c>
      <c r="AP29" t="str">
        <f>VLOOKUP($Z29,'oddspedia-matches'!$A:$AD,AP$2,0)</f>
        <v>Green</v>
      </c>
      <c r="AQ29" t="str">
        <f>VLOOKUP($Z29,'oddspedia-matches'!$A:$AD,AQ$2,0)</f>
        <v>Red</v>
      </c>
    </row>
    <row r="30" spans="2:43" x14ac:dyDescent="0.2">
      <c r="B30" s="9" t="s">
        <v>455</v>
      </c>
      <c r="C30" s="7" t="s">
        <v>213</v>
      </c>
      <c r="D30" s="20">
        <v>0.8125</v>
      </c>
      <c r="E30" s="7" t="s">
        <v>234</v>
      </c>
      <c r="F30" s="7" t="s">
        <v>235</v>
      </c>
      <c r="G30" s="21" t="s">
        <v>456</v>
      </c>
      <c r="H30" s="7">
        <v>41.5</v>
      </c>
      <c r="I30" s="7">
        <v>31.1</v>
      </c>
      <c r="J30" s="7">
        <v>27.4</v>
      </c>
      <c r="K30" s="7">
        <v>72.599999999999994</v>
      </c>
      <c r="L30" s="7">
        <v>58.5</v>
      </c>
      <c r="M30" s="7">
        <v>68.900000000000006</v>
      </c>
      <c r="N30" s="7">
        <v>20</v>
      </c>
      <c r="O30" s="7">
        <v>52</v>
      </c>
      <c r="P30" s="7">
        <v>28.1</v>
      </c>
      <c r="Q30" s="7">
        <v>56.9</v>
      </c>
      <c r="R30" s="7">
        <v>66.5</v>
      </c>
      <c r="S30" s="7">
        <v>38.4</v>
      </c>
      <c r="T30" s="7">
        <v>61.6</v>
      </c>
      <c r="U30" s="7">
        <v>66.8</v>
      </c>
      <c r="V30" s="7">
        <v>45.8</v>
      </c>
      <c r="W30" s="7">
        <v>54.2</v>
      </c>
      <c r="X30" t="str">
        <f>VLOOKUP(E30,'Transform table'!A:B,2,0)</f>
        <v>Novorizontino SP</v>
      </c>
      <c r="Y30" t="str">
        <f>VLOOKUP(F30,'Transform table'!A:B,2,0)</f>
        <v>Criciuma</v>
      </c>
      <c r="Z30" t="str">
        <f t="shared" si="0"/>
        <v>21/07/2026Novorizontino SPCriciuma</v>
      </c>
      <c r="AA30" t="str">
        <f>VLOOKUP($Z30,'oddspedia-matches'!$A:$AD,AA$2,0)</f>
        <v>0 - 1</v>
      </c>
      <c r="AB30" t="str">
        <f>VLOOKUP($Z30,'oddspedia-matches'!$A:$AD,AB$2,0)</f>
        <v>Red</v>
      </c>
      <c r="AC30" t="str">
        <f>VLOOKUP($Z30,'oddspedia-matches'!$A:$AD,AC$2,0)</f>
        <v>Red</v>
      </c>
      <c r="AD30" t="str">
        <f>VLOOKUP($Z30,'oddspedia-matches'!$A:$AD,AD$2,0)</f>
        <v>Green</v>
      </c>
      <c r="AE30" t="str">
        <f>VLOOKUP($Z30,'oddspedia-matches'!$A:$AD,AE$2,0)</f>
        <v>Red</v>
      </c>
      <c r="AF30" t="str">
        <f>VLOOKUP($Z30,'oddspedia-matches'!$A:$AD,AF$2,0)</f>
        <v>Green</v>
      </c>
      <c r="AG30" t="str">
        <f>VLOOKUP($Z30,'oddspedia-matches'!$A:$AD,AG$2,0)</f>
        <v>Green</v>
      </c>
      <c r="AH30" t="str">
        <f>VLOOKUP($Z30,'oddspedia-matches'!$A:$AD,AH$2,0)</f>
        <v>Red</v>
      </c>
      <c r="AI30" t="str">
        <f>VLOOKUP($Z30,'oddspedia-matches'!$A:$AD,AI$2,0)</f>
        <v>Green</v>
      </c>
      <c r="AJ30" t="str">
        <f>VLOOKUP($Z30,'oddspedia-matches'!$A:$AD,AJ$2,0)</f>
        <v>Red</v>
      </c>
      <c r="AK30" t="str">
        <f>VLOOKUP($Z30,'oddspedia-matches'!$A:$AD,AK$2,0)</f>
        <v>Red</v>
      </c>
      <c r="AL30" t="str">
        <f>VLOOKUP($Z30,'oddspedia-matches'!$A:$AD,AL$2,0)</f>
        <v>Red</v>
      </c>
      <c r="AM30" t="str">
        <f>VLOOKUP($Z30,'oddspedia-matches'!$A:$AD,AM$2,0)</f>
        <v>Red</v>
      </c>
      <c r="AN30" t="str">
        <f>VLOOKUP($Z30,'oddspedia-matches'!$A:$AD,AN$2,0)</f>
        <v>Green</v>
      </c>
      <c r="AO30" t="str">
        <f>VLOOKUP($Z30,'oddspedia-matches'!$A:$AD,AO$2,0)</f>
        <v>Green</v>
      </c>
      <c r="AP30" t="str">
        <f>VLOOKUP($Z30,'oddspedia-matches'!$A:$AD,AP$2,0)</f>
        <v>Red</v>
      </c>
      <c r="AQ30" t="str">
        <f>VLOOKUP($Z30,'oddspedia-matches'!$A:$AD,AQ$2,0)</f>
        <v>Green</v>
      </c>
    </row>
    <row r="31" spans="2:43" x14ac:dyDescent="0.2">
      <c r="B31" s="17" t="s">
        <v>457</v>
      </c>
      <c r="C31" s="8" t="s">
        <v>213</v>
      </c>
      <c r="D31" s="18">
        <v>0.83333333333333337</v>
      </c>
      <c r="E31" s="8" t="s">
        <v>236</v>
      </c>
      <c r="F31" s="8" t="s">
        <v>237</v>
      </c>
      <c r="G31" s="19" t="s">
        <v>460</v>
      </c>
      <c r="H31" s="8">
        <v>37.5</v>
      </c>
      <c r="I31" s="8">
        <v>29.8</v>
      </c>
      <c r="J31" s="8">
        <v>32.700000000000003</v>
      </c>
      <c r="K31" s="8">
        <v>67.3</v>
      </c>
      <c r="L31" s="8">
        <v>62.5</v>
      </c>
      <c r="M31" s="8">
        <v>70.2</v>
      </c>
      <c r="N31" s="8">
        <v>21.1</v>
      </c>
      <c r="O31" s="8">
        <v>54.7</v>
      </c>
      <c r="P31" s="8">
        <v>24.2</v>
      </c>
      <c r="Q31" s="8">
        <v>53.1</v>
      </c>
      <c r="R31" s="8">
        <v>72.5</v>
      </c>
      <c r="S31" s="8">
        <v>45.5</v>
      </c>
      <c r="T31" s="8">
        <v>54.5</v>
      </c>
      <c r="U31" s="8">
        <v>59.8</v>
      </c>
      <c r="V31" s="8">
        <v>52.2</v>
      </c>
      <c r="W31" s="8">
        <v>47.8</v>
      </c>
      <c r="X31" t="str">
        <f>VLOOKUP(E31,'Transform table'!A:B,2,0)</f>
        <v>Independiente Petrolero</v>
      </c>
      <c r="Y31" t="str">
        <f>VLOOKUP(F31,'Transform table'!A:B,2,0)</f>
        <v>Real Potosi</v>
      </c>
      <c r="Z31" t="str">
        <f t="shared" si="0"/>
        <v>21/07/2026Independiente PetroleroReal Potosi</v>
      </c>
      <c r="AA31" t="str">
        <f>VLOOKUP($Z31,'oddspedia-matches'!$A:$AD,AA$2,0)</f>
        <v>1 - 2</v>
      </c>
      <c r="AB31" t="str">
        <f>VLOOKUP($Z31,'oddspedia-matches'!$A:$AD,AB$2,0)</f>
        <v>Red</v>
      </c>
      <c r="AC31" t="str">
        <f>VLOOKUP($Z31,'oddspedia-matches'!$A:$AD,AC$2,0)</f>
        <v>Red</v>
      </c>
      <c r="AD31" t="str">
        <f>VLOOKUP($Z31,'oddspedia-matches'!$A:$AD,AD$2,0)</f>
        <v>Green</v>
      </c>
      <c r="AE31" t="str">
        <f>VLOOKUP($Z31,'oddspedia-matches'!$A:$AD,AE$2,0)</f>
        <v>Red</v>
      </c>
      <c r="AF31" t="str">
        <f>VLOOKUP($Z31,'oddspedia-matches'!$A:$AD,AF$2,0)</f>
        <v>Green</v>
      </c>
      <c r="AG31" t="str">
        <f>VLOOKUP($Z31,'oddspedia-matches'!$A:$AD,AG$2,0)</f>
        <v>Green</v>
      </c>
      <c r="AH31" t="str">
        <f>VLOOKUP($Z31,'oddspedia-matches'!$A:$AD,AH$2,0)</f>
        <v>Red</v>
      </c>
      <c r="AI31" t="str">
        <f>VLOOKUP($Z31,'oddspedia-matches'!$A:$AD,AI$2,0)</f>
        <v>Green</v>
      </c>
      <c r="AJ31" t="str">
        <f>VLOOKUP($Z31,'oddspedia-matches'!$A:$AD,AJ$2,0)</f>
        <v>Red</v>
      </c>
      <c r="AK31" t="str">
        <f>VLOOKUP($Z31,'oddspedia-matches'!$A:$AD,AK$2,0)</f>
        <v>Green</v>
      </c>
      <c r="AL31" t="str">
        <f>VLOOKUP($Z31,'oddspedia-matches'!$A:$AD,AL$2,0)</f>
        <v>Green</v>
      </c>
      <c r="AM31" t="str">
        <f>VLOOKUP($Z31,'oddspedia-matches'!$A:$AD,AM$2,0)</f>
        <v>Green</v>
      </c>
      <c r="AN31" t="str">
        <f>VLOOKUP($Z31,'oddspedia-matches'!$A:$AD,AN$2,0)</f>
        <v>Red</v>
      </c>
      <c r="AO31" t="str">
        <f>VLOOKUP($Z31,'oddspedia-matches'!$A:$AD,AO$2,0)</f>
        <v>Green</v>
      </c>
      <c r="AP31" t="str">
        <f>VLOOKUP($Z31,'oddspedia-matches'!$A:$AD,AP$2,0)</f>
        <v>Green</v>
      </c>
      <c r="AQ31" t="str">
        <f>VLOOKUP($Z31,'oddspedia-matches'!$A:$AD,AQ$2,0)</f>
        <v>Red</v>
      </c>
    </row>
    <row r="32" spans="2:43" x14ac:dyDescent="0.2">
      <c r="B32" s="9" t="s">
        <v>452</v>
      </c>
      <c r="C32" s="7" t="s">
        <v>213</v>
      </c>
      <c r="D32" s="20">
        <v>0.875</v>
      </c>
      <c r="E32" s="7" t="s">
        <v>238</v>
      </c>
      <c r="F32" s="7" t="s">
        <v>239</v>
      </c>
      <c r="G32" s="21" t="s">
        <v>462</v>
      </c>
      <c r="H32" s="7">
        <v>43.1</v>
      </c>
      <c r="I32" s="7">
        <v>31.7</v>
      </c>
      <c r="J32" s="7">
        <v>25.1</v>
      </c>
      <c r="K32" s="7">
        <v>74.900000000000006</v>
      </c>
      <c r="L32" s="7">
        <v>56.9</v>
      </c>
      <c r="M32" s="7">
        <v>68.3</v>
      </c>
      <c r="N32" s="7">
        <v>19.5</v>
      </c>
      <c r="O32" s="7">
        <v>55.3</v>
      </c>
      <c r="P32" s="7">
        <v>25.2</v>
      </c>
      <c r="Q32" s="7">
        <v>52.2</v>
      </c>
      <c r="R32" s="7">
        <v>63.3</v>
      </c>
      <c r="S32" s="7">
        <v>35</v>
      </c>
      <c r="T32" s="7">
        <v>65</v>
      </c>
      <c r="U32" s="7">
        <v>70.2</v>
      </c>
      <c r="V32" s="7">
        <v>42.4</v>
      </c>
      <c r="W32" s="7">
        <v>57.6</v>
      </c>
      <c r="X32" t="str">
        <f>VLOOKUP(E32,'Transform table'!A:B,2,0)</f>
        <v>CD Uni Catolica del Ecuador</v>
      </c>
      <c r="Y32" t="str">
        <f>VLOOKUP(F32,'Transform table'!A:B,2,0)</f>
        <v>Barcelona SC</v>
      </c>
      <c r="Z32" t="str">
        <f t="shared" si="0"/>
        <v>21/07/2026CD Uni Catolica del EcuadorBarcelona SC</v>
      </c>
      <c r="AA32" t="str">
        <f>VLOOKUP($Z32,'oddspedia-matches'!$A:$AD,AA$2,0)</f>
        <v>2 - 1</v>
      </c>
      <c r="AB32" t="str">
        <f>VLOOKUP($Z32,'oddspedia-matches'!$A:$AD,AB$2,0)</f>
        <v>Green</v>
      </c>
      <c r="AC32" t="str">
        <f>VLOOKUP($Z32,'oddspedia-matches'!$A:$AD,AC$2,0)</f>
        <v>Red</v>
      </c>
      <c r="AD32" t="str">
        <f>VLOOKUP($Z32,'oddspedia-matches'!$A:$AD,AD$2,0)</f>
        <v>Red</v>
      </c>
      <c r="AE32" t="str">
        <f>VLOOKUP($Z32,'oddspedia-matches'!$A:$AD,AE$2,0)</f>
        <v>Green</v>
      </c>
      <c r="AF32" t="str">
        <f>VLOOKUP($Z32,'oddspedia-matches'!$A:$AD,AF$2,0)</f>
        <v>Red</v>
      </c>
      <c r="AG32" t="str">
        <f>VLOOKUP($Z32,'oddspedia-matches'!$A:$AD,AG$2,0)</f>
        <v>Green</v>
      </c>
      <c r="AH32" t="str">
        <f>VLOOKUP($Z32,'oddspedia-matches'!$A:$AD,AH$2,0)</f>
        <v>Green</v>
      </c>
      <c r="AI32" t="str">
        <f>VLOOKUP($Z32,'oddspedia-matches'!$A:$AD,AI$2,0)</f>
        <v>Red</v>
      </c>
      <c r="AJ32" t="str">
        <f>VLOOKUP($Z32,'oddspedia-matches'!$A:$AD,AJ$2,0)</f>
        <v>Red</v>
      </c>
      <c r="AK32" t="str">
        <f>VLOOKUP($Z32,'oddspedia-matches'!$A:$AD,AK$2,0)</f>
        <v>Green</v>
      </c>
      <c r="AL32" t="str">
        <f>VLOOKUP($Z32,'oddspedia-matches'!$A:$AD,AL$2,0)</f>
        <v>Green</v>
      </c>
      <c r="AM32" t="str">
        <f>VLOOKUP($Z32,'oddspedia-matches'!$A:$AD,AM$2,0)</f>
        <v>Green</v>
      </c>
      <c r="AN32" t="str">
        <f>VLOOKUP($Z32,'oddspedia-matches'!$A:$AD,AN$2,0)</f>
        <v>Red</v>
      </c>
      <c r="AO32" t="str">
        <f>VLOOKUP($Z32,'oddspedia-matches'!$A:$AD,AO$2,0)</f>
        <v>Green</v>
      </c>
      <c r="AP32" t="str">
        <f>VLOOKUP($Z32,'oddspedia-matches'!$A:$AD,AP$2,0)</f>
        <v>Green</v>
      </c>
      <c r="AQ32" t="str">
        <f>VLOOKUP($Z32,'oddspedia-matches'!$A:$AD,AQ$2,0)</f>
        <v>Red</v>
      </c>
    </row>
    <row r="33" spans="2:43" x14ac:dyDescent="0.2">
      <c r="B33" s="17" t="s">
        <v>455</v>
      </c>
      <c r="C33" s="8" t="s">
        <v>213</v>
      </c>
      <c r="D33" s="18">
        <v>0.89930555555555558</v>
      </c>
      <c r="E33" s="8" t="s">
        <v>240</v>
      </c>
      <c r="F33" s="8" t="s">
        <v>241</v>
      </c>
      <c r="G33" s="19" t="s">
        <v>462</v>
      </c>
      <c r="H33" s="8">
        <v>43.1</v>
      </c>
      <c r="I33" s="8">
        <v>30.3</v>
      </c>
      <c r="J33" s="8">
        <v>26.6</v>
      </c>
      <c r="K33" s="8">
        <v>73.400000000000006</v>
      </c>
      <c r="L33" s="8">
        <v>56.9</v>
      </c>
      <c r="M33" s="8">
        <v>69.7</v>
      </c>
      <c r="N33" s="8">
        <v>33.700000000000003</v>
      </c>
      <c r="O33" s="8">
        <v>44.9</v>
      </c>
      <c r="P33" s="8">
        <v>21.4</v>
      </c>
      <c r="Q33" s="8">
        <v>66.8</v>
      </c>
      <c r="R33" s="8">
        <v>68.599999999999994</v>
      </c>
      <c r="S33" s="8">
        <v>40.799999999999997</v>
      </c>
      <c r="T33" s="8">
        <v>59.2</v>
      </c>
      <c r="U33" s="8">
        <v>64.599999999999994</v>
      </c>
      <c r="V33" s="8">
        <v>47.5</v>
      </c>
      <c r="W33" s="8">
        <v>52.5</v>
      </c>
      <c r="X33" t="str">
        <f>VLOOKUP(E33,'Transform table'!A:B,2,0)</f>
        <v>Vila Nova GO</v>
      </c>
      <c r="Y33" t="str">
        <f>VLOOKUP(F33,'Transform table'!A:B,2,0)</f>
        <v>Fortaleza EC</v>
      </c>
      <c r="Z33" t="str">
        <f t="shared" si="0"/>
        <v>21/07/2026Vila Nova GOFortaleza EC</v>
      </c>
      <c r="AA33" t="str">
        <f>VLOOKUP($Z33,'oddspedia-matches'!$A:$AD,AA$2,0)</f>
        <v>2 - 1</v>
      </c>
      <c r="AB33" t="str">
        <f>VLOOKUP($Z33,'oddspedia-matches'!$A:$AD,AB$2,0)</f>
        <v>Green</v>
      </c>
      <c r="AC33" t="str">
        <f>VLOOKUP($Z33,'oddspedia-matches'!$A:$AD,AC$2,0)</f>
        <v>Red</v>
      </c>
      <c r="AD33" t="str">
        <f>VLOOKUP($Z33,'oddspedia-matches'!$A:$AD,AD$2,0)</f>
        <v>Red</v>
      </c>
      <c r="AE33" t="str">
        <f>VLOOKUP($Z33,'oddspedia-matches'!$A:$AD,AE$2,0)</f>
        <v>Green</v>
      </c>
      <c r="AF33" t="str">
        <f>VLOOKUP($Z33,'oddspedia-matches'!$A:$AD,AF$2,0)</f>
        <v>Red</v>
      </c>
      <c r="AG33" t="str">
        <f>VLOOKUP($Z33,'oddspedia-matches'!$A:$AD,AG$2,0)</f>
        <v>Green</v>
      </c>
      <c r="AH33" t="str">
        <f>VLOOKUP($Z33,'oddspedia-matches'!$A:$AD,AH$2,0)</f>
        <v>Green</v>
      </c>
      <c r="AI33" t="str">
        <f>VLOOKUP($Z33,'oddspedia-matches'!$A:$AD,AI$2,0)</f>
        <v>Red</v>
      </c>
      <c r="AJ33" t="str">
        <f>VLOOKUP($Z33,'oddspedia-matches'!$A:$AD,AJ$2,0)</f>
        <v>Red</v>
      </c>
      <c r="AK33" t="str">
        <f>VLOOKUP($Z33,'oddspedia-matches'!$A:$AD,AK$2,0)</f>
        <v>Green</v>
      </c>
      <c r="AL33" t="str">
        <f>VLOOKUP($Z33,'oddspedia-matches'!$A:$AD,AL$2,0)</f>
        <v>Green</v>
      </c>
      <c r="AM33" t="str">
        <f>VLOOKUP($Z33,'oddspedia-matches'!$A:$AD,AM$2,0)</f>
        <v>Green</v>
      </c>
      <c r="AN33" t="str">
        <f>VLOOKUP($Z33,'oddspedia-matches'!$A:$AD,AN$2,0)</f>
        <v>Red</v>
      </c>
      <c r="AO33" t="str">
        <f>VLOOKUP($Z33,'oddspedia-matches'!$A:$AD,AO$2,0)</f>
        <v>Green</v>
      </c>
      <c r="AP33" t="str">
        <f>VLOOKUP($Z33,'oddspedia-matches'!$A:$AD,AP$2,0)</f>
        <v>Green</v>
      </c>
      <c r="AQ33" t="str">
        <f>VLOOKUP($Z33,'oddspedia-matches'!$A:$AD,AQ$2,0)</f>
        <v>Red</v>
      </c>
    </row>
    <row r="34" spans="2:43" x14ac:dyDescent="0.2">
      <c r="B34" s="9" t="s">
        <v>463</v>
      </c>
      <c r="C34" s="7" t="s">
        <v>17</v>
      </c>
      <c r="D34" s="20">
        <v>0.25</v>
      </c>
      <c r="E34" s="7" t="s">
        <v>18</v>
      </c>
      <c r="F34" s="7" t="s">
        <v>19</v>
      </c>
      <c r="G34" s="21"/>
      <c r="H34" s="7">
        <v>43.3</v>
      </c>
      <c r="I34" s="7">
        <v>25.2</v>
      </c>
      <c r="J34" s="7">
        <v>31.5</v>
      </c>
      <c r="K34" s="7">
        <v>68.5</v>
      </c>
      <c r="L34" s="7">
        <v>56.7</v>
      </c>
      <c r="M34" s="7">
        <v>74.8</v>
      </c>
      <c r="N34" s="7">
        <v>32.5</v>
      </c>
      <c r="O34" s="7">
        <v>33.9</v>
      </c>
      <c r="P34" s="7">
        <v>33.6</v>
      </c>
      <c r="Q34" s="7">
        <v>84.8</v>
      </c>
      <c r="R34" s="7">
        <v>91.3</v>
      </c>
      <c r="S34" s="7">
        <v>75.599999999999994</v>
      </c>
      <c r="T34" s="7">
        <v>24.4</v>
      </c>
      <c r="U34" s="7">
        <v>29.4</v>
      </c>
      <c r="V34" s="7">
        <v>75.099999999999994</v>
      </c>
      <c r="W34" s="7">
        <v>24.9</v>
      </c>
      <c r="X34" t="str">
        <f>VLOOKUP(E34,'Transform table'!A:B,2,0)</f>
        <v>Hamilton Olympic</v>
      </c>
      <c r="Y34" t="str">
        <f>VLOOKUP(F34,'Transform table'!A:B,2,0)</f>
        <v>Belmont Swansea United SC</v>
      </c>
      <c r="Z34" t="str">
        <f t="shared" si="0"/>
        <v>22/07/2026Hamilton OlympicBelmont Swansea United SC</v>
      </c>
      <c r="AA34" t="str">
        <f>VLOOKUP($Z34,'oddspedia-matches'!$A:$AD,AA$2,0)</f>
        <v>5 - 2</v>
      </c>
      <c r="AB34" t="str">
        <f>VLOOKUP($Z34,'oddspedia-matches'!$A:$AD,AB$2,0)</f>
        <v>Green</v>
      </c>
      <c r="AC34" t="str">
        <f>VLOOKUP($Z34,'oddspedia-matches'!$A:$AD,AC$2,0)</f>
        <v>Red</v>
      </c>
      <c r="AD34" t="str">
        <f>VLOOKUP($Z34,'oddspedia-matches'!$A:$AD,AD$2,0)</f>
        <v>Red</v>
      </c>
      <c r="AE34" t="str">
        <f>VLOOKUP($Z34,'oddspedia-matches'!$A:$AD,AE$2,0)</f>
        <v>Green</v>
      </c>
      <c r="AF34" t="str">
        <f>VLOOKUP($Z34,'oddspedia-matches'!$A:$AD,AF$2,0)</f>
        <v>Red</v>
      </c>
      <c r="AG34" t="str">
        <f>VLOOKUP($Z34,'oddspedia-matches'!$A:$AD,AG$2,0)</f>
        <v>Green</v>
      </c>
      <c r="AH34" t="str">
        <f>VLOOKUP($Z34,'oddspedia-matches'!$A:$AD,AH$2,0)</f>
        <v>Green</v>
      </c>
      <c r="AI34" t="str">
        <f>VLOOKUP($Z34,'oddspedia-matches'!$A:$AD,AI$2,0)</f>
        <v>Red</v>
      </c>
      <c r="AJ34" t="str">
        <f>VLOOKUP($Z34,'oddspedia-matches'!$A:$AD,AJ$2,0)</f>
        <v>Red</v>
      </c>
      <c r="AK34" t="str">
        <f>VLOOKUP($Z34,'oddspedia-matches'!$A:$AD,AK$2,0)</f>
        <v>Green</v>
      </c>
      <c r="AL34" t="str">
        <f>VLOOKUP($Z34,'oddspedia-matches'!$A:$AD,AL$2,0)</f>
        <v>Green</v>
      </c>
      <c r="AM34" t="str">
        <f>VLOOKUP($Z34,'oddspedia-matches'!$A:$AD,AM$2,0)</f>
        <v>Green</v>
      </c>
      <c r="AN34" t="str">
        <f>VLOOKUP($Z34,'oddspedia-matches'!$A:$AD,AN$2,0)</f>
        <v>Red</v>
      </c>
      <c r="AO34" t="str">
        <f>VLOOKUP($Z34,'oddspedia-matches'!$A:$AD,AO$2,0)</f>
        <v>Red</v>
      </c>
      <c r="AP34" t="str">
        <f>VLOOKUP($Z34,'oddspedia-matches'!$A:$AD,AP$2,0)</f>
        <v>Green</v>
      </c>
      <c r="AQ34" t="str">
        <f>VLOOKUP($Z34,'oddspedia-matches'!$A:$AD,AQ$2,0)</f>
        <v>Red</v>
      </c>
    </row>
    <row r="35" spans="2:43" x14ac:dyDescent="0.2">
      <c r="B35" s="17" t="s">
        <v>445</v>
      </c>
      <c r="C35" s="8" t="s">
        <v>17</v>
      </c>
      <c r="D35" s="18">
        <v>0.27083333333333331</v>
      </c>
      <c r="E35" s="8" t="s">
        <v>21</v>
      </c>
      <c r="F35" s="8" t="s">
        <v>22</v>
      </c>
      <c r="G35" s="19"/>
      <c r="H35" s="8">
        <v>64.099999999999994</v>
      </c>
      <c r="I35" s="8">
        <v>24.1</v>
      </c>
      <c r="J35" s="8">
        <v>11.8</v>
      </c>
      <c r="K35" s="8">
        <v>88.2</v>
      </c>
      <c r="L35" s="8">
        <v>35.9</v>
      </c>
      <c r="M35" s="8">
        <v>75.900000000000006</v>
      </c>
      <c r="N35" s="8">
        <v>56.6</v>
      </c>
      <c r="O35" s="8">
        <v>29.2</v>
      </c>
      <c r="P35" s="8">
        <v>14.2</v>
      </c>
      <c r="Q35" s="8">
        <v>85.5</v>
      </c>
      <c r="R35" s="8">
        <v>93.6</v>
      </c>
      <c r="S35" s="8">
        <v>80.8</v>
      </c>
      <c r="T35" s="8">
        <v>19.2</v>
      </c>
      <c r="U35" s="8">
        <v>26</v>
      </c>
      <c r="V35" s="8">
        <v>71.400000000000006</v>
      </c>
      <c r="W35" s="8">
        <v>28.6</v>
      </c>
      <c r="X35" t="str">
        <f>VLOOKUP(E35,'Transform table'!A:B,2,0)</f>
        <v>Tuggeranong United</v>
      </c>
      <c r="Y35" t="str">
        <f>VLOOKUP(F35,'Transform table'!A:B,2,0)</f>
        <v>Canberra White Eagles</v>
      </c>
      <c r="Z35" t="str">
        <f t="shared" si="0"/>
        <v>22/07/2026Tuggeranong UnitedCanberra White Eagles</v>
      </c>
      <c r="AA35" t="str">
        <f>VLOOKUP($Z35,'oddspedia-matches'!$A:$AD,AA$2,0)</f>
        <v>2 - 1</v>
      </c>
      <c r="AB35" t="str">
        <f>VLOOKUP($Z35,'oddspedia-matches'!$A:$AD,AB$2,0)</f>
        <v>Green</v>
      </c>
      <c r="AC35" t="str">
        <f>VLOOKUP($Z35,'oddspedia-matches'!$A:$AD,AC$2,0)</f>
        <v>Red</v>
      </c>
      <c r="AD35" t="str">
        <f>VLOOKUP($Z35,'oddspedia-matches'!$A:$AD,AD$2,0)</f>
        <v>Red</v>
      </c>
      <c r="AE35" t="str">
        <f>VLOOKUP($Z35,'oddspedia-matches'!$A:$AD,AE$2,0)</f>
        <v>Green</v>
      </c>
      <c r="AF35" t="str">
        <f>VLOOKUP($Z35,'oddspedia-matches'!$A:$AD,AF$2,0)</f>
        <v>Red</v>
      </c>
      <c r="AG35" t="str">
        <f>VLOOKUP($Z35,'oddspedia-matches'!$A:$AD,AG$2,0)</f>
        <v>Green</v>
      </c>
      <c r="AH35" t="str">
        <f>VLOOKUP($Z35,'oddspedia-matches'!$A:$AD,AH$2,0)</f>
        <v>Red</v>
      </c>
      <c r="AI35" t="str">
        <f>VLOOKUP($Z35,'oddspedia-matches'!$A:$AD,AI$2,0)</f>
        <v>Green</v>
      </c>
      <c r="AJ35" t="str">
        <f>VLOOKUP($Z35,'oddspedia-matches'!$A:$AD,AJ$2,0)</f>
        <v>Red</v>
      </c>
      <c r="AK35" t="str">
        <f>VLOOKUP($Z35,'oddspedia-matches'!$A:$AD,AK$2,0)</f>
        <v>Green</v>
      </c>
      <c r="AL35" t="str">
        <f>VLOOKUP($Z35,'oddspedia-matches'!$A:$AD,AL$2,0)</f>
        <v>Green</v>
      </c>
      <c r="AM35" t="str">
        <f>VLOOKUP($Z35,'oddspedia-matches'!$A:$AD,AM$2,0)</f>
        <v>Green</v>
      </c>
      <c r="AN35" t="str">
        <f>VLOOKUP($Z35,'oddspedia-matches'!$A:$AD,AN$2,0)</f>
        <v>Red</v>
      </c>
      <c r="AO35" t="str">
        <f>VLOOKUP($Z35,'oddspedia-matches'!$A:$AD,AO$2,0)</f>
        <v>Green</v>
      </c>
      <c r="AP35" t="str">
        <f>VLOOKUP($Z35,'oddspedia-matches'!$A:$AD,AP$2,0)</f>
        <v>Green</v>
      </c>
      <c r="AQ35" t="str">
        <f>VLOOKUP($Z35,'oddspedia-matches'!$A:$AD,AQ$2,0)</f>
        <v>Red</v>
      </c>
    </row>
    <row r="36" spans="2:43" x14ac:dyDescent="0.2">
      <c r="B36" s="9" t="s">
        <v>464</v>
      </c>
      <c r="C36" s="7" t="s">
        <v>17</v>
      </c>
      <c r="D36" s="20">
        <v>0.30208333333333331</v>
      </c>
      <c r="E36" s="7" t="s">
        <v>23</v>
      </c>
      <c r="F36" s="7" t="s">
        <v>24</v>
      </c>
      <c r="G36" s="21"/>
      <c r="H36" s="7">
        <v>65.5</v>
      </c>
      <c r="I36" s="7">
        <v>26</v>
      </c>
      <c r="J36" s="7">
        <v>8.5</v>
      </c>
      <c r="K36" s="7">
        <v>91.5</v>
      </c>
      <c r="L36" s="7">
        <v>34.5</v>
      </c>
      <c r="M36" s="7">
        <v>74</v>
      </c>
      <c r="N36" s="7">
        <v>60.3</v>
      </c>
      <c r="O36" s="7">
        <v>28.6</v>
      </c>
      <c r="P36" s="7">
        <v>11.1</v>
      </c>
      <c r="Q36" s="7">
        <v>84</v>
      </c>
      <c r="R36" s="7">
        <v>95.2</v>
      </c>
      <c r="S36" s="7">
        <v>84.7</v>
      </c>
      <c r="T36" s="7">
        <v>15.3</v>
      </c>
      <c r="U36" s="7">
        <v>22.1</v>
      </c>
      <c r="V36" s="7">
        <v>72.3</v>
      </c>
      <c r="W36" s="7">
        <v>27.7</v>
      </c>
      <c r="X36" t="str">
        <f>VLOOKUP(E36,'Transform table'!A:B,2,0)</f>
        <v>Launceston City</v>
      </c>
      <c r="Y36" t="str">
        <f>VLOOKUP(F36,'Transform table'!A:B,2,0)</f>
        <v>Launceston United</v>
      </c>
      <c r="Z36" t="str">
        <f t="shared" si="0"/>
        <v>22/07/2026Launceston CityLaunceston United</v>
      </c>
      <c r="AA36" t="str">
        <f>VLOOKUP($Z36,'oddspedia-matches'!$A:$AD,AA$2,0)</f>
        <v>4 - 2</v>
      </c>
      <c r="AB36" t="str">
        <f>VLOOKUP($Z36,'oddspedia-matches'!$A:$AD,AB$2,0)</f>
        <v>Green</v>
      </c>
      <c r="AC36" t="str">
        <f>VLOOKUP($Z36,'oddspedia-matches'!$A:$AD,AC$2,0)</f>
        <v>Red</v>
      </c>
      <c r="AD36" t="str">
        <f>VLOOKUP($Z36,'oddspedia-matches'!$A:$AD,AD$2,0)</f>
        <v>Red</v>
      </c>
      <c r="AE36" t="str">
        <f>VLOOKUP($Z36,'oddspedia-matches'!$A:$AD,AE$2,0)</f>
        <v>Green</v>
      </c>
      <c r="AF36" t="str">
        <f>VLOOKUP($Z36,'oddspedia-matches'!$A:$AD,AF$2,0)</f>
        <v>Red</v>
      </c>
      <c r="AG36" t="str">
        <f>VLOOKUP($Z36,'oddspedia-matches'!$A:$AD,AG$2,0)</f>
        <v>Green</v>
      </c>
      <c r="AH36" t="str">
        <f>VLOOKUP($Z36,'oddspedia-matches'!$A:$AD,AH$2,0)</f>
        <v>Green</v>
      </c>
      <c r="AI36" t="str">
        <f>VLOOKUP($Z36,'oddspedia-matches'!$A:$AD,AI$2,0)</f>
        <v>Red</v>
      </c>
      <c r="AJ36" t="str">
        <f>VLOOKUP($Z36,'oddspedia-matches'!$A:$AD,AJ$2,0)</f>
        <v>Red</v>
      </c>
      <c r="AK36" t="str">
        <f>VLOOKUP($Z36,'oddspedia-matches'!$A:$AD,AK$2,0)</f>
        <v>Green</v>
      </c>
      <c r="AL36" t="str">
        <f>VLOOKUP($Z36,'oddspedia-matches'!$A:$AD,AL$2,0)</f>
        <v>Green</v>
      </c>
      <c r="AM36" t="str">
        <f>VLOOKUP($Z36,'oddspedia-matches'!$A:$AD,AM$2,0)</f>
        <v>Green</v>
      </c>
      <c r="AN36" t="str">
        <f>VLOOKUP($Z36,'oddspedia-matches'!$A:$AD,AN$2,0)</f>
        <v>Red</v>
      </c>
      <c r="AO36" t="str">
        <f>VLOOKUP($Z36,'oddspedia-matches'!$A:$AD,AO$2,0)</f>
        <v>Red</v>
      </c>
      <c r="AP36" t="str">
        <f>VLOOKUP($Z36,'oddspedia-matches'!$A:$AD,AP$2,0)</f>
        <v>Green</v>
      </c>
      <c r="AQ36" t="str">
        <f>VLOOKUP($Z36,'oddspedia-matches'!$A:$AD,AQ$2,0)</f>
        <v>Red</v>
      </c>
    </row>
    <row r="37" spans="2:43" x14ac:dyDescent="0.2">
      <c r="B37" s="17" t="s">
        <v>446</v>
      </c>
      <c r="C37" s="8" t="s">
        <v>17</v>
      </c>
      <c r="D37" s="18">
        <v>0.3125</v>
      </c>
      <c r="E37" s="8" t="s">
        <v>25</v>
      </c>
      <c r="F37" s="8" t="s">
        <v>26</v>
      </c>
      <c r="G37" s="19"/>
      <c r="H37" s="8">
        <v>35.299999999999997</v>
      </c>
      <c r="I37" s="8">
        <v>31.7</v>
      </c>
      <c r="J37" s="8">
        <v>33</v>
      </c>
      <c r="K37" s="8">
        <v>67</v>
      </c>
      <c r="L37" s="8">
        <v>64.7</v>
      </c>
      <c r="M37" s="8">
        <v>68.3</v>
      </c>
      <c r="N37" s="8">
        <v>12.1</v>
      </c>
      <c r="O37" s="8">
        <v>54.7</v>
      </c>
      <c r="P37" s="8">
        <v>33.200000000000003</v>
      </c>
      <c r="Q37" s="8">
        <v>51.6</v>
      </c>
      <c r="R37" s="8">
        <v>66.599999999999994</v>
      </c>
      <c r="S37" s="8">
        <v>38.6</v>
      </c>
      <c r="T37" s="8">
        <v>61.4</v>
      </c>
      <c r="U37" s="8">
        <v>66.400000000000006</v>
      </c>
      <c r="V37" s="8">
        <v>46.6</v>
      </c>
      <c r="W37" s="8">
        <v>53.4</v>
      </c>
      <c r="X37" t="str">
        <f>VLOOKUP(E37,'Transform table'!A:B,2,0)</f>
        <v>Bucheon 1995</v>
      </c>
      <c r="Y37" t="str">
        <f>VLOOKUP(F37,'Transform table'!A:B,2,0)</f>
        <v>Anyang</v>
      </c>
      <c r="Z37" t="str">
        <f t="shared" si="0"/>
        <v>22/07/2026Bucheon 1995Anyang</v>
      </c>
      <c r="AA37" t="str">
        <f>VLOOKUP($Z37,'oddspedia-matches'!$A:$AD,AA$2,0)</f>
        <v>2 - 3</v>
      </c>
      <c r="AB37" t="str">
        <f>VLOOKUP($Z37,'oddspedia-matches'!$A:$AD,AB$2,0)</f>
        <v>Red</v>
      </c>
      <c r="AC37" t="str">
        <f>VLOOKUP($Z37,'oddspedia-matches'!$A:$AD,AC$2,0)</f>
        <v>Red</v>
      </c>
      <c r="AD37" t="str">
        <f>VLOOKUP($Z37,'oddspedia-matches'!$A:$AD,AD$2,0)</f>
        <v>Green</v>
      </c>
      <c r="AE37" t="str">
        <f>VLOOKUP($Z37,'oddspedia-matches'!$A:$AD,AE$2,0)</f>
        <v>Red</v>
      </c>
      <c r="AF37" t="str">
        <f>VLOOKUP($Z37,'oddspedia-matches'!$A:$AD,AF$2,0)</f>
        <v>Green</v>
      </c>
      <c r="AG37" t="str">
        <f>VLOOKUP($Z37,'oddspedia-matches'!$A:$AD,AG$2,0)</f>
        <v>Green</v>
      </c>
      <c r="AH37" t="str">
        <f>VLOOKUP($Z37,'oddspedia-matches'!$A:$AD,AH$2,0)</f>
        <v>Red</v>
      </c>
      <c r="AI37" t="str">
        <f>VLOOKUP($Z37,'oddspedia-matches'!$A:$AD,AI$2,0)</f>
        <v>Green</v>
      </c>
      <c r="AJ37" t="str">
        <f>VLOOKUP($Z37,'oddspedia-matches'!$A:$AD,AJ$2,0)</f>
        <v>Red</v>
      </c>
      <c r="AK37" t="str">
        <f>VLOOKUP($Z37,'oddspedia-matches'!$A:$AD,AK$2,0)</f>
        <v>Green</v>
      </c>
      <c r="AL37" t="str">
        <f>VLOOKUP($Z37,'oddspedia-matches'!$A:$AD,AL$2,0)</f>
        <v>Green</v>
      </c>
      <c r="AM37" t="str">
        <f>VLOOKUP($Z37,'oddspedia-matches'!$A:$AD,AM$2,0)</f>
        <v>Green</v>
      </c>
      <c r="AN37" t="str">
        <f>VLOOKUP($Z37,'oddspedia-matches'!$A:$AD,AN$2,0)</f>
        <v>Red</v>
      </c>
      <c r="AO37" t="str">
        <f>VLOOKUP($Z37,'oddspedia-matches'!$A:$AD,AO$2,0)</f>
        <v>Red</v>
      </c>
      <c r="AP37" t="str">
        <f>VLOOKUP($Z37,'oddspedia-matches'!$A:$AD,AP$2,0)</f>
        <v>Green</v>
      </c>
      <c r="AQ37" t="str">
        <f>VLOOKUP($Z37,'oddspedia-matches'!$A:$AD,AQ$2,0)</f>
        <v>Red</v>
      </c>
    </row>
    <row r="38" spans="2:43" x14ac:dyDescent="0.2">
      <c r="B38" s="9" t="s">
        <v>446</v>
      </c>
      <c r="C38" s="7" t="s">
        <v>17</v>
      </c>
      <c r="D38" s="20">
        <v>0.3125</v>
      </c>
      <c r="E38" s="7" t="s">
        <v>27</v>
      </c>
      <c r="F38" s="7" t="s">
        <v>28</v>
      </c>
      <c r="G38" s="21"/>
      <c r="H38" s="7">
        <v>52.2</v>
      </c>
      <c r="I38" s="7">
        <v>28.9</v>
      </c>
      <c r="J38" s="7">
        <v>19</v>
      </c>
      <c r="K38" s="7">
        <v>81</v>
      </c>
      <c r="L38" s="7">
        <v>47.8</v>
      </c>
      <c r="M38" s="7">
        <v>71.099999999999994</v>
      </c>
      <c r="N38" s="7">
        <v>40.4</v>
      </c>
      <c r="O38" s="7">
        <v>47.4</v>
      </c>
      <c r="P38" s="7">
        <v>12.2</v>
      </c>
      <c r="Q38" s="7">
        <v>60.4</v>
      </c>
      <c r="R38" s="7">
        <v>66.5</v>
      </c>
      <c r="S38" s="7">
        <v>38.6</v>
      </c>
      <c r="T38" s="7">
        <v>61.4</v>
      </c>
      <c r="U38" s="7">
        <v>67.8</v>
      </c>
      <c r="V38" s="7">
        <v>42.6</v>
      </c>
      <c r="W38" s="7">
        <v>57.4</v>
      </c>
      <c r="X38" t="str">
        <f>VLOOKUP(E38,'Transform table'!A:B,2,0)</f>
        <v>FC Seoul</v>
      </c>
      <c r="Y38" t="str">
        <f>VLOOKUP(F38,'Transform table'!A:B,2,0)</f>
        <v>Pohang Steelers</v>
      </c>
      <c r="Z38" t="str">
        <f t="shared" si="0"/>
        <v>22/07/2026FC SeoulPohang Steelers</v>
      </c>
      <c r="AA38" t="str">
        <f>VLOOKUP($Z38,'oddspedia-matches'!$A:$AD,AA$2,0)</f>
        <v>3 - 1</v>
      </c>
      <c r="AB38" t="str">
        <f>VLOOKUP($Z38,'oddspedia-matches'!$A:$AD,AB$2,0)</f>
        <v>Green</v>
      </c>
      <c r="AC38" t="str">
        <f>VLOOKUP($Z38,'oddspedia-matches'!$A:$AD,AC$2,0)</f>
        <v>Red</v>
      </c>
      <c r="AD38" t="str">
        <f>VLOOKUP($Z38,'oddspedia-matches'!$A:$AD,AD$2,0)</f>
        <v>Red</v>
      </c>
      <c r="AE38" t="str">
        <f>VLOOKUP($Z38,'oddspedia-matches'!$A:$AD,AE$2,0)</f>
        <v>Green</v>
      </c>
      <c r="AF38" t="str">
        <f>VLOOKUP($Z38,'oddspedia-matches'!$A:$AD,AF$2,0)</f>
        <v>Red</v>
      </c>
      <c r="AG38" t="str">
        <f>VLOOKUP($Z38,'oddspedia-matches'!$A:$AD,AG$2,0)</f>
        <v>Green</v>
      </c>
      <c r="AH38" t="str">
        <f>VLOOKUP($Z38,'oddspedia-matches'!$A:$AD,AH$2,0)</f>
        <v>Green</v>
      </c>
      <c r="AI38" t="str">
        <f>VLOOKUP($Z38,'oddspedia-matches'!$A:$AD,AI$2,0)</f>
        <v>Red</v>
      </c>
      <c r="AJ38" t="str">
        <f>VLOOKUP($Z38,'oddspedia-matches'!$A:$AD,AJ$2,0)</f>
        <v>Red</v>
      </c>
      <c r="AK38" t="str">
        <f>VLOOKUP($Z38,'oddspedia-matches'!$A:$AD,AK$2,0)</f>
        <v>Green</v>
      </c>
      <c r="AL38" t="str">
        <f>VLOOKUP($Z38,'oddspedia-matches'!$A:$AD,AL$2,0)</f>
        <v>Green</v>
      </c>
      <c r="AM38" t="str">
        <f>VLOOKUP($Z38,'oddspedia-matches'!$A:$AD,AM$2,0)</f>
        <v>Green</v>
      </c>
      <c r="AN38" t="str">
        <f>VLOOKUP($Z38,'oddspedia-matches'!$A:$AD,AN$2,0)</f>
        <v>Red</v>
      </c>
      <c r="AO38" t="str">
        <f>VLOOKUP($Z38,'oddspedia-matches'!$A:$AD,AO$2,0)</f>
        <v>Red</v>
      </c>
      <c r="AP38" t="str">
        <f>VLOOKUP($Z38,'oddspedia-matches'!$A:$AD,AP$2,0)</f>
        <v>Green</v>
      </c>
      <c r="AQ38" t="str">
        <f>VLOOKUP($Z38,'oddspedia-matches'!$A:$AD,AQ$2,0)</f>
        <v>Red</v>
      </c>
    </row>
    <row r="39" spans="2:43" x14ac:dyDescent="0.2">
      <c r="B39" s="17" t="s">
        <v>446</v>
      </c>
      <c r="C39" s="8" t="s">
        <v>17</v>
      </c>
      <c r="D39" s="18">
        <v>0.3125</v>
      </c>
      <c r="E39" s="8" t="s">
        <v>29</v>
      </c>
      <c r="F39" s="8" t="s">
        <v>30</v>
      </c>
      <c r="G39" s="19"/>
      <c r="H39" s="8">
        <v>27.1</v>
      </c>
      <c r="I39" s="8">
        <v>29.7</v>
      </c>
      <c r="J39" s="8">
        <v>43.2</v>
      </c>
      <c r="K39" s="8">
        <v>56.8</v>
      </c>
      <c r="L39" s="8">
        <v>72.900000000000006</v>
      </c>
      <c r="M39" s="8">
        <v>70.3</v>
      </c>
      <c r="N39" s="8">
        <v>22.6</v>
      </c>
      <c r="O39" s="8">
        <v>48.8</v>
      </c>
      <c r="P39" s="8">
        <v>28.6</v>
      </c>
      <c r="Q39" s="8">
        <v>61.7</v>
      </c>
      <c r="R39" s="8">
        <v>73.099999999999994</v>
      </c>
      <c r="S39" s="8">
        <v>46.3</v>
      </c>
      <c r="T39" s="8">
        <v>53.7</v>
      </c>
      <c r="U39" s="8">
        <v>59.4</v>
      </c>
      <c r="V39" s="8">
        <v>52</v>
      </c>
      <c r="W39" s="8">
        <v>48</v>
      </c>
      <c r="X39" t="str">
        <f>VLOOKUP(E39,'Transform table'!A:B,2,0)</f>
        <v>Gwangju</v>
      </c>
      <c r="Y39" t="str">
        <f>VLOOKUP(F39,'Transform table'!A:B,2,0)</f>
        <v>Sangju Sangmu</v>
      </c>
      <c r="Z39" t="str">
        <f t="shared" si="0"/>
        <v>22/07/2026GwangjuSangju Sangmu</v>
      </c>
      <c r="AA39" t="str">
        <f>VLOOKUP($Z39,'oddspedia-matches'!$A:$AD,AA$2,0)</f>
        <v>1 - 1</v>
      </c>
      <c r="AB39" t="str">
        <f>VLOOKUP($Z39,'oddspedia-matches'!$A:$AD,AB$2,0)</f>
        <v>Red</v>
      </c>
      <c r="AC39" t="str">
        <f>VLOOKUP($Z39,'oddspedia-matches'!$A:$AD,AC$2,0)</f>
        <v>Green</v>
      </c>
      <c r="AD39" t="str">
        <f>VLOOKUP($Z39,'oddspedia-matches'!$A:$AD,AD$2,0)</f>
        <v>Red</v>
      </c>
      <c r="AE39" t="str">
        <f>VLOOKUP($Z39,'oddspedia-matches'!$A:$AD,AE$2,0)</f>
        <v>Green</v>
      </c>
      <c r="AF39" t="str">
        <f>VLOOKUP($Z39,'oddspedia-matches'!$A:$AD,AF$2,0)</f>
        <v>Green</v>
      </c>
      <c r="AG39" t="str">
        <f>VLOOKUP($Z39,'oddspedia-matches'!$A:$AD,AG$2,0)</f>
        <v>Red</v>
      </c>
      <c r="AH39" t="str">
        <f>VLOOKUP($Z39,'oddspedia-matches'!$A:$AD,AH$2,0)</f>
        <v>Red</v>
      </c>
      <c r="AI39" t="str">
        <f>VLOOKUP($Z39,'oddspedia-matches'!$A:$AD,AI$2,0)</f>
        <v>Green</v>
      </c>
      <c r="AJ39" t="str">
        <f>VLOOKUP($Z39,'oddspedia-matches'!$A:$AD,AJ$2,0)</f>
        <v>Red</v>
      </c>
      <c r="AK39" t="str">
        <f>VLOOKUP($Z39,'oddspedia-matches'!$A:$AD,AK$2,0)</f>
        <v>Green</v>
      </c>
      <c r="AL39" t="str">
        <f>VLOOKUP($Z39,'oddspedia-matches'!$A:$AD,AL$2,0)</f>
        <v>Green</v>
      </c>
      <c r="AM39" t="str">
        <f>VLOOKUP($Z39,'oddspedia-matches'!$A:$AD,AM$2,0)</f>
        <v>Red</v>
      </c>
      <c r="AN39" t="str">
        <f>VLOOKUP($Z39,'oddspedia-matches'!$A:$AD,AN$2,0)</f>
        <v>Green</v>
      </c>
      <c r="AO39" t="str">
        <f>VLOOKUP($Z39,'oddspedia-matches'!$A:$AD,AO$2,0)</f>
        <v>Green</v>
      </c>
      <c r="AP39" t="str">
        <f>VLOOKUP($Z39,'oddspedia-matches'!$A:$AD,AP$2,0)</f>
        <v>Green</v>
      </c>
      <c r="AQ39" t="str">
        <f>VLOOKUP($Z39,'oddspedia-matches'!$A:$AD,AQ$2,0)</f>
        <v>Red</v>
      </c>
    </row>
    <row r="40" spans="2:43" x14ac:dyDescent="0.2">
      <c r="B40" s="9" t="s">
        <v>465</v>
      </c>
      <c r="C40" s="7" t="s">
        <v>17</v>
      </c>
      <c r="D40" s="20">
        <v>0.58333333333333337</v>
      </c>
      <c r="E40" s="7" t="s">
        <v>31</v>
      </c>
      <c r="F40" s="7" t="s">
        <v>32</v>
      </c>
      <c r="G40" s="21"/>
      <c r="H40" s="7">
        <v>63.3</v>
      </c>
      <c r="I40" s="7">
        <v>22.6</v>
      </c>
      <c r="J40" s="7">
        <v>14.1</v>
      </c>
      <c r="K40" s="7">
        <v>85.9</v>
      </c>
      <c r="L40" s="7">
        <v>36.700000000000003</v>
      </c>
      <c r="M40" s="7">
        <v>77.400000000000006</v>
      </c>
      <c r="N40" s="7">
        <v>53.2</v>
      </c>
      <c r="O40" s="7">
        <v>33.6</v>
      </c>
      <c r="P40" s="7">
        <v>13.2</v>
      </c>
      <c r="Q40" s="7">
        <v>78.900000000000006</v>
      </c>
      <c r="R40" s="7">
        <v>86.7</v>
      </c>
      <c r="S40" s="7">
        <v>67.099999999999994</v>
      </c>
      <c r="T40" s="7">
        <v>32.9</v>
      </c>
      <c r="U40" s="7">
        <v>40.9</v>
      </c>
      <c r="V40" s="7">
        <v>60.9</v>
      </c>
      <c r="W40" s="7">
        <v>39.1</v>
      </c>
      <c r="X40" t="str">
        <f>VLOOKUP(E40,'Transform table'!A:B,2,0)</f>
        <v>Bodo/Glimt</v>
      </c>
      <c r="Y40" t="str">
        <f>VLOOKUP(F40,'Transform table'!A:B,2,0)</f>
        <v>HamKam</v>
      </c>
      <c r="Z40" t="str">
        <f t="shared" si="0"/>
        <v>22/07/2026Bodo/GlimtHamKam</v>
      </c>
      <c r="AA40" t="str">
        <f>VLOOKUP($Z40,'oddspedia-matches'!$A:$AD,AA$2,0)</f>
        <v>3 - 0</v>
      </c>
      <c r="AB40" t="str">
        <f>VLOOKUP($Z40,'oddspedia-matches'!$A:$AD,AB$2,0)</f>
        <v>Green</v>
      </c>
      <c r="AC40" t="str">
        <f>VLOOKUP($Z40,'oddspedia-matches'!$A:$AD,AC$2,0)</f>
        <v>Red</v>
      </c>
      <c r="AD40" t="str">
        <f>VLOOKUP($Z40,'oddspedia-matches'!$A:$AD,AD$2,0)</f>
        <v>Red</v>
      </c>
      <c r="AE40" t="str">
        <f>VLOOKUP($Z40,'oddspedia-matches'!$A:$AD,AE$2,0)</f>
        <v>Green</v>
      </c>
      <c r="AF40" t="str">
        <f>VLOOKUP($Z40,'oddspedia-matches'!$A:$AD,AF$2,0)</f>
        <v>Red</v>
      </c>
      <c r="AG40" t="str">
        <f>VLOOKUP($Z40,'oddspedia-matches'!$A:$AD,AG$2,0)</f>
        <v>Green</v>
      </c>
      <c r="AH40" t="str">
        <f>VLOOKUP($Z40,'oddspedia-matches'!$A:$AD,AH$2,0)</f>
        <v>Green</v>
      </c>
      <c r="AI40" t="str">
        <f>VLOOKUP($Z40,'oddspedia-matches'!$A:$AD,AI$2,0)</f>
        <v>Red</v>
      </c>
      <c r="AJ40" t="str">
        <f>VLOOKUP($Z40,'oddspedia-matches'!$A:$AD,AJ$2,0)</f>
        <v>Red</v>
      </c>
      <c r="AK40" t="str">
        <f>VLOOKUP($Z40,'oddspedia-matches'!$A:$AD,AK$2,0)</f>
        <v>Green</v>
      </c>
      <c r="AL40" t="str">
        <f>VLOOKUP($Z40,'oddspedia-matches'!$A:$AD,AL$2,0)</f>
        <v>Green</v>
      </c>
      <c r="AM40" t="str">
        <f>VLOOKUP($Z40,'oddspedia-matches'!$A:$AD,AM$2,0)</f>
        <v>Green</v>
      </c>
      <c r="AN40" t="str">
        <f>VLOOKUP($Z40,'oddspedia-matches'!$A:$AD,AN$2,0)</f>
        <v>Red</v>
      </c>
      <c r="AO40" t="str">
        <f>VLOOKUP($Z40,'oddspedia-matches'!$A:$AD,AO$2,0)</f>
        <v>Green</v>
      </c>
      <c r="AP40" t="str">
        <f>VLOOKUP($Z40,'oddspedia-matches'!$A:$AD,AP$2,0)</f>
        <v>Red</v>
      </c>
      <c r="AQ40" t="str">
        <f>VLOOKUP($Z40,'oddspedia-matches'!$A:$AD,AQ$2,0)</f>
        <v>Green</v>
      </c>
    </row>
    <row r="41" spans="2:43" x14ac:dyDescent="0.2">
      <c r="B41" s="17" t="s">
        <v>465</v>
      </c>
      <c r="C41" s="8" t="s">
        <v>17</v>
      </c>
      <c r="D41" s="18">
        <v>0.58333333333333337</v>
      </c>
      <c r="E41" s="8" t="s">
        <v>33</v>
      </c>
      <c r="F41" s="8" t="s">
        <v>34</v>
      </c>
      <c r="G41" s="19"/>
      <c r="H41" s="8">
        <v>36.299999999999997</v>
      </c>
      <c r="I41" s="8">
        <v>27.4</v>
      </c>
      <c r="J41" s="8">
        <v>36.200000000000003</v>
      </c>
      <c r="K41" s="8">
        <v>63.8</v>
      </c>
      <c r="L41" s="8">
        <v>63.7</v>
      </c>
      <c r="M41" s="8">
        <v>72.599999999999994</v>
      </c>
      <c r="N41" s="8">
        <v>26.6</v>
      </c>
      <c r="O41" s="8">
        <v>39.1</v>
      </c>
      <c r="P41" s="8">
        <v>34.299999999999997</v>
      </c>
      <c r="Q41" s="8">
        <v>76.599999999999994</v>
      </c>
      <c r="R41" s="8">
        <v>81.2</v>
      </c>
      <c r="S41" s="8">
        <v>57.7</v>
      </c>
      <c r="T41" s="8">
        <v>42.3</v>
      </c>
      <c r="U41" s="8">
        <v>47.9</v>
      </c>
      <c r="V41" s="8">
        <v>61.7</v>
      </c>
      <c r="W41" s="8">
        <v>38.299999999999997</v>
      </c>
      <c r="X41" t="str">
        <f>VLOOKUP(E41,'Transform table'!A:B,2,0)</f>
        <v>Lillestrom</v>
      </c>
      <c r="Y41" t="str">
        <f>VLOOKUP(F41,'Transform table'!A:B,2,0)</f>
        <v>Viking</v>
      </c>
      <c r="Z41" t="str">
        <f t="shared" si="0"/>
        <v>22/07/2026LillestromViking</v>
      </c>
      <c r="AA41" t="str">
        <f>VLOOKUP($Z41,'oddspedia-matches'!$A:$AD,AA$2,0)</f>
        <v>1 - 2</v>
      </c>
      <c r="AB41" t="str">
        <f>VLOOKUP($Z41,'oddspedia-matches'!$A:$AD,AB$2,0)</f>
        <v>Red</v>
      </c>
      <c r="AC41" t="str">
        <f>VLOOKUP($Z41,'oddspedia-matches'!$A:$AD,AC$2,0)</f>
        <v>Red</v>
      </c>
      <c r="AD41" t="str">
        <f>VLOOKUP($Z41,'oddspedia-matches'!$A:$AD,AD$2,0)</f>
        <v>Green</v>
      </c>
      <c r="AE41" t="str">
        <f>VLOOKUP($Z41,'oddspedia-matches'!$A:$AD,AE$2,0)</f>
        <v>Red</v>
      </c>
      <c r="AF41" t="str">
        <f>VLOOKUP($Z41,'oddspedia-matches'!$A:$AD,AF$2,0)</f>
        <v>Green</v>
      </c>
      <c r="AG41" t="str">
        <f>VLOOKUP($Z41,'oddspedia-matches'!$A:$AD,AG$2,0)</f>
        <v>Green</v>
      </c>
      <c r="AH41" t="str">
        <f>VLOOKUP($Z41,'oddspedia-matches'!$A:$AD,AH$2,0)</f>
        <v>Red</v>
      </c>
      <c r="AI41" t="str">
        <f>VLOOKUP($Z41,'oddspedia-matches'!$A:$AD,AI$2,0)</f>
        <v>Red</v>
      </c>
      <c r="AJ41" t="str">
        <f>VLOOKUP($Z41,'oddspedia-matches'!$A:$AD,AJ$2,0)</f>
        <v>Green</v>
      </c>
      <c r="AK41" t="str">
        <f>VLOOKUP($Z41,'oddspedia-matches'!$A:$AD,AK$2,0)</f>
        <v>Green</v>
      </c>
      <c r="AL41" t="str">
        <f>VLOOKUP($Z41,'oddspedia-matches'!$A:$AD,AL$2,0)</f>
        <v>Green</v>
      </c>
      <c r="AM41" t="str">
        <f>VLOOKUP($Z41,'oddspedia-matches'!$A:$AD,AM$2,0)</f>
        <v>Green</v>
      </c>
      <c r="AN41" t="str">
        <f>VLOOKUP($Z41,'oddspedia-matches'!$A:$AD,AN$2,0)</f>
        <v>Red</v>
      </c>
      <c r="AO41" t="str">
        <f>VLOOKUP($Z41,'oddspedia-matches'!$A:$AD,AO$2,0)</f>
        <v>Green</v>
      </c>
      <c r="AP41" t="str">
        <f>VLOOKUP($Z41,'oddspedia-matches'!$A:$AD,AP$2,0)</f>
        <v>Green</v>
      </c>
      <c r="AQ41" t="str">
        <f>VLOOKUP($Z41,'oddspedia-matches'!$A:$AD,AQ$2,0)</f>
        <v>Red</v>
      </c>
    </row>
    <row r="42" spans="2:43" x14ac:dyDescent="0.2">
      <c r="B42" s="9" t="s">
        <v>452</v>
      </c>
      <c r="C42" s="7" t="s">
        <v>17</v>
      </c>
      <c r="D42" s="20">
        <v>0.66666666666666663</v>
      </c>
      <c r="E42" s="7" t="s">
        <v>35</v>
      </c>
      <c r="F42" s="7" t="s">
        <v>36</v>
      </c>
      <c r="G42" s="21"/>
      <c r="H42" s="7">
        <v>44.3</v>
      </c>
      <c r="I42" s="7">
        <v>31.2</v>
      </c>
      <c r="J42" s="7">
        <v>24.4</v>
      </c>
      <c r="K42" s="7">
        <v>75.599999999999994</v>
      </c>
      <c r="L42" s="7">
        <v>55.7</v>
      </c>
      <c r="M42" s="7">
        <v>68.8</v>
      </c>
      <c r="N42" s="7">
        <v>32</v>
      </c>
      <c r="O42" s="7">
        <v>51.5</v>
      </c>
      <c r="P42" s="7">
        <v>16.399999999999999</v>
      </c>
      <c r="Q42" s="7">
        <v>56.6</v>
      </c>
      <c r="R42" s="7">
        <v>64.400000000000006</v>
      </c>
      <c r="S42" s="7">
        <v>36.1</v>
      </c>
      <c r="T42" s="7">
        <v>63.9</v>
      </c>
      <c r="U42" s="7">
        <v>69.2</v>
      </c>
      <c r="V42" s="7">
        <v>43.1</v>
      </c>
      <c r="W42" s="7">
        <v>56.9</v>
      </c>
      <c r="X42" t="str">
        <f>VLOOKUP(E42,'Transform table'!A:B,2,0)</f>
        <v>CSD Macara</v>
      </c>
      <c r="Y42" t="str">
        <f>VLOOKUP(F42,'Transform table'!A:B,2,0)</f>
        <v>Deportivo Cuenca</v>
      </c>
      <c r="Z42" t="str">
        <f t="shared" si="0"/>
        <v>22/07/2026CSD MacaraDeportivo Cuenca</v>
      </c>
      <c r="AA42" t="str">
        <f>VLOOKUP($Z42,'oddspedia-matches'!$A:$AD,AA$2,0)</f>
        <v>3 - 0</v>
      </c>
      <c r="AB42" t="str">
        <f>VLOOKUP($Z42,'oddspedia-matches'!$A:$AD,AB$2,0)</f>
        <v>Green</v>
      </c>
      <c r="AC42" t="str">
        <f>VLOOKUP($Z42,'oddspedia-matches'!$A:$AD,AC$2,0)</f>
        <v>Red</v>
      </c>
      <c r="AD42" t="str">
        <f>VLOOKUP($Z42,'oddspedia-matches'!$A:$AD,AD$2,0)</f>
        <v>Red</v>
      </c>
      <c r="AE42" t="str">
        <f>VLOOKUP($Z42,'oddspedia-matches'!$A:$AD,AE$2,0)</f>
        <v>Green</v>
      </c>
      <c r="AF42" t="str">
        <f>VLOOKUP($Z42,'oddspedia-matches'!$A:$AD,AF$2,0)</f>
        <v>Red</v>
      </c>
      <c r="AG42" t="str">
        <f>VLOOKUP($Z42,'oddspedia-matches'!$A:$AD,AG$2,0)</f>
        <v>Green</v>
      </c>
      <c r="AH42" t="str">
        <f>VLOOKUP($Z42,'oddspedia-matches'!$A:$AD,AH$2,0)</f>
        <v>Green</v>
      </c>
      <c r="AI42" t="str">
        <f>VLOOKUP($Z42,'oddspedia-matches'!$A:$AD,AI$2,0)</f>
        <v>Red</v>
      </c>
      <c r="AJ42" t="str">
        <f>VLOOKUP($Z42,'oddspedia-matches'!$A:$AD,AJ$2,0)</f>
        <v>Red</v>
      </c>
      <c r="AK42" t="str">
        <f>VLOOKUP($Z42,'oddspedia-matches'!$A:$AD,AK$2,0)</f>
        <v>Green</v>
      </c>
      <c r="AL42" t="str">
        <f>VLOOKUP($Z42,'oddspedia-matches'!$A:$AD,AL$2,0)</f>
        <v>Green</v>
      </c>
      <c r="AM42" t="str">
        <f>VLOOKUP($Z42,'oddspedia-matches'!$A:$AD,AM$2,0)</f>
        <v>Green</v>
      </c>
      <c r="AN42" t="str">
        <f>VLOOKUP($Z42,'oddspedia-matches'!$A:$AD,AN$2,0)</f>
        <v>Red</v>
      </c>
      <c r="AO42" t="str">
        <f>VLOOKUP($Z42,'oddspedia-matches'!$A:$AD,AO$2,0)</f>
        <v>Green</v>
      </c>
      <c r="AP42" t="str">
        <f>VLOOKUP($Z42,'oddspedia-matches'!$A:$AD,AP$2,0)</f>
        <v>Red</v>
      </c>
      <c r="AQ42" t="str">
        <f>VLOOKUP($Z42,'oddspedia-matches'!$A:$AD,AQ$2,0)</f>
        <v>Green</v>
      </c>
    </row>
    <row r="43" spans="2:43" x14ac:dyDescent="0.2">
      <c r="B43" s="17" t="s">
        <v>452</v>
      </c>
      <c r="C43" s="8" t="s">
        <v>17</v>
      </c>
      <c r="D43" s="18">
        <v>0.77083333333333337</v>
      </c>
      <c r="E43" s="8" t="s">
        <v>37</v>
      </c>
      <c r="F43" s="8" t="s">
        <v>38</v>
      </c>
      <c r="G43" s="19"/>
      <c r="H43" s="8">
        <v>62.4</v>
      </c>
      <c r="I43" s="8">
        <v>23.4</v>
      </c>
      <c r="J43" s="8">
        <v>14.2</v>
      </c>
      <c r="K43" s="8">
        <v>85.8</v>
      </c>
      <c r="L43" s="8">
        <v>37.6</v>
      </c>
      <c r="M43" s="8">
        <v>76.599999999999994</v>
      </c>
      <c r="N43" s="8">
        <v>44</v>
      </c>
      <c r="O43" s="8">
        <v>41.1</v>
      </c>
      <c r="P43" s="8">
        <v>14.8</v>
      </c>
      <c r="Q43" s="8">
        <v>69.8</v>
      </c>
      <c r="R43" s="8">
        <v>79.400000000000006</v>
      </c>
      <c r="S43" s="8">
        <v>55.3</v>
      </c>
      <c r="T43" s="8">
        <v>44.7</v>
      </c>
      <c r="U43" s="8">
        <v>53.1</v>
      </c>
      <c r="V43" s="8">
        <v>51.6</v>
      </c>
      <c r="W43" s="8">
        <v>48.4</v>
      </c>
      <c r="X43" t="str">
        <f>VLOOKUP(E43,'Transform table'!A:B,2,0)</f>
        <v>Independiente del Valle</v>
      </c>
      <c r="Y43" t="str">
        <f>VLOOKUP(F43,'Transform table'!A:B,2,0)</f>
        <v>Tecnico Universitario</v>
      </c>
      <c r="Z43" t="str">
        <f t="shared" si="0"/>
        <v>22/07/2026Independiente del ValleTecnico Universitario</v>
      </c>
      <c r="AA43" t="str">
        <f>VLOOKUP($Z43,'oddspedia-matches'!$A:$AD,AA$2,0)</f>
        <v>3 - 0</v>
      </c>
      <c r="AB43" t="str">
        <f>VLOOKUP($Z43,'oddspedia-matches'!$A:$AD,AB$2,0)</f>
        <v>Green</v>
      </c>
      <c r="AC43" t="str">
        <f>VLOOKUP($Z43,'oddspedia-matches'!$A:$AD,AC$2,0)</f>
        <v>Red</v>
      </c>
      <c r="AD43" t="str">
        <f>VLOOKUP($Z43,'oddspedia-matches'!$A:$AD,AD$2,0)</f>
        <v>Red</v>
      </c>
      <c r="AE43" t="str">
        <f>VLOOKUP($Z43,'oddspedia-matches'!$A:$AD,AE$2,0)</f>
        <v>Green</v>
      </c>
      <c r="AF43" t="str">
        <f>VLOOKUP($Z43,'oddspedia-matches'!$A:$AD,AF$2,0)</f>
        <v>Red</v>
      </c>
      <c r="AG43" t="str">
        <f>VLOOKUP($Z43,'oddspedia-matches'!$A:$AD,AG$2,0)</f>
        <v>Green</v>
      </c>
      <c r="AH43" t="str">
        <f>VLOOKUP($Z43,'oddspedia-matches'!$A:$AD,AH$2,0)</f>
        <v>Green</v>
      </c>
      <c r="AI43" t="str">
        <f>VLOOKUP($Z43,'oddspedia-matches'!$A:$AD,AI$2,0)</f>
        <v>Red</v>
      </c>
      <c r="AJ43" t="str">
        <f>VLOOKUP($Z43,'oddspedia-matches'!$A:$AD,AJ$2,0)</f>
        <v>Red</v>
      </c>
      <c r="AK43" t="str">
        <f>VLOOKUP($Z43,'oddspedia-matches'!$A:$AD,AK$2,0)</f>
        <v>Green</v>
      </c>
      <c r="AL43" t="str">
        <f>VLOOKUP($Z43,'oddspedia-matches'!$A:$AD,AL$2,0)</f>
        <v>Green</v>
      </c>
      <c r="AM43" t="str">
        <f>VLOOKUP($Z43,'oddspedia-matches'!$A:$AD,AM$2,0)</f>
        <v>Green</v>
      </c>
      <c r="AN43" t="str">
        <f>VLOOKUP($Z43,'oddspedia-matches'!$A:$AD,AN$2,0)</f>
        <v>Red</v>
      </c>
      <c r="AO43" t="str">
        <f>VLOOKUP($Z43,'oddspedia-matches'!$A:$AD,AO$2,0)</f>
        <v>Green</v>
      </c>
      <c r="AP43" t="str">
        <f>VLOOKUP($Z43,'oddspedia-matches'!$A:$AD,AP$2,0)</f>
        <v>Red</v>
      </c>
      <c r="AQ43" t="str">
        <f>VLOOKUP($Z43,'oddspedia-matches'!$A:$AD,AQ$2,0)</f>
        <v>Green</v>
      </c>
    </row>
    <row r="44" spans="2:43" x14ac:dyDescent="0.2">
      <c r="B44" s="9" t="s">
        <v>454</v>
      </c>
      <c r="C44" s="7" t="s">
        <v>17</v>
      </c>
      <c r="D44" s="20">
        <v>0.8125</v>
      </c>
      <c r="E44" s="7" t="s">
        <v>39</v>
      </c>
      <c r="F44" s="7" t="s">
        <v>40</v>
      </c>
      <c r="G44" s="21"/>
      <c r="H44" s="7">
        <v>32.4</v>
      </c>
      <c r="I44" s="7">
        <v>30.2</v>
      </c>
      <c r="J44" s="7">
        <v>37.4</v>
      </c>
      <c r="K44" s="7">
        <v>62.6</v>
      </c>
      <c r="L44" s="7">
        <v>67.599999999999994</v>
      </c>
      <c r="M44" s="7">
        <v>69.8</v>
      </c>
      <c r="N44" s="7">
        <v>24.9</v>
      </c>
      <c r="O44" s="7">
        <v>44.7</v>
      </c>
      <c r="P44" s="7">
        <v>30.4</v>
      </c>
      <c r="Q44" s="7">
        <v>68</v>
      </c>
      <c r="R44" s="7">
        <v>71.900000000000006</v>
      </c>
      <c r="S44" s="7">
        <v>44.9</v>
      </c>
      <c r="T44" s="7">
        <v>55.1</v>
      </c>
      <c r="U44" s="7">
        <v>60.5</v>
      </c>
      <c r="V44" s="7">
        <v>51.6</v>
      </c>
      <c r="W44" s="7">
        <v>48.4</v>
      </c>
      <c r="X44" t="str">
        <f>VLOOKUP(E44,'Transform table'!A:B,2,0)</f>
        <v>Coritiba PR</v>
      </c>
      <c r="Y44" t="str">
        <f>VLOOKUP(F44,'Transform table'!A:B,2,0)</f>
        <v>Palmeiras</v>
      </c>
      <c r="Z44" t="str">
        <f t="shared" si="0"/>
        <v>22/07/2026Coritiba PRPalmeiras</v>
      </c>
      <c r="AA44" t="str">
        <f>VLOOKUP($Z44,'oddspedia-matches'!$A:$AD,AA$2,0)</f>
        <v>1 - 3</v>
      </c>
      <c r="AB44" t="str">
        <f>VLOOKUP($Z44,'oddspedia-matches'!$A:$AD,AB$2,0)</f>
        <v>Red</v>
      </c>
      <c r="AC44" t="str">
        <f>VLOOKUP($Z44,'oddspedia-matches'!$A:$AD,AC$2,0)</f>
        <v>Red</v>
      </c>
      <c r="AD44" t="str">
        <f>VLOOKUP($Z44,'oddspedia-matches'!$A:$AD,AD$2,0)</f>
        <v>Green</v>
      </c>
      <c r="AE44" t="str">
        <f>VLOOKUP($Z44,'oddspedia-matches'!$A:$AD,AE$2,0)</f>
        <v>Red</v>
      </c>
      <c r="AF44" t="str">
        <f>VLOOKUP($Z44,'oddspedia-matches'!$A:$AD,AF$2,0)</f>
        <v>Green</v>
      </c>
      <c r="AG44" t="str">
        <f>VLOOKUP($Z44,'oddspedia-matches'!$A:$AD,AG$2,0)</f>
        <v>Green</v>
      </c>
      <c r="AH44" t="str">
        <f>VLOOKUP($Z44,'oddspedia-matches'!$A:$AD,AH$2,0)</f>
        <v>Red</v>
      </c>
      <c r="AI44" t="str">
        <f>VLOOKUP($Z44,'oddspedia-matches'!$A:$AD,AI$2,0)</f>
        <v>Red</v>
      </c>
      <c r="AJ44" t="str">
        <f>VLOOKUP($Z44,'oddspedia-matches'!$A:$AD,AJ$2,0)</f>
        <v>Green</v>
      </c>
      <c r="AK44" t="str">
        <f>VLOOKUP($Z44,'oddspedia-matches'!$A:$AD,AK$2,0)</f>
        <v>Green</v>
      </c>
      <c r="AL44" t="str">
        <f>VLOOKUP($Z44,'oddspedia-matches'!$A:$AD,AL$2,0)</f>
        <v>Green</v>
      </c>
      <c r="AM44" t="str">
        <f>VLOOKUP($Z44,'oddspedia-matches'!$A:$AD,AM$2,0)</f>
        <v>Green</v>
      </c>
      <c r="AN44" t="str">
        <f>VLOOKUP($Z44,'oddspedia-matches'!$A:$AD,AN$2,0)</f>
        <v>Red</v>
      </c>
      <c r="AO44" t="str">
        <f>VLOOKUP($Z44,'oddspedia-matches'!$A:$AD,AO$2,0)</f>
        <v>Red</v>
      </c>
      <c r="AP44" t="str">
        <f>VLOOKUP($Z44,'oddspedia-matches'!$A:$AD,AP$2,0)</f>
        <v>Green</v>
      </c>
      <c r="AQ44" t="str">
        <f>VLOOKUP($Z44,'oddspedia-matches'!$A:$AD,AQ$2,0)</f>
        <v>Red</v>
      </c>
    </row>
    <row r="45" spans="2:43" x14ac:dyDescent="0.2">
      <c r="B45" s="17" t="s">
        <v>455</v>
      </c>
      <c r="C45" s="8" t="s">
        <v>17</v>
      </c>
      <c r="D45" s="18">
        <v>0.8125</v>
      </c>
      <c r="E45" s="8" t="s">
        <v>41</v>
      </c>
      <c r="F45" s="8" t="s">
        <v>42</v>
      </c>
      <c r="G45" s="19"/>
      <c r="H45" s="8">
        <v>42.8</v>
      </c>
      <c r="I45" s="8">
        <v>28.3</v>
      </c>
      <c r="J45" s="8">
        <v>28.9</v>
      </c>
      <c r="K45" s="8">
        <v>71.099999999999994</v>
      </c>
      <c r="L45" s="8">
        <v>57.2</v>
      </c>
      <c r="M45" s="8">
        <v>71.7</v>
      </c>
      <c r="N45" s="8">
        <v>30.7</v>
      </c>
      <c r="O45" s="8">
        <v>43.9</v>
      </c>
      <c r="P45" s="8">
        <v>25.3</v>
      </c>
      <c r="Q45" s="8">
        <v>68.900000000000006</v>
      </c>
      <c r="R45" s="8">
        <v>76.099999999999994</v>
      </c>
      <c r="S45" s="8">
        <v>50.4</v>
      </c>
      <c r="T45" s="8">
        <v>49.6</v>
      </c>
      <c r="U45" s="8">
        <v>55.4</v>
      </c>
      <c r="V45" s="8">
        <v>55.4</v>
      </c>
      <c r="W45" s="8">
        <v>44.6</v>
      </c>
      <c r="X45" t="str">
        <f>VLOOKUP(E45,'Transform table'!A:B,2,0)</f>
        <v>Ceara</v>
      </c>
      <c r="Y45" t="str">
        <f>VLOOKUP(F45,'Transform table'!A:B,2,0)</f>
        <v>Clube de Regatas Brasil</v>
      </c>
      <c r="Z45" t="str">
        <f t="shared" si="0"/>
        <v>22/07/2026CearaClube de Regatas Brasil</v>
      </c>
      <c r="AA45" t="str">
        <f>VLOOKUP($Z45,'oddspedia-matches'!$A:$AD,AA$2,0)</f>
        <v>0 - 1</v>
      </c>
      <c r="AB45" t="str">
        <f>VLOOKUP($Z45,'oddspedia-matches'!$A:$AD,AB$2,0)</f>
        <v>Red</v>
      </c>
      <c r="AC45" t="str">
        <f>VLOOKUP($Z45,'oddspedia-matches'!$A:$AD,AC$2,0)</f>
        <v>Red</v>
      </c>
      <c r="AD45" t="str">
        <f>VLOOKUP($Z45,'oddspedia-matches'!$A:$AD,AD$2,0)</f>
        <v>Green</v>
      </c>
      <c r="AE45" t="str">
        <f>VLOOKUP($Z45,'oddspedia-matches'!$A:$AD,AE$2,0)</f>
        <v>Red</v>
      </c>
      <c r="AF45" t="str">
        <f>VLOOKUP($Z45,'oddspedia-matches'!$A:$AD,AF$2,0)</f>
        <v>Green</v>
      </c>
      <c r="AG45" t="str">
        <f>VLOOKUP($Z45,'oddspedia-matches'!$A:$AD,AG$2,0)</f>
        <v>Green</v>
      </c>
      <c r="AH45" t="str">
        <f>VLOOKUP($Z45,'oddspedia-matches'!$A:$AD,AH$2,0)</f>
        <v>Red</v>
      </c>
      <c r="AI45" t="str">
        <f>VLOOKUP($Z45,'oddspedia-matches'!$A:$AD,AI$2,0)</f>
        <v>Red</v>
      </c>
      <c r="AJ45" t="str">
        <f>VLOOKUP($Z45,'oddspedia-matches'!$A:$AD,AJ$2,0)</f>
        <v>Green</v>
      </c>
      <c r="AK45" t="str">
        <f>VLOOKUP($Z45,'oddspedia-matches'!$A:$AD,AK$2,0)</f>
        <v>Green</v>
      </c>
      <c r="AL45" t="str">
        <f>VLOOKUP($Z45,'oddspedia-matches'!$A:$AD,AL$2,0)</f>
        <v>Red</v>
      </c>
      <c r="AM45" t="str">
        <f>VLOOKUP($Z45,'oddspedia-matches'!$A:$AD,AM$2,0)</f>
        <v>Red</v>
      </c>
      <c r="AN45" t="str">
        <f>VLOOKUP($Z45,'oddspedia-matches'!$A:$AD,AN$2,0)</f>
        <v>Green</v>
      </c>
      <c r="AO45" t="str">
        <f>VLOOKUP($Z45,'oddspedia-matches'!$A:$AD,AO$2,0)</f>
        <v>Green</v>
      </c>
      <c r="AP45" t="str">
        <f>VLOOKUP($Z45,'oddspedia-matches'!$A:$AD,AP$2,0)</f>
        <v>Red</v>
      </c>
      <c r="AQ45" t="str">
        <f>VLOOKUP($Z45,'oddspedia-matches'!$A:$AD,AQ$2,0)</f>
        <v>Green</v>
      </c>
    </row>
    <row r="46" spans="2:43" x14ac:dyDescent="0.2">
      <c r="B46" s="9" t="s">
        <v>455</v>
      </c>
      <c r="C46" s="7" t="s">
        <v>17</v>
      </c>
      <c r="D46" s="20">
        <v>0.8125</v>
      </c>
      <c r="E46" s="7" t="s">
        <v>43</v>
      </c>
      <c r="F46" s="7" t="s">
        <v>44</v>
      </c>
      <c r="G46" s="21"/>
      <c r="H46" s="7">
        <v>61.3</v>
      </c>
      <c r="I46" s="7">
        <v>24.4</v>
      </c>
      <c r="J46" s="7">
        <v>14.3</v>
      </c>
      <c r="K46" s="7">
        <v>85.7</v>
      </c>
      <c r="L46" s="7">
        <v>38.700000000000003</v>
      </c>
      <c r="M46" s="7">
        <v>75.599999999999994</v>
      </c>
      <c r="N46" s="7">
        <v>48.2</v>
      </c>
      <c r="O46" s="7">
        <v>37.1</v>
      </c>
      <c r="P46" s="7">
        <v>14.7</v>
      </c>
      <c r="Q46" s="7">
        <v>75.099999999999994</v>
      </c>
      <c r="R46" s="7">
        <v>75.3</v>
      </c>
      <c r="S46" s="7">
        <v>49.5</v>
      </c>
      <c r="T46" s="7">
        <v>50.5</v>
      </c>
      <c r="U46" s="7">
        <v>58.8</v>
      </c>
      <c r="V46" s="7">
        <v>47.3</v>
      </c>
      <c r="W46" s="7">
        <v>52.7</v>
      </c>
      <c r="X46" t="str">
        <f>VLOOKUP(E46,'Transform table'!A:B,2,0)</f>
        <v>Operario PR</v>
      </c>
      <c r="Y46" t="str">
        <f>VLOOKUP(F46,'Transform table'!A:B,2,0)</f>
        <v>Ponte Preta</v>
      </c>
      <c r="Z46" t="str">
        <f t="shared" si="0"/>
        <v>22/07/2026Operario PRPonte Preta</v>
      </c>
      <c r="AA46" t="str">
        <f>VLOOKUP($Z46,'oddspedia-matches'!$A:$AD,AA$2,0)</f>
        <v>3 - 2</v>
      </c>
      <c r="AB46" t="str">
        <f>VLOOKUP($Z46,'oddspedia-matches'!$A:$AD,AB$2,0)</f>
        <v>Green</v>
      </c>
      <c r="AC46" t="str">
        <f>VLOOKUP($Z46,'oddspedia-matches'!$A:$AD,AC$2,0)</f>
        <v>Red</v>
      </c>
      <c r="AD46" t="str">
        <f>VLOOKUP($Z46,'oddspedia-matches'!$A:$AD,AD$2,0)</f>
        <v>Red</v>
      </c>
      <c r="AE46" t="str">
        <f>VLOOKUP($Z46,'oddspedia-matches'!$A:$AD,AE$2,0)</f>
        <v>Green</v>
      </c>
      <c r="AF46" t="str">
        <f>VLOOKUP($Z46,'oddspedia-matches'!$A:$AD,AF$2,0)</f>
        <v>Red</v>
      </c>
      <c r="AG46" t="str">
        <f>VLOOKUP($Z46,'oddspedia-matches'!$A:$AD,AG$2,0)</f>
        <v>Green</v>
      </c>
      <c r="AH46" t="str">
        <f>VLOOKUP($Z46,'oddspedia-matches'!$A:$AD,AH$2,0)</f>
        <v>Red</v>
      </c>
      <c r="AI46" t="str">
        <f>VLOOKUP($Z46,'oddspedia-matches'!$A:$AD,AI$2,0)</f>
        <v>Green</v>
      </c>
      <c r="AJ46" t="str">
        <f>VLOOKUP($Z46,'oddspedia-matches'!$A:$AD,AJ$2,0)</f>
        <v>Red</v>
      </c>
      <c r="AK46" t="str">
        <f>VLOOKUP($Z46,'oddspedia-matches'!$A:$AD,AK$2,0)</f>
        <v>Green</v>
      </c>
      <c r="AL46" t="str">
        <f>VLOOKUP($Z46,'oddspedia-matches'!$A:$AD,AL$2,0)</f>
        <v>Green</v>
      </c>
      <c r="AM46" t="str">
        <f>VLOOKUP($Z46,'oddspedia-matches'!$A:$AD,AM$2,0)</f>
        <v>Green</v>
      </c>
      <c r="AN46" t="str">
        <f>VLOOKUP($Z46,'oddspedia-matches'!$A:$AD,AN$2,0)</f>
        <v>Red</v>
      </c>
      <c r="AO46" t="str">
        <f>VLOOKUP($Z46,'oddspedia-matches'!$A:$AD,AO$2,0)</f>
        <v>Red</v>
      </c>
      <c r="AP46" t="str">
        <f>VLOOKUP($Z46,'oddspedia-matches'!$A:$AD,AP$2,0)</f>
        <v>Green</v>
      </c>
      <c r="AQ46" t="str">
        <f>VLOOKUP($Z46,'oddspedia-matches'!$A:$AD,AQ$2,0)</f>
        <v>Red</v>
      </c>
    </row>
    <row r="47" spans="2:43" x14ac:dyDescent="0.2">
      <c r="B47" s="17" t="s">
        <v>466</v>
      </c>
      <c r="C47" s="8" t="s">
        <v>17</v>
      </c>
      <c r="D47" s="18">
        <v>0.8125</v>
      </c>
      <c r="E47" s="8" t="s">
        <v>45</v>
      </c>
      <c r="F47" s="8" t="s">
        <v>46</v>
      </c>
      <c r="G47" s="19"/>
      <c r="H47" s="8">
        <v>58.8</v>
      </c>
      <c r="I47" s="8">
        <v>23.7</v>
      </c>
      <c r="J47" s="8">
        <v>17.5</v>
      </c>
      <c r="K47" s="8">
        <v>82.5</v>
      </c>
      <c r="L47" s="8">
        <v>41.2</v>
      </c>
      <c r="M47" s="8">
        <v>76.3</v>
      </c>
      <c r="N47" s="8">
        <v>38.9</v>
      </c>
      <c r="O47" s="8">
        <v>38.700000000000003</v>
      </c>
      <c r="P47" s="8">
        <v>22.4</v>
      </c>
      <c r="Q47" s="8">
        <v>76.099999999999994</v>
      </c>
      <c r="R47" s="8">
        <v>84.6</v>
      </c>
      <c r="S47" s="8">
        <v>63.3</v>
      </c>
      <c r="T47" s="8">
        <v>36.700000000000003</v>
      </c>
      <c r="U47" s="8">
        <v>44.1</v>
      </c>
      <c r="V47" s="8">
        <v>60.5</v>
      </c>
      <c r="W47" s="8">
        <v>39.5</v>
      </c>
      <c r="X47" t="str">
        <f>VLOOKUP(E47,'Transform table'!A:B,2,0)</f>
        <v>Carolina Core</v>
      </c>
      <c r="Y47" t="str">
        <f>VLOOKUP(F47,'Transform table'!A:B,2,0)</f>
        <v>Inter Miami II</v>
      </c>
      <c r="Z47" t="str">
        <f t="shared" si="0"/>
        <v>22/07/2026Carolina CoreInter Miami II</v>
      </c>
      <c r="AA47" t="str">
        <f>VLOOKUP($Z47,'oddspedia-matches'!$A:$AD,AA$2,0)</f>
        <v>4 - 0</v>
      </c>
      <c r="AB47" t="str">
        <f>VLOOKUP($Z47,'oddspedia-matches'!$A:$AD,AB$2,0)</f>
        <v>Green</v>
      </c>
      <c r="AC47" t="str">
        <f>VLOOKUP($Z47,'oddspedia-matches'!$A:$AD,AC$2,0)</f>
        <v>Red</v>
      </c>
      <c r="AD47" t="str">
        <f>VLOOKUP($Z47,'oddspedia-matches'!$A:$AD,AD$2,0)</f>
        <v>Red</v>
      </c>
      <c r="AE47" t="str">
        <f>VLOOKUP($Z47,'oddspedia-matches'!$A:$AD,AE$2,0)</f>
        <v>Green</v>
      </c>
      <c r="AF47" t="str">
        <f>VLOOKUP($Z47,'oddspedia-matches'!$A:$AD,AF$2,0)</f>
        <v>Red</v>
      </c>
      <c r="AG47" t="str">
        <f>VLOOKUP($Z47,'oddspedia-matches'!$A:$AD,AG$2,0)</f>
        <v>Green</v>
      </c>
      <c r="AH47" t="str">
        <f>VLOOKUP($Z47,'oddspedia-matches'!$A:$AD,AH$2,0)</f>
        <v>Green</v>
      </c>
      <c r="AI47" t="str">
        <f>VLOOKUP($Z47,'oddspedia-matches'!$A:$AD,AI$2,0)</f>
        <v>Red</v>
      </c>
      <c r="AJ47" t="str">
        <f>VLOOKUP($Z47,'oddspedia-matches'!$A:$AD,AJ$2,0)</f>
        <v>Red</v>
      </c>
      <c r="AK47" t="str">
        <f>VLOOKUP($Z47,'oddspedia-matches'!$A:$AD,AK$2,0)</f>
        <v>Green</v>
      </c>
      <c r="AL47" t="str">
        <f>VLOOKUP($Z47,'oddspedia-matches'!$A:$AD,AL$2,0)</f>
        <v>Green</v>
      </c>
      <c r="AM47" t="str">
        <f>VLOOKUP($Z47,'oddspedia-matches'!$A:$AD,AM$2,0)</f>
        <v>Green</v>
      </c>
      <c r="AN47" t="str">
        <f>VLOOKUP($Z47,'oddspedia-matches'!$A:$AD,AN$2,0)</f>
        <v>Red</v>
      </c>
      <c r="AO47" t="str">
        <f>VLOOKUP($Z47,'oddspedia-matches'!$A:$AD,AO$2,0)</f>
        <v>Red</v>
      </c>
      <c r="AP47" t="str">
        <f>VLOOKUP($Z47,'oddspedia-matches'!$A:$AD,AP$2,0)</f>
        <v>Red</v>
      </c>
      <c r="AQ47" t="str">
        <f>VLOOKUP($Z47,'oddspedia-matches'!$A:$AD,AQ$2,0)</f>
        <v>Green</v>
      </c>
    </row>
    <row r="48" spans="2:43" x14ac:dyDescent="0.2">
      <c r="B48" s="9" t="s">
        <v>467</v>
      </c>
      <c r="C48" s="7" t="s">
        <v>17</v>
      </c>
      <c r="D48" s="20">
        <v>0.83333333333333337</v>
      </c>
      <c r="E48" s="7" t="s">
        <v>47</v>
      </c>
      <c r="F48" s="7" t="s">
        <v>48</v>
      </c>
      <c r="G48" s="21"/>
      <c r="H48" s="7">
        <v>44</v>
      </c>
      <c r="I48" s="7">
        <v>26.5</v>
      </c>
      <c r="J48" s="7">
        <v>29.5</v>
      </c>
      <c r="K48" s="7">
        <v>70.5</v>
      </c>
      <c r="L48" s="7">
        <v>56</v>
      </c>
      <c r="M48" s="7">
        <v>73.5</v>
      </c>
      <c r="N48" s="7">
        <v>36</v>
      </c>
      <c r="O48" s="7">
        <v>41.2</v>
      </c>
      <c r="P48" s="7">
        <v>22.7</v>
      </c>
      <c r="Q48" s="7">
        <v>72.5</v>
      </c>
      <c r="R48" s="7">
        <v>82.6</v>
      </c>
      <c r="S48" s="7">
        <v>59.9</v>
      </c>
      <c r="T48" s="7">
        <v>40.1</v>
      </c>
      <c r="U48" s="7">
        <v>45.9</v>
      </c>
      <c r="V48" s="7">
        <v>62.7</v>
      </c>
      <c r="W48" s="7">
        <v>37.299999999999997</v>
      </c>
      <c r="X48" t="str">
        <f>VLOOKUP(E48,'Transform table'!A:B,2,0)</f>
        <v>Lexington SC</v>
      </c>
      <c r="Y48" t="str">
        <f>VLOOKUP(F48,'Transform table'!A:B,2,0)</f>
        <v>Oakland Roots</v>
      </c>
      <c r="Z48" t="str">
        <f t="shared" si="0"/>
        <v>22/07/2026Lexington SCOakland Roots</v>
      </c>
      <c r="AA48" t="str">
        <f>VLOOKUP($Z48,'oddspedia-matches'!$A:$AD,AA$2,0)</f>
        <v>2 - 0</v>
      </c>
      <c r="AB48" t="str">
        <f>VLOOKUP($Z48,'oddspedia-matches'!$A:$AD,AB$2,0)</f>
        <v>Green</v>
      </c>
      <c r="AC48" t="str">
        <f>VLOOKUP($Z48,'oddspedia-matches'!$A:$AD,AC$2,0)</f>
        <v>Red</v>
      </c>
      <c r="AD48" t="str">
        <f>VLOOKUP($Z48,'oddspedia-matches'!$A:$AD,AD$2,0)</f>
        <v>Red</v>
      </c>
      <c r="AE48" t="str">
        <f>VLOOKUP($Z48,'oddspedia-matches'!$A:$AD,AE$2,0)</f>
        <v>Green</v>
      </c>
      <c r="AF48" t="str">
        <f>VLOOKUP($Z48,'oddspedia-matches'!$A:$AD,AF$2,0)</f>
        <v>Red</v>
      </c>
      <c r="AG48" t="str">
        <f>VLOOKUP($Z48,'oddspedia-matches'!$A:$AD,AG$2,0)</f>
        <v>Green</v>
      </c>
      <c r="AH48" t="str">
        <f>VLOOKUP($Z48,'oddspedia-matches'!$A:$AD,AH$2,0)</f>
        <v>Red</v>
      </c>
      <c r="AI48" t="str">
        <f>VLOOKUP($Z48,'oddspedia-matches'!$A:$AD,AI$2,0)</f>
        <v>Green</v>
      </c>
      <c r="AJ48" t="str">
        <f>VLOOKUP($Z48,'oddspedia-matches'!$A:$AD,AJ$2,0)</f>
        <v>Red</v>
      </c>
      <c r="AK48" t="str">
        <f>VLOOKUP($Z48,'oddspedia-matches'!$A:$AD,AK$2,0)</f>
        <v>Red</v>
      </c>
      <c r="AL48" t="str">
        <f>VLOOKUP($Z48,'oddspedia-matches'!$A:$AD,AL$2,0)</f>
        <v>Green</v>
      </c>
      <c r="AM48" t="str">
        <f>VLOOKUP($Z48,'oddspedia-matches'!$A:$AD,AM$2,0)</f>
        <v>Red</v>
      </c>
      <c r="AN48" t="str">
        <f>VLOOKUP($Z48,'oddspedia-matches'!$A:$AD,AN$2,0)</f>
        <v>Green</v>
      </c>
      <c r="AO48" t="str">
        <f>VLOOKUP($Z48,'oddspedia-matches'!$A:$AD,AO$2,0)</f>
        <v>Green</v>
      </c>
      <c r="AP48" t="str">
        <f>VLOOKUP($Z48,'oddspedia-matches'!$A:$AD,AP$2,0)</f>
        <v>Red</v>
      </c>
      <c r="AQ48" t="str">
        <f>VLOOKUP($Z48,'oddspedia-matches'!$A:$AD,AQ$2,0)</f>
        <v>Green</v>
      </c>
    </row>
    <row r="49" spans="2:43" x14ac:dyDescent="0.2">
      <c r="B49" s="17" t="s">
        <v>455</v>
      </c>
      <c r="C49" s="8" t="s">
        <v>17</v>
      </c>
      <c r="D49" s="18">
        <v>0.85416666666666663</v>
      </c>
      <c r="E49" s="8" t="s">
        <v>49</v>
      </c>
      <c r="F49" s="8" t="s">
        <v>50</v>
      </c>
      <c r="G49" s="19"/>
      <c r="H49" s="8">
        <v>36.200000000000003</v>
      </c>
      <c r="I49" s="8">
        <v>31.2</v>
      </c>
      <c r="J49" s="8">
        <v>32.6</v>
      </c>
      <c r="K49" s="8">
        <v>67.400000000000006</v>
      </c>
      <c r="L49" s="8">
        <v>63.8</v>
      </c>
      <c r="M49" s="8">
        <v>68.8</v>
      </c>
      <c r="N49" s="8">
        <v>36.799999999999997</v>
      </c>
      <c r="O49" s="8">
        <v>47.6</v>
      </c>
      <c r="P49" s="8">
        <v>15.6</v>
      </c>
      <c r="Q49" s="8">
        <v>61.5</v>
      </c>
      <c r="R49" s="8">
        <v>68.099999999999994</v>
      </c>
      <c r="S49" s="8">
        <v>40.200000000000003</v>
      </c>
      <c r="T49" s="8">
        <v>59.8</v>
      </c>
      <c r="U49" s="8">
        <v>64.8</v>
      </c>
      <c r="V49" s="8">
        <v>47.9</v>
      </c>
      <c r="W49" s="8">
        <v>52.1</v>
      </c>
      <c r="X49" t="str">
        <f>VLOOKUP(E49,'Transform table'!A:B,2,0)</f>
        <v>Goias</v>
      </c>
      <c r="Y49" t="str">
        <f>VLOOKUP(F49,'Transform table'!A:B,2,0)</f>
        <v>Sport Recife</v>
      </c>
      <c r="Z49" t="str">
        <f t="shared" si="0"/>
        <v>22/07/2026GoiasSport Recife</v>
      </c>
      <c r="AA49" t="str">
        <f>VLOOKUP($Z49,'oddspedia-matches'!$A:$AD,AA$2,0)</f>
        <v>1 - 1</v>
      </c>
      <c r="AB49" t="str">
        <f>VLOOKUP($Z49,'oddspedia-matches'!$A:$AD,AB$2,0)</f>
        <v>Red</v>
      </c>
      <c r="AC49" t="str">
        <f>VLOOKUP($Z49,'oddspedia-matches'!$A:$AD,AC$2,0)</f>
        <v>Green</v>
      </c>
      <c r="AD49" t="str">
        <f>VLOOKUP($Z49,'oddspedia-matches'!$A:$AD,AD$2,0)</f>
        <v>Red</v>
      </c>
      <c r="AE49" t="str">
        <f>VLOOKUP($Z49,'oddspedia-matches'!$A:$AD,AE$2,0)</f>
        <v>Green</v>
      </c>
      <c r="AF49" t="str">
        <f>VLOOKUP($Z49,'oddspedia-matches'!$A:$AD,AF$2,0)</f>
        <v>Green</v>
      </c>
      <c r="AG49" t="str">
        <f>VLOOKUP($Z49,'oddspedia-matches'!$A:$AD,AG$2,0)</f>
        <v>Red</v>
      </c>
      <c r="AH49" t="str">
        <f>VLOOKUP($Z49,'oddspedia-matches'!$A:$AD,AH$2,0)</f>
        <v>Red</v>
      </c>
      <c r="AI49" t="str">
        <f>VLOOKUP($Z49,'oddspedia-matches'!$A:$AD,AI$2,0)</f>
        <v>Red</v>
      </c>
      <c r="AJ49" t="str">
        <f>VLOOKUP($Z49,'oddspedia-matches'!$A:$AD,AJ$2,0)</f>
        <v>Green</v>
      </c>
      <c r="AK49" t="str">
        <f>VLOOKUP($Z49,'oddspedia-matches'!$A:$AD,AK$2,0)</f>
        <v>Green</v>
      </c>
      <c r="AL49" t="str">
        <f>VLOOKUP($Z49,'oddspedia-matches'!$A:$AD,AL$2,0)</f>
        <v>Green</v>
      </c>
      <c r="AM49" t="str">
        <f>VLOOKUP($Z49,'oddspedia-matches'!$A:$AD,AM$2,0)</f>
        <v>Red</v>
      </c>
      <c r="AN49" t="str">
        <f>VLOOKUP($Z49,'oddspedia-matches'!$A:$AD,AN$2,0)</f>
        <v>Green</v>
      </c>
      <c r="AO49" t="str">
        <f>VLOOKUP($Z49,'oddspedia-matches'!$A:$AD,AO$2,0)</f>
        <v>Green</v>
      </c>
      <c r="AP49" t="str">
        <f>VLOOKUP($Z49,'oddspedia-matches'!$A:$AD,AP$2,0)</f>
        <v>Green</v>
      </c>
      <c r="AQ49" t="str">
        <f>VLOOKUP($Z49,'oddspedia-matches'!$A:$AD,AQ$2,0)</f>
        <v>Red</v>
      </c>
    </row>
    <row r="50" spans="2:43" x14ac:dyDescent="0.2">
      <c r="B50" s="9" t="s">
        <v>468</v>
      </c>
      <c r="C50" s="7" t="s">
        <v>17</v>
      </c>
      <c r="D50" s="20">
        <v>0.85416666666666663</v>
      </c>
      <c r="E50" s="7" t="s">
        <v>51</v>
      </c>
      <c r="F50" s="7" t="s">
        <v>52</v>
      </c>
      <c r="G50" s="21"/>
      <c r="H50" s="7">
        <v>43.3</v>
      </c>
      <c r="I50" s="7">
        <v>27.2</v>
      </c>
      <c r="J50" s="7">
        <v>29.5</v>
      </c>
      <c r="K50" s="7">
        <v>70.5</v>
      </c>
      <c r="L50" s="7">
        <v>56.7</v>
      </c>
      <c r="M50" s="7">
        <v>72.8</v>
      </c>
      <c r="N50" s="7">
        <v>39.299999999999997</v>
      </c>
      <c r="O50" s="7">
        <v>39.9</v>
      </c>
      <c r="P50" s="7">
        <v>20.8</v>
      </c>
      <c r="Q50" s="7">
        <v>73.8</v>
      </c>
      <c r="R50" s="7">
        <v>79.900000000000006</v>
      </c>
      <c r="S50" s="7">
        <v>55.8</v>
      </c>
      <c r="T50" s="7">
        <v>44.2</v>
      </c>
      <c r="U50" s="7">
        <v>50</v>
      </c>
      <c r="V50" s="7">
        <v>59.6</v>
      </c>
      <c r="W50" s="7">
        <v>40.4</v>
      </c>
      <c r="X50" t="str">
        <f>VLOOKUP(E50,'Transform table'!A:B,2,0)</f>
        <v>Columbus Crew</v>
      </c>
      <c r="Y50" t="str">
        <f>VLOOKUP(F50,'Transform table'!A:B,2,0)</f>
        <v>New York City</v>
      </c>
      <c r="Z50" t="str">
        <f t="shared" si="0"/>
        <v>22/07/2026Columbus CrewNew York City</v>
      </c>
      <c r="AA50" t="str">
        <f>VLOOKUP($Z50,'oddspedia-matches'!$A:$AD,AA$2,0)</f>
        <v>1 - 2</v>
      </c>
      <c r="AB50" t="str">
        <f>VLOOKUP($Z50,'oddspedia-matches'!$A:$AD,AB$2,0)</f>
        <v>Red</v>
      </c>
      <c r="AC50" t="str">
        <f>VLOOKUP($Z50,'oddspedia-matches'!$A:$AD,AC$2,0)</f>
        <v>Red</v>
      </c>
      <c r="AD50" t="str">
        <f>VLOOKUP($Z50,'oddspedia-matches'!$A:$AD,AD$2,0)</f>
        <v>Green</v>
      </c>
      <c r="AE50" t="str">
        <f>VLOOKUP($Z50,'oddspedia-matches'!$A:$AD,AE$2,0)</f>
        <v>Red</v>
      </c>
      <c r="AF50" t="str">
        <f>VLOOKUP($Z50,'oddspedia-matches'!$A:$AD,AF$2,0)</f>
        <v>Green</v>
      </c>
      <c r="AG50" t="str">
        <f>VLOOKUP($Z50,'oddspedia-matches'!$A:$AD,AG$2,0)</f>
        <v>Green</v>
      </c>
      <c r="AH50" t="str">
        <f>VLOOKUP($Z50,'oddspedia-matches'!$A:$AD,AH$2,0)</f>
        <v>Red</v>
      </c>
      <c r="AI50" t="str">
        <f>VLOOKUP($Z50,'oddspedia-matches'!$A:$AD,AI$2,0)</f>
        <v>Red</v>
      </c>
      <c r="AJ50" t="str">
        <f>VLOOKUP($Z50,'oddspedia-matches'!$A:$AD,AJ$2,0)</f>
        <v>Green</v>
      </c>
      <c r="AK50" t="str">
        <f>VLOOKUP($Z50,'oddspedia-matches'!$A:$AD,AK$2,0)</f>
        <v>Green</v>
      </c>
      <c r="AL50" t="str">
        <f>VLOOKUP($Z50,'oddspedia-matches'!$A:$AD,AL$2,0)</f>
        <v>Green</v>
      </c>
      <c r="AM50" t="str">
        <f>VLOOKUP($Z50,'oddspedia-matches'!$A:$AD,AM$2,0)</f>
        <v>Green</v>
      </c>
      <c r="AN50" t="str">
        <f>VLOOKUP($Z50,'oddspedia-matches'!$A:$AD,AN$2,0)</f>
        <v>Red</v>
      </c>
      <c r="AO50" t="str">
        <f>VLOOKUP($Z50,'oddspedia-matches'!$A:$AD,AO$2,0)</f>
        <v>Green</v>
      </c>
      <c r="AP50" t="str">
        <f>VLOOKUP($Z50,'oddspedia-matches'!$A:$AD,AP$2,0)</f>
        <v>Green</v>
      </c>
      <c r="AQ50" t="str">
        <f>VLOOKUP($Z50,'oddspedia-matches'!$A:$AD,AQ$2,0)</f>
        <v>Red</v>
      </c>
    </row>
    <row r="51" spans="2:43" x14ac:dyDescent="0.2">
      <c r="B51" s="17" t="s">
        <v>468</v>
      </c>
      <c r="C51" s="8" t="s">
        <v>17</v>
      </c>
      <c r="D51" s="18">
        <v>0.85416666666666663</v>
      </c>
      <c r="E51" s="8" t="s">
        <v>53</v>
      </c>
      <c r="F51" s="8" t="s">
        <v>54</v>
      </c>
      <c r="G51" s="19"/>
      <c r="H51" s="8">
        <v>33.1</v>
      </c>
      <c r="I51" s="8">
        <v>25.5</v>
      </c>
      <c r="J51" s="8">
        <v>41.4</v>
      </c>
      <c r="K51" s="8">
        <v>58.6</v>
      </c>
      <c r="L51" s="8">
        <v>66.900000000000006</v>
      </c>
      <c r="M51" s="8">
        <v>74.5</v>
      </c>
      <c r="N51" s="8">
        <v>28</v>
      </c>
      <c r="O51" s="8">
        <v>35.799999999999997</v>
      </c>
      <c r="P51" s="8">
        <v>36.200000000000003</v>
      </c>
      <c r="Q51" s="8">
        <v>81.8</v>
      </c>
      <c r="R51" s="8">
        <v>91.3</v>
      </c>
      <c r="S51" s="8">
        <v>75.599999999999994</v>
      </c>
      <c r="T51" s="8">
        <v>24.4</v>
      </c>
      <c r="U51" s="8">
        <v>29.4</v>
      </c>
      <c r="V51" s="8">
        <v>75.3</v>
      </c>
      <c r="W51" s="8">
        <v>24.7</v>
      </c>
      <c r="X51" t="str">
        <f>VLOOKUP(E51,'Transform table'!A:B,2,0)</f>
        <v>FC Cincinnati</v>
      </c>
      <c r="Y51" t="str">
        <f>VLOOKUP(F51,'Transform table'!A:B,2,0)</f>
        <v>Vancouver Whitecaps</v>
      </c>
      <c r="Z51" t="str">
        <f t="shared" si="0"/>
        <v>22/07/2026FC CincinnatiVancouver Whitecaps</v>
      </c>
      <c r="AA51" t="str">
        <f>VLOOKUP($Z51,'oddspedia-matches'!$A:$AD,AA$2,0)</f>
        <v>4 - 3</v>
      </c>
      <c r="AB51" t="str">
        <f>VLOOKUP($Z51,'oddspedia-matches'!$A:$AD,AB$2,0)</f>
        <v>Green</v>
      </c>
      <c r="AC51" t="str">
        <f>VLOOKUP($Z51,'oddspedia-matches'!$A:$AD,AC$2,0)</f>
        <v>Red</v>
      </c>
      <c r="AD51" t="str">
        <f>VLOOKUP($Z51,'oddspedia-matches'!$A:$AD,AD$2,0)</f>
        <v>Red</v>
      </c>
      <c r="AE51" t="str">
        <f>VLOOKUP($Z51,'oddspedia-matches'!$A:$AD,AE$2,0)</f>
        <v>Green</v>
      </c>
      <c r="AF51" t="str">
        <f>VLOOKUP($Z51,'oddspedia-matches'!$A:$AD,AF$2,0)</f>
        <v>Red</v>
      </c>
      <c r="AG51" t="str">
        <f>VLOOKUP($Z51,'oddspedia-matches'!$A:$AD,AG$2,0)</f>
        <v>Green</v>
      </c>
      <c r="AH51" t="str">
        <f>VLOOKUP($Z51,'oddspedia-matches'!$A:$AD,AH$2,0)</f>
        <v>Green</v>
      </c>
      <c r="AI51" t="str">
        <f>VLOOKUP($Z51,'oddspedia-matches'!$A:$AD,AI$2,0)</f>
        <v>Red</v>
      </c>
      <c r="AJ51" t="str">
        <f>VLOOKUP($Z51,'oddspedia-matches'!$A:$AD,AJ$2,0)</f>
        <v>Red</v>
      </c>
      <c r="AK51" t="str">
        <f>VLOOKUP($Z51,'oddspedia-matches'!$A:$AD,AK$2,0)</f>
        <v>Green</v>
      </c>
      <c r="AL51" t="str">
        <f>VLOOKUP($Z51,'oddspedia-matches'!$A:$AD,AL$2,0)</f>
        <v>Green</v>
      </c>
      <c r="AM51" t="str">
        <f>VLOOKUP($Z51,'oddspedia-matches'!$A:$AD,AM$2,0)</f>
        <v>Green</v>
      </c>
      <c r="AN51" t="str">
        <f>VLOOKUP($Z51,'oddspedia-matches'!$A:$AD,AN$2,0)</f>
        <v>Red</v>
      </c>
      <c r="AO51" t="str">
        <f>VLOOKUP($Z51,'oddspedia-matches'!$A:$AD,AO$2,0)</f>
        <v>Red</v>
      </c>
      <c r="AP51" t="str">
        <f>VLOOKUP($Z51,'oddspedia-matches'!$A:$AD,AP$2,0)</f>
        <v>Green</v>
      </c>
      <c r="AQ51" t="str">
        <f>VLOOKUP($Z51,'oddspedia-matches'!$A:$AD,AQ$2,0)</f>
        <v>Red</v>
      </c>
    </row>
    <row r="52" spans="2:43" x14ac:dyDescent="0.2">
      <c r="B52" s="9" t="s">
        <v>468</v>
      </c>
      <c r="C52" s="7" t="s">
        <v>17</v>
      </c>
      <c r="D52" s="20">
        <v>0.85416666666666663</v>
      </c>
      <c r="E52" s="7" t="s">
        <v>55</v>
      </c>
      <c r="F52" s="7" t="s">
        <v>56</v>
      </c>
      <c r="G52" s="21"/>
      <c r="H52" s="7">
        <v>45.4</v>
      </c>
      <c r="I52" s="7">
        <v>25.1</v>
      </c>
      <c r="J52" s="7">
        <v>29.5</v>
      </c>
      <c r="K52" s="7">
        <v>70.5</v>
      </c>
      <c r="L52" s="7">
        <v>54.6</v>
      </c>
      <c r="M52" s="7">
        <v>74.900000000000006</v>
      </c>
      <c r="N52" s="7">
        <v>38.9</v>
      </c>
      <c r="O52" s="7">
        <v>35.4</v>
      </c>
      <c r="P52" s="7">
        <v>25.7</v>
      </c>
      <c r="Q52" s="7">
        <v>81.599999999999994</v>
      </c>
      <c r="R52" s="7">
        <v>90.5</v>
      </c>
      <c r="S52" s="7">
        <v>74.099999999999994</v>
      </c>
      <c r="T52" s="7">
        <v>25.9</v>
      </c>
      <c r="U52" s="7">
        <v>31.2</v>
      </c>
      <c r="V52" s="7">
        <v>73.599999999999994</v>
      </c>
      <c r="W52" s="7">
        <v>26.4</v>
      </c>
      <c r="X52" t="str">
        <f>VLOOKUP(E52,'Transform table'!A:B,2,0)</f>
        <v>Inter Miami CF</v>
      </c>
      <c r="Y52" t="str">
        <f>VLOOKUP(F52,'Transform table'!A:B,2,0)</f>
        <v>Chicago Fire</v>
      </c>
      <c r="Z52" t="str">
        <f t="shared" si="0"/>
        <v>22/07/2026Inter Miami CFChicago Fire</v>
      </c>
      <c r="AA52" t="str">
        <f>VLOOKUP($Z52,'oddspedia-matches'!$A:$AD,AA$2,0)</f>
        <v>3 - 2</v>
      </c>
      <c r="AB52" t="str">
        <f>VLOOKUP($Z52,'oddspedia-matches'!$A:$AD,AB$2,0)</f>
        <v>Green</v>
      </c>
      <c r="AC52" t="str">
        <f>VLOOKUP($Z52,'oddspedia-matches'!$A:$AD,AC$2,0)</f>
        <v>Red</v>
      </c>
      <c r="AD52" t="str">
        <f>VLOOKUP($Z52,'oddspedia-matches'!$A:$AD,AD$2,0)</f>
        <v>Red</v>
      </c>
      <c r="AE52" t="str">
        <f>VLOOKUP($Z52,'oddspedia-matches'!$A:$AD,AE$2,0)</f>
        <v>Green</v>
      </c>
      <c r="AF52" t="str">
        <f>VLOOKUP($Z52,'oddspedia-matches'!$A:$AD,AF$2,0)</f>
        <v>Red</v>
      </c>
      <c r="AG52" t="str">
        <f>VLOOKUP($Z52,'oddspedia-matches'!$A:$AD,AG$2,0)</f>
        <v>Green</v>
      </c>
      <c r="AH52" t="str">
        <f>VLOOKUP($Z52,'oddspedia-matches'!$A:$AD,AH$2,0)</f>
        <v>Red</v>
      </c>
      <c r="AI52" t="str">
        <f>VLOOKUP($Z52,'oddspedia-matches'!$A:$AD,AI$2,0)</f>
        <v>Green</v>
      </c>
      <c r="AJ52" t="str">
        <f>VLOOKUP($Z52,'oddspedia-matches'!$A:$AD,AJ$2,0)</f>
        <v>Red</v>
      </c>
      <c r="AK52" t="str">
        <f>VLOOKUP($Z52,'oddspedia-matches'!$A:$AD,AK$2,0)</f>
        <v>Green</v>
      </c>
      <c r="AL52" t="str">
        <f>VLOOKUP($Z52,'oddspedia-matches'!$A:$AD,AL$2,0)</f>
        <v>Green</v>
      </c>
      <c r="AM52" t="str">
        <f>VLOOKUP($Z52,'oddspedia-matches'!$A:$AD,AM$2,0)</f>
        <v>Green</v>
      </c>
      <c r="AN52" t="str">
        <f>VLOOKUP($Z52,'oddspedia-matches'!$A:$AD,AN$2,0)</f>
        <v>Red</v>
      </c>
      <c r="AO52" t="str">
        <f>VLOOKUP($Z52,'oddspedia-matches'!$A:$AD,AO$2,0)</f>
        <v>Red</v>
      </c>
      <c r="AP52" t="str">
        <f>VLOOKUP($Z52,'oddspedia-matches'!$A:$AD,AP$2,0)</f>
        <v>Green</v>
      </c>
      <c r="AQ52" t="str">
        <f>VLOOKUP($Z52,'oddspedia-matches'!$A:$AD,AQ$2,0)</f>
        <v>Red</v>
      </c>
    </row>
    <row r="53" spans="2:43" x14ac:dyDescent="0.2">
      <c r="B53" s="17" t="s">
        <v>468</v>
      </c>
      <c r="C53" s="8" t="s">
        <v>17</v>
      </c>
      <c r="D53" s="18">
        <v>0.85416666666666663</v>
      </c>
      <c r="E53" s="8" t="s">
        <v>57</v>
      </c>
      <c r="F53" s="8" t="s">
        <v>58</v>
      </c>
      <c r="G53" s="19"/>
      <c r="H53" s="8">
        <v>52.8</v>
      </c>
      <c r="I53" s="8">
        <v>25.4</v>
      </c>
      <c r="J53" s="8">
        <v>21.8</v>
      </c>
      <c r="K53" s="8">
        <v>78.2</v>
      </c>
      <c r="L53" s="8">
        <v>47.2</v>
      </c>
      <c r="M53" s="8">
        <v>74.599999999999994</v>
      </c>
      <c r="N53" s="8">
        <v>34.700000000000003</v>
      </c>
      <c r="O53" s="8">
        <v>41.2</v>
      </c>
      <c r="P53" s="8">
        <v>24.1</v>
      </c>
      <c r="Q53" s="8">
        <v>72.900000000000006</v>
      </c>
      <c r="R53" s="8">
        <v>81.900000000000006</v>
      </c>
      <c r="S53" s="8">
        <v>58.8</v>
      </c>
      <c r="T53" s="8">
        <v>41.2</v>
      </c>
      <c r="U53" s="8">
        <v>47.9</v>
      </c>
      <c r="V53" s="8">
        <v>59.5</v>
      </c>
      <c r="W53" s="8">
        <v>40.5</v>
      </c>
      <c r="X53" t="str">
        <f>VLOOKUP(E53,'Transform table'!A:B,2,0)</f>
        <v>New England Revolution</v>
      </c>
      <c r="Y53" t="str">
        <f>VLOOKUP(F53,'Transform table'!A:B,2,0)</f>
        <v>Toronto FC</v>
      </c>
      <c r="Z53" t="str">
        <f t="shared" si="0"/>
        <v>22/07/2026New England RevolutionToronto FC</v>
      </c>
      <c r="AA53" t="str">
        <f>VLOOKUP($Z53,'oddspedia-matches'!$A:$AD,AA$2,0)</f>
        <v>0 - 0</v>
      </c>
      <c r="AB53" t="str">
        <f>VLOOKUP($Z53,'oddspedia-matches'!$A:$AD,AB$2,0)</f>
        <v>Red</v>
      </c>
      <c r="AC53" t="str">
        <f>VLOOKUP($Z53,'oddspedia-matches'!$A:$AD,AC$2,0)</f>
        <v>Green</v>
      </c>
      <c r="AD53" t="str">
        <f>VLOOKUP($Z53,'oddspedia-matches'!$A:$AD,AD$2,0)</f>
        <v>Red</v>
      </c>
      <c r="AE53" t="str">
        <f>VLOOKUP($Z53,'oddspedia-matches'!$A:$AD,AE$2,0)</f>
        <v>Green</v>
      </c>
      <c r="AF53" t="str">
        <f>VLOOKUP($Z53,'oddspedia-matches'!$A:$AD,AF$2,0)</f>
        <v>Green</v>
      </c>
      <c r="AG53" t="str">
        <f>VLOOKUP($Z53,'oddspedia-matches'!$A:$AD,AG$2,0)</f>
        <v>Red</v>
      </c>
      <c r="AH53" t="str">
        <f>VLOOKUP($Z53,'oddspedia-matches'!$A:$AD,AH$2,0)</f>
        <v>Red</v>
      </c>
      <c r="AI53" t="str">
        <f>VLOOKUP($Z53,'oddspedia-matches'!$A:$AD,AI$2,0)</f>
        <v>Green</v>
      </c>
      <c r="AJ53" t="str">
        <f>VLOOKUP($Z53,'oddspedia-matches'!$A:$AD,AJ$2,0)</f>
        <v>Red</v>
      </c>
      <c r="AK53" t="str">
        <f>VLOOKUP($Z53,'oddspedia-matches'!$A:$AD,AK$2,0)</f>
        <v>Red</v>
      </c>
      <c r="AL53" t="str">
        <f>VLOOKUP($Z53,'oddspedia-matches'!$A:$AD,AL$2,0)</f>
        <v>Red</v>
      </c>
      <c r="AM53" t="str">
        <f>VLOOKUP($Z53,'oddspedia-matches'!$A:$AD,AM$2,0)</f>
        <v>Red</v>
      </c>
      <c r="AN53" t="str">
        <f>VLOOKUP($Z53,'oddspedia-matches'!$A:$AD,AN$2,0)</f>
        <v>Green</v>
      </c>
      <c r="AO53" t="str">
        <f>VLOOKUP($Z53,'oddspedia-matches'!$A:$AD,AO$2,0)</f>
        <v>Green</v>
      </c>
      <c r="AP53" t="str">
        <f>VLOOKUP($Z53,'oddspedia-matches'!$A:$AD,AP$2,0)</f>
        <v>Red</v>
      </c>
      <c r="AQ53" t="str">
        <f>VLOOKUP($Z53,'oddspedia-matches'!$A:$AD,AQ$2,0)</f>
        <v>Green</v>
      </c>
    </row>
    <row r="54" spans="2:43" x14ac:dyDescent="0.2">
      <c r="B54" s="9" t="s">
        <v>468</v>
      </c>
      <c r="C54" s="7" t="s">
        <v>17</v>
      </c>
      <c r="D54" s="20">
        <v>0.85416666666666663</v>
      </c>
      <c r="E54" s="7" t="s">
        <v>59</v>
      </c>
      <c r="F54" s="7" t="s">
        <v>60</v>
      </c>
      <c r="G54" s="21"/>
      <c r="H54" s="7">
        <v>44.6</v>
      </c>
      <c r="I54" s="7">
        <v>25.7</v>
      </c>
      <c r="J54" s="7">
        <v>29.7</v>
      </c>
      <c r="K54" s="7">
        <v>70.3</v>
      </c>
      <c r="L54" s="7">
        <v>55.4</v>
      </c>
      <c r="M54" s="7">
        <v>74.3</v>
      </c>
      <c r="N54" s="7">
        <v>29.3</v>
      </c>
      <c r="O54" s="7">
        <v>40.1</v>
      </c>
      <c r="P54" s="7">
        <v>30.6</v>
      </c>
      <c r="Q54" s="7">
        <v>75.099999999999994</v>
      </c>
      <c r="R54" s="7">
        <v>86</v>
      </c>
      <c r="S54" s="7">
        <v>65.599999999999994</v>
      </c>
      <c r="T54" s="7">
        <v>34.4</v>
      </c>
      <c r="U54" s="7">
        <v>40.1</v>
      </c>
      <c r="V54" s="7">
        <v>67.099999999999994</v>
      </c>
      <c r="W54" s="7">
        <v>32.9</v>
      </c>
      <c r="X54" t="str">
        <f>VLOOKUP(E54,'Transform table'!A:B,2,0)</f>
        <v>Philadelphia Union</v>
      </c>
      <c r="Y54" t="str">
        <f>VLOOKUP(F54,'Transform table'!A:B,2,0)</f>
        <v>New York Red Bulls</v>
      </c>
      <c r="Z54" t="str">
        <f t="shared" si="0"/>
        <v>22/07/2026Philadelphia UnionNew York Red Bulls</v>
      </c>
      <c r="AA54" t="str">
        <f>VLOOKUP($Z54,'oddspedia-matches'!$A:$AD,AA$2,0)</f>
        <v>3 - 1</v>
      </c>
      <c r="AB54" t="str">
        <f>VLOOKUP($Z54,'oddspedia-matches'!$A:$AD,AB$2,0)</f>
        <v>Green</v>
      </c>
      <c r="AC54" t="str">
        <f>VLOOKUP($Z54,'oddspedia-matches'!$A:$AD,AC$2,0)</f>
        <v>Red</v>
      </c>
      <c r="AD54" t="str">
        <f>VLOOKUP($Z54,'oddspedia-matches'!$A:$AD,AD$2,0)</f>
        <v>Red</v>
      </c>
      <c r="AE54" t="str">
        <f>VLOOKUP($Z54,'oddspedia-matches'!$A:$AD,AE$2,0)</f>
        <v>Green</v>
      </c>
      <c r="AF54" t="str">
        <f>VLOOKUP($Z54,'oddspedia-matches'!$A:$AD,AF$2,0)</f>
        <v>Red</v>
      </c>
      <c r="AG54" t="str">
        <f>VLOOKUP($Z54,'oddspedia-matches'!$A:$AD,AG$2,0)</f>
        <v>Green</v>
      </c>
      <c r="AH54" t="str">
        <f>VLOOKUP($Z54,'oddspedia-matches'!$A:$AD,AH$2,0)</f>
        <v>Red</v>
      </c>
      <c r="AI54" t="str">
        <f>VLOOKUP($Z54,'oddspedia-matches'!$A:$AD,AI$2,0)</f>
        <v>Green</v>
      </c>
      <c r="AJ54" t="str">
        <f>VLOOKUP($Z54,'oddspedia-matches'!$A:$AD,AJ$2,0)</f>
        <v>Red</v>
      </c>
      <c r="AK54" t="str">
        <f>VLOOKUP($Z54,'oddspedia-matches'!$A:$AD,AK$2,0)</f>
        <v>Green</v>
      </c>
      <c r="AL54" t="str">
        <f>VLOOKUP($Z54,'oddspedia-matches'!$A:$AD,AL$2,0)</f>
        <v>Green</v>
      </c>
      <c r="AM54" t="str">
        <f>VLOOKUP($Z54,'oddspedia-matches'!$A:$AD,AM$2,0)</f>
        <v>Green</v>
      </c>
      <c r="AN54" t="str">
        <f>VLOOKUP($Z54,'oddspedia-matches'!$A:$AD,AN$2,0)</f>
        <v>Red</v>
      </c>
      <c r="AO54" t="str">
        <f>VLOOKUP($Z54,'oddspedia-matches'!$A:$AD,AO$2,0)</f>
        <v>Red</v>
      </c>
      <c r="AP54" t="str">
        <f>VLOOKUP($Z54,'oddspedia-matches'!$A:$AD,AP$2,0)</f>
        <v>Green</v>
      </c>
      <c r="AQ54" t="str">
        <f>VLOOKUP($Z54,'oddspedia-matches'!$A:$AD,AQ$2,0)</f>
        <v>Red</v>
      </c>
    </row>
    <row r="55" spans="2:43" x14ac:dyDescent="0.2">
      <c r="B55" s="17" t="s">
        <v>452</v>
      </c>
      <c r="C55" s="8" t="s">
        <v>17</v>
      </c>
      <c r="D55" s="18">
        <v>0.875</v>
      </c>
      <c r="E55" s="8" t="s">
        <v>61</v>
      </c>
      <c r="F55" s="8" t="s">
        <v>62</v>
      </c>
      <c r="G55" s="19"/>
      <c r="H55" s="8">
        <v>22.9</v>
      </c>
      <c r="I55" s="8">
        <v>37.6</v>
      </c>
      <c r="J55" s="8">
        <v>39.5</v>
      </c>
      <c r="K55" s="8">
        <v>60.5</v>
      </c>
      <c r="L55" s="8">
        <v>77.099999999999994</v>
      </c>
      <c r="M55" s="8">
        <v>62.4</v>
      </c>
      <c r="N55" s="8">
        <v>17.7</v>
      </c>
      <c r="O55" s="8">
        <v>57.9</v>
      </c>
      <c r="P55" s="8">
        <v>24.4</v>
      </c>
      <c r="Q55" s="8">
        <v>48.7</v>
      </c>
      <c r="R55" s="8">
        <v>49.4</v>
      </c>
      <c r="S55" s="8">
        <v>22.2</v>
      </c>
      <c r="T55" s="8">
        <v>77.8</v>
      </c>
      <c r="U55" s="8">
        <v>81.7</v>
      </c>
      <c r="V55" s="8">
        <v>31</v>
      </c>
      <c r="W55" s="8">
        <v>69</v>
      </c>
      <c r="X55" t="str">
        <f>VLOOKUP(E55,'Transform table'!A:B,2,0)</f>
        <v>Manta FC</v>
      </c>
      <c r="Y55" t="str">
        <f>VLOOKUP(F55,'Transform table'!A:B,2,0)</f>
        <v>LDU Quito</v>
      </c>
      <c r="Z55" t="str">
        <f t="shared" si="0"/>
        <v>22/07/2026Manta FCLDU Quito</v>
      </c>
      <c r="AA55" t="str">
        <f>VLOOKUP($Z55,'oddspedia-matches'!$A:$AD,AA$2,0)</f>
        <v>1 - 1</v>
      </c>
      <c r="AB55" t="str">
        <f>VLOOKUP($Z55,'oddspedia-matches'!$A:$AD,AB$2,0)</f>
        <v>Red</v>
      </c>
      <c r="AC55" t="str">
        <f>VLOOKUP($Z55,'oddspedia-matches'!$A:$AD,AC$2,0)</f>
        <v>Green</v>
      </c>
      <c r="AD55" t="str">
        <f>VLOOKUP($Z55,'oddspedia-matches'!$A:$AD,AD$2,0)</f>
        <v>Red</v>
      </c>
      <c r="AE55" t="str">
        <f>VLOOKUP($Z55,'oddspedia-matches'!$A:$AD,AE$2,0)</f>
        <v>Green</v>
      </c>
      <c r="AF55" t="str">
        <f>VLOOKUP($Z55,'oddspedia-matches'!$A:$AD,AF$2,0)</f>
        <v>Green</v>
      </c>
      <c r="AG55" t="str">
        <f>VLOOKUP($Z55,'oddspedia-matches'!$A:$AD,AG$2,0)</f>
        <v>Red</v>
      </c>
      <c r="AH55" t="str">
        <f>VLOOKUP($Z55,'oddspedia-matches'!$A:$AD,AH$2,0)</f>
        <v>Red</v>
      </c>
      <c r="AI55" t="str">
        <f>VLOOKUP($Z55,'oddspedia-matches'!$A:$AD,AI$2,0)</f>
        <v>Red</v>
      </c>
      <c r="AJ55" t="str">
        <f>VLOOKUP($Z55,'oddspedia-matches'!$A:$AD,AJ$2,0)</f>
        <v>Green</v>
      </c>
      <c r="AK55" t="str">
        <f>VLOOKUP($Z55,'oddspedia-matches'!$A:$AD,AK$2,0)</f>
        <v>Green</v>
      </c>
      <c r="AL55" t="str">
        <f>VLOOKUP($Z55,'oddspedia-matches'!$A:$AD,AL$2,0)</f>
        <v>Green</v>
      </c>
      <c r="AM55" t="str">
        <f>VLOOKUP($Z55,'oddspedia-matches'!$A:$AD,AM$2,0)</f>
        <v>Red</v>
      </c>
      <c r="AN55" t="str">
        <f>VLOOKUP($Z55,'oddspedia-matches'!$A:$AD,AN$2,0)</f>
        <v>Green</v>
      </c>
      <c r="AO55" t="str">
        <f>VLOOKUP($Z55,'oddspedia-matches'!$A:$AD,AO$2,0)</f>
        <v>Green</v>
      </c>
      <c r="AP55" t="str">
        <f>VLOOKUP($Z55,'oddspedia-matches'!$A:$AD,AP$2,0)</f>
        <v>Green</v>
      </c>
      <c r="AQ55" t="str">
        <f>VLOOKUP($Z55,'oddspedia-matches'!$A:$AD,AQ$2,0)</f>
        <v>Red</v>
      </c>
    </row>
    <row r="56" spans="2:43" x14ac:dyDescent="0.2">
      <c r="B56" s="9" t="s">
        <v>468</v>
      </c>
      <c r="C56" s="7" t="s">
        <v>17</v>
      </c>
      <c r="D56" s="20">
        <v>0.88541666666666663</v>
      </c>
      <c r="E56" s="7" t="s">
        <v>63</v>
      </c>
      <c r="F56" s="7" t="s">
        <v>64</v>
      </c>
      <c r="G56" s="21"/>
      <c r="H56" s="7">
        <v>51.3</v>
      </c>
      <c r="I56" s="7">
        <v>26.4</v>
      </c>
      <c r="J56" s="7">
        <v>22.4</v>
      </c>
      <c r="K56" s="7">
        <v>77.599999999999994</v>
      </c>
      <c r="L56" s="7">
        <v>48.7</v>
      </c>
      <c r="M56" s="7">
        <v>73.599999999999994</v>
      </c>
      <c r="N56" s="7">
        <v>31.4</v>
      </c>
      <c r="O56" s="7">
        <v>45.9</v>
      </c>
      <c r="P56" s="7">
        <v>22.7</v>
      </c>
      <c r="Q56" s="7">
        <v>65.7</v>
      </c>
      <c r="R56" s="7">
        <v>78.400000000000006</v>
      </c>
      <c r="S56" s="7">
        <v>53.6</v>
      </c>
      <c r="T56" s="7">
        <v>46.4</v>
      </c>
      <c r="U56" s="7">
        <v>53</v>
      </c>
      <c r="V56" s="7">
        <v>55.8</v>
      </c>
      <c r="W56" s="7">
        <v>44.2</v>
      </c>
      <c r="X56" t="str">
        <f>VLOOKUP(E56,'Transform table'!A:B,2,0)</f>
        <v>Charlotte FC</v>
      </c>
      <c r="Y56" t="str">
        <f>VLOOKUP(F56,'Transform table'!A:B,2,0)</f>
        <v>Atlanta United</v>
      </c>
      <c r="Z56" t="str">
        <f t="shared" si="0"/>
        <v>22/07/2026Charlotte FCAtlanta United</v>
      </c>
      <c r="AA56" t="str">
        <f>VLOOKUP($Z56,'oddspedia-matches'!$A:$AD,AA$2,0)</f>
        <v>2 - 2</v>
      </c>
      <c r="AB56" t="str">
        <f>VLOOKUP($Z56,'oddspedia-matches'!$A:$AD,AB$2,0)</f>
        <v>Red</v>
      </c>
      <c r="AC56" t="str">
        <f>VLOOKUP($Z56,'oddspedia-matches'!$A:$AD,AC$2,0)</f>
        <v>Green</v>
      </c>
      <c r="AD56" t="str">
        <f>VLOOKUP($Z56,'oddspedia-matches'!$A:$AD,AD$2,0)</f>
        <v>Red</v>
      </c>
      <c r="AE56" t="str">
        <f>VLOOKUP($Z56,'oddspedia-matches'!$A:$AD,AE$2,0)</f>
        <v>Green</v>
      </c>
      <c r="AF56" t="str">
        <f>VLOOKUP($Z56,'oddspedia-matches'!$A:$AD,AF$2,0)</f>
        <v>Green</v>
      </c>
      <c r="AG56" t="str">
        <f>VLOOKUP($Z56,'oddspedia-matches'!$A:$AD,AG$2,0)</f>
        <v>Red</v>
      </c>
      <c r="AH56" t="str">
        <f>VLOOKUP($Z56,'oddspedia-matches'!$A:$AD,AH$2,0)</f>
        <v>Green</v>
      </c>
      <c r="AI56" t="str">
        <f>VLOOKUP($Z56,'oddspedia-matches'!$A:$AD,AI$2,0)</f>
        <v>Red</v>
      </c>
      <c r="AJ56" t="str">
        <f>VLOOKUP($Z56,'oddspedia-matches'!$A:$AD,AJ$2,0)</f>
        <v>Red</v>
      </c>
      <c r="AK56" t="str">
        <f>VLOOKUP($Z56,'oddspedia-matches'!$A:$AD,AK$2,0)</f>
        <v>Green</v>
      </c>
      <c r="AL56" t="str">
        <f>VLOOKUP($Z56,'oddspedia-matches'!$A:$AD,AL$2,0)</f>
        <v>Green</v>
      </c>
      <c r="AM56" t="str">
        <f>VLOOKUP($Z56,'oddspedia-matches'!$A:$AD,AM$2,0)</f>
        <v>Green</v>
      </c>
      <c r="AN56" t="str">
        <f>VLOOKUP($Z56,'oddspedia-matches'!$A:$AD,AN$2,0)</f>
        <v>Red</v>
      </c>
      <c r="AO56" t="str">
        <f>VLOOKUP($Z56,'oddspedia-matches'!$A:$AD,AO$2,0)</f>
        <v>Red</v>
      </c>
      <c r="AP56" t="str">
        <f>VLOOKUP($Z56,'oddspedia-matches'!$A:$AD,AP$2,0)</f>
        <v>Green</v>
      </c>
      <c r="AQ56" t="str">
        <f>VLOOKUP($Z56,'oddspedia-matches'!$A:$AD,AQ$2,0)</f>
        <v>Red</v>
      </c>
    </row>
    <row r="57" spans="2:43" x14ac:dyDescent="0.2">
      <c r="B57" s="17" t="s">
        <v>454</v>
      </c>
      <c r="C57" s="8" t="s">
        <v>17</v>
      </c>
      <c r="D57" s="18">
        <v>0.89583333333333337</v>
      </c>
      <c r="E57" s="8" t="s">
        <v>65</v>
      </c>
      <c r="F57" s="8" t="s">
        <v>66</v>
      </c>
      <c r="G57" s="19"/>
      <c r="H57" s="8">
        <v>22.2</v>
      </c>
      <c r="I57" s="8">
        <v>28.1</v>
      </c>
      <c r="J57" s="8">
        <v>49.7</v>
      </c>
      <c r="K57" s="8">
        <v>50.3</v>
      </c>
      <c r="L57" s="8">
        <v>77.8</v>
      </c>
      <c r="M57" s="8">
        <v>71.900000000000006</v>
      </c>
      <c r="N57" s="8">
        <v>15.1</v>
      </c>
      <c r="O57" s="8">
        <v>45</v>
      </c>
      <c r="P57" s="8">
        <v>39.9</v>
      </c>
      <c r="Q57" s="8">
        <v>65.400000000000006</v>
      </c>
      <c r="R57" s="8">
        <v>76.599999999999994</v>
      </c>
      <c r="S57" s="8">
        <v>51.1</v>
      </c>
      <c r="T57" s="8">
        <v>48.9</v>
      </c>
      <c r="U57" s="8">
        <v>55.4</v>
      </c>
      <c r="V57" s="8">
        <v>54</v>
      </c>
      <c r="W57" s="8">
        <v>46</v>
      </c>
      <c r="X57" t="str">
        <f>VLOOKUP(E57,'Transform table'!A:B,2,0)</f>
        <v>Chapecoense</v>
      </c>
      <c r="Y57" t="str">
        <f>VLOOKUP(F57,'Transform table'!A:B,2,0)</f>
        <v>Flamengo RJ</v>
      </c>
      <c r="Z57" t="str">
        <f t="shared" si="0"/>
        <v>22/07/2026ChapecoenseFlamengo RJ</v>
      </c>
      <c r="AA57" t="str">
        <f>VLOOKUP($Z57,'oddspedia-matches'!$A:$AD,AA$2,0)</f>
        <v>0 - 4</v>
      </c>
      <c r="AB57" t="str">
        <f>VLOOKUP($Z57,'oddspedia-matches'!$A:$AD,AB$2,0)</f>
        <v>Red</v>
      </c>
      <c r="AC57" t="str">
        <f>VLOOKUP($Z57,'oddspedia-matches'!$A:$AD,AC$2,0)</f>
        <v>Red</v>
      </c>
      <c r="AD57" t="str">
        <f>VLOOKUP($Z57,'oddspedia-matches'!$A:$AD,AD$2,0)</f>
        <v>Green</v>
      </c>
      <c r="AE57" t="str">
        <f>VLOOKUP($Z57,'oddspedia-matches'!$A:$AD,AE$2,0)</f>
        <v>Red</v>
      </c>
      <c r="AF57" t="str">
        <f>VLOOKUP($Z57,'oddspedia-matches'!$A:$AD,AF$2,0)</f>
        <v>Green</v>
      </c>
      <c r="AG57" t="str">
        <f>VLOOKUP($Z57,'oddspedia-matches'!$A:$AD,AG$2,0)</f>
        <v>Green</v>
      </c>
      <c r="AH57" t="str">
        <f>VLOOKUP($Z57,'oddspedia-matches'!$A:$AD,AH$2,0)</f>
        <v>Red</v>
      </c>
      <c r="AI57" t="str">
        <f>VLOOKUP($Z57,'oddspedia-matches'!$A:$AD,AI$2,0)</f>
        <v>Red</v>
      </c>
      <c r="AJ57" t="str">
        <f>VLOOKUP($Z57,'oddspedia-matches'!$A:$AD,AJ$2,0)</f>
        <v>Green</v>
      </c>
      <c r="AK57" t="str">
        <f>VLOOKUP($Z57,'oddspedia-matches'!$A:$AD,AK$2,0)</f>
        <v>Green</v>
      </c>
      <c r="AL57" t="str">
        <f>VLOOKUP($Z57,'oddspedia-matches'!$A:$AD,AL$2,0)</f>
        <v>Green</v>
      </c>
      <c r="AM57" t="str">
        <f>VLOOKUP($Z57,'oddspedia-matches'!$A:$AD,AM$2,0)</f>
        <v>Green</v>
      </c>
      <c r="AN57" t="str">
        <f>VLOOKUP($Z57,'oddspedia-matches'!$A:$AD,AN$2,0)</f>
        <v>Red</v>
      </c>
      <c r="AO57" t="str">
        <f>VLOOKUP($Z57,'oddspedia-matches'!$A:$AD,AO$2,0)</f>
        <v>Red</v>
      </c>
      <c r="AP57" t="str">
        <f>VLOOKUP($Z57,'oddspedia-matches'!$A:$AD,AP$2,0)</f>
        <v>Red</v>
      </c>
      <c r="AQ57" t="str">
        <f>VLOOKUP($Z57,'oddspedia-matches'!$A:$AD,AQ$2,0)</f>
        <v>Green</v>
      </c>
    </row>
    <row r="58" spans="2:43" x14ac:dyDescent="0.2">
      <c r="B58" s="9" t="s">
        <v>454</v>
      </c>
      <c r="C58" s="7" t="s">
        <v>17</v>
      </c>
      <c r="D58" s="20">
        <v>0.89583333333333337</v>
      </c>
      <c r="E58" s="7" t="s">
        <v>67</v>
      </c>
      <c r="F58" s="7" t="s">
        <v>68</v>
      </c>
      <c r="G58" s="21"/>
      <c r="H58" s="7">
        <v>46.5</v>
      </c>
      <c r="I58" s="7">
        <v>28</v>
      </c>
      <c r="J58" s="7">
        <v>25.6</v>
      </c>
      <c r="K58" s="7">
        <v>74.400000000000006</v>
      </c>
      <c r="L58" s="7">
        <v>53.5</v>
      </c>
      <c r="M58" s="7">
        <v>72</v>
      </c>
      <c r="N58" s="7">
        <v>31.3</v>
      </c>
      <c r="O58" s="7">
        <v>43.9</v>
      </c>
      <c r="P58" s="7">
        <v>24.8</v>
      </c>
      <c r="Q58" s="7">
        <v>69</v>
      </c>
      <c r="R58" s="7">
        <v>75.2</v>
      </c>
      <c r="S58" s="7">
        <v>49.2</v>
      </c>
      <c r="T58" s="7">
        <v>50.8</v>
      </c>
      <c r="U58" s="7">
        <v>56.8</v>
      </c>
      <c r="V58" s="7">
        <v>53.6</v>
      </c>
      <c r="W58" s="7">
        <v>46.4</v>
      </c>
      <c r="X58" t="str">
        <f>VLOOKUP(E58,'Transform table'!A:B,2,0)</f>
        <v>Internacional</v>
      </c>
      <c r="Y58" t="str">
        <f>VLOOKUP(F58,'Transform table'!A:B,2,0)</f>
        <v>Cruzeiro</v>
      </c>
      <c r="Z58" t="str">
        <f t="shared" si="0"/>
        <v>22/07/2026InternacionalCruzeiro</v>
      </c>
      <c r="AA58" t="str">
        <f>VLOOKUP($Z58,'oddspedia-matches'!$A:$AD,AA$2,0)</f>
        <v>1 - 2</v>
      </c>
      <c r="AB58" t="str">
        <f>VLOOKUP($Z58,'oddspedia-matches'!$A:$AD,AB$2,0)</f>
        <v>Red</v>
      </c>
      <c r="AC58" t="str">
        <f>VLOOKUP($Z58,'oddspedia-matches'!$A:$AD,AC$2,0)</f>
        <v>Red</v>
      </c>
      <c r="AD58" t="str">
        <f>VLOOKUP($Z58,'oddspedia-matches'!$A:$AD,AD$2,0)</f>
        <v>Green</v>
      </c>
      <c r="AE58" t="str">
        <f>VLOOKUP($Z58,'oddspedia-matches'!$A:$AD,AE$2,0)</f>
        <v>Red</v>
      </c>
      <c r="AF58" t="str">
        <f>VLOOKUP($Z58,'oddspedia-matches'!$A:$AD,AF$2,0)</f>
        <v>Green</v>
      </c>
      <c r="AG58" t="str">
        <f>VLOOKUP($Z58,'oddspedia-matches'!$A:$AD,AG$2,0)</f>
        <v>Green</v>
      </c>
      <c r="AH58" t="str">
        <f>VLOOKUP($Z58,'oddspedia-matches'!$A:$AD,AH$2,0)</f>
        <v>Red</v>
      </c>
      <c r="AI58" t="str">
        <f>VLOOKUP($Z58,'oddspedia-matches'!$A:$AD,AI$2,0)</f>
        <v>Red</v>
      </c>
      <c r="AJ58" t="str">
        <f>VLOOKUP($Z58,'oddspedia-matches'!$A:$AD,AJ$2,0)</f>
        <v>Green</v>
      </c>
      <c r="AK58" t="str">
        <f>VLOOKUP($Z58,'oddspedia-matches'!$A:$AD,AK$2,0)</f>
        <v>Green</v>
      </c>
      <c r="AL58" t="str">
        <f>VLOOKUP($Z58,'oddspedia-matches'!$A:$AD,AL$2,0)</f>
        <v>Green</v>
      </c>
      <c r="AM58" t="str">
        <f>VLOOKUP($Z58,'oddspedia-matches'!$A:$AD,AM$2,0)</f>
        <v>Green</v>
      </c>
      <c r="AN58" t="str">
        <f>VLOOKUP($Z58,'oddspedia-matches'!$A:$AD,AN$2,0)</f>
        <v>Red</v>
      </c>
      <c r="AO58" t="str">
        <f>VLOOKUP($Z58,'oddspedia-matches'!$A:$AD,AO$2,0)</f>
        <v>Green</v>
      </c>
      <c r="AP58" t="str">
        <f>VLOOKUP($Z58,'oddspedia-matches'!$A:$AD,AP$2,0)</f>
        <v>Green</v>
      </c>
      <c r="AQ58" t="str">
        <f>VLOOKUP($Z58,'oddspedia-matches'!$A:$AD,AQ$2,0)</f>
        <v>Red</v>
      </c>
    </row>
    <row r="59" spans="2:43" x14ac:dyDescent="0.2">
      <c r="B59" s="17" t="s">
        <v>454</v>
      </c>
      <c r="C59" s="8" t="s">
        <v>17</v>
      </c>
      <c r="D59" s="18">
        <v>0.89583333333333337</v>
      </c>
      <c r="E59" s="8" t="s">
        <v>69</v>
      </c>
      <c r="F59" s="8" t="s">
        <v>70</v>
      </c>
      <c r="G59" s="19"/>
      <c r="H59" s="8">
        <v>41.8</v>
      </c>
      <c r="I59" s="8">
        <v>30.5</v>
      </c>
      <c r="J59" s="8">
        <v>27.7</v>
      </c>
      <c r="K59" s="8">
        <v>72.3</v>
      </c>
      <c r="L59" s="8">
        <v>58.2</v>
      </c>
      <c r="M59" s="8">
        <v>69.5</v>
      </c>
      <c r="N59" s="8">
        <v>33.700000000000003</v>
      </c>
      <c r="O59" s="8">
        <v>46.5</v>
      </c>
      <c r="P59" s="8">
        <v>19.7</v>
      </c>
      <c r="Q59" s="8">
        <v>64.2</v>
      </c>
      <c r="R59" s="8">
        <v>68.3</v>
      </c>
      <c r="S59" s="8">
        <v>40.5</v>
      </c>
      <c r="T59" s="8">
        <v>59.5</v>
      </c>
      <c r="U59" s="8">
        <v>64.8</v>
      </c>
      <c r="V59" s="8">
        <v>47.5</v>
      </c>
      <c r="W59" s="8">
        <v>52.5</v>
      </c>
      <c r="X59" t="str">
        <f>VLOOKUP(E59,'Transform table'!A:B,2,0)</f>
        <v>Sao Paulo</v>
      </c>
      <c r="Y59" t="str">
        <f>VLOOKUP(F59,'Transform table'!A:B,2,0)</f>
        <v>Athletico Paranaense</v>
      </c>
      <c r="Z59" t="str">
        <f t="shared" si="0"/>
        <v>22/07/2026Sao PauloAthletico Paranaense</v>
      </c>
      <c r="AA59" t="str">
        <f>VLOOKUP($Z59,'oddspedia-matches'!$A:$AD,AA$2,0)</f>
        <v>1 - 2</v>
      </c>
      <c r="AB59" t="str">
        <f>VLOOKUP($Z59,'oddspedia-matches'!$A:$AD,AB$2,0)</f>
        <v>Red</v>
      </c>
      <c r="AC59" t="str">
        <f>VLOOKUP($Z59,'oddspedia-matches'!$A:$AD,AC$2,0)</f>
        <v>Red</v>
      </c>
      <c r="AD59" t="str">
        <f>VLOOKUP($Z59,'oddspedia-matches'!$A:$AD,AD$2,0)</f>
        <v>Green</v>
      </c>
      <c r="AE59" t="str">
        <f>VLOOKUP($Z59,'oddspedia-matches'!$A:$AD,AE$2,0)</f>
        <v>Red</v>
      </c>
      <c r="AF59" t="str">
        <f>VLOOKUP($Z59,'oddspedia-matches'!$A:$AD,AF$2,0)</f>
        <v>Green</v>
      </c>
      <c r="AG59" t="str">
        <f>VLOOKUP($Z59,'oddspedia-matches'!$A:$AD,AG$2,0)</f>
        <v>Green</v>
      </c>
      <c r="AH59" t="str">
        <f>VLOOKUP($Z59,'oddspedia-matches'!$A:$AD,AH$2,0)</f>
        <v>Green</v>
      </c>
      <c r="AI59" t="str">
        <f>VLOOKUP($Z59,'oddspedia-matches'!$A:$AD,AI$2,0)</f>
        <v>Red</v>
      </c>
      <c r="AJ59" t="str">
        <f>VLOOKUP($Z59,'oddspedia-matches'!$A:$AD,AJ$2,0)</f>
        <v>Red</v>
      </c>
      <c r="AK59" t="str">
        <f>VLOOKUP($Z59,'oddspedia-matches'!$A:$AD,AK$2,0)</f>
        <v>Green</v>
      </c>
      <c r="AL59" t="str">
        <f>VLOOKUP($Z59,'oddspedia-matches'!$A:$AD,AL$2,0)</f>
        <v>Green</v>
      </c>
      <c r="AM59" t="str">
        <f>VLOOKUP($Z59,'oddspedia-matches'!$A:$AD,AM$2,0)</f>
        <v>Green</v>
      </c>
      <c r="AN59" t="str">
        <f>VLOOKUP($Z59,'oddspedia-matches'!$A:$AD,AN$2,0)</f>
        <v>Red</v>
      </c>
      <c r="AO59" t="str">
        <f>VLOOKUP($Z59,'oddspedia-matches'!$A:$AD,AO$2,0)</f>
        <v>Green</v>
      </c>
      <c r="AP59" t="str">
        <f>VLOOKUP($Z59,'oddspedia-matches'!$A:$AD,AP$2,0)</f>
        <v>Green</v>
      </c>
      <c r="AQ59" t="str">
        <f>VLOOKUP($Z59,'oddspedia-matches'!$A:$AD,AQ$2,0)</f>
        <v>Red</v>
      </c>
    </row>
    <row r="60" spans="2:43" x14ac:dyDescent="0.2">
      <c r="B60" s="9" t="s">
        <v>455</v>
      </c>
      <c r="C60" s="7" t="s">
        <v>17</v>
      </c>
      <c r="D60" s="20">
        <v>0.89583333333333337</v>
      </c>
      <c r="E60" s="7" t="s">
        <v>71</v>
      </c>
      <c r="F60" s="7" t="s">
        <v>72</v>
      </c>
      <c r="G60" s="21"/>
      <c r="H60" s="7">
        <v>44</v>
      </c>
      <c r="I60" s="7">
        <v>28.5</v>
      </c>
      <c r="J60" s="7">
        <v>27.5</v>
      </c>
      <c r="K60" s="7">
        <v>72.5</v>
      </c>
      <c r="L60" s="7">
        <v>56</v>
      </c>
      <c r="M60" s="7">
        <v>71.5</v>
      </c>
      <c r="N60" s="7">
        <v>27.7</v>
      </c>
      <c r="O60" s="7">
        <v>48.1</v>
      </c>
      <c r="P60" s="7">
        <v>24.2</v>
      </c>
      <c r="Q60" s="7">
        <v>62.7</v>
      </c>
      <c r="R60" s="7">
        <v>74.599999999999994</v>
      </c>
      <c r="S60" s="7">
        <v>48.3</v>
      </c>
      <c r="T60" s="7">
        <v>51.7</v>
      </c>
      <c r="U60" s="7">
        <v>57.5</v>
      </c>
      <c r="V60" s="7">
        <v>53.5</v>
      </c>
      <c r="W60" s="7">
        <v>46.5</v>
      </c>
      <c r="X60" t="str">
        <f>VLOOKUP(E60,'Transform table'!A:B,2,0)</f>
        <v>Nautico</v>
      </c>
      <c r="Y60" t="str">
        <f>VLOOKUP(F60,'Transform table'!A:B,2,0)</f>
        <v>Londrina EC</v>
      </c>
      <c r="Z60" t="str">
        <f t="shared" si="0"/>
        <v>22/07/2026NauticoLondrina EC</v>
      </c>
      <c r="AA60" t="str">
        <f>VLOOKUP($Z60,'oddspedia-matches'!$A:$AD,AA$2,0)</f>
        <v>2 - 1</v>
      </c>
      <c r="AB60" t="str">
        <f>VLOOKUP($Z60,'oddspedia-matches'!$A:$AD,AB$2,0)</f>
        <v>Green</v>
      </c>
      <c r="AC60" t="str">
        <f>VLOOKUP($Z60,'oddspedia-matches'!$A:$AD,AC$2,0)</f>
        <v>Red</v>
      </c>
      <c r="AD60" t="str">
        <f>VLOOKUP($Z60,'oddspedia-matches'!$A:$AD,AD$2,0)</f>
        <v>Red</v>
      </c>
      <c r="AE60" t="str">
        <f>VLOOKUP($Z60,'oddspedia-matches'!$A:$AD,AE$2,0)</f>
        <v>Green</v>
      </c>
      <c r="AF60" t="str">
        <f>VLOOKUP($Z60,'oddspedia-matches'!$A:$AD,AF$2,0)</f>
        <v>Red</v>
      </c>
      <c r="AG60" t="str">
        <f>VLOOKUP($Z60,'oddspedia-matches'!$A:$AD,AG$2,0)</f>
        <v>Green</v>
      </c>
      <c r="AH60" t="str">
        <f>VLOOKUP($Z60,'oddspedia-matches'!$A:$AD,AH$2,0)</f>
        <v>Green</v>
      </c>
      <c r="AI60" t="str">
        <f>VLOOKUP($Z60,'oddspedia-matches'!$A:$AD,AI$2,0)</f>
        <v>Red</v>
      </c>
      <c r="AJ60" t="str">
        <f>VLOOKUP($Z60,'oddspedia-matches'!$A:$AD,AJ$2,0)</f>
        <v>Red</v>
      </c>
      <c r="AK60" t="str">
        <f>VLOOKUP($Z60,'oddspedia-matches'!$A:$AD,AK$2,0)</f>
        <v>Green</v>
      </c>
      <c r="AL60" t="str">
        <f>VLOOKUP($Z60,'oddspedia-matches'!$A:$AD,AL$2,0)</f>
        <v>Green</v>
      </c>
      <c r="AM60" t="str">
        <f>VLOOKUP($Z60,'oddspedia-matches'!$A:$AD,AM$2,0)</f>
        <v>Green</v>
      </c>
      <c r="AN60" t="str">
        <f>VLOOKUP($Z60,'oddspedia-matches'!$A:$AD,AN$2,0)</f>
        <v>Red</v>
      </c>
      <c r="AO60" t="str">
        <f>VLOOKUP($Z60,'oddspedia-matches'!$A:$AD,AO$2,0)</f>
        <v>Green</v>
      </c>
      <c r="AP60" t="str">
        <f>VLOOKUP($Z60,'oddspedia-matches'!$A:$AD,AP$2,0)</f>
        <v>Green</v>
      </c>
      <c r="AQ60" t="str">
        <f>VLOOKUP($Z60,'oddspedia-matches'!$A:$AD,AQ$2,0)</f>
        <v>Red</v>
      </c>
    </row>
    <row r="61" spans="2:43" x14ac:dyDescent="0.2">
      <c r="B61" s="17" t="s">
        <v>468</v>
      </c>
      <c r="C61" s="8" t="s">
        <v>17</v>
      </c>
      <c r="D61" s="18">
        <v>0.89583333333333337</v>
      </c>
      <c r="E61" s="8" t="s">
        <v>73</v>
      </c>
      <c r="F61" s="8" t="s">
        <v>74</v>
      </c>
      <c r="G61" s="19"/>
      <c r="H61" s="8">
        <v>37.5</v>
      </c>
      <c r="I61" s="8">
        <v>28.3</v>
      </c>
      <c r="J61" s="8">
        <v>34.200000000000003</v>
      </c>
      <c r="K61" s="8">
        <v>65.8</v>
      </c>
      <c r="L61" s="8">
        <v>62.5</v>
      </c>
      <c r="M61" s="8">
        <v>71.7</v>
      </c>
      <c r="N61" s="8">
        <v>35.200000000000003</v>
      </c>
      <c r="O61" s="8">
        <v>44.3</v>
      </c>
      <c r="P61" s="8">
        <v>20.5</v>
      </c>
      <c r="Q61" s="8">
        <v>67.5</v>
      </c>
      <c r="R61" s="8">
        <v>77.7</v>
      </c>
      <c r="S61" s="8">
        <v>52.5</v>
      </c>
      <c r="T61" s="8">
        <v>47.5</v>
      </c>
      <c r="U61" s="8">
        <v>53.1</v>
      </c>
      <c r="V61" s="8">
        <v>57.7</v>
      </c>
      <c r="W61" s="8">
        <v>42.3</v>
      </c>
      <c r="X61" t="str">
        <f>VLOOKUP(E61,'Transform table'!A:B,2,0)</f>
        <v>Austin FC</v>
      </c>
      <c r="Y61" t="str">
        <f>VLOOKUP(F61,'Transform table'!A:B,2,0)</f>
        <v>Seattle Sounders FC</v>
      </c>
      <c r="Z61" t="str">
        <f t="shared" si="0"/>
        <v>22/07/2026Austin FCSeattle Sounders FC</v>
      </c>
      <c r="AA61" t="str">
        <f>VLOOKUP($Z61,'oddspedia-matches'!$A:$AD,AA$2,0)</f>
        <v>3 - 1</v>
      </c>
      <c r="AB61" t="str">
        <f>VLOOKUP($Z61,'oddspedia-matches'!$A:$AD,AB$2,0)</f>
        <v>Green</v>
      </c>
      <c r="AC61" t="str">
        <f>VLOOKUP($Z61,'oddspedia-matches'!$A:$AD,AC$2,0)</f>
        <v>Red</v>
      </c>
      <c r="AD61" t="str">
        <f>VLOOKUP($Z61,'oddspedia-matches'!$A:$AD,AD$2,0)</f>
        <v>Red</v>
      </c>
      <c r="AE61" t="str">
        <f>VLOOKUP($Z61,'oddspedia-matches'!$A:$AD,AE$2,0)</f>
        <v>Green</v>
      </c>
      <c r="AF61" t="str">
        <f>VLOOKUP($Z61,'oddspedia-matches'!$A:$AD,AF$2,0)</f>
        <v>Red</v>
      </c>
      <c r="AG61" t="str">
        <f>VLOOKUP($Z61,'oddspedia-matches'!$A:$AD,AG$2,0)</f>
        <v>Green</v>
      </c>
      <c r="AH61" t="str">
        <f>VLOOKUP($Z61,'oddspedia-matches'!$A:$AD,AH$2,0)</f>
        <v>Red</v>
      </c>
      <c r="AI61" t="str">
        <f>VLOOKUP($Z61,'oddspedia-matches'!$A:$AD,AI$2,0)</f>
        <v>Green</v>
      </c>
      <c r="AJ61" t="str">
        <f>VLOOKUP($Z61,'oddspedia-matches'!$A:$AD,AJ$2,0)</f>
        <v>Red</v>
      </c>
      <c r="AK61" t="str">
        <f>VLOOKUP($Z61,'oddspedia-matches'!$A:$AD,AK$2,0)</f>
        <v>Green</v>
      </c>
      <c r="AL61" t="str">
        <f>VLOOKUP($Z61,'oddspedia-matches'!$A:$AD,AL$2,0)</f>
        <v>Green</v>
      </c>
      <c r="AM61" t="str">
        <f>VLOOKUP($Z61,'oddspedia-matches'!$A:$AD,AM$2,0)</f>
        <v>Green</v>
      </c>
      <c r="AN61" t="str">
        <f>VLOOKUP($Z61,'oddspedia-matches'!$A:$AD,AN$2,0)</f>
        <v>Red</v>
      </c>
      <c r="AO61" t="str">
        <f>VLOOKUP($Z61,'oddspedia-matches'!$A:$AD,AO$2,0)</f>
        <v>Red</v>
      </c>
      <c r="AP61" t="str">
        <f>VLOOKUP($Z61,'oddspedia-matches'!$A:$AD,AP$2,0)</f>
        <v>Green</v>
      </c>
      <c r="AQ61" t="str">
        <f>VLOOKUP($Z61,'oddspedia-matches'!$A:$AD,AQ$2,0)</f>
        <v>Red</v>
      </c>
    </row>
    <row r="62" spans="2:43" x14ac:dyDescent="0.2">
      <c r="B62" s="9" t="s">
        <v>468</v>
      </c>
      <c r="C62" s="7" t="s">
        <v>17</v>
      </c>
      <c r="D62" s="20">
        <v>0.89583333333333337</v>
      </c>
      <c r="E62" s="7" t="s">
        <v>75</v>
      </c>
      <c r="F62" s="7" t="s">
        <v>76</v>
      </c>
      <c r="G62" s="21"/>
      <c r="H62" s="7">
        <v>47.6</v>
      </c>
      <c r="I62" s="7">
        <v>26</v>
      </c>
      <c r="J62" s="7">
        <v>26.4</v>
      </c>
      <c r="K62" s="7">
        <v>73.599999999999994</v>
      </c>
      <c r="L62" s="7">
        <v>52.4</v>
      </c>
      <c r="M62" s="7">
        <v>74</v>
      </c>
      <c r="N62" s="7">
        <v>30.7</v>
      </c>
      <c r="O62" s="7">
        <v>44.1</v>
      </c>
      <c r="P62" s="7">
        <v>25.3</v>
      </c>
      <c r="Q62" s="7">
        <v>68.8</v>
      </c>
      <c r="R62" s="7">
        <v>82.8</v>
      </c>
      <c r="S62" s="7">
        <v>60.2</v>
      </c>
      <c r="T62" s="7">
        <v>39.799999999999997</v>
      </c>
      <c r="U62" s="7">
        <v>45.8</v>
      </c>
      <c r="V62" s="7">
        <v>62.3</v>
      </c>
      <c r="W62" s="7">
        <v>37.700000000000003</v>
      </c>
      <c r="X62" t="str">
        <f>VLOOKUP(E62,'Transform table'!A:B,2,0)</f>
        <v>Houston Dynamo</v>
      </c>
      <c r="Y62" t="str">
        <f>VLOOKUP(F62,'Transform table'!A:B,2,0)</f>
        <v>DC United</v>
      </c>
      <c r="Z62" t="str">
        <f t="shared" si="0"/>
        <v>22/07/2026Houston DynamoDC United</v>
      </c>
      <c r="AA62" t="str">
        <f>VLOOKUP($Z62,'oddspedia-matches'!$A:$AD,AA$2,0)</f>
        <v>1 - 1</v>
      </c>
      <c r="AB62" t="str">
        <f>VLOOKUP($Z62,'oddspedia-matches'!$A:$AD,AB$2,0)</f>
        <v>Red</v>
      </c>
      <c r="AC62" t="str">
        <f>VLOOKUP($Z62,'oddspedia-matches'!$A:$AD,AC$2,0)</f>
        <v>Green</v>
      </c>
      <c r="AD62" t="str">
        <f>VLOOKUP($Z62,'oddspedia-matches'!$A:$AD,AD$2,0)</f>
        <v>Red</v>
      </c>
      <c r="AE62" t="str">
        <f>VLOOKUP($Z62,'oddspedia-matches'!$A:$AD,AE$2,0)</f>
        <v>Green</v>
      </c>
      <c r="AF62" t="str">
        <f>VLOOKUP($Z62,'oddspedia-matches'!$A:$AD,AF$2,0)</f>
        <v>Green</v>
      </c>
      <c r="AG62" t="str">
        <f>VLOOKUP($Z62,'oddspedia-matches'!$A:$AD,AG$2,0)</f>
        <v>Red</v>
      </c>
      <c r="AH62" t="str">
        <f>VLOOKUP($Z62,'oddspedia-matches'!$A:$AD,AH$2,0)</f>
        <v>Green</v>
      </c>
      <c r="AI62" t="str">
        <f>VLOOKUP($Z62,'oddspedia-matches'!$A:$AD,AI$2,0)</f>
        <v>Red</v>
      </c>
      <c r="AJ62" t="str">
        <f>VLOOKUP($Z62,'oddspedia-matches'!$A:$AD,AJ$2,0)</f>
        <v>Red</v>
      </c>
      <c r="AK62" t="str">
        <f>VLOOKUP($Z62,'oddspedia-matches'!$A:$AD,AK$2,0)</f>
        <v>Green</v>
      </c>
      <c r="AL62" t="str">
        <f>VLOOKUP($Z62,'oddspedia-matches'!$A:$AD,AL$2,0)</f>
        <v>Green</v>
      </c>
      <c r="AM62" t="str">
        <f>VLOOKUP($Z62,'oddspedia-matches'!$A:$AD,AM$2,0)</f>
        <v>Red</v>
      </c>
      <c r="AN62" t="str">
        <f>VLOOKUP($Z62,'oddspedia-matches'!$A:$AD,AN$2,0)</f>
        <v>Green</v>
      </c>
      <c r="AO62" t="str">
        <f>VLOOKUP($Z62,'oddspedia-matches'!$A:$AD,AO$2,0)</f>
        <v>Green</v>
      </c>
      <c r="AP62" t="str">
        <f>VLOOKUP($Z62,'oddspedia-matches'!$A:$AD,AP$2,0)</f>
        <v>Green</v>
      </c>
      <c r="AQ62" t="str">
        <f>VLOOKUP($Z62,'oddspedia-matches'!$A:$AD,AQ$2,0)</f>
        <v>Red</v>
      </c>
    </row>
    <row r="63" spans="2:43" x14ac:dyDescent="0.2">
      <c r="B63" s="17" t="s">
        <v>468</v>
      </c>
      <c r="C63" s="8" t="s">
        <v>17</v>
      </c>
      <c r="D63" s="18">
        <v>0.89583333333333337</v>
      </c>
      <c r="E63" s="8" t="s">
        <v>77</v>
      </c>
      <c r="F63" s="8" t="s">
        <v>78</v>
      </c>
      <c r="G63" s="19"/>
      <c r="H63" s="8">
        <v>61.5</v>
      </c>
      <c r="I63" s="8">
        <v>23.2</v>
      </c>
      <c r="J63" s="8">
        <v>15.3</v>
      </c>
      <c r="K63" s="8">
        <v>84.7</v>
      </c>
      <c r="L63" s="8">
        <v>38.5</v>
      </c>
      <c r="M63" s="8">
        <v>76.8</v>
      </c>
      <c r="N63" s="8">
        <v>41.4</v>
      </c>
      <c r="O63" s="8">
        <v>37.1</v>
      </c>
      <c r="P63" s="8">
        <v>21.5</v>
      </c>
      <c r="Q63" s="8">
        <v>78.099999999999994</v>
      </c>
      <c r="R63" s="8">
        <v>83.5</v>
      </c>
      <c r="S63" s="8">
        <v>61.6</v>
      </c>
      <c r="T63" s="8">
        <v>38.4</v>
      </c>
      <c r="U63" s="8">
        <v>46.4</v>
      </c>
      <c r="V63" s="8">
        <v>57.5</v>
      </c>
      <c r="W63" s="8">
        <v>42.5</v>
      </c>
      <c r="X63" t="str">
        <f>VLOOKUP(E63,'Transform table'!A:B,2,0)</f>
        <v>Nashville FC</v>
      </c>
      <c r="Y63" t="str">
        <f>VLOOKUP(F63,'Transform table'!A:B,2,0)</f>
        <v>Montreal Impact</v>
      </c>
      <c r="Z63" t="str">
        <f t="shared" si="0"/>
        <v>22/07/2026Nashville FCMontreal Impact</v>
      </c>
      <c r="AA63" t="str">
        <f>VLOOKUP($Z63,'oddspedia-matches'!$A:$AD,AA$2,0)</f>
        <v>1 - 0</v>
      </c>
      <c r="AB63" t="str">
        <f>VLOOKUP($Z63,'oddspedia-matches'!$A:$AD,AB$2,0)</f>
        <v>Green</v>
      </c>
      <c r="AC63" t="str">
        <f>VLOOKUP($Z63,'oddspedia-matches'!$A:$AD,AC$2,0)</f>
        <v>Red</v>
      </c>
      <c r="AD63" t="str">
        <f>VLOOKUP($Z63,'oddspedia-matches'!$A:$AD,AD$2,0)</f>
        <v>Red</v>
      </c>
      <c r="AE63" t="str">
        <f>VLOOKUP($Z63,'oddspedia-matches'!$A:$AD,AE$2,0)</f>
        <v>Green</v>
      </c>
      <c r="AF63" t="str">
        <f>VLOOKUP($Z63,'oddspedia-matches'!$A:$AD,AF$2,0)</f>
        <v>Red</v>
      </c>
      <c r="AG63" t="str">
        <f>VLOOKUP($Z63,'oddspedia-matches'!$A:$AD,AG$2,0)</f>
        <v>Green</v>
      </c>
      <c r="AH63" t="str">
        <f>VLOOKUP($Z63,'oddspedia-matches'!$A:$AD,AH$2,0)</f>
        <v>Red</v>
      </c>
      <c r="AI63" t="str">
        <f>VLOOKUP($Z63,'oddspedia-matches'!$A:$AD,AI$2,0)</f>
        <v>Green</v>
      </c>
      <c r="AJ63" t="str">
        <f>VLOOKUP($Z63,'oddspedia-matches'!$A:$AD,AJ$2,0)</f>
        <v>Red</v>
      </c>
      <c r="AK63" t="str">
        <f>VLOOKUP($Z63,'oddspedia-matches'!$A:$AD,AK$2,0)</f>
        <v>Red</v>
      </c>
      <c r="AL63" t="str">
        <f>VLOOKUP($Z63,'oddspedia-matches'!$A:$AD,AL$2,0)</f>
        <v>Red</v>
      </c>
      <c r="AM63" t="str">
        <f>VLOOKUP($Z63,'oddspedia-matches'!$A:$AD,AM$2,0)</f>
        <v>Red</v>
      </c>
      <c r="AN63" t="str">
        <f>VLOOKUP($Z63,'oddspedia-matches'!$A:$AD,AN$2,0)</f>
        <v>Green</v>
      </c>
      <c r="AO63" t="str">
        <f>VLOOKUP($Z63,'oddspedia-matches'!$A:$AD,AO$2,0)</f>
        <v>Green</v>
      </c>
      <c r="AP63" t="str">
        <f>VLOOKUP($Z63,'oddspedia-matches'!$A:$AD,AP$2,0)</f>
        <v>Red</v>
      </c>
      <c r="AQ63" t="str">
        <f>VLOOKUP($Z63,'oddspedia-matches'!$A:$AD,AQ$2,0)</f>
        <v>Green</v>
      </c>
    </row>
    <row r="64" spans="2:43" x14ac:dyDescent="0.2">
      <c r="B64" s="9" t="s">
        <v>468</v>
      </c>
      <c r="C64" s="7" t="s">
        <v>17</v>
      </c>
      <c r="D64" s="20">
        <v>0.89583333333333337</v>
      </c>
      <c r="E64" s="7" t="s">
        <v>79</v>
      </c>
      <c r="F64" s="7" t="s">
        <v>80</v>
      </c>
      <c r="G64" s="21"/>
      <c r="H64" s="7">
        <v>30.7</v>
      </c>
      <c r="I64" s="7">
        <v>27.4</v>
      </c>
      <c r="J64" s="7">
        <v>41.9</v>
      </c>
      <c r="K64" s="7">
        <v>58.1</v>
      </c>
      <c r="L64" s="7">
        <v>69.3</v>
      </c>
      <c r="M64" s="7">
        <v>72.599999999999994</v>
      </c>
      <c r="N64" s="7">
        <v>29.3</v>
      </c>
      <c r="O64" s="7">
        <v>38.4</v>
      </c>
      <c r="P64" s="7">
        <v>32.299999999999997</v>
      </c>
      <c r="Q64" s="7">
        <v>77.8</v>
      </c>
      <c r="R64" s="7">
        <v>81.3</v>
      </c>
      <c r="S64" s="7">
        <v>57.9</v>
      </c>
      <c r="T64" s="7">
        <v>42.1</v>
      </c>
      <c r="U64" s="7">
        <v>47.8</v>
      </c>
      <c r="V64" s="7">
        <v>61.4</v>
      </c>
      <c r="W64" s="7">
        <v>38.6</v>
      </c>
      <c r="X64" t="str">
        <f>VLOOKUP(E64,'Transform table'!A:B,2,0)</f>
        <v>Sporting Kansas City</v>
      </c>
      <c r="Y64" t="str">
        <f>VLOOKUP(F64,'Transform table'!A:B,2,0)</f>
        <v>Minnesota United</v>
      </c>
      <c r="Z64" t="str">
        <f t="shared" si="0"/>
        <v>22/07/2026Sporting Kansas CityMinnesota United</v>
      </c>
      <c r="AA64" t="str">
        <f>VLOOKUP($Z64,'oddspedia-matches'!$A:$AD,AA$2,0)</f>
        <v>2 - 1</v>
      </c>
      <c r="AB64" t="str">
        <f>VLOOKUP($Z64,'oddspedia-matches'!$A:$AD,AB$2,0)</f>
        <v>Green</v>
      </c>
      <c r="AC64" t="str">
        <f>VLOOKUP($Z64,'oddspedia-matches'!$A:$AD,AC$2,0)</f>
        <v>Red</v>
      </c>
      <c r="AD64" t="str">
        <f>VLOOKUP($Z64,'oddspedia-matches'!$A:$AD,AD$2,0)</f>
        <v>Red</v>
      </c>
      <c r="AE64" t="str">
        <f>VLOOKUP($Z64,'oddspedia-matches'!$A:$AD,AE$2,0)</f>
        <v>Green</v>
      </c>
      <c r="AF64" t="str">
        <f>VLOOKUP($Z64,'oddspedia-matches'!$A:$AD,AF$2,0)</f>
        <v>Red</v>
      </c>
      <c r="AG64" t="str">
        <f>VLOOKUP($Z64,'oddspedia-matches'!$A:$AD,AG$2,0)</f>
        <v>Green</v>
      </c>
      <c r="AH64" t="str">
        <f>VLOOKUP($Z64,'oddspedia-matches'!$A:$AD,AH$2,0)</f>
        <v>Green</v>
      </c>
      <c r="AI64" t="str">
        <f>VLOOKUP($Z64,'oddspedia-matches'!$A:$AD,AI$2,0)</f>
        <v>Red</v>
      </c>
      <c r="AJ64" t="str">
        <f>VLOOKUP($Z64,'oddspedia-matches'!$A:$AD,AJ$2,0)</f>
        <v>Red</v>
      </c>
      <c r="AK64" t="str">
        <f>VLOOKUP($Z64,'oddspedia-matches'!$A:$AD,AK$2,0)</f>
        <v>Green</v>
      </c>
      <c r="AL64" t="str">
        <f>VLOOKUP($Z64,'oddspedia-matches'!$A:$AD,AL$2,0)</f>
        <v>Green</v>
      </c>
      <c r="AM64" t="str">
        <f>VLOOKUP($Z64,'oddspedia-matches'!$A:$AD,AM$2,0)</f>
        <v>Green</v>
      </c>
      <c r="AN64" t="str">
        <f>VLOOKUP($Z64,'oddspedia-matches'!$A:$AD,AN$2,0)</f>
        <v>Red</v>
      </c>
      <c r="AO64" t="str">
        <f>VLOOKUP($Z64,'oddspedia-matches'!$A:$AD,AO$2,0)</f>
        <v>Green</v>
      </c>
      <c r="AP64" t="str">
        <f>VLOOKUP($Z64,'oddspedia-matches'!$A:$AD,AP$2,0)</f>
        <v>Green</v>
      </c>
      <c r="AQ64" t="str">
        <f>VLOOKUP($Z64,'oddspedia-matches'!$A:$AD,AQ$2,0)</f>
        <v>Red</v>
      </c>
    </row>
    <row r="65" spans="2:43" x14ac:dyDescent="0.2">
      <c r="B65" s="17" t="s">
        <v>467</v>
      </c>
      <c r="C65" s="8" t="s">
        <v>17</v>
      </c>
      <c r="D65" s="18">
        <v>0.91666666666666663</v>
      </c>
      <c r="E65" s="8" t="s">
        <v>81</v>
      </c>
      <c r="F65" s="8" t="s">
        <v>82</v>
      </c>
      <c r="G65" s="19"/>
      <c r="H65" s="8">
        <v>50</v>
      </c>
      <c r="I65" s="8">
        <v>25.8</v>
      </c>
      <c r="J65" s="8">
        <v>24.1</v>
      </c>
      <c r="K65" s="8">
        <v>75.900000000000006</v>
      </c>
      <c r="L65" s="8">
        <v>50</v>
      </c>
      <c r="M65" s="8">
        <v>74.2</v>
      </c>
      <c r="N65" s="8">
        <v>32.1</v>
      </c>
      <c r="O65" s="8">
        <v>45.3</v>
      </c>
      <c r="P65" s="8">
        <v>22.6</v>
      </c>
      <c r="Q65" s="8">
        <v>66.599999999999994</v>
      </c>
      <c r="R65" s="8">
        <v>82</v>
      </c>
      <c r="S65" s="8">
        <v>58.9</v>
      </c>
      <c r="T65" s="8">
        <v>41.1</v>
      </c>
      <c r="U65" s="8">
        <v>47.4</v>
      </c>
      <c r="V65" s="8">
        <v>60.5</v>
      </c>
      <c r="W65" s="8">
        <v>39.5</v>
      </c>
      <c r="X65" t="str">
        <f>VLOOKUP(E65,'Transform table'!A:B,2,0)</f>
        <v>Colorado Switchbacks</v>
      </c>
      <c r="Y65" t="str">
        <f>VLOOKUP(F65,'Transform table'!A:B,2,0)</f>
        <v>Miami FC</v>
      </c>
      <c r="Z65" t="str">
        <f t="shared" si="0"/>
        <v>22/07/2026Colorado SwitchbacksMiami FC</v>
      </c>
      <c r="AA65" t="str">
        <f>VLOOKUP($Z65,'oddspedia-matches'!$A:$AD,AA$2,0)</f>
        <v>2 - 0</v>
      </c>
      <c r="AB65" t="str">
        <f>VLOOKUP($Z65,'oddspedia-matches'!$A:$AD,AB$2,0)</f>
        <v>Green</v>
      </c>
      <c r="AC65" t="str">
        <f>VLOOKUP($Z65,'oddspedia-matches'!$A:$AD,AC$2,0)</f>
        <v>Red</v>
      </c>
      <c r="AD65" t="str">
        <f>VLOOKUP($Z65,'oddspedia-matches'!$A:$AD,AD$2,0)</f>
        <v>Red</v>
      </c>
      <c r="AE65" t="str">
        <f>VLOOKUP($Z65,'oddspedia-matches'!$A:$AD,AE$2,0)</f>
        <v>Green</v>
      </c>
      <c r="AF65" t="str">
        <f>VLOOKUP($Z65,'oddspedia-matches'!$A:$AD,AF$2,0)</f>
        <v>Red</v>
      </c>
      <c r="AG65" t="str">
        <f>VLOOKUP($Z65,'oddspedia-matches'!$A:$AD,AG$2,0)</f>
        <v>Green</v>
      </c>
      <c r="AH65" t="str">
        <f>VLOOKUP($Z65,'oddspedia-matches'!$A:$AD,AH$2,0)</f>
        <v>Red</v>
      </c>
      <c r="AI65" t="str">
        <f>VLOOKUP($Z65,'oddspedia-matches'!$A:$AD,AI$2,0)</f>
        <v>Green</v>
      </c>
      <c r="AJ65" t="str">
        <f>VLOOKUP($Z65,'oddspedia-matches'!$A:$AD,AJ$2,0)</f>
        <v>Red</v>
      </c>
      <c r="AK65" t="str">
        <f>VLOOKUP($Z65,'oddspedia-matches'!$A:$AD,AK$2,0)</f>
        <v>Red</v>
      </c>
      <c r="AL65" t="str">
        <f>VLOOKUP($Z65,'oddspedia-matches'!$A:$AD,AL$2,0)</f>
        <v>Green</v>
      </c>
      <c r="AM65" t="str">
        <f>VLOOKUP($Z65,'oddspedia-matches'!$A:$AD,AM$2,0)</f>
        <v>Red</v>
      </c>
      <c r="AN65" t="str">
        <f>VLOOKUP($Z65,'oddspedia-matches'!$A:$AD,AN$2,0)</f>
        <v>Green</v>
      </c>
      <c r="AO65" t="str">
        <f>VLOOKUP($Z65,'oddspedia-matches'!$A:$AD,AO$2,0)</f>
        <v>Green</v>
      </c>
      <c r="AP65" t="str">
        <f>VLOOKUP($Z65,'oddspedia-matches'!$A:$AD,AP$2,0)</f>
        <v>Red</v>
      </c>
      <c r="AQ65" t="str">
        <f>VLOOKUP($Z65,'oddspedia-matches'!$A:$AD,AQ$2,0)</f>
        <v>Green</v>
      </c>
    </row>
    <row r="66" spans="2:43" x14ac:dyDescent="0.2">
      <c r="B66" s="9" t="s">
        <v>466</v>
      </c>
      <c r="C66" s="7" t="s">
        <v>17</v>
      </c>
      <c r="D66" s="20">
        <v>0.91666666666666663</v>
      </c>
      <c r="E66" s="7" t="s">
        <v>83</v>
      </c>
      <c r="F66" s="7" t="s">
        <v>84</v>
      </c>
      <c r="G66" s="21"/>
      <c r="H66" s="7">
        <v>25</v>
      </c>
      <c r="I66" s="7">
        <v>26.7</v>
      </c>
      <c r="J66" s="7">
        <v>48.3</v>
      </c>
      <c r="K66" s="7">
        <v>51.7</v>
      </c>
      <c r="L66" s="7">
        <v>75</v>
      </c>
      <c r="M66" s="7">
        <v>73.3</v>
      </c>
      <c r="N66" s="7">
        <v>17.600000000000001</v>
      </c>
      <c r="O66" s="7">
        <v>41.5</v>
      </c>
      <c r="P66" s="7">
        <v>40.9</v>
      </c>
      <c r="Q66" s="7">
        <v>71.3</v>
      </c>
      <c r="R66" s="7">
        <v>82.6</v>
      </c>
      <c r="S66" s="7">
        <v>60</v>
      </c>
      <c r="T66" s="7">
        <v>40</v>
      </c>
      <c r="U66" s="7">
        <v>46.2</v>
      </c>
      <c r="V66" s="7">
        <v>61.7</v>
      </c>
      <c r="W66" s="7">
        <v>38.299999999999997</v>
      </c>
      <c r="X66" t="str">
        <f>VLOOKUP(E66,'Transform table'!A:B,2,0)</f>
        <v>Vancouver Whitecaps II</v>
      </c>
      <c r="Y66" t="str">
        <f>VLOOKUP(F66,'Transform table'!A:B,2,0)</f>
        <v>Austin FC II</v>
      </c>
      <c r="Z66" t="str">
        <f t="shared" si="0"/>
        <v>22/07/2026Vancouver Whitecaps IIAustin FC II</v>
      </c>
      <c r="AA66" t="str">
        <f>VLOOKUP($Z66,'oddspedia-matches'!$A:$AD,AA$2,0)</f>
        <v>0 - 4</v>
      </c>
      <c r="AB66" t="str">
        <f>VLOOKUP($Z66,'oddspedia-matches'!$A:$AD,AB$2,0)</f>
        <v>Red</v>
      </c>
      <c r="AC66" t="str">
        <f>VLOOKUP($Z66,'oddspedia-matches'!$A:$AD,AC$2,0)</f>
        <v>Red</v>
      </c>
      <c r="AD66" t="str">
        <f>VLOOKUP($Z66,'oddspedia-matches'!$A:$AD,AD$2,0)</f>
        <v>Green</v>
      </c>
      <c r="AE66" t="str">
        <f>VLOOKUP($Z66,'oddspedia-matches'!$A:$AD,AE$2,0)</f>
        <v>Red</v>
      </c>
      <c r="AF66" t="str">
        <f>VLOOKUP($Z66,'oddspedia-matches'!$A:$AD,AF$2,0)</f>
        <v>Green</v>
      </c>
      <c r="AG66" t="str">
        <f>VLOOKUP($Z66,'oddspedia-matches'!$A:$AD,AG$2,0)</f>
        <v>Green</v>
      </c>
      <c r="AH66" t="str">
        <f>VLOOKUP($Z66,'oddspedia-matches'!$A:$AD,AH$2,0)</f>
        <v>Red</v>
      </c>
      <c r="AI66" t="str">
        <f>VLOOKUP($Z66,'oddspedia-matches'!$A:$AD,AI$2,0)</f>
        <v>Red</v>
      </c>
      <c r="AJ66" t="str">
        <f>VLOOKUP($Z66,'oddspedia-matches'!$A:$AD,AJ$2,0)</f>
        <v>Green</v>
      </c>
      <c r="AK66" t="str">
        <f>VLOOKUP($Z66,'oddspedia-matches'!$A:$AD,AK$2,0)</f>
        <v>Green</v>
      </c>
      <c r="AL66" t="str">
        <f>VLOOKUP($Z66,'oddspedia-matches'!$A:$AD,AL$2,0)</f>
        <v>Green</v>
      </c>
      <c r="AM66" t="str">
        <f>VLOOKUP($Z66,'oddspedia-matches'!$A:$AD,AM$2,0)</f>
        <v>Green</v>
      </c>
      <c r="AN66" t="str">
        <f>VLOOKUP($Z66,'oddspedia-matches'!$A:$AD,AN$2,0)</f>
        <v>Red</v>
      </c>
      <c r="AO66" t="str">
        <f>VLOOKUP($Z66,'oddspedia-matches'!$A:$AD,AO$2,0)</f>
        <v>Red</v>
      </c>
      <c r="AP66" t="str">
        <f>VLOOKUP($Z66,'oddspedia-matches'!$A:$AD,AP$2,0)</f>
        <v>Red</v>
      </c>
      <c r="AQ66" t="str">
        <f>VLOOKUP($Z66,'oddspedia-matches'!$A:$AD,AQ$2,0)</f>
        <v>Green</v>
      </c>
    </row>
    <row r="67" spans="2:43" x14ac:dyDescent="0.2">
      <c r="B67" s="17" t="s">
        <v>468</v>
      </c>
      <c r="C67" s="8" t="s">
        <v>17</v>
      </c>
      <c r="D67" s="18">
        <v>0.9375</v>
      </c>
      <c r="E67" s="8" t="s">
        <v>85</v>
      </c>
      <c r="F67" s="8" t="s">
        <v>86</v>
      </c>
      <c r="G67" s="19"/>
      <c r="H67" s="8">
        <v>47.7</v>
      </c>
      <c r="I67" s="8">
        <v>25.2</v>
      </c>
      <c r="J67" s="8">
        <v>27.1</v>
      </c>
      <c r="K67" s="8">
        <v>72.900000000000006</v>
      </c>
      <c r="L67" s="8">
        <v>52.3</v>
      </c>
      <c r="M67" s="8">
        <v>74.8</v>
      </c>
      <c r="N67" s="8">
        <v>40</v>
      </c>
      <c r="O67" s="8">
        <v>34.5</v>
      </c>
      <c r="P67" s="8">
        <v>25.5</v>
      </c>
      <c r="Q67" s="8">
        <v>83</v>
      </c>
      <c r="R67" s="8">
        <v>87.4</v>
      </c>
      <c r="S67" s="8">
        <v>68.099999999999994</v>
      </c>
      <c r="T67" s="8">
        <v>31.9</v>
      </c>
      <c r="U67" s="8">
        <v>37.700000000000003</v>
      </c>
      <c r="V67" s="8">
        <v>68.5</v>
      </c>
      <c r="W67" s="8">
        <v>31.5</v>
      </c>
      <c r="X67" t="str">
        <f>VLOOKUP(E67,'Transform table'!A:B,2,0)</f>
        <v>Colorado Rapids</v>
      </c>
      <c r="Y67" t="str">
        <f>VLOOKUP(F67,'Transform table'!A:B,2,0)</f>
        <v>San Diego FC</v>
      </c>
      <c r="Z67" t="str">
        <f t="shared" si="0"/>
        <v>22/07/2026Colorado RapidsSan Diego FC</v>
      </c>
      <c r="AA67" t="str">
        <f>VLOOKUP($Z67,'oddspedia-matches'!$A:$AD,AA$2,0)</f>
        <v>1 - 0</v>
      </c>
      <c r="AB67" t="str">
        <f>VLOOKUP($Z67,'oddspedia-matches'!$A:$AD,AB$2,0)</f>
        <v>Green</v>
      </c>
      <c r="AC67" t="str">
        <f>VLOOKUP($Z67,'oddspedia-matches'!$A:$AD,AC$2,0)</f>
        <v>Red</v>
      </c>
      <c r="AD67" t="str">
        <f>VLOOKUP($Z67,'oddspedia-matches'!$A:$AD,AD$2,0)</f>
        <v>Red</v>
      </c>
      <c r="AE67" t="str">
        <f>VLOOKUP($Z67,'oddspedia-matches'!$A:$AD,AE$2,0)</f>
        <v>Green</v>
      </c>
      <c r="AF67" t="str">
        <f>VLOOKUP($Z67,'oddspedia-matches'!$A:$AD,AF$2,0)</f>
        <v>Red</v>
      </c>
      <c r="AG67" t="str">
        <f>VLOOKUP($Z67,'oddspedia-matches'!$A:$AD,AG$2,0)</f>
        <v>Green</v>
      </c>
      <c r="AH67" t="str">
        <f>VLOOKUP($Z67,'oddspedia-matches'!$A:$AD,AH$2,0)</f>
        <v>Red</v>
      </c>
      <c r="AI67" t="str">
        <f>VLOOKUP($Z67,'oddspedia-matches'!$A:$AD,AI$2,0)</f>
        <v>Green</v>
      </c>
      <c r="AJ67" t="str">
        <f>VLOOKUP($Z67,'oddspedia-matches'!$A:$AD,AJ$2,0)</f>
        <v>Red</v>
      </c>
      <c r="AK67" t="str">
        <f>VLOOKUP($Z67,'oddspedia-matches'!$A:$AD,AK$2,0)</f>
        <v>Red</v>
      </c>
      <c r="AL67" t="str">
        <f>VLOOKUP($Z67,'oddspedia-matches'!$A:$AD,AL$2,0)</f>
        <v>Red</v>
      </c>
      <c r="AM67" t="str">
        <f>VLOOKUP($Z67,'oddspedia-matches'!$A:$AD,AM$2,0)</f>
        <v>Red</v>
      </c>
      <c r="AN67" t="str">
        <f>VLOOKUP($Z67,'oddspedia-matches'!$A:$AD,AN$2,0)</f>
        <v>Green</v>
      </c>
      <c r="AO67" t="str">
        <f>VLOOKUP($Z67,'oddspedia-matches'!$A:$AD,AO$2,0)</f>
        <v>Green</v>
      </c>
      <c r="AP67" t="str">
        <f>VLOOKUP($Z67,'oddspedia-matches'!$A:$AD,AP$2,0)</f>
        <v>Red</v>
      </c>
      <c r="AQ67" t="str">
        <f>VLOOKUP($Z67,'oddspedia-matches'!$A:$AD,AQ$2,0)</f>
        <v>Green</v>
      </c>
    </row>
    <row r="68" spans="2:43" x14ac:dyDescent="0.2">
      <c r="B68" s="9" t="s">
        <v>468</v>
      </c>
      <c r="C68" s="7" t="s">
        <v>17</v>
      </c>
      <c r="D68" s="20">
        <v>0.97916666666666663</v>
      </c>
      <c r="E68" s="7" t="s">
        <v>87</v>
      </c>
      <c r="F68" s="7" t="s">
        <v>88</v>
      </c>
      <c r="G68" s="21"/>
      <c r="H68" s="7">
        <v>45</v>
      </c>
      <c r="I68" s="7">
        <v>27.3</v>
      </c>
      <c r="J68" s="7">
        <v>27.7</v>
      </c>
      <c r="K68" s="7">
        <v>72.3</v>
      </c>
      <c r="L68" s="7">
        <v>55</v>
      </c>
      <c r="M68" s="7">
        <v>72.7</v>
      </c>
      <c r="N68" s="7">
        <v>30.8</v>
      </c>
      <c r="O68" s="7">
        <v>45</v>
      </c>
      <c r="P68" s="7">
        <v>24.2</v>
      </c>
      <c r="Q68" s="7">
        <v>67.3</v>
      </c>
      <c r="R68" s="7">
        <v>78.8</v>
      </c>
      <c r="S68" s="7">
        <v>54.1</v>
      </c>
      <c r="T68" s="7">
        <v>45.9</v>
      </c>
      <c r="U68" s="7">
        <v>51.8</v>
      </c>
      <c r="V68" s="7">
        <v>58</v>
      </c>
      <c r="W68" s="7">
        <v>42</v>
      </c>
      <c r="X68" t="str">
        <f>VLOOKUP(E68,'Transform table'!A:B,2,0)</f>
        <v>LA Galaxy</v>
      </c>
      <c r="Y68" t="str">
        <f>VLOOKUP(F68,'Transform table'!A:B,2,0)</f>
        <v>Saint Louis City</v>
      </c>
      <c r="Z68" t="str">
        <f t="shared" ref="Z68:Z131" si="1">C68&amp;X68&amp;Y68</f>
        <v>22/07/2026LA GalaxySaint Louis City</v>
      </c>
      <c r="AA68" t="str">
        <f>VLOOKUP($Z68,'oddspedia-matches'!$A:$AD,AA$2,0)</f>
        <v>1 - 3</v>
      </c>
      <c r="AB68" t="str">
        <f>VLOOKUP($Z68,'oddspedia-matches'!$A:$AD,AB$2,0)</f>
        <v>Red</v>
      </c>
      <c r="AC68" t="str">
        <f>VLOOKUP($Z68,'oddspedia-matches'!$A:$AD,AC$2,0)</f>
        <v>Red</v>
      </c>
      <c r="AD68" t="str">
        <f>VLOOKUP($Z68,'oddspedia-matches'!$A:$AD,AD$2,0)</f>
        <v>Green</v>
      </c>
      <c r="AE68" t="str">
        <f>VLOOKUP($Z68,'oddspedia-matches'!$A:$AD,AE$2,0)</f>
        <v>Red</v>
      </c>
      <c r="AF68" t="str">
        <f>VLOOKUP($Z68,'oddspedia-matches'!$A:$AD,AF$2,0)</f>
        <v>Green</v>
      </c>
      <c r="AG68" t="str">
        <f>VLOOKUP($Z68,'oddspedia-matches'!$A:$AD,AG$2,0)</f>
        <v>Green</v>
      </c>
      <c r="AH68" t="str">
        <f>VLOOKUP($Z68,'oddspedia-matches'!$A:$AD,AH$2,0)</f>
        <v>Red</v>
      </c>
      <c r="AI68" t="str">
        <f>VLOOKUP($Z68,'oddspedia-matches'!$A:$AD,AI$2,0)</f>
        <v>Red</v>
      </c>
      <c r="AJ68" t="str">
        <f>VLOOKUP($Z68,'oddspedia-matches'!$A:$AD,AJ$2,0)</f>
        <v>Green</v>
      </c>
      <c r="AK68" t="str">
        <f>VLOOKUP($Z68,'oddspedia-matches'!$A:$AD,AK$2,0)</f>
        <v>Green</v>
      </c>
      <c r="AL68" t="str">
        <f>VLOOKUP($Z68,'oddspedia-matches'!$A:$AD,AL$2,0)</f>
        <v>Green</v>
      </c>
      <c r="AM68" t="str">
        <f>VLOOKUP($Z68,'oddspedia-matches'!$A:$AD,AM$2,0)</f>
        <v>Green</v>
      </c>
      <c r="AN68" t="str">
        <f>VLOOKUP($Z68,'oddspedia-matches'!$A:$AD,AN$2,0)</f>
        <v>Red</v>
      </c>
      <c r="AO68" t="str">
        <f>VLOOKUP($Z68,'oddspedia-matches'!$A:$AD,AO$2,0)</f>
        <v>Red</v>
      </c>
      <c r="AP68" t="str">
        <f>VLOOKUP($Z68,'oddspedia-matches'!$A:$AD,AP$2,0)</f>
        <v>Green</v>
      </c>
      <c r="AQ68" t="str">
        <f>VLOOKUP($Z68,'oddspedia-matches'!$A:$AD,AQ$2,0)</f>
        <v>Red</v>
      </c>
    </row>
    <row r="69" spans="2:43" x14ac:dyDescent="0.2">
      <c r="B69" s="17" t="s">
        <v>468</v>
      </c>
      <c r="C69" s="8" t="s">
        <v>17</v>
      </c>
      <c r="D69" s="18">
        <v>0.97916666666666663</v>
      </c>
      <c r="E69" s="8" t="s">
        <v>89</v>
      </c>
      <c r="F69" s="8" t="s">
        <v>90</v>
      </c>
      <c r="G69" s="19"/>
      <c r="H69" s="8">
        <v>47.4</v>
      </c>
      <c r="I69" s="8">
        <v>26.5</v>
      </c>
      <c r="J69" s="8">
        <v>26.1</v>
      </c>
      <c r="K69" s="8">
        <v>73.900000000000006</v>
      </c>
      <c r="L69" s="8">
        <v>52.6</v>
      </c>
      <c r="M69" s="8">
        <v>73.5</v>
      </c>
      <c r="N69" s="8">
        <v>30.8</v>
      </c>
      <c r="O69" s="8">
        <v>40.9</v>
      </c>
      <c r="P69" s="8">
        <v>28.3</v>
      </c>
      <c r="Q69" s="8">
        <v>73.900000000000006</v>
      </c>
      <c r="R69" s="8">
        <v>80.7</v>
      </c>
      <c r="S69" s="8">
        <v>57</v>
      </c>
      <c r="T69" s="8">
        <v>43</v>
      </c>
      <c r="U69" s="8">
        <v>49.1</v>
      </c>
      <c r="V69" s="8">
        <v>59.8</v>
      </c>
      <c r="W69" s="8">
        <v>40.200000000000003</v>
      </c>
      <c r="X69" t="str">
        <f>VLOOKUP(E69,'Transform table'!A:B,2,0)</f>
        <v>Los Angeles FC</v>
      </c>
      <c r="Y69" t="str">
        <f>VLOOKUP(F69,'Transform table'!A:B,2,0)</f>
        <v>Real Salt Lake</v>
      </c>
      <c r="Z69" t="str">
        <f t="shared" si="1"/>
        <v>22/07/2026Los Angeles FCReal Salt Lake</v>
      </c>
      <c r="AA69" t="str">
        <f>VLOOKUP($Z69,'oddspedia-matches'!$A:$AD,AA$2,0)</f>
        <v>3 - 1</v>
      </c>
      <c r="AB69" t="str">
        <f>VLOOKUP($Z69,'oddspedia-matches'!$A:$AD,AB$2,0)</f>
        <v>Green</v>
      </c>
      <c r="AC69" t="str">
        <f>VLOOKUP($Z69,'oddspedia-matches'!$A:$AD,AC$2,0)</f>
        <v>Red</v>
      </c>
      <c r="AD69" t="str">
        <f>VLOOKUP($Z69,'oddspedia-matches'!$A:$AD,AD$2,0)</f>
        <v>Red</v>
      </c>
      <c r="AE69" t="str">
        <f>VLOOKUP($Z69,'oddspedia-matches'!$A:$AD,AE$2,0)</f>
        <v>Green</v>
      </c>
      <c r="AF69" t="str">
        <f>VLOOKUP($Z69,'oddspedia-matches'!$A:$AD,AF$2,0)</f>
        <v>Red</v>
      </c>
      <c r="AG69" t="str">
        <f>VLOOKUP($Z69,'oddspedia-matches'!$A:$AD,AG$2,0)</f>
        <v>Green</v>
      </c>
      <c r="AH69" t="str">
        <f>VLOOKUP($Z69,'oddspedia-matches'!$A:$AD,AH$2,0)</f>
        <v>Green</v>
      </c>
      <c r="AI69" t="str">
        <f>VLOOKUP($Z69,'oddspedia-matches'!$A:$AD,AI$2,0)</f>
        <v>Red</v>
      </c>
      <c r="AJ69" t="str">
        <f>VLOOKUP($Z69,'oddspedia-matches'!$A:$AD,AJ$2,0)</f>
        <v>Red</v>
      </c>
      <c r="AK69" t="str">
        <f>VLOOKUP($Z69,'oddspedia-matches'!$A:$AD,AK$2,0)</f>
        <v>Green</v>
      </c>
      <c r="AL69" t="str">
        <f>VLOOKUP($Z69,'oddspedia-matches'!$A:$AD,AL$2,0)</f>
        <v>Green</v>
      </c>
      <c r="AM69" t="str">
        <f>VLOOKUP($Z69,'oddspedia-matches'!$A:$AD,AM$2,0)</f>
        <v>Green</v>
      </c>
      <c r="AN69" t="str">
        <f>VLOOKUP($Z69,'oddspedia-matches'!$A:$AD,AN$2,0)</f>
        <v>Red</v>
      </c>
      <c r="AO69" t="str">
        <f>VLOOKUP($Z69,'oddspedia-matches'!$A:$AD,AO$2,0)</f>
        <v>Red</v>
      </c>
      <c r="AP69" t="str">
        <f>VLOOKUP($Z69,'oddspedia-matches'!$A:$AD,AP$2,0)</f>
        <v>Green</v>
      </c>
      <c r="AQ69" t="str">
        <f>VLOOKUP($Z69,'oddspedia-matches'!$A:$AD,AQ$2,0)</f>
        <v>Red</v>
      </c>
    </row>
    <row r="70" spans="2:43" x14ac:dyDescent="0.2">
      <c r="B70" s="9" t="s">
        <v>468</v>
      </c>
      <c r="C70" s="7" t="s">
        <v>17</v>
      </c>
      <c r="D70" s="20">
        <v>0.97916666666666663</v>
      </c>
      <c r="E70" s="7" t="s">
        <v>91</v>
      </c>
      <c r="F70" s="7" t="s">
        <v>92</v>
      </c>
      <c r="G70" s="21"/>
      <c r="H70" s="7">
        <v>40</v>
      </c>
      <c r="I70" s="7">
        <v>25.6</v>
      </c>
      <c r="J70" s="7">
        <v>34.299999999999997</v>
      </c>
      <c r="K70" s="7">
        <v>65.7</v>
      </c>
      <c r="L70" s="7">
        <v>60</v>
      </c>
      <c r="M70" s="7">
        <v>74.400000000000006</v>
      </c>
      <c r="N70" s="7">
        <v>38.5</v>
      </c>
      <c r="O70" s="7">
        <v>32.200000000000003</v>
      </c>
      <c r="P70" s="7">
        <v>29.3</v>
      </c>
      <c r="Q70" s="7">
        <v>86.9</v>
      </c>
      <c r="R70" s="7">
        <v>88.4</v>
      </c>
      <c r="S70" s="7">
        <v>69.8</v>
      </c>
      <c r="T70" s="7">
        <v>30.2</v>
      </c>
      <c r="U70" s="7">
        <v>35.5</v>
      </c>
      <c r="V70" s="7">
        <v>70.900000000000006</v>
      </c>
      <c r="W70" s="7">
        <v>29.1</v>
      </c>
      <c r="X70" t="str">
        <f>VLOOKUP(E70,'Transform table'!A:B,2,0)</f>
        <v>Portland Timbers</v>
      </c>
      <c r="Y70" t="str">
        <f>VLOOKUP(F70,'Transform table'!A:B,2,0)</f>
        <v>Dallas</v>
      </c>
      <c r="Z70" t="str">
        <f t="shared" si="1"/>
        <v>22/07/2026Portland TimbersDallas</v>
      </c>
      <c r="AA70" t="str">
        <f>VLOOKUP($Z70,'oddspedia-matches'!$A:$AD,AA$2,0)</f>
        <v>2 - 2</v>
      </c>
      <c r="AB70" t="str">
        <f>VLOOKUP($Z70,'oddspedia-matches'!$A:$AD,AB$2,0)</f>
        <v>Red</v>
      </c>
      <c r="AC70" t="str">
        <f>VLOOKUP($Z70,'oddspedia-matches'!$A:$AD,AC$2,0)</f>
        <v>Green</v>
      </c>
      <c r="AD70" t="str">
        <f>VLOOKUP($Z70,'oddspedia-matches'!$A:$AD,AD$2,0)</f>
        <v>Red</v>
      </c>
      <c r="AE70" t="str">
        <f>VLOOKUP($Z70,'oddspedia-matches'!$A:$AD,AE$2,0)</f>
        <v>Green</v>
      </c>
      <c r="AF70" t="str">
        <f>VLOOKUP($Z70,'oddspedia-matches'!$A:$AD,AF$2,0)</f>
        <v>Green</v>
      </c>
      <c r="AG70" t="str">
        <f>VLOOKUP($Z70,'oddspedia-matches'!$A:$AD,AG$2,0)</f>
        <v>Red</v>
      </c>
      <c r="AH70" t="str">
        <f>VLOOKUP($Z70,'oddspedia-matches'!$A:$AD,AH$2,0)</f>
        <v>Red</v>
      </c>
      <c r="AI70" t="str">
        <f>VLOOKUP($Z70,'oddspedia-matches'!$A:$AD,AI$2,0)</f>
        <v>Red</v>
      </c>
      <c r="AJ70" t="str">
        <f>VLOOKUP($Z70,'oddspedia-matches'!$A:$AD,AJ$2,0)</f>
        <v>Green</v>
      </c>
      <c r="AK70" t="str">
        <f>VLOOKUP($Z70,'oddspedia-matches'!$A:$AD,AK$2,0)</f>
        <v>Green</v>
      </c>
      <c r="AL70" t="str">
        <f>VLOOKUP($Z70,'oddspedia-matches'!$A:$AD,AL$2,0)</f>
        <v>Green</v>
      </c>
      <c r="AM70" t="str">
        <f>VLOOKUP($Z70,'oddspedia-matches'!$A:$AD,AM$2,0)</f>
        <v>Green</v>
      </c>
      <c r="AN70" t="str">
        <f>VLOOKUP($Z70,'oddspedia-matches'!$A:$AD,AN$2,0)</f>
        <v>Red</v>
      </c>
      <c r="AO70" t="str">
        <f>VLOOKUP($Z70,'oddspedia-matches'!$A:$AD,AO$2,0)</f>
        <v>Red</v>
      </c>
      <c r="AP70" t="str">
        <f>VLOOKUP($Z70,'oddspedia-matches'!$A:$AD,AP$2,0)</f>
        <v>Green</v>
      </c>
      <c r="AQ70" t="str">
        <f>VLOOKUP($Z70,'oddspedia-matches'!$A:$AD,AQ$2,0)</f>
        <v>Red</v>
      </c>
    </row>
    <row r="71" spans="2:43" x14ac:dyDescent="0.2">
      <c r="B71" s="17" t="s">
        <v>468</v>
      </c>
      <c r="C71" s="8" t="s">
        <v>17</v>
      </c>
      <c r="D71" s="18">
        <v>0.97916666666666663</v>
      </c>
      <c r="E71" s="8" t="s">
        <v>93</v>
      </c>
      <c r="F71" s="8" t="s">
        <v>94</v>
      </c>
      <c r="G71" s="19"/>
      <c r="H71" s="8">
        <v>66.2</v>
      </c>
      <c r="I71" s="8">
        <v>22.6</v>
      </c>
      <c r="J71" s="8">
        <v>11.2</v>
      </c>
      <c r="K71" s="8">
        <v>88.8</v>
      </c>
      <c r="L71" s="8">
        <v>33.799999999999997</v>
      </c>
      <c r="M71" s="8">
        <v>77.400000000000006</v>
      </c>
      <c r="N71" s="8">
        <v>54.6</v>
      </c>
      <c r="O71" s="8">
        <v>31</v>
      </c>
      <c r="P71" s="8">
        <v>14.4</v>
      </c>
      <c r="Q71" s="8">
        <v>83.2</v>
      </c>
      <c r="R71" s="8">
        <v>91.2</v>
      </c>
      <c r="S71" s="8">
        <v>75.8</v>
      </c>
      <c r="T71" s="8">
        <v>24.2</v>
      </c>
      <c r="U71" s="8">
        <v>32.1</v>
      </c>
      <c r="V71" s="8">
        <v>65.8</v>
      </c>
      <c r="W71" s="8">
        <v>34.200000000000003</v>
      </c>
      <c r="X71" t="str">
        <f>VLOOKUP(E71,'Transform table'!A:B,2,0)</f>
        <v>San Jose Earthquakes</v>
      </c>
      <c r="Y71" t="str">
        <f>VLOOKUP(F71,'Transform table'!A:B,2,0)</f>
        <v>Orlando City</v>
      </c>
      <c r="Z71" t="str">
        <f t="shared" si="1"/>
        <v>22/07/2026San Jose EarthquakesOrlando City</v>
      </c>
      <c r="AA71" t="str">
        <f>VLOOKUP($Z71,'oddspedia-matches'!$A:$AD,AA$2,0)</f>
        <v>0 - 4</v>
      </c>
      <c r="AB71" t="str">
        <f>VLOOKUP($Z71,'oddspedia-matches'!$A:$AD,AB$2,0)</f>
        <v>Red</v>
      </c>
      <c r="AC71" t="str">
        <f>VLOOKUP($Z71,'oddspedia-matches'!$A:$AD,AC$2,0)</f>
        <v>Red</v>
      </c>
      <c r="AD71" t="str">
        <f>VLOOKUP($Z71,'oddspedia-matches'!$A:$AD,AD$2,0)</f>
        <v>Green</v>
      </c>
      <c r="AE71" t="str">
        <f>VLOOKUP($Z71,'oddspedia-matches'!$A:$AD,AE$2,0)</f>
        <v>Red</v>
      </c>
      <c r="AF71" t="str">
        <f>VLOOKUP($Z71,'oddspedia-matches'!$A:$AD,AF$2,0)</f>
        <v>Green</v>
      </c>
      <c r="AG71" t="str">
        <f>VLOOKUP($Z71,'oddspedia-matches'!$A:$AD,AG$2,0)</f>
        <v>Green</v>
      </c>
      <c r="AH71" t="str">
        <f>VLOOKUP($Z71,'oddspedia-matches'!$A:$AD,AH$2,0)</f>
        <v>Red</v>
      </c>
      <c r="AI71" t="str">
        <f>VLOOKUP($Z71,'oddspedia-matches'!$A:$AD,AI$2,0)</f>
        <v>Red</v>
      </c>
      <c r="AJ71" t="str">
        <f>VLOOKUP($Z71,'oddspedia-matches'!$A:$AD,AJ$2,0)</f>
        <v>Green</v>
      </c>
      <c r="AK71" t="str">
        <f>VLOOKUP($Z71,'oddspedia-matches'!$A:$AD,AK$2,0)</f>
        <v>Green</v>
      </c>
      <c r="AL71" t="str">
        <f>VLOOKUP($Z71,'oddspedia-matches'!$A:$AD,AL$2,0)</f>
        <v>Green</v>
      </c>
      <c r="AM71" t="str">
        <f>VLOOKUP($Z71,'oddspedia-matches'!$A:$AD,AM$2,0)</f>
        <v>Green</v>
      </c>
      <c r="AN71" t="str">
        <f>VLOOKUP($Z71,'oddspedia-matches'!$A:$AD,AN$2,0)</f>
        <v>Red</v>
      </c>
      <c r="AO71" t="str">
        <f>VLOOKUP($Z71,'oddspedia-matches'!$A:$AD,AO$2,0)</f>
        <v>Red</v>
      </c>
      <c r="AP71" t="str">
        <f>VLOOKUP($Z71,'oddspedia-matches'!$A:$AD,AP$2,0)</f>
        <v>Red</v>
      </c>
      <c r="AQ71" t="str">
        <f>VLOOKUP($Z71,'oddspedia-matches'!$A:$AD,AQ$2,0)</f>
        <v>Green</v>
      </c>
    </row>
    <row r="72" spans="2:43" x14ac:dyDescent="0.2">
      <c r="B72" s="9" t="s">
        <v>466</v>
      </c>
      <c r="C72" s="7" t="s">
        <v>95</v>
      </c>
      <c r="D72" s="20">
        <v>0.5</v>
      </c>
      <c r="E72" s="7" t="s">
        <v>96</v>
      </c>
      <c r="F72" s="7" t="s">
        <v>97</v>
      </c>
      <c r="G72" s="21"/>
      <c r="H72" s="7">
        <v>44.3</v>
      </c>
      <c r="I72" s="7">
        <v>27.3</v>
      </c>
      <c r="J72" s="7">
        <v>28.4</v>
      </c>
      <c r="K72" s="7">
        <v>71.599999999999994</v>
      </c>
      <c r="L72" s="7">
        <v>55.7</v>
      </c>
      <c r="M72" s="7">
        <v>72.7</v>
      </c>
      <c r="N72" s="7">
        <v>21.9</v>
      </c>
      <c r="O72" s="7">
        <v>45.3</v>
      </c>
      <c r="P72" s="7">
        <v>32.799999999999997</v>
      </c>
      <c r="Q72" s="7">
        <v>66.7</v>
      </c>
      <c r="R72" s="7">
        <v>79.2</v>
      </c>
      <c r="S72" s="7">
        <v>54.7</v>
      </c>
      <c r="T72" s="7">
        <v>45.3</v>
      </c>
      <c r="U72" s="7">
        <v>51.2</v>
      </c>
      <c r="V72" s="7">
        <v>58.6</v>
      </c>
      <c r="W72" s="7">
        <v>41.4</v>
      </c>
      <c r="X72" t="str">
        <f>VLOOKUP(E72,'Transform table'!A:B,2,0)</f>
        <v>New England Revolution II</v>
      </c>
      <c r="Y72" t="str">
        <f>VLOOKUP(F72,'Transform table'!A:B,2,0)</f>
        <v>New York City II</v>
      </c>
      <c r="Z72" t="str">
        <f t="shared" si="1"/>
        <v>23/07/2026New England Revolution IINew York City II</v>
      </c>
      <c r="AA72" t="str">
        <f>VLOOKUP($Z72,'oddspedia-matches'!$A:$AD,AA$2,0)</f>
        <v>3 - 0</v>
      </c>
      <c r="AB72" t="str">
        <f>VLOOKUP($Z72,'oddspedia-matches'!$A:$AD,AB$2,0)</f>
        <v>Green</v>
      </c>
      <c r="AC72" t="str">
        <f>VLOOKUP($Z72,'oddspedia-matches'!$A:$AD,AC$2,0)</f>
        <v>Red</v>
      </c>
      <c r="AD72" t="str">
        <f>VLOOKUP($Z72,'oddspedia-matches'!$A:$AD,AD$2,0)</f>
        <v>Red</v>
      </c>
      <c r="AE72" t="str">
        <f>VLOOKUP($Z72,'oddspedia-matches'!$A:$AD,AE$2,0)</f>
        <v>Green</v>
      </c>
      <c r="AF72" t="str">
        <f>VLOOKUP($Z72,'oddspedia-matches'!$A:$AD,AF$2,0)</f>
        <v>Red</v>
      </c>
      <c r="AG72" t="str">
        <f>VLOOKUP($Z72,'oddspedia-matches'!$A:$AD,AG$2,0)</f>
        <v>Green</v>
      </c>
      <c r="AH72" t="str">
        <f>VLOOKUP($Z72,'oddspedia-matches'!$A:$AD,AH$2,0)</f>
        <v>Green</v>
      </c>
      <c r="AI72" t="str">
        <f>VLOOKUP($Z72,'oddspedia-matches'!$A:$AD,AI$2,0)</f>
        <v>Red</v>
      </c>
      <c r="AJ72" t="str">
        <f>VLOOKUP($Z72,'oddspedia-matches'!$A:$AD,AJ$2,0)</f>
        <v>Red</v>
      </c>
      <c r="AK72" t="str">
        <f>VLOOKUP($Z72,'oddspedia-matches'!$A:$AD,AK$2,0)</f>
        <v>Green</v>
      </c>
      <c r="AL72" t="str">
        <f>VLOOKUP($Z72,'oddspedia-matches'!$A:$AD,AL$2,0)</f>
        <v>Green</v>
      </c>
      <c r="AM72" t="str">
        <f>VLOOKUP($Z72,'oddspedia-matches'!$A:$AD,AM$2,0)</f>
        <v>Green</v>
      </c>
      <c r="AN72" t="str">
        <f>VLOOKUP($Z72,'oddspedia-matches'!$A:$AD,AN$2,0)</f>
        <v>Red</v>
      </c>
      <c r="AO72" t="str">
        <f>VLOOKUP($Z72,'oddspedia-matches'!$A:$AD,AO$2,0)</f>
        <v>Green</v>
      </c>
      <c r="AP72" t="str">
        <f>VLOOKUP($Z72,'oddspedia-matches'!$A:$AD,AP$2,0)</f>
        <v>Red</v>
      </c>
      <c r="AQ72" t="str">
        <f>VLOOKUP($Z72,'oddspedia-matches'!$A:$AD,AQ$2,0)</f>
        <v>Green</v>
      </c>
    </row>
    <row r="73" spans="2:43" x14ac:dyDescent="0.2">
      <c r="B73" s="17" t="s">
        <v>469</v>
      </c>
      <c r="C73" s="8" t="s">
        <v>95</v>
      </c>
      <c r="D73" s="18">
        <v>0.67708333333333337</v>
      </c>
      <c r="E73" s="8" t="s">
        <v>98</v>
      </c>
      <c r="F73" s="8" t="s">
        <v>99</v>
      </c>
      <c r="G73" s="19"/>
      <c r="H73" s="8">
        <v>33.200000000000003</v>
      </c>
      <c r="I73" s="8">
        <v>28.2</v>
      </c>
      <c r="J73" s="8">
        <v>38.6</v>
      </c>
      <c r="K73" s="8">
        <v>61.4</v>
      </c>
      <c r="L73" s="8">
        <v>66.8</v>
      </c>
      <c r="M73" s="8">
        <v>71.8</v>
      </c>
      <c r="N73" s="8">
        <v>25</v>
      </c>
      <c r="O73" s="8">
        <v>45.6</v>
      </c>
      <c r="P73" s="8">
        <v>29.4</v>
      </c>
      <c r="Q73" s="8">
        <v>66.599999999999994</v>
      </c>
      <c r="R73" s="8">
        <v>78.599999999999994</v>
      </c>
      <c r="S73" s="8">
        <v>53.8</v>
      </c>
      <c r="T73" s="8">
        <v>46.2</v>
      </c>
      <c r="U73" s="8">
        <v>51.8</v>
      </c>
      <c r="V73" s="8">
        <v>58.6</v>
      </c>
      <c r="W73" s="8">
        <v>41.4</v>
      </c>
      <c r="X73" t="str">
        <f>VLOOKUP(E73,'Transform table'!A:B,2,0)</f>
        <v>Leiknir Reykjavik</v>
      </c>
      <c r="Y73" t="str">
        <f>VLOOKUP(F73,'Transform table'!A:B,2,0)</f>
        <v xml:space="preserve">Throttur </v>
      </c>
      <c r="Z73" t="str">
        <f t="shared" si="1"/>
        <v xml:space="preserve">23/07/2026Leiknir ReykjavikThrottur </v>
      </c>
      <c r="AA73" t="str">
        <f>VLOOKUP($Z73,'oddspedia-matches'!$A:$AD,AA$2,0)</f>
        <v>1 - 5</v>
      </c>
      <c r="AB73" t="str">
        <f>VLOOKUP($Z73,'oddspedia-matches'!$A:$AD,AB$2,0)</f>
        <v>Red</v>
      </c>
      <c r="AC73" t="str">
        <f>VLOOKUP($Z73,'oddspedia-matches'!$A:$AD,AC$2,0)</f>
        <v>Red</v>
      </c>
      <c r="AD73" t="str">
        <f>VLOOKUP($Z73,'oddspedia-matches'!$A:$AD,AD$2,0)</f>
        <v>Green</v>
      </c>
      <c r="AE73" t="str">
        <f>VLOOKUP($Z73,'oddspedia-matches'!$A:$AD,AE$2,0)</f>
        <v>Red</v>
      </c>
      <c r="AF73" t="str">
        <f>VLOOKUP($Z73,'oddspedia-matches'!$A:$AD,AF$2,0)</f>
        <v>Green</v>
      </c>
      <c r="AG73" t="str">
        <f>VLOOKUP($Z73,'oddspedia-matches'!$A:$AD,AG$2,0)</f>
        <v>Green</v>
      </c>
      <c r="AH73" t="str">
        <f>VLOOKUP($Z73,'oddspedia-matches'!$A:$AD,AH$2,0)</f>
        <v>Red</v>
      </c>
      <c r="AI73" t="str">
        <f>VLOOKUP($Z73,'oddspedia-matches'!$A:$AD,AI$2,0)</f>
        <v>Red</v>
      </c>
      <c r="AJ73" t="str">
        <f>VLOOKUP($Z73,'oddspedia-matches'!$A:$AD,AJ$2,0)</f>
        <v>Green</v>
      </c>
      <c r="AK73" t="str">
        <f>VLOOKUP($Z73,'oddspedia-matches'!$A:$AD,AK$2,0)</f>
        <v>Green</v>
      </c>
      <c r="AL73" t="str">
        <f>VLOOKUP($Z73,'oddspedia-matches'!$A:$AD,AL$2,0)</f>
        <v>Green</v>
      </c>
      <c r="AM73" t="str">
        <f>VLOOKUP($Z73,'oddspedia-matches'!$A:$AD,AM$2,0)</f>
        <v>Green</v>
      </c>
      <c r="AN73" t="str">
        <f>VLOOKUP($Z73,'oddspedia-matches'!$A:$AD,AN$2,0)</f>
        <v>Red</v>
      </c>
      <c r="AO73" t="str">
        <f>VLOOKUP($Z73,'oddspedia-matches'!$A:$AD,AO$2,0)</f>
        <v>Red</v>
      </c>
      <c r="AP73" t="str">
        <f>VLOOKUP($Z73,'oddspedia-matches'!$A:$AD,AP$2,0)</f>
        <v>Green</v>
      </c>
      <c r="AQ73" t="str">
        <f>VLOOKUP($Z73,'oddspedia-matches'!$A:$AD,AQ$2,0)</f>
        <v>Red</v>
      </c>
    </row>
    <row r="74" spans="2:43" x14ac:dyDescent="0.2">
      <c r="B74" s="9" t="s">
        <v>452</v>
      </c>
      <c r="C74" s="7" t="s">
        <v>95</v>
      </c>
      <c r="D74" s="20">
        <v>0.77083333333333337</v>
      </c>
      <c r="E74" s="7" t="s">
        <v>100</v>
      </c>
      <c r="F74" s="7" t="s">
        <v>101</v>
      </c>
      <c r="G74" s="21"/>
      <c r="H74" s="7">
        <v>45.3</v>
      </c>
      <c r="I74" s="7">
        <v>31.8</v>
      </c>
      <c r="J74" s="7">
        <v>22.9</v>
      </c>
      <c r="K74" s="7">
        <v>77.099999999999994</v>
      </c>
      <c r="L74" s="7">
        <v>54.7</v>
      </c>
      <c r="M74" s="7">
        <v>68.2</v>
      </c>
      <c r="N74" s="7">
        <v>40.200000000000003</v>
      </c>
      <c r="O74" s="7">
        <v>45.8</v>
      </c>
      <c r="P74" s="7">
        <v>14</v>
      </c>
      <c r="Q74" s="7">
        <v>63.2</v>
      </c>
      <c r="R74" s="7">
        <v>61.5</v>
      </c>
      <c r="S74" s="7">
        <v>33.200000000000003</v>
      </c>
      <c r="T74" s="7">
        <v>66.8</v>
      </c>
      <c r="U74" s="7">
        <v>72.099999999999994</v>
      </c>
      <c r="V74" s="7">
        <v>40.299999999999997</v>
      </c>
      <c r="W74" s="7">
        <v>59.7</v>
      </c>
      <c r="X74" t="str">
        <f>VLOOKUP(E74,'Transform table'!A:B,2,0)</f>
        <v>CD Leones Del Norte</v>
      </c>
      <c r="Y74" t="str">
        <f>VLOOKUP(F74,'Transform table'!A:B,2,0)</f>
        <v>Guayaquil City FC</v>
      </c>
      <c r="Z74" t="str">
        <f t="shared" si="1"/>
        <v>23/07/2026CD Leones Del NorteGuayaquil City FC</v>
      </c>
      <c r="AA74" t="str">
        <f>VLOOKUP($Z74,'oddspedia-matches'!$A:$AD,AA$2,0)</f>
        <v>1 - 1</v>
      </c>
      <c r="AB74" t="str">
        <f>VLOOKUP($Z74,'oddspedia-matches'!$A:$AD,AB$2,0)</f>
        <v>Red</v>
      </c>
      <c r="AC74" t="str">
        <f>VLOOKUP($Z74,'oddspedia-matches'!$A:$AD,AC$2,0)</f>
        <v>Green</v>
      </c>
      <c r="AD74" t="str">
        <f>VLOOKUP($Z74,'oddspedia-matches'!$A:$AD,AD$2,0)</f>
        <v>Red</v>
      </c>
      <c r="AE74" t="str">
        <f>VLOOKUP($Z74,'oddspedia-matches'!$A:$AD,AE$2,0)</f>
        <v>Green</v>
      </c>
      <c r="AF74" t="str">
        <f>VLOOKUP($Z74,'oddspedia-matches'!$A:$AD,AF$2,0)</f>
        <v>Green</v>
      </c>
      <c r="AG74" t="str">
        <f>VLOOKUP($Z74,'oddspedia-matches'!$A:$AD,AG$2,0)</f>
        <v>Red</v>
      </c>
      <c r="AH74" t="str">
        <f>VLOOKUP($Z74,'oddspedia-matches'!$A:$AD,AH$2,0)</f>
        <v>Red</v>
      </c>
      <c r="AI74" t="str">
        <f>VLOOKUP($Z74,'oddspedia-matches'!$A:$AD,AI$2,0)</f>
        <v>Red</v>
      </c>
      <c r="AJ74" t="str">
        <f>VLOOKUP($Z74,'oddspedia-matches'!$A:$AD,AJ$2,0)</f>
        <v>Green</v>
      </c>
      <c r="AK74" t="str">
        <f>VLOOKUP($Z74,'oddspedia-matches'!$A:$AD,AK$2,0)</f>
        <v>Green</v>
      </c>
      <c r="AL74" t="str">
        <f>VLOOKUP($Z74,'oddspedia-matches'!$A:$AD,AL$2,0)</f>
        <v>Green</v>
      </c>
      <c r="AM74" t="str">
        <f>VLOOKUP($Z74,'oddspedia-matches'!$A:$AD,AM$2,0)</f>
        <v>Red</v>
      </c>
      <c r="AN74" t="str">
        <f>VLOOKUP($Z74,'oddspedia-matches'!$A:$AD,AN$2,0)</f>
        <v>Green</v>
      </c>
      <c r="AO74" t="str">
        <f>VLOOKUP($Z74,'oddspedia-matches'!$A:$AD,AO$2,0)</f>
        <v>Green</v>
      </c>
      <c r="AP74" t="str">
        <f>VLOOKUP($Z74,'oddspedia-matches'!$A:$AD,AP$2,0)</f>
        <v>Green</v>
      </c>
      <c r="AQ74" t="str">
        <f>VLOOKUP($Z74,'oddspedia-matches'!$A:$AD,AQ$2,0)</f>
        <v>Red</v>
      </c>
    </row>
    <row r="75" spans="2:43" x14ac:dyDescent="0.2">
      <c r="B75" s="17" t="s">
        <v>452</v>
      </c>
      <c r="C75" s="8" t="s">
        <v>95</v>
      </c>
      <c r="D75" s="18">
        <v>0.77083333333333337</v>
      </c>
      <c r="E75" s="8" t="s">
        <v>102</v>
      </c>
      <c r="F75" s="8" t="s">
        <v>103</v>
      </c>
      <c r="G75" s="19"/>
      <c r="H75" s="8">
        <v>35.700000000000003</v>
      </c>
      <c r="I75" s="8">
        <v>31.5</v>
      </c>
      <c r="J75" s="8">
        <v>32.700000000000003</v>
      </c>
      <c r="K75" s="8">
        <v>67.3</v>
      </c>
      <c r="L75" s="8">
        <v>64.3</v>
      </c>
      <c r="M75" s="8">
        <v>68.5</v>
      </c>
      <c r="N75" s="8">
        <v>28.3</v>
      </c>
      <c r="O75" s="8">
        <v>47.6</v>
      </c>
      <c r="P75" s="8">
        <v>24.1</v>
      </c>
      <c r="Q75" s="8">
        <v>63.3</v>
      </c>
      <c r="R75" s="8">
        <v>67.099999999999994</v>
      </c>
      <c r="S75" s="8">
        <v>39.1</v>
      </c>
      <c r="T75" s="8">
        <v>60.9</v>
      </c>
      <c r="U75" s="8">
        <v>65.900000000000006</v>
      </c>
      <c r="V75" s="8">
        <v>47</v>
      </c>
      <c r="W75" s="8">
        <v>53</v>
      </c>
      <c r="X75" t="str">
        <f>VLOOKUP(E75,'Transform table'!A:B,2,0)</f>
        <v>Orense SC</v>
      </c>
      <c r="Y75" t="str">
        <f>VLOOKUP(F75,'Transform table'!A:B,2,0)</f>
        <v>SD Aucas</v>
      </c>
      <c r="Z75" t="str">
        <f t="shared" si="1"/>
        <v>23/07/2026Orense SCSD Aucas</v>
      </c>
      <c r="AA75" t="str">
        <f>VLOOKUP($Z75,'oddspedia-matches'!$A:$AD,AA$2,0)</f>
        <v>2 - 1</v>
      </c>
      <c r="AB75" t="str">
        <f>VLOOKUP($Z75,'oddspedia-matches'!$A:$AD,AB$2,0)</f>
        <v>Green</v>
      </c>
      <c r="AC75" t="str">
        <f>VLOOKUP($Z75,'oddspedia-matches'!$A:$AD,AC$2,0)</f>
        <v>Red</v>
      </c>
      <c r="AD75" t="str">
        <f>VLOOKUP($Z75,'oddspedia-matches'!$A:$AD,AD$2,0)</f>
        <v>Red</v>
      </c>
      <c r="AE75" t="str">
        <f>VLOOKUP($Z75,'oddspedia-matches'!$A:$AD,AE$2,0)</f>
        <v>Green</v>
      </c>
      <c r="AF75" t="str">
        <f>VLOOKUP($Z75,'oddspedia-matches'!$A:$AD,AF$2,0)</f>
        <v>Red</v>
      </c>
      <c r="AG75" t="str">
        <f>VLOOKUP($Z75,'oddspedia-matches'!$A:$AD,AG$2,0)</f>
        <v>Green</v>
      </c>
      <c r="AH75" t="str">
        <f>VLOOKUP($Z75,'oddspedia-matches'!$A:$AD,AH$2,0)</f>
        <v>Red</v>
      </c>
      <c r="AI75" t="str">
        <f>VLOOKUP($Z75,'oddspedia-matches'!$A:$AD,AI$2,0)</f>
        <v>Green</v>
      </c>
      <c r="AJ75" t="str">
        <f>VLOOKUP($Z75,'oddspedia-matches'!$A:$AD,AJ$2,0)</f>
        <v>Red</v>
      </c>
      <c r="AK75" t="str">
        <f>VLOOKUP($Z75,'oddspedia-matches'!$A:$AD,AK$2,0)</f>
        <v>Green</v>
      </c>
      <c r="AL75" t="str">
        <f>VLOOKUP($Z75,'oddspedia-matches'!$A:$AD,AL$2,0)</f>
        <v>Green</v>
      </c>
      <c r="AM75" t="str">
        <f>VLOOKUP($Z75,'oddspedia-matches'!$A:$AD,AM$2,0)</f>
        <v>Green</v>
      </c>
      <c r="AN75" t="str">
        <f>VLOOKUP($Z75,'oddspedia-matches'!$A:$AD,AN$2,0)</f>
        <v>Red</v>
      </c>
      <c r="AO75" t="str">
        <f>VLOOKUP($Z75,'oddspedia-matches'!$A:$AD,AO$2,0)</f>
        <v>Green</v>
      </c>
      <c r="AP75" t="str">
        <f>VLOOKUP($Z75,'oddspedia-matches'!$A:$AD,AP$2,0)</f>
        <v>Green</v>
      </c>
      <c r="AQ75" t="str">
        <f>VLOOKUP($Z75,'oddspedia-matches'!$A:$AD,AQ$2,0)</f>
        <v>Red</v>
      </c>
    </row>
    <row r="76" spans="2:43" x14ac:dyDescent="0.2">
      <c r="B76" s="9" t="s">
        <v>470</v>
      </c>
      <c r="C76" s="7" t="s">
        <v>95</v>
      </c>
      <c r="D76" s="20">
        <v>0.8125</v>
      </c>
      <c r="E76" s="7" t="s">
        <v>104</v>
      </c>
      <c r="F76" s="7" t="s">
        <v>105</v>
      </c>
      <c r="G76" s="21"/>
      <c r="H76" s="7">
        <v>43.5</v>
      </c>
      <c r="I76" s="7">
        <v>31.4</v>
      </c>
      <c r="J76" s="7">
        <v>25.1</v>
      </c>
      <c r="K76" s="7">
        <v>74.900000000000006</v>
      </c>
      <c r="L76" s="7">
        <v>56.5</v>
      </c>
      <c r="M76" s="7">
        <v>68.599999999999994</v>
      </c>
      <c r="N76" s="7">
        <v>26.7</v>
      </c>
      <c r="O76" s="7">
        <v>51.7</v>
      </c>
      <c r="P76" s="7">
        <v>21.6</v>
      </c>
      <c r="Q76" s="7">
        <v>57.4</v>
      </c>
      <c r="R76" s="7">
        <v>64.2</v>
      </c>
      <c r="S76" s="7">
        <v>36</v>
      </c>
      <c r="T76" s="7">
        <v>64</v>
      </c>
      <c r="U76" s="7">
        <v>69.3</v>
      </c>
      <c r="V76" s="7">
        <v>43.2</v>
      </c>
      <c r="W76" s="7">
        <v>56.8</v>
      </c>
      <c r="X76" t="str">
        <f>VLOOKUP(E76,'Transform table'!A:B,2,0)</f>
        <v>Belgrano</v>
      </c>
      <c r="Y76" t="str">
        <f>VLOOKUP(F76,'Transform table'!A:B,2,0)</f>
        <v>Rosario Central</v>
      </c>
      <c r="Z76" t="str">
        <f t="shared" si="1"/>
        <v>23/07/2026BelgranoRosario Central</v>
      </c>
      <c r="AA76" t="str">
        <f>VLOOKUP($Z76,'oddspedia-matches'!$A:$AD,AA$2,0)</f>
        <v>2 - 1</v>
      </c>
      <c r="AB76" t="str">
        <f>VLOOKUP($Z76,'oddspedia-matches'!$A:$AD,AB$2,0)</f>
        <v>Green</v>
      </c>
      <c r="AC76" t="str">
        <f>VLOOKUP($Z76,'oddspedia-matches'!$A:$AD,AC$2,0)</f>
        <v>Red</v>
      </c>
      <c r="AD76" t="str">
        <f>VLOOKUP($Z76,'oddspedia-matches'!$A:$AD,AD$2,0)</f>
        <v>Red</v>
      </c>
      <c r="AE76" t="str">
        <f>VLOOKUP($Z76,'oddspedia-matches'!$A:$AD,AE$2,0)</f>
        <v>Green</v>
      </c>
      <c r="AF76" t="str">
        <f>VLOOKUP($Z76,'oddspedia-matches'!$A:$AD,AF$2,0)</f>
        <v>Red</v>
      </c>
      <c r="AG76" t="str">
        <f>VLOOKUP($Z76,'oddspedia-matches'!$A:$AD,AG$2,0)</f>
        <v>Green</v>
      </c>
      <c r="AH76" t="str">
        <f>VLOOKUP($Z76,'oddspedia-matches'!$A:$AD,AH$2,0)</f>
        <v>Green</v>
      </c>
      <c r="AI76" t="str">
        <f>VLOOKUP($Z76,'oddspedia-matches'!$A:$AD,AI$2,0)</f>
        <v>Red</v>
      </c>
      <c r="AJ76" t="str">
        <f>VLOOKUP($Z76,'oddspedia-matches'!$A:$AD,AJ$2,0)</f>
        <v>Red</v>
      </c>
      <c r="AK76" t="str">
        <f>VLOOKUP($Z76,'oddspedia-matches'!$A:$AD,AK$2,0)</f>
        <v>Green</v>
      </c>
      <c r="AL76" t="str">
        <f>VLOOKUP($Z76,'oddspedia-matches'!$A:$AD,AL$2,0)</f>
        <v>Green</v>
      </c>
      <c r="AM76" t="str">
        <f>VLOOKUP($Z76,'oddspedia-matches'!$A:$AD,AM$2,0)</f>
        <v>Green</v>
      </c>
      <c r="AN76" t="str">
        <f>VLOOKUP($Z76,'oddspedia-matches'!$A:$AD,AN$2,0)</f>
        <v>Red</v>
      </c>
      <c r="AO76" t="str">
        <f>VLOOKUP($Z76,'oddspedia-matches'!$A:$AD,AO$2,0)</f>
        <v>Green</v>
      </c>
      <c r="AP76" t="str">
        <f>VLOOKUP($Z76,'oddspedia-matches'!$A:$AD,AP$2,0)</f>
        <v>Green</v>
      </c>
      <c r="AQ76" t="str">
        <f>VLOOKUP($Z76,'oddspedia-matches'!$A:$AD,AQ$2,0)</f>
        <v>Red</v>
      </c>
    </row>
    <row r="77" spans="2:43" x14ac:dyDescent="0.2">
      <c r="B77" s="17" t="s">
        <v>470</v>
      </c>
      <c r="C77" s="8" t="s">
        <v>95</v>
      </c>
      <c r="D77" s="18">
        <v>0.8125</v>
      </c>
      <c r="E77" s="8" t="s">
        <v>106</v>
      </c>
      <c r="F77" s="8" t="s">
        <v>107</v>
      </c>
      <c r="G77" s="19"/>
      <c r="H77" s="8">
        <v>30.5</v>
      </c>
      <c r="I77" s="8">
        <v>34.9</v>
      </c>
      <c r="J77" s="8">
        <v>34.700000000000003</v>
      </c>
      <c r="K77" s="8">
        <v>65.3</v>
      </c>
      <c r="L77" s="8">
        <v>69.5</v>
      </c>
      <c r="M77" s="8">
        <v>65.099999999999994</v>
      </c>
      <c r="N77" s="8">
        <v>29</v>
      </c>
      <c r="O77" s="8">
        <v>48.7</v>
      </c>
      <c r="P77" s="8">
        <v>22.3</v>
      </c>
      <c r="Q77" s="8">
        <v>61.6</v>
      </c>
      <c r="R77" s="8">
        <v>57.5</v>
      </c>
      <c r="S77" s="8">
        <v>29.2</v>
      </c>
      <c r="T77" s="8">
        <v>70.8</v>
      </c>
      <c r="U77" s="8">
        <v>75.099999999999994</v>
      </c>
      <c r="V77" s="8">
        <v>38.5</v>
      </c>
      <c r="W77" s="8">
        <v>61.5</v>
      </c>
      <c r="X77" t="str">
        <f>VLOOKUP(E77,'Transform table'!A:B,2,0)</f>
        <v>Sarmiento</v>
      </c>
      <c r="Y77" t="str">
        <f>VLOOKUP(F77,'Transform table'!A:B,2,0)</f>
        <v>Argentinos Juniors</v>
      </c>
      <c r="Z77" t="str">
        <f t="shared" si="1"/>
        <v>23/07/2026SarmientoArgentinos Juniors</v>
      </c>
      <c r="AA77" t="str">
        <f>VLOOKUP($Z77,'oddspedia-matches'!$A:$AD,AA$2,0)</f>
        <v>2 - 3</v>
      </c>
      <c r="AB77" t="str">
        <f>VLOOKUP($Z77,'oddspedia-matches'!$A:$AD,AB$2,0)</f>
        <v>Red</v>
      </c>
      <c r="AC77" t="str">
        <f>VLOOKUP($Z77,'oddspedia-matches'!$A:$AD,AC$2,0)</f>
        <v>Red</v>
      </c>
      <c r="AD77" t="str">
        <f>VLOOKUP($Z77,'oddspedia-matches'!$A:$AD,AD$2,0)</f>
        <v>Green</v>
      </c>
      <c r="AE77" t="str">
        <f>VLOOKUP($Z77,'oddspedia-matches'!$A:$AD,AE$2,0)</f>
        <v>Red</v>
      </c>
      <c r="AF77" t="str">
        <f>VLOOKUP($Z77,'oddspedia-matches'!$A:$AD,AF$2,0)</f>
        <v>Green</v>
      </c>
      <c r="AG77" t="str">
        <f>VLOOKUP($Z77,'oddspedia-matches'!$A:$AD,AG$2,0)</f>
        <v>Green</v>
      </c>
      <c r="AH77" t="str">
        <f>VLOOKUP($Z77,'oddspedia-matches'!$A:$AD,AH$2,0)</f>
        <v>Green</v>
      </c>
      <c r="AI77" t="str">
        <f>VLOOKUP($Z77,'oddspedia-matches'!$A:$AD,AI$2,0)</f>
        <v>Red</v>
      </c>
      <c r="AJ77" t="str">
        <f>VLOOKUP($Z77,'oddspedia-matches'!$A:$AD,AJ$2,0)</f>
        <v>Red</v>
      </c>
      <c r="AK77" t="str">
        <f>VLOOKUP($Z77,'oddspedia-matches'!$A:$AD,AK$2,0)</f>
        <v>Green</v>
      </c>
      <c r="AL77" t="str">
        <f>VLOOKUP($Z77,'oddspedia-matches'!$A:$AD,AL$2,0)</f>
        <v>Green</v>
      </c>
      <c r="AM77" t="str">
        <f>VLOOKUP($Z77,'oddspedia-matches'!$A:$AD,AM$2,0)</f>
        <v>Green</v>
      </c>
      <c r="AN77" t="str">
        <f>VLOOKUP($Z77,'oddspedia-matches'!$A:$AD,AN$2,0)</f>
        <v>Red</v>
      </c>
      <c r="AO77" t="str">
        <f>VLOOKUP($Z77,'oddspedia-matches'!$A:$AD,AO$2,0)</f>
        <v>Red</v>
      </c>
      <c r="AP77" t="str">
        <f>VLOOKUP($Z77,'oddspedia-matches'!$A:$AD,AP$2,0)</f>
        <v>Green</v>
      </c>
      <c r="AQ77" t="str">
        <f>VLOOKUP($Z77,'oddspedia-matches'!$A:$AD,AQ$2,0)</f>
        <v>Red</v>
      </c>
    </row>
    <row r="78" spans="2:43" x14ac:dyDescent="0.2">
      <c r="B78" s="9" t="s">
        <v>454</v>
      </c>
      <c r="C78" s="7" t="s">
        <v>95</v>
      </c>
      <c r="D78" s="20">
        <v>0.8125</v>
      </c>
      <c r="E78" s="7" t="s">
        <v>108</v>
      </c>
      <c r="F78" s="7" t="s">
        <v>109</v>
      </c>
      <c r="G78" s="21"/>
      <c r="H78" s="7">
        <v>46.7</v>
      </c>
      <c r="I78" s="7">
        <v>26.3</v>
      </c>
      <c r="J78" s="7">
        <v>27</v>
      </c>
      <c r="K78" s="7">
        <v>73</v>
      </c>
      <c r="L78" s="7">
        <v>53.3</v>
      </c>
      <c r="M78" s="7">
        <v>73.7</v>
      </c>
      <c r="N78" s="7">
        <v>42</v>
      </c>
      <c r="O78" s="7">
        <v>39.200000000000003</v>
      </c>
      <c r="P78" s="7">
        <v>18.899999999999999</v>
      </c>
      <c r="Q78" s="7">
        <v>74.2</v>
      </c>
      <c r="R78" s="7">
        <v>81.900000000000006</v>
      </c>
      <c r="S78" s="7">
        <v>58.9</v>
      </c>
      <c r="T78" s="7">
        <v>41.1</v>
      </c>
      <c r="U78" s="7">
        <v>47.1</v>
      </c>
      <c r="V78" s="7">
        <v>61.4</v>
      </c>
      <c r="W78" s="7">
        <v>38.6</v>
      </c>
      <c r="X78" t="str">
        <f>VLOOKUP(E78,'Transform table'!A:B,2,0)</f>
        <v>Botafogo RJ</v>
      </c>
      <c r="Y78" t="str">
        <f>VLOOKUP(F78,'Transform table'!A:B,2,0)</f>
        <v>Vitoria BA</v>
      </c>
      <c r="Z78" t="str">
        <f t="shared" si="1"/>
        <v>23/07/2026Botafogo RJVitoria BA</v>
      </c>
      <c r="AA78" t="str">
        <f>VLOOKUP($Z78,'oddspedia-matches'!$A:$AD,AA$2,0)</f>
        <v>0 - 0</v>
      </c>
      <c r="AB78" t="str">
        <f>VLOOKUP($Z78,'oddspedia-matches'!$A:$AD,AB$2,0)</f>
        <v>Red</v>
      </c>
      <c r="AC78" t="str">
        <f>VLOOKUP($Z78,'oddspedia-matches'!$A:$AD,AC$2,0)</f>
        <v>Green</v>
      </c>
      <c r="AD78" t="str">
        <f>VLOOKUP($Z78,'oddspedia-matches'!$A:$AD,AD$2,0)</f>
        <v>Red</v>
      </c>
      <c r="AE78" t="str">
        <f>VLOOKUP($Z78,'oddspedia-matches'!$A:$AD,AE$2,0)</f>
        <v>Green</v>
      </c>
      <c r="AF78" t="str">
        <f>VLOOKUP($Z78,'oddspedia-matches'!$A:$AD,AF$2,0)</f>
        <v>Green</v>
      </c>
      <c r="AG78" t="str">
        <f>VLOOKUP($Z78,'oddspedia-matches'!$A:$AD,AG$2,0)</f>
        <v>Red</v>
      </c>
      <c r="AH78" t="str">
        <f>VLOOKUP($Z78,'oddspedia-matches'!$A:$AD,AH$2,0)</f>
        <v>Red</v>
      </c>
      <c r="AI78" t="str">
        <f>VLOOKUP($Z78,'oddspedia-matches'!$A:$AD,AI$2,0)</f>
        <v>Green</v>
      </c>
      <c r="AJ78" t="str">
        <f>VLOOKUP($Z78,'oddspedia-matches'!$A:$AD,AJ$2,0)</f>
        <v>Red</v>
      </c>
      <c r="AK78" t="str">
        <f>VLOOKUP($Z78,'oddspedia-matches'!$A:$AD,AK$2,0)</f>
        <v>Red</v>
      </c>
      <c r="AL78" t="str">
        <f>VLOOKUP($Z78,'oddspedia-matches'!$A:$AD,AL$2,0)</f>
        <v>Red</v>
      </c>
      <c r="AM78" t="str">
        <f>VLOOKUP($Z78,'oddspedia-matches'!$A:$AD,AM$2,0)</f>
        <v>Red</v>
      </c>
      <c r="AN78" t="str">
        <f>VLOOKUP($Z78,'oddspedia-matches'!$A:$AD,AN$2,0)</f>
        <v>Green</v>
      </c>
      <c r="AO78" t="str">
        <f>VLOOKUP($Z78,'oddspedia-matches'!$A:$AD,AO$2,0)</f>
        <v>Green</v>
      </c>
      <c r="AP78" t="str">
        <f>VLOOKUP($Z78,'oddspedia-matches'!$A:$AD,AP$2,0)</f>
        <v>Red</v>
      </c>
      <c r="AQ78" t="str">
        <f>VLOOKUP($Z78,'oddspedia-matches'!$A:$AD,AQ$2,0)</f>
        <v>Green</v>
      </c>
    </row>
    <row r="79" spans="2:43" x14ac:dyDescent="0.2">
      <c r="B79" s="17" t="s">
        <v>454</v>
      </c>
      <c r="C79" s="8" t="s">
        <v>95</v>
      </c>
      <c r="D79" s="18">
        <v>0.8125</v>
      </c>
      <c r="E79" s="8" t="s">
        <v>110</v>
      </c>
      <c r="F79" s="8" t="s">
        <v>111</v>
      </c>
      <c r="G79" s="19"/>
      <c r="H79" s="8">
        <v>47.1</v>
      </c>
      <c r="I79" s="8">
        <v>28.8</v>
      </c>
      <c r="J79" s="8">
        <v>24</v>
      </c>
      <c r="K79" s="8">
        <v>76</v>
      </c>
      <c r="L79" s="8">
        <v>52.9</v>
      </c>
      <c r="M79" s="8">
        <v>71.2</v>
      </c>
      <c r="N79" s="8">
        <v>32.4</v>
      </c>
      <c r="O79" s="8">
        <v>42.6</v>
      </c>
      <c r="P79" s="8">
        <v>25</v>
      </c>
      <c r="Q79" s="8">
        <v>70.8</v>
      </c>
      <c r="R79" s="8">
        <v>71.3</v>
      </c>
      <c r="S79" s="8">
        <v>44.1</v>
      </c>
      <c r="T79" s="8">
        <v>55.9</v>
      </c>
      <c r="U79" s="8">
        <v>61.9</v>
      </c>
      <c r="V79" s="8">
        <v>49.2</v>
      </c>
      <c r="W79" s="8">
        <v>50.8</v>
      </c>
      <c r="X79" t="str">
        <f>VLOOKUP(E79,'Transform table'!A:B,2,0)</f>
        <v>Corinthians</v>
      </c>
      <c r="Y79" t="str">
        <f>VLOOKUP(F79,'Transform table'!A:B,2,0)</f>
        <v>Clube Do Remo</v>
      </c>
      <c r="Z79" t="str">
        <f t="shared" si="1"/>
        <v>23/07/2026CorinthiansClube Do Remo</v>
      </c>
      <c r="AA79" t="str">
        <f>VLOOKUP($Z79,'oddspedia-matches'!$A:$AD,AA$2,0)</f>
        <v>3 - 0</v>
      </c>
      <c r="AB79" t="str">
        <f>VLOOKUP($Z79,'oddspedia-matches'!$A:$AD,AB$2,0)</f>
        <v>Green</v>
      </c>
      <c r="AC79" t="str">
        <f>VLOOKUP($Z79,'oddspedia-matches'!$A:$AD,AC$2,0)</f>
        <v>Red</v>
      </c>
      <c r="AD79" t="str">
        <f>VLOOKUP($Z79,'oddspedia-matches'!$A:$AD,AD$2,0)</f>
        <v>Red</v>
      </c>
      <c r="AE79" t="str">
        <f>VLOOKUP($Z79,'oddspedia-matches'!$A:$AD,AE$2,0)</f>
        <v>Green</v>
      </c>
      <c r="AF79" t="str">
        <f>VLOOKUP($Z79,'oddspedia-matches'!$A:$AD,AF$2,0)</f>
        <v>Red</v>
      </c>
      <c r="AG79" t="str">
        <f>VLOOKUP($Z79,'oddspedia-matches'!$A:$AD,AG$2,0)</f>
        <v>Green</v>
      </c>
      <c r="AH79" t="str">
        <f>VLOOKUP($Z79,'oddspedia-matches'!$A:$AD,AH$2,0)</f>
        <v>Green</v>
      </c>
      <c r="AI79" t="str">
        <f>VLOOKUP($Z79,'oddspedia-matches'!$A:$AD,AI$2,0)</f>
        <v>Red</v>
      </c>
      <c r="AJ79" t="str">
        <f>VLOOKUP($Z79,'oddspedia-matches'!$A:$AD,AJ$2,0)</f>
        <v>Red</v>
      </c>
      <c r="AK79" t="str">
        <f>VLOOKUP($Z79,'oddspedia-matches'!$A:$AD,AK$2,0)</f>
        <v>Green</v>
      </c>
      <c r="AL79" t="str">
        <f>VLOOKUP($Z79,'oddspedia-matches'!$A:$AD,AL$2,0)</f>
        <v>Green</v>
      </c>
      <c r="AM79" t="str">
        <f>VLOOKUP($Z79,'oddspedia-matches'!$A:$AD,AM$2,0)</f>
        <v>Green</v>
      </c>
      <c r="AN79" t="str">
        <f>VLOOKUP($Z79,'oddspedia-matches'!$A:$AD,AN$2,0)</f>
        <v>Red</v>
      </c>
      <c r="AO79" t="str">
        <f>VLOOKUP($Z79,'oddspedia-matches'!$A:$AD,AO$2,0)</f>
        <v>Green</v>
      </c>
      <c r="AP79" t="str">
        <f>VLOOKUP($Z79,'oddspedia-matches'!$A:$AD,AP$2,0)</f>
        <v>Red</v>
      </c>
      <c r="AQ79" t="str">
        <f>VLOOKUP($Z79,'oddspedia-matches'!$A:$AD,AQ$2,0)</f>
        <v>Green</v>
      </c>
    </row>
    <row r="80" spans="2:43" x14ac:dyDescent="0.2">
      <c r="B80" s="9" t="s">
        <v>455</v>
      </c>
      <c r="C80" s="7" t="s">
        <v>95</v>
      </c>
      <c r="D80" s="20">
        <v>0.8125</v>
      </c>
      <c r="E80" s="7" t="s">
        <v>112</v>
      </c>
      <c r="F80" s="7" t="s">
        <v>113</v>
      </c>
      <c r="G80" s="21"/>
      <c r="H80" s="7">
        <v>34.799999999999997</v>
      </c>
      <c r="I80" s="7">
        <v>33</v>
      </c>
      <c r="J80" s="7">
        <v>32.200000000000003</v>
      </c>
      <c r="K80" s="7">
        <v>67.8</v>
      </c>
      <c r="L80" s="7">
        <v>65.2</v>
      </c>
      <c r="M80" s="7">
        <v>67</v>
      </c>
      <c r="N80" s="7">
        <v>31.5</v>
      </c>
      <c r="O80" s="7">
        <v>51.1</v>
      </c>
      <c r="P80" s="7">
        <v>17.399999999999999</v>
      </c>
      <c r="Q80" s="7">
        <v>57.4</v>
      </c>
      <c r="R80" s="7">
        <v>62.7</v>
      </c>
      <c r="S80" s="7">
        <v>34.299999999999997</v>
      </c>
      <c r="T80" s="7">
        <v>65.7</v>
      </c>
      <c r="U80" s="7">
        <v>70.400000000000006</v>
      </c>
      <c r="V80" s="7">
        <v>43</v>
      </c>
      <c r="W80" s="7">
        <v>57</v>
      </c>
      <c r="X80" t="str">
        <f>VLOOKUP(E80,'Transform table'!A:B,2,0)</f>
        <v>Athletic Club MG</v>
      </c>
      <c r="Y80" t="str">
        <f>VLOOKUP(F80,'Transform table'!A:B,2,0)</f>
        <v>Sao Bernardo FC SP</v>
      </c>
      <c r="Z80" t="str">
        <f t="shared" si="1"/>
        <v>23/07/2026Athletic Club MGSao Bernardo FC SP</v>
      </c>
      <c r="AA80" t="str">
        <f>VLOOKUP($Z80,'oddspedia-matches'!$A:$AD,AA$2,0)</f>
        <v>2 - 1</v>
      </c>
      <c r="AB80" t="str">
        <f>VLOOKUP($Z80,'oddspedia-matches'!$A:$AD,AB$2,0)</f>
        <v>Green</v>
      </c>
      <c r="AC80" t="str">
        <f>VLOOKUP($Z80,'oddspedia-matches'!$A:$AD,AC$2,0)</f>
        <v>Red</v>
      </c>
      <c r="AD80" t="str">
        <f>VLOOKUP($Z80,'oddspedia-matches'!$A:$AD,AD$2,0)</f>
        <v>Red</v>
      </c>
      <c r="AE80" t="str">
        <f>VLOOKUP($Z80,'oddspedia-matches'!$A:$AD,AE$2,0)</f>
        <v>Green</v>
      </c>
      <c r="AF80" t="str">
        <f>VLOOKUP($Z80,'oddspedia-matches'!$A:$AD,AF$2,0)</f>
        <v>Red</v>
      </c>
      <c r="AG80" t="str">
        <f>VLOOKUP($Z80,'oddspedia-matches'!$A:$AD,AG$2,0)</f>
        <v>Green</v>
      </c>
      <c r="AH80" t="str">
        <f>VLOOKUP($Z80,'oddspedia-matches'!$A:$AD,AH$2,0)</f>
        <v>Red</v>
      </c>
      <c r="AI80" t="str">
        <f>VLOOKUP($Z80,'oddspedia-matches'!$A:$AD,AI$2,0)</f>
        <v>Green</v>
      </c>
      <c r="AJ80" t="str">
        <f>VLOOKUP($Z80,'oddspedia-matches'!$A:$AD,AJ$2,0)</f>
        <v>Red</v>
      </c>
      <c r="AK80" t="str">
        <f>VLOOKUP($Z80,'oddspedia-matches'!$A:$AD,AK$2,0)</f>
        <v>Green</v>
      </c>
      <c r="AL80" t="str">
        <f>VLOOKUP($Z80,'oddspedia-matches'!$A:$AD,AL$2,0)</f>
        <v>Green</v>
      </c>
      <c r="AM80" t="str">
        <f>VLOOKUP($Z80,'oddspedia-matches'!$A:$AD,AM$2,0)</f>
        <v>Green</v>
      </c>
      <c r="AN80" t="str">
        <f>VLOOKUP($Z80,'oddspedia-matches'!$A:$AD,AN$2,0)</f>
        <v>Red</v>
      </c>
      <c r="AO80" t="str">
        <f>VLOOKUP($Z80,'oddspedia-matches'!$A:$AD,AO$2,0)</f>
        <v>Green</v>
      </c>
      <c r="AP80" t="str">
        <f>VLOOKUP($Z80,'oddspedia-matches'!$A:$AD,AP$2,0)</f>
        <v>Green</v>
      </c>
      <c r="AQ80" t="str">
        <f>VLOOKUP($Z80,'oddspedia-matches'!$A:$AD,AQ$2,0)</f>
        <v>Red</v>
      </c>
    </row>
    <row r="81" spans="2:43" x14ac:dyDescent="0.2">
      <c r="B81" s="17" t="s">
        <v>455</v>
      </c>
      <c r="C81" s="8" t="s">
        <v>95</v>
      </c>
      <c r="D81" s="18">
        <v>0.85416666666666663</v>
      </c>
      <c r="E81" s="8" t="s">
        <v>114</v>
      </c>
      <c r="F81" s="8" t="s">
        <v>115</v>
      </c>
      <c r="G81" s="19"/>
      <c r="H81" s="8">
        <v>40</v>
      </c>
      <c r="I81" s="8">
        <v>34.6</v>
      </c>
      <c r="J81" s="8">
        <v>25.4</v>
      </c>
      <c r="K81" s="8">
        <v>74.599999999999994</v>
      </c>
      <c r="L81" s="8">
        <v>60</v>
      </c>
      <c r="M81" s="8">
        <v>65.400000000000006</v>
      </c>
      <c r="N81" s="8">
        <v>25.1</v>
      </c>
      <c r="O81" s="8">
        <v>52.4</v>
      </c>
      <c r="P81" s="8">
        <v>22.4</v>
      </c>
      <c r="Q81" s="8">
        <v>56.4</v>
      </c>
      <c r="R81" s="8">
        <v>55.4</v>
      </c>
      <c r="S81" s="8">
        <v>27.3</v>
      </c>
      <c r="T81" s="8">
        <v>72.7</v>
      </c>
      <c r="U81" s="8">
        <v>77</v>
      </c>
      <c r="V81" s="8">
        <v>36.1</v>
      </c>
      <c r="W81" s="8">
        <v>63.9</v>
      </c>
      <c r="X81" t="str">
        <f>VLOOKUP(E81,'Transform table'!A:B,2,0)</f>
        <v>Cuiaba</v>
      </c>
      <c r="Y81" t="str">
        <f>VLOOKUP(F81,'Transform table'!A:B,2,0)</f>
        <v>Atletico Goianiense</v>
      </c>
      <c r="Z81" t="str">
        <f t="shared" si="1"/>
        <v>23/07/2026CuiabaAtletico Goianiense</v>
      </c>
      <c r="AA81" t="str">
        <f>VLOOKUP($Z81,'oddspedia-matches'!$A:$AD,AA$2,0)</f>
        <v>0 - 1</v>
      </c>
      <c r="AB81" t="str">
        <f>VLOOKUP($Z81,'oddspedia-matches'!$A:$AD,AB$2,0)</f>
        <v>Red</v>
      </c>
      <c r="AC81" t="str">
        <f>VLOOKUP($Z81,'oddspedia-matches'!$A:$AD,AC$2,0)</f>
        <v>Red</v>
      </c>
      <c r="AD81" t="str">
        <f>VLOOKUP($Z81,'oddspedia-matches'!$A:$AD,AD$2,0)</f>
        <v>Green</v>
      </c>
      <c r="AE81" t="str">
        <f>VLOOKUP($Z81,'oddspedia-matches'!$A:$AD,AE$2,0)</f>
        <v>Red</v>
      </c>
      <c r="AF81" t="str">
        <f>VLOOKUP($Z81,'oddspedia-matches'!$A:$AD,AF$2,0)</f>
        <v>Green</v>
      </c>
      <c r="AG81" t="str">
        <f>VLOOKUP($Z81,'oddspedia-matches'!$A:$AD,AG$2,0)</f>
        <v>Green</v>
      </c>
      <c r="AH81" t="str">
        <f>VLOOKUP($Z81,'oddspedia-matches'!$A:$AD,AH$2,0)</f>
        <v>Red</v>
      </c>
      <c r="AI81" t="str">
        <f>VLOOKUP($Z81,'oddspedia-matches'!$A:$AD,AI$2,0)</f>
        <v>Green</v>
      </c>
      <c r="AJ81" t="str">
        <f>VLOOKUP($Z81,'oddspedia-matches'!$A:$AD,AJ$2,0)</f>
        <v>Red</v>
      </c>
      <c r="AK81" t="str">
        <f>VLOOKUP($Z81,'oddspedia-matches'!$A:$AD,AK$2,0)</f>
        <v>Red</v>
      </c>
      <c r="AL81" t="str">
        <f>VLOOKUP($Z81,'oddspedia-matches'!$A:$AD,AL$2,0)</f>
        <v>Red</v>
      </c>
      <c r="AM81" t="str">
        <f>VLOOKUP($Z81,'oddspedia-matches'!$A:$AD,AM$2,0)</f>
        <v>Red</v>
      </c>
      <c r="AN81" t="str">
        <f>VLOOKUP($Z81,'oddspedia-matches'!$A:$AD,AN$2,0)</f>
        <v>Green</v>
      </c>
      <c r="AO81" t="str">
        <f>VLOOKUP($Z81,'oddspedia-matches'!$A:$AD,AO$2,0)</f>
        <v>Green</v>
      </c>
      <c r="AP81" t="str">
        <f>VLOOKUP($Z81,'oddspedia-matches'!$A:$AD,AP$2,0)</f>
        <v>Red</v>
      </c>
      <c r="AQ81" t="str">
        <f>VLOOKUP($Z81,'oddspedia-matches'!$A:$AD,AQ$2,0)</f>
        <v>Green</v>
      </c>
    </row>
    <row r="82" spans="2:43" x14ac:dyDescent="0.2">
      <c r="B82" s="9" t="s">
        <v>452</v>
      </c>
      <c r="C82" s="7" t="s">
        <v>95</v>
      </c>
      <c r="D82" s="20">
        <v>0.875</v>
      </c>
      <c r="E82" s="7" t="s">
        <v>116</v>
      </c>
      <c r="F82" s="7" t="s">
        <v>117</v>
      </c>
      <c r="G82" s="21"/>
      <c r="H82" s="7">
        <v>42.2</v>
      </c>
      <c r="I82" s="7">
        <v>30.6</v>
      </c>
      <c r="J82" s="7">
        <v>27.2</v>
      </c>
      <c r="K82" s="7">
        <v>72.8</v>
      </c>
      <c r="L82" s="7">
        <v>57.8</v>
      </c>
      <c r="M82" s="7">
        <v>69.400000000000006</v>
      </c>
      <c r="N82" s="7">
        <v>27</v>
      </c>
      <c r="O82" s="7">
        <v>47.3</v>
      </c>
      <c r="P82" s="7">
        <v>25.7</v>
      </c>
      <c r="Q82" s="7">
        <v>64</v>
      </c>
      <c r="R82" s="7">
        <v>67.8</v>
      </c>
      <c r="S82" s="7">
        <v>39.9</v>
      </c>
      <c r="T82" s="7">
        <v>60.1</v>
      </c>
      <c r="U82" s="7">
        <v>65.400000000000006</v>
      </c>
      <c r="V82" s="7">
        <v>46.9</v>
      </c>
      <c r="W82" s="7">
        <v>53.1</v>
      </c>
      <c r="X82" t="str">
        <f>VLOOKUP(E82,'Transform table'!A:B,2,0)</f>
        <v>Emelec</v>
      </c>
      <c r="Y82" t="str">
        <f>VLOOKUP(F82,'Transform table'!A:B,2,0)</f>
        <v>Mushuc Runa</v>
      </c>
      <c r="Z82" t="str">
        <f t="shared" si="1"/>
        <v>23/07/2026EmelecMushuc Runa</v>
      </c>
      <c r="AA82" t="str">
        <f>VLOOKUP($Z82,'oddspedia-matches'!$A:$AD,AA$2,0)</f>
        <v>1 - 1</v>
      </c>
      <c r="AB82" t="str">
        <f>VLOOKUP($Z82,'oddspedia-matches'!$A:$AD,AB$2,0)</f>
        <v>Red</v>
      </c>
      <c r="AC82" t="str">
        <f>VLOOKUP($Z82,'oddspedia-matches'!$A:$AD,AC$2,0)</f>
        <v>Green</v>
      </c>
      <c r="AD82" t="str">
        <f>VLOOKUP($Z82,'oddspedia-matches'!$A:$AD,AD$2,0)</f>
        <v>Red</v>
      </c>
      <c r="AE82" t="str">
        <f>VLOOKUP($Z82,'oddspedia-matches'!$A:$AD,AE$2,0)</f>
        <v>Green</v>
      </c>
      <c r="AF82" t="str">
        <f>VLOOKUP($Z82,'oddspedia-matches'!$A:$AD,AF$2,0)</f>
        <v>Green</v>
      </c>
      <c r="AG82" t="str">
        <f>VLOOKUP($Z82,'oddspedia-matches'!$A:$AD,AG$2,0)</f>
        <v>Red</v>
      </c>
      <c r="AH82" t="str">
        <f>VLOOKUP($Z82,'oddspedia-matches'!$A:$AD,AH$2,0)</f>
        <v>Green</v>
      </c>
      <c r="AI82" t="str">
        <f>VLOOKUP($Z82,'oddspedia-matches'!$A:$AD,AI$2,0)</f>
        <v>Red</v>
      </c>
      <c r="AJ82" t="str">
        <f>VLOOKUP($Z82,'oddspedia-matches'!$A:$AD,AJ$2,0)</f>
        <v>Red</v>
      </c>
      <c r="AK82" t="str">
        <f>VLOOKUP($Z82,'oddspedia-matches'!$A:$AD,AK$2,0)</f>
        <v>Green</v>
      </c>
      <c r="AL82" t="str">
        <f>VLOOKUP($Z82,'oddspedia-matches'!$A:$AD,AL$2,0)</f>
        <v>Green</v>
      </c>
      <c r="AM82" t="str">
        <f>VLOOKUP($Z82,'oddspedia-matches'!$A:$AD,AM$2,0)</f>
        <v>Red</v>
      </c>
      <c r="AN82" t="str">
        <f>VLOOKUP($Z82,'oddspedia-matches'!$A:$AD,AN$2,0)</f>
        <v>Green</v>
      </c>
      <c r="AO82" t="str">
        <f>VLOOKUP($Z82,'oddspedia-matches'!$A:$AD,AO$2,0)</f>
        <v>Green</v>
      </c>
      <c r="AP82" t="str">
        <f>VLOOKUP($Z82,'oddspedia-matches'!$A:$AD,AP$2,0)</f>
        <v>Green</v>
      </c>
      <c r="AQ82" t="str">
        <f>VLOOKUP($Z82,'oddspedia-matches'!$A:$AD,AQ$2,0)</f>
        <v>Red</v>
      </c>
    </row>
    <row r="83" spans="2:43" x14ac:dyDescent="0.2">
      <c r="B83" s="17" t="s">
        <v>455</v>
      </c>
      <c r="C83" s="8" t="s">
        <v>95</v>
      </c>
      <c r="D83" s="18">
        <v>0.89583333333333337</v>
      </c>
      <c r="E83" s="8" t="s">
        <v>118</v>
      </c>
      <c r="F83" s="8" t="s">
        <v>119</v>
      </c>
      <c r="G83" s="19"/>
      <c r="H83" s="8">
        <v>32.200000000000003</v>
      </c>
      <c r="I83" s="8">
        <v>36</v>
      </c>
      <c r="J83" s="8">
        <v>31.8</v>
      </c>
      <c r="K83" s="8">
        <v>68.2</v>
      </c>
      <c r="L83" s="8">
        <v>67.8</v>
      </c>
      <c r="M83" s="8">
        <v>64</v>
      </c>
      <c r="N83" s="8">
        <v>27.5</v>
      </c>
      <c r="O83" s="8">
        <v>52.4</v>
      </c>
      <c r="P83" s="8">
        <v>20.2</v>
      </c>
      <c r="Q83" s="8">
        <v>56.2</v>
      </c>
      <c r="R83" s="8">
        <v>53.9</v>
      </c>
      <c r="S83" s="8">
        <v>25.9</v>
      </c>
      <c r="T83" s="8">
        <v>74.099999999999994</v>
      </c>
      <c r="U83" s="8">
        <v>78</v>
      </c>
      <c r="V83" s="8">
        <v>35.700000000000003</v>
      </c>
      <c r="W83" s="8">
        <v>64.3</v>
      </c>
      <c r="X83" t="str">
        <f>VLOOKUP(E83,'Transform table'!A:B,2,0)</f>
        <v>Botafogo SP</v>
      </c>
      <c r="Y83" t="str">
        <f>VLOOKUP(F83,'Transform table'!A:B,2,0)</f>
        <v>EC Juventude</v>
      </c>
      <c r="Z83" t="str">
        <f t="shared" si="1"/>
        <v>23/07/2026Botafogo SPEC Juventude</v>
      </c>
      <c r="AA83" t="str">
        <f>VLOOKUP($Z83,'oddspedia-matches'!$A:$AD,AA$2,0)</f>
        <v>4 - 2</v>
      </c>
      <c r="AB83" t="str">
        <f>VLOOKUP($Z83,'oddspedia-matches'!$A:$AD,AB$2,0)</f>
        <v>Green</v>
      </c>
      <c r="AC83" t="str">
        <f>VLOOKUP($Z83,'oddspedia-matches'!$A:$AD,AC$2,0)</f>
        <v>Red</v>
      </c>
      <c r="AD83" t="str">
        <f>VLOOKUP($Z83,'oddspedia-matches'!$A:$AD,AD$2,0)</f>
        <v>Red</v>
      </c>
      <c r="AE83" t="str">
        <f>VLOOKUP($Z83,'oddspedia-matches'!$A:$AD,AE$2,0)</f>
        <v>Green</v>
      </c>
      <c r="AF83" t="str">
        <f>VLOOKUP($Z83,'oddspedia-matches'!$A:$AD,AF$2,0)</f>
        <v>Red</v>
      </c>
      <c r="AG83" t="str">
        <f>VLOOKUP($Z83,'oddspedia-matches'!$A:$AD,AG$2,0)</f>
        <v>Green</v>
      </c>
      <c r="AH83" t="str">
        <f>VLOOKUP($Z83,'oddspedia-matches'!$A:$AD,AH$2,0)</f>
        <v>Green</v>
      </c>
      <c r="AI83" t="str">
        <f>VLOOKUP($Z83,'oddspedia-matches'!$A:$AD,AI$2,0)</f>
        <v>Red</v>
      </c>
      <c r="AJ83" t="str">
        <f>VLOOKUP($Z83,'oddspedia-matches'!$A:$AD,AJ$2,0)</f>
        <v>Red</v>
      </c>
      <c r="AK83" t="str">
        <f>VLOOKUP($Z83,'oddspedia-matches'!$A:$AD,AK$2,0)</f>
        <v>Green</v>
      </c>
      <c r="AL83" t="str">
        <f>VLOOKUP($Z83,'oddspedia-matches'!$A:$AD,AL$2,0)</f>
        <v>Green</v>
      </c>
      <c r="AM83" t="str">
        <f>VLOOKUP($Z83,'oddspedia-matches'!$A:$AD,AM$2,0)</f>
        <v>Green</v>
      </c>
      <c r="AN83" t="str">
        <f>VLOOKUP($Z83,'oddspedia-matches'!$A:$AD,AN$2,0)</f>
        <v>Red</v>
      </c>
      <c r="AO83" t="str">
        <f>VLOOKUP($Z83,'oddspedia-matches'!$A:$AD,AO$2,0)</f>
        <v>Red</v>
      </c>
      <c r="AP83" t="str">
        <f>VLOOKUP($Z83,'oddspedia-matches'!$A:$AD,AP$2,0)</f>
        <v>Green</v>
      </c>
      <c r="AQ83" t="str">
        <f>VLOOKUP($Z83,'oddspedia-matches'!$A:$AD,AQ$2,0)</f>
        <v>Red</v>
      </c>
    </row>
    <row r="84" spans="2:43" x14ac:dyDescent="0.2">
      <c r="B84" s="9" t="s">
        <v>470</v>
      </c>
      <c r="C84" s="7" t="s">
        <v>95</v>
      </c>
      <c r="D84" s="20">
        <v>0.90625</v>
      </c>
      <c r="E84" s="7" t="s">
        <v>120</v>
      </c>
      <c r="F84" s="7" t="s">
        <v>121</v>
      </c>
      <c r="G84" s="21"/>
      <c r="H84" s="7">
        <v>48.5</v>
      </c>
      <c r="I84" s="7">
        <v>31</v>
      </c>
      <c r="J84" s="7">
        <v>20.6</v>
      </c>
      <c r="K84" s="7">
        <v>79.400000000000006</v>
      </c>
      <c r="L84" s="7">
        <v>51.5</v>
      </c>
      <c r="M84" s="7">
        <v>69</v>
      </c>
      <c r="N84" s="7">
        <v>40</v>
      </c>
      <c r="O84" s="7">
        <v>46.1</v>
      </c>
      <c r="P84" s="7">
        <v>14</v>
      </c>
      <c r="Q84" s="7">
        <v>62.9</v>
      </c>
      <c r="R84" s="7">
        <v>62.1</v>
      </c>
      <c r="S84" s="7">
        <v>33.799999999999997</v>
      </c>
      <c r="T84" s="7">
        <v>66.2</v>
      </c>
      <c r="U84" s="7">
        <v>71.900000000000006</v>
      </c>
      <c r="V84" s="7">
        <v>39.700000000000003</v>
      </c>
      <c r="W84" s="7">
        <v>60.3</v>
      </c>
      <c r="X84" t="str">
        <f>VLOOKUP(E84,'Transform table'!A:B,2,0)</f>
        <v>Defensa Y Justicia</v>
      </c>
      <c r="Y84" t="str">
        <f>VLOOKUP(F84,'Transform table'!A:B,2,0)</f>
        <v>Aldosivi</v>
      </c>
      <c r="Z84" t="str">
        <f t="shared" si="1"/>
        <v>23/07/2026Defensa Y JusticiaAldosivi</v>
      </c>
      <c r="AA84" t="str">
        <f>VLOOKUP($Z84,'oddspedia-matches'!$A:$AD,AA$2,0)</f>
        <v>1 - 1</v>
      </c>
      <c r="AB84" t="str">
        <f>VLOOKUP($Z84,'oddspedia-matches'!$A:$AD,AB$2,0)</f>
        <v>Red</v>
      </c>
      <c r="AC84" t="str">
        <f>VLOOKUP($Z84,'oddspedia-matches'!$A:$AD,AC$2,0)</f>
        <v>Green</v>
      </c>
      <c r="AD84" t="str">
        <f>VLOOKUP($Z84,'oddspedia-matches'!$A:$AD,AD$2,0)</f>
        <v>Red</v>
      </c>
      <c r="AE84" t="str">
        <f>VLOOKUP($Z84,'oddspedia-matches'!$A:$AD,AE$2,0)</f>
        <v>Green</v>
      </c>
      <c r="AF84" t="str">
        <f>VLOOKUP($Z84,'oddspedia-matches'!$A:$AD,AF$2,0)</f>
        <v>Green</v>
      </c>
      <c r="AG84" t="str">
        <f>VLOOKUP($Z84,'oddspedia-matches'!$A:$AD,AG$2,0)</f>
        <v>Red</v>
      </c>
      <c r="AH84" t="str">
        <f>VLOOKUP($Z84,'oddspedia-matches'!$A:$AD,AH$2,0)</f>
        <v>Red</v>
      </c>
      <c r="AI84" t="str">
        <f>VLOOKUP($Z84,'oddspedia-matches'!$A:$AD,AI$2,0)</f>
        <v>Green</v>
      </c>
      <c r="AJ84" t="str">
        <f>VLOOKUP($Z84,'oddspedia-matches'!$A:$AD,AJ$2,0)</f>
        <v>Red</v>
      </c>
      <c r="AK84" t="str">
        <f>VLOOKUP($Z84,'oddspedia-matches'!$A:$AD,AK$2,0)</f>
        <v>Green</v>
      </c>
      <c r="AL84" t="str">
        <f>VLOOKUP($Z84,'oddspedia-matches'!$A:$AD,AL$2,0)</f>
        <v>Green</v>
      </c>
      <c r="AM84" t="str">
        <f>VLOOKUP($Z84,'oddspedia-matches'!$A:$AD,AM$2,0)</f>
        <v>Red</v>
      </c>
      <c r="AN84" t="str">
        <f>VLOOKUP($Z84,'oddspedia-matches'!$A:$AD,AN$2,0)</f>
        <v>Green</v>
      </c>
      <c r="AO84" t="str">
        <f>VLOOKUP($Z84,'oddspedia-matches'!$A:$AD,AO$2,0)</f>
        <v>Green</v>
      </c>
      <c r="AP84" t="str">
        <f>VLOOKUP($Z84,'oddspedia-matches'!$A:$AD,AP$2,0)</f>
        <v>Green</v>
      </c>
      <c r="AQ84" t="str">
        <f>VLOOKUP($Z84,'oddspedia-matches'!$A:$AD,AQ$2,0)</f>
        <v>Red</v>
      </c>
    </row>
    <row r="85" spans="2:43" x14ac:dyDescent="0.2">
      <c r="B85" s="17" t="s">
        <v>471</v>
      </c>
      <c r="C85" s="8" t="s">
        <v>122</v>
      </c>
      <c r="D85" s="18">
        <v>0.27083333333333331</v>
      </c>
      <c r="E85" s="8" t="s">
        <v>123</v>
      </c>
      <c r="F85" s="8" t="s">
        <v>124</v>
      </c>
      <c r="G85" s="19"/>
      <c r="H85" s="8">
        <v>53.9</v>
      </c>
      <c r="I85" s="8">
        <v>26</v>
      </c>
      <c r="J85" s="8">
        <v>20.100000000000001</v>
      </c>
      <c r="K85" s="8">
        <v>79.900000000000006</v>
      </c>
      <c r="L85" s="8">
        <v>46.1</v>
      </c>
      <c r="M85" s="8">
        <v>74</v>
      </c>
      <c r="N85" s="8">
        <v>37.799999999999997</v>
      </c>
      <c r="O85" s="8">
        <v>42.3</v>
      </c>
      <c r="P85" s="8">
        <v>19.899999999999999</v>
      </c>
      <c r="Q85" s="8">
        <v>70.2</v>
      </c>
      <c r="R85" s="8">
        <v>77.5</v>
      </c>
      <c r="S85" s="8">
        <v>52.3</v>
      </c>
      <c r="T85" s="8">
        <v>47.7</v>
      </c>
      <c r="U85" s="8">
        <v>54.6</v>
      </c>
      <c r="V85" s="8">
        <v>53.7</v>
      </c>
      <c r="W85" s="8">
        <v>46.3</v>
      </c>
      <c r="X85" t="str">
        <f>VLOOKUP(E85,'Transform table'!A:B,2,0)</f>
        <v>Manly United</v>
      </c>
      <c r="Y85" t="str">
        <f>VLOOKUP(F85,'Transform table'!A:B,2,0)</f>
        <v>Sydney Olympic</v>
      </c>
      <c r="Z85" t="str">
        <f t="shared" si="1"/>
        <v>24/07/2026Manly UnitedSydney Olympic</v>
      </c>
      <c r="AA85" t="str">
        <f>VLOOKUP($Z85,'oddspedia-matches'!$A:$AD,AA$2,0)</f>
        <v>4 - 0</v>
      </c>
      <c r="AB85" t="str">
        <f>VLOOKUP($Z85,'oddspedia-matches'!$A:$AD,AB$2,0)</f>
        <v>Green</v>
      </c>
      <c r="AC85" t="str">
        <f>VLOOKUP($Z85,'oddspedia-matches'!$A:$AD,AC$2,0)</f>
        <v>Red</v>
      </c>
      <c r="AD85" t="str">
        <f>VLOOKUP($Z85,'oddspedia-matches'!$A:$AD,AD$2,0)</f>
        <v>Red</v>
      </c>
      <c r="AE85" t="str">
        <f>VLOOKUP($Z85,'oddspedia-matches'!$A:$AD,AE$2,0)</f>
        <v>Green</v>
      </c>
      <c r="AF85" t="str">
        <f>VLOOKUP($Z85,'oddspedia-matches'!$A:$AD,AF$2,0)</f>
        <v>Red</v>
      </c>
      <c r="AG85" t="str">
        <f>VLOOKUP($Z85,'oddspedia-matches'!$A:$AD,AG$2,0)</f>
        <v>Green</v>
      </c>
      <c r="AH85" t="str">
        <f>VLOOKUP($Z85,'oddspedia-matches'!$A:$AD,AH$2,0)</f>
        <v>Green</v>
      </c>
      <c r="AI85" t="str">
        <f>VLOOKUP($Z85,'oddspedia-matches'!$A:$AD,AI$2,0)</f>
        <v>Red</v>
      </c>
      <c r="AJ85" t="str">
        <f>VLOOKUP($Z85,'oddspedia-matches'!$A:$AD,AJ$2,0)</f>
        <v>Red</v>
      </c>
      <c r="AK85" t="str">
        <f>VLOOKUP($Z85,'oddspedia-matches'!$A:$AD,AK$2,0)</f>
        <v>Green</v>
      </c>
      <c r="AL85" t="str">
        <f>VLOOKUP($Z85,'oddspedia-matches'!$A:$AD,AL$2,0)</f>
        <v>Green</v>
      </c>
      <c r="AM85" t="str">
        <f>VLOOKUP($Z85,'oddspedia-matches'!$A:$AD,AM$2,0)</f>
        <v>Green</v>
      </c>
      <c r="AN85" t="str">
        <f>VLOOKUP($Z85,'oddspedia-matches'!$A:$AD,AN$2,0)</f>
        <v>Red</v>
      </c>
      <c r="AO85" t="str">
        <f>VLOOKUP($Z85,'oddspedia-matches'!$A:$AD,AO$2,0)</f>
        <v>Red</v>
      </c>
      <c r="AP85" t="str">
        <f>VLOOKUP($Z85,'oddspedia-matches'!$A:$AD,AP$2,0)</f>
        <v>Red</v>
      </c>
      <c r="AQ85" t="str">
        <f>VLOOKUP($Z85,'oddspedia-matches'!$A:$AD,AQ$2,0)</f>
        <v>Green</v>
      </c>
    </row>
    <row r="86" spans="2:43" x14ac:dyDescent="0.2">
      <c r="B86" s="9" t="s">
        <v>472</v>
      </c>
      <c r="C86" s="7" t="s">
        <v>122</v>
      </c>
      <c r="D86" s="20">
        <v>0.27083333333333331</v>
      </c>
      <c r="E86" s="7" t="s">
        <v>125</v>
      </c>
      <c r="F86" s="7" t="s">
        <v>126</v>
      </c>
      <c r="G86" s="21"/>
      <c r="H86" s="7">
        <v>32.200000000000003</v>
      </c>
      <c r="I86" s="7">
        <v>29</v>
      </c>
      <c r="J86" s="7">
        <v>38.9</v>
      </c>
      <c r="K86" s="7">
        <v>61.1</v>
      </c>
      <c r="L86" s="7">
        <v>67.8</v>
      </c>
      <c r="M86" s="7">
        <v>71</v>
      </c>
      <c r="N86" s="7">
        <v>26.6</v>
      </c>
      <c r="O86" s="7">
        <v>47.4</v>
      </c>
      <c r="P86" s="7">
        <v>26</v>
      </c>
      <c r="Q86" s="7">
        <v>63.9</v>
      </c>
      <c r="R86" s="7">
        <v>76.099999999999994</v>
      </c>
      <c r="S86" s="7">
        <v>50.2</v>
      </c>
      <c r="T86" s="7">
        <v>49.8</v>
      </c>
      <c r="U86" s="7">
        <v>55.3</v>
      </c>
      <c r="V86" s="7">
        <v>55.8</v>
      </c>
      <c r="W86" s="7">
        <v>44.2</v>
      </c>
      <c r="X86" t="str">
        <f>VLOOKUP(E86,'Transform table'!A:B,2,0)</f>
        <v>Green Gully SC</v>
      </c>
      <c r="Y86" t="str">
        <f>VLOOKUP(F86,'Transform table'!A:B,2,0)</f>
        <v>Dandenong City</v>
      </c>
      <c r="Z86" t="str">
        <f t="shared" si="1"/>
        <v>24/07/2026Green Gully SCDandenong City</v>
      </c>
      <c r="AA86" t="str">
        <f>VLOOKUP($Z86,'oddspedia-matches'!$A:$AD,AA$2,0)</f>
        <v>0 - 0</v>
      </c>
      <c r="AB86" t="str">
        <f>VLOOKUP($Z86,'oddspedia-matches'!$A:$AD,AB$2,0)</f>
        <v>Red</v>
      </c>
      <c r="AC86" t="str">
        <f>VLOOKUP($Z86,'oddspedia-matches'!$A:$AD,AC$2,0)</f>
        <v>Green</v>
      </c>
      <c r="AD86" t="str">
        <f>VLOOKUP($Z86,'oddspedia-matches'!$A:$AD,AD$2,0)</f>
        <v>Red</v>
      </c>
      <c r="AE86" t="str">
        <f>VLOOKUP($Z86,'oddspedia-matches'!$A:$AD,AE$2,0)</f>
        <v>Green</v>
      </c>
      <c r="AF86" t="str">
        <f>VLOOKUP($Z86,'oddspedia-matches'!$A:$AD,AF$2,0)</f>
        <v>Green</v>
      </c>
      <c r="AG86" t="str">
        <f>VLOOKUP($Z86,'oddspedia-matches'!$A:$AD,AG$2,0)</f>
        <v>Red</v>
      </c>
      <c r="AH86" t="str">
        <f>VLOOKUP($Z86,'oddspedia-matches'!$A:$AD,AH$2,0)</f>
        <v>Red</v>
      </c>
      <c r="AI86" t="str">
        <f>VLOOKUP($Z86,'oddspedia-matches'!$A:$AD,AI$2,0)</f>
        <v>Green</v>
      </c>
      <c r="AJ86" t="str">
        <f>VLOOKUP($Z86,'oddspedia-matches'!$A:$AD,AJ$2,0)</f>
        <v>Red</v>
      </c>
      <c r="AK86" t="str">
        <f>VLOOKUP($Z86,'oddspedia-matches'!$A:$AD,AK$2,0)</f>
        <v>Red</v>
      </c>
      <c r="AL86" t="str">
        <f>VLOOKUP($Z86,'oddspedia-matches'!$A:$AD,AL$2,0)</f>
        <v>Red</v>
      </c>
      <c r="AM86" t="str">
        <f>VLOOKUP($Z86,'oddspedia-matches'!$A:$AD,AM$2,0)</f>
        <v>Red</v>
      </c>
      <c r="AN86" t="str">
        <f>VLOOKUP($Z86,'oddspedia-matches'!$A:$AD,AN$2,0)</f>
        <v>Green</v>
      </c>
      <c r="AO86" t="str">
        <f>VLOOKUP($Z86,'oddspedia-matches'!$A:$AD,AO$2,0)</f>
        <v>Green</v>
      </c>
      <c r="AP86" t="str">
        <f>VLOOKUP($Z86,'oddspedia-matches'!$A:$AD,AP$2,0)</f>
        <v>Red</v>
      </c>
      <c r="AQ86" t="str">
        <f>VLOOKUP($Z86,'oddspedia-matches'!$A:$AD,AQ$2,0)</f>
        <v>Green</v>
      </c>
    </row>
    <row r="87" spans="2:43" x14ac:dyDescent="0.2">
      <c r="B87" s="17" t="s">
        <v>472</v>
      </c>
      <c r="C87" s="8" t="s">
        <v>122</v>
      </c>
      <c r="D87" s="18">
        <v>0.27083333333333331</v>
      </c>
      <c r="E87" s="8" t="s">
        <v>127</v>
      </c>
      <c r="F87" s="8" t="s">
        <v>128</v>
      </c>
      <c r="G87" s="19"/>
      <c r="H87" s="8">
        <v>48.4</v>
      </c>
      <c r="I87" s="8">
        <v>26.9</v>
      </c>
      <c r="J87" s="8">
        <v>24.7</v>
      </c>
      <c r="K87" s="8">
        <v>75.3</v>
      </c>
      <c r="L87" s="8">
        <v>51.6</v>
      </c>
      <c r="M87" s="8">
        <v>73.099999999999994</v>
      </c>
      <c r="N87" s="8">
        <v>31.8</v>
      </c>
      <c r="O87" s="8">
        <v>43.3</v>
      </c>
      <c r="P87" s="8">
        <v>24.9</v>
      </c>
      <c r="Q87" s="8">
        <v>69.8</v>
      </c>
      <c r="R87" s="8">
        <v>78.3</v>
      </c>
      <c r="S87" s="8">
        <v>53.4</v>
      </c>
      <c r="T87" s="8">
        <v>46.6</v>
      </c>
      <c r="U87" s="8">
        <v>52.8</v>
      </c>
      <c r="V87" s="8">
        <v>56.6</v>
      </c>
      <c r="W87" s="8">
        <v>43.4</v>
      </c>
      <c r="X87" t="str">
        <f>VLOOKUP(E87,'Transform table'!A:B,2,0)</f>
        <v>Heidelberg United</v>
      </c>
      <c r="Y87" t="str">
        <f>VLOOKUP(F87,'Transform table'!A:B,2,0)</f>
        <v>Sunshine George Cross</v>
      </c>
      <c r="Z87" t="str">
        <f t="shared" si="1"/>
        <v>24/07/2026Heidelberg UnitedSunshine George Cross</v>
      </c>
      <c r="AA87" t="str">
        <f>VLOOKUP($Z87,'oddspedia-matches'!$A:$AD,AA$2,0)</f>
        <v>0 - 0</v>
      </c>
      <c r="AB87" t="str">
        <f>VLOOKUP($Z87,'oddspedia-matches'!$A:$AD,AB$2,0)</f>
        <v>Red</v>
      </c>
      <c r="AC87" t="str">
        <f>VLOOKUP($Z87,'oddspedia-matches'!$A:$AD,AC$2,0)</f>
        <v>Green</v>
      </c>
      <c r="AD87" t="str">
        <f>VLOOKUP($Z87,'oddspedia-matches'!$A:$AD,AD$2,0)</f>
        <v>Red</v>
      </c>
      <c r="AE87" t="str">
        <f>VLOOKUP($Z87,'oddspedia-matches'!$A:$AD,AE$2,0)</f>
        <v>Green</v>
      </c>
      <c r="AF87" t="str">
        <f>VLOOKUP($Z87,'oddspedia-matches'!$A:$AD,AF$2,0)</f>
        <v>Green</v>
      </c>
      <c r="AG87" t="str">
        <f>VLOOKUP($Z87,'oddspedia-matches'!$A:$AD,AG$2,0)</f>
        <v>Red</v>
      </c>
      <c r="AH87" t="str">
        <f>VLOOKUP($Z87,'oddspedia-matches'!$A:$AD,AH$2,0)</f>
        <v>Red</v>
      </c>
      <c r="AI87" t="str">
        <f>VLOOKUP($Z87,'oddspedia-matches'!$A:$AD,AI$2,0)</f>
        <v>Green</v>
      </c>
      <c r="AJ87" t="str">
        <f>VLOOKUP($Z87,'oddspedia-matches'!$A:$AD,AJ$2,0)</f>
        <v>Red</v>
      </c>
      <c r="AK87" t="str">
        <f>VLOOKUP($Z87,'oddspedia-matches'!$A:$AD,AK$2,0)</f>
        <v>Red</v>
      </c>
      <c r="AL87" t="str">
        <f>VLOOKUP($Z87,'oddspedia-matches'!$A:$AD,AL$2,0)</f>
        <v>Red</v>
      </c>
      <c r="AM87" t="str">
        <f>VLOOKUP($Z87,'oddspedia-matches'!$A:$AD,AM$2,0)</f>
        <v>Red</v>
      </c>
      <c r="AN87" t="str">
        <f>VLOOKUP($Z87,'oddspedia-matches'!$A:$AD,AN$2,0)</f>
        <v>Green</v>
      </c>
      <c r="AO87" t="str">
        <f>VLOOKUP($Z87,'oddspedia-matches'!$A:$AD,AO$2,0)</f>
        <v>Green</v>
      </c>
      <c r="AP87" t="str">
        <f>VLOOKUP($Z87,'oddspedia-matches'!$A:$AD,AP$2,0)</f>
        <v>Red</v>
      </c>
      <c r="AQ87" t="str">
        <f>VLOOKUP($Z87,'oddspedia-matches'!$A:$AD,AQ$2,0)</f>
        <v>Green</v>
      </c>
    </row>
    <row r="88" spans="2:43" x14ac:dyDescent="0.2">
      <c r="B88" s="9" t="s">
        <v>472</v>
      </c>
      <c r="C88" s="7" t="s">
        <v>122</v>
      </c>
      <c r="D88" s="20">
        <v>0.27083333333333331</v>
      </c>
      <c r="E88" s="7" t="s">
        <v>129</v>
      </c>
      <c r="F88" s="7" t="s">
        <v>130</v>
      </c>
      <c r="G88" s="21"/>
      <c r="H88" s="7">
        <v>30.5</v>
      </c>
      <c r="I88" s="7">
        <v>27.6</v>
      </c>
      <c r="J88" s="7">
        <v>41.9</v>
      </c>
      <c r="K88" s="7">
        <v>58.1</v>
      </c>
      <c r="L88" s="7">
        <v>69.5</v>
      </c>
      <c r="M88" s="7">
        <v>72.400000000000006</v>
      </c>
      <c r="N88" s="7">
        <v>21.8</v>
      </c>
      <c r="O88" s="7">
        <v>40.700000000000003</v>
      </c>
      <c r="P88" s="7">
        <v>37.5</v>
      </c>
      <c r="Q88" s="7">
        <v>73.599999999999994</v>
      </c>
      <c r="R88" s="7">
        <v>80.5</v>
      </c>
      <c r="S88" s="7">
        <v>56.7</v>
      </c>
      <c r="T88" s="7">
        <v>43.3</v>
      </c>
      <c r="U88" s="7">
        <v>49.1</v>
      </c>
      <c r="V88" s="7">
        <v>60.5</v>
      </c>
      <c r="W88" s="7">
        <v>39.5</v>
      </c>
      <c r="X88" t="str">
        <f>VLOOKUP(E88,'Transform table'!A:B,2,0)</f>
        <v>St Albans Saints</v>
      </c>
      <c r="Y88" t="str">
        <f>VLOOKUP(F88,'Transform table'!A:B,2,0)</f>
        <v>Hume City</v>
      </c>
      <c r="Z88" t="str">
        <f t="shared" si="1"/>
        <v>24/07/2026St Albans SaintsHume City</v>
      </c>
      <c r="AA88" t="str">
        <f>VLOOKUP($Z88,'oddspedia-matches'!$A:$AD,AA$2,0)</f>
        <v>3 - 2</v>
      </c>
      <c r="AB88" t="str">
        <f>VLOOKUP($Z88,'oddspedia-matches'!$A:$AD,AB$2,0)</f>
        <v>Green</v>
      </c>
      <c r="AC88" t="str">
        <f>VLOOKUP($Z88,'oddspedia-matches'!$A:$AD,AC$2,0)</f>
        <v>Red</v>
      </c>
      <c r="AD88" t="str">
        <f>VLOOKUP($Z88,'oddspedia-matches'!$A:$AD,AD$2,0)</f>
        <v>Red</v>
      </c>
      <c r="AE88" t="str">
        <f>VLOOKUP($Z88,'oddspedia-matches'!$A:$AD,AE$2,0)</f>
        <v>Green</v>
      </c>
      <c r="AF88" t="str">
        <f>VLOOKUP($Z88,'oddspedia-matches'!$A:$AD,AF$2,0)</f>
        <v>Red</v>
      </c>
      <c r="AG88" t="str">
        <f>VLOOKUP($Z88,'oddspedia-matches'!$A:$AD,AG$2,0)</f>
        <v>Green</v>
      </c>
      <c r="AH88" t="str">
        <f>VLOOKUP($Z88,'oddspedia-matches'!$A:$AD,AH$2,0)</f>
        <v>Green</v>
      </c>
      <c r="AI88" t="str">
        <f>VLOOKUP($Z88,'oddspedia-matches'!$A:$AD,AI$2,0)</f>
        <v>Red</v>
      </c>
      <c r="AJ88" t="str">
        <f>VLOOKUP($Z88,'oddspedia-matches'!$A:$AD,AJ$2,0)</f>
        <v>Red</v>
      </c>
      <c r="AK88" t="str">
        <f>VLOOKUP($Z88,'oddspedia-matches'!$A:$AD,AK$2,0)</f>
        <v>Green</v>
      </c>
      <c r="AL88" t="str">
        <f>VLOOKUP($Z88,'oddspedia-matches'!$A:$AD,AL$2,0)</f>
        <v>Green</v>
      </c>
      <c r="AM88" t="str">
        <f>VLOOKUP($Z88,'oddspedia-matches'!$A:$AD,AM$2,0)</f>
        <v>Green</v>
      </c>
      <c r="AN88" t="str">
        <f>VLOOKUP($Z88,'oddspedia-matches'!$A:$AD,AN$2,0)</f>
        <v>Red</v>
      </c>
      <c r="AO88" t="str">
        <f>VLOOKUP($Z88,'oddspedia-matches'!$A:$AD,AO$2,0)</f>
        <v>Red</v>
      </c>
      <c r="AP88" t="str">
        <f>VLOOKUP($Z88,'oddspedia-matches'!$A:$AD,AP$2,0)</f>
        <v>Green</v>
      </c>
      <c r="AQ88" t="str">
        <f>VLOOKUP($Z88,'oddspedia-matches'!$A:$AD,AQ$2,0)</f>
        <v>Red</v>
      </c>
    </row>
    <row r="89" spans="2:43" x14ac:dyDescent="0.2">
      <c r="B89" s="17" t="s">
        <v>472</v>
      </c>
      <c r="C89" s="8" t="s">
        <v>122</v>
      </c>
      <c r="D89" s="18">
        <v>0.30208333333333331</v>
      </c>
      <c r="E89" s="8" t="s">
        <v>131</v>
      </c>
      <c r="F89" s="8" t="s">
        <v>132</v>
      </c>
      <c r="G89" s="19"/>
      <c r="H89" s="8">
        <v>56.6</v>
      </c>
      <c r="I89" s="8">
        <v>24.4</v>
      </c>
      <c r="J89" s="8">
        <v>19</v>
      </c>
      <c r="K89" s="8">
        <v>81</v>
      </c>
      <c r="L89" s="8">
        <v>43.4</v>
      </c>
      <c r="M89" s="8">
        <v>75.599999999999994</v>
      </c>
      <c r="N89" s="8">
        <v>43.7</v>
      </c>
      <c r="O89" s="8">
        <v>38.299999999999997</v>
      </c>
      <c r="P89" s="8">
        <v>17.899999999999999</v>
      </c>
      <c r="Q89" s="8">
        <v>75</v>
      </c>
      <c r="R89" s="8">
        <v>83.1</v>
      </c>
      <c r="S89" s="8">
        <v>60.9</v>
      </c>
      <c r="T89" s="8">
        <v>39.1</v>
      </c>
      <c r="U89" s="8">
        <v>46.2</v>
      </c>
      <c r="V89" s="8">
        <v>59.6</v>
      </c>
      <c r="W89" s="8">
        <v>40.4</v>
      </c>
      <c r="X89" t="str">
        <f>VLOOKUP(E89,'Transform table'!A:B,2,0)</f>
        <v>Oakleigh Cannons</v>
      </c>
      <c r="Y89" t="str">
        <f>VLOOKUP(F89,'Transform table'!A:B,2,0)</f>
        <v>South Melbourne FC</v>
      </c>
      <c r="Z89" t="str">
        <f t="shared" si="1"/>
        <v>24/07/2026Oakleigh CannonsSouth Melbourne FC</v>
      </c>
      <c r="AA89" t="str">
        <f>VLOOKUP($Z89,'oddspedia-matches'!$A:$AD,AA$2,0)</f>
        <v>1 - 2</v>
      </c>
      <c r="AB89" t="str">
        <f>VLOOKUP($Z89,'oddspedia-matches'!$A:$AD,AB$2,0)</f>
        <v>Red</v>
      </c>
      <c r="AC89" t="str">
        <f>VLOOKUP($Z89,'oddspedia-matches'!$A:$AD,AC$2,0)</f>
        <v>Red</v>
      </c>
      <c r="AD89" t="str">
        <f>VLOOKUP($Z89,'oddspedia-matches'!$A:$AD,AD$2,0)</f>
        <v>Green</v>
      </c>
      <c r="AE89" t="str">
        <f>VLOOKUP($Z89,'oddspedia-matches'!$A:$AD,AE$2,0)</f>
        <v>Red</v>
      </c>
      <c r="AF89" t="str">
        <f>VLOOKUP($Z89,'oddspedia-matches'!$A:$AD,AF$2,0)</f>
        <v>Green</v>
      </c>
      <c r="AG89" t="str">
        <f>VLOOKUP($Z89,'oddspedia-matches'!$A:$AD,AG$2,0)</f>
        <v>Green</v>
      </c>
      <c r="AH89" t="str">
        <f>VLOOKUP($Z89,'oddspedia-matches'!$A:$AD,AH$2,0)</f>
        <v>Red</v>
      </c>
      <c r="AI89" t="str">
        <f>VLOOKUP($Z89,'oddspedia-matches'!$A:$AD,AI$2,0)</f>
        <v>Green</v>
      </c>
      <c r="AJ89" t="str">
        <f>VLOOKUP($Z89,'oddspedia-matches'!$A:$AD,AJ$2,0)</f>
        <v>Red</v>
      </c>
      <c r="AK89" t="str">
        <f>VLOOKUP($Z89,'oddspedia-matches'!$A:$AD,AK$2,0)</f>
        <v>Red</v>
      </c>
      <c r="AL89" t="str">
        <f>VLOOKUP($Z89,'oddspedia-matches'!$A:$AD,AL$2,0)</f>
        <v>Green</v>
      </c>
      <c r="AM89" t="str">
        <f>VLOOKUP($Z89,'oddspedia-matches'!$A:$AD,AM$2,0)</f>
        <v>Green</v>
      </c>
      <c r="AN89" t="str">
        <f>VLOOKUP($Z89,'oddspedia-matches'!$A:$AD,AN$2,0)</f>
        <v>Red</v>
      </c>
      <c r="AO89" t="str">
        <f>VLOOKUP($Z89,'oddspedia-matches'!$A:$AD,AO$2,0)</f>
        <v>Green</v>
      </c>
      <c r="AP89" t="str">
        <f>VLOOKUP($Z89,'oddspedia-matches'!$A:$AD,AP$2,0)</f>
        <v>Green</v>
      </c>
      <c r="AQ89" t="str">
        <f>VLOOKUP($Z89,'oddspedia-matches'!$A:$AD,AQ$2,0)</f>
        <v>Red</v>
      </c>
    </row>
    <row r="90" spans="2:43" x14ac:dyDescent="0.2">
      <c r="B90" s="9" t="s">
        <v>472</v>
      </c>
      <c r="C90" s="7" t="s">
        <v>122</v>
      </c>
      <c r="D90" s="20">
        <v>0.3125</v>
      </c>
      <c r="E90" s="7" t="s">
        <v>133</v>
      </c>
      <c r="F90" s="7" t="s">
        <v>134</v>
      </c>
      <c r="G90" s="21"/>
      <c r="H90" s="7">
        <v>65.8</v>
      </c>
      <c r="I90" s="7">
        <v>22.5</v>
      </c>
      <c r="J90" s="7">
        <v>11.7</v>
      </c>
      <c r="K90" s="7">
        <v>88.3</v>
      </c>
      <c r="L90" s="7">
        <v>34.200000000000003</v>
      </c>
      <c r="M90" s="7">
        <v>77.5</v>
      </c>
      <c r="N90" s="7">
        <v>54.4</v>
      </c>
      <c r="O90" s="7">
        <v>36.700000000000003</v>
      </c>
      <c r="P90" s="7">
        <v>8.8000000000000007</v>
      </c>
      <c r="Q90" s="7">
        <v>71.7</v>
      </c>
      <c r="R90" s="7">
        <v>78.099999999999994</v>
      </c>
      <c r="S90" s="7">
        <v>53.4</v>
      </c>
      <c r="T90" s="7">
        <v>46.6</v>
      </c>
      <c r="U90" s="7">
        <v>56</v>
      </c>
      <c r="V90" s="7">
        <v>47.4</v>
      </c>
      <c r="W90" s="7">
        <v>52.6</v>
      </c>
      <c r="X90" t="str">
        <f>VLOOKUP(E90,'Transform table'!A:B,2,0)</f>
        <v>Preston Lions</v>
      </c>
      <c r="Y90" t="str">
        <f>VLOOKUP(F90,'Transform table'!A:B,2,0)</f>
        <v>Bentleigh Greens</v>
      </c>
      <c r="Z90" t="str">
        <f t="shared" si="1"/>
        <v>24/07/2026Preston LionsBentleigh Greens</v>
      </c>
      <c r="AA90" t="str">
        <f>VLOOKUP($Z90,'oddspedia-matches'!$A:$AD,AA$2,0)</f>
        <v>1 - 0</v>
      </c>
      <c r="AB90" t="str">
        <f>VLOOKUP($Z90,'oddspedia-matches'!$A:$AD,AB$2,0)</f>
        <v>Green</v>
      </c>
      <c r="AC90" t="str">
        <f>VLOOKUP($Z90,'oddspedia-matches'!$A:$AD,AC$2,0)</f>
        <v>Red</v>
      </c>
      <c r="AD90" t="str">
        <f>VLOOKUP($Z90,'oddspedia-matches'!$A:$AD,AD$2,0)</f>
        <v>Red</v>
      </c>
      <c r="AE90" t="str">
        <f>VLOOKUP($Z90,'oddspedia-matches'!$A:$AD,AE$2,0)</f>
        <v>Green</v>
      </c>
      <c r="AF90" t="str">
        <f>VLOOKUP($Z90,'oddspedia-matches'!$A:$AD,AF$2,0)</f>
        <v>Red</v>
      </c>
      <c r="AG90" t="str">
        <f>VLOOKUP($Z90,'oddspedia-matches'!$A:$AD,AG$2,0)</f>
        <v>Green</v>
      </c>
      <c r="AH90" t="str">
        <f>VLOOKUP($Z90,'oddspedia-matches'!$A:$AD,AH$2,0)</f>
        <v>Green</v>
      </c>
      <c r="AI90" t="str">
        <f>VLOOKUP($Z90,'oddspedia-matches'!$A:$AD,AI$2,0)</f>
        <v>Red</v>
      </c>
      <c r="AJ90" t="str">
        <f>VLOOKUP($Z90,'oddspedia-matches'!$A:$AD,AJ$2,0)</f>
        <v>Red</v>
      </c>
      <c r="AK90" t="str">
        <f>VLOOKUP($Z90,'oddspedia-matches'!$A:$AD,AK$2,0)</f>
        <v>Green</v>
      </c>
      <c r="AL90" t="str">
        <f>VLOOKUP($Z90,'oddspedia-matches'!$A:$AD,AL$2,0)</f>
        <v>Red</v>
      </c>
      <c r="AM90" t="str">
        <f>VLOOKUP($Z90,'oddspedia-matches'!$A:$AD,AM$2,0)</f>
        <v>Red</v>
      </c>
      <c r="AN90" t="str">
        <f>VLOOKUP($Z90,'oddspedia-matches'!$A:$AD,AN$2,0)</f>
        <v>Green</v>
      </c>
      <c r="AO90" t="str">
        <f>VLOOKUP($Z90,'oddspedia-matches'!$A:$AD,AO$2,0)</f>
        <v>Green</v>
      </c>
      <c r="AP90" t="str">
        <f>VLOOKUP($Z90,'oddspedia-matches'!$A:$AD,AP$2,0)</f>
        <v>Red</v>
      </c>
      <c r="AQ90" t="str">
        <f>VLOOKUP($Z90,'oddspedia-matches'!$A:$AD,AQ$2,0)</f>
        <v>Green</v>
      </c>
    </row>
    <row r="91" spans="2:43" x14ac:dyDescent="0.2">
      <c r="B91" s="17" t="s">
        <v>473</v>
      </c>
      <c r="C91" s="8" t="s">
        <v>122</v>
      </c>
      <c r="D91" s="18">
        <v>0.3125</v>
      </c>
      <c r="E91" s="8" t="s">
        <v>135</v>
      </c>
      <c r="F91" s="8" t="s">
        <v>136</v>
      </c>
      <c r="G91" s="19"/>
      <c r="H91" s="8">
        <v>33.5</v>
      </c>
      <c r="I91" s="8">
        <v>27.9</v>
      </c>
      <c r="J91" s="8">
        <v>38.6</v>
      </c>
      <c r="K91" s="8">
        <v>61.4</v>
      </c>
      <c r="L91" s="8">
        <v>66.5</v>
      </c>
      <c r="M91" s="8">
        <v>72.099999999999994</v>
      </c>
      <c r="N91" s="8">
        <v>22.3</v>
      </c>
      <c r="O91" s="8">
        <v>48.2</v>
      </c>
      <c r="P91" s="8">
        <v>29.4</v>
      </c>
      <c r="Q91" s="8">
        <v>62.5</v>
      </c>
      <c r="R91" s="8">
        <v>79.8</v>
      </c>
      <c r="S91" s="8">
        <v>55.6</v>
      </c>
      <c r="T91" s="8">
        <v>44.4</v>
      </c>
      <c r="U91" s="8">
        <v>50</v>
      </c>
      <c r="V91" s="8">
        <v>60</v>
      </c>
      <c r="W91" s="8">
        <v>40</v>
      </c>
      <c r="X91" t="str">
        <f>VLOOKUP(E91,'Transform table'!A:B,2,0)</f>
        <v>Gimhae City</v>
      </c>
      <c r="Y91" t="str">
        <f>VLOOKUP(F91,'Transform table'!A:B,2,0)</f>
        <v>Chungbuk Cheongju</v>
      </c>
      <c r="Z91" t="str">
        <f t="shared" si="1"/>
        <v>24/07/2026Gimhae CityChungbuk Cheongju</v>
      </c>
      <c r="AA91" t="str">
        <f>VLOOKUP($Z91,'oddspedia-matches'!$A:$AD,AA$2,0)</f>
        <v>1 - 1</v>
      </c>
      <c r="AB91" t="str">
        <f>VLOOKUP($Z91,'oddspedia-matches'!$A:$AD,AB$2,0)</f>
        <v>Red</v>
      </c>
      <c r="AC91" t="str">
        <f>VLOOKUP($Z91,'oddspedia-matches'!$A:$AD,AC$2,0)</f>
        <v>Green</v>
      </c>
      <c r="AD91" t="str">
        <f>VLOOKUP($Z91,'oddspedia-matches'!$A:$AD,AD$2,0)</f>
        <v>Red</v>
      </c>
      <c r="AE91" t="str">
        <f>VLOOKUP($Z91,'oddspedia-matches'!$A:$AD,AE$2,0)</f>
        <v>Green</v>
      </c>
      <c r="AF91" t="str">
        <f>VLOOKUP($Z91,'oddspedia-matches'!$A:$AD,AF$2,0)</f>
        <v>Green</v>
      </c>
      <c r="AG91" t="str">
        <f>VLOOKUP($Z91,'oddspedia-matches'!$A:$AD,AG$2,0)</f>
        <v>Red</v>
      </c>
      <c r="AH91" t="str">
        <f>VLOOKUP($Z91,'oddspedia-matches'!$A:$AD,AH$2,0)</f>
        <v>Red</v>
      </c>
      <c r="AI91" t="str">
        <f>VLOOKUP($Z91,'oddspedia-matches'!$A:$AD,AI$2,0)</f>
        <v>Green</v>
      </c>
      <c r="AJ91" t="str">
        <f>VLOOKUP($Z91,'oddspedia-matches'!$A:$AD,AJ$2,0)</f>
        <v>Red</v>
      </c>
      <c r="AK91" t="str">
        <f>VLOOKUP($Z91,'oddspedia-matches'!$A:$AD,AK$2,0)</f>
        <v>Red</v>
      </c>
      <c r="AL91" t="str">
        <f>VLOOKUP($Z91,'oddspedia-matches'!$A:$AD,AL$2,0)</f>
        <v>Green</v>
      </c>
      <c r="AM91" t="str">
        <f>VLOOKUP($Z91,'oddspedia-matches'!$A:$AD,AM$2,0)</f>
        <v>Red</v>
      </c>
      <c r="AN91" t="str">
        <f>VLOOKUP($Z91,'oddspedia-matches'!$A:$AD,AN$2,0)</f>
        <v>Green</v>
      </c>
      <c r="AO91" t="str">
        <f>VLOOKUP($Z91,'oddspedia-matches'!$A:$AD,AO$2,0)</f>
        <v>Green</v>
      </c>
      <c r="AP91" t="str">
        <f>VLOOKUP($Z91,'oddspedia-matches'!$A:$AD,AP$2,0)</f>
        <v>Green</v>
      </c>
      <c r="AQ91" t="str">
        <f>VLOOKUP($Z91,'oddspedia-matches'!$A:$AD,AQ$2,0)</f>
        <v>Red</v>
      </c>
    </row>
    <row r="92" spans="2:43" x14ac:dyDescent="0.2">
      <c r="B92" s="9" t="s">
        <v>473</v>
      </c>
      <c r="C92" s="7" t="s">
        <v>122</v>
      </c>
      <c r="D92" s="20">
        <v>0.3125</v>
      </c>
      <c r="E92" s="7" t="s">
        <v>137</v>
      </c>
      <c r="F92" s="7" t="s">
        <v>138</v>
      </c>
      <c r="G92" s="21"/>
      <c r="H92" s="7">
        <v>49.2</v>
      </c>
      <c r="I92" s="7">
        <v>27</v>
      </c>
      <c r="J92" s="7">
        <v>23.8</v>
      </c>
      <c r="K92" s="7">
        <v>76.2</v>
      </c>
      <c r="L92" s="7">
        <v>50.8</v>
      </c>
      <c r="M92" s="7">
        <v>73</v>
      </c>
      <c r="N92" s="7">
        <v>36.4</v>
      </c>
      <c r="O92" s="7">
        <v>46.5</v>
      </c>
      <c r="P92" s="7">
        <v>17.100000000000001</v>
      </c>
      <c r="Q92" s="7">
        <v>63.4</v>
      </c>
      <c r="R92" s="7">
        <v>77.3</v>
      </c>
      <c r="S92" s="7">
        <v>52</v>
      </c>
      <c r="T92" s="7">
        <v>48</v>
      </c>
      <c r="U92" s="7">
        <v>54.3</v>
      </c>
      <c r="V92" s="7">
        <v>55.1</v>
      </c>
      <c r="W92" s="7">
        <v>44.9</v>
      </c>
      <c r="X92" t="str">
        <f>VLOOKUP(E92,'Transform table'!A:B,2,0)</f>
        <v>Seoul E-Land</v>
      </c>
      <c r="Y92" t="str">
        <f>VLOOKUP(F92,'Transform table'!A:B,2,0)</f>
        <v>Cheonan City</v>
      </c>
      <c r="Z92" t="str">
        <f t="shared" si="1"/>
        <v>24/07/2026Seoul E-LandCheonan City</v>
      </c>
      <c r="AA92" t="str">
        <f>VLOOKUP($Z92,'oddspedia-matches'!$A:$AD,AA$2,0)</f>
        <v>4 - 3</v>
      </c>
      <c r="AB92" t="str">
        <f>VLOOKUP($Z92,'oddspedia-matches'!$A:$AD,AB$2,0)</f>
        <v>Green</v>
      </c>
      <c r="AC92" t="str">
        <f>VLOOKUP($Z92,'oddspedia-matches'!$A:$AD,AC$2,0)</f>
        <v>Red</v>
      </c>
      <c r="AD92" t="str">
        <f>VLOOKUP($Z92,'oddspedia-matches'!$A:$AD,AD$2,0)</f>
        <v>Red</v>
      </c>
      <c r="AE92" t="str">
        <f>VLOOKUP($Z92,'oddspedia-matches'!$A:$AD,AE$2,0)</f>
        <v>Green</v>
      </c>
      <c r="AF92" t="str">
        <f>VLOOKUP($Z92,'oddspedia-matches'!$A:$AD,AF$2,0)</f>
        <v>Red</v>
      </c>
      <c r="AG92" t="str">
        <f>VLOOKUP($Z92,'oddspedia-matches'!$A:$AD,AG$2,0)</f>
        <v>Green</v>
      </c>
      <c r="AH92" t="str">
        <f>VLOOKUP($Z92,'oddspedia-matches'!$A:$AD,AH$2,0)</f>
        <v>Red</v>
      </c>
      <c r="AI92" t="str">
        <f>VLOOKUP($Z92,'oddspedia-matches'!$A:$AD,AI$2,0)</f>
        <v>Green</v>
      </c>
      <c r="AJ92" t="str">
        <f>VLOOKUP($Z92,'oddspedia-matches'!$A:$AD,AJ$2,0)</f>
        <v>Red</v>
      </c>
      <c r="AK92" t="str">
        <f>VLOOKUP($Z92,'oddspedia-matches'!$A:$AD,AK$2,0)</f>
        <v>Green</v>
      </c>
      <c r="AL92" t="str">
        <f>VLOOKUP($Z92,'oddspedia-matches'!$A:$AD,AL$2,0)</f>
        <v>Green</v>
      </c>
      <c r="AM92" t="str">
        <f>VLOOKUP($Z92,'oddspedia-matches'!$A:$AD,AM$2,0)</f>
        <v>Green</v>
      </c>
      <c r="AN92" t="str">
        <f>VLOOKUP($Z92,'oddspedia-matches'!$A:$AD,AN$2,0)</f>
        <v>Red</v>
      </c>
      <c r="AO92" t="str">
        <f>VLOOKUP($Z92,'oddspedia-matches'!$A:$AD,AO$2,0)</f>
        <v>Red</v>
      </c>
      <c r="AP92" t="str">
        <f>VLOOKUP($Z92,'oddspedia-matches'!$A:$AD,AP$2,0)</f>
        <v>Green</v>
      </c>
      <c r="AQ92" t="str">
        <f>VLOOKUP($Z92,'oddspedia-matches'!$A:$AD,AQ$2,0)</f>
        <v>Red</v>
      </c>
    </row>
    <row r="93" spans="2:43" x14ac:dyDescent="0.2">
      <c r="B93" s="17" t="s">
        <v>450</v>
      </c>
      <c r="C93" s="8" t="s">
        <v>122</v>
      </c>
      <c r="D93" s="18">
        <v>0.45833333333333331</v>
      </c>
      <c r="E93" s="8" t="s">
        <v>139</v>
      </c>
      <c r="F93" s="8" t="s">
        <v>140</v>
      </c>
      <c r="G93" s="19"/>
      <c r="H93" s="8">
        <v>66</v>
      </c>
      <c r="I93" s="8">
        <v>22.9</v>
      </c>
      <c r="J93" s="8">
        <v>11.1</v>
      </c>
      <c r="K93" s="8">
        <v>88.9</v>
      </c>
      <c r="L93" s="8">
        <v>34</v>
      </c>
      <c r="M93" s="8">
        <v>77.099999999999994</v>
      </c>
      <c r="N93" s="8">
        <v>45.4</v>
      </c>
      <c r="O93" s="8">
        <v>42.6</v>
      </c>
      <c r="P93" s="8">
        <v>11.9</v>
      </c>
      <c r="Q93" s="8">
        <v>66.3</v>
      </c>
      <c r="R93" s="8">
        <v>74.5</v>
      </c>
      <c r="S93" s="8">
        <v>48.5</v>
      </c>
      <c r="T93" s="8">
        <v>51.5</v>
      </c>
      <c r="U93" s="8">
        <v>61.1</v>
      </c>
      <c r="V93" s="8">
        <v>42.9</v>
      </c>
      <c r="W93" s="8">
        <v>57.1</v>
      </c>
      <c r="X93" t="str">
        <f>VLOOKUP(E93,'Transform table'!A:B,2,0)</f>
        <v>FK Panevezys</v>
      </c>
      <c r="Y93" t="str">
        <f>VLOOKUP(F93,'Transform table'!A:B,2,0)</f>
        <v>Kauno Zalgiris</v>
      </c>
      <c r="Z93" t="str">
        <f t="shared" si="1"/>
        <v>24/07/2026FK PanevezysKauno Zalgiris</v>
      </c>
      <c r="AA93" t="e">
        <f>VLOOKUP($Z93,'oddspedia-matches'!$A:$AD,AA$2,0)</f>
        <v>#N/A</v>
      </c>
      <c r="AB93" t="e">
        <f>VLOOKUP($Z93,'oddspedia-matches'!$A:$AD,AB$2,0)</f>
        <v>#N/A</v>
      </c>
      <c r="AC93" t="e">
        <f>VLOOKUP($Z93,'oddspedia-matches'!$A:$AD,AC$2,0)</f>
        <v>#N/A</v>
      </c>
      <c r="AD93" t="e">
        <f>VLOOKUP($Z93,'oddspedia-matches'!$A:$AD,AD$2,0)</f>
        <v>#N/A</v>
      </c>
      <c r="AE93" t="e">
        <f>VLOOKUP($Z93,'oddspedia-matches'!$A:$AD,AE$2,0)</f>
        <v>#N/A</v>
      </c>
      <c r="AF93" t="e">
        <f>VLOOKUP($Z93,'oddspedia-matches'!$A:$AD,AF$2,0)</f>
        <v>#N/A</v>
      </c>
      <c r="AG93" t="e">
        <f>VLOOKUP($Z93,'oddspedia-matches'!$A:$AD,AG$2,0)</f>
        <v>#N/A</v>
      </c>
      <c r="AH93" t="e">
        <f>VLOOKUP($Z93,'oddspedia-matches'!$A:$AD,AH$2,0)</f>
        <v>#N/A</v>
      </c>
      <c r="AI93" t="e">
        <f>VLOOKUP($Z93,'oddspedia-matches'!$A:$AD,AI$2,0)</f>
        <v>#N/A</v>
      </c>
      <c r="AJ93" t="e">
        <f>VLOOKUP($Z93,'oddspedia-matches'!$A:$AD,AJ$2,0)</f>
        <v>#N/A</v>
      </c>
      <c r="AK93" t="e">
        <f>VLOOKUP($Z93,'oddspedia-matches'!$A:$AD,AK$2,0)</f>
        <v>#N/A</v>
      </c>
      <c r="AL93" t="e">
        <f>VLOOKUP($Z93,'oddspedia-matches'!$A:$AD,AL$2,0)</f>
        <v>#N/A</v>
      </c>
      <c r="AM93" t="e">
        <f>VLOOKUP($Z93,'oddspedia-matches'!$A:$AD,AM$2,0)</f>
        <v>#N/A</v>
      </c>
      <c r="AN93" t="e">
        <f>VLOOKUP($Z93,'oddspedia-matches'!$A:$AD,AN$2,0)</f>
        <v>#N/A</v>
      </c>
      <c r="AO93" t="e">
        <f>VLOOKUP($Z93,'oddspedia-matches'!$A:$AD,AO$2,0)</f>
        <v>#N/A</v>
      </c>
      <c r="AP93" t="e">
        <f>VLOOKUP($Z93,'oddspedia-matches'!$A:$AD,AP$2,0)</f>
        <v>#N/A</v>
      </c>
      <c r="AQ93" t="e">
        <f>VLOOKUP($Z93,'oddspedia-matches'!$A:$AD,AQ$2,0)</f>
        <v>#N/A</v>
      </c>
    </row>
    <row r="94" spans="2:43" x14ac:dyDescent="0.2">
      <c r="B94" s="9" t="s">
        <v>474</v>
      </c>
      <c r="C94" s="7" t="s">
        <v>122</v>
      </c>
      <c r="D94" s="20">
        <v>0.54166666666666663</v>
      </c>
      <c r="E94" s="7" t="s">
        <v>141</v>
      </c>
      <c r="F94" s="7" t="s">
        <v>142</v>
      </c>
      <c r="G94" s="21"/>
      <c r="H94" s="7">
        <v>36.9</v>
      </c>
      <c r="I94" s="7">
        <v>28.6</v>
      </c>
      <c r="J94" s="7">
        <v>34.5</v>
      </c>
      <c r="K94" s="7">
        <v>65.5</v>
      </c>
      <c r="L94" s="7">
        <v>63.1</v>
      </c>
      <c r="M94" s="7">
        <v>71.400000000000006</v>
      </c>
      <c r="N94" s="7">
        <v>37.6</v>
      </c>
      <c r="O94" s="7">
        <v>41.4</v>
      </c>
      <c r="P94" s="7">
        <v>21</v>
      </c>
      <c r="Q94" s="7">
        <v>71.8</v>
      </c>
      <c r="R94" s="7">
        <v>76.900000000000006</v>
      </c>
      <c r="S94" s="7">
        <v>51.4</v>
      </c>
      <c r="T94" s="7">
        <v>48.6</v>
      </c>
      <c r="U94" s="7">
        <v>54.1</v>
      </c>
      <c r="V94" s="7">
        <v>56.8</v>
      </c>
      <c r="W94" s="7">
        <v>43.2</v>
      </c>
      <c r="X94" t="str">
        <f>VLOOKUP(E94,'Transform table'!A:B,2,0)</f>
        <v>FF Jaro II</v>
      </c>
      <c r="Y94" t="str">
        <f>VLOOKUP(F94,'Transform table'!A:B,2,0)</f>
        <v>Kuopio PS</v>
      </c>
      <c r="Z94" t="str">
        <f t="shared" si="1"/>
        <v>24/07/2026FF Jaro IIKuopio PS</v>
      </c>
      <c r="AA94" t="e">
        <f>VLOOKUP($Z94,'oddspedia-matches'!$A:$AD,AA$2,0)</f>
        <v>#N/A</v>
      </c>
      <c r="AB94" t="e">
        <f>VLOOKUP($Z94,'oddspedia-matches'!$A:$AD,AB$2,0)</f>
        <v>#N/A</v>
      </c>
      <c r="AC94" t="e">
        <f>VLOOKUP($Z94,'oddspedia-matches'!$A:$AD,AC$2,0)</f>
        <v>#N/A</v>
      </c>
      <c r="AD94" t="e">
        <f>VLOOKUP($Z94,'oddspedia-matches'!$A:$AD,AD$2,0)</f>
        <v>#N/A</v>
      </c>
      <c r="AE94" t="e">
        <f>VLOOKUP($Z94,'oddspedia-matches'!$A:$AD,AE$2,0)</f>
        <v>#N/A</v>
      </c>
      <c r="AF94" t="e">
        <f>VLOOKUP($Z94,'oddspedia-matches'!$A:$AD,AF$2,0)</f>
        <v>#N/A</v>
      </c>
      <c r="AG94" t="e">
        <f>VLOOKUP($Z94,'oddspedia-matches'!$A:$AD,AG$2,0)</f>
        <v>#N/A</v>
      </c>
      <c r="AH94" t="e">
        <f>VLOOKUP($Z94,'oddspedia-matches'!$A:$AD,AH$2,0)</f>
        <v>#N/A</v>
      </c>
      <c r="AI94" t="e">
        <f>VLOOKUP($Z94,'oddspedia-matches'!$A:$AD,AI$2,0)</f>
        <v>#N/A</v>
      </c>
      <c r="AJ94" t="e">
        <f>VLOOKUP($Z94,'oddspedia-matches'!$A:$AD,AJ$2,0)</f>
        <v>#N/A</v>
      </c>
      <c r="AK94" t="e">
        <f>VLOOKUP($Z94,'oddspedia-matches'!$A:$AD,AK$2,0)</f>
        <v>#N/A</v>
      </c>
      <c r="AL94" t="e">
        <f>VLOOKUP($Z94,'oddspedia-matches'!$A:$AD,AL$2,0)</f>
        <v>#N/A</v>
      </c>
      <c r="AM94" t="e">
        <f>VLOOKUP($Z94,'oddspedia-matches'!$A:$AD,AM$2,0)</f>
        <v>#N/A</v>
      </c>
      <c r="AN94" t="e">
        <f>VLOOKUP($Z94,'oddspedia-matches'!$A:$AD,AN$2,0)</f>
        <v>#N/A</v>
      </c>
      <c r="AO94" t="e">
        <f>VLOOKUP($Z94,'oddspedia-matches'!$A:$AD,AO$2,0)</f>
        <v>#N/A</v>
      </c>
      <c r="AP94" t="e">
        <f>VLOOKUP($Z94,'oddspedia-matches'!$A:$AD,AP$2,0)</f>
        <v>#N/A</v>
      </c>
      <c r="AQ94" t="e">
        <f>VLOOKUP($Z94,'oddspedia-matches'!$A:$AD,AQ$2,0)</f>
        <v>#N/A</v>
      </c>
    </row>
    <row r="95" spans="2:43" x14ac:dyDescent="0.2">
      <c r="B95" s="17" t="s">
        <v>475</v>
      </c>
      <c r="C95" s="8" t="s">
        <v>122</v>
      </c>
      <c r="D95" s="18">
        <v>0.54166666666666663</v>
      </c>
      <c r="E95" s="8" t="s">
        <v>143</v>
      </c>
      <c r="F95" s="8" t="s">
        <v>144</v>
      </c>
      <c r="G95" s="19"/>
      <c r="H95" s="8">
        <v>40.700000000000003</v>
      </c>
      <c r="I95" s="8">
        <v>28.3</v>
      </c>
      <c r="J95" s="8">
        <v>31</v>
      </c>
      <c r="K95" s="8">
        <v>69</v>
      </c>
      <c r="L95" s="8">
        <v>59.3</v>
      </c>
      <c r="M95" s="8">
        <v>71.7</v>
      </c>
      <c r="N95" s="8">
        <v>28.3</v>
      </c>
      <c r="O95" s="8">
        <v>44</v>
      </c>
      <c r="P95" s="8">
        <v>27.7</v>
      </c>
      <c r="Q95" s="8">
        <v>69.099999999999994</v>
      </c>
      <c r="R95" s="8">
        <v>77</v>
      </c>
      <c r="S95" s="8">
        <v>51.5</v>
      </c>
      <c r="T95" s="8">
        <v>48.5</v>
      </c>
      <c r="U95" s="8">
        <v>54.1</v>
      </c>
      <c r="V95" s="8">
        <v>56.6</v>
      </c>
      <c r="W95" s="8">
        <v>43.4</v>
      </c>
      <c r="X95" t="str">
        <f>VLOOKUP(E95,'Transform table'!A:B,2,0)</f>
        <v>VMFD Zalgiris</v>
      </c>
      <c r="Y95" t="str">
        <f>VLOOKUP(F95,'Transform table'!A:B,2,0)</f>
        <v>Hegelmann Litauen</v>
      </c>
      <c r="Z95" t="str">
        <f t="shared" si="1"/>
        <v>24/07/2026VMFD ZalgirisHegelmann Litauen</v>
      </c>
      <c r="AA95" t="e">
        <f>VLOOKUP($Z95,'oddspedia-matches'!$A:$AD,AA$2,0)</f>
        <v>#N/A</v>
      </c>
      <c r="AB95" t="e">
        <f>VLOOKUP($Z95,'oddspedia-matches'!$A:$AD,AB$2,0)</f>
        <v>#N/A</v>
      </c>
      <c r="AC95" t="e">
        <f>VLOOKUP($Z95,'oddspedia-matches'!$A:$AD,AC$2,0)</f>
        <v>#N/A</v>
      </c>
      <c r="AD95" t="e">
        <f>VLOOKUP($Z95,'oddspedia-matches'!$A:$AD,AD$2,0)</f>
        <v>#N/A</v>
      </c>
      <c r="AE95" t="e">
        <f>VLOOKUP($Z95,'oddspedia-matches'!$A:$AD,AE$2,0)</f>
        <v>#N/A</v>
      </c>
      <c r="AF95" t="e">
        <f>VLOOKUP($Z95,'oddspedia-matches'!$A:$AD,AF$2,0)</f>
        <v>#N/A</v>
      </c>
      <c r="AG95" t="e">
        <f>VLOOKUP($Z95,'oddspedia-matches'!$A:$AD,AG$2,0)</f>
        <v>#N/A</v>
      </c>
      <c r="AH95" t="e">
        <f>VLOOKUP($Z95,'oddspedia-matches'!$A:$AD,AH$2,0)</f>
        <v>#N/A</v>
      </c>
      <c r="AI95" t="e">
        <f>VLOOKUP($Z95,'oddspedia-matches'!$A:$AD,AI$2,0)</f>
        <v>#N/A</v>
      </c>
      <c r="AJ95" t="e">
        <f>VLOOKUP($Z95,'oddspedia-matches'!$A:$AD,AJ$2,0)</f>
        <v>#N/A</v>
      </c>
      <c r="AK95" t="e">
        <f>VLOOKUP($Z95,'oddspedia-matches'!$A:$AD,AK$2,0)</f>
        <v>#N/A</v>
      </c>
      <c r="AL95" t="e">
        <f>VLOOKUP($Z95,'oddspedia-matches'!$A:$AD,AL$2,0)</f>
        <v>#N/A</v>
      </c>
      <c r="AM95" t="e">
        <f>VLOOKUP($Z95,'oddspedia-matches'!$A:$AD,AM$2,0)</f>
        <v>#N/A</v>
      </c>
      <c r="AN95" t="e">
        <f>VLOOKUP($Z95,'oddspedia-matches'!$A:$AD,AN$2,0)</f>
        <v>#N/A</v>
      </c>
      <c r="AO95" t="e">
        <f>VLOOKUP($Z95,'oddspedia-matches'!$A:$AD,AO$2,0)</f>
        <v>#N/A</v>
      </c>
      <c r="AP95" t="e">
        <f>VLOOKUP($Z95,'oddspedia-matches'!$A:$AD,AP$2,0)</f>
        <v>#N/A</v>
      </c>
      <c r="AQ95" t="e">
        <f>VLOOKUP($Z95,'oddspedia-matches'!$A:$AD,AQ$2,0)</f>
        <v>#N/A</v>
      </c>
    </row>
    <row r="96" spans="2:43" x14ac:dyDescent="0.2">
      <c r="B96" s="9" t="s">
        <v>476</v>
      </c>
      <c r="C96" s="7" t="s">
        <v>122</v>
      </c>
      <c r="D96" s="20">
        <v>0.58333333333333337</v>
      </c>
      <c r="E96" s="7" t="s">
        <v>145</v>
      </c>
      <c r="F96" s="7" t="s">
        <v>146</v>
      </c>
      <c r="G96" s="21"/>
      <c r="H96" s="7">
        <v>57.8</v>
      </c>
      <c r="I96" s="7">
        <v>23.7</v>
      </c>
      <c r="J96" s="7">
        <v>18.600000000000001</v>
      </c>
      <c r="K96" s="7">
        <v>81.400000000000006</v>
      </c>
      <c r="L96" s="7">
        <v>42.2</v>
      </c>
      <c r="M96" s="7">
        <v>76.3</v>
      </c>
      <c r="N96" s="7">
        <v>47.7</v>
      </c>
      <c r="O96" s="7">
        <v>33.700000000000003</v>
      </c>
      <c r="P96" s="7">
        <v>18.600000000000001</v>
      </c>
      <c r="Q96" s="7">
        <v>81.8</v>
      </c>
      <c r="R96" s="7">
        <v>87.7</v>
      </c>
      <c r="S96" s="7">
        <v>68.7</v>
      </c>
      <c r="T96" s="7">
        <v>31.3</v>
      </c>
      <c r="U96" s="7">
        <v>38.200000000000003</v>
      </c>
      <c r="V96" s="7">
        <v>65.5</v>
      </c>
      <c r="W96" s="7">
        <v>34.5</v>
      </c>
      <c r="X96" t="str">
        <f>VLOOKUP(E96,'Transform table'!A:B,2,0)</f>
        <v>VSK Arhus</v>
      </c>
      <c r="Y96" t="str">
        <f>VLOOKUP(F96,'Transform table'!A:B,2,0)</f>
        <v>Orgryte IS</v>
      </c>
      <c r="Z96" t="str">
        <f t="shared" si="1"/>
        <v>24/07/2026VSK ArhusOrgryte IS</v>
      </c>
      <c r="AA96" t="e">
        <f>VLOOKUP($Z96,'oddspedia-matches'!$A:$AD,AA$2,0)</f>
        <v>#N/A</v>
      </c>
      <c r="AB96" t="e">
        <f>VLOOKUP($Z96,'oddspedia-matches'!$A:$AD,AB$2,0)</f>
        <v>#N/A</v>
      </c>
      <c r="AC96" t="e">
        <f>VLOOKUP($Z96,'oddspedia-matches'!$A:$AD,AC$2,0)</f>
        <v>#N/A</v>
      </c>
      <c r="AD96" t="e">
        <f>VLOOKUP($Z96,'oddspedia-matches'!$A:$AD,AD$2,0)</f>
        <v>#N/A</v>
      </c>
      <c r="AE96" t="e">
        <f>VLOOKUP($Z96,'oddspedia-matches'!$A:$AD,AE$2,0)</f>
        <v>#N/A</v>
      </c>
      <c r="AF96" t="e">
        <f>VLOOKUP($Z96,'oddspedia-matches'!$A:$AD,AF$2,0)</f>
        <v>#N/A</v>
      </c>
      <c r="AG96" t="e">
        <f>VLOOKUP($Z96,'oddspedia-matches'!$A:$AD,AG$2,0)</f>
        <v>#N/A</v>
      </c>
      <c r="AH96" t="e">
        <f>VLOOKUP($Z96,'oddspedia-matches'!$A:$AD,AH$2,0)</f>
        <v>#N/A</v>
      </c>
      <c r="AI96" t="e">
        <f>VLOOKUP($Z96,'oddspedia-matches'!$A:$AD,AI$2,0)</f>
        <v>#N/A</v>
      </c>
      <c r="AJ96" t="e">
        <f>VLOOKUP($Z96,'oddspedia-matches'!$A:$AD,AJ$2,0)</f>
        <v>#N/A</v>
      </c>
      <c r="AK96" t="e">
        <f>VLOOKUP($Z96,'oddspedia-matches'!$A:$AD,AK$2,0)</f>
        <v>#N/A</v>
      </c>
      <c r="AL96" t="e">
        <f>VLOOKUP($Z96,'oddspedia-matches'!$A:$AD,AL$2,0)</f>
        <v>#N/A</v>
      </c>
      <c r="AM96" t="e">
        <f>VLOOKUP($Z96,'oddspedia-matches'!$A:$AD,AM$2,0)</f>
        <v>#N/A</v>
      </c>
      <c r="AN96" t="e">
        <f>VLOOKUP($Z96,'oddspedia-matches'!$A:$AD,AN$2,0)</f>
        <v>#N/A</v>
      </c>
      <c r="AO96" t="e">
        <f>VLOOKUP($Z96,'oddspedia-matches'!$A:$AD,AO$2,0)</f>
        <v>#N/A</v>
      </c>
      <c r="AP96" t="e">
        <f>VLOOKUP($Z96,'oddspedia-matches'!$A:$AD,AP$2,0)</f>
        <v>#N/A</v>
      </c>
      <c r="AQ96" t="e">
        <f>VLOOKUP($Z96,'oddspedia-matches'!$A:$AD,AQ$2,0)</f>
        <v>#N/A</v>
      </c>
    </row>
    <row r="97" spans="2:43" x14ac:dyDescent="0.2">
      <c r="B97" s="17" t="s">
        <v>469</v>
      </c>
      <c r="C97" s="8" t="s">
        <v>122</v>
      </c>
      <c r="D97" s="18">
        <v>0.625</v>
      </c>
      <c r="E97" s="8" t="s">
        <v>147</v>
      </c>
      <c r="F97" s="8" t="s">
        <v>148</v>
      </c>
      <c r="G97" s="19"/>
      <c r="H97" s="8">
        <v>32.5</v>
      </c>
      <c r="I97" s="8">
        <v>27.6</v>
      </c>
      <c r="J97" s="8">
        <v>39.9</v>
      </c>
      <c r="K97" s="8">
        <v>60.1</v>
      </c>
      <c r="L97" s="8">
        <v>67.5</v>
      </c>
      <c r="M97" s="8">
        <v>72.400000000000006</v>
      </c>
      <c r="N97" s="8">
        <v>27.5</v>
      </c>
      <c r="O97" s="8">
        <v>38.6</v>
      </c>
      <c r="P97" s="8">
        <v>33.9</v>
      </c>
      <c r="Q97" s="8">
        <v>77.400000000000006</v>
      </c>
      <c r="R97" s="8">
        <v>80.900000000000006</v>
      </c>
      <c r="S97" s="8">
        <v>57.2</v>
      </c>
      <c r="T97" s="8">
        <v>42.8</v>
      </c>
      <c r="U97" s="8">
        <v>48.5</v>
      </c>
      <c r="V97" s="8">
        <v>61.1</v>
      </c>
      <c r="W97" s="8">
        <v>38.9</v>
      </c>
      <c r="X97" t="str">
        <f>VLOOKUP(E97,'Transform table'!A:B,2,0)</f>
        <v>Volsungur</v>
      </c>
      <c r="Y97" t="str">
        <f>VLOOKUP(F97,'Transform table'!A:B,2,0)</f>
        <v>Grindavik</v>
      </c>
      <c r="Z97" t="str">
        <f t="shared" si="1"/>
        <v>24/07/2026VolsungurGrindavik</v>
      </c>
      <c r="AA97" t="str">
        <f>VLOOKUP($Z97,'oddspedia-matches'!$A:$AD,AA$2,0)</f>
        <v>2 - 0</v>
      </c>
      <c r="AB97" t="str">
        <f>VLOOKUP($Z97,'oddspedia-matches'!$A:$AD,AB$2,0)</f>
        <v>Green</v>
      </c>
      <c r="AC97" t="str">
        <f>VLOOKUP($Z97,'oddspedia-matches'!$A:$AD,AC$2,0)</f>
        <v>Red</v>
      </c>
      <c r="AD97" t="str">
        <f>VLOOKUP($Z97,'oddspedia-matches'!$A:$AD,AD$2,0)</f>
        <v>Red</v>
      </c>
      <c r="AE97" t="str">
        <f>VLOOKUP($Z97,'oddspedia-matches'!$A:$AD,AE$2,0)</f>
        <v>Green</v>
      </c>
      <c r="AF97" t="str">
        <f>VLOOKUP($Z97,'oddspedia-matches'!$A:$AD,AF$2,0)</f>
        <v>Red</v>
      </c>
      <c r="AG97" t="str">
        <f>VLOOKUP($Z97,'oddspedia-matches'!$A:$AD,AG$2,0)</f>
        <v>Green</v>
      </c>
      <c r="AH97" t="str">
        <f>VLOOKUP($Z97,'oddspedia-matches'!$A:$AD,AH$2,0)</f>
        <v>Green</v>
      </c>
      <c r="AI97" t="str">
        <f>VLOOKUP($Z97,'oddspedia-matches'!$A:$AD,AI$2,0)</f>
        <v>Red</v>
      </c>
      <c r="AJ97" t="str">
        <f>VLOOKUP($Z97,'oddspedia-matches'!$A:$AD,AJ$2,0)</f>
        <v>Red</v>
      </c>
      <c r="AK97" t="str">
        <f>VLOOKUP($Z97,'oddspedia-matches'!$A:$AD,AK$2,0)</f>
        <v>Green</v>
      </c>
      <c r="AL97" t="str">
        <f>VLOOKUP($Z97,'oddspedia-matches'!$A:$AD,AL$2,0)</f>
        <v>Green</v>
      </c>
      <c r="AM97" t="str">
        <f>VLOOKUP($Z97,'oddspedia-matches'!$A:$AD,AM$2,0)</f>
        <v>Red</v>
      </c>
      <c r="AN97" t="str">
        <f>VLOOKUP($Z97,'oddspedia-matches'!$A:$AD,AN$2,0)</f>
        <v>Green</v>
      </c>
      <c r="AO97" t="str">
        <f>VLOOKUP($Z97,'oddspedia-matches'!$A:$AD,AO$2,0)</f>
        <v>Green</v>
      </c>
      <c r="AP97" t="str">
        <f>VLOOKUP($Z97,'oddspedia-matches'!$A:$AD,AP$2,0)</f>
        <v>Red</v>
      </c>
      <c r="AQ97" t="str">
        <f>VLOOKUP($Z97,'oddspedia-matches'!$A:$AD,AQ$2,0)</f>
        <v>Green</v>
      </c>
    </row>
    <row r="98" spans="2:43" x14ac:dyDescent="0.2">
      <c r="B98" s="9" t="s">
        <v>477</v>
      </c>
      <c r="C98" s="7" t="s">
        <v>122</v>
      </c>
      <c r="D98" s="20">
        <v>0.65625</v>
      </c>
      <c r="E98" s="7" t="s">
        <v>149</v>
      </c>
      <c r="F98" s="7" t="s">
        <v>150</v>
      </c>
      <c r="G98" s="21"/>
      <c r="H98" s="7">
        <v>34.6</v>
      </c>
      <c r="I98" s="7">
        <v>28.6</v>
      </c>
      <c r="J98" s="7">
        <v>36.9</v>
      </c>
      <c r="K98" s="7">
        <v>63.1</v>
      </c>
      <c r="L98" s="7">
        <v>65.400000000000006</v>
      </c>
      <c r="M98" s="7">
        <v>71.400000000000006</v>
      </c>
      <c r="N98" s="7">
        <v>23.9</v>
      </c>
      <c r="O98" s="7">
        <v>44.7</v>
      </c>
      <c r="P98" s="7">
        <v>31.3</v>
      </c>
      <c r="Q98" s="7">
        <v>67.8</v>
      </c>
      <c r="R98" s="7">
        <v>77.3</v>
      </c>
      <c r="S98" s="7">
        <v>52</v>
      </c>
      <c r="T98" s="7">
        <v>48</v>
      </c>
      <c r="U98" s="7">
        <v>53.6</v>
      </c>
      <c r="V98" s="7">
        <v>57.3</v>
      </c>
      <c r="W98" s="7">
        <v>42.7</v>
      </c>
      <c r="X98" t="str">
        <f>VLOOKUP(E98,'Transform table'!A:B,2,0)</f>
        <v>Cobh Ramblers</v>
      </c>
      <c r="Y98" t="str">
        <f>VLOOKUP(F98,'Transform table'!A:B,2,0)</f>
        <v>Bray Wanderers</v>
      </c>
      <c r="Z98" t="str">
        <f t="shared" si="1"/>
        <v>24/07/2026Cobh RamblersBray Wanderers</v>
      </c>
      <c r="AA98" t="str">
        <f>VLOOKUP($Z98,'oddspedia-matches'!$A:$AD,AA$2,0)</f>
        <v>1 - 2</v>
      </c>
      <c r="AB98" t="str">
        <f>VLOOKUP($Z98,'oddspedia-matches'!$A:$AD,AB$2,0)</f>
        <v>Red</v>
      </c>
      <c r="AC98" t="str">
        <f>VLOOKUP($Z98,'oddspedia-matches'!$A:$AD,AC$2,0)</f>
        <v>Red</v>
      </c>
      <c r="AD98" t="str">
        <f>VLOOKUP($Z98,'oddspedia-matches'!$A:$AD,AD$2,0)</f>
        <v>Green</v>
      </c>
      <c r="AE98" t="str">
        <f>VLOOKUP($Z98,'oddspedia-matches'!$A:$AD,AE$2,0)</f>
        <v>Red</v>
      </c>
      <c r="AF98" t="str">
        <f>VLOOKUP($Z98,'oddspedia-matches'!$A:$AD,AF$2,0)</f>
        <v>Green</v>
      </c>
      <c r="AG98" t="str">
        <f>VLOOKUP($Z98,'oddspedia-matches'!$A:$AD,AG$2,0)</f>
        <v>Green</v>
      </c>
      <c r="AH98" t="str">
        <f>VLOOKUP($Z98,'oddspedia-matches'!$A:$AD,AH$2,0)</f>
        <v>Red</v>
      </c>
      <c r="AI98" t="str">
        <f>VLOOKUP($Z98,'oddspedia-matches'!$A:$AD,AI$2,0)</f>
        <v>Green</v>
      </c>
      <c r="AJ98" t="str">
        <f>VLOOKUP($Z98,'oddspedia-matches'!$A:$AD,AJ$2,0)</f>
        <v>Red</v>
      </c>
      <c r="AK98" t="str">
        <f>VLOOKUP($Z98,'oddspedia-matches'!$A:$AD,AK$2,0)</f>
        <v>Green</v>
      </c>
      <c r="AL98" t="str">
        <f>VLOOKUP($Z98,'oddspedia-matches'!$A:$AD,AL$2,0)</f>
        <v>Green</v>
      </c>
      <c r="AM98" t="str">
        <f>VLOOKUP($Z98,'oddspedia-matches'!$A:$AD,AM$2,0)</f>
        <v>Green</v>
      </c>
      <c r="AN98" t="str">
        <f>VLOOKUP($Z98,'oddspedia-matches'!$A:$AD,AN$2,0)</f>
        <v>Red</v>
      </c>
      <c r="AO98" t="str">
        <f>VLOOKUP($Z98,'oddspedia-matches'!$A:$AD,AO$2,0)</f>
        <v>Green</v>
      </c>
      <c r="AP98" t="str">
        <f>VLOOKUP($Z98,'oddspedia-matches'!$A:$AD,AP$2,0)</f>
        <v>Green</v>
      </c>
      <c r="AQ98" t="str">
        <f>VLOOKUP($Z98,'oddspedia-matches'!$A:$AD,AQ$2,0)</f>
        <v>Red</v>
      </c>
    </row>
    <row r="99" spans="2:43" x14ac:dyDescent="0.2">
      <c r="B99" s="17" t="s">
        <v>477</v>
      </c>
      <c r="C99" s="8" t="s">
        <v>122</v>
      </c>
      <c r="D99" s="18">
        <v>0.65625</v>
      </c>
      <c r="E99" s="8" t="s">
        <v>151</v>
      </c>
      <c r="F99" s="8" t="s">
        <v>152</v>
      </c>
      <c r="G99" s="19"/>
      <c r="H99" s="8">
        <v>50.3</v>
      </c>
      <c r="I99" s="8">
        <v>28.2</v>
      </c>
      <c r="J99" s="8">
        <v>21.5</v>
      </c>
      <c r="K99" s="8">
        <v>78.5</v>
      </c>
      <c r="L99" s="8">
        <v>49.7</v>
      </c>
      <c r="M99" s="8">
        <v>71.8</v>
      </c>
      <c r="N99" s="8">
        <v>39.4</v>
      </c>
      <c r="O99" s="8">
        <v>46.9</v>
      </c>
      <c r="P99" s="8">
        <v>13.8</v>
      </c>
      <c r="Q99" s="8">
        <v>61.8</v>
      </c>
      <c r="R99" s="8">
        <v>71.2</v>
      </c>
      <c r="S99" s="8">
        <v>44</v>
      </c>
      <c r="T99" s="8">
        <v>56</v>
      </c>
      <c r="U99" s="8">
        <v>62.3</v>
      </c>
      <c r="V99" s="8">
        <v>48.1</v>
      </c>
      <c r="W99" s="8">
        <v>51.9</v>
      </c>
      <c r="X99" t="str">
        <f>VLOOKUP(E99,'Transform table'!A:B,2,0)</f>
        <v>Kerry FC</v>
      </c>
      <c r="Y99" t="str">
        <f>VLOOKUP(F99,'Transform table'!A:B,2,0)</f>
        <v>Finn Harps</v>
      </c>
      <c r="Z99" t="str">
        <f t="shared" si="1"/>
        <v>24/07/2026Kerry FCFinn Harps</v>
      </c>
      <c r="AA99" t="str">
        <f>VLOOKUP($Z99,'oddspedia-matches'!$A:$AD,AA$2,0)</f>
        <v>2 - 1</v>
      </c>
      <c r="AB99" t="str">
        <f>VLOOKUP($Z99,'oddspedia-matches'!$A:$AD,AB$2,0)</f>
        <v>Green</v>
      </c>
      <c r="AC99" t="str">
        <f>VLOOKUP($Z99,'oddspedia-matches'!$A:$AD,AC$2,0)</f>
        <v>Red</v>
      </c>
      <c r="AD99" t="str">
        <f>VLOOKUP($Z99,'oddspedia-matches'!$A:$AD,AD$2,0)</f>
        <v>Red</v>
      </c>
      <c r="AE99" t="str">
        <f>VLOOKUP($Z99,'oddspedia-matches'!$A:$AD,AE$2,0)</f>
        <v>Green</v>
      </c>
      <c r="AF99" t="str">
        <f>VLOOKUP($Z99,'oddspedia-matches'!$A:$AD,AF$2,0)</f>
        <v>Red</v>
      </c>
      <c r="AG99" t="str">
        <f>VLOOKUP($Z99,'oddspedia-matches'!$A:$AD,AG$2,0)</f>
        <v>Green</v>
      </c>
      <c r="AH99" t="str">
        <f>VLOOKUP($Z99,'oddspedia-matches'!$A:$AD,AH$2,0)</f>
        <v>Green</v>
      </c>
      <c r="AI99" t="str">
        <f>VLOOKUP($Z99,'oddspedia-matches'!$A:$AD,AI$2,0)</f>
        <v>Red</v>
      </c>
      <c r="AJ99" t="str">
        <f>VLOOKUP($Z99,'oddspedia-matches'!$A:$AD,AJ$2,0)</f>
        <v>Red</v>
      </c>
      <c r="AK99" t="str">
        <f>VLOOKUP($Z99,'oddspedia-matches'!$A:$AD,AK$2,0)</f>
        <v>Green</v>
      </c>
      <c r="AL99" t="str">
        <f>VLOOKUP($Z99,'oddspedia-matches'!$A:$AD,AL$2,0)</f>
        <v>Green</v>
      </c>
      <c r="AM99" t="str">
        <f>VLOOKUP($Z99,'oddspedia-matches'!$A:$AD,AM$2,0)</f>
        <v>Green</v>
      </c>
      <c r="AN99" t="str">
        <f>VLOOKUP($Z99,'oddspedia-matches'!$A:$AD,AN$2,0)</f>
        <v>Red</v>
      </c>
      <c r="AO99" t="str">
        <f>VLOOKUP($Z99,'oddspedia-matches'!$A:$AD,AO$2,0)</f>
        <v>Green</v>
      </c>
      <c r="AP99" t="str">
        <f>VLOOKUP($Z99,'oddspedia-matches'!$A:$AD,AP$2,0)</f>
        <v>Green</v>
      </c>
      <c r="AQ99" t="str">
        <f>VLOOKUP($Z99,'oddspedia-matches'!$A:$AD,AQ$2,0)</f>
        <v>Red</v>
      </c>
    </row>
    <row r="100" spans="2:43" x14ac:dyDescent="0.2">
      <c r="B100" s="9" t="s">
        <v>477</v>
      </c>
      <c r="C100" s="7" t="s">
        <v>122</v>
      </c>
      <c r="D100" s="20">
        <v>0.65625</v>
      </c>
      <c r="E100" s="7" t="s">
        <v>153</v>
      </c>
      <c r="F100" s="7" t="s">
        <v>154</v>
      </c>
      <c r="G100" s="21"/>
      <c r="H100" s="7">
        <v>39.1</v>
      </c>
      <c r="I100" s="7">
        <v>31.5</v>
      </c>
      <c r="J100" s="7">
        <v>29.3</v>
      </c>
      <c r="K100" s="7">
        <v>70.7</v>
      </c>
      <c r="L100" s="7">
        <v>60.9</v>
      </c>
      <c r="M100" s="7">
        <v>68.5</v>
      </c>
      <c r="N100" s="7">
        <v>26.3</v>
      </c>
      <c r="O100" s="7">
        <v>50.9</v>
      </c>
      <c r="P100" s="7">
        <v>22.8</v>
      </c>
      <c r="Q100" s="7">
        <v>58.5</v>
      </c>
      <c r="R100" s="7">
        <v>66</v>
      </c>
      <c r="S100" s="7">
        <v>37.9</v>
      </c>
      <c r="T100" s="7">
        <v>62.1</v>
      </c>
      <c r="U100" s="7">
        <v>67.2</v>
      </c>
      <c r="V100" s="7">
        <v>45.7</v>
      </c>
      <c r="W100" s="7">
        <v>54.3</v>
      </c>
      <c r="X100" t="str">
        <f>VLOOKUP(E100,'Transform table'!A:B,2,0)</f>
        <v>Treaty United</v>
      </c>
      <c r="Y100" t="str">
        <f>VLOOKUP(F100,'Transform table'!A:B,2,0)</f>
        <v>Athlone Town</v>
      </c>
      <c r="Z100" t="str">
        <f t="shared" si="1"/>
        <v>24/07/2026Treaty UnitedAthlone Town</v>
      </c>
      <c r="AA100" t="str">
        <f>VLOOKUP($Z100,'oddspedia-matches'!$A:$AD,AA$2,0)</f>
        <v>2 - 1</v>
      </c>
      <c r="AB100" t="str">
        <f>VLOOKUP($Z100,'oddspedia-matches'!$A:$AD,AB$2,0)</f>
        <v>Green</v>
      </c>
      <c r="AC100" t="str">
        <f>VLOOKUP($Z100,'oddspedia-matches'!$A:$AD,AC$2,0)</f>
        <v>Red</v>
      </c>
      <c r="AD100" t="str">
        <f>VLOOKUP($Z100,'oddspedia-matches'!$A:$AD,AD$2,0)</f>
        <v>Red</v>
      </c>
      <c r="AE100" t="str">
        <f>VLOOKUP($Z100,'oddspedia-matches'!$A:$AD,AE$2,0)</f>
        <v>Green</v>
      </c>
      <c r="AF100" t="str">
        <f>VLOOKUP($Z100,'oddspedia-matches'!$A:$AD,AF$2,0)</f>
        <v>Red</v>
      </c>
      <c r="AG100" t="str">
        <f>VLOOKUP($Z100,'oddspedia-matches'!$A:$AD,AG$2,0)</f>
        <v>Green</v>
      </c>
      <c r="AH100" t="str">
        <f>VLOOKUP($Z100,'oddspedia-matches'!$A:$AD,AH$2,0)</f>
        <v>Green</v>
      </c>
      <c r="AI100" t="str">
        <f>VLOOKUP($Z100,'oddspedia-matches'!$A:$AD,AI$2,0)</f>
        <v>Red</v>
      </c>
      <c r="AJ100" t="str">
        <f>VLOOKUP($Z100,'oddspedia-matches'!$A:$AD,AJ$2,0)</f>
        <v>Red</v>
      </c>
      <c r="AK100" t="str">
        <f>VLOOKUP($Z100,'oddspedia-matches'!$A:$AD,AK$2,0)</f>
        <v>Green</v>
      </c>
      <c r="AL100" t="str">
        <f>VLOOKUP($Z100,'oddspedia-matches'!$A:$AD,AL$2,0)</f>
        <v>Green</v>
      </c>
      <c r="AM100" t="str">
        <f>VLOOKUP($Z100,'oddspedia-matches'!$A:$AD,AM$2,0)</f>
        <v>Green</v>
      </c>
      <c r="AN100" t="str">
        <f>VLOOKUP($Z100,'oddspedia-matches'!$A:$AD,AN$2,0)</f>
        <v>Red</v>
      </c>
      <c r="AO100" t="str">
        <f>VLOOKUP($Z100,'oddspedia-matches'!$A:$AD,AO$2,0)</f>
        <v>Green</v>
      </c>
      <c r="AP100" t="str">
        <f>VLOOKUP($Z100,'oddspedia-matches'!$A:$AD,AP$2,0)</f>
        <v>Green</v>
      </c>
      <c r="AQ100" t="str">
        <f>VLOOKUP($Z100,'oddspedia-matches'!$A:$AD,AQ$2,0)</f>
        <v>Red</v>
      </c>
    </row>
    <row r="101" spans="2:43" x14ac:dyDescent="0.2">
      <c r="B101" s="17" t="s">
        <v>477</v>
      </c>
      <c r="C101" s="8" t="s">
        <v>122</v>
      </c>
      <c r="D101" s="18">
        <v>0.65625</v>
      </c>
      <c r="E101" s="8" t="s">
        <v>155</v>
      </c>
      <c r="F101" s="8" t="s">
        <v>156</v>
      </c>
      <c r="G101" s="19"/>
      <c r="H101" s="8">
        <v>34.4</v>
      </c>
      <c r="I101" s="8">
        <v>29.3</v>
      </c>
      <c r="J101" s="8">
        <v>36.299999999999997</v>
      </c>
      <c r="K101" s="8">
        <v>63.7</v>
      </c>
      <c r="L101" s="8">
        <v>65.599999999999994</v>
      </c>
      <c r="M101" s="8">
        <v>70.7</v>
      </c>
      <c r="N101" s="8">
        <v>30.4</v>
      </c>
      <c r="O101" s="8">
        <v>45.6</v>
      </c>
      <c r="P101" s="8">
        <v>24.1</v>
      </c>
      <c r="Q101" s="8">
        <v>66.400000000000006</v>
      </c>
      <c r="R101" s="8">
        <v>74.8</v>
      </c>
      <c r="S101" s="8">
        <v>48.6</v>
      </c>
      <c r="T101" s="8">
        <v>51.4</v>
      </c>
      <c r="U101" s="8">
        <v>56.9</v>
      </c>
      <c r="V101" s="8">
        <v>54.6</v>
      </c>
      <c r="W101" s="8">
        <v>45.4</v>
      </c>
      <c r="X101" t="str">
        <f>VLOOKUP(E101,'Transform table'!A:B,2,0)</f>
        <v>UC Dublin</v>
      </c>
      <c r="Y101" t="str">
        <f>VLOOKUP(F101,'Transform table'!A:B,2,0)</f>
        <v>Cork City</v>
      </c>
      <c r="Z101" t="str">
        <f t="shared" si="1"/>
        <v>24/07/2026UC DublinCork City</v>
      </c>
      <c r="AA101" t="str">
        <f>VLOOKUP($Z101,'oddspedia-matches'!$A:$AD,AA$2,0)</f>
        <v>5 - 2</v>
      </c>
      <c r="AB101" t="str">
        <f>VLOOKUP($Z101,'oddspedia-matches'!$A:$AD,AB$2,0)</f>
        <v>Green</v>
      </c>
      <c r="AC101" t="str">
        <f>VLOOKUP($Z101,'oddspedia-matches'!$A:$AD,AC$2,0)</f>
        <v>Red</v>
      </c>
      <c r="AD101" t="str">
        <f>VLOOKUP($Z101,'oddspedia-matches'!$A:$AD,AD$2,0)</f>
        <v>Red</v>
      </c>
      <c r="AE101" t="str">
        <f>VLOOKUP($Z101,'oddspedia-matches'!$A:$AD,AE$2,0)</f>
        <v>Green</v>
      </c>
      <c r="AF101" t="str">
        <f>VLOOKUP($Z101,'oddspedia-matches'!$A:$AD,AF$2,0)</f>
        <v>Red</v>
      </c>
      <c r="AG101" t="str">
        <f>VLOOKUP($Z101,'oddspedia-matches'!$A:$AD,AG$2,0)</f>
        <v>Green</v>
      </c>
      <c r="AH101" t="str">
        <f>VLOOKUP($Z101,'oddspedia-matches'!$A:$AD,AH$2,0)</f>
        <v>Red</v>
      </c>
      <c r="AI101" t="str">
        <f>VLOOKUP($Z101,'oddspedia-matches'!$A:$AD,AI$2,0)</f>
        <v>Green</v>
      </c>
      <c r="AJ101" t="str">
        <f>VLOOKUP($Z101,'oddspedia-matches'!$A:$AD,AJ$2,0)</f>
        <v>Red</v>
      </c>
      <c r="AK101" t="str">
        <f>VLOOKUP($Z101,'oddspedia-matches'!$A:$AD,AK$2,0)</f>
        <v>Green</v>
      </c>
      <c r="AL101" t="str">
        <f>VLOOKUP($Z101,'oddspedia-matches'!$A:$AD,AL$2,0)</f>
        <v>Green</v>
      </c>
      <c r="AM101" t="str">
        <f>VLOOKUP($Z101,'oddspedia-matches'!$A:$AD,AM$2,0)</f>
        <v>Green</v>
      </c>
      <c r="AN101" t="str">
        <f>VLOOKUP($Z101,'oddspedia-matches'!$A:$AD,AN$2,0)</f>
        <v>Red</v>
      </c>
      <c r="AO101" t="str">
        <f>VLOOKUP($Z101,'oddspedia-matches'!$A:$AD,AO$2,0)</f>
        <v>Red</v>
      </c>
      <c r="AP101" t="str">
        <f>VLOOKUP($Z101,'oddspedia-matches'!$A:$AD,AP$2,0)</f>
        <v>Green</v>
      </c>
      <c r="AQ101" t="str">
        <f>VLOOKUP($Z101,'oddspedia-matches'!$A:$AD,AQ$2,0)</f>
        <v>Red</v>
      </c>
    </row>
    <row r="102" spans="2:43" x14ac:dyDescent="0.2">
      <c r="B102" s="9" t="s">
        <v>478</v>
      </c>
      <c r="C102" s="7" t="s">
        <v>122</v>
      </c>
      <c r="D102" s="20">
        <v>0.66666666666666663</v>
      </c>
      <c r="E102" s="7" t="s">
        <v>157</v>
      </c>
      <c r="F102" s="7" t="s">
        <v>158</v>
      </c>
      <c r="G102" s="21"/>
      <c r="H102" s="7">
        <v>52</v>
      </c>
      <c r="I102" s="7">
        <v>26.3</v>
      </c>
      <c r="J102" s="7">
        <v>21.7</v>
      </c>
      <c r="K102" s="7">
        <v>78.3</v>
      </c>
      <c r="L102" s="7">
        <v>48</v>
      </c>
      <c r="M102" s="7">
        <v>73.7</v>
      </c>
      <c r="N102" s="7">
        <v>32.700000000000003</v>
      </c>
      <c r="O102" s="7">
        <v>43.1</v>
      </c>
      <c r="P102" s="7">
        <v>24.2</v>
      </c>
      <c r="Q102" s="7">
        <v>70.099999999999994</v>
      </c>
      <c r="R102" s="7">
        <v>77.900000000000006</v>
      </c>
      <c r="S102" s="7">
        <v>52.9</v>
      </c>
      <c r="T102" s="7">
        <v>47.1</v>
      </c>
      <c r="U102" s="7">
        <v>53.8</v>
      </c>
      <c r="V102" s="7">
        <v>54.9</v>
      </c>
      <c r="W102" s="7">
        <v>45.1</v>
      </c>
      <c r="X102" t="str">
        <f>VLOOKUP(E102,'Transform table'!A:B,2,0)</f>
        <v>St Patrick's Athletic</v>
      </c>
      <c r="Y102" t="str">
        <f>VLOOKUP(F102,'Transform table'!A:B,2,0)</f>
        <v>Dundalk</v>
      </c>
      <c r="Z102" t="str">
        <f t="shared" si="1"/>
        <v>24/07/2026St Patrick's AthleticDundalk</v>
      </c>
      <c r="AA102" t="str">
        <f>VLOOKUP($Z102,'oddspedia-matches'!$A:$AD,AA$2,0)</f>
        <v>1 - 1</v>
      </c>
      <c r="AB102" t="str">
        <f>VLOOKUP($Z102,'oddspedia-matches'!$A:$AD,AB$2,0)</f>
        <v>Red</v>
      </c>
      <c r="AC102" t="str">
        <f>VLOOKUP($Z102,'oddspedia-matches'!$A:$AD,AC$2,0)</f>
        <v>Green</v>
      </c>
      <c r="AD102" t="str">
        <f>VLOOKUP($Z102,'oddspedia-matches'!$A:$AD,AD$2,0)</f>
        <v>Red</v>
      </c>
      <c r="AE102" t="str">
        <f>VLOOKUP($Z102,'oddspedia-matches'!$A:$AD,AE$2,0)</f>
        <v>Green</v>
      </c>
      <c r="AF102" t="str">
        <f>VLOOKUP($Z102,'oddspedia-matches'!$A:$AD,AF$2,0)</f>
        <v>Green</v>
      </c>
      <c r="AG102" t="str">
        <f>VLOOKUP($Z102,'oddspedia-matches'!$A:$AD,AG$2,0)</f>
        <v>Red</v>
      </c>
      <c r="AH102" t="str">
        <f>VLOOKUP($Z102,'oddspedia-matches'!$A:$AD,AH$2,0)</f>
        <v>Red</v>
      </c>
      <c r="AI102" t="str">
        <f>VLOOKUP($Z102,'oddspedia-matches'!$A:$AD,AI$2,0)</f>
        <v>Red</v>
      </c>
      <c r="AJ102" t="str">
        <f>VLOOKUP($Z102,'oddspedia-matches'!$A:$AD,AJ$2,0)</f>
        <v>Green</v>
      </c>
      <c r="AK102" t="str">
        <f>VLOOKUP($Z102,'oddspedia-matches'!$A:$AD,AK$2,0)</f>
        <v>Green</v>
      </c>
      <c r="AL102" t="str">
        <f>VLOOKUP($Z102,'oddspedia-matches'!$A:$AD,AL$2,0)</f>
        <v>Green</v>
      </c>
      <c r="AM102" t="str">
        <f>VLOOKUP($Z102,'oddspedia-matches'!$A:$AD,AM$2,0)</f>
        <v>Red</v>
      </c>
      <c r="AN102" t="str">
        <f>VLOOKUP($Z102,'oddspedia-matches'!$A:$AD,AN$2,0)</f>
        <v>Green</v>
      </c>
      <c r="AO102" t="str">
        <f>VLOOKUP($Z102,'oddspedia-matches'!$A:$AD,AO$2,0)</f>
        <v>Green</v>
      </c>
      <c r="AP102" t="str">
        <f>VLOOKUP($Z102,'oddspedia-matches'!$A:$AD,AP$2,0)</f>
        <v>Green</v>
      </c>
      <c r="AQ102" t="str">
        <f>VLOOKUP($Z102,'oddspedia-matches'!$A:$AD,AQ$2,0)</f>
        <v>Red</v>
      </c>
    </row>
    <row r="103" spans="2:43" x14ac:dyDescent="0.2">
      <c r="B103" s="17" t="s">
        <v>479</v>
      </c>
      <c r="C103" s="8" t="s">
        <v>122</v>
      </c>
      <c r="D103" s="18">
        <v>0.66666666666666663</v>
      </c>
      <c r="E103" s="8" t="s">
        <v>159</v>
      </c>
      <c r="F103" s="8" t="s">
        <v>160</v>
      </c>
      <c r="G103" s="19"/>
      <c r="H103" s="8">
        <v>37.9</v>
      </c>
      <c r="I103" s="8">
        <v>32.5</v>
      </c>
      <c r="J103" s="8">
        <v>29.6</v>
      </c>
      <c r="K103" s="8">
        <v>70.400000000000006</v>
      </c>
      <c r="L103" s="8">
        <v>62.1</v>
      </c>
      <c r="M103" s="8">
        <v>67.5</v>
      </c>
      <c r="N103" s="8">
        <v>29.3</v>
      </c>
      <c r="O103" s="8">
        <v>53.2</v>
      </c>
      <c r="P103" s="8">
        <v>17.5</v>
      </c>
      <c r="Q103" s="8">
        <v>54.7</v>
      </c>
      <c r="R103" s="8">
        <v>63.2</v>
      </c>
      <c r="S103" s="8">
        <v>34.799999999999997</v>
      </c>
      <c r="T103" s="8">
        <v>65.2</v>
      </c>
      <c r="U103" s="8">
        <v>70</v>
      </c>
      <c r="V103" s="8">
        <v>43.2</v>
      </c>
      <c r="W103" s="8">
        <v>56.8</v>
      </c>
      <c r="X103" t="str">
        <f>VLOOKUP(E103,'Transform table'!A:B,2,0)</f>
        <v>CS 2 de Mayo</v>
      </c>
      <c r="Y103" t="str">
        <f>VLOOKUP(F103,'Transform table'!A:B,2,0)</f>
        <v>Rubio Nu</v>
      </c>
      <c r="Z103" t="str">
        <f t="shared" si="1"/>
        <v>24/07/2026CS 2 de MayoRubio Nu</v>
      </c>
      <c r="AA103" t="str">
        <f>VLOOKUP($Z103,'oddspedia-matches'!$A:$AD,AA$2,0)</f>
        <v>1 - 0</v>
      </c>
      <c r="AB103" t="str">
        <f>VLOOKUP($Z103,'oddspedia-matches'!$A:$AD,AB$2,0)</f>
        <v>Green</v>
      </c>
      <c r="AC103" t="str">
        <f>VLOOKUP($Z103,'oddspedia-matches'!$A:$AD,AC$2,0)</f>
        <v>Red</v>
      </c>
      <c r="AD103" t="str">
        <f>VLOOKUP($Z103,'oddspedia-matches'!$A:$AD,AD$2,0)</f>
        <v>Red</v>
      </c>
      <c r="AE103" t="str">
        <f>VLOOKUP($Z103,'oddspedia-matches'!$A:$AD,AE$2,0)</f>
        <v>Green</v>
      </c>
      <c r="AF103" t="str">
        <f>VLOOKUP($Z103,'oddspedia-matches'!$A:$AD,AF$2,0)</f>
        <v>Red</v>
      </c>
      <c r="AG103" t="str">
        <f>VLOOKUP($Z103,'oddspedia-matches'!$A:$AD,AG$2,0)</f>
        <v>Green</v>
      </c>
      <c r="AH103" t="str">
        <f>VLOOKUP($Z103,'oddspedia-matches'!$A:$AD,AH$2,0)</f>
        <v>Red</v>
      </c>
      <c r="AI103" t="str">
        <f>VLOOKUP($Z103,'oddspedia-matches'!$A:$AD,AI$2,0)</f>
        <v>Green</v>
      </c>
      <c r="AJ103" t="str">
        <f>VLOOKUP($Z103,'oddspedia-matches'!$A:$AD,AJ$2,0)</f>
        <v>Red</v>
      </c>
      <c r="AK103" t="str">
        <f>VLOOKUP($Z103,'oddspedia-matches'!$A:$AD,AK$2,0)</f>
        <v>Red</v>
      </c>
      <c r="AL103" t="str">
        <f>VLOOKUP($Z103,'oddspedia-matches'!$A:$AD,AL$2,0)</f>
        <v>Red</v>
      </c>
      <c r="AM103" t="str">
        <f>VLOOKUP($Z103,'oddspedia-matches'!$A:$AD,AM$2,0)</f>
        <v>Red</v>
      </c>
      <c r="AN103" t="str">
        <f>VLOOKUP($Z103,'oddspedia-matches'!$A:$AD,AN$2,0)</f>
        <v>Green</v>
      </c>
      <c r="AO103" t="str">
        <f>VLOOKUP($Z103,'oddspedia-matches'!$A:$AD,AO$2,0)</f>
        <v>Green</v>
      </c>
      <c r="AP103" t="str">
        <f>VLOOKUP($Z103,'oddspedia-matches'!$A:$AD,AP$2,0)</f>
        <v>Red</v>
      </c>
      <c r="AQ103" t="str">
        <f>VLOOKUP($Z103,'oddspedia-matches'!$A:$AD,AQ$2,0)</f>
        <v>Green</v>
      </c>
    </row>
    <row r="104" spans="2:43" x14ac:dyDescent="0.2">
      <c r="B104" s="9" t="s">
        <v>469</v>
      </c>
      <c r="C104" s="7" t="s">
        <v>122</v>
      </c>
      <c r="D104" s="20">
        <v>0.67708333333333337</v>
      </c>
      <c r="E104" s="7" t="s">
        <v>161</v>
      </c>
      <c r="F104" s="7" t="s">
        <v>162</v>
      </c>
      <c r="G104" s="21"/>
      <c r="H104" s="7">
        <v>39.799999999999997</v>
      </c>
      <c r="I104" s="7">
        <v>26.2</v>
      </c>
      <c r="J104" s="7">
        <v>33.9</v>
      </c>
      <c r="K104" s="7">
        <v>66.099999999999994</v>
      </c>
      <c r="L104" s="7">
        <v>60.2</v>
      </c>
      <c r="M104" s="7">
        <v>73.8</v>
      </c>
      <c r="N104" s="7">
        <v>35.799999999999997</v>
      </c>
      <c r="O104" s="7">
        <v>35.700000000000003</v>
      </c>
      <c r="P104" s="7">
        <v>28.5</v>
      </c>
      <c r="Q104" s="7">
        <v>81.7</v>
      </c>
      <c r="R104" s="7">
        <v>85.3</v>
      </c>
      <c r="S104" s="7">
        <v>64.400000000000006</v>
      </c>
      <c r="T104" s="7">
        <v>35.6</v>
      </c>
      <c r="U104" s="7">
        <v>41.2</v>
      </c>
      <c r="V104" s="7">
        <v>66.7</v>
      </c>
      <c r="W104" s="7">
        <v>33.299999999999997</v>
      </c>
      <c r="X104">
        <f>VLOOKUP(E104,'Transform table'!A:B,2,0)</f>
        <v>0</v>
      </c>
      <c r="Y104" t="str">
        <f>VLOOKUP(F104,'Transform table'!A:B,2,0)</f>
        <v>Kopavogs</v>
      </c>
      <c r="Z104" t="str">
        <f t="shared" si="1"/>
        <v>24/07/20260Kopavogs</v>
      </c>
      <c r="AA104" t="e">
        <f>VLOOKUP($Z104,'oddspedia-matches'!$A:$AD,AA$2,0)</f>
        <v>#N/A</v>
      </c>
      <c r="AB104" t="e">
        <f>VLOOKUP($Z104,'oddspedia-matches'!$A:$AD,AB$2,0)</f>
        <v>#N/A</v>
      </c>
      <c r="AC104" t="e">
        <f>VLOOKUP($Z104,'oddspedia-matches'!$A:$AD,AC$2,0)</f>
        <v>#N/A</v>
      </c>
      <c r="AD104" t="e">
        <f>VLOOKUP($Z104,'oddspedia-matches'!$A:$AD,AD$2,0)</f>
        <v>#N/A</v>
      </c>
      <c r="AE104" t="e">
        <f>VLOOKUP($Z104,'oddspedia-matches'!$A:$AD,AE$2,0)</f>
        <v>#N/A</v>
      </c>
      <c r="AF104" t="e">
        <f>VLOOKUP($Z104,'oddspedia-matches'!$A:$AD,AF$2,0)</f>
        <v>#N/A</v>
      </c>
      <c r="AG104" t="e">
        <f>VLOOKUP($Z104,'oddspedia-matches'!$A:$AD,AG$2,0)</f>
        <v>#N/A</v>
      </c>
      <c r="AH104" t="e">
        <f>VLOOKUP($Z104,'oddspedia-matches'!$A:$AD,AH$2,0)</f>
        <v>#N/A</v>
      </c>
      <c r="AI104" t="e">
        <f>VLOOKUP($Z104,'oddspedia-matches'!$A:$AD,AI$2,0)</f>
        <v>#N/A</v>
      </c>
      <c r="AJ104" t="e">
        <f>VLOOKUP($Z104,'oddspedia-matches'!$A:$AD,AJ$2,0)</f>
        <v>#N/A</v>
      </c>
      <c r="AK104" t="e">
        <f>VLOOKUP($Z104,'oddspedia-matches'!$A:$AD,AK$2,0)</f>
        <v>#N/A</v>
      </c>
      <c r="AL104" t="e">
        <f>VLOOKUP($Z104,'oddspedia-matches'!$A:$AD,AL$2,0)</f>
        <v>#N/A</v>
      </c>
      <c r="AM104" t="e">
        <f>VLOOKUP($Z104,'oddspedia-matches'!$A:$AD,AM$2,0)</f>
        <v>#N/A</v>
      </c>
      <c r="AN104" t="e">
        <f>VLOOKUP($Z104,'oddspedia-matches'!$A:$AD,AN$2,0)</f>
        <v>#N/A</v>
      </c>
      <c r="AO104" t="e">
        <f>VLOOKUP($Z104,'oddspedia-matches'!$A:$AD,AO$2,0)</f>
        <v>#N/A</v>
      </c>
      <c r="AP104" t="e">
        <f>VLOOKUP($Z104,'oddspedia-matches'!$A:$AD,AP$2,0)</f>
        <v>#N/A</v>
      </c>
      <c r="AQ104" t="e">
        <f>VLOOKUP($Z104,'oddspedia-matches'!$A:$AD,AQ$2,0)</f>
        <v>#N/A</v>
      </c>
    </row>
    <row r="105" spans="2:43" x14ac:dyDescent="0.2">
      <c r="B105" s="17" t="s">
        <v>480</v>
      </c>
      <c r="C105" s="8" t="s">
        <v>122</v>
      </c>
      <c r="D105" s="18">
        <v>0.67708333333333337</v>
      </c>
      <c r="E105" s="8" t="s">
        <v>163</v>
      </c>
      <c r="F105" s="8" t="s">
        <v>164</v>
      </c>
      <c r="G105" s="19"/>
      <c r="H105" s="8">
        <v>38.4</v>
      </c>
      <c r="I105" s="8">
        <v>25.5</v>
      </c>
      <c r="J105" s="8">
        <v>36.1</v>
      </c>
      <c r="K105" s="8">
        <v>63.9</v>
      </c>
      <c r="L105" s="8">
        <v>61.6</v>
      </c>
      <c r="M105" s="8">
        <v>74.5</v>
      </c>
      <c r="N105" s="8">
        <v>38.299999999999997</v>
      </c>
      <c r="O105" s="8">
        <v>36.799999999999997</v>
      </c>
      <c r="P105" s="8">
        <v>25</v>
      </c>
      <c r="Q105" s="8">
        <v>79.5</v>
      </c>
      <c r="R105" s="8">
        <v>93.2</v>
      </c>
      <c r="S105" s="8">
        <v>79.7</v>
      </c>
      <c r="T105" s="8">
        <v>20.3</v>
      </c>
      <c r="U105" s="8">
        <v>24.8</v>
      </c>
      <c r="V105" s="8">
        <v>78.8</v>
      </c>
      <c r="W105" s="8">
        <v>21.2</v>
      </c>
      <c r="X105" t="str">
        <f>VLOOKUP(E105,'Transform table'!A:B,2,0)</f>
        <v xml:space="preserve">Fjolnir </v>
      </c>
      <c r="Y105" t="str">
        <f>VLOOKUP(F105,'Transform table'!A:B,2,0)</f>
        <v>Haukar</v>
      </c>
      <c r="Z105" t="str">
        <f t="shared" si="1"/>
        <v>24/07/2026Fjolnir Haukar</v>
      </c>
      <c r="AA105" t="str">
        <f>VLOOKUP($Z105,'oddspedia-matches'!$A:$AD,AA$2,0)</f>
        <v>2 - 1</v>
      </c>
      <c r="AB105" t="str">
        <f>VLOOKUP($Z105,'oddspedia-matches'!$A:$AD,AB$2,0)</f>
        <v>Green</v>
      </c>
      <c r="AC105" t="str">
        <f>VLOOKUP($Z105,'oddspedia-matches'!$A:$AD,AC$2,0)</f>
        <v>Red</v>
      </c>
      <c r="AD105" t="str">
        <f>VLOOKUP($Z105,'oddspedia-matches'!$A:$AD,AD$2,0)</f>
        <v>Red</v>
      </c>
      <c r="AE105" t="str">
        <f>VLOOKUP($Z105,'oddspedia-matches'!$A:$AD,AE$2,0)</f>
        <v>Green</v>
      </c>
      <c r="AF105" t="str">
        <f>VLOOKUP($Z105,'oddspedia-matches'!$A:$AD,AF$2,0)</f>
        <v>Red</v>
      </c>
      <c r="AG105" t="str">
        <f>VLOOKUP($Z105,'oddspedia-matches'!$A:$AD,AG$2,0)</f>
        <v>Green</v>
      </c>
      <c r="AH105" t="str">
        <f>VLOOKUP($Z105,'oddspedia-matches'!$A:$AD,AH$2,0)</f>
        <v>Green</v>
      </c>
      <c r="AI105" t="str">
        <f>VLOOKUP($Z105,'oddspedia-matches'!$A:$AD,AI$2,0)</f>
        <v>Red</v>
      </c>
      <c r="AJ105" t="str">
        <f>VLOOKUP($Z105,'oddspedia-matches'!$A:$AD,AJ$2,0)</f>
        <v>Red</v>
      </c>
      <c r="AK105" t="str">
        <f>VLOOKUP($Z105,'oddspedia-matches'!$A:$AD,AK$2,0)</f>
        <v>Green</v>
      </c>
      <c r="AL105" t="str">
        <f>VLOOKUP($Z105,'oddspedia-matches'!$A:$AD,AL$2,0)</f>
        <v>Green</v>
      </c>
      <c r="AM105" t="str">
        <f>VLOOKUP($Z105,'oddspedia-matches'!$A:$AD,AM$2,0)</f>
        <v>Green</v>
      </c>
      <c r="AN105" t="str">
        <f>VLOOKUP($Z105,'oddspedia-matches'!$A:$AD,AN$2,0)</f>
        <v>Red</v>
      </c>
      <c r="AO105" t="str">
        <f>VLOOKUP($Z105,'oddspedia-matches'!$A:$AD,AO$2,0)</f>
        <v>Green</v>
      </c>
      <c r="AP105" t="str">
        <f>VLOOKUP($Z105,'oddspedia-matches'!$A:$AD,AP$2,0)</f>
        <v>Green</v>
      </c>
      <c r="AQ105" t="str">
        <f>VLOOKUP($Z105,'oddspedia-matches'!$A:$AD,AQ$2,0)</f>
        <v>Red</v>
      </c>
    </row>
    <row r="106" spans="2:43" x14ac:dyDescent="0.2">
      <c r="B106" s="9" t="s">
        <v>470</v>
      </c>
      <c r="C106" s="7" t="s">
        <v>122</v>
      </c>
      <c r="D106" s="20">
        <v>0.69791666666666663</v>
      </c>
      <c r="E106" s="7" t="s">
        <v>165</v>
      </c>
      <c r="F106" s="7" t="s">
        <v>166</v>
      </c>
      <c r="G106" s="21"/>
      <c r="H106" s="7">
        <v>43.1</v>
      </c>
      <c r="I106" s="7">
        <v>31.9</v>
      </c>
      <c r="J106" s="7">
        <v>25</v>
      </c>
      <c r="K106" s="7">
        <v>75</v>
      </c>
      <c r="L106" s="7">
        <v>56.9</v>
      </c>
      <c r="M106" s="7">
        <v>68.099999999999994</v>
      </c>
      <c r="N106" s="7">
        <v>34.700000000000003</v>
      </c>
      <c r="O106" s="7">
        <v>47.3</v>
      </c>
      <c r="P106" s="7">
        <v>18</v>
      </c>
      <c r="Q106" s="7">
        <v>62.6</v>
      </c>
      <c r="R106" s="7">
        <v>62.8</v>
      </c>
      <c r="S106" s="7">
        <v>34.4</v>
      </c>
      <c r="T106" s="7">
        <v>65.599999999999994</v>
      </c>
      <c r="U106" s="7">
        <v>70.7</v>
      </c>
      <c r="V106" s="7">
        <v>42</v>
      </c>
      <c r="W106" s="7">
        <v>58</v>
      </c>
      <c r="X106" t="str">
        <f>VLOOKUP(E106,'Transform table'!A:B,2,0)</f>
        <v>Gimnasia Mendoza</v>
      </c>
      <c r="Y106" t="str">
        <f>VLOOKUP(F106,'Transform table'!A:B,2,0)</f>
        <v>Central Cordoba SDE</v>
      </c>
      <c r="Z106" t="str">
        <f t="shared" si="1"/>
        <v>24/07/2026Gimnasia MendozaCentral Cordoba SDE</v>
      </c>
      <c r="AA106" t="str">
        <f>VLOOKUP($Z106,'oddspedia-matches'!$A:$AD,AA$2,0)</f>
        <v>1 - 0</v>
      </c>
      <c r="AB106" t="str">
        <f>VLOOKUP($Z106,'oddspedia-matches'!$A:$AD,AB$2,0)</f>
        <v>Green</v>
      </c>
      <c r="AC106" t="str">
        <f>VLOOKUP($Z106,'oddspedia-matches'!$A:$AD,AC$2,0)</f>
        <v>Red</v>
      </c>
      <c r="AD106" t="str">
        <f>VLOOKUP($Z106,'oddspedia-matches'!$A:$AD,AD$2,0)</f>
        <v>Red</v>
      </c>
      <c r="AE106" t="str">
        <f>VLOOKUP($Z106,'oddspedia-matches'!$A:$AD,AE$2,0)</f>
        <v>Green</v>
      </c>
      <c r="AF106" t="str">
        <f>VLOOKUP($Z106,'oddspedia-matches'!$A:$AD,AF$2,0)</f>
        <v>Red</v>
      </c>
      <c r="AG106" t="str">
        <f>VLOOKUP($Z106,'oddspedia-matches'!$A:$AD,AG$2,0)</f>
        <v>Green</v>
      </c>
      <c r="AH106" t="str">
        <f>VLOOKUP($Z106,'oddspedia-matches'!$A:$AD,AH$2,0)</f>
        <v>Red</v>
      </c>
      <c r="AI106" t="str">
        <f>VLOOKUP($Z106,'oddspedia-matches'!$A:$AD,AI$2,0)</f>
        <v>Green</v>
      </c>
      <c r="AJ106" t="str">
        <f>VLOOKUP($Z106,'oddspedia-matches'!$A:$AD,AJ$2,0)</f>
        <v>Red</v>
      </c>
      <c r="AK106" t="str">
        <f>VLOOKUP($Z106,'oddspedia-matches'!$A:$AD,AK$2,0)</f>
        <v>Red</v>
      </c>
      <c r="AL106" t="str">
        <f>VLOOKUP($Z106,'oddspedia-matches'!$A:$AD,AL$2,0)</f>
        <v>Red</v>
      </c>
      <c r="AM106" t="str">
        <f>VLOOKUP($Z106,'oddspedia-matches'!$A:$AD,AM$2,0)</f>
        <v>Red</v>
      </c>
      <c r="AN106" t="str">
        <f>VLOOKUP($Z106,'oddspedia-matches'!$A:$AD,AN$2,0)</f>
        <v>Green</v>
      </c>
      <c r="AO106" t="str">
        <f>VLOOKUP($Z106,'oddspedia-matches'!$A:$AD,AO$2,0)</f>
        <v>Green</v>
      </c>
      <c r="AP106" t="str">
        <f>VLOOKUP($Z106,'oddspedia-matches'!$A:$AD,AP$2,0)</f>
        <v>Red</v>
      </c>
      <c r="AQ106" t="str">
        <f>VLOOKUP($Z106,'oddspedia-matches'!$A:$AD,AQ$2,0)</f>
        <v>Green</v>
      </c>
    </row>
    <row r="107" spans="2:43" x14ac:dyDescent="0.2">
      <c r="B107" s="17" t="s">
        <v>481</v>
      </c>
      <c r="C107" s="8" t="s">
        <v>122</v>
      </c>
      <c r="D107" s="18">
        <v>0.70833333333333337</v>
      </c>
      <c r="E107" s="8" t="s">
        <v>167</v>
      </c>
      <c r="F107" s="8" t="s">
        <v>168</v>
      </c>
      <c r="G107" s="19"/>
      <c r="H107" s="8">
        <v>67.8</v>
      </c>
      <c r="I107" s="8">
        <v>22.3</v>
      </c>
      <c r="J107" s="8">
        <v>9.9</v>
      </c>
      <c r="K107" s="8">
        <v>90.1</v>
      </c>
      <c r="L107" s="8">
        <v>32.200000000000003</v>
      </c>
      <c r="M107" s="8">
        <v>77.7</v>
      </c>
      <c r="N107" s="8">
        <v>49.2</v>
      </c>
      <c r="O107" s="8">
        <v>36.299999999999997</v>
      </c>
      <c r="P107" s="8">
        <v>14.4</v>
      </c>
      <c r="Q107" s="8">
        <v>76</v>
      </c>
      <c r="R107" s="8">
        <v>91.1</v>
      </c>
      <c r="S107" s="8">
        <v>75.5</v>
      </c>
      <c r="T107" s="8">
        <v>24.5</v>
      </c>
      <c r="U107" s="8">
        <v>32.9</v>
      </c>
      <c r="V107" s="8">
        <v>64</v>
      </c>
      <c r="W107" s="8">
        <v>36</v>
      </c>
      <c r="X107" t="str">
        <f>VLOOKUP(E107,'Transform table'!A:B,2,0)</f>
        <v>Vikingur Reykjavik</v>
      </c>
      <c r="Y107" t="str">
        <f>VLOOKUP(F107,'Transform table'!A:B,2,0)</f>
        <v>Keflavik</v>
      </c>
      <c r="Z107" t="str">
        <f t="shared" si="1"/>
        <v>24/07/2026Vikingur ReykjavikKeflavik</v>
      </c>
      <c r="AA107" t="str">
        <f>VLOOKUP($Z107,'oddspedia-matches'!$A:$AD,AA$2,0)</f>
        <v>5 - 1</v>
      </c>
      <c r="AB107" t="str">
        <f>VLOOKUP($Z107,'oddspedia-matches'!$A:$AD,AB$2,0)</f>
        <v>Green</v>
      </c>
      <c r="AC107" t="str">
        <f>VLOOKUP($Z107,'oddspedia-matches'!$A:$AD,AC$2,0)</f>
        <v>Red</v>
      </c>
      <c r="AD107" t="str">
        <f>VLOOKUP($Z107,'oddspedia-matches'!$A:$AD,AD$2,0)</f>
        <v>Red</v>
      </c>
      <c r="AE107" t="str">
        <f>VLOOKUP($Z107,'oddspedia-matches'!$A:$AD,AE$2,0)</f>
        <v>Green</v>
      </c>
      <c r="AF107" t="str">
        <f>VLOOKUP($Z107,'oddspedia-matches'!$A:$AD,AF$2,0)</f>
        <v>Red</v>
      </c>
      <c r="AG107" t="str">
        <f>VLOOKUP($Z107,'oddspedia-matches'!$A:$AD,AG$2,0)</f>
        <v>Green</v>
      </c>
      <c r="AH107" t="str">
        <f>VLOOKUP($Z107,'oddspedia-matches'!$A:$AD,AH$2,0)</f>
        <v>Green</v>
      </c>
      <c r="AI107" t="str">
        <f>VLOOKUP($Z107,'oddspedia-matches'!$A:$AD,AI$2,0)</f>
        <v>Red</v>
      </c>
      <c r="AJ107" t="str">
        <f>VLOOKUP($Z107,'oddspedia-matches'!$A:$AD,AJ$2,0)</f>
        <v>Red</v>
      </c>
      <c r="AK107" t="str">
        <f>VLOOKUP($Z107,'oddspedia-matches'!$A:$AD,AK$2,0)</f>
        <v>Green</v>
      </c>
      <c r="AL107" t="str">
        <f>VLOOKUP($Z107,'oddspedia-matches'!$A:$AD,AL$2,0)</f>
        <v>Green</v>
      </c>
      <c r="AM107" t="str">
        <f>VLOOKUP($Z107,'oddspedia-matches'!$A:$AD,AM$2,0)</f>
        <v>Green</v>
      </c>
      <c r="AN107" t="str">
        <f>VLOOKUP($Z107,'oddspedia-matches'!$A:$AD,AN$2,0)</f>
        <v>Red</v>
      </c>
      <c r="AO107" t="str">
        <f>VLOOKUP($Z107,'oddspedia-matches'!$A:$AD,AO$2,0)</f>
        <v>Red</v>
      </c>
      <c r="AP107" t="str">
        <f>VLOOKUP($Z107,'oddspedia-matches'!$A:$AD,AP$2,0)</f>
        <v>Green</v>
      </c>
      <c r="AQ107" t="str">
        <f>VLOOKUP($Z107,'oddspedia-matches'!$A:$AD,AQ$2,0)</f>
        <v>Red</v>
      </c>
    </row>
    <row r="108" spans="2:43" x14ac:dyDescent="0.2">
      <c r="B108" s="9" t="s">
        <v>480</v>
      </c>
      <c r="C108" s="7" t="s">
        <v>122</v>
      </c>
      <c r="D108" s="20">
        <v>0.70833333333333337</v>
      </c>
      <c r="E108" s="7" t="s">
        <v>169</v>
      </c>
      <c r="F108" s="7" t="s">
        <v>170</v>
      </c>
      <c r="G108" s="21"/>
      <c r="H108" s="7">
        <v>31</v>
      </c>
      <c r="I108" s="7">
        <v>25.6</v>
      </c>
      <c r="J108" s="7">
        <v>43.4</v>
      </c>
      <c r="K108" s="7">
        <v>56.6</v>
      </c>
      <c r="L108" s="7">
        <v>69</v>
      </c>
      <c r="M108" s="7">
        <v>74.400000000000006</v>
      </c>
      <c r="N108" s="7">
        <v>17.5</v>
      </c>
      <c r="O108" s="7">
        <v>40.299999999999997</v>
      </c>
      <c r="P108" s="7">
        <v>42.3</v>
      </c>
      <c r="Q108" s="7">
        <v>72.900000000000006</v>
      </c>
      <c r="R108" s="7">
        <v>89.1</v>
      </c>
      <c r="S108" s="7">
        <v>71.3</v>
      </c>
      <c r="T108" s="7">
        <v>28.7</v>
      </c>
      <c r="U108" s="7">
        <v>34.1</v>
      </c>
      <c r="V108" s="7">
        <v>71.7</v>
      </c>
      <c r="W108" s="7">
        <v>28.3</v>
      </c>
      <c r="X108" t="str">
        <f>VLOOKUP(E108,'Transform table'!A:B,2,0)</f>
        <v>Hviti Riddarinn</v>
      </c>
      <c r="Y108" t="str">
        <f>VLOOKUP(F108,'Transform table'!A:B,2,0)</f>
        <v>Kari</v>
      </c>
      <c r="Z108" t="str">
        <f t="shared" si="1"/>
        <v>24/07/2026Hviti RiddarinnKari</v>
      </c>
      <c r="AA108" t="str">
        <f>VLOOKUP($Z108,'oddspedia-matches'!$A:$AD,AA$2,0)</f>
        <v>1 - 3</v>
      </c>
      <c r="AB108" t="str">
        <f>VLOOKUP($Z108,'oddspedia-matches'!$A:$AD,AB$2,0)</f>
        <v>Red</v>
      </c>
      <c r="AC108" t="str">
        <f>VLOOKUP($Z108,'oddspedia-matches'!$A:$AD,AC$2,0)</f>
        <v>Red</v>
      </c>
      <c r="AD108" t="str">
        <f>VLOOKUP($Z108,'oddspedia-matches'!$A:$AD,AD$2,0)</f>
        <v>Green</v>
      </c>
      <c r="AE108" t="str">
        <f>VLOOKUP($Z108,'oddspedia-matches'!$A:$AD,AE$2,0)</f>
        <v>Red</v>
      </c>
      <c r="AF108" t="str">
        <f>VLOOKUP($Z108,'oddspedia-matches'!$A:$AD,AF$2,0)</f>
        <v>Green</v>
      </c>
      <c r="AG108" t="str">
        <f>VLOOKUP($Z108,'oddspedia-matches'!$A:$AD,AG$2,0)</f>
        <v>Green</v>
      </c>
      <c r="AH108" t="str">
        <f>VLOOKUP($Z108,'oddspedia-matches'!$A:$AD,AH$2,0)</f>
        <v>Red</v>
      </c>
      <c r="AI108" t="str">
        <f>VLOOKUP($Z108,'oddspedia-matches'!$A:$AD,AI$2,0)</f>
        <v>Red</v>
      </c>
      <c r="AJ108" t="str">
        <f>VLOOKUP($Z108,'oddspedia-matches'!$A:$AD,AJ$2,0)</f>
        <v>Green</v>
      </c>
      <c r="AK108" t="str">
        <f>VLOOKUP($Z108,'oddspedia-matches'!$A:$AD,AK$2,0)</f>
        <v>Green</v>
      </c>
      <c r="AL108" t="str">
        <f>VLOOKUP($Z108,'oddspedia-matches'!$A:$AD,AL$2,0)</f>
        <v>Green</v>
      </c>
      <c r="AM108" t="str">
        <f>VLOOKUP($Z108,'oddspedia-matches'!$A:$AD,AM$2,0)</f>
        <v>Green</v>
      </c>
      <c r="AN108" t="str">
        <f>VLOOKUP($Z108,'oddspedia-matches'!$A:$AD,AN$2,0)</f>
        <v>Red</v>
      </c>
      <c r="AO108" t="str">
        <f>VLOOKUP($Z108,'oddspedia-matches'!$A:$AD,AO$2,0)</f>
        <v>Red</v>
      </c>
      <c r="AP108" t="str">
        <f>VLOOKUP($Z108,'oddspedia-matches'!$A:$AD,AP$2,0)</f>
        <v>Green</v>
      </c>
      <c r="AQ108" t="str">
        <f>VLOOKUP($Z108,'oddspedia-matches'!$A:$AD,AQ$2,0)</f>
        <v>Red</v>
      </c>
    </row>
    <row r="109" spans="2:43" x14ac:dyDescent="0.2">
      <c r="B109" s="17" t="s">
        <v>482</v>
      </c>
      <c r="C109" s="8" t="s">
        <v>122</v>
      </c>
      <c r="D109" s="18">
        <v>0.70833333333333337</v>
      </c>
      <c r="E109" s="8" t="s">
        <v>171</v>
      </c>
      <c r="F109" s="8" t="s">
        <v>172</v>
      </c>
      <c r="G109" s="19"/>
      <c r="H109" s="8">
        <v>40.799999999999997</v>
      </c>
      <c r="I109" s="8">
        <v>29.9</v>
      </c>
      <c r="J109" s="8">
        <v>29.3</v>
      </c>
      <c r="K109" s="8">
        <v>70.7</v>
      </c>
      <c r="L109" s="8">
        <v>59.2</v>
      </c>
      <c r="M109" s="8">
        <v>70.099999999999994</v>
      </c>
      <c r="N109" s="8">
        <v>22</v>
      </c>
      <c r="O109" s="8">
        <v>48.5</v>
      </c>
      <c r="P109" s="8">
        <v>29.5</v>
      </c>
      <c r="Q109" s="8">
        <v>62.1</v>
      </c>
      <c r="R109" s="8">
        <v>71</v>
      </c>
      <c r="S109" s="8">
        <v>43.7</v>
      </c>
      <c r="T109" s="8">
        <v>56.3</v>
      </c>
      <c r="U109" s="8">
        <v>61.8</v>
      </c>
      <c r="V109" s="8">
        <v>50.3</v>
      </c>
      <c r="W109" s="8">
        <v>49.7</v>
      </c>
      <c r="X109" t="str">
        <f>VLOOKUP(E109,'Transform table'!A:B,2,0)</f>
        <v>Alianza Atletico</v>
      </c>
      <c r="Y109" t="str">
        <f>VLOOKUP(F109,'Transform table'!A:B,2,0)</f>
        <v>CSD Santa Rosa</v>
      </c>
      <c r="Z109" t="str">
        <f t="shared" si="1"/>
        <v>24/07/2026Alianza AtleticoCSD Santa Rosa</v>
      </c>
      <c r="AA109" t="str">
        <f>VLOOKUP($Z109,'oddspedia-matches'!$A:$AD,AA$2,0)</f>
        <v>3 - 1</v>
      </c>
      <c r="AB109" t="str">
        <f>VLOOKUP($Z109,'oddspedia-matches'!$A:$AD,AB$2,0)</f>
        <v>Green</v>
      </c>
      <c r="AC109" t="str">
        <f>VLOOKUP($Z109,'oddspedia-matches'!$A:$AD,AC$2,0)</f>
        <v>Red</v>
      </c>
      <c r="AD109" t="str">
        <f>VLOOKUP($Z109,'oddspedia-matches'!$A:$AD,AD$2,0)</f>
        <v>Red</v>
      </c>
      <c r="AE109" t="str">
        <f>VLOOKUP($Z109,'oddspedia-matches'!$A:$AD,AE$2,0)</f>
        <v>Green</v>
      </c>
      <c r="AF109" t="str">
        <f>VLOOKUP($Z109,'oddspedia-matches'!$A:$AD,AF$2,0)</f>
        <v>Red</v>
      </c>
      <c r="AG109" t="str">
        <f>VLOOKUP($Z109,'oddspedia-matches'!$A:$AD,AG$2,0)</f>
        <v>Green</v>
      </c>
      <c r="AH109" t="str">
        <f>VLOOKUP($Z109,'oddspedia-matches'!$A:$AD,AH$2,0)</f>
        <v>Green</v>
      </c>
      <c r="AI109" t="str">
        <f>VLOOKUP($Z109,'oddspedia-matches'!$A:$AD,AI$2,0)</f>
        <v>Red</v>
      </c>
      <c r="AJ109" t="str">
        <f>VLOOKUP($Z109,'oddspedia-matches'!$A:$AD,AJ$2,0)</f>
        <v>Red</v>
      </c>
      <c r="AK109" t="str">
        <f>VLOOKUP($Z109,'oddspedia-matches'!$A:$AD,AK$2,0)</f>
        <v>Green</v>
      </c>
      <c r="AL109" t="str">
        <f>VLOOKUP($Z109,'oddspedia-matches'!$A:$AD,AL$2,0)</f>
        <v>Green</v>
      </c>
      <c r="AM109" t="str">
        <f>VLOOKUP($Z109,'oddspedia-matches'!$A:$AD,AM$2,0)</f>
        <v>Green</v>
      </c>
      <c r="AN109" t="str">
        <f>VLOOKUP($Z109,'oddspedia-matches'!$A:$AD,AN$2,0)</f>
        <v>Red</v>
      </c>
      <c r="AO109" t="str">
        <f>VLOOKUP($Z109,'oddspedia-matches'!$A:$AD,AO$2,0)</f>
        <v>Red</v>
      </c>
      <c r="AP109" t="str">
        <f>VLOOKUP($Z109,'oddspedia-matches'!$A:$AD,AP$2,0)</f>
        <v>Green</v>
      </c>
      <c r="AQ109" t="str">
        <f>VLOOKUP($Z109,'oddspedia-matches'!$A:$AD,AQ$2,0)</f>
        <v>Red</v>
      </c>
    </row>
    <row r="110" spans="2:43" x14ac:dyDescent="0.2">
      <c r="B110" s="9" t="s">
        <v>483</v>
      </c>
      <c r="C110" s="7" t="s">
        <v>122</v>
      </c>
      <c r="D110" s="20">
        <v>0.75347222222222221</v>
      </c>
      <c r="E110" s="7" t="s">
        <v>173</v>
      </c>
      <c r="F110" s="7" t="s">
        <v>174</v>
      </c>
      <c r="G110" s="21"/>
      <c r="H110" s="7">
        <v>51.5</v>
      </c>
      <c r="I110" s="7">
        <v>29.7</v>
      </c>
      <c r="J110" s="7">
        <v>18.8</v>
      </c>
      <c r="K110" s="7">
        <v>81.2</v>
      </c>
      <c r="L110" s="7">
        <v>48.5</v>
      </c>
      <c r="M110" s="7">
        <v>70.3</v>
      </c>
      <c r="N110" s="7">
        <v>39.1</v>
      </c>
      <c r="O110" s="7">
        <v>44.2</v>
      </c>
      <c r="P110" s="7">
        <v>16.7</v>
      </c>
      <c r="Q110" s="7">
        <v>66.5</v>
      </c>
      <c r="R110" s="7">
        <v>63.9</v>
      </c>
      <c r="S110" s="7">
        <v>35.700000000000003</v>
      </c>
      <c r="T110" s="7">
        <v>64.3</v>
      </c>
      <c r="U110" s="7">
        <v>70.5</v>
      </c>
      <c r="V110" s="7">
        <v>40.299999999999997</v>
      </c>
      <c r="W110" s="7">
        <v>59.7</v>
      </c>
      <c r="X110" t="str">
        <f>VLOOKUP(E110,'Transform table'!A:B,2,0)</f>
        <v>Deportes Quindio</v>
      </c>
      <c r="Y110" t="str">
        <f>VLOOKUP(F110,'Transform table'!A:B,2,0)</f>
        <v>Universitario Popayan</v>
      </c>
      <c r="Z110" t="str">
        <f t="shared" si="1"/>
        <v>24/07/2026Deportes QuindioUniversitario Popayan</v>
      </c>
      <c r="AA110" t="str">
        <f>VLOOKUP($Z110,'oddspedia-matches'!$A:$AD,AA$2,0)</f>
        <v>0 - 1</v>
      </c>
      <c r="AB110" t="str">
        <f>VLOOKUP($Z110,'oddspedia-matches'!$A:$AD,AB$2,0)</f>
        <v>Red</v>
      </c>
      <c r="AC110" t="str">
        <f>VLOOKUP($Z110,'oddspedia-matches'!$A:$AD,AC$2,0)</f>
        <v>Red</v>
      </c>
      <c r="AD110" t="str">
        <f>VLOOKUP($Z110,'oddspedia-matches'!$A:$AD,AD$2,0)</f>
        <v>Green</v>
      </c>
      <c r="AE110" t="str">
        <f>VLOOKUP($Z110,'oddspedia-matches'!$A:$AD,AE$2,0)</f>
        <v>Red</v>
      </c>
      <c r="AF110" t="str">
        <f>VLOOKUP($Z110,'oddspedia-matches'!$A:$AD,AF$2,0)</f>
        <v>Green</v>
      </c>
      <c r="AG110" t="str">
        <f>VLOOKUP($Z110,'oddspedia-matches'!$A:$AD,AG$2,0)</f>
        <v>Green</v>
      </c>
      <c r="AH110" t="str">
        <f>VLOOKUP($Z110,'oddspedia-matches'!$A:$AD,AH$2,0)</f>
        <v>Red</v>
      </c>
      <c r="AI110" t="str">
        <f>VLOOKUP($Z110,'oddspedia-matches'!$A:$AD,AI$2,0)</f>
        <v>Green</v>
      </c>
      <c r="AJ110" t="str">
        <f>VLOOKUP($Z110,'oddspedia-matches'!$A:$AD,AJ$2,0)</f>
        <v>Red</v>
      </c>
      <c r="AK110" t="str">
        <f>VLOOKUP($Z110,'oddspedia-matches'!$A:$AD,AK$2,0)</f>
        <v>Red</v>
      </c>
      <c r="AL110" t="str">
        <f>VLOOKUP($Z110,'oddspedia-matches'!$A:$AD,AL$2,0)</f>
        <v>Red</v>
      </c>
      <c r="AM110" t="str">
        <f>VLOOKUP($Z110,'oddspedia-matches'!$A:$AD,AM$2,0)</f>
        <v>Red</v>
      </c>
      <c r="AN110" t="str">
        <f>VLOOKUP($Z110,'oddspedia-matches'!$A:$AD,AN$2,0)</f>
        <v>Green</v>
      </c>
      <c r="AO110" t="str">
        <f>VLOOKUP($Z110,'oddspedia-matches'!$A:$AD,AO$2,0)</f>
        <v>Green</v>
      </c>
      <c r="AP110" t="str">
        <f>VLOOKUP($Z110,'oddspedia-matches'!$A:$AD,AP$2,0)</f>
        <v>Red</v>
      </c>
      <c r="AQ110" t="str">
        <f>VLOOKUP($Z110,'oddspedia-matches'!$A:$AD,AQ$2,0)</f>
        <v>Green</v>
      </c>
    </row>
    <row r="111" spans="2:43" x14ac:dyDescent="0.2">
      <c r="B111" s="17" t="s">
        <v>479</v>
      </c>
      <c r="C111" s="8" t="s">
        <v>122</v>
      </c>
      <c r="D111" s="18">
        <v>0.77083333333333337</v>
      </c>
      <c r="E111" s="8" t="s">
        <v>175</v>
      </c>
      <c r="F111" s="8" t="s">
        <v>176</v>
      </c>
      <c r="G111" s="19"/>
      <c r="H111" s="8">
        <v>46.3</v>
      </c>
      <c r="I111" s="8">
        <v>29.2</v>
      </c>
      <c r="J111" s="8">
        <v>24.5</v>
      </c>
      <c r="K111" s="8">
        <v>75.5</v>
      </c>
      <c r="L111" s="8">
        <v>53.7</v>
      </c>
      <c r="M111" s="8">
        <v>70.8</v>
      </c>
      <c r="N111" s="8">
        <v>31.9</v>
      </c>
      <c r="O111" s="8">
        <v>47</v>
      </c>
      <c r="P111" s="8">
        <v>21.1</v>
      </c>
      <c r="Q111" s="8">
        <v>63.8</v>
      </c>
      <c r="R111" s="8">
        <v>70.599999999999994</v>
      </c>
      <c r="S111" s="8">
        <v>43.3</v>
      </c>
      <c r="T111" s="8">
        <v>56.7</v>
      </c>
      <c r="U111" s="8">
        <v>62.5</v>
      </c>
      <c r="V111" s="8">
        <v>48.8</v>
      </c>
      <c r="W111" s="8">
        <v>51.2</v>
      </c>
      <c r="X111" t="str">
        <f>VLOOKUP(E111,'Transform table'!A:B,2,0)</f>
        <v>Cerro Porteno</v>
      </c>
      <c r="Y111" t="str">
        <f>VLOOKUP(F111,'Transform table'!A:B,2,0)</f>
        <v>Sportivo Trinidense</v>
      </c>
      <c r="Z111" t="str">
        <f t="shared" si="1"/>
        <v>24/07/2026Cerro PortenoSportivo Trinidense</v>
      </c>
      <c r="AA111" t="str">
        <f>VLOOKUP($Z111,'oddspedia-matches'!$A:$AD,AA$2,0)</f>
        <v>1 - 2</v>
      </c>
      <c r="AB111" t="str">
        <f>VLOOKUP($Z111,'oddspedia-matches'!$A:$AD,AB$2,0)</f>
        <v>Red</v>
      </c>
      <c r="AC111" t="str">
        <f>VLOOKUP($Z111,'oddspedia-matches'!$A:$AD,AC$2,0)</f>
        <v>Red</v>
      </c>
      <c r="AD111" t="str">
        <f>VLOOKUP($Z111,'oddspedia-matches'!$A:$AD,AD$2,0)</f>
        <v>Green</v>
      </c>
      <c r="AE111" t="str">
        <f>VLOOKUP($Z111,'oddspedia-matches'!$A:$AD,AE$2,0)</f>
        <v>Red</v>
      </c>
      <c r="AF111" t="str">
        <f>VLOOKUP($Z111,'oddspedia-matches'!$A:$AD,AF$2,0)</f>
        <v>Green</v>
      </c>
      <c r="AG111" t="str">
        <f>VLOOKUP($Z111,'oddspedia-matches'!$A:$AD,AG$2,0)</f>
        <v>Green</v>
      </c>
      <c r="AH111" t="str">
        <f>VLOOKUP($Z111,'oddspedia-matches'!$A:$AD,AH$2,0)</f>
        <v>Green</v>
      </c>
      <c r="AI111" t="str">
        <f>VLOOKUP($Z111,'oddspedia-matches'!$A:$AD,AI$2,0)</f>
        <v>Red</v>
      </c>
      <c r="AJ111" t="str">
        <f>VLOOKUP($Z111,'oddspedia-matches'!$A:$AD,AJ$2,0)</f>
        <v>Red</v>
      </c>
      <c r="AK111" t="str">
        <f>VLOOKUP($Z111,'oddspedia-matches'!$A:$AD,AK$2,0)</f>
        <v>Green</v>
      </c>
      <c r="AL111" t="str">
        <f>VLOOKUP($Z111,'oddspedia-matches'!$A:$AD,AL$2,0)</f>
        <v>Green</v>
      </c>
      <c r="AM111" t="str">
        <f>VLOOKUP($Z111,'oddspedia-matches'!$A:$AD,AM$2,0)</f>
        <v>Green</v>
      </c>
      <c r="AN111" t="str">
        <f>VLOOKUP($Z111,'oddspedia-matches'!$A:$AD,AN$2,0)</f>
        <v>Red</v>
      </c>
      <c r="AO111" t="str">
        <f>VLOOKUP($Z111,'oddspedia-matches'!$A:$AD,AO$2,0)</f>
        <v>Green</v>
      </c>
      <c r="AP111" t="str">
        <f>VLOOKUP($Z111,'oddspedia-matches'!$A:$AD,AP$2,0)</f>
        <v>Green</v>
      </c>
      <c r="AQ111" t="str">
        <f>VLOOKUP($Z111,'oddspedia-matches'!$A:$AD,AQ$2,0)</f>
        <v>Red</v>
      </c>
    </row>
    <row r="112" spans="2:43" x14ac:dyDescent="0.2">
      <c r="B112" s="9" t="s">
        <v>470</v>
      </c>
      <c r="C112" s="7" t="s">
        <v>122</v>
      </c>
      <c r="D112" s="20">
        <v>0.79166666666666663</v>
      </c>
      <c r="E112" s="7" t="s">
        <v>177</v>
      </c>
      <c r="F112" s="7" t="s">
        <v>178</v>
      </c>
      <c r="G112" s="21"/>
      <c r="H112" s="7">
        <v>43.9</v>
      </c>
      <c r="I112" s="7">
        <v>31</v>
      </c>
      <c r="J112" s="7">
        <v>25.1</v>
      </c>
      <c r="K112" s="7">
        <v>74.900000000000006</v>
      </c>
      <c r="L112" s="7">
        <v>56.1</v>
      </c>
      <c r="M112" s="7">
        <v>69</v>
      </c>
      <c r="N112" s="7">
        <v>28.5</v>
      </c>
      <c r="O112" s="7">
        <v>46</v>
      </c>
      <c r="P112" s="7">
        <v>25.5</v>
      </c>
      <c r="Q112" s="7">
        <v>65.900000000000006</v>
      </c>
      <c r="R112" s="7">
        <v>65.400000000000006</v>
      </c>
      <c r="S112" s="7">
        <v>37.299999999999997</v>
      </c>
      <c r="T112" s="7">
        <v>62.7</v>
      </c>
      <c r="U112" s="7">
        <v>68.099999999999994</v>
      </c>
      <c r="V112" s="7">
        <v>44.3</v>
      </c>
      <c r="W112" s="7">
        <v>55.7</v>
      </c>
      <c r="X112" t="str">
        <f>VLOOKUP(E112,'Transform table'!A:B,2,0)</f>
        <v>Racing Avellaneda</v>
      </c>
      <c r="Y112" t="str">
        <f>VLOOKUP(F112,'Transform table'!A:B,2,0)</f>
        <v>Gimnasia La Plata</v>
      </c>
      <c r="Z112" t="str">
        <f t="shared" si="1"/>
        <v>24/07/2026Racing AvellanedaGimnasia La Plata</v>
      </c>
      <c r="AA112" t="str">
        <f>VLOOKUP($Z112,'oddspedia-matches'!$A:$AD,AA$2,0)</f>
        <v>2 - 1</v>
      </c>
      <c r="AB112" t="str">
        <f>VLOOKUP($Z112,'oddspedia-matches'!$A:$AD,AB$2,0)</f>
        <v>Green</v>
      </c>
      <c r="AC112" t="str">
        <f>VLOOKUP($Z112,'oddspedia-matches'!$A:$AD,AC$2,0)</f>
        <v>Red</v>
      </c>
      <c r="AD112" t="str">
        <f>VLOOKUP($Z112,'oddspedia-matches'!$A:$AD,AD$2,0)</f>
        <v>Red</v>
      </c>
      <c r="AE112" t="str">
        <f>VLOOKUP($Z112,'oddspedia-matches'!$A:$AD,AE$2,0)</f>
        <v>Green</v>
      </c>
      <c r="AF112" t="str">
        <f>VLOOKUP($Z112,'oddspedia-matches'!$A:$AD,AF$2,0)</f>
        <v>Red</v>
      </c>
      <c r="AG112" t="str">
        <f>VLOOKUP($Z112,'oddspedia-matches'!$A:$AD,AG$2,0)</f>
        <v>Green</v>
      </c>
      <c r="AH112" t="str">
        <f>VLOOKUP($Z112,'oddspedia-matches'!$A:$AD,AH$2,0)</f>
        <v>Red</v>
      </c>
      <c r="AI112" t="str">
        <f>VLOOKUP($Z112,'oddspedia-matches'!$A:$AD,AI$2,0)</f>
        <v>Green</v>
      </c>
      <c r="AJ112" t="str">
        <f>VLOOKUP($Z112,'oddspedia-matches'!$A:$AD,AJ$2,0)</f>
        <v>Red</v>
      </c>
      <c r="AK112" t="str">
        <f>VLOOKUP($Z112,'oddspedia-matches'!$A:$AD,AK$2,0)</f>
        <v>Green</v>
      </c>
      <c r="AL112" t="str">
        <f>VLOOKUP($Z112,'oddspedia-matches'!$A:$AD,AL$2,0)</f>
        <v>Green</v>
      </c>
      <c r="AM112" t="str">
        <f>VLOOKUP($Z112,'oddspedia-matches'!$A:$AD,AM$2,0)</f>
        <v>Green</v>
      </c>
      <c r="AN112" t="str">
        <f>VLOOKUP($Z112,'oddspedia-matches'!$A:$AD,AN$2,0)</f>
        <v>Red</v>
      </c>
      <c r="AO112" t="str">
        <f>VLOOKUP($Z112,'oddspedia-matches'!$A:$AD,AO$2,0)</f>
        <v>Green</v>
      </c>
      <c r="AP112" t="str">
        <f>VLOOKUP($Z112,'oddspedia-matches'!$A:$AD,AP$2,0)</f>
        <v>Green</v>
      </c>
      <c r="AQ112" t="str">
        <f>VLOOKUP($Z112,'oddspedia-matches'!$A:$AD,AQ$2,0)</f>
        <v>Red</v>
      </c>
    </row>
    <row r="113" spans="2:43" x14ac:dyDescent="0.2">
      <c r="B113" s="17" t="s">
        <v>470</v>
      </c>
      <c r="C113" s="8" t="s">
        <v>122</v>
      </c>
      <c r="D113" s="18">
        <v>0.79166666666666663</v>
      </c>
      <c r="E113" s="8" t="s">
        <v>179</v>
      </c>
      <c r="F113" s="8" t="s">
        <v>180</v>
      </c>
      <c r="G113" s="19"/>
      <c r="H113" s="8">
        <v>44.7</v>
      </c>
      <c r="I113" s="8">
        <v>32.1</v>
      </c>
      <c r="J113" s="8">
        <v>23.2</v>
      </c>
      <c r="K113" s="8">
        <v>76.8</v>
      </c>
      <c r="L113" s="8">
        <v>55.3</v>
      </c>
      <c r="M113" s="8">
        <v>67.900000000000006</v>
      </c>
      <c r="N113" s="8">
        <v>23.7</v>
      </c>
      <c r="O113" s="8">
        <v>53</v>
      </c>
      <c r="P113" s="8">
        <v>23.3</v>
      </c>
      <c r="Q113" s="8">
        <v>55.5</v>
      </c>
      <c r="R113" s="8">
        <v>61</v>
      </c>
      <c r="S113" s="8">
        <v>32.6</v>
      </c>
      <c r="T113" s="8">
        <v>67.400000000000006</v>
      </c>
      <c r="U113" s="8">
        <v>72.5</v>
      </c>
      <c r="V113" s="8">
        <v>39.9</v>
      </c>
      <c r="W113" s="8">
        <v>60.1</v>
      </c>
      <c r="X113" t="str">
        <f>VLOOKUP(E113,'Transform table'!A:B,2,0)</f>
        <v>Velez Sarsfield</v>
      </c>
      <c r="Y113" t="str">
        <f>VLOOKUP(F113,'Transform table'!A:B,2,0)</f>
        <v>Instituto de Cordoba</v>
      </c>
      <c r="Z113" t="str">
        <f t="shared" si="1"/>
        <v>24/07/2026Velez SarsfieldInstituto de Cordoba</v>
      </c>
      <c r="AA113" t="str">
        <f>VLOOKUP($Z113,'oddspedia-matches'!$A:$AD,AA$2,0)</f>
        <v>1 - 0</v>
      </c>
      <c r="AB113" t="str">
        <f>VLOOKUP($Z113,'oddspedia-matches'!$A:$AD,AB$2,0)</f>
        <v>Green</v>
      </c>
      <c r="AC113" t="str">
        <f>VLOOKUP($Z113,'oddspedia-matches'!$A:$AD,AC$2,0)</f>
        <v>Red</v>
      </c>
      <c r="AD113" t="str">
        <f>VLOOKUP($Z113,'oddspedia-matches'!$A:$AD,AD$2,0)</f>
        <v>Red</v>
      </c>
      <c r="AE113" t="str">
        <f>VLOOKUP($Z113,'oddspedia-matches'!$A:$AD,AE$2,0)</f>
        <v>Green</v>
      </c>
      <c r="AF113" t="str">
        <f>VLOOKUP($Z113,'oddspedia-matches'!$A:$AD,AF$2,0)</f>
        <v>Red</v>
      </c>
      <c r="AG113" t="str">
        <f>VLOOKUP($Z113,'oddspedia-matches'!$A:$AD,AG$2,0)</f>
        <v>Green</v>
      </c>
      <c r="AH113" t="str">
        <f>VLOOKUP($Z113,'oddspedia-matches'!$A:$AD,AH$2,0)</f>
        <v>Green</v>
      </c>
      <c r="AI113" t="str">
        <f>VLOOKUP($Z113,'oddspedia-matches'!$A:$AD,AI$2,0)</f>
        <v>Red</v>
      </c>
      <c r="AJ113" t="str">
        <f>VLOOKUP($Z113,'oddspedia-matches'!$A:$AD,AJ$2,0)</f>
        <v>Red</v>
      </c>
      <c r="AK113" t="str">
        <f>VLOOKUP($Z113,'oddspedia-matches'!$A:$AD,AK$2,0)</f>
        <v>Green</v>
      </c>
      <c r="AL113" t="str">
        <f>VLOOKUP($Z113,'oddspedia-matches'!$A:$AD,AL$2,0)</f>
        <v>Red</v>
      </c>
      <c r="AM113" t="str">
        <f>VLOOKUP($Z113,'oddspedia-matches'!$A:$AD,AM$2,0)</f>
        <v>Red</v>
      </c>
      <c r="AN113" t="str">
        <f>VLOOKUP($Z113,'oddspedia-matches'!$A:$AD,AN$2,0)</f>
        <v>Green</v>
      </c>
      <c r="AO113" t="str">
        <f>VLOOKUP($Z113,'oddspedia-matches'!$A:$AD,AO$2,0)</f>
        <v>Green</v>
      </c>
      <c r="AP113" t="str">
        <f>VLOOKUP($Z113,'oddspedia-matches'!$A:$AD,AP$2,0)</f>
        <v>Red</v>
      </c>
      <c r="AQ113" t="str">
        <f>VLOOKUP($Z113,'oddspedia-matches'!$A:$AD,AQ$2,0)</f>
        <v>Green</v>
      </c>
    </row>
    <row r="114" spans="2:43" x14ac:dyDescent="0.2">
      <c r="B114" s="9" t="s">
        <v>484</v>
      </c>
      <c r="C114" s="7" t="s">
        <v>122</v>
      </c>
      <c r="D114" s="20">
        <v>0.79166666666666663</v>
      </c>
      <c r="E114" s="7" t="s">
        <v>181</v>
      </c>
      <c r="F114" s="7" t="s">
        <v>182</v>
      </c>
      <c r="G114" s="21"/>
      <c r="H114" s="7">
        <v>46.3</v>
      </c>
      <c r="I114" s="7">
        <v>25.9</v>
      </c>
      <c r="J114" s="7">
        <v>27.8</v>
      </c>
      <c r="K114" s="7">
        <v>72.2</v>
      </c>
      <c r="L114" s="7">
        <v>53.7</v>
      </c>
      <c r="M114" s="7">
        <v>74.099999999999994</v>
      </c>
      <c r="N114" s="7">
        <v>23.2</v>
      </c>
      <c r="O114" s="7">
        <v>44.9</v>
      </c>
      <c r="P114" s="7">
        <v>31.9</v>
      </c>
      <c r="Q114" s="7">
        <v>67.5</v>
      </c>
      <c r="R114" s="7">
        <v>84.5</v>
      </c>
      <c r="S114" s="7">
        <v>62.9</v>
      </c>
      <c r="T114" s="7">
        <v>37.1</v>
      </c>
      <c r="U114" s="7">
        <v>43</v>
      </c>
      <c r="V114" s="7">
        <v>64.7</v>
      </c>
      <c r="W114" s="7">
        <v>35.299999999999997</v>
      </c>
      <c r="X114" t="str">
        <f>VLOOKUP(E114,'Transform table'!A:B,2,0)</f>
        <v>HFX Wanderers</v>
      </c>
      <c r="Y114" t="str">
        <f>VLOOKUP(F114,'Transform table'!A:B,2,0)</f>
        <v>Supra du Quebec</v>
      </c>
      <c r="Z114" t="str">
        <f t="shared" si="1"/>
        <v>24/07/2026HFX WanderersSupra du Quebec</v>
      </c>
      <c r="AA114" t="str">
        <f>VLOOKUP($Z114,'oddspedia-matches'!$A:$AD,AA$2,0)</f>
        <v>2 - 3</v>
      </c>
      <c r="AB114" t="str">
        <f>VLOOKUP($Z114,'oddspedia-matches'!$A:$AD,AB$2,0)</f>
        <v>Red</v>
      </c>
      <c r="AC114" t="str">
        <f>VLOOKUP($Z114,'oddspedia-matches'!$A:$AD,AC$2,0)</f>
        <v>Red</v>
      </c>
      <c r="AD114" t="str">
        <f>VLOOKUP($Z114,'oddspedia-matches'!$A:$AD,AD$2,0)</f>
        <v>Green</v>
      </c>
      <c r="AE114" t="str">
        <f>VLOOKUP($Z114,'oddspedia-matches'!$A:$AD,AE$2,0)</f>
        <v>Red</v>
      </c>
      <c r="AF114" t="str">
        <f>VLOOKUP($Z114,'oddspedia-matches'!$A:$AD,AF$2,0)</f>
        <v>Green</v>
      </c>
      <c r="AG114" t="str">
        <f>VLOOKUP($Z114,'oddspedia-matches'!$A:$AD,AG$2,0)</f>
        <v>Green</v>
      </c>
      <c r="AH114" t="str">
        <f>VLOOKUP($Z114,'oddspedia-matches'!$A:$AD,AH$2,0)</f>
        <v>Green</v>
      </c>
      <c r="AI114" t="str">
        <f>VLOOKUP($Z114,'oddspedia-matches'!$A:$AD,AI$2,0)</f>
        <v>Red</v>
      </c>
      <c r="AJ114" t="str">
        <f>VLOOKUP($Z114,'oddspedia-matches'!$A:$AD,AJ$2,0)</f>
        <v>Red</v>
      </c>
      <c r="AK114" t="str">
        <f>VLOOKUP($Z114,'oddspedia-matches'!$A:$AD,AK$2,0)</f>
        <v>Green</v>
      </c>
      <c r="AL114" t="str">
        <f>VLOOKUP($Z114,'oddspedia-matches'!$A:$AD,AL$2,0)</f>
        <v>Green</v>
      </c>
      <c r="AM114" t="str">
        <f>VLOOKUP($Z114,'oddspedia-matches'!$A:$AD,AM$2,0)</f>
        <v>Green</v>
      </c>
      <c r="AN114" t="str">
        <f>VLOOKUP($Z114,'oddspedia-matches'!$A:$AD,AN$2,0)</f>
        <v>Red</v>
      </c>
      <c r="AO114" t="str">
        <f>VLOOKUP($Z114,'oddspedia-matches'!$A:$AD,AO$2,0)</f>
        <v>Red</v>
      </c>
      <c r="AP114" t="str">
        <f>VLOOKUP($Z114,'oddspedia-matches'!$A:$AD,AP$2,0)</f>
        <v>Green</v>
      </c>
      <c r="AQ114" t="str">
        <f>VLOOKUP($Z114,'oddspedia-matches'!$A:$AD,AQ$2,0)</f>
        <v>Red</v>
      </c>
    </row>
    <row r="115" spans="2:43" x14ac:dyDescent="0.2">
      <c r="B115" s="17" t="s">
        <v>485</v>
      </c>
      <c r="C115" s="8" t="s">
        <v>122</v>
      </c>
      <c r="D115" s="18">
        <v>0.79166666666666663</v>
      </c>
      <c r="E115" s="8" t="s">
        <v>183</v>
      </c>
      <c r="F115" s="8" t="s">
        <v>184</v>
      </c>
      <c r="G115" s="19"/>
      <c r="H115" s="8">
        <v>36.1</v>
      </c>
      <c r="I115" s="8">
        <v>30.4</v>
      </c>
      <c r="J115" s="8">
        <v>33.4</v>
      </c>
      <c r="K115" s="8">
        <v>66.599999999999994</v>
      </c>
      <c r="L115" s="8">
        <v>63.9</v>
      </c>
      <c r="M115" s="8">
        <v>69.599999999999994</v>
      </c>
      <c r="N115" s="8">
        <v>26.1</v>
      </c>
      <c r="O115" s="8">
        <v>45.3</v>
      </c>
      <c r="P115" s="8">
        <v>28.6</v>
      </c>
      <c r="Q115" s="8">
        <v>67</v>
      </c>
      <c r="R115" s="8">
        <v>70.599999999999994</v>
      </c>
      <c r="S115" s="8">
        <v>43.2</v>
      </c>
      <c r="T115" s="8">
        <v>56.8</v>
      </c>
      <c r="U115" s="8">
        <v>62</v>
      </c>
      <c r="V115" s="8">
        <v>50.4</v>
      </c>
      <c r="W115" s="8">
        <v>49.6</v>
      </c>
      <c r="X115" t="str">
        <f>VLOOKUP(E115,'Transform table'!A:B,2,0)</f>
        <v>Union La Calera</v>
      </c>
      <c r="Y115" t="str">
        <f>VLOOKUP(F115,'Transform table'!A:B,2,0)</f>
        <v>Everton de Vina</v>
      </c>
      <c r="Z115" t="str">
        <f t="shared" si="1"/>
        <v>24/07/2026Union La CaleraEverton de Vina</v>
      </c>
      <c r="AA115" t="str">
        <f>VLOOKUP($Z115,'oddspedia-matches'!$A:$AD,AA$2,0)</f>
        <v xml:space="preserve"> - </v>
      </c>
      <c r="AB115" t="str">
        <f>VLOOKUP($Z115,'oddspedia-matches'!$A:$AD,AB$2,0)</f>
        <v>Red</v>
      </c>
      <c r="AC115" t="str">
        <f>VLOOKUP($Z115,'oddspedia-matches'!$A:$AD,AC$2,0)</f>
        <v>Green</v>
      </c>
      <c r="AD115" t="str">
        <f>VLOOKUP($Z115,'oddspedia-matches'!$A:$AD,AD$2,0)</f>
        <v>Red</v>
      </c>
      <c r="AE115" t="str">
        <f>VLOOKUP($Z115,'oddspedia-matches'!$A:$AD,AE$2,0)</f>
        <v>Green</v>
      </c>
      <c r="AF115" t="str">
        <f>VLOOKUP($Z115,'oddspedia-matches'!$A:$AD,AF$2,0)</f>
        <v>Green</v>
      </c>
      <c r="AG115" t="str">
        <f>VLOOKUP($Z115,'oddspedia-matches'!$A:$AD,AG$2,0)</f>
        <v>Red</v>
      </c>
      <c r="AH115" t="str">
        <f>VLOOKUP($Z115,'oddspedia-matches'!$A:$AD,AH$2,0)</f>
        <v>Red</v>
      </c>
      <c r="AI115" t="str">
        <f>VLOOKUP($Z115,'oddspedia-matches'!$A:$AD,AI$2,0)</f>
        <v>Green</v>
      </c>
      <c r="AJ115" t="str">
        <f>VLOOKUP($Z115,'oddspedia-matches'!$A:$AD,AJ$2,0)</f>
        <v>Red</v>
      </c>
      <c r="AK115" t="str">
        <f>VLOOKUP($Z115,'oddspedia-matches'!$A:$AD,AK$2,0)</f>
        <v>Red</v>
      </c>
      <c r="AL115" t="str">
        <f>VLOOKUP($Z115,'oddspedia-matches'!$A:$AD,AL$2,0)</f>
        <v>Red</v>
      </c>
      <c r="AM115" t="str">
        <f>VLOOKUP($Z115,'oddspedia-matches'!$A:$AD,AM$2,0)</f>
        <v>Red</v>
      </c>
      <c r="AN115" t="str">
        <f>VLOOKUP($Z115,'oddspedia-matches'!$A:$AD,AN$2,0)</f>
        <v>Green</v>
      </c>
      <c r="AO115" t="str">
        <f>VLOOKUP($Z115,'oddspedia-matches'!$A:$AD,AO$2,0)</f>
        <v>Green</v>
      </c>
      <c r="AP115" t="str">
        <f>VLOOKUP($Z115,'oddspedia-matches'!$A:$AD,AP$2,0)</f>
        <v>Red</v>
      </c>
      <c r="AQ115" t="str">
        <f>VLOOKUP($Z115,'oddspedia-matches'!$A:$AD,AQ$2,0)</f>
        <v>Green</v>
      </c>
    </row>
    <row r="116" spans="2:43" x14ac:dyDescent="0.2">
      <c r="B116" s="9" t="s">
        <v>486</v>
      </c>
      <c r="C116" s="7" t="s">
        <v>122</v>
      </c>
      <c r="D116" s="20">
        <v>0.8125</v>
      </c>
      <c r="E116" s="7" t="s">
        <v>185</v>
      </c>
      <c r="F116" s="7" t="s">
        <v>186</v>
      </c>
      <c r="G116" s="21"/>
      <c r="H116" s="7">
        <v>55.7</v>
      </c>
      <c r="I116" s="7">
        <v>25.9</v>
      </c>
      <c r="J116" s="7">
        <v>18.399999999999999</v>
      </c>
      <c r="K116" s="7">
        <v>81.599999999999994</v>
      </c>
      <c r="L116" s="7">
        <v>44.3</v>
      </c>
      <c r="M116" s="7">
        <v>74.099999999999994</v>
      </c>
      <c r="N116" s="7">
        <v>45.9</v>
      </c>
      <c r="O116" s="7">
        <v>38.4</v>
      </c>
      <c r="P116" s="7">
        <v>15.7</v>
      </c>
      <c r="Q116" s="7">
        <v>73.900000000000006</v>
      </c>
      <c r="R116" s="7">
        <v>75.5</v>
      </c>
      <c r="S116" s="7">
        <v>49.7</v>
      </c>
      <c r="T116" s="7">
        <v>50.3</v>
      </c>
      <c r="U116" s="7">
        <v>57.5</v>
      </c>
      <c r="V116" s="7">
        <v>50.6</v>
      </c>
      <c r="W116" s="7">
        <v>49.4</v>
      </c>
      <c r="X116" t="str">
        <f>VLOOKUP(E116,'Transform table'!A:B,2,0)</f>
        <v>Nacional De Football</v>
      </c>
      <c r="Y116" t="str">
        <f>VLOOKUP(F116,'Transform table'!A:B,2,0)</f>
        <v>Club Atletico Progreso</v>
      </c>
      <c r="Z116" t="str">
        <f t="shared" si="1"/>
        <v>24/07/2026Nacional De FootballClub Atletico Progreso</v>
      </c>
      <c r="AA116" t="str">
        <f>VLOOKUP($Z116,'oddspedia-matches'!$A:$AD,AA$2,0)</f>
        <v xml:space="preserve"> - </v>
      </c>
      <c r="AB116" t="str">
        <f>VLOOKUP($Z116,'oddspedia-matches'!$A:$AD,AB$2,0)</f>
        <v>Red</v>
      </c>
      <c r="AC116" t="str">
        <f>VLOOKUP($Z116,'oddspedia-matches'!$A:$AD,AC$2,0)</f>
        <v>Green</v>
      </c>
      <c r="AD116" t="str">
        <f>VLOOKUP($Z116,'oddspedia-matches'!$A:$AD,AD$2,0)</f>
        <v>Red</v>
      </c>
      <c r="AE116" t="str">
        <f>VLOOKUP($Z116,'oddspedia-matches'!$A:$AD,AE$2,0)</f>
        <v>Green</v>
      </c>
      <c r="AF116" t="str">
        <f>VLOOKUP($Z116,'oddspedia-matches'!$A:$AD,AF$2,0)</f>
        <v>Green</v>
      </c>
      <c r="AG116" t="str">
        <f>VLOOKUP($Z116,'oddspedia-matches'!$A:$AD,AG$2,0)</f>
        <v>Red</v>
      </c>
      <c r="AH116" t="str">
        <f>VLOOKUP($Z116,'oddspedia-matches'!$A:$AD,AH$2,0)</f>
        <v>Red</v>
      </c>
      <c r="AI116" t="str">
        <f>VLOOKUP($Z116,'oddspedia-matches'!$A:$AD,AI$2,0)</f>
        <v>Green</v>
      </c>
      <c r="AJ116" t="str">
        <f>VLOOKUP($Z116,'oddspedia-matches'!$A:$AD,AJ$2,0)</f>
        <v>Red</v>
      </c>
      <c r="AK116" t="str">
        <f>VLOOKUP($Z116,'oddspedia-matches'!$A:$AD,AK$2,0)</f>
        <v>Red</v>
      </c>
      <c r="AL116" t="str">
        <f>VLOOKUP($Z116,'oddspedia-matches'!$A:$AD,AL$2,0)</f>
        <v>Red</v>
      </c>
      <c r="AM116" t="str">
        <f>VLOOKUP($Z116,'oddspedia-matches'!$A:$AD,AM$2,0)</f>
        <v>Red</v>
      </c>
      <c r="AN116" t="str">
        <f>VLOOKUP($Z116,'oddspedia-matches'!$A:$AD,AN$2,0)</f>
        <v>Green</v>
      </c>
      <c r="AO116" t="str">
        <f>VLOOKUP($Z116,'oddspedia-matches'!$A:$AD,AO$2,0)</f>
        <v>Green</v>
      </c>
      <c r="AP116" t="str">
        <f>VLOOKUP($Z116,'oddspedia-matches'!$A:$AD,AP$2,0)</f>
        <v>Red</v>
      </c>
      <c r="AQ116" t="str">
        <f>VLOOKUP($Z116,'oddspedia-matches'!$A:$AD,AQ$2,0)</f>
        <v>Green</v>
      </c>
    </row>
    <row r="117" spans="2:43" x14ac:dyDescent="0.2">
      <c r="B117" s="17" t="s">
        <v>457</v>
      </c>
      <c r="C117" s="8" t="s">
        <v>122</v>
      </c>
      <c r="D117" s="18">
        <v>0.83333333333333337</v>
      </c>
      <c r="E117" s="8" t="s">
        <v>187</v>
      </c>
      <c r="F117" s="8" t="s">
        <v>188</v>
      </c>
      <c r="G117" s="19"/>
      <c r="H117" s="8">
        <v>55.2</v>
      </c>
      <c r="I117" s="8">
        <v>24.3</v>
      </c>
      <c r="J117" s="8">
        <v>20.5</v>
      </c>
      <c r="K117" s="8">
        <v>79.5</v>
      </c>
      <c r="L117" s="8">
        <v>44.8</v>
      </c>
      <c r="M117" s="8">
        <v>75.7</v>
      </c>
      <c r="N117" s="8">
        <v>43.6</v>
      </c>
      <c r="O117" s="8">
        <v>37.9</v>
      </c>
      <c r="P117" s="8">
        <v>18.5</v>
      </c>
      <c r="Q117" s="8">
        <v>75.8</v>
      </c>
      <c r="R117" s="8">
        <v>86.2</v>
      </c>
      <c r="S117" s="8">
        <v>66</v>
      </c>
      <c r="T117" s="8">
        <v>34</v>
      </c>
      <c r="U117" s="8">
        <v>40.700000000000003</v>
      </c>
      <c r="V117" s="8">
        <v>64.400000000000006</v>
      </c>
      <c r="W117" s="8">
        <v>35.6</v>
      </c>
      <c r="X117" t="str">
        <f>VLOOKUP(E117,'Transform table'!A:B,2,0)</f>
        <v>Arouca</v>
      </c>
      <c r="Y117" t="str">
        <f>VLOOKUP(F117,'Transform table'!A:B,2,0)</f>
        <v>ABB</v>
      </c>
      <c r="Z117" t="str">
        <f t="shared" si="1"/>
        <v>24/07/2026AroucaABB</v>
      </c>
      <c r="AA117" t="e">
        <f>VLOOKUP($Z117,'oddspedia-matches'!$A:$AD,AA$2,0)</f>
        <v>#N/A</v>
      </c>
      <c r="AB117" t="e">
        <f>VLOOKUP($Z117,'oddspedia-matches'!$A:$AD,AB$2,0)</f>
        <v>#N/A</v>
      </c>
      <c r="AC117" t="e">
        <f>VLOOKUP($Z117,'oddspedia-matches'!$A:$AD,AC$2,0)</f>
        <v>#N/A</v>
      </c>
      <c r="AD117" t="e">
        <f>VLOOKUP($Z117,'oddspedia-matches'!$A:$AD,AD$2,0)</f>
        <v>#N/A</v>
      </c>
      <c r="AE117" t="e">
        <f>VLOOKUP($Z117,'oddspedia-matches'!$A:$AD,AE$2,0)</f>
        <v>#N/A</v>
      </c>
      <c r="AF117" t="e">
        <f>VLOOKUP($Z117,'oddspedia-matches'!$A:$AD,AF$2,0)</f>
        <v>#N/A</v>
      </c>
      <c r="AG117" t="e">
        <f>VLOOKUP($Z117,'oddspedia-matches'!$A:$AD,AG$2,0)</f>
        <v>#N/A</v>
      </c>
      <c r="AH117" t="e">
        <f>VLOOKUP($Z117,'oddspedia-matches'!$A:$AD,AH$2,0)</f>
        <v>#N/A</v>
      </c>
      <c r="AI117" t="e">
        <f>VLOOKUP($Z117,'oddspedia-matches'!$A:$AD,AI$2,0)</f>
        <v>#N/A</v>
      </c>
      <c r="AJ117" t="e">
        <f>VLOOKUP($Z117,'oddspedia-matches'!$A:$AD,AJ$2,0)</f>
        <v>#N/A</v>
      </c>
      <c r="AK117" t="e">
        <f>VLOOKUP($Z117,'oddspedia-matches'!$A:$AD,AK$2,0)</f>
        <v>#N/A</v>
      </c>
      <c r="AL117" t="e">
        <f>VLOOKUP($Z117,'oddspedia-matches'!$A:$AD,AL$2,0)</f>
        <v>#N/A</v>
      </c>
      <c r="AM117" t="e">
        <f>VLOOKUP($Z117,'oddspedia-matches'!$A:$AD,AM$2,0)</f>
        <v>#N/A</v>
      </c>
      <c r="AN117" t="e">
        <f>VLOOKUP($Z117,'oddspedia-matches'!$A:$AD,AN$2,0)</f>
        <v>#N/A</v>
      </c>
      <c r="AO117" t="e">
        <f>VLOOKUP($Z117,'oddspedia-matches'!$A:$AD,AO$2,0)</f>
        <v>#N/A</v>
      </c>
      <c r="AP117" t="e">
        <f>VLOOKUP($Z117,'oddspedia-matches'!$A:$AD,AP$2,0)</f>
        <v>#N/A</v>
      </c>
      <c r="AQ117" t="e">
        <f>VLOOKUP($Z117,'oddspedia-matches'!$A:$AD,AQ$2,0)</f>
        <v>#N/A</v>
      </c>
    </row>
    <row r="118" spans="2:43" x14ac:dyDescent="0.2">
      <c r="B118" s="9" t="s">
        <v>483</v>
      </c>
      <c r="C118" s="7" t="s">
        <v>122</v>
      </c>
      <c r="D118" s="20">
        <v>0.83333333333333337</v>
      </c>
      <c r="E118" s="7" t="s">
        <v>189</v>
      </c>
      <c r="F118" s="7" t="s">
        <v>190</v>
      </c>
      <c r="G118" s="21"/>
      <c r="H118" s="7">
        <v>54.3</v>
      </c>
      <c r="I118" s="7">
        <v>29.8</v>
      </c>
      <c r="J118" s="7">
        <v>15.9</v>
      </c>
      <c r="K118" s="7">
        <v>84.1</v>
      </c>
      <c r="L118" s="7">
        <v>45.7</v>
      </c>
      <c r="M118" s="7">
        <v>70.2</v>
      </c>
      <c r="N118" s="7">
        <v>41.3</v>
      </c>
      <c r="O118" s="7">
        <v>45.6</v>
      </c>
      <c r="P118" s="7">
        <v>13</v>
      </c>
      <c r="Q118" s="7">
        <v>63</v>
      </c>
      <c r="R118" s="7">
        <v>60.2</v>
      </c>
      <c r="S118" s="7">
        <v>32</v>
      </c>
      <c r="T118" s="7">
        <v>68</v>
      </c>
      <c r="U118" s="7">
        <v>74.5</v>
      </c>
      <c r="V118" s="7">
        <v>35.4</v>
      </c>
      <c r="W118" s="7">
        <v>64.599999999999994</v>
      </c>
      <c r="X118" t="str">
        <f>VLOOKUP(E118,'Transform table'!A:B,2,0)</f>
        <v>Tigres FC</v>
      </c>
      <c r="Y118" t="str">
        <f>VLOOKUP(F118,'Transform table'!A:B,2,0)</f>
        <v>Leones FC</v>
      </c>
      <c r="Z118" t="str">
        <f t="shared" si="1"/>
        <v>24/07/2026Tigres FCLeones FC</v>
      </c>
      <c r="AA118" t="str">
        <f>VLOOKUP($Z118,'oddspedia-matches'!$A:$AD,AA$2,0)</f>
        <v>0 - 1</v>
      </c>
      <c r="AB118" t="str">
        <f>VLOOKUP($Z118,'oddspedia-matches'!$A:$AD,AB$2,0)</f>
        <v>Red</v>
      </c>
      <c r="AC118" t="str">
        <f>VLOOKUP($Z118,'oddspedia-matches'!$A:$AD,AC$2,0)</f>
        <v>Red</v>
      </c>
      <c r="AD118" t="str">
        <f>VLOOKUP($Z118,'oddspedia-matches'!$A:$AD,AD$2,0)</f>
        <v>Green</v>
      </c>
      <c r="AE118" t="str">
        <f>VLOOKUP($Z118,'oddspedia-matches'!$A:$AD,AE$2,0)</f>
        <v>Red</v>
      </c>
      <c r="AF118" t="str">
        <f>VLOOKUP($Z118,'oddspedia-matches'!$A:$AD,AF$2,0)</f>
        <v>Green</v>
      </c>
      <c r="AG118" t="str">
        <f>VLOOKUP($Z118,'oddspedia-matches'!$A:$AD,AG$2,0)</f>
        <v>Green</v>
      </c>
      <c r="AH118" t="str">
        <f>VLOOKUP($Z118,'oddspedia-matches'!$A:$AD,AH$2,0)</f>
        <v>Red</v>
      </c>
      <c r="AI118" t="str">
        <f>VLOOKUP($Z118,'oddspedia-matches'!$A:$AD,AI$2,0)</f>
        <v>Red</v>
      </c>
      <c r="AJ118" t="str">
        <f>VLOOKUP($Z118,'oddspedia-matches'!$A:$AD,AJ$2,0)</f>
        <v>Green</v>
      </c>
      <c r="AK118" t="str">
        <f>VLOOKUP($Z118,'oddspedia-matches'!$A:$AD,AK$2,0)</f>
        <v>Green</v>
      </c>
      <c r="AL118" t="str">
        <f>VLOOKUP($Z118,'oddspedia-matches'!$A:$AD,AL$2,0)</f>
        <v>Red</v>
      </c>
      <c r="AM118" t="str">
        <f>VLOOKUP($Z118,'oddspedia-matches'!$A:$AD,AM$2,0)</f>
        <v>Red</v>
      </c>
      <c r="AN118" t="str">
        <f>VLOOKUP($Z118,'oddspedia-matches'!$A:$AD,AN$2,0)</f>
        <v>Green</v>
      </c>
      <c r="AO118" t="str">
        <f>VLOOKUP($Z118,'oddspedia-matches'!$A:$AD,AO$2,0)</f>
        <v>Green</v>
      </c>
      <c r="AP118" t="str">
        <f>VLOOKUP($Z118,'oddspedia-matches'!$A:$AD,AP$2,0)</f>
        <v>Red</v>
      </c>
      <c r="AQ118" t="str">
        <f>VLOOKUP($Z118,'oddspedia-matches'!$A:$AD,AQ$2,0)</f>
        <v>Green</v>
      </c>
    </row>
    <row r="119" spans="2:43" x14ac:dyDescent="0.2">
      <c r="B119" s="17" t="s">
        <v>466</v>
      </c>
      <c r="C119" s="8" t="s">
        <v>122</v>
      </c>
      <c r="D119" s="18">
        <v>0.83333333333333337</v>
      </c>
      <c r="E119" s="8" t="s">
        <v>191</v>
      </c>
      <c r="F119" s="8" t="s">
        <v>192</v>
      </c>
      <c r="G119" s="19"/>
      <c r="H119" s="8">
        <v>42.3</v>
      </c>
      <c r="I119" s="8">
        <v>25.3</v>
      </c>
      <c r="J119" s="8">
        <v>32.4</v>
      </c>
      <c r="K119" s="8">
        <v>67.599999999999994</v>
      </c>
      <c r="L119" s="8">
        <v>57.7</v>
      </c>
      <c r="M119" s="8">
        <v>74.7</v>
      </c>
      <c r="N119" s="8">
        <v>36</v>
      </c>
      <c r="O119" s="8">
        <v>33.700000000000003</v>
      </c>
      <c r="P119" s="8">
        <v>30.3</v>
      </c>
      <c r="Q119" s="8">
        <v>84.8</v>
      </c>
      <c r="R119" s="8">
        <v>89.8</v>
      </c>
      <c r="S119" s="8">
        <v>72.599999999999994</v>
      </c>
      <c r="T119" s="8">
        <v>27.4</v>
      </c>
      <c r="U119" s="8">
        <v>32.6</v>
      </c>
      <c r="V119" s="8">
        <v>72.900000000000006</v>
      </c>
      <c r="W119" s="8">
        <v>27.1</v>
      </c>
      <c r="X119" t="str">
        <f>VLOOKUP(E119,'Transform table'!A:B,2,0)</f>
        <v>New York Red Bulls II</v>
      </c>
      <c r="Y119" t="str">
        <f>VLOOKUP(F119,'Transform table'!A:B,2,0)</f>
        <v>Crown Legacy</v>
      </c>
      <c r="Z119" t="str">
        <f t="shared" si="1"/>
        <v>24/07/2026New York Red Bulls IICrown Legacy</v>
      </c>
      <c r="AA119" t="str">
        <f>VLOOKUP($Z119,'oddspedia-matches'!$A:$AD,AA$2,0)</f>
        <v>0 - 3</v>
      </c>
      <c r="AB119" t="str">
        <f>VLOOKUP($Z119,'oddspedia-matches'!$A:$AD,AB$2,0)</f>
        <v>Red</v>
      </c>
      <c r="AC119" t="str">
        <f>VLOOKUP($Z119,'oddspedia-matches'!$A:$AD,AC$2,0)</f>
        <v>Red</v>
      </c>
      <c r="AD119" t="str">
        <f>VLOOKUP($Z119,'oddspedia-matches'!$A:$AD,AD$2,0)</f>
        <v>Green</v>
      </c>
      <c r="AE119" t="str">
        <f>VLOOKUP($Z119,'oddspedia-matches'!$A:$AD,AE$2,0)</f>
        <v>Red</v>
      </c>
      <c r="AF119" t="str">
        <f>VLOOKUP($Z119,'oddspedia-matches'!$A:$AD,AF$2,0)</f>
        <v>Green</v>
      </c>
      <c r="AG119" t="str">
        <f>VLOOKUP($Z119,'oddspedia-matches'!$A:$AD,AG$2,0)</f>
        <v>Green</v>
      </c>
      <c r="AH119" t="str">
        <f>VLOOKUP($Z119,'oddspedia-matches'!$A:$AD,AH$2,0)</f>
        <v>Red</v>
      </c>
      <c r="AI119" t="str">
        <f>VLOOKUP($Z119,'oddspedia-matches'!$A:$AD,AI$2,0)</f>
        <v>Green</v>
      </c>
      <c r="AJ119" t="str">
        <f>VLOOKUP($Z119,'oddspedia-matches'!$A:$AD,AJ$2,0)</f>
        <v>Red</v>
      </c>
      <c r="AK119" t="str">
        <f>VLOOKUP($Z119,'oddspedia-matches'!$A:$AD,AK$2,0)</f>
        <v>Red</v>
      </c>
      <c r="AL119" t="str">
        <f>VLOOKUP($Z119,'oddspedia-matches'!$A:$AD,AL$2,0)</f>
        <v>Green</v>
      </c>
      <c r="AM119" t="str">
        <f>VLOOKUP($Z119,'oddspedia-matches'!$A:$AD,AM$2,0)</f>
        <v>Green</v>
      </c>
      <c r="AN119" t="str">
        <f>VLOOKUP($Z119,'oddspedia-matches'!$A:$AD,AN$2,0)</f>
        <v>Red</v>
      </c>
      <c r="AO119" t="str">
        <f>VLOOKUP($Z119,'oddspedia-matches'!$A:$AD,AO$2,0)</f>
        <v>Green</v>
      </c>
      <c r="AP119" t="str">
        <f>VLOOKUP($Z119,'oddspedia-matches'!$A:$AD,AP$2,0)</f>
        <v>Red</v>
      </c>
      <c r="AQ119" t="str">
        <f>VLOOKUP($Z119,'oddspedia-matches'!$A:$AD,AQ$2,0)</f>
        <v>Green</v>
      </c>
    </row>
    <row r="120" spans="2:43" x14ac:dyDescent="0.2">
      <c r="B120" s="9" t="s">
        <v>487</v>
      </c>
      <c r="C120" s="7" t="s">
        <v>122</v>
      </c>
      <c r="D120" s="20">
        <v>0.84027777777777779</v>
      </c>
      <c r="E120" s="7" t="s">
        <v>193</v>
      </c>
      <c r="F120" s="7" t="s">
        <v>194</v>
      </c>
      <c r="G120" s="21"/>
      <c r="H120" s="7">
        <v>50</v>
      </c>
      <c r="I120" s="7">
        <v>29.5</v>
      </c>
      <c r="J120" s="7">
        <v>20.5</v>
      </c>
      <c r="K120" s="7">
        <v>79.5</v>
      </c>
      <c r="L120" s="7">
        <v>50</v>
      </c>
      <c r="M120" s="7">
        <v>70.5</v>
      </c>
      <c r="N120" s="7" t="s">
        <v>20</v>
      </c>
      <c r="O120" s="7" t="s">
        <v>20</v>
      </c>
      <c r="P120" s="7" t="s">
        <v>20</v>
      </c>
      <c r="Q120" s="7" t="s">
        <v>20</v>
      </c>
      <c r="R120" s="7">
        <v>66.400000000000006</v>
      </c>
      <c r="S120" s="7">
        <v>38.4</v>
      </c>
      <c r="T120" s="7">
        <v>61.6</v>
      </c>
      <c r="U120" s="7">
        <v>67.7</v>
      </c>
      <c r="V120" s="7">
        <v>43.3</v>
      </c>
      <c r="W120" s="7">
        <v>56.7</v>
      </c>
      <c r="X120" t="str">
        <f>VLOOKUP(E120,'Transform table'!A:B,2,0)</f>
        <v>Llaneros</v>
      </c>
      <c r="Y120" t="str">
        <f>VLOOKUP(F120,'Transform table'!A:B,2,0)</f>
        <v>Deportivo Pereira</v>
      </c>
      <c r="Z120" t="str">
        <f t="shared" si="1"/>
        <v>24/07/2026LlanerosDeportivo Pereira</v>
      </c>
      <c r="AA120" t="str">
        <f>VLOOKUP($Z120,'oddspedia-matches'!$A:$AD,AA$2,0)</f>
        <v>1 - 0</v>
      </c>
      <c r="AB120" t="str">
        <f>VLOOKUP($Z120,'oddspedia-matches'!$A:$AD,AB$2,0)</f>
        <v>Green</v>
      </c>
      <c r="AC120" t="str">
        <f>VLOOKUP($Z120,'oddspedia-matches'!$A:$AD,AC$2,0)</f>
        <v>Red</v>
      </c>
      <c r="AD120" t="str">
        <f>VLOOKUP($Z120,'oddspedia-matches'!$A:$AD,AD$2,0)</f>
        <v>Red</v>
      </c>
      <c r="AE120" t="str">
        <f>VLOOKUP($Z120,'oddspedia-matches'!$A:$AD,AE$2,0)</f>
        <v>Green</v>
      </c>
      <c r="AF120" t="str">
        <f>VLOOKUP($Z120,'oddspedia-matches'!$A:$AD,AF$2,0)</f>
        <v>Red</v>
      </c>
      <c r="AG120" t="str">
        <f>VLOOKUP($Z120,'oddspedia-matches'!$A:$AD,AG$2,0)</f>
        <v>Green</v>
      </c>
      <c r="AH120" t="str">
        <f>VLOOKUP($Z120,'oddspedia-matches'!$A:$AD,AH$2,0)</f>
        <v>Red</v>
      </c>
      <c r="AI120" t="str">
        <f>VLOOKUP($Z120,'oddspedia-matches'!$A:$AD,AI$2,0)</f>
        <v>Green</v>
      </c>
      <c r="AJ120" t="str">
        <f>VLOOKUP($Z120,'oddspedia-matches'!$A:$AD,AJ$2,0)</f>
        <v>Red</v>
      </c>
      <c r="AK120" t="str">
        <f>VLOOKUP($Z120,'oddspedia-matches'!$A:$AD,AK$2,0)</f>
        <v>Red</v>
      </c>
      <c r="AL120" t="str">
        <f>VLOOKUP($Z120,'oddspedia-matches'!$A:$AD,AL$2,0)</f>
        <v>Red</v>
      </c>
      <c r="AM120" t="str">
        <f>VLOOKUP($Z120,'oddspedia-matches'!$A:$AD,AM$2,0)</f>
        <v>Red</v>
      </c>
      <c r="AN120" t="str">
        <f>VLOOKUP($Z120,'oddspedia-matches'!$A:$AD,AN$2,0)</f>
        <v>Green</v>
      </c>
      <c r="AO120" t="str">
        <f>VLOOKUP($Z120,'oddspedia-matches'!$A:$AD,AO$2,0)</f>
        <v>Green</v>
      </c>
      <c r="AP120" t="str">
        <f>VLOOKUP($Z120,'oddspedia-matches'!$A:$AD,AP$2,0)</f>
        <v>Red</v>
      </c>
      <c r="AQ120" t="str">
        <f>VLOOKUP($Z120,'oddspedia-matches'!$A:$AD,AQ$2,0)</f>
        <v>Green</v>
      </c>
    </row>
    <row r="121" spans="2:43" x14ac:dyDescent="0.2">
      <c r="B121" s="17" t="s">
        <v>467</v>
      </c>
      <c r="C121" s="8" t="s">
        <v>122</v>
      </c>
      <c r="D121" s="18">
        <v>0.875</v>
      </c>
      <c r="E121" s="8" t="s">
        <v>195</v>
      </c>
      <c r="F121" s="8" t="s">
        <v>196</v>
      </c>
      <c r="G121" s="19"/>
      <c r="H121" s="8">
        <v>38.6</v>
      </c>
      <c r="I121" s="8">
        <v>30</v>
      </c>
      <c r="J121" s="8">
        <v>31.5</v>
      </c>
      <c r="K121" s="8">
        <v>68.5</v>
      </c>
      <c r="L121" s="8">
        <v>61.4</v>
      </c>
      <c r="M121" s="8">
        <v>70</v>
      </c>
      <c r="N121" s="8">
        <v>33.1</v>
      </c>
      <c r="O121" s="8">
        <v>45.7</v>
      </c>
      <c r="P121" s="8">
        <v>21.2</v>
      </c>
      <c r="Q121" s="8">
        <v>65.7</v>
      </c>
      <c r="R121" s="8">
        <v>71.599999999999994</v>
      </c>
      <c r="S121" s="8">
        <v>44.4</v>
      </c>
      <c r="T121" s="8">
        <v>55.6</v>
      </c>
      <c r="U121" s="8">
        <v>60.9</v>
      </c>
      <c r="V121" s="8">
        <v>51.2</v>
      </c>
      <c r="W121" s="8">
        <v>48.8</v>
      </c>
      <c r="X121">
        <f>VLOOKUP(E121,'Transform table'!A:B,2,0)</f>
        <v>0</v>
      </c>
      <c r="Y121">
        <f>VLOOKUP(F121,'Transform table'!A:B,2,0)</f>
        <v>0</v>
      </c>
      <c r="Z121" t="str">
        <f t="shared" si="1"/>
        <v>24/07/202600</v>
      </c>
      <c r="AA121" t="e">
        <f>VLOOKUP($Z121,'oddspedia-matches'!$A:$AD,AA$2,0)</f>
        <v>#N/A</v>
      </c>
      <c r="AB121" t="e">
        <f>VLOOKUP($Z121,'oddspedia-matches'!$A:$AD,AB$2,0)</f>
        <v>#N/A</v>
      </c>
      <c r="AC121" t="e">
        <f>VLOOKUP($Z121,'oddspedia-matches'!$A:$AD,AC$2,0)</f>
        <v>#N/A</v>
      </c>
      <c r="AD121" t="e">
        <f>VLOOKUP($Z121,'oddspedia-matches'!$A:$AD,AD$2,0)</f>
        <v>#N/A</v>
      </c>
      <c r="AE121" t="e">
        <f>VLOOKUP($Z121,'oddspedia-matches'!$A:$AD,AE$2,0)</f>
        <v>#N/A</v>
      </c>
      <c r="AF121" t="e">
        <f>VLOOKUP($Z121,'oddspedia-matches'!$A:$AD,AF$2,0)</f>
        <v>#N/A</v>
      </c>
      <c r="AG121" t="e">
        <f>VLOOKUP($Z121,'oddspedia-matches'!$A:$AD,AG$2,0)</f>
        <v>#N/A</v>
      </c>
      <c r="AH121" t="e">
        <f>VLOOKUP($Z121,'oddspedia-matches'!$A:$AD,AH$2,0)</f>
        <v>#N/A</v>
      </c>
      <c r="AI121" t="e">
        <f>VLOOKUP($Z121,'oddspedia-matches'!$A:$AD,AI$2,0)</f>
        <v>#N/A</v>
      </c>
      <c r="AJ121" t="e">
        <f>VLOOKUP($Z121,'oddspedia-matches'!$A:$AD,AJ$2,0)</f>
        <v>#N/A</v>
      </c>
      <c r="AK121" t="e">
        <f>VLOOKUP($Z121,'oddspedia-matches'!$A:$AD,AK$2,0)</f>
        <v>#N/A</v>
      </c>
      <c r="AL121" t="e">
        <f>VLOOKUP($Z121,'oddspedia-matches'!$A:$AD,AL$2,0)</f>
        <v>#N/A</v>
      </c>
      <c r="AM121" t="e">
        <f>VLOOKUP($Z121,'oddspedia-matches'!$A:$AD,AM$2,0)</f>
        <v>#N/A</v>
      </c>
      <c r="AN121" t="e">
        <f>VLOOKUP($Z121,'oddspedia-matches'!$A:$AD,AN$2,0)</f>
        <v>#N/A</v>
      </c>
      <c r="AO121" t="e">
        <f>VLOOKUP($Z121,'oddspedia-matches'!$A:$AD,AO$2,0)</f>
        <v>#N/A</v>
      </c>
      <c r="AP121" t="e">
        <f>VLOOKUP($Z121,'oddspedia-matches'!$A:$AD,AP$2,0)</f>
        <v>#N/A</v>
      </c>
      <c r="AQ121" t="e">
        <f>VLOOKUP($Z121,'oddspedia-matches'!$A:$AD,AQ$2,0)</f>
        <v>#N/A</v>
      </c>
    </row>
    <row r="122" spans="2:43" x14ac:dyDescent="0.2">
      <c r="B122" s="9" t="s">
        <v>470</v>
      </c>
      <c r="C122" s="7" t="s">
        <v>122</v>
      </c>
      <c r="D122" s="20">
        <v>0.88541666666666663</v>
      </c>
      <c r="E122" s="7" t="s">
        <v>197</v>
      </c>
      <c r="F122" s="7" t="s">
        <v>198</v>
      </c>
      <c r="G122" s="21"/>
      <c r="H122" s="7">
        <v>43.9</v>
      </c>
      <c r="I122" s="7">
        <v>32</v>
      </c>
      <c r="J122" s="7">
        <v>24.1</v>
      </c>
      <c r="K122" s="7">
        <v>75.900000000000006</v>
      </c>
      <c r="L122" s="7">
        <v>56.1</v>
      </c>
      <c r="M122" s="7">
        <v>68</v>
      </c>
      <c r="N122" s="7">
        <v>35.700000000000003</v>
      </c>
      <c r="O122" s="7">
        <v>49</v>
      </c>
      <c r="P122" s="7">
        <v>15.3</v>
      </c>
      <c r="Q122" s="7">
        <v>59.6</v>
      </c>
      <c r="R122" s="7">
        <v>62</v>
      </c>
      <c r="S122" s="7">
        <v>33.6</v>
      </c>
      <c r="T122" s="7">
        <v>66.400000000000006</v>
      </c>
      <c r="U122" s="7">
        <v>71.5</v>
      </c>
      <c r="V122" s="7">
        <v>41</v>
      </c>
      <c r="W122" s="7">
        <v>59</v>
      </c>
      <c r="X122" t="str">
        <f>VLOOKUP(E122,'Transform table'!A:B,2,0)</f>
        <v>Atletico Huracan</v>
      </c>
      <c r="Y122" t="str">
        <f>VLOOKUP(F122,'Transform table'!A:B,2,0)</f>
        <v>Banfield</v>
      </c>
      <c r="Z122" t="str">
        <f t="shared" si="1"/>
        <v>24/07/2026Atletico HuracanBanfield</v>
      </c>
      <c r="AA122" t="str">
        <f>VLOOKUP($Z122,'oddspedia-matches'!$A:$AD,AA$2,0)</f>
        <v>1 - 0</v>
      </c>
      <c r="AB122" t="str">
        <f>VLOOKUP($Z122,'oddspedia-matches'!$A:$AD,AB$2,0)</f>
        <v>Green</v>
      </c>
      <c r="AC122" t="str">
        <f>VLOOKUP($Z122,'oddspedia-matches'!$A:$AD,AC$2,0)</f>
        <v>Red</v>
      </c>
      <c r="AD122" t="str">
        <f>VLOOKUP($Z122,'oddspedia-matches'!$A:$AD,AD$2,0)</f>
        <v>Red</v>
      </c>
      <c r="AE122" t="str">
        <f>VLOOKUP($Z122,'oddspedia-matches'!$A:$AD,AE$2,0)</f>
        <v>Green</v>
      </c>
      <c r="AF122" t="str">
        <f>VLOOKUP($Z122,'oddspedia-matches'!$A:$AD,AF$2,0)</f>
        <v>Red</v>
      </c>
      <c r="AG122" t="str">
        <f>VLOOKUP($Z122,'oddspedia-matches'!$A:$AD,AG$2,0)</f>
        <v>Green</v>
      </c>
      <c r="AH122" t="str">
        <f>VLOOKUP($Z122,'oddspedia-matches'!$A:$AD,AH$2,0)</f>
        <v>Red</v>
      </c>
      <c r="AI122" t="str">
        <f>VLOOKUP($Z122,'oddspedia-matches'!$A:$AD,AI$2,0)</f>
        <v>Green</v>
      </c>
      <c r="AJ122" t="str">
        <f>VLOOKUP($Z122,'oddspedia-matches'!$A:$AD,AJ$2,0)</f>
        <v>Red</v>
      </c>
      <c r="AK122" t="str">
        <f>VLOOKUP($Z122,'oddspedia-matches'!$A:$AD,AK$2,0)</f>
        <v>Red</v>
      </c>
      <c r="AL122" t="str">
        <f>VLOOKUP($Z122,'oddspedia-matches'!$A:$AD,AL$2,0)</f>
        <v>Red</v>
      </c>
      <c r="AM122" t="str">
        <f>VLOOKUP($Z122,'oddspedia-matches'!$A:$AD,AM$2,0)</f>
        <v>Red</v>
      </c>
      <c r="AN122" t="str">
        <f>VLOOKUP($Z122,'oddspedia-matches'!$A:$AD,AN$2,0)</f>
        <v>Green</v>
      </c>
      <c r="AO122" t="str">
        <f>VLOOKUP($Z122,'oddspedia-matches'!$A:$AD,AO$2,0)</f>
        <v>Green</v>
      </c>
      <c r="AP122" t="str">
        <f>VLOOKUP($Z122,'oddspedia-matches'!$A:$AD,AP$2,0)</f>
        <v>Red</v>
      </c>
      <c r="AQ122" t="str">
        <f>VLOOKUP($Z122,'oddspedia-matches'!$A:$AD,AQ$2,0)</f>
        <v>Green</v>
      </c>
    </row>
    <row r="123" spans="2:43" x14ac:dyDescent="0.2">
      <c r="B123" s="17" t="s">
        <v>470</v>
      </c>
      <c r="C123" s="8" t="s">
        <v>122</v>
      </c>
      <c r="D123" s="18">
        <v>0.88541666666666663</v>
      </c>
      <c r="E123" s="8" t="s">
        <v>199</v>
      </c>
      <c r="F123" s="8" t="s">
        <v>200</v>
      </c>
      <c r="G123" s="19"/>
      <c r="H123" s="8">
        <v>32.5</v>
      </c>
      <c r="I123" s="8">
        <v>33</v>
      </c>
      <c r="J123" s="8">
        <v>34.5</v>
      </c>
      <c r="K123" s="8">
        <v>65.5</v>
      </c>
      <c r="L123" s="8">
        <v>67.5</v>
      </c>
      <c r="M123" s="8">
        <v>67</v>
      </c>
      <c r="N123" s="8">
        <v>19.899999999999999</v>
      </c>
      <c r="O123" s="8">
        <v>52.5</v>
      </c>
      <c r="P123" s="8">
        <v>27.6</v>
      </c>
      <c r="Q123" s="8">
        <v>56.1</v>
      </c>
      <c r="R123" s="8">
        <v>62.9</v>
      </c>
      <c r="S123" s="8">
        <v>34.5</v>
      </c>
      <c r="T123" s="8">
        <v>65.5</v>
      </c>
      <c r="U123" s="8">
        <v>70.2</v>
      </c>
      <c r="V123" s="8">
        <v>43.2</v>
      </c>
      <c r="W123" s="8">
        <v>56.8</v>
      </c>
      <c r="X123" t="str">
        <f>VLOOKUP(E123,'Transform table'!A:B,2,0)</f>
        <v>CA Platense</v>
      </c>
      <c r="Y123" t="str">
        <f>VLOOKUP(F123,'Transform table'!A:B,2,0)</f>
        <v>Union de Santa Fe</v>
      </c>
      <c r="Z123" t="str">
        <f t="shared" si="1"/>
        <v>24/07/2026CA PlatenseUnion de Santa Fe</v>
      </c>
      <c r="AA123" t="str">
        <f>VLOOKUP($Z123,'oddspedia-matches'!$A:$AD,AA$2,0)</f>
        <v>2 - 2</v>
      </c>
      <c r="AB123" t="str">
        <f>VLOOKUP($Z123,'oddspedia-matches'!$A:$AD,AB$2,0)</f>
        <v>Red</v>
      </c>
      <c r="AC123" t="str">
        <f>VLOOKUP($Z123,'oddspedia-matches'!$A:$AD,AC$2,0)</f>
        <v>Green</v>
      </c>
      <c r="AD123" t="str">
        <f>VLOOKUP($Z123,'oddspedia-matches'!$A:$AD,AD$2,0)</f>
        <v>Red</v>
      </c>
      <c r="AE123" t="str">
        <f>VLOOKUP($Z123,'oddspedia-matches'!$A:$AD,AE$2,0)</f>
        <v>Green</v>
      </c>
      <c r="AF123" t="str">
        <f>VLOOKUP($Z123,'oddspedia-matches'!$A:$AD,AF$2,0)</f>
        <v>Green</v>
      </c>
      <c r="AG123" t="str">
        <f>VLOOKUP($Z123,'oddspedia-matches'!$A:$AD,AG$2,0)</f>
        <v>Red</v>
      </c>
      <c r="AH123" t="str">
        <f>VLOOKUP($Z123,'oddspedia-matches'!$A:$AD,AH$2,0)</f>
        <v>Green</v>
      </c>
      <c r="AI123" t="str">
        <f>VLOOKUP($Z123,'oddspedia-matches'!$A:$AD,AI$2,0)</f>
        <v>Red</v>
      </c>
      <c r="AJ123" t="str">
        <f>VLOOKUP($Z123,'oddspedia-matches'!$A:$AD,AJ$2,0)</f>
        <v>Red</v>
      </c>
      <c r="AK123" t="str">
        <f>VLOOKUP($Z123,'oddspedia-matches'!$A:$AD,AK$2,0)</f>
        <v>Green</v>
      </c>
      <c r="AL123" t="str">
        <f>VLOOKUP($Z123,'oddspedia-matches'!$A:$AD,AL$2,0)</f>
        <v>Green</v>
      </c>
      <c r="AM123" t="str">
        <f>VLOOKUP($Z123,'oddspedia-matches'!$A:$AD,AM$2,0)</f>
        <v>Green</v>
      </c>
      <c r="AN123" t="str">
        <f>VLOOKUP($Z123,'oddspedia-matches'!$A:$AD,AN$2,0)</f>
        <v>Red</v>
      </c>
      <c r="AO123" t="str">
        <f>VLOOKUP($Z123,'oddspedia-matches'!$A:$AD,AO$2,0)</f>
        <v>Red</v>
      </c>
      <c r="AP123" t="str">
        <f>VLOOKUP($Z123,'oddspedia-matches'!$A:$AD,AP$2,0)</f>
        <v>Green</v>
      </c>
      <c r="AQ123" t="str">
        <f>VLOOKUP($Z123,'oddspedia-matches'!$A:$AD,AQ$2,0)</f>
        <v>Red</v>
      </c>
    </row>
    <row r="124" spans="2:43" x14ac:dyDescent="0.2">
      <c r="B124" s="9" t="s">
        <v>485</v>
      </c>
      <c r="C124" s="7" t="s">
        <v>122</v>
      </c>
      <c r="D124" s="20">
        <v>0.89583333333333337</v>
      </c>
      <c r="E124" s="7" t="s">
        <v>201</v>
      </c>
      <c r="F124" s="7" t="s">
        <v>202</v>
      </c>
      <c r="G124" s="21"/>
      <c r="H124" s="7">
        <v>50.7</v>
      </c>
      <c r="I124" s="7">
        <v>25.6</v>
      </c>
      <c r="J124" s="7">
        <v>23.7</v>
      </c>
      <c r="K124" s="7">
        <v>76.3</v>
      </c>
      <c r="L124" s="7">
        <v>49.3</v>
      </c>
      <c r="M124" s="7">
        <v>74.400000000000006</v>
      </c>
      <c r="N124" s="7">
        <v>33.9</v>
      </c>
      <c r="O124" s="7">
        <v>40.1</v>
      </c>
      <c r="P124" s="7">
        <v>25.9</v>
      </c>
      <c r="Q124" s="7">
        <v>74.7</v>
      </c>
      <c r="R124" s="7">
        <v>82.8</v>
      </c>
      <c r="S124" s="7">
        <v>60.2</v>
      </c>
      <c r="T124" s="7">
        <v>39.799999999999997</v>
      </c>
      <c r="U124" s="7">
        <v>46.1</v>
      </c>
      <c r="V124" s="7">
        <v>61.4</v>
      </c>
      <c r="W124" s="7">
        <v>38.6</v>
      </c>
      <c r="X124" t="str">
        <f>VLOOKUP(E124,'Transform table'!A:B,2,0)</f>
        <v>Colo Colo</v>
      </c>
      <c r="Y124" t="str">
        <f>VLOOKUP(F124,'Transform table'!A:B,2,0)</f>
        <v>Deportes Limache</v>
      </c>
      <c r="Z124" t="str">
        <f t="shared" si="1"/>
        <v>24/07/2026Colo ColoDeportes Limache</v>
      </c>
      <c r="AA124" t="str">
        <f>VLOOKUP($Z124,'oddspedia-matches'!$A:$AD,AA$2,0)</f>
        <v>3 - 1</v>
      </c>
      <c r="AB124" t="str">
        <f>VLOOKUP($Z124,'oddspedia-matches'!$A:$AD,AB$2,0)</f>
        <v>Green</v>
      </c>
      <c r="AC124" t="str">
        <f>VLOOKUP($Z124,'oddspedia-matches'!$A:$AD,AC$2,0)</f>
        <v>Red</v>
      </c>
      <c r="AD124" t="str">
        <f>VLOOKUP($Z124,'oddspedia-matches'!$A:$AD,AD$2,0)</f>
        <v>Red</v>
      </c>
      <c r="AE124" t="str">
        <f>VLOOKUP($Z124,'oddspedia-matches'!$A:$AD,AE$2,0)</f>
        <v>Green</v>
      </c>
      <c r="AF124" t="str">
        <f>VLOOKUP($Z124,'oddspedia-matches'!$A:$AD,AF$2,0)</f>
        <v>Red</v>
      </c>
      <c r="AG124" t="str">
        <f>VLOOKUP($Z124,'oddspedia-matches'!$A:$AD,AG$2,0)</f>
        <v>Green</v>
      </c>
      <c r="AH124" t="str">
        <f>VLOOKUP($Z124,'oddspedia-matches'!$A:$AD,AH$2,0)</f>
        <v>Red</v>
      </c>
      <c r="AI124" t="str">
        <f>VLOOKUP($Z124,'oddspedia-matches'!$A:$AD,AI$2,0)</f>
        <v>Green</v>
      </c>
      <c r="AJ124" t="str">
        <f>VLOOKUP($Z124,'oddspedia-matches'!$A:$AD,AJ$2,0)</f>
        <v>Red</v>
      </c>
      <c r="AK124" t="str">
        <f>VLOOKUP($Z124,'oddspedia-matches'!$A:$AD,AK$2,0)</f>
        <v>Red</v>
      </c>
      <c r="AL124" t="str">
        <f>VLOOKUP($Z124,'oddspedia-matches'!$A:$AD,AL$2,0)</f>
        <v>Green</v>
      </c>
      <c r="AM124" t="str">
        <f>VLOOKUP($Z124,'oddspedia-matches'!$A:$AD,AM$2,0)</f>
        <v>Green</v>
      </c>
      <c r="AN124" t="str">
        <f>VLOOKUP($Z124,'oddspedia-matches'!$A:$AD,AN$2,0)</f>
        <v>Red</v>
      </c>
      <c r="AO124" t="str">
        <f>VLOOKUP($Z124,'oddspedia-matches'!$A:$AD,AO$2,0)</f>
        <v>Red</v>
      </c>
      <c r="AP124" t="str">
        <f>VLOOKUP($Z124,'oddspedia-matches'!$A:$AD,AP$2,0)</f>
        <v>Green</v>
      </c>
      <c r="AQ124" t="str">
        <f>VLOOKUP($Z124,'oddspedia-matches'!$A:$AD,AQ$2,0)</f>
        <v>Red</v>
      </c>
    </row>
    <row r="125" spans="2:43" x14ac:dyDescent="0.2">
      <c r="B125" s="17" t="s">
        <v>488</v>
      </c>
      <c r="C125" s="8" t="s">
        <v>122</v>
      </c>
      <c r="D125" s="18">
        <v>0.89583333333333337</v>
      </c>
      <c r="E125" s="8" t="s">
        <v>203</v>
      </c>
      <c r="F125" s="8" t="s">
        <v>204</v>
      </c>
      <c r="G125" s="19"/>
      <c r="H125" s="8">
        <v>35.4</v>
      </c>
      <c r="I125" s="8">
        <v>28.2</v>
      </c>
      <c r="J125" s="8">
        <v>36.4</v>
      </c>
      <c r="K125" s="8">
        <v>63.6</v>
      </c>
      <c r="L125" s="8">
        <v>64.599999999999994</v>
      </c>
      <c r="M125" s="8">
        <v>71.8</v>
      </c>
      <c r="N125" s="8">
        <v>27.4</v>
      </c>
      <c r="O125" s="8">
        <v>41.8</v>
      </c>
      <c r="P125" s="8">
        <v>30.8</v>
      </c>
      <c r="Q125" s="8">
        <v>72.400000000000006</v>
      </c>
      <c r="R125" s="8">
        <v>78.400000000000006</v>
      </c>
      <c r="S125" s="8">
        <v>53.5</v>
      </c>
      <c r="T125" s="8">
        <v>46.5</v>
      </c>
      <c r="U125" s="8">
        <v>52</v>
      </c>
      <c r="V125" s="8">
        <v>58.5</v>
      </c>
      <c r="W125" s="8">
        <v>41.5</v>
      </c>
      <c r="X125" t="str">
        <f>VLOOKUP(E125,'Transform table'!A:B,2,0)</f>
        <v>Deportes Iquique</v>
      </c>
      <c r="Y125" t="str">
        <f>VLOOKUP(F125,'Transform table'!A:B,2,0)</f>
        <v>Deportes Temuco</v>
      </c>
      <c r="Z125" t="str">
        <f t="shared" si="1"/>
        <v>24/07/2026Deportes IquiqueDeportes Temuco</v>
      </c>
      <c r="AA125" t="str">
        <f>VLOOKUP($Z125,'oddspedia-matches'!$A:$AD,AA$2,0)</f>
        <v>1 - 0</v>
      </c>
      <c r="AB125" t="str">
        <f>VLOOKUP($Z125,'oddspedia-matches'!$A:$AD,AB$2,0)</f>
        <v>Green</v>
      </c>
      <c r="AC125" t="str">
        <f>VLOOKUP($Z125,'oddspedia-matches'!$A:$AD,AC$2,0)</f>
        <v>Red</v>
      </c>
      <c r="AD125" t="str">
        <f>VLOOKUP($Z125,'oddspedia-matches'!$A:$AD,AD$2,0)</f>
        <v>Red</v>
      </c>
      <c r="AE125" t="str">
        <f>VLOOKUP($Z125,'oddspedia-matches'!$A:$AD,AE$2,0)</f>
        <v>Green</v>
      </c>
      <c r="AF125" t="str">
        <f>VLOOKUP($Z125,'oddspedia-matches'!$A:$AD,AF$2,0)</f>
        <v>Red</v>
      </c>
      <c r="AG125" t="str">
        <f>VLOOKUP($Z125,'oddspedia-matches'!$A:$AD,AG$2,0)</f>
        <v>Green</v>
      </c>
      <c r="AH125" t="str">
        <f>VLOOKUP($Z125,'oddspedia-matches'!$A:$AD,AH$2,0)</f>
        <v>Green</v>
      </c>
      <c r="AI125" t="str">
        <f>VLOOKUP($Z125,'oddspedia-matches'!$A:$AD,AI$2,0)</f>
        <v>Red</v>
      </c>
      <c r="AJ125" t="str">
        <f>VLOOKUP($Z125,'oddspedia-matches'!$A:$AD,AJ$2,0)</f>
        <v>Red</v>
      </c>
      <c r="AK125" t="str">
        <f>VLOOKUP($Z125,'oddspedia-matches'!$A:$AD,AK$2,0)</f>
        <v>Green</v>
      </c>
      <c r="AL125" t="str">
        <f>VLOOKUP($Z125,'oddspedia-matches'!$A:$AD,AL$2,0)</f>
        <v>Red</v>
      </c>
      <c r="AM125" t="str">
        <f>VLOOKUP($Z125,'oddspedia-matches'!$A:$AD,AM$2,0)</f>
        <v>Red</v>
      </c>
      <c r="AN125" t="str">
        <f>VLOOKUP($Z125,'oddspedia-matches'!$A:$AD,AN$2,0)</f>
        <v>Green</v>
      </c>
      <c r="AO125" t="str">
        <f>VLOOKUP($Z125,'oddspedia-matches'!$A:$AD,AO$2,0)</f>
        <v>Green</v>
      </c>
      <c r="AP125" t="str">
        <f>VLOOKUP($Z125,'oddspedia-matches'!$A:$AD,AP$2,0)</f>
        <v>Red</v>
      </c>
      <c r="AQ125" t="str">
        <f>VLOOKUP($Z125,'oddspedia-matches'!$A:$AD,AQ$2,0)</f>
        <v>Green</v>
      </c>
    </row>
    <row r="126" spans="2:43" x14ac:dyDescent="0.2">
      <c r="B126" s="9" t="s">
        <v>487</v>
      </c>
      <c r="C126" s="7" t="s">
        <v>122</v>
      </c>
      <c r="D126" s="20">
        <v>0.92708333333333337</v>
      </c>
      <c r="E126" s="7" t="s">
        <v>205</v>
      </c>
      <c r="F126" s="7" t="s">
        <v>206</v>
      </c>
      <c r="G126" s="21"/>
      <c r="H126" s="7">
        <v>53.3</v>
      </c>
      <c r="I126" s="7">
        <v>28.1</v>
      </c>
      <c r="J126" s="7">
        <v>18.600000000000001</v>
      </c>
      <c r="K126" s="7">
        <v>81.400000000000006</v>
      </c>
      <c r="L126" s="7">
        <v>46.7</v>
      </c>
      <c r="M126" s="7">
        <v>71.900000000000006</v>
      </c>
      <c r="N126" s="7">
        <v>35.9</v>
      </c>
      <c r="O126" s="7">
        <v>50.3</v>
      </c>
      <c r="P126" s="7">
        <v>13.8</v>
      </c>
      <c r="Q126" s="7">
        <v>57.4</v>
      </c>
      <c r="R126" s="7">
        <v>68.599999999999994</v>
      </c>
      <c r="S126" s="7">
        <v>41</v>
      </c>
      <c r="T126" s="7">
        <v>59</v>
      </c>
      <c r="U126" s="7">
        <v>65.7</v>
      </c>
      <c r="V126" s="7">
        <v>44.2</v>
      </c>
      <c r="W126" s="7">
        <v>55.8</v>
      </c>
      <c r="X126" t="str">
        <f>VLOOKUP(E126,'Transform table'!A:B,2,0)</f>
        <v>Deportivo Cali</v>
      </c>
      <c r="Y126" t="str">
        <f>VLOOKUP(F126,'Transform table'!A:B,2,0)</f>
        <v>Jaguares de Cordoba</v>
      </c>
      <c r="Z126" t="str">
        <f t="shared" si="1"/>
        <v>24/07/2026Deportivo CaliJaguares de Cordoba</v>
      </c>
      <c r="AA126" t="str">
        <f>VLOOKUP($Z126,'oddspedia-matches'!$A:$AD,AA$2,0)</f>
        <v>2 - 0</v>
      </c>
      <c r="AB126" t="str">
        <f>VLOOKUP($Z126,'oddspedia-matches'!$A:$AD,AB$2,0)</f>
        <v>Green</v>
      </c>
      <c r="AC126" t="str">
        <f>VLOOKUP($Z126,'oddspedia-matches'!$A:$AD,AC$2,0)</f>
        <v>Red</v>
      </c>
      <c r="AD126" t="str">
        <f>VLOOKUP($Z126,'oddspedia-matches'!$A:$AD,AD$2,0)</f>
        <v>Red</v>
      </c>
      <c r="AE126" t="str">
        <f>VLOOKUP($Z126,'oddspedia-matches'!$A:$AD,AE$2,0)</f>
        <v>Green</v>
      </c>
      <c r="AF126" t="str">
        <f>VLOOKUP($Z126,'oddspedia-matches'!$A:$AD,AF$2,0)</f>
        <v>Red</v>
      </c>
      <c r="AG126" t="str">
        <f>VLOOKUP($Z126,'oddspedia-matches'!$A:$AD,AG$2,0)</f>
        <v>Green</v>
      </c>
      <c r="AH126" t="str">
        <f>VLOOKUP($Z126,'oddspedia-matches'!$A:$AD,AH$2,0)</f>
        <v>Red</v>
      </c>
      <c r="AI126" t="str">
        <f>VLOOKUP($Z126,'oddspedia-matches'!$A:$AD,AI$2,0)</f>
        <v>Green</v>
      </c>
      <c r="AJ126" t="str">
        <f>VLOOKUP($Z126,'oddspedia-matches'!$A:$AD,AJ$2,0)</f>
        <v>Red</v>
      </c>
      <c r="AK126" t="str">
        <f>VLOOKUP($Z126,'oddspedia-matches'!$A:$AD,AK$2,0)</f>
        <v>Red</v>
      </c>
      <c r="AL126" t="str">
        <f>VLOOKUP($Z126,'oddspedia-matches'!$A:$AD,AL$2,0)</f>
        <v>Green</v>
      </c>
      <c r="AM126" t="str">
        <f>VLOOKUP($Z126,'oddspedia-matches'!$A:$AD,AM$2,0)</f>
        <v>Red</v>
      </c>
      <c r="AN126" t="str">
        <f>VLOOKUP($Z126,'oddspedia-matches'!$A:$AD,AN$2,0)</f>
        <v>Green</v>
      </c>
      <c r="AO126" t="str">
        <f>VLOOKUP($Z126,'oddspedia-matches'!$A:$AD,AO$2,0)</f>
        <v>Green</v>
      </c>
      <c r="AP126" t="str">
        <f>VLOOKUP($Z126,'oddspedia-matches'!$A:$AD,AP$2,0)</f>
        <v>Red</v>
      </c>
      <c r="AQ126" t="str">
        <f>VLOOKUP($Z126,'oddspedia-matches'!$A:$AD,AQ$2,0)</f>
        <v>Green</v>
      </c>
    </row>
    <row r="127" spans="2:43" x14ac:dyDescent="0.2">
      <c r="B127" s="17" t="s">
        <v>489</v>
      </c>
      <c r="C127" s="8" t="s">
        <v>122</v>
      </c>
      <c r="D127" s="18">
        <v>0.9375</v>
      </c>
      <c r="E127" s="8" t="s">
        <v>207</v>
      </c>
      <c r="F127" s="8" t="s">
        <v>208</v>
      </c>
      <c r="G127" s="19"/>
      <c r="H127" s="8">
        <v>30.7</v>
      </c>
      <c r="I127" s="8">
        <v>29.8</v>
      </c>
      <c r="J127" s="8">
        <v>39.4</v>
      </c>
      <c r="K127" s="8">
        <v>60.6</v>
      </c>
      <c r="L127" s="8">
        <v>69.3</v>
      </c>
      <c r="M127" s="8">
        <v>70.2</v>
      </c>
      <c r="N127" s="8">
        <v>19.100000000000001</v>
      </c>
      <c r="O127" s="8">
        <v>49.2</v>
      </c>
      <c r="P127" s="8">
        <v>31.7</v>
      </c>
      <c r="Q127" s="8">
        <v>60.6</v>
      </c>
      <c r="R127" s="8">
        <v>73.099999999999994</v>
      </c>
      <c r="S127" s="8">
        <v>46.3</v>
      </c>
      <c r="T127" s="8">
        <v>53.7</v>
      </c>
      <c r="U127" s="8">
        <v>59.2</v>
      </c>
      <c r="V127" s="8">
        <v>52.6</v>
      </c>
      <c r="W127" s="8">
        <v>47.4</v>
      </c>
      <c r="X127" t="str">
        <f>VLOOKUP(E127,'Transform table'!A:B,2,0)</f>
        <v>Arabe Unido</v>
      </c>
      <c r="Y127" t="str">
        <f>VLOOKUP(F127,'Transform table'!A:B,2,0)</f>
        <v>Plaza Amador</v>
      </c>
      <c r="Z127" t="str">
        <f t="shared" si="1"/>
        <v>24/07/2026Arabe UnidoPlaza Amador</v>
      </c>
      <c r="AA127" t="str">
        <f>VLOOKUP($Z127,'oddspedia-matches'!$A:$AD,AA$2,0)</f>
        <v>2 - 2</v>
      </c>
      <c r="AB127" t="str">
        <f>VLOOKUP($Z127,'oddspedia-matches'!$A:$AD,AB$2,0)</f>
        <v>Red</v>
      </c>
      <c r="AC127" t="str">
        <f>VLOOKUP($Z127,'oddspedia-matches'!$A:$AD,AC$2,0)</f>
        <v>Green</v>
      </c>
      <c r="AD127" t="str">
        <f>VLOOKUP($Z127,'oddspedia-matches'!$A:$AD,AD$2,0)</f>
        <v>Red</v>
      </c>
      <c r="AE127" t="str">
        <f>VLOOKUP($Z127,'oddspedia-matches'!$A:$AD,AE$2,0)</f>
        <v>Green</v>
      </c>
      <c r="AF127" t="str">
        <f>VLOOKUP($Z127,'oddspedia-matches'!$A:$AD,AF$2,0)</f>
        <v>Green</v>
      </c>
      <c r="AG127" t="str">
        <f>VLOOKUP($Z127,'oddspedia-matches'!$A:$AD,AG$2,0)</f>
        <v>Red</v>
      </c>
      <c r="AH127" t="str">
        <f>VLOOKUP($Z127,'oddspedia-matches'!$A:$AD,AH$2,0)</f>
        <v>Green</v>
      </c>
      <c r="AI127" t="str">
        <f>VLOOKUP($Z127,'oddspedia-matches'!$A:$AD,AI$2,0)</f>
        <v>Red</v>
      </c>
      <c r="AJ127" t="str">
        <f>VLOOKUP($Z127,'oddspedia-matches'!$A:$AD,AJ$2,0)</f>
        <v>Red</v>
      </c>
      <c r="AK127" t="str">
        <f>VLOOKUP($Z127,'oddspedia-matches'!$A:$AD,AK$2,0)</f>
        <v>Green</v>
      </c>
      <c r="AL127" t="str">
        <f>VLOOKUP($Z127,'oddspedia-matches'!$A:$AD,AL$2,0)</f>
        <v>Green</v>
      </c>
      <c r="AM127" t="str">
        <f>VLOOKUP($Z127,'oddspedia-matches'!$A:$AD,AM$2,0)</f>
        <v>Green</v>
      </c>
      <c r="AN127" t="str">
        <f>VLOOKUP($Z127,'oddspedia-matches'!$A:$AD,AN$2,0)</f>
        <v>Red</v>
      </c>
      <c r="AO127" t="str">
        <f>VLOOKUP($Z127,'oddspedia-matches'!$A:$AD,AO$2,0)</f>
        <v>Red</v>
      </c>
      <c r="AP127" t="str">
        <f>VLOOKUP($Z127,'oddspedia-matches'!$A:$AD,AP$2,0)</f>
        <v>Green</v>
      </c>
      <c r="AQ127" t="str">
        <f>VLOOKUP($Z127,'oddspedia-matches'!$A:$AD,AQ$2,0)</f>
        <v>Red</v>
      </c>
    </row>
    <row r="128" spans="2:43" x14ac:dyDescent="0.2">
      <c r="B128" s="9" t="s">
        <v>482</v>
      </c>
      <c r="C128" s="7" t="s">
        <v>122</v>
      </c>
      <c r="D128" s="20">
        <v>0.9375</v>
      </c>
      <c r="E128" s="7" t="s">
        <v>209</v>
      </c>
      <c r="F128" s="7" t="s">
        <v>210</v>
      </c>
      <c r="G128" s="21"/>
      <c r="H128" s="7">
        <v>49.3</v>
      </c>
      <c r="I128" s="7">
        <v>27.9</v>
      </c>
      <c r="J128" s="7">
        <v>22.8</v>
      </c>
      <c r="K128" s="7">
        <v>77.2</v>
      </c>
      <c r="L128" s="7">
        <v>50.7</v>
      </c>
      <c r="M128" s="7">
        <v>72.099999999999994</v>
      </c>
      <c r="N128" s="7">
        <v>37.6</v>
      </c>
      <c r="O128" s="7">
        <v>44</v>
      </c>
      <c r="P128" s="7">
        <v>18.399999999999999</v>
      </c>
      <c r="Q128" s="7">
        <v>67.3</v>
      </c>
      <c r="R128" s="7">
        <v>73.400000000000006</v>
      </c>
      <c r="S128" s="7">
        <v>46.8</v>
      </c>
      <c r="T128" s="7">
        <v>53.2</v>
      </c>
      <c r="U128" s="7">
        <v>59.4</v>
      </c>
      <c r="V128" s="7">
        <v>50.8</v>
      </c>
      <c r="W128" s="7">
        <v>49.2</v>
      </c>
      <c r="X128" t="str">
        <f>VLOOKUP(E128,'Transform table'!A:B,2,0)</f>
        <v>Universitario de Deportes</v>
      </c>
      <c r="Y128" t="str">
        <f>VLOOKUP(F128,'Transform table'!A:B,2,0)</f>
        <v>Cusco FC</v>
      </c>
      <c r="Z128" t="str">
        <f t="shared" si="1"/>
        <v>24/07/2026Universitario de DeportesCusco FC</v>
      </c>
      <c r="AA128" t="str">
        <f>VLOOKUP($Z128,'oddspedia-matches'!$A:$AD,AA$2,0)</f>
        <v>2 - 1</v>
      </c>
      <c r="AB128" t="str">
        <f>VLOOKUP($Z128,'oddspedia-matches'!$A:$AD,AB$2,0)</f>
        <v>Green</v>
      </c>
      <c r="AC128" t="str">
        <f>VLOOKUP($Z128,'oddspedia-matches'!$A:$AD,AC$2,0)</f>
        <v>Red</v>
      </c>
      <c r="AD128" t="str">
        <f>VLOOKUP($Z128,'oddspedia-matches'!$A:$AD,AD$2,0)</f>
        <v>Red</v>
      </c>
      <c r="AE128" t="str">
        <f>VLOOKUP($Z128,'oddspedia-matches'!$A:$AD,AE$2,0)</f>
        <v>Green</v>
      </c>
      <c r="AF128" t="str">
        <f>VLOOKUP($Z128,'oddspedia-matches'!$A:$AD,AF$2,0)</f>
        <v>Red</v>
      </c>
      <c r="AG128" t="str">
        <f>VLOOKUP($Z128,'oddspedia-matches'!$A:$AD,AG$2,0)</f>
        <v>Green</v>
      </c>
      <c r="AH128" t="str">
        <f>VLOOKUP($Z128,'oddspedia-matches'!$A:$AD,AH$2,0)</f>
        <v>Green</v>
      </c>
      <c r="AI128" t="str">
        <f>VLOOKUP($Z128,'oddspedia-matches'!$A:$AD,AI$2,0)</f>
        <v>Red</v>
      </c>
      <c r="AJ128" t="str">
        <f>VLOOKUP($Z128,'oddspedia-matches'!$A:$AD,AJ$2,0)</f>
        <v>Red</v>
      </c>
      <c r="AK128" t="str">
        <f>VLOOKUP($Z128,'oddspedia-matches'!$A:$AD,AK$2,0)</f>
        <v>Green</v>
      </c>
      <c r="AL128" t="str">
        <f>VLOOKUP($Z128,'oddspedia-matches'!$A:$AD,AL$2,0)</f>
        <v>Green</v>
      </c>
      <c r="AM128" t="str">
        <f>VLOOKUP($Z128,'oddspedia-matches'!$A:$AD,AM$2,0)</f>
        <v>Green</v>
      </c>
      <c r="AN128" t="str">
        <f>VLOOKUP($Z128,'oddspedia-matches'!$A:$AD,AN$2,0)</f>
        <v>Red</v>
      </c>
      <c r="AO128" t="str">
        <f>VLOOKUP($Z128,'oddspedia-matches'!$A:$AD,AO$2,0)</f>
        <v>Green</v>
      </c>
      <c r="AP128" t="str">
        <f>VLOOKUP($Z128,'oddspedia-matches'!$A:$AD,AP$2,0)</f>
        <v>Green</v>
      </c>
      <c r="AQ128" t="str">
        <f>VLOOKUP($Z128,'oddspedia-matches'!$A:$AD,AQ$2,0)</f>
        <v>Red</v>
      </c>
    </row>
    <row r="129" spans="2:43" x14ac:dyDescent="0.2">
      <c r="B129" s="17" t="s">
        <v>484</v>
      </c>
      <c r="C129" s="8" t="s">
        <v>122</v>
      </c>
      <c r="D129" s="18">
        <v>0.95833333333333337</v>
      </c>
      <c r="E129" s="8" t="s">
        <v>211</v>
      </c>
      <c r="F129" s="8" t="s">
        <v>212</v>
      </c>
      <c r="G129" s="19"/>
      <c r="H129" s="8">
        <v>33</v>
      </c>
      <c r="I129" s="8">
        <v>29.4</v>
      </c>
      <c r="J129" s="8">
        <v>37.5</v>
      </c>
      <c r="K129" s="8">
        <v>62.5</v>
      </c>
      <c r="L129" s="8">
        <v>67</v>
      </c>
      <c r="M129" s="8">
        <v>70.599999999999994</v>
      </c>
      <c r="N129" s="8">
        <v>32.1</v>
      </c>
      <c r="O129" s="8">
        <v>48.1</v>
      </c>
      <c r="P129" s="8">
        <v>19.8</v>
      </c>
      <c r="Q129" s="8">
        <v>62</v>
      </c>
      <c r="R129" s="8">
        <v>74.400000000000006</v>
      </c>
      <c r="S129" s="8">
        <v>48</v>
      </c>
      <c r="T129" s="8">
        <v>52</v>
      </c>
      <c r="U129" s="8">
        <v>57.4</v>
      </c>
      <c r="V129" s="8">
        <v>54.1</v>
      </c>
      <c r="W129" s="8">
        <v>45.9</v>
      </c>
      <c r="X129" t="str">
        <f>VLOOKUP(E129,'Transform table'!A:B,2,0)</f>
        <v>Vancouver Langley</v>
      </c>
      <c r="Y129" t="str">
        <f>VLOOKUP(F129,'Transform table'!A:B,2,0)</f>
        <v>Cavalry FC</v>
      </c>
      <c r="Z129" t="str">
        <f t="shared" si="1"/>
        <v>24/07/2026Vancouver LangleyCavalry FC</v>
      </c>
      <c r="AA129" t="str">
        <f>VLOOKUP($Z129,'oddspedia-matches'!$A:$AD,AA$2,0)</f>
        <v>1 - 0</v>
      </c>
      <c r="AB129" t="str">
        <f>VLOOKUP($Z129,'oddspedia-matches'!$A:$AD,AB$2,0)</f>
        <v>Green</v>
      </c>
      <c r="AC129" t="str">
        <f>VLOOKUP($Z129,'oddspedia-matches'!$A:$AD,AC$2,0)</f>
        <v>Red</v>
      </c>
      <c r="AD129" t="str">
        <f>VLOOKUP($Z129,'oddspedia-matches'!$A:$AD,AD$2,0)</f>
        <v>Red</v>
      </c>
      <c r="AE129" t="str">
        <f>VLOOKUP($Z129,'oddspedia-matches'!$A:$AD,AE$2,0)</f>
        <v>Green</v>
      </c>
      <c r="AF129" t="str">
        <f>VLOOKUP($Z129,'oddspedia-matches'!$A:$AD,AF$2,0)</f>
        <v>Red</v>
      </c>
      <c r="AG129" t="str">
        <f>VLOOKUP($Z129,'oddspedia-matches'!$A:$AD,AG$2,0)</f>
        <v>Green</v>
      </c>
      <c r="AH129" t="str">
        <f>VLOOKUP($Z129,'oddspedia-matches'!$A:$AD,AH$2,0)</f>
        <v>Red</v>
      </c>
      <c r="AI129" t="str">
        <f>VLOOKUP($Z129,'oddspedia-matches'!$A:$AD,AI$2,0)</f>
        <v>Green</v>
      </c>
      <c r="AJ129" t="str">
        <f>VLOOKUP($Z129,'oddspedia-matches'!$A:$AD,AJ$2,0)</f>
        <v>Red</v>
      </c>
      <c r="AK129" t="str">
        <f>VLOOKUP($Z129,'oddspedia-matches'!$A:$AD,AK$2,0)</f>
        <v>Red</v>
      </c>
      <c r="AL129" t="str">
        <f>VLOOKUP($Z129,'oddspedia-matches'!$A:$AD,AL$2,0)</f>
        <v>Red</v>
      </c>
      <c r="AM129" t="str">
        <f>VLOOKUP($Z129,'oddspedia-matches'!$A:$AD,AM$2,0)</f>
        <v>Red</v>
      </c>
      <c r="AN129" t="str">
        <f>VLOOKUP($Z129,'oddspedia-matches'!$A:$AD,AN$2,0)</f>
        <v>Green</v>
      </c>
      <c r="AO129" t="str">
        <f>VLOOKUP($Z129,'oddspedia-matches'!$A:$AD,AO$2,0)</f>
        <v>Green</v>
      </c>
      <c r="AP129" t="str">
        <f>VLOOKUP($Z129,'oddspedia-matches'!$A:$AD,AP$2,0)</f>
        <v>Red</v>
      </c>
      <c r="AQ129" t="str">
        <f>VLOOKUP($Z129,'oddspedia-matches'!$A:$AD,AQ$2,0)</f>
        <v>Green</v>
      </c>
    </row>
    <row r="130" spans="2:43" x14ac:dyDescent="0.2">
      <c r="B130" s="9" t="s">
        <v>463</v>
      </c>
      <c r="C130" s="7" t="s">
        <v>490</v>
      </c>
      <c r="D130" s="20">
        <v>4.1666666666666664E-2</v>
      </c>
      <c r="E130" s="7" t="s">
        <v>491</v>
      </c>
      <c r="F130" s="7" t="s">
        <v>492</v>
      </c>
      <c r="G130" s="21"/>
      <c r="H130" s="7">
        <v>46</v>
      </c>
      <c r="I130" s="7">
        <v>25.3</v>
      </c>
      <c r="J130" s="7">
        <v>28.7</v>
      </c>
      <c r="K130" s="7">
        <v>71.3</v>
      </c>
      <c r="L130" s="7">
        <v>54</v>
      </c>
      <c r="M130" s="7">
        <v>74.7</v>
      </c>
      <c r="N130" s="7">
        <v>41.7</v>
      </c>
      <c r="O130" s="7">
        <v>34.6</v>
      </c>
      <c r="P130" s="7">
        <v>23.7</v>
      </c>
      <c r="Q130" s="7">
        <v>82.4</v>
      </c>
      <c r="R130" s="7">
        <v>87.6</v>
      </c>
      <c r="S130" s="7">
        <v>68.5</v>
      </c>
      <c r="T130" s="7">
        <v>31.5</v>
      </c>
      <c r="U130" s="7">
        <v>37.200000000000003</v>
      </c>
      <c r="V130" s="7">
        <v>69.099999999999994</v>
      </c>
      <c r="W130" s="7">
        <v>30.9</v>
      </c>
      <c r="X130" t="str">
        <f>VLOOKUP(E130,'Transform table'!A:B,2,0)</f>
        <v>Cooks Hill United</v>
      </c>
      <c r="Y130" t="str">
        <f>VLOOKUP(F130,'Transform table'!A:B,2,0)</f>
        <v>Lambton Jaffas</v>
      </c>
      <c r="Z130" t="str">
        <f t="shared" si="1"/>
        <v>25/07/2026Cooks Hill UnitedLambton Jaffas</v>
      </c>
      <c r="AA130" t="str">
        <f>VLOOKUP($Z130,'oddspedia-matches'!$A:$AD,AA$2,0)</f>
        <v>1 - 0</v>
      </c>
      <c r="AB130" t="str">
        <f>VLOOKUP($Z130,'oddspedia-matches'!$A:$AD,AB$2,0)</f>
        <v>Green</v>
      </c>
      <c r="AC130" t="str">
        <f>VLOOKUP($Z130,'oddspedia-matches'!$A:$AD,AC$2,0)</f>
        <v>Red</v>
      </c>
      <c r="AD130" t="str">
        <f>VLOOKUP($Z130,'oddspedia-matches'!$A:$AD,AD$2,0)</f>
        <v>Red</v>
      </c>
      <c r="AE130" t="str">
        <f>VLOOKUP($Z130,'oddspedia-matches'!$A:$AD,AE$2,0)</f>
        <v>Green</v>
      </c>
      <c r="AF130" t="str">
        <f>VLOOKUP($Z130,'oddspedia-matches'!$A:$AD,AF$2,0)</f>
        <v>Red</v>
      </c>
      <c r="AG130" t="str">
        <f>VLOOKUP($Z130,'oddspedia-matches'!$A:$AD,AG$2,0)</f>
        <v>Green</v>
      </c>
      <c r="AH130" t="str">
        <f>VLOOKUP($Z130,'oddspedia-matches'!$A:$AD,AH$2,0)</f>
        <v>Red</v>
      </c>
      <c r="AI130" t="str">
        <f>VLOOKUP($Z130,'oddspedia-matches'!$A:$AD,AI$2,0)</f>
        <v>Green</v>
      </c>
      <c r="AJ130" t="str">
        <f>VLOOKUP($Z130,'oddspedia-matches'!$A:$AD,AJ$2,0)</f>
        <v>Red</v>
      </c>
      <c r="AK130" t="str">
        <f>VLOOKUP($Z130,'oddspedia-matches'!$A:$AD,AK$2,0)</f>
        <v>Red</v>
      </c>
      <c r="AL130" t="str">
        <f>VLOOKUP($Z130,'oddspedia-matches'!$A:$AD,AL$2,0)</f>
        <v>Red</v>
      </c>
      <c r="AM130" t="str">
        <f>VLOOKUP($Z130,'oddspedia-matches'!$A:$AD,AM$2,0)</f>
        <v>Red</v>
      </c>
      <c r="AN130" t="str">
        <f>VLOOKUP($Z130,'oddspedia-matches'!$A:$AD,AN$2,0)</f>
        <v>Green</v>
      </c>
      <c r="AO130" t="str">
        <f>VLOOKUP($Z130,'oddspedia-matches'!$A:$AD,AO$2,0)</f>
        <v>Green</v>
      </c>
      <c r="AP130" t="str">
        <f>VLOOKUP($Z130,'oddspedia-matches'!$A:$AD,AP$2,0)</f>
        <v>Red</v>
      </c>
      <c r="AQ130" t="str">
        <f>VLOOKUP($Z130,'oddspedia-matches'!$A:$AD,AQ$2,0)</f>
        <v>Green</v>
      </c>
    </row>
    <row r="131" spans="2:43" x14ac:dyDescent="0.2">
      <c r="B131" s="17" t="s">
        <v>445</v>
      </c>
      <c r="C131" s="8" t="s">
        <v>490</v>
      </c>
      <c r="D131" s="18">
        <v>6.25E-2</v>
      </c>
      <c r="E131" s="8" t="s">
        <v>493</v>
      </c>
      <c r="F131" s="8" t="s">
        <v>494</v>
      </c>
      <c r="G131" s="19"/>
      <c r="H131" s="8">
        <v>35.299999999999997</v>
      </c>
      <c r="I131" s="8">
        <v>25.6</v>
      </c>
      <c r="J131" s="8">
        <v>39.1</v>
      </c>
      <c r="K131" s="8">
        <v>60.9</v>
      </c>
      <c r="L131" s="8">
        <v>64.7</v>
      </c>
      <c r="M131" s="8">
        <v>74.400000000000006</v>
      </c>
      <c r="N131" s="8">
        <v>33.700000000000003</v>
      </c>
      <c r="O131" s="8">
        <v>36.4</v>
      </c>
      <c r="P131" s="8">
        <v>30</v>
      </c>
      <c r="Q131" s="8">
        <v>80.900000000000006</v>
      </c>
      <c r="R131" s="8">
        <v>93.4</v>
      </c>
      <c r="S131" s="8">
        <v>80.2</v>
      </c>
      <c r="T131" s="8">
        <v>19.8</v>
      </c>
      <c r="U131" s="8">
        <v>24.3</v>
      </c>
      <c r="V131" s="8">
        <v>79.2</v>
      </c>
      <c r="W131" s="8">
        <v>20.8</v>
      </c>
      <c r="X131" t="str">
        <f>VLOOKUP(E131,'Transform table'!A:B,2,0)</f>
        <v>Canberra Olympic</v>
      </c>
      <c r="Y131" t="str">
        <f>VLOOKUP(F131,'Transform table'!A:B,2,0)</f>
        <v>Queanbeyan City FC</v>
      </c>
      <c r="Z131" t="str">
        <f t="shared" si="1"/>
        <v>25/07/2026Canberra OlympicQueanbeyan City FC</v>
      </c>
      <c r="AA131" t="str">
        <f>VLOOKUP($Z131,'oddspedia-matches'!$A:$AD,AA$2,0)</f>
        <v>2 - 2</v>
      </c>
      <c r="AB131" t="str">
        <f>VLOOKUP($Z131,'oddspedia-matches'!$A:$AD,AB$2,0)</f>
        <v>Red</v>
      </c>
      <c r="AC131" t="str">
        <f>VLOOKUP($Z131,'oddspedia-matches'!$A:$AD,AC$2,0)</f>
        <v>Green</v>
      </c>
      <c r="AD131" t="str">
        <f>VLOOKUP($Z131,'oddspedia-matches'!$A:$AD,AD$2,0)</f>
        <v>Red</v>
      </c>
      <c r="AE131" t="str">
        <f>VLOOKUP($Z131,'oddspedia-matches'!$A:$AD,AE$2,0)</f>
        <v>Green</v>
      </c>
      <c r="AF131" t="str">
        <f>VLOOKUP($Z131,'oddspedia-matches'!$A:$AD,AF$2,0)</f>
        <v>Green</v>
      </c>
      <c r="AG131" t="str">
        <f>VLOOKUP($Z131,'oddspedia-matches'!$A:$AD,AG$2,0)</f>
        <v>Red</v>
      </c>
      <c r="AH131" t="str">
        <f>VLOOKUP($Z131,'oddspedia-matches'!$A:$AD,AH$2,0)</f>
        <v>Red</v>
      </c>
      <c r="AI131" t="str">
        <f>VLOOKUP($Z131,'oddspedia-matches'!$A:$AD,AI$2,0)</f>
        <v>Green</v>
      </c>
      <c r="AJ131" t="str">
        <f>VLOOKUP($Z131,'oddspedia-matches'!$A:$AD,AJ$2,0)</f>
        <v>Red</v>
      </c>
      <c r="AK131" t="str">
        <f>VLOOKUP($Z131,'oddspedia-matches'!$A:$AD,AK$2,0)</f>
        <v>Green</v>
      </c>
      <c r="AL131" t="str">
        <f>VLOOKUP($Z131,'oddspedia-matches'!$A:$AD,AL$2,0)</f>
        <v>Green</v>
      </c>
      <c r="AM131" t="str">
        <f>VLOOKUP($Z131,'oddspedia-matches'!$A:$AD,AM$2,0)</f>
        <v>Green</v>
      </c>
      <c r="AN131" t="str">
        <f>VLOOKUP($Z131,'oddspedia-matches'!$A:$AD,AN$2,0)</f>
        <v>Red</v>
      </c>
      <c r="AO131" t="str">
        <f>VLOOKUP($Z131,'oddspedia-matches'!$A:$AD,AO$2,0)</f>
        <v>Red</v>
      </c>
      <c r="AP131" t="str">
        <f>VLOOKUP($Z131,'oddspedia-matches'!$A:$AD,AP$2,0)</f>
        <v>Green</v>
      </c>
      <c r="AQ131" t="str">
        <f>VLOOKUP($Z131,'oddspedia-matches'!$A:$AD,AQ$2,0)</f>
        <v>Red</v>
      </c>
    </row>
    <row r="132" spans="2:43" x14ac:dyDescent="0.2">
      <c r="B132" s="9" t="s">
        <v>464</v>
      </c>
      <c r="C132" s="7" t="s">
        <v>490</v>
      </c>
      <c r="D132" s="20">
        <v>6.25E-2</v>
      </c>
      <c r="E132" s="7" t="s">
        <v>24</v>
      </c>
      <c r="F132" s="7" t="s">
        <v>495</v>
      </c>
      <c r="G132" s="21"/>
      <c r="H132" s="7">
        <v>12.8</v>
      </c>
      <c r="I132" s="7">
        <v>24.3</v>
      </c>
      <c r="J132" s="7">
        <v>62.9</v>
      </c>
      <c r="K132" s="7">
        <v>37.1</v>
      </c>
      <c r="L132" s="7">
        <v>87.2</v>
      </c>
      <c r="M132" s="7">
        <v>75.7</v>
      </c>
      <c r="N132" s="7">
        <v>16.600000000000001</v>
      </c>
      <c r="O132" s="7">
        <v>34.4</v>
      </c>
      <c r="P132" s="7">
        <v>49</v>
      </c>
      <c r="Q132" s="7">
        <v>81</v>
      </c>
      <c r="R132" s="7">
        <v>91.8</v>
      </c>
      <c r="S132" s="7">
        <v>76.900000000000006</v>
      </c>
      <c r="T132" s="7">
        <v>23.1</v>
      </c>
      <c r="U132" s="7">
        <v>30.3</v>
      </c>
      <c r="V132" s="7">
        <v>68.7</v>
      </c>
      <c r="W132" s="7">
        <v>31.3</v>
      </c>
      <c r="X132" t="str">
        <f>VLOOKUP(E132,'Transform table'!A:B,2,0)</f>
        <v>Launceston United</v>
      </c>
      <c r="Y132" t="str">
        <f>VLOOKUP(F132,'Transform table'!A:B,2,0)</f>
        <v>Devonport City</v>
      </c>
      <c r="Z132" t="str">
        <f t="shared" ref="Z132:Z195" si="2">C132&amp;X132&amp;Y132</f>
        <v>25/07/2026Launceston UnitedDevonport City</v>
      </c>
      <c r="AA132" t="str">
        <f>VLOOKUP($Z132,'oddspedia-matches'!$A:$AD,AA$2,0)</f>
        <v>0 - 6</v>
      </c>
      <c r="AB132" t="str">
        <f>VLOOKUP($Z132,'oddspedia-matches'!$A:$AD,AB$2,0)</f>
        <v>Red</v>
      </c>
      <c r="AC132" t="str">
        <f>VLOOKUP($Z132,'oddspedia-matches'!$A:$AD,AC$2,0)</f>
        <v>Red</v>
      </c>
      <c r="AD132" t="str">
        <f>VLOOKUP($Z132,'oddspedia-matches'!$A:$AD,AD$2,0)</f>
        <v>Green</v>
      </c>
      <c r="AE132" t="str">
        <f>VLOOKUP($Z132,'oddspedia-matches'!$A:$AD,AE$2,0)</f>
        <v>Red</v>
      </c>
      <c r="AF132" t="str">
        <f>VLOOKUP($Z132,'oddspedia-matches'!$A:$AD,AF$2,0)</f>
        <v>Green</v>
      </c>
      <c r="AG132" t="str">
        <f>VLOOKUP($Z132,'oddspedia-matches'!$A:$AD,AG$2,0)</f>
        <v>Green</v>
      </c>
      <c r="AH132" t="str">
        <f>VLOOKUP($Z132,'oddspedia-matches'!$A:$AD,AH$2,0)</f>
        <v>Red</v>
      </c>
      <c r="AI132" t="str">
        <f>VLOOKUP($Z132,'oddspedia-matches'!$A:$AD,AI$2,0)</f>
        <v>Red</v>
      </c>
      <c r="AJ132" t="str">
        <f>VLOOKUP($Z132,'oddspedia-matches'!$A:$AD,AJ$2,0)</f>
        <v>Green</v>
      </c>
      <c r="AK132" t="str">
        <f>VLOOKUP($Z132,'oddspedia-matches'!$A:$AD,AK$2,0)</f>
        <v>Green</v>
      </c>
      <c r="AL132" t="str">
        <f>VLOOKUP($Z132,'oddspedia-matches'!$A:$AD,AL$2,0)</f>
        <v>Green</v>
      </c>
      <c r="AM132" t="str">
        <f>VLOOKUP($Z132,'oddspedia-matches'!$A:$AD,AM$2,0)</f>
        <v>Green</v>
      </c>
      <c r="AN132" t="str">
        <f>VLOOKUP($Z132,'oddspedia-matches'!$A:$AD,AN$2,0)</f>
        <v>Red</v>
      </c>
      <c r="AO132" t="str">
        <f>VLOOKUP($Z132,'oddspedia-matches'!$A:$AD,AO$2,0)</f>
        <v>Red</v>
      </c>
      <c r="AP132" t="str">
        <f>VLOOKUP($Z132,'oddspedia-matches'!$A:$AD,AP$2,0)</f>
        <v>Red</v>
      </c>
      <c r="AQ132" t="str">
        <f>VLOOKUP($Z132,'oddspedia-matches'!$A:$AD,AQ$2,0)</f>
        <v>Green</v>
      </c>
    </row>
    <row r="133" spans="2:43" x14ac:dyDescent="0.2">
      <c r="B133" s="17" t="s">
        <v>464</v>
      </c>
      <c r="C133" s="8" t="s">
        <v>490</v>
      </c>
      <c r="D133" s="18">
        <v>6.25E-2</v>
      </c>
      <c r="E133" s="8" t="s">
        <v>496</v>
      </c>
      <c r="F133" s="8" t="s">
        <v>23</v>
      </c>
      <c r="G133" s="19"/>
      <c r="H133" s="8">
        <v>39</v>
      </c>
      <c r="I133" s="8">
        <v>25.4</v>
      </c>
      <c r="J133" s="8">
        <v>35.6</v>
      </c>
      <c r="K133" s="8">
        <v>64.400000000000006</v>
      </c>
      <c r="L133" s="8">
        <v>61</v>
      </c>
      <c r="M133" s="8">
        <v>74.599999999999994</v>
      </c>
      <c r="N133" s="8">
        <v>32.799999999999997</v>
      </c>
      <c r="O133" s="8">
        <v>37.1</v>
      </c>
      <c r="P133" s="8">
        <v>30.2</v>
      </c>
      <c r="Q133" s="8">
        <v>79.8</v>
      </c>
      <c r="R133" s="8">
        <v>91.4</v>
      </c>
      <c r="S133" s="8">
        <v>75.900000000000006</v>
      </c>
      <c r="T133" s="8">
        <v>24.1</v>
      </c>
      <c r="U133" s="8">
        <v>29</v>
      </c>
      <c r="V133" s="8">
        <v>75.7</v>
      </c>
      <c r="W133" s="8">
        <v>24.3</v>
      </c>
      <c r="X133" t="str">
        <f>VLOOKUP(E133,'Transform table'!A:B,2,0)</f>
        <v>Riverside Olympic</v>
      </c>
      <c r="Y133" t="str">
        <f>VLOOKUP(F133,'Transform table'!A:B,2,0)</f>
        <v>Launceston City</v>
      </c>
      <c r="Z133" t="str">
        <f t="shared" si="2"/>
        <v>25/07/2026Riverside OlympicLaunceston City</v>
      </c>
      <c r="AA133" t="str">
        <f>VLOOKUP($Z133,'oddspedia-matches'!$A:$AD,AA$2,0)</f>
        <v>0 - 0</v>
      </c>
      <c r="AB133" t="str">
        <f>VLOOKUP($Z133,'oddspedia-matches'!$A:$AD,AB$2,0)</f>
        <v>Red</v>
      </c>
      <c r="AC133" t="str">
        <f>VLOOKUP($Z133,'oddspedia-matches'!$A:$AD,AC$2,0)</f>
        <v>Green</v>
      </c>
      <c r="AD133" t="str">
        <f>VLOOKUP($Z133,'oddspedia-matches'!$A:$AD,AD$2,0)</f>
        <v>Red</v>
      </c>
      <c r="AE133" t="str">
        <f>VLOOKUP($Z133,'oddspedia-matches'!$A:$AD,AE$2,0)</f>
        <v>Green</v>
      </c>
      <c r="AF133" t="str">
        <f>VLOOKUP($Z133,'oddspedia-matches'!$A:$AD,AF$2,0)</f>
        <v>Green</v>
      </c>
      <c r="AG133" t="str">
        <f>VLOOKUP($Z133,'oddspedia-matches'!$A:$AD,AG$2,0)</f>
        <v>Red</v>
      </c>
      <c r="AH133" t="str">
        <f>VLOOKUP($Z133,'oddspedia-matches'!$A:$AD,AH$2,0)</f>
        <v>Red</v>
      </c>
      <c r="AI133" t="str">
        <f>VLOOKUP($Z133,'oddspedia-matches'!$A:$AD,AI$2,0)</f>
        <v>Green</v>
      </c>
      <c r="AJ133" t="str">
        <f>VLOOKUP($Z133,'oddspedia-matches'!$A:$AD,AJ$2,0)</f>
        <v>Red</v>
      </c>
      <c r="AK133" t="str">
        <f>VLOOKUP($Z133,'oddspedia-matches'!$A:$AD,AK$2,0)</f>
        <v>Red</v>
      </c>
      <c r="AL133" t="str">
        <f>VLOOKUP($Z133,'oddspedia-matches'!$A:$AD,AL$2,0)</f>
        <v>Red</v>
      </c>
      <c r="AM133" t="str">
        <f>VLOOKUP($Z133,'oddspedia-matches'!$A:$AD,AM$2,0)</f>
        <v>Red</v>
      </c>
      <c r="AN133" t="str">
        <f>VLOOKUP($Z133,'oddspedia-matches'!$A:$AD,AN$2,0)</f>
        <v>Green</v>
      </c>
      <c r="AO133" t="str">
        <f>VLOOKUP($Z133,'oddspedia-matches'!$A:$AD,AO$2,0)</f>
        <v>Green</v>
      </c>
      <c r="AP133" t="str">
        <f>VLOOKUP($Z133,'oddspedia-matches'!$A:$AD,AP$2,0)</f>
        <v>Red</v>
      </c>
      <c r="AQ133" t="str">
        <f>VLOOKUP($Z133,'oddspedia-matches'!$A:$AD,AQ$2,0)</f>
        <v>Green</v>
      </c>
    </row>
    <row r="134" spans="2:43" x14ac:dyDescent="0.2">
      <c r="B134" s="9" t="s">
        <v>445</v>
      </c>
      <c r="C134" s="7" t="s">
        <v>490</v>
      </c>
      <c r="D134" s="20">
        <v>8.3333333333333329E-2</v>
      </c>
      <c r="E134" s="7" t="s">
        <v>497</v>
      </c>
      <c r="F134" s="7" t="s">
        <v>22</v>
      </c>
      <c r="G134" s="21"/>
      <c r="H134" s="7">
        <v>44.6</v>
      </c>
      <c r="I134" s="7">
        <v>25.3</v>
      </c>
      <c r="J134" s="7">
        <v>30.1</v>
      </c>
      <c r="K134" s="7">
        <v>69.900000000000006</v>
      </c>
      <c r="L134" s="7">
        <v>55.4</v>
      </c>
      <c r="M134" s="7">
        <v>74.7</v>
      </c>
      <c r="N134" s="7">
        <v>42.7</v>
      </c>
      <c r="O134" s="7">
        <v>39.299999999999997</v>
      </c>
      <c r="P134" s="7">
        <v>18</v>
      </c>
      <c r="Q134" s="7">
        <v>73.7</v>
      </c>
      <c r="R134" s="7">
        <v>88.7</v>
      </c>
      <c r="S134" s="7">
        <v>70.400000000000006</v>
      </c>
      <c r="T134" s="7">
        <v>29.6</v>
      </c>
      <c r="U134" s="7">
        <v>35</v>
      </c>
      <c r="V134" s="7">
        <v>70.900000000000006</v>
      </c>
      <c r="W134" s="7">
        <v>29.1</v>
      </c>
      <c r="X134" t="str">
        <f>VLOOKUP(E134,'Transform table'!A:B,2,0)</f>
        <v>Brindabella Blues FC</v>
      </c>
      <c r="Y134" t="str">
        <f>VLOOKUP(F134,'Transform table'!A:B,2,0)</f>
        <v>Canberra White Eagles</v>
      </c>
      <c r="Z134" t="str">
        <f t="shared" si="2"/>
        <v>25/07/2026Brindabella Blues FCCanberra White Eagles</v>
      </c>
      <c r="AA134" t="str">
        <f>VLOOKUP($Z134,'oddspedia-matches'!$A:$AD,AA$2,0)</f>
        <v>1 - 2</v>
      </c>
      <c r="AB134" t="str">
        <f>VLOOKUP($Z134,'oddspedia-matches'!$A:$AD,AB$2,0)</f>
        <v>Red</v>
      </c>
      <c r="AC134" t="str">
        <f>VLOOKUP($Z134,'oddspedia-matches'!$A:$AD,AC$2,0)</f>
        <v>Red</v>
      </c>
      <c r="AD134" t="str">
        <f>VLOOKUP($Z134,'oddspedia-matches'!$A:$AD,AD$2,0)</f>
        <v>Green</v>
      </c>
      <c r="AE134" t="str">
        <f>VLOOKUP($Z134,'oddspedia-matches'!$A:$AD,AE$2,0)</f>
        <v>Red</v>
      </c>
      <c r="AF134" t="str">
        <f>VLOOKUP($Z134,'oddspedia-matches'!$A:$AD,AF$2,0)</f>
        <v>Green</v>
      </c>
      <c r="AG134" t="str">
        <f>VLOOKUP($Z134,'oddspedia-matches'!$A:$AD,AG$2,0)</f>
        <v>Green</v>
      </c>
      <c r="AH134" t="str">
        <f>VLOOKUP($Z134,'oddspedia-matches'!$A:$AD,AH$2,0)</f>
        <v>Red</v>
      </c>
      <c r="AI134" t="str">
        <f>VLOOKUP($Z134,'oddspedia-matches'!$A:$AD,AI$2,0)</f>
        <v>Red</v>
      </c>
      <c r="AJ134" t="str">
        <f>VLOOKUP($Z134,'oddspedia-matches'!$A:$AD,AJ$2,0)</f>
        <v>Green</v>
      </c>
      <c r="AK134" t="str">
        <f>VLOOKUP($Z134,'oddspedia-matches'!$A:$AD,AK$2,0)</f>
        <v>Green</v>
      </c>
      <c r="AL134" t="str">
        <f>VLOOKUP($Z134,'oddspedia-matches'!$A:$AD,AL$2,0)</f>
        <v>Green</v>
      </c>
      <c r="AM134" t="str">
        <f>VLOOKUP($Z134,'oddspedia-matches'!$A:$AD,AM$2,0)</f>
        <v>Green</v>
      </c>
      <c r="AN134" t="str">
        <f>VLOOKUP($Z134,'oddspedia-matches'!$A:$AD,AN$2,0)</f>
        <v>Red</v>
      </c>
      <c r="AO134" t="str">
        <f>VLOOKUP($Z134,'oddspedia-matches'!$A:$AD,AO$2,0)</f>
        <v>Green</v>
      </c>
      <c r="AP134" t="str">
        <f>VLOOKUP($Z134,'oddspedia-matches'!$A:$AD,AP$2,0)</f>
        <v>Green</v>
      </c>
      <c r="AQ134" t="str">
        <f>VLOOKUP($Z134,'oddspedia-matches'!$A:$AD,AQ$2,0)</f>
        <v>Red</v>
      </c>
    </row>
    <row r="135" spans="2:43" x14ac:dyDescent="0.2">
      <c r="B135" s="17" t="s">
        <v>498</v>
      </c>
      <c r="C135" s="8" t="s">
        <v>490</v>
      </c>
      <c r="D135" s="18">
        <v>8.3333333333333329E-2</v>
      </c>
      <c r="E135" s="8" t="s">
        <v>499</v>
      </c>
      <c r="F135" s="8" t="s">
        <v>500</v>
      </c>
      <c r="G135" s="19"/>
      <c r="H135" s="8">
        <v>44.7</v>
      </c>
      <c r="I135" s="8">
        <v>25.8</v>
      </c>
      <c r="J135" s="8">
        <v>29.4</v>
      </c>
      <c r="K135" s="8">
        <v>70.599999999999994</v>
      </c>
      <c r="L135" s="8">
        <v>55.3</v>
      </c>
      <c r="M135" s="8">
        <v>74.2</v>
      </c>
      <c r="N135" s="8">
        <v>41.5</v>
      </c>
      <c r="O135" s="8">
        <v>38.799999999999997</v>
      </c>
      <c r="P135" s="8">
        <v>19.7</v>
      </c>
      <c r="Q135" s="8">
        <v>75</v>
      </c>
      <c r="R135" s="8">
        <v>85.5</v>
      </c>
      <c r="S135" s="8">
        <v>64.7</v>
      </c>
      <c r="T135" s="8">
        <v>35.299999999999997</v>
      </c>
      <c r="U135" s="8">
        <v>41</v>
      </c>
      <c r="V135" s="8">
        <v>66.400000000000006</v>
      </c>
      <c r="W135" s="8">
        <v>33.6</v>
      </c>
      <c r="X135" t="str">
        <f>VLOOKUP(E135,'Transform table'!A:B,2,0)</f>
        <v>Adelaide City</v>
      </c>
      <c r="Y135" t="str">
        <f>VLOOKUP(F135,'Transform table'!A:B,2,0)</f>
        <v>West Torrens Birkalla</v>
      </c>
      <c r="Z135" t="str">
        <f t="shared" si="2"/>
        <v>25/07/2026Adelaide CityWest Torrens Birkalla</v>
      </c>
      <c r="AA135" t="str">
        <f>VLOOKUP($Z135,'oddspedia-matches'!$A:$AD,AA$2,0)</f>
        <v>1 - 0</v>
      </c>
      <c r="AB135" t="str">
        <f>VLOOKUP($Z135,'oddspedia-matches'!$A:$AD,AB$2,0)</f>
        <v>Green</v>
      </c>
      <c r="AC135" t="str">
        <f>VLOOKUP($Z135,'oddspedia-matches'!$A:$AD,AC$2,0)</f>
        <v>Red</v>
      </c>
      <c r="AD135" t="str">
        <f>VLOOKUP($Z135,'oddspedia-matches'!$A:$AD,AD$2,0)</f>
        <v>Red</v>
      </c>
      <c r="AE135" t="str">
        <f>VLOOKUP($Z135,'oddspedia-matches'!$A:$AD,AE$2,0)</f>
        <v>Green</v>
      </c>
      <c r="AF135" t="str">
        <f>VLOOKUP($Z135,'oddspedia-matches'!$A:$AD,AF$2,0)</f>
        <v>Red</v>
      </c>
      <c r="AG135" t="str">
        <f>VLOOKUP($Z135,'oddspedia-matches'!$A:$AD,AG$2,0)</f>
        <v>Green</v>
      </c>
      <c r="AH135" t="str">
        <f>VLOOKUP($Z135,'oddspedia-matches'!$A:$AD,AH$2,0)</f>
        <v>Green</v>
      </c>
      <c r="AI135" t="str">
        <f>VLOOKUP($Z135,'oddspedia-matches'!$A:$AD,AI$2,0)</f>
        <v>Red</v>
      </c>
      <c r="AJ135" t="str">
        <f>VLOOKUP($Z135,'oddspedia-matches'!$A:$AD,AJ$2,0)</f>
        <v>Red</v>
      </c>
      <c r="AK135" t="str">
        <f>VLOOKUP($Z135,'oddspedia-matches'!$A:$AD,AK$2,0)</f>
        <v>Green</v>
      </c>
      <c r="AL135" t="str">
        <f>VLOOKUP($Z135,'oddspedia-matches'!$A:$AD,AL$2,0)</f>
        <v>Red</v>
      </c>
      <c r="AM135" t="str">
        <f>VLOOKUP($Z135,'oddspedia-matches'!$A:$AD,AM$2,0)</f>
        <v>Red</v>
      </c>
      <c r="AN135" t="str">
        <f>VLOOKUP($Z135,'oddspedia-matches'!$A:$AD,AN$2,0)</f>
        <v>Green</v>
      </c>
      <c r="AO135" t="str">
        <f>VLOOKUP($Z135,'oddspedia-matches'!$A:$AD,AO$2,0)</f>
        <v>Green</v>
      </c>
      <c r="AP135" t="str">
        <f>VLOOKUP($Z135,'oddspedia-matches'!$A:$AD,AP$2,0)</f>
        <v>Red</v>
      </c>
      <c r="AQ135" t="str">
        <f>VLOOKUP($Z135,'oddspedia-matches'!$A:$AD,AQ$2,0)</f>
        <v>Green</v>
      </c>
    </row>
    <row r="136" spans="2:43" x14ac:dyDescent="0.2">
      <c r="B136" s="9" t="s">
        <v>498</v>
      </c>
      <c r="C136" s="7" t="s">
        <v>490</v>
      </c>
      <c r="D136" s="20">
        <v>8.3333333333333329E-2</v>
      </c>
      <c r="E136" s="7" t="s">
        <v>501</v>
      </c>
      <c r="F136" s="7" t="s">
        <v>502</v>
      </c>
      <c r="G136" s="21"/>
      <c r="H136" s="7">
        <v>49.8</v>
      </c>
      <c r="I136" s="7">
        <v>24.8</v>
      </c>
      <c r="J136" s="7">
        <v>25.4</v>
      </c>
      <c r="K136" s="7">
        <v>74.599999999999994</v>
      </c>
      <c r="L136" s="7">
        <v>50.2</v>
      </c>
      <c r="M136" s="7">
        <v>75.2</v>
      </c>
      <c r="N136" s="7">
        <v>37</v>
      </c>
      <c r="O136" s="7">
        <v>36.799999999999997</v>
      </c>
      <c r="P136" s="7">
        <v>26.2</v>
      </c>
      <c r="Q136" s="7">
        <v>79.7</v>
      </c>
      <c r="R136" s="7">
        <v>88.8</v>
      </c>
      <c r="S136" s="7">
        <v>70.8</v>
      </c>
      <c r="T136" s="7">
        <v>29.2</v>
      </c>
      <c r="U136" s="7">
        <v>35</v>
      </c>
      <c r="V136" s="7">
        <v>70.099999999999994</v>
      </c>
      <c r="W136" s="7">
        <v>29.9</v>
      </c>
      <c r="X136" t="str">
        <f>VLOOKUP(E136,'Transform table'!A:B,2,0)</f>
        <v>Croydon Kings</v>
      </c>
      <c r="Y136" t="str">
        <f>VLOOKUP(F136,'Transform table'!A:B,2,0)</f>
        <v>Campbelltown City</v>
      </c>
      <c r="Z136" t="str">
        <f t="shared" si="2"/>
        <v>25/07/2026Croydon KingsCampbelltown City</v>
      </c>
      <c r="AA136" t="str">
        <f>VLOOKUP($Z136,'oddspedia-matches'!$A:$AD,AA$2,0)</f>
        <v>2 - 2</v>
      </c>
      <c r="AB136" t="str">
        <f>VLOOKUP($Z136,'oddspedia-matches'!$A:$AD,AB$2,0)</f>
        <v>Red</v>
      </c>
      <c r="AC136" t="str">
        <f>VLOOKUP($Z136,'oddspedia-matches'!$A:$AD,AC$2,0)</f>
        <v>Green</v>
      </c>
      <c r="AD136" t="str">
        <f>VLOOKUP($Z136,'oddspedia-matches'!$A:$AD,AD$2,0)</f>
        <v>Red</v>
      </c>
      <c r="AE136" t="str">
        <f>VLOOKUP($Z136,'oddspedia-matches'!$A:$AD,AE$2,0)</f>
        <v>Green</v>
      </c>
      <c r="AF136" t="str">
        <f>VLOOKUP($Z136,'oddspedia-matches'!$A:$AD,AF$2,0)</f>
        <v>Green</v>
      </c>
      <c r="AG136" t="str">
        <f>VLOOKUP($Z136,'oddspedia-matches'!$A:$AD,AG$2,0)</f>
        <v>Red</v>
      </c>
      <c r="AH136" t="str">
        <f>VLOOKUP($Z136,'oddspedia-matches'!$A:$AD,AH$2,0)</f>
        <v>Red</v>
      </c>
      <c r="AI136" t="str">
        <f>VLOOKUP($Z136,'oddspedia-matches'!$A:$AD,AI$2,0)</f>
        <v>Green</v>
      </c>
      <c r="AJ136" t="str">
        <f>VLOOKUP($Z136,'oddspedia-matches'!$A:$AD,AJ$2,0)</f>
        <v>Red</v>
      </c>
      <c r="AK136" t="str">
        <f>VLOOKUP($Z136,'oddspedia-matches'!$A:$AD,AK$2,0)</f>
        <v>Green</v>
      </c>
      <c r="AL136" t="str">
        <f>VLOOKUP($Z136,'oddspedia-matches'!$A:$AD,AL$2,0)</f>
        <v>Green</v>
      </c>
      <c r="AM136" t="str">
        <f>VLOOKUP($Z136,'oddspedia-matches'!$A:$AD,AM$2,0)</f>
        <v>Green</v>
      </c>
      <c r="AN136" t="str">
        <f>VLOOKUP($Z136,'oddspedia-matches'!$A:$AD,AN$2,0)</f>
        <v>Red</v>
      </c>
      <c r="AO136" t="str">
        <f>VLOOKUP($Z136,'oddspedia-matches'!$A:$AD,AO$2,0)</f>
        <v>Red</v>
      </c>
      <c r="AP136" t="str">
        <f>VLOOKUP($Z136,'oddspedia-matches'!$A:$AD,AP$2,0)</f>
        <v>Green</v>
      </c>
      <c r="AQ136" t="str">
        <f>VLOOKUP($Z136,'oddspedia-matches'!$A:$AD,AQ$2,0)</f>
        <v>Red</v>
      </c>
    </row>
    <row r="137" spans="2:43" x14ac:dyDescent="0.2">
      <c r="B137" s="17" t="s">
        <v>472</v>
      </c>
      <c r="C137" s="8" t="s">
        <v>490</v>
      </c>
      <c r="D137" s="18">
        <v>8.3333333333333329E-2</v>
      </c>
      <c r="E137" s="8" t="s">
        <v>503</v>
      </c>
      <c r="F137" s="8" t="s">
        <v>504</v>
      </c>
      <c r="G137" s="19"/>
      <c r="H137" s="8">
        <v>42.4</v>
      </c>
      <c r="I137" s="8">
        <v>25.9</v>
      </c>
      <c r="J137" s="8">
        <v>31.6</v>
      </c>
      <c r="K137" s="8">
        <v>68.400000000000006</v>
      </c>
      <c r="L137" s="8">
        <v>57.6</v>
      </c>
      <c r="M137" s="8">
        <v>74.099999999999994</v>
      </c>
      <c r="N137" s="8">
        <v>38.4</v>
      </c>
      <c r="O137" s="8">
        <v>37.799999999999997</v>
      </c>
      <c r="P137" s="8">
        <v>23.8</v>
      </c>
      <c r="Q137" s="8">
        <v>77.8</v>
      </c>
      <c r="R137" s="8">
        <v>86</v>
      </c>
      <c r="S137" s="8">
        <v>65.5</v>
      </c>
      <c r="T137" s="8">
        <v>34.5</v>
      </c>
      <c r="U137" s="8">
        <v>40.1</v>
      </c>
      <c r="V137" s="8">
        <v>67.3</v>
      </c>
      <c r="W137" s="8">
        <v>32.700000000000003</v>
      </c>
      <c r="X137" t="str">
        <f>VLOOKUP(E137,'Transform table'!A:B,2,0)</f>
        <v>Melbourne City Reserves</v>
      </c>
      <c r="Y137" t="str">
        <f>VLOOKUP(F137,'Transform table'!A:B,2,0)</f>
        <v>Avondale Heights</v>
      </c>
      <c r="Z137" t="str">
        <f t="shared" si="2"/>
        <v>25/07/2026Melbourne City ReservesAvondale Heights</v>
      </c>
      <c r="AA137" t="str">
        <f>VLOOKUP($Z137,'oddspedia-matches'!$A:$AD,AA$2,0)</f>
        <v>2 - 3</v>
      </c>
      <c r="AB137" t="str">
        <f>VLOOKUP($Z137,'oddspedia-matches'!$A:$AD,AB$2,0)</f>
        <v>Red</v>
      </c>
      <c r="AC137" t="str">
        <f>VLOOKUP($Z137,'oddspedia-matches'!$A:$AD,AC$2,0)</f>
        <v>Red</v>
      </c>
      <c r="AD137" t="str">
        <f>VLOOKUP($Z137,'oddspedia-matches'!$A:$AD,AD$2,0)</f>
        <v>Green</v>
      </c>
      <c r="AE137" t="str">
        <f>VLOOKUP($Z137,'oddspedia-matches'!$A:$AD,AE$2,0)</f>
        <v>Red</v>
      </c>
      <c r="AF137" t="str">
        <f>VLOOKUP($Z137,'oddspedia-matches'!$A:$AD,AF$2,0)</f>
        <v>Green</v>
      </c>
      <c r="AG137" t="str">
        <f>VLOOKUP($Z137,'oddspedia-matches'!$A:$AD,AG$2,0)</f>
        <v>Green</v>
      </c>
      <c r="AH137" t="str">
        <f>VLOOKUP($Z137,'oddspedia-matches'!$A:$AD,AH$2,0)</f>
        <v>Green</v>
      </c>
      <c r="AI137" t="str">
        <f>VLOOKUP($Z137,'oddspedia-matches'!$A:$AD,AI$2,0)</f>
        <v>Red</v>
      </c>
      <c r="AJ137" t="str">
        <f>VLOOKUP($Z137,'oddspedia-matches'!$A:$AD,AJ$2,0)</f>
        <v>Red</v>
      </c>
      <c r="AK137" t="str">
        <f>VLOOKUP($Z137,'oddspedia-matches'!$A:$AD,AK$2,0)</f>
        <v>Green</v>
      </c>
      <c r="AL137" t="str">
        <f>VLOOKUP($Z137,'oddspedia-matches'!$A:$AD,AL$2,0)</f>
        <v>Green</v>
      </c>
      <c r="AM137" t="str">
        <f>VLOOKUP($Z137,'oddspedia-matches'!$A:$AD,AM$2,0)</f>
        <v>Green</v>
      </c>
      <c r="AN137" t="str">
        <f>VLOOKUP($Z137,'oddspedia-matches'!$A:$AD,AN$2,0)</f>
        <v>Red</v>
      </c>
      <c r="AO137" t="str">
        <f>VLOOKUP($Z137,'oddspedia-matches'!$A:$AD,AO$2,0)</f>
        <v>Red</v>
      </c>
      <c r="AP137" t="str">
        <f>VLOOKUP($Z137,'oddspedia-matches'!$A:$AD,AP$2,0)</f>
        <v>Green</v>
      </c>
      <c r="AQ137" t="str">
        <f>VLOOKUP($Z137,'oddspedia-matches'!$A:$AD,AQ$2,0)</f>
        <v>Red</v>
      </c>
    </row>
    <row r="138" spans="2:43" x14ac:dyDescent="0.2">
      <c r="B138" s="9" t="s">
        <v>498</v>
      </c>
      <c r="C138" s="7" t="s">
        <v>490</v>
      </c>
      <c r="D138" s="20">
        <v>0.10416666666666667</v>
      </c>
      <c r="E138" s="7" t="s">
        <v>505</v>
      </c>
      <c r="F138" s="7" t="s">
        <v>506</v>
      </c>
      <c r="G138" s="21"/>
      <c r="H138" s="7">
        <v>29.2</v>
      </c>
      <c r="I138" s="7">
        <v>28</v>
      </c>
      <c r="J138" s="7">
        <v>42.8</v>
      </c>
      <c r="K138" s="7">
        <v>57.2</v>
      </c>
      <c r="L138" s="7">
        <v>70.8</v>
      </c>
      <c r="M138" s="7">
        <v>72</v>
      </c>
      <c r="N138" s="7">
        <v>33</v>
      </c>
      <c r="O138" s="7">
        <v>39.4</v>
      </c>
      <c r="P138" s="7">
        <v>27.6</v>
      </c>
      <c r="Q138" s="7">
        <v>76</v>
      </c>
      <c r="R138" s="7">
        <v>79</v>
      </c>
      <c r="S138" s="7">
        <v>54.4</v>
      </c>
      <c r="T138" s="7">
        <v>45.6</v>
      </c>
      <c r="U138" s="7">
        <v>51.4</v>
      </c>
      <c r="V138" s="7">
        <v>58.6</v>
      </c>
      <c r="W138" s="7">
        <v>41.4</v>
      </c>
      <c r="X138" t="str">
        <f>VLOOKUP(E138,'Transform table'!A:B,2,0)</f>
        <v>Adelaide Comets</v>
      </c>
      <c r="Y138" t="str">
        <f>VLOOKUP(F138,'Transform table'!A:B,2,0)</f>
        <v>White City</v>
      </c>
      <c r="Z138" t="str">
        <f t="shared" si="2"/>
        <v>25/07/2026Adelaide CometsWhite City</v>
      </c>
      <c r="AA138" t="str">
        <f>VLOOKUP($Z138,'oddspedia-matches'!$A:$AD,AA$2,0)</f>
        <v>1 - 0</v>
      </c>
      <c r="AB138" t="str">
        <f>VLOOKUP($Z138,'oddspedia-matches'!$A:$AD,AB$2,0)</f>
        <v>Green</v>
      </c>
      <c r="AC138" t="str">
        <f>VLOOKUP($Z138,'oddspedia-matches'!$A:$AD,AC$2,0)</f>
        <v>Red</v>
      </c>
      <c r="AD138" t="str">
        <f>VLOOKUP($Z138,'oddspedia-matches'!$A:$AD,AD$2,0)</f>
        <v>Red</v>
      </c>
      <c r="AE138" t="str">
        <f>VLOOKUP($Z138,'oddspedia-matches'!$A:$AD,AE$2,0)</f>
        <v>Green</v>
      </c>
      <c r="AF138" t="str">
        <f>VLOOKUP($Z138,'oddspedia-matches'!$A:$AD,AF$2,0)</f>
        <v>Red</v>
      </c>
      <c r="AG138" t="str">
        <f>VLOOKUP($Z138,'oddspedia-matches'!$A:$AD,AG$2,0)</f>
        <v>Green</v>
      </c>
      <c r="AH138" t="str">
        <f>VLOOKUP($Z138,'oddspedia-matches'!$A:$AD,AH$2,0)</f>
        <v>Green</v>
      </c>
      <c r="AI138" t="str">
        <f>VLOOKUP($Z138,'oddspedia-matches'!$A:$AD,AI$2,0)</f>
        <v>Red</v>
      </c>
      <c r="AJ138" t="str">
        <f>VLOOKUP($Z138,'oddspedia-matches'!$A:$AD,AJ$2,0)</f>
        <v>Red</v>
      </c>
      <c r="AK138" t="str">
        <f>VLOOKUP($Z138,'oddspedia-matches'!$A:$AD,AK$2,0)</f>
        <v>Green</v>
      </c>
      <c r="AL138" t="str">
        <f>VLOOKUP($Z138,'oddspedia-matches'!$A:$AD,AL$2,0)</f>
        <v>Red</v>
      </c>
      <c r="AM138" t="str">
        <f>VLOOKUP($Z138,'oddspedia-matches'!$A:$AD,AM$2,0)</f>
        <v>Red</v>
      </c>
      <c r="AN138" t="str">
        <f>VLOOKUP($Z138,'oddspedia-matches'!$A:$AD,AN$2,0)</f>
        <v>Green</v>
      </c>
      <c r="AO138" t="str">
        <f>VLOOKUP($Z138,'oddspedia-matches'!$A:$AD,AO$2,0)</f>
        <v>Green</v>
      </c>
      <c r="AP138" t="str">
        <f>VLOOKUP($Z138,'oddspedia-matches'!$A:$AD,AP$2,0)</f>
        <v>Red</v>
      </c>
      <c r="AQ138" t="str">
        <f>VLOOKUP($Z138,'oddspedia-matches'!$A:$AD,AQ$2,0)</f>
        <v>Green</v>
      </c>
    </row>
    <row r="139" spans="2:43" x14ac:dyDescent="0.2">
      <c r="B139" s="17" t="s">
        <v>498</v>
      </c>
      <c r="C139" s="8" t="s">
        <v>490</v>
      </c>
      <c r="D139" s="18">
        <v>0.10416666666666667</v>
      </c>
      <c r="E139" s="8" t="s">
        <v>507</v>
      </c>
      <c r="F139" s="8" t="s">
        <v>508</v>
      </c>
      <c r="G139" s="19"/>
      <c r="H139" s="8">
        <v>46</v>
      </c>
      <c r="I139" s="8">
        <v>26.5</v>
      </c>
      <c r="J139" s="8">
        <v>27.5</v>
      </c>
      <c r="K139" s="8">
        <v>72.5</v>
      </c>
      <c r="L139" s="8">
        <v>54</v>
      </c>
      <c r="M139" s="8">
        <v>73.5</v>
      </c>
      <c r="N139" s="8">
        <v>34.1</v>
      </c>
      <c r="O139" s="8">
        <v>39.6</v>
      </c>
      <c r="P139" s="8">
        <v>26.2</v>
      </c>
      <c r="Q139" s="8">
        <v>75.5</v>
      </c>
      <c r="R139" s="8">
        <v>81.5</v>
      </c>
      <c r="S139" s="8">
        <v>58.2</v>
      </c>
      <c r="T139" s="8">
        <v>41.8</v>
      </c>
      <c r="U139" s="8">
        <v>47.7</v>
      </c>
      <c r="V139" s="8">
        <v>61</v>
      </c>
      <c r="W139" s="8">
        <v>39</v>
      </c>
      <c r="X139" t="str">
        <f>VLOOKUP(E139,'Transform table'!A:B,2,0)</f>
        <v>Adelaide United U21</v>
      </c>
      <c r="Y139" t="str">
        <f>VLOOKUP(F139,'Transform table'!A:B,2,0)</f>
        <v>Sturt Lions</v>
      </c>
      <c r="Z139" t="str">
        <f t="shared" si="2"/>
        <v>25/07/2026Adelaide United U21Sturt Lions</v>
      </c>
      <c r="AA139" t="str">
        <f>VLOOKUP($Z139,'oddspedia-matches'!$A:$AD,AA$2,0)</f>
        <v>2 - 3</v>
      </c>
      <c r="AB139" t="str">
        <f>VLOOKUP($Z139,'oddspedia-matches'!$A:$AD,AB$2,0)</f>
        <v>Red</v>
      </c>
      <c r="AC139" t="str">
        <f>VLOOKUP($Z139,'oddspedia-matches'!$A:$AD,AC$2,0)</f>
        <v>Red</v>
      </c>
      <c r="AD139" t="str">
        <f>VLOOKUP($Z139,'oddspedia-matches'!$A:$AD,AD$2,0)</f>
        <v>Green</v>
      </c>
      <c r="AE139" t="str">
        <f>VLOOKUP($Z139,'oddspedia-matches'!$A:$AD,AE$2,0)</f>
        <v>Red</v>
      </c>
      <c r="AF139" t="str">
        <f>VLOOKUP($Z139,'oddspedia-matches'!$A:$AD,AF$2,0)</f>
        <v>Green</v>
      </c>
      <c r="AG139" t="str">
        <f>VLOOKUP($Z139,'oddspedia-matches'!$A:$AD,AG$2,0)</f>
        <v>Green</v>
      </c>
      <c r="AH139" t="str">
        <f>VLOOKUP($Z139,'oddspedia-matches'!$A:$AD,AH$2,0)</f>
        <v>Red</v>
      </c>
      <c r="AI139" t="str">
        <f>VLOOKUP($Z139,'oddspedia-matches'!$A:$AD,AI$2,0)</f>
        <v>Red</v>
      </c>
      <c r="AJ139" t="str">
        <f>VLOOKUP($Z139,'oddspedia-matches'!$A:$AD,AJ$2,0)</f>
        <v>Green</v>
      </c>
      <c r="AK139" t="str">
        <f>VLOOKUP($Z139,'oddspedia-matches'!$A:$AD,AK$2,0)</f>
        <v>Green</v>
      </c>
      <c r="AL139" t="str">
        <f>VLOOKUP($Z139,'oddspedia-matches'!$A:$AD,AL$2,0)</f>
        <v>Green</v>
      </c>
      <c r="AM139" t="str">
        <f>VLOOKUP($Z139,'oddspedia-matches'!$A:$AD,AM$2,0)</f>
        <v>Green</v>
      </c>
      <c r="AN139" t="str">
        <f>VLOOKUP($Z139,'oddspedia-matches'!$A:$AD,AN$2,0)</f>
        <v>Red</v>
      </c>
      <c r="AO139" t="str">
        <f>VLOOKUP($Z139,'oddspedia-matches'!$A:$AD,AO$2,0)</f>
        <v>Red</v>
      </c>
      <c r="AP139" t="str">
        <f>VLOOKUP($Z139,'oddspedia-matches'!$A:$AD,AP$2,0)</f>
        <v>Green</v>
      </c>
      <c r="AQ139" t="str">
        <f>VLOOKUP($Z139,'oddspedia-matches'!$A:$AD,AQ$2,0)</f>
        <v>Red</v>
      </c>
    </row>
    <row r="140" spans="2:43" x14ac:dyDescent="0.2">
      <c r="B140" s="9" t="s">
        <v>498</v>
      </c>
      <c r="C140" s="7" t="s">
        <v>490</v>
      </c>
      <c r="D140" s="20">
        <v>0.10416666666666667</v>
      </c>
      <c r="E140" s="7" t="s">
        <v>509</v>
      </c>
      <c r="F140" s="7" t="s">
        <v>510</v>
      </c>
      <c r="G140" s="21"/>
      <c r="H140" s="7">
        <v>10.7</v>
      </c>
      <c r="I140" s="7">
        <v>24</v>
      </c>
      <c r="J140" s="7">
        <v>65.2</v>
      </c>
      <c r="K140" s="7">
        <v>34.799999999999997</v>
      </c>
      <c r="L140" s="7">
        <v>89.3</v>
      </c>
      <c r="M140" s="7">
        <v>76</v>
      </c>
      <c r="N140" s="7">
        <v>12.8</v>
      </c>
      <c r="O140" s="7">
        <v>33.1</v>
      </c>
      <c r="P140" s="7">
        <v>54.2</v>
      </c>
      <c r="Q140" s="7">
        <v>80.7</v>
      </c>
      <c r="R140" s="7">
        <v>91.5</v>
      </c>
      <c r="S140" s="7">
        <v>76.400000000000006</v>
      </c>
      <c r="T140" s="7">
        <v>23.6</v>
      </c>
      <c r="U140" s="7">
        <v>31.5</v>
      </c>
      <c r="V140" s="7">
        <v>66.2</v>
      </c>
      <c r="W140" s="7">
        <v>33.799999999999997</v>
      </c>
      <c r="X140" t="str">
        <f>VLOOKUP(E140,'Transform table'!A:B,2,0)</f>
        <v>Para Hills Knights</v>
      </c>
      <c r="Y140" t="str">
        <f>VLOOKUP(F140,'Transform table'!A:B,2,0)</f>
        <v>Playford City</v>
      </c>
      <c r="Z140" t="str">
        <f t="shared" si="2"/>
        <v>25/07/2026Para Hills KnightsPlayford City</v>
      </c>
      <c r="AA140" t="str">
        <f>VLOOKUP($Z140,'oddspedia-matches'!$A:$AD,AA$2,0)</f>
        <v>2 - 4</v>
      </c>
      <c r="AB140" t="str">
        <f>VLOOKUP($Z140,'oddspedia-matches'!$A:$AD,AB$2,0)</f>
        <v>Red</v>
      </c>
      <c r="AC140" t="str">
        <f>VLOOKUP($Z140,'oddspedia-matches'!$A:$AD,AC$2,0)</f>
        <v>Red</v>
      </c>
      <c r="AD140" t="str">
        <f>VLOOKUP($Z140,'oddspedia-matches'!$A:$AD,AD$2,0)</f>
        <v>Green</v>
      </c>
      <c r="AE140" t="str">
        <f>VLOOKUP($Z140,'oddspedia-matches'!$A:$AD,AE$2,0)</f>
        <v>Red</v>
      </c>
      <c r="AF140" t="str">
        <f>VLOOKUP($Z140,'oddspedia-matches'!$A:$AD,AF$2,0)</f>
        <v>Green</v>
      </c>
      <c r="AG140" t="str">
        <f>VLOOKUP($Z140,'oddspedia-matches'!$A:$AD,AG$2,0)</f>
        <v>Green</v>
      </c>
      <c r="AH140" t="str">
        <f>VLOOKUP($Z140,'oddspedia-matches'!$A:$AD,AH$2,0)</f>
        <v>Green</v>
      </c>
      <c r="AI140" t="str">
        <f>VLOOKUP($Z140,'oddspedia-matches'!$A:$AD,AI$2,0)</f>
        <v>Red</v>
      </c>
      <c r="AJ140" t="str">
        <f>VLOOKUP($Z140,'oddspedia-matches'!$A:$AD,AJ$2,0)</f>
        <v>Red</v>
      </c>
      <c r="AK140" t="str">
        <f>VLOOKUP($Z140,'oddspedia-matches'!$A:$AD,AK$2,0)</f>
        <v>Green</v>
      </c>
      <c r="AL140" t="str">
        <f>VLOOKUP($Z140,'oddspedia-matches'!$A:$AD,AL$2,0)</f>
        <v>Green</v>
      </c>
      <c r="AM140" t="str">
        <f>VLOOKUP($Z140,'oddspedia-matches'!$A:$AD,AM$2,0)</f>
        <v>Green</v>
      </c>
      <c r="AN140" t="str">
        <f>VLOOKUP($Z140,'oddspedia-matches'!$A:$AD,AN$2,0)</f>
        <v>Red</v>
      </c>
      <c r="AO140" t="str">
        <f>VLOOKUP($Z140,'oddspedia-matches'!$A:$AD,AO$2,0)</f>
        <v>Red</v>
      </c>
      <c r="AP140" t="str">
        <f>VLOOKUP($Z140,'oddspedia-matches'!$A:$AD,AP$2,0)</f>
        <v>Green</v>
      </c>
      <c r="AQ140" t="str">
        <f>VLOOKUP($Z140,'oddspedia-matches'!$A:$AD,AQ$2,0)</f>
        <v>Red</v>
      </c>
    </row>
    <row r="141" spans="2:43" x14ac:dyDescent="0.2">
      <c r="B141" s="17" t="s">
        <v>445</v>
      </c>
      <c r="C141" s="8" t="s">
        <v>490</v>
      </c>
      <c r="D141" s="18">
        <v>0.14583333333333334</v>
      </c>
      <c r="E141" s="8" t="s">
        <v>511</v>
      </c>
      <c r="F141" s="8" t="s">
        <v>512</v>
      </c>
      <c r="G141" s="19"/>
      <c r="H141" s="8">
        <v>49</v>
      </c>
      <c r="I141" s="8">
        <v>25.1</v>
      </c>
      <c r="J141" s="8">
        <v>25.9</v>
      </c>
      <c r="K141" s="8">
        <v>74.099999999999994</v>
      </c>
      <c r="L141" s="8">
        <v>51</v>
      </c>
      <c r="M141" s="8">
        <v>74.900000000000006</v>
      </c>
      <c r="N141" s="8">
        <v>30.6</v>
      </c>
      <c r="O141" s="8">
        <v>41.7</v>
      </c>
      <c r="P141" s="8">
        <v>27.7</v>
      </c>
      <c r="Q141" s="8">
        <v>72.5</v>
      </c>
      <c r="R141" s="8">
        <v>86.9</v>
      </c>
      <c r="S141" s="8">
        <v>67.2</v>
      </c>
      <c r="T141" s="8">
        <v>32.799999999999997</v>
      </c>
      <c r="U141" s="8">
        <v>38.700000000000003</v>
      </c>
      <c r="V141" s="8">
        <v>67.400000000000006</v>
      </c>
      <c r="W141" s="8">
        <v>32.6</v>
      </c>
      <c r="X141" t="str">
        <f>VLOOKUP(E141,'Transform table'!A:B,2,0)</f>
        <v>Belconnen United</v>
      </c>
      <c r="Y141" t="str">
        <f>VLOOKUP(F141,'Transform table'!A:B,2,0)</f>
        <v>O'Connor Knights</v>
      </c>
      <c r="Z141" t="str">
        <f t="shared" si="2"/>
        <v>25/07/2026Belconnen UnitedO'Connor Knights</v>
      </c>
      <c r="AA141" t="str">
        <f>VLOOKUP($Z141,'oddspedia-matches'!$A:$AD,AA$2,0)</f>
        <v>1 - 1</v>
      </c>
      <c r="AB141" t="str">
        <f>VLOOKUP($Z141,'oddspedia-matches'!$A:$AD,AB$2,0)</f>
        <v>Red</v>
      </c>
      <c r="AC141" t="str">
        <f>VLOOKUP($Z141,'oddspedia-matches'!$A:$AD,AC$2,0)</f>
        <v>Green</v>
      </c>
      <c r="AD141" t="str">
        <f>VLOOKUP($Z141,'oddspedia-matches'!$A:$AD,AD$2,0)</f>
        <v>Red</v>
      </c>
      <c r="AE141" t="str">
        <f>VLOOKUP($Z141,'oddspedia-matches'!$A:$AD,AE$2,0)</f>
        <v>Green</v>
      </c>
      <c r="AF141" t="str">
        <f>VLOOKUP($Z141,'oddspedia-matches'!$A:$AD,AF$2,0)</f>
        <v>Green</v>
      </c>
      <c r="AG141" t="str">
        <f>VLOOKUP($Z141,'oddspedia-matches'!$A:$AD,AG$2,0)</f>
        <v>Red</v>
      </c>
      <c r="AH141" t="str">
        <f>VLOOKUP($Z141,'oddspedia-matches'!$A:$AD,AH$2,0)</f>
        <v>Green</v>
      </c>
      <c r="AI141" t="str">
        <f>VLOOKUP($Z141,'oddspedia-matches'!$A:$AD,AI$2,0)</f>
        <v>Red</v>
      </c>
      <c r="AJ141" t="str">
        <f>VLOOKUP($Z141,'oddspedia-matches'!$A:$AD,AJ$2,0)</f>
        <v>Red</v>
      </c>
      <c r="AK141" t="str">
        <f>VLOOKUP($Z141,'oddspedia-matches'!$A:$AD,AK$2,0)</f>
        <v>Green</v>
      </c>
      <c r="AL141" t="str">
        <f>VLOOKUP($Z141,'oddspedia-matches'!$A:$AD,AL$2,0)</f>
        <v>Green</v>
      </c>
      <c r="AM141" t="str">
        <f>VLOOKUP($Z141,'oddspedia-matches'!$A:$AD,AM$2,0)</f>
        <v>Red</v>
      </c>
      <c r="AN141" t="str">
        <f>VLOOKUP($Z141,'oddspedia-matches'!$A:$AD,AN$2,0)</f>
        <v>Green</v>
      </c>
      <c r="AO141" t="str">
        <f>VLOOKUP($Z141,'oddspedia-matches'!$A:$AD,AO$2,0)</f>
        <v>Green</v>
      </c>
      <c r="AP141" t="str">
        <f>VLOOKUP($Z141,'oddspedia-matches'!$A:$AD,AP$2,0)</f>
        <v>Green</v>
      </c>
      <c r="AQ141" t="str">
        <f>VLOOKUP($Z141,'oddspedia-matches'!$A:$AD,AQ$2,0)</f>
        <v>Red</v>
      </c>
    </row>
    <row r="142" spans="2:43" x14ac:dyDescent="0.2">
      <c r="B142" s="9" t="s">
        <v>463</v>
      </c>
      <c r="C142" s="7" t="s">
        <v>490</v>
      </c>
      <c r="D142" s="20">
        <v>0.14583333333333334</v>
      </c>
      <c r="E142" s="7" t="s">
        <v>513</v>
      </c>
      <c r="F142" s="7" t="s">
        <v>514</v>
      </c>
      <c r="G142" s="21"/>
      <c r="H142" s="7">
        <v>36</v>
      </c>
      <c r="I142" s="7">
        <v>25.7</v>
      </c>
      <c r="J142" s="7">
        <v>38.299999999999997</v>
      </c>
      <c r="K142" s="7">
        <v>61.7</v>
      </c>
      <c r="L142" s="7">
        <v>64</v>
      </c>
      <c r="M142" s="7">
        <v>74.3</v>
      </c>
      <c r="N142" s="7">
        <v>33.5</v>
      </c>
      <c r="O142" s="7">
        <v>34.4</v>
      </c>
      <c r="P142" s="7">
        <v>32.1</v>
      </c>
      <c r="Q142" s="7">
        <v>84</v>
      </c>
      <c r="R142" s="7">
        <v>89.1</v>
      </c>
      <c r="S142" s="7">
        <v>71.3</v>
      </c>
      <c r="T142" s="7">
        <v>28.7</v>
      </c>
      <c r="U142" s="7">
        <v>33.9</v>
      </c>
      <c r="V142" s="7">
        <v>72.099999999999994</v>
      </c>
      <c r="W142" s="7">
        <v>27.9</v>
      </c>
      <c r="X142" t="str">
        <f>VLOOKUP(E142,'Transform table'!A:B,2,0)</f>
        <v>Maitland FC</v>
      </c>
      <c r="Y142" t="str">
        <f>VLOOKUP(F142,'Transform table'!A:B,2,0)</f>
        <v>Broadmeadow Magic</v>
      </c>
      <c r="Z142" t="str">
        <f t="shared" si="2"/>
        <v>25/07/2026Maitland FCBroadmeadow Magic</v>
      </c>
      <c r="AA142" t="str">
        <f>VLOOKUP($Z142,'oddspedia-matches'!$A:$AD,AA$2,0)</f>
        <v>0 - 1</v>
      </c>
      <c r="AB142" t="str">
        <f>VLOOKUP($Z142,'oddspedia-matches'!$A:$AD,AB$2,0)</f>
        <v>Red</v>
      </c>
      <c r="AC142" t="str">
        <f>VLOOKUP($Z142,'oddspedia-matches'!$A:$AD,AC$2,0)</f>
        <v>Red</v>
      </c>
      <c r="AD142" t="str">
        <f>VLOOKUP($Z142,'oddspedia-matches'!$A:$AD,AD$2,0)</f>
        <v>Green</v>
      </c>
      <c r="AE142" t="str">
        <f>VLOOKUP($Z142,'oddspedia-matches'!$A:$AD,AE$2,0)</f>
        <v>Red</v>
      </c>
      <c r="AF142" t="str">
        <f>VLOOKUP($Z142,'oddspedia-matches'!$A:$AD,AF$2,0)</f>
        <v>Green</v>
      </c>
      <c r="AG142" t="str">
        <f>VLOOKUP($Z142,'oddspedia-matches'!$A:$AD,AG$2,0)</f>
        <v>Green</v>
      </c>
      <c r="AH142" t="str">
        <f>VLOOKUP($Z142,'oddspedia-matches'!$A:$AD,AH$2,0)</f>
        <v>Red</v>
      </c>
      <c r="AI142" t="str">
        <f>VLOOKUP($Z142,'oddspedia-matches'!$A:$AD,AI$2,0)</f>
        <v>Green</v>
      </c>
      <c r="AJ142" t="str">
        <f>VLOOKUP($Z142,'oddspedia-matches'!$A:$AD,AJ$2,0)</f>
        <v>Red</v>
      </c>
      <c r="AK142" t="str">
        <f>VLOOKUP($Z142,'oddspedia-matches'!$A:$AD,AK$2,0)</f>
        <v>Red</v>
      </c>
      <c r="AL142" t="str">
        <f>VLOOKUP($Z142,'oddspedia-matches'!$A:$AD,AL$2,0)</f>
        <v>Red</v>
      </c>
      <c r="AM142" t="str">
        <f>VLOOKUP($Z142,'oddspedia-matches'!$A:$AD,AM$2,0)</f>
        <v>Red</v>
      </c>
      <c r="AN142" t="str">
        <f>VLOOKUP($Z142,'oddspedia-matches'!$A:$AD,AN$2,0)</f>
        <v>Green</v>
      </c>
      <c r="AO142" t="str">
        <f>VLOOKUP($Z142,'oddspedia-matches'!$A:$AD,AO$2,0)</f>
        <v>Green</v>
      </c>
      <c r="AP142" t="str">
        <f>VLOOKUP($Z142,'oddspedia-matches'!$A:$AD,AP$2,0)</f>
        <v>Red</v>
      </c>
      <c r="AQ142" t="str">
        <f>VLOOKUP($Z142,'oddspedia-matches'!$A:$AD,AQ$2,0)</f>
        <v>Green</v>
      </c>
    </row>
    <row r="143" spans="2:43" x14ac:dyDescent="0.2">
      <c r="B143" s="17" t="s">
        <v>463</v>
      </c>
      <c r="C143" s="8" t="s">
        <v>490</v>
      </c>
      <c r="D143" s="18">
        <v>0.14583333333333334</v>
      </c>
      <c r="E143" s="8" t="s">
        <v>515</v>
      </c>
      <c r="F143" s="8" t="s">
        <v>516</v>
      </c>
      <c r="G143" s="19"/>
      <c r="H143" s="8">
        <v>48.3</v>
      </c>
      <c r="I143" s="8">
        <v>24.9</v>
      </c>
      <c r="J143" s="8">
        <v>26.8</v>
      </c>
      <c r="K143" s="8">
        <v>73.2</v>
      </c>
      <c r="L143" s="8">
        <v>51.7</v>
      </c>
      <c r="M143" s="8">
        <v>75.099999999999994</v>
      </c>
      <c r="N143" s="8">
        <v>37.799999999999997</v>
      </c>
      <c r="O143" s="8">
        <v>35.5</v>
      </c>
      <c r="P143" s="8">
        <v>26.7</v>
      </c>
      <c r="Q143" s="8">
        <v>81.7</v>
      </c>
      <c r="R143" s="8">
        <v>89.1</v>
      </c>
      <c r="S143" s="8">
        <v>71.2</v>
      </c>
      <c r="T143" s="8">
        <v>28.8</v>
      </c>
      <c r="U143" s="8">
        <v>34.4</v>
      </c>
      <c r="V143" s="8">
        <v>70.8</v>
      </c>
      <c r="W143" s="8">
        <v>29.2</v>
      </c>
      <c r="X143" t="str">
        <f>VLOOKUP(E143,'Transform table'!A:B,2,0)</f>
        <v>Valentine Phoenix</v>
      </c>
      <c r="Y143" t="str">
        <f>VLOOKUP(F143,'Transform table'!A:B,2,0)</f>
        <v>Charlestown City Blues</v>
      </c>
      <c r="Z143" t="str">
        <f t="shared" si="2"/>
        <v>25/07/2026Valentine PhoenixCharlestown City Blues</v>
      </c>
      <c r="AA143" t="str">
        <f>VLOOKUP($Z143,'oddspedia-matches'!$A:$AD,AA$2,0)</f>
        <v>1 - 0</v>
      </c>
      <c r="AB143" t="str">
        <f>VLOOKUP($Z143,'oddspedia-matches'!$A:$AD,AB$2,0)</f>
        <v>Green</v>
      </c>
      <c r="AC143" t="str">
        <f>VLOOKUP($Z143,'oddspedia-matches'!$A:$AD,AC$2,0)</f>
        <v>Red</v>
      </c>
      <c r="AD143" t="str">
        <f>VLOOKUP($Z143,'oddspedia-matches'!$A:$AD,AD$2,0)</f>
        <v>Red</v>
      </c>
      <c r="AE143" t="str">
        <f>VLOOKUP($Z143,'oddspedia-matches'!$A:$AD,AE$2,0)</f>
        <v>Green</v>
      </c>
      <c r="AF143" t="str">
        <f>VLOOKUP($Z143,'oddspedia-matches'!$A:$AD,AF$2,0)</f>
        <v>Red</v>
      </c>
      <c r="AG143" t="str">
        <f>VLOOKUP($Z143,'oddspedia-matches'!$A:$AD,AG$2,0)</f>
        <v>Green</v>
      </c>
      <c r="AH143" t="str">
        <f>VLOOKUP($Z143,'oddspedia-matches'!$A:$AD,AH$2,0)</f>
        <v>Red</v>
      </c>
      <c r="AI143" t="str">
        <f>VLOOKUP($Z143,'oddspedia-matches'!$A:$AD,AI$2,0)</f>
        <v>Green</v>
      </c>
      <c r="AJ143" t="str">
        <f>VLOOKUP($Z143,'oddspedia-matches'!$A:$AD,AJ$2,0)</f>
        <v>Red</v>
      </c>
      <c r="AK143" t="str">
        <f>VLOOKUP($Z143,'oddspedia-matches'!$A:$AD,AK$2,0)</f>
        <v>Red</v>
      </c>
      <c r="AL143" t="str">
        <f>VLOOKUP($Z143,'oddspedia-matches'!$A:$AD,AL$2,0)</f>
        <v>Red</v>
      </c>
      <c r="AM143" t="str">
        <f>VLOOKUP($Z143,'oddspedia-matches'!$A:$AD,AM$2,0)</f>
        <v>Red</v>
      </c>
      <c r="AN143" t="str">
        <f>VLOOKUP($Z143,'oddspedia-matches'!$A:$AD,AN$2,0)</f>
        <v>Green</v>
      </c>
      <c r="AO143" t="str">
        <f>VLOOKUP($Z143,'oddspedia-matches'!$A:$AD,AO$2,0)</f>
        <v>Green</v>
      </c>
      <c r="AP143" t="str">
        <f>VLOOKUP($Z143,'oddspedia-matches'!$A:$AD,AP$2,0)</f>
        <v>Red</v>
      </c>
      <c r="AQ143" t="str">
        <f>VLOOKUP($Z143,'oddspedia-matches'!$A:$AD,AQ$2,0)</f>
        <v>Green</v>
      </c>
    </row>
    <row r="144" spans="2:43" x14ac:dyDescent="0.2">
      <c r="B144" s="9" t="s">
        <v>471</v>
      </c>
      <c r="C144" s="7" t="s">
        <v>490</v>
      </c>
      <c r="D144" s="20">
        <v>0.16666666666666666</v>
      </c>
      <c r="E144" s="7" t="s">
        <v>517</v>
      </c>
      <c r="F144" s="7" t="s">
        <v>518</v>
      </c>
      <c r="G144" s="21"/>
      <c r="H144" s="7">
        <v>27.1</v>
      </c>
      <c r="I144" s="7">
        <v>28.9</v>
      </c>
      <c r="J144" s="7">
        <v>44</v>
      </c>
      <c r="K144" s="7">
        <v>56</v>
      </c>
      <c r="L144" s="7">
        <v>72.900000000000006</v>
      </c>
      <c r="M144" s="7">
        <v>71.099999999999994</v>
      </c>
      <c r="N144" s="7">
        <v>24.5</v>
      </c>
      <c r="O144" s="7">
        <v>42.5</v>
      </c>
      <c r="P144" s="7">
        <v>33</v>
      </c>
      <c r="Q144" s="7">
        <v>71.3</v>
      </c>
      <c r="R144" s="7">
        <v>75.7</v>
      </c>
      <c r="S144" s="7">
        <v>49.8</v>
      </c>
      <c r="T144" s="7">
        <v>50.2</v>
      </c>
      <c r="U144" s="7">
        <v>56.1</v>
      </c>
      <c r="V144" s="7">
        <v>54.6</v>
      </c>
      <c r="W144" s="7">
        <v>45.4</v>
      </c>
      <c r="X144" t="str">
        <f>VLOOKUP(E144,'Transform table'!A:B,2,0)</f>
        <v>SD Raiders FC</v>
      </c>
      <c r="Y144" t="str">
        <f>VLOOKUP(F144,'Transform table'!A:B,2,0)</f>
        <v>Marconi Stallions</v>
      </c>
      <c r="Z144" t="str">
        <f t="shared" si="2"/>
        <v>25/07/2026SD Raiders FCMarconi Stallions</v>
      </c>
      <c r="AA144" t="str">
        <f>VLOOKUP($Z144,'oddspedia-matches'!$A:$AD,AA$2,0)</f>
        <v>2 - 1</v>
      </c>
      <c r="AB144" t="str">
        <f>VLOOKUP($Z144,'oddspedia-matches'!$A:$AD,AB$2,0)</f>
        <v>Green</v>
      </c>
      <c r="AC144" t="str">
        <f>VLOOKUP($Z144,'oddspedia-matches'!$A:$AD,AC$2,0)</f>
        <v>Red</v>
      </c>
      <c r="AD144" t="str">
        <f>VLOOKUP($Z144,'oddspedia-matches'!$A:$AD,AD$2,0)</f>
        <v>Red</v>
      </c>
      <c r="AE144" t="str">
        <f>VLOOKUP($Z144,'oddspedia-matches'!$A:$AD,AE$2,0)</f>
        <v>Green</v>
      </c>
      <c r="AF144" t="str">
        <f>VLOOKUP($Z144,'oddspedia-matches'!$A:$AD,AF$2,0)</f>
        <v>Red</v>
      </c>
      <c r="AG144" t="str">
        <f>VLOOKUP($Z144,'oddspedia-matches'!$A:$AD,AG$2,0)</f>
        <v>Green</v>
      </c>
      <c r="AH144" t="str">
        <f>VLOOKUP($Z144,'oddspedia-matches'!$A:$AD,AH$2,0)</f>
        <v>Red</v>
      </c>
      <c r="AI144" t="str">
        <f>VLOOKUP($Z144,'oddspedia-matches'!$A:$AD,AI$2,0)</f>
        <v>Red</v>
      </c>
      <c r="AJ144" t="str">
        <f>VLOOKUP($Z144,'oddspedia-matches'!$A:$AD,AJ$2,0)</f>
        <v>Green</v>
      </c>
      <c r="AK144" t="str">
        <f>VLOOKUP($Z144,'oddspedia-matches'!$A:$AD,AK$2,0)</f>
        <v>Green</v>
      </c>
      <c r="AL144" t="str">
        <f>VLOOKUP($Z144,'oddspedia-matches'!$A:$AD,AL$2,0)</f>
        <v>Green</v>
      </c>
      <c r="AM144" t="str">
        <f>VLOOKUP($Z144,'oddspedia-matches'!$A:$AD,AM$2,0)</f>
        <v>Green</v>
      </c>
      <c r="AN144" t="str">
        <f>VLOOKUP($Z144,'oddspedia-matches'!$A:$AD,AN$2,0)</f>
        <v>Red</v>
      </c>
      <c r="AO144" t="str">
        <f>VLOOKUP($Z144,'oddspedia-matches'!$A:$AD,AO$2,0)</f>
        <v>Green</v>
      </c>
      <c r="AP144" t="str">
        <f>VLOOKUP($Z144,'oddspedia-matches'!$A:$AD,AP$2,0)</f>
        <v>Green</v>
      </c>
      <c r="AQ144" t="str">
        <f>VLOOKUP($Z144,'oddspedia-matches'!$A:$AD,AQ$2,0)</f>
        <v>Red</v>
      </c>
    </row>
    <row r="145" spans="2:43" x14ac:dyDescent="0.2">
      <c r="B145" s="17" t="s">
        <v>472</v>
      </c>
      <c r="C145" s="8" t="s">
        <v>490</v>
      </c>
      <c r="D145" s="18">
        <v>0.16666666666666666</v>
      </c>
      <c r="E145" s="8" t="s">
        <v>519</v>
      </c>
      <c r="F145" s="8" t="s">
        <v>520</v>
      </c>
      <c r="G145" s="19"/>
      <c r="H145" s="8">
        <v>39.6</v>
      </c>
      <c r="I145" s="8">
        <v>27</v>
      </c>
      <c r="J145" s="8">
        <v>33.4</v>
      </c>
      <c r="K145" s="8">
        <v>66.599999999999994</v>
      </c>
      <c r="L145" s="8">
        <v>60.4</v>
      </c>
      <c r="M145" s="8">
        <v>73</v>
      </c>
      <c r="N145" s="8">
        <v>32.1</v>
      </c>
      <c r="O145" s="8">
        <v>41.3</v>
      </c>
      <c r="P145" s="8">
        <v>26.6</v>
      </c>
      <c r="Q145" s="8">
        <v>73.099999999999994</v>
      </c>
      <c r="R145" s="8">
        <v>82.1</v>
      </c>
      <c r="S145" s="8">
        <v>59.1</v>
      </c>
      <c r="T145" s="8">
        <v>40.9</v>
      </c>
      <c r="U145" s="8">
        <v>46.5</v>
      </c>
      <c r="V145" s="8">
        <v>62.7</v>
      </c>
      <c r="W145" s="8">
        <v>37.299999999999997</v>
      </c>
      <c r="X145" t="str">
        <f>VLOOKUP(E145,'Transform table'!A:B,2,0)</f>
        <v>Dandenong Thunder</v>
      </c>
      <c r="Y145" t="str">
        <f>VLOOKUP(F145,'Transform table'!A:B,2,0)</f>
        <v>Altona Magic</v>
      </c>
      <c r="Z145" t="str">
        <f t="shared" si="2"/>
        <v>25/07/2026Dandenong ThunderAltona Magic</v>
      </c>
      <c r="AA145" t="str">
        <f>VLOOKUP($Z145,'oddspedia-matches'!$A:$AD,AA$2,0)</f>
        <v>0 - 2</v>
      </c>
      <c r="AB145" t="str">
        <f>VLOOKUP($Z145,'oddspedia-matches'!$A:$AD,AB$2,0)</f>
        <v>Red</v>
      </c>
      <c r="AC145" t="str">
        <f>VLOOKUP($Z145,'oddspedia-matches'!$A:$AD,AC$2,0)</f>
        <v>Red</v>
      </c>
      <c r="AD145" t="str">
        <f>VLOOKUP($Z145,'oddspedia-matches'!$A:$AD,AD$2,0)</f>
        <v>Green</v>
      </c>
      <c r="AE145" t="str">
        <f>VLOOKUP($Z145,'oddspedia-matches'!$A:$AD,AE$2,0)</f>
        <v>Red</v>
      </c>
      <c r="AF145" t="str">
        <f>VLOOKUP($Z145,'oddspedia-matches'!$A:$AD,AF$2,0)</f>
        <v>Green</v>
      </c>
      <c r="AG145" t="str">
        <f>VLOOKUP($Z145,'oddspedia-matches'!$A:$AD,AG$2,0)</f>
        <v>Green</v>
      </c>
      <c r="AH145" t="str">
        <f>VLOOKUP($Z145,'oddspedia-matches'!$A:$AD,AH$2,0)</f>
        <v>Red</v>
      </c>
      <c r="AI145" t="str">
        <f>VLOOKUP($Z145,'oddspedia-matches'!$A:$AD,AI$2,0)</f>
        <v>Green</v>
      </c>
      <c r="AJ145" t="str">
        <f>VLOOKUP($Z145,'oddspedia-matches'!$A:$AD,AJ$2,0)</f>
        <v>Red</v>
      </c>
      <c r="AK145" t="str">
        <f>VLOOKUP($Z145,'oddspedia-matches'!$A:$AD,AK$2,0)</f>
        <v>Red</v>
      </c>
      <c r="AL145" t="str">
        <f>VLOOKUP($Z145,'oddspedia-matches'!$A:$AD,AL$2,0)</f>
        <v>Green</v>
      </c>
      <c r="AM145" t="str">
        <f>VLOOKUP($Z145,'oddspedia-matches'!$A:$AD,AM$2,0)</f>
        <v>Red</v>
      </c>
      <c r="AN145" t="str">
        <f>VLOOKUP($Z145,'oddspedia-matches'!$A:$AD,AN$2,0)</f>
        <v>Green</v>
      </c>
      <c r="AO145" t="str">
        <f>VLOOKUP($Z145,'oddspedia-matches'!$A:$AD,AO$2,0)</f>
        <v>Green</v>
      </c>
      <c r="AP145" t="str">
        <f>VLOOKUP($Z145,'oddspedia-matches'!$A:$AD,AP$2,0)</f>
        <v>Red</v>
      </c>
      <c r="AQ145" t="str">
        <f>VLOOKUP($Z145,'oddspedia-matches'!$A:$AD,AQ$2,0)</f>
        <v>Green</v>
      </c>
    </row>
    <row r="146" spans="2:43" x14ac:dyDescent="0.2">
      <c r="B146" s="9" t="s">
        <v>521</v>
      </c>
      <c r="C146" s="7" t="s">
        <v>490</v>
      </c>
      <c r="D146" s="20">
        <v>0.16666666666666666</v>
      </c>
      <c r="E146" s="7" t="s">
        <v>522</v>
      </c>
      <c r="F146" s="7" t="s">
        <v>523</v>
      </c>
      <c r="G146" s="21"/>
      <c r="H146" s="7">
        <v>45.5</v>
      </c>
      <c r="I146" s="7">
        <v>25.2</v>
      </c>
      <c r="J146" s="7">
        <v>29.3</v>
      </c>
      <c r="K146" s="7">
        <v>70.7</v>
      </c>
      <c r="L146" s="7">
        <v>54.5</v>
      </c>
      <c r="M146" s="7">
        <v>74.8</v>
      </c>
      <c r="N146" s="7">
        <v>39.299999999999997</v>
      </c>
      <c r="O146" s="7">
        <v>35.6</v>
      </c>
      <c r="P146" s="7">
        <v>25.1</v>
      </c>
      <c r="Q146" s="7">
        <v>81.3</v>
      </c>
      <c r="R146" s="7">
        <v>89.1</v>
      </c>
      <c r="S146" s="7">
        <v>71.2</v>
      </c>
      <c r="T146" s="7">
        <v>28.8</v>
      </c>
      <c r="U146" s="7">
        <v>34.200000000000003</v>
      </c>
      <c r="V146" s="7">
        <v>71.400000000000006</v>
      </c>
      <c r="W146" s="7">
        <v>28.6</v>
      </c>
      <c r="X146" t="str">
        <f>VLOOKUP(E146,'Transform table'!A:B,2,0)</f>
        <v>Perth Glory U21</v>
      </c>
      <c r="Y146" t="str">
        <f>VLOOKUP(F146,'Transform table'!A:B,2,0)</f>
        <v>Dianella White Eagles</v>
      </c>
      <c r="Z146" t="str">
        <f t="shared" si="2"/>
        <v>25/07/2026Perth Glory U21Dianella White Eagles</v>
      </c>
      <c r="AA146" t="str">
        <f>VLOOKUP($Z146,'oddspedia-matches'!$A:$AD,AA$2,0)</f>
        <v>4 - 0</v>
      </c>
      <c r="AB146" t="str">
        <f>VLOOKUP($Z146,'oddspedia-matches'!$A:$AD,AB$2,0)</f>
        <v>Green</v>
      </c>
      <c r="AC146" t="str">
        <f>VLOOKUP($Z146,'oddspedia-matches'!$A:$AD,AC$2,0)</f>
        <v>Red</v>
      </c>
      <c r="AD146" t="str">
        <f>VLOOKUP($Z146,'oddspedia-matches'!$A:$AD,AD$2,0)</f>
        <v>Red</v>
      </c>
      <c r="AE146" t="str">
        <f>VLOOKUP($Z146,'oddspedia-matches'!$A:$AD,AE$2,0)</f>
        <v>Green</v>
      </c>
      <c r="AF146" t="str">
        <f>VLOOKUP($Z146,'oddspedia-matches'!$A:$AD,AF$2,0)</f>
        <v>Red</v>
      </c>
      <c r="AG146" t="str">
        <f>VLOOKUP($Z146,'oddspedia-matches'!$A:$AD,AG$2,0)</f>
        <v>Green</v>
      </c>
      <c r="AH146" t="str">
        <f>VLOOKUP($Z146,'oddspedia-matches'!$A:$AD,AH$2,0)</f>
        <v>Green</v>
      </c>
      <c r="AI146" t="str">
        <f>VLOOKUP($Z146,'oddspedia-matches'!$A:$AD,AI$2,0)</f>
        <v>Red</v>
      </c>
      <c r="AJ146" t="str">
        <f>VLOOKUP($Z146,'oddspedia-matches'!$A:$AD,AJ$2,0)</f>
        <v>Red</v>
      </c>
      <c r="AK146" t="str">
        <f>VLOOKUP($Z146,'oddspedia-matches'!$A:$AD,AK$2,0)</f>
        <v>Green</v>
      </c>
      <c r="AL146" t="str">
        <f>VLOOKUP($Z146,'oddspedia-matches'!$A:$AD,AL$2,0)</f>
        <v>Green</v>
      </c>
      <c r="AM146" t="str">
        <f>VLOOKUP($Z146,'oddspedia-matches'!$A:$AD,AM$2,0)</f>
        <v>Green</v>
      </c>
      <c r="AN146" t="str">
        <f>VLOOKUP($Z146,'oddspedia-matches'!$A:$AD,AN$2,0)</f>
        <v>Red</v>
      </c>
      <c r="AO146" t="str">
        <f>VLOOKUP($Z146,'oddspedia-matches'!$A:$AD,AO$2,0)</f>
        <v>Red</v>
      </c>
      <c r="AP146" t="str">
        <f>VLOOKUP($Z146,'oddspedia-matches'!$A:$AD,AP$2,0)</f>
        <v>Red</v>
      </c>
      <c r="AQ146" t="str">
        <f>VLOOKUP($Z146,'oddspedia-matches'!$A:$AD,AQ$2,0)</f>
        <v>Green</v>
      </c>
    </row>
    <row r="147" spans="2:43" x14ac:dyDescent="0.2">
      <c r="B147" s="17" t="s">
        <v>521</v>
      </c>
      <c r="C147" s="8" t="s">
        <v>490</v>
      </c>
      <c r="D147" s="18">
        <v>0.16666666666666666</v>
      </c>
      <c r="E147" s="8" t="s">
        <v>524</v>
      </c>
      <c r="F147" s="8" t="s">
        <v>525</v>
      </c>
      <c r="G147" s="19"/>
      <c r="H147" s="8">
        <v>60</v>
      </c>
      <c r="I147" s="8">
        <v>23.3</v>
      </c>
      <c r="J147" s="8">
        <v>16.7</v>
      </c>
      <c r="K147" s="8">
        <v>83.3</v>
      </c>
      <c r="L147" s="8">
        <v>40</v>
      </c>
      <c r="M147" s="8">
        <v>76.7</v>
      </c>
      <c r="N147" s="8">
        <v>56.5</v>
      </c>
      <c r="O147" s="8">
        <v>30.6</v>
      </c>
      <c r="P147" s="8">
        <v>12.9</v>
      </c>
      <c r="Q147" s="8">
        <v>82.7</v>
      </c>
      <c r="R147" s="8">
        <v>88.7</v>
      </c>
      <c r="S147" s="8">
        <v>70.7</v>
      </c>
      <c r="T147" s="8">
        <v>29.3</v>
      </c>
      <c r="U147" s="8">
        <v>36.4</v>
      </c>
      <c r="V147" s="8">
        <v>66</v>
      </c>
      <c r="W147" s="8">
        <v>34</v>
      </c>
      <c r="X147" t="str">
        <f>VLOOKUP(E147,'Transform table'!A:B,2,0)</f>
        <v>Perth RedStar</v>
      </c>
      <c r="Y147" t="str">
        <f>VLOOKUP(F147,'Transform table'!A:B,2,0)</f>
        <v>Balcatta</v>
      </c>
      <c r="Z147" t="str">
        <f t="shared" si="2"/>
        <v>25/07/2026Perth RedStarBalcatta</v>
      </c>
      <c r="AA147" t="str">
        <f>VLOOKUP($Z147,'oddspedia-matches'!$A:$AD,AA$2,0)</f>
        <v>0 - 0</v>
      </c>
      <c r="AB147" t="str">
        <f>VLOOKUP($Z147,'oddspedia-matches'!$A:$AD,AB$2,0)</f>
        <v>Red</v>
      </c>
      <c r="AC147" t="str">
        <f>VLOOKUP($Z147,'oddspedia-matches'!$A:$AD,AC$2,0)</f>
        <v>Green</v>
      </c>
      <c r="AD147" t="str">
        <f>VLOOKUP($Z147,'oddspedia-matches'!$A:$AD,AD$2,0)</f>
        <v>Red</v>
      </c>
      <c r="AE147" t="str">
        <f>VLOOKUP($Z147,'oddspedia-matches'!$A:$AD,AE$2,0)</f>
        <v>Green</v>
      </c>
      <c r="AF147" t="str">
        <f>VLOOKUP($Z147,'oddspedia-matches'!$A:$AD,AF$2,0)</f>
        <v>Green</v>
      </c>
      <c r="AG147" t="str">
        <f>VLOOKUP($Z147,'oddspedia-matches'!$A:$AD,AG$2,0)</f>
        <v>Red</v>
      </c>
      <c r="AH147" t="str">
        <f>VLOOKUP($Z147,'oddspedia-matches'!$A:$AD,AH$2,0)</f>
        <v>Red</v>
      </c>
      <c r="AI147" t="str">
        <f>VLOOKUP($Z147,'oddspedia-matches'!$A:$AD,AI$2,0)</f>
        <v>Green</v>
      </c>
      <c r="AJ147" t="str">
        <f>VLOOKUP($Z147,'oddspedia-matches'!$A:$AD,AJ$2,0)</f>
        <v>Red</v>
      </c>
      <c r="AK147" t="str">
        <f>VLOOKUP($Z147,'oddspedia-matches'!$A:$AD,AK$2,0)</f>
        <v>Red</v>
      </c>
      <c r="AL147" t="str">
        <f>VLOOKUP($Z147,'oddspedia-matches'!$A:$AD,AL$2,0)</f>
        <v>Red</v>
      </c>
      <c r="AM147" t="str">
        <f>VLOOKUP($Z147,'oddspedia-matches'!$A:$AD,AM$2,0)</f>
        <v>Red</v>
      </c>
      <c r="AN147" t="str">
        <f>VLOOKUP($Z147,'oddspedia-matches'!$A:$AD,AN$2,0)</f>
        <v>Green</v>
      </c>
      <c r="AO147" t="str">
        <f>VLOOKUP($Z147,'oddspedia-matches'!$A:$AD,AO$2,0)</f>
        <v>Green</v>
      </c>
      <c r="AP147" t="str">
        <f>VLOOKUP($Z147,'oddspedia-matches'!$A:$AD,AP$2,0)</f>
        <v>Red</v>
      </c>
      <c r="AQ147" t="str">
        <f>VLOOKUP($Z147,'oddspedia-matches'!$A:$AD,AQ$2,0)</f>
        <v>Green</v>
      </c>
    </row>
    <row r="148" spans="2:43" x14ac:dyDescent="0.2">
      <c r="B148" s="9" t="s">
        <v>521</v>
      </c>
      <c r="C148" s="7" t="s">
        <v>490</v>
      </c>
      <c r="D148" s="20">
        <v>0.16666666666666666</v>
      </c>
      <c r="E148" s="7" t="s">
        <v>526</v>
      </c>
      <c r="F148" s="7" t="s">
        <v>393</v>
      </c>
      <c r="G148" s="21"/>
      <c r="H148" s="7">
        <v>41.1</v>
      </c>
      <c r="I148" s="7">
        <v>25.3</v>
      </c>
      <c r="J148" s="7">
        <v>33.6</v>
      </c>
      <c r="K148" s="7">
        <v>66.400000000000006</v>
      </c>
      <c r="L148" s="7">
        <v>58.9</v>
      </c>
      <c r="M148" s="7">
        <v>74.7</v>
      </c>
      <c r="N148" s="7">
        <v>37.700000000000003</v>
      </c>
      <c r="O148" s="7">
        <v>34.299999999999997</v>
      </c>
      <c r="P148" s="7">
        <v>28.1</v>
      </c>
      <c r="Q148" s="7">
        <v>83.8</v>
      </c>
      <c r="R148" s="7">
        <v>92</v>
      </c>
      <c r="S148" s="7">
        <v>77</v>
      </c>
      <c r="T148" s="7">
        <v>23</v>
      </c>
      <c r="U148" s="7">
        <v>27.8</v>
      </c>
      <c r="V148" s="7">
        <v>76.5</v>
      </c>
      <c r="W148" s="7">
        <v>23.5</v>
      </c>
      <c r="X148" t="str">
        <f>VLOOKUP(E148,'Transform table'!A:B,2,0)</f>
        <v>Perth Azzurri</v>
      </c>
      <c r="Y148" t="str">
        <f>VLOOKUP(F148,'Transform table'!A:B,2,0)</f>
        <v>Bayswater City</v>
      </c>
      <c r="Z148" t="str">
        <f t="shared" si="2"/>
        <v>25/07/2026Perth AzzurriBayswater City</v>
      </c>
      <c r="AA148" t="str">
        <f>VLOOKUP($Z148,'oddspedia-matches'!$A:$AD,AA$2,0)</f>
        <v>0 - 2</v>
      </c>
      <c r="AB148" t="str">
        <f>VLOOKUP($Z148,'oddspedia-matches'!$A:$AD,AB$2,0)</f>
        <v>Red</v>
      </c>
      <c r="AC148" t="str">
        <f>VLOOKUP($Z148,'oddspedia-matches'!$A:$AD,AC$2,0)</f>
        <v>Red</v>
      </c>
      <c r="AD148" t="str">
        <f>VLOOKUP($Z148,'oddspedia-matches'!$A:$AD,AD$2,0)</f>
        <v>Green</v>
      </c>
      <c r="AE148" t="str">
        <f>VLOOKUP($Z148,'oddspedia-matches'!$A:$AD,AE$2,0)</f>
        <v>Red</v>
      </c>
      <c r="AF148" t="str">
        <f>VLOOKUP($Z148,'oddspedia-matches'!$A:$AD,AF$2,0)</f>
        <v>Green</v>
      </c>
      <c r="AG148" t="str">
        <f>VLOOKUP($Z148,'oddspedia-matches'!$A:$AD,AG$2,0)</f>
        <v>Green</v>
      </c>
      <c r="AH148" t="str">
        <f>VLOOKUP($Z148,'oddspedia-matches'!$A:$AD,AH$2,0)</f>
        <v>Red</v>
      </c>
      <c r="AI148" t="str">
        <f>VLOOKUP($Z148,'oddspedia-matches'!$A:$AD,AI$2,0)</f>
        <v>Red</v>
      </c>
      <c r="AJ148" t="str">
        <f>VLOOKUP($Z148,'oddspedia-matches'!$A:$AD,AJ$2,0)</f>
        <v>Green</v>
      </c>
      <c r="AK148" t="str">
        <f>VLOOKUP($Z148,'oddspedia-matches'!$A:$AD,AK$2,0)</f>
        <v>Green</v>
      </c>
      <c r="AL148" t="str">
        <f>VLOOKUP($Z148,'oddspedia-matches'!$A:$AD,AL$2,0)</f>
        <v>Green</v>
      </c>
      <c r="AM148" t="str">
        <f>VLOOKUP($Z148,'oddspedia-matches'!$A:$AD,AM$2,0)</f>
        <v>Red</v>
      </c>
      <c r="AN148" t="str">
        <f>VLOOKUP($Z148,'oddspedia-matches'!$A:$AD,AN$2,0)</f>
        <v>Green</v>
      </c>
      <c r="AO148" t="str">
        <f>VLOOKUP($Z148,'oddspedia-matches'!$A:$AD,AO$2,0)</f>
        <v>Green</v>
      </c>
      <c r="AP148" t="str">
        <f>VLOOKUP($Z148,'oddspedia-matches'!$A:$AD,AP$2,0)</f>
        <v>Red</v>
      </c>
      <c r="AQ148" t="str">
        <f>VLOOKUP($Z148,'oddspedia-matches'!$A:$AD,AQ$2,0)</f>
        <v>Green</v>
      </c>
    </row>
    <row r="149" spans="2:43" x14ac:dyDescent="0.2">
      <c r="B149" s="17" t="s">
        <v>521</v>
      </c>
      <c r="C149" s="8" t="s">
        <v>490</v>
      </c>
      <c r="D149" s="18">
        <v>0.16666666666666666</v>
      </c>
      <c r="E149" s="8" t="s">
        <v>527</v>
      </c>
      <c r="F149" s="8" t="s">
        <v>528</v>
      </c>
      <c r="G149" s="19"/>
      <c r="H149" s="8">
        <v>54.4</v>
      </c>
      <c r="I149" s="8">
        <v>24.4</v>
      </c>
      <c r="J149" s="8">
        <v>21.2</v>
      </c>
      <c r="K149" s="8">
        <v>78.8</v>
      </c>
      <c r="L149" s="8">
        <v>45.6</v>
      </c>
      <c r="M149" s="8">
        <v>75.599999999999994</v>
      </c>
      <c r="N149" s="8">
        <v>41.6</v>
      </c>
      <c r="O149" s="8">
        <v>34.299999999999997</v>
      </c>
      <c r="P149" s="8">
        <v>24.1</v>
      </c>
      <c r="Q149" s="8">
        <v>82.9</v>
      </c>
      <c r="R149" s="8">
        <v>92.2</v>
      </c>
      <c r="S149" s="8">
        <v>77.7</v>
      </c>
      <c r="T149" s="8">
        <v>22.3</v>
      </c>
      <c r="U149" s="8">
        <v>27.9</v>
      </c>
      <c r="V149" s="8">
        <v>74.2</v>
      </c>
      <c r="W149" s="8">
        <v>25.8</v>
      </c>
      <c r="X149" t="str">
        <f>VLOOKUP(E149,'Transform table'!A:B,2,0)</f>
        <v>Stirling Lions</v>
      </c>
      <c r="Y149" t="str">
        <f>VLOOKUP(F149,'Transform table'!A:B,2,0)</f>
        <v>Armadale</v>
      </c>
      <c r="Z149" t="str">
        <f t="shared" si="2"/>
        <v>25/07/2026Stirling LionsArmadale</v>
      </c>
      <c r="AA149" t="str">
        <f>VLOOKUP($Z149,'oddspedia-matches'!$A:$AD,AA$2,0)</f>
        <v>1 - 1</v>
      </c>
      <c r="AB149" t="str">
        <f>VLOOKUP($Z149,'oddspedia-matches'!$A:$AD,AB$2,0)</f>
        <v>Red</v>
      </c>
      <c r="AC149" t="str">
        <f>VLOOKUP($Z149,'oddspedia-matches'!$A:$AD,AC$2,0)</f>
        <v>Green</v>
      </c>
      <c r="AD149" t="str">
        <f>VLOOKUP($Z149,'oddspedia-matches'!$A:$AD,AD$2,0)</f>
        <v>Red</v>
      </c>
      <c r="AE149" t="str">
        <f>VLOOKUP($Z149,'oddspedia-matches'!$A:$AD,AE$2,0)</f>
        <v>Green</v>
      </c>
      <c r="AF149" t="str">
        <f>VLOOKUP($Z149,'oddspedia-matches'!$A:$AD,AF$2,0)</f>
        <v>Green</v>
      </c>
      <c r="AG149" t="str">
        <f>VLOOKUP($Z149,'oddspedia-matches'!$A:$AD,AG$2,0)</f>
        <v>Red</v>
      </c>
      <c r="AH149" t="str">
        <f>VLOOKUP($Z149,'oddspedia-matches'!$A:$AD,AH$2,0)</f>
        <v>Red</v>
      </c>
      <c r="AI149" t="str">
        <f>VLOOKUP($Z149,'oddspedia-matches'!$A:$AD,AI$2,0)</f>
        <v>Red</v>
      </c>
      <c r="AJ149" t="str">
        <f>VLOOKUP($Z149,'oddspedia-matches'!$A:$AD,AJ$2,0)</f>
        <v>Green</v>
      </c>
      <c r="AK149" t="str">
        <f>VLOOKUP($Z149,'oddspedia-matches'!$A:$AD,AK$2,0)</f>
        <v>Green</v>
      </c>
      <c r="AL149" t="str">
        <f>VLOOKUP($Z149,'oddspedia-matches'!$A:$AD,AL$2,0)</f>
        <v>Green</v>
      </c>
      <c r="AM149" t="str">
        <f>VLOOKUP($Z149,'oddspedia-matches'!$A:$AD,AM$2,0)</f>
        <v>Red</v>
      </c>
      <c r="AN149" t="str">
        <f>VLOOKUP($Z149,'oddspedia-matches'!$A:$AD,AN$2,0)</f>
        <v>Green</v>
      </c>
      <c r="AO149" t="str">
        <f>VLOOKUP($Z149,'oddspedia-matches'!$A:$AD,AO$2,0)</f>
        <v>Green</v>
      </c>
      <c r="AP149" t="str">
        <f>VLOOKUP($Z149,'oddspedia-matches'!$A:$AD,AP$2,0)</f>
        <v>Green</v>
      </c>
      <c r="AQ149" t="str">
        <f>VLOOKUP($Z149,'oddspedia-matches'!$A:$AD,AQ$2,0)</f>
        <v>Red</v>
      </c>
    </row>
    <row r="150" spans="2:43" x14ac:dyDescent="0.2">
      <c r="B150" s="9" t="s">
        <v>521</v>
      </c>
      <c r="C150" s="7" t="s">
        <v>490</v>
      </c>
      <c r="D150" s="20">
        <v>0.16666666666666666</v>
      </c>
      <c r="E150" s="7" t="s">
        <v>529</v>
      </c>
      <c r="F150" s="7" t="s">
        <v>530</v>
      </c>
      <c r="G150" s="21"/>
      <c r="H150" s="7">
        <v>39.299999999999997</v>
      </c>
      <c r="I150" s="7">
        <v>25.5</v>
      </c>
      <c r="J150" s="7">
        <v>35.200000000000003</v>
      </c>
      <c r="K150" s="7">
        <v>64.8</v>
      </c>
      <c r="L150" s="7">
        <v>60.7</v>
      </c>
      <c r="M150" s="7">
        <v>74.5</v>
      </c>
      <c r="N150" s="7">
        <v>32.4</v>
      </c>
      <c r="O150" s="7">
        <v>36</v>
      </c>
      <c r="P150" s="7">
        <v>31.5</v>
      </c>
      <c r="Q150" s="7">
        <v>81.5</v>
      </c>
      <c r="R150" s="7">
        <v>89.7</v>
      </c>
      <c r="S150" s="7">
        <v>72.400000000000006</v>
      </c>
      <c r="T150" s="7">
        <v>27.6</v>
      </c>
      <c r="U150" s="7">
        <v>32.700000000000003</v>
      </c>
      <c r="V150" s="7">
        <v>73</v>
      </c>
      <c r="W150" s="7">
        <v>27</v>
      </c>
      <c r="X150" t="str">
        <f>VLOOKUP(E150,'Transform table'!A:B,2,0)</f>
        <v>Western Knights</v>
      </c>
      <c r="Y150" t="str">
        <f>VLOOKUP(F150,'Transform table'!A:B,2,0)</f>
        <v>Olympic Kingsway SC</v>
      </c>
      <c r="Z150" t="str">
        <f t="shared" si="2"/>
        <v>25/07/2026Western KnightsOlympic Kingsway SC</v>
      </c>
      <c r="AA150" t="str">
        <f>VLOOKUP($Z150,'oddspedia-matches'!$A:$AD,AA$2,0)</f>
        <v>1 - 2</v>
      </c>
      <c r="AB150" t="str">
        <f>VLOOKUP($Z150,'oddspedia-matches'!$A:$AD,AB$2,0)</f>
        <v>Red</v>
      </c>
      <c r="AC150" t="str">
        <f>VLOOKUP($Z150,'oddspedia-matches'!$A:$AD,AC$2,0)</f>
        <v>Red</v>
      </c>
      <c r="AD150" t="str">
        <f>VLOOKUP($Z150,'oddspedia-matches'!$A:$AD,AD$2,0)</f>
        <v>Green</v>
      </c>
      <c r="AE150" t="str">
        <f>VLOOKUP($Z150,'oddspedia-matches'!$A:$AD,AE$2,0)</f>
        <v>Red</v>
      </c>
      <c r="AF150" t="str">
        <f>VLOOKUP($Z150,'oddspedia-matches'!$A:$AD,AF$2,0)</f>
        <v>Green</v>
      </c>
      <c r="AG150" t="str">
        <f>VLOOKUP($Z150,'oddspedia-matches'!$A:$AD,AG$2,0)</f>
        <v>Green</v>
      </c>
      <c r="AH150" t="str">
        <f>VLOOKUP($Z150,'oddspedia-matches'!$A:$AD,AH$2,0)</f>
        <v>Red</v>
      </c>
      <c r="AI150" t="str">
        <f>VLOOKUP($Z150,'oddspedia-matches'!$A:$AD,AI$2,0)</f>
        <v>Green</v>
      </c>
      <c r="AJ150" t="str">
        <f>VLOOKUP($Z150,'oddspedia-matches'!$A:$AD,AJ$2,0)</f>
        <v>Red</v>
      </c>
      <c r="AK150" t="str">
        <f>VLOOKUP($Z150,'oddspedia-matches'!$A:$AD,AK$2,0)</f>
        <v>Red</v>
      </c>
      <c r="AL150" t="str">
        <f>VLOOKUP($Z150,'oddspedia-matches'!$A:$AD,AL$2,0)</f>
        <v>Green</v>
      </c>
      <c r="AM150" t="str">
        <f>VLOOKUP($Z150,'oddspedia-matches'!$A:$AD,AM$2,0)</f>
        <v>Green</v>
      </c>
      <c r="AN150" t="str">
        <f>VLOOKUP($Z150,'oddspedia-matches'!$A:$AD,AN$2,0)</f>
        <v>Red</v>
      </c>
      <c r="AO150" t="str">
        <f>VLOOKUP($Z150,'oddspedia-matches'!$A:$AD,AO$2,0)</f>
        <v>Green</v>
      </c>
      <c r="AP150" t="str">
        <f>VLOOKUP($Z150,'oddspedia-matches'!$A:$AD,AP$2,0)</f>
        <v>Green</v>
      </c>
      <c r="AQ150" t="str">
        <f>VLOOKUP($Z150,'oddspedia-matches'!$A:$AD,AQ$2,0)</f>
        <v>Red</v>
      </c>
    </row>
    <row r="151" spans="2:43" x14ac:dyDescent="0.2">
      <c r="B151" s="17" t="s">
        <v>471</v>
      </c>
      <c r="C151" s="8" t="s">
        <v>490</v>
      </c>
      <c r="D151" s="18">
        <v>0.1875</v>
      </c>
      <c r="E151" s="8" t="s">
        <v>531</v>
      </c>
      <c r="F151" s="8" t="s">
        <v>532</v>
      </c>
      <c r="G151" s="19"/>
      <c r="H151" s="8">
        <v>39.4</v>
      </c>
      <c r="I151" s="8">
        <v>27.2</v>
      </c>
      <c r="J151" s="8">
        <v>33.4</v>
      </c>
      <c r="K151" s="8">
        <v>66.599999999999994</v>
      </c>
      <c r="L151" s="8">
        <v>60.6</v>
      </c>
      <c r="M151" s="8">
        <v>72.8</v>
      </c>
      <c r="N151" s="8">
        <v>33.200000000000003</v>
      </c>
      <c r="O151" s="8">
        <v>41.6</v>
      </c>
      <c r="P151" s="8">
        <v>25.1</v>
      </c>
      <c r="Q151" s="8">
        <v>72.3</v>
      </c>
      <c r="R151" s="8">
        <v>81.599999999999994</v>
      </c>
      <c r="S151" s="8">
        <v>58.3</v>
      </c>
      <c r="T151" s="8">
        <v>41.7</v>
      </c>
      <c r="U151" s="8">
        <v>47.4</v>
      </c>
      <c r="V151" s="8">
        <v>62</v>
      </c>
      <c r="W151" s="8">
        <v>38</v>
      </c>
      <c r="X151" t="str">
        <f>VLOOKUP(E151,'Transform table'!A:B,2,0)</f>
        <v>Spirit FC</v>
      </c>
      <c r="Y151" t="str">
        <f>VLOOKUP(F151,'Transform table'!A:B,2,0)</f>
        <v>Western Sydney Wanderers U21</v>
      </c>
      <c r="Z151" t="str">
        <f t="shared" si="2"/>
        <v>25/07/2026Spirit FCWestern Sydney Wanderers U21</v>
      </c>
      <c r="AA151" t="str">
        <f>VLOOKUP($Z151,'oddspedia-matches'!$A:$AD,AA$2,0)</f>
        <v>0 - 4</v>
      </c>
      <c r="AB151" t="str">
        <f>VLOOKUP($Z151,'oddspedia-matches'!$A:$AD,AB$2,0)</f>
        <v>Red</v>
      </c>
      <c r="AC151" t="str">
        <f>VLOOKUP($Z151,'oddspedia-matches'!$A:$AD,AC$2,0)</f>
        <v>Red</v>
      </c>
      <c r="AD151" t="str">
        <f>VLOOKUP($Z151,'oddspedia-matches'!$A:$AD,AD$2,0)</f>
        <v>Green</v>
      </c>
      <c r="AE151" t="str">
        <f>VLOOKUP($Z151,'oddspedia-matches'!$A:$AD,AE$2,0)</f>
        <v>Red</v>
      </c>
      <c r="AF151" t="str">
        <f>VLOOKUP($Z151,'oddspedia-matches'!$A:$AD,AF$2,0)</f>
        <v>Green</v>
      </c>
      <c r="AG151" t="str">
        <f>VLOOKUP($Z151,'oddspedia-matches'!$A:$AD,AG$2,0)</f>
        <v>Green</v>
      </c>
      <c r="AH151" t="str">
        <f>VLOOKUP($Z151,'oddspedia-matches'!$A:$AD,AH$2,0)</f>
        <v>Red</v>
      </c>
      <c r="AI151" t="str">
        <f>VLOOKUP($Z151,'oddspedia-matches'!$A:$AD,AI$2,0)</f>
        <v>Red</v>
      </c>
      <c r="AJ151" t="str">
        <f>VLOOKUP($Z151,'oddspedia-matches'!$A:$AD,AJ$2,0)</f>
        <v>Green</v>
      </c>
      <c r="AK151" t="str">
        <f>VLOOKUP($Z151,'oddspedia-matches'!$A:$AD,AK$2,0)</f>
        <v>Green</v>
      </c>
      <c r="AL151" t="str">
        <f>VLOOKUP($Z151,'oddspedia-matches'!$A:$AD,AL$2,0)</f>
        <v>Green</v>
      </c>
      <c r="AM151" t="str">
        <f>VLOOKUP($Z151,'oddspedia-matches'!$A:$AD,AM$2,0)</f>
        <v>Green</v>
      </c>
      <c r="AN151" t="str">
        <f>VLOOKUP($Z151,'oddspedia-matches'!$A:$AD,AN$2,0)</f>
        <v>Red</v>
      </c>
      <c r="AO151" t="str">
        <f>VLOOKUP($Z151,'oddspedia-matches'!$A:$AD,AO$2,0)</f>
        <v>Red</v>
      </c>
      <c r="AP151" t="str">
        <f>VLOOKUP($Z151,'oddspedia-matches'!$A:$AD,AP$2,0)</f>
        <v>Red</v>
      </c>
      <c r="AQ151" t="str">
        <f>VLOOKUP($Z151,'oddspedia-matches'!$A:$AD,AQ$2,0)</f>
        <v>Green</v>
      </c>
    </row>
    <row r="152" spans="2:43" x14ac:dyDescent="0.2">
      <c r="B152" s="9" t="s">
        <v>445</v>
      </c>
      <c r="C152" s="7" t="s">
        <v>490</v>
      </c>
      <c r="D152" s="20">
        <v>0.20833333333333334</v>
      </c>
      <c r="E152" s="7" t="s">
        <v>533</v>
      </c>
      <c r="F152" s="7" t="s">
        <v>21</v>
      </c>
      <c r="G152" s="21"/>
      <c r="H152" s="7">
        <v>53.8</v>
      </c>
      <c r="I152" s="7">
        <v>24.6</v>
      </c>
      <c r="J152" s="7">
        <v>21.6</v>
      </c>
      <c r="K152" s="7">
        <v>78.400000000000006</v>
      </c>
      <c r="L152" s="7">
        <v>46.2</v>
      </c>
      <c r="M152" s="7">
        <v>75.400000000000006</v>
      </c>
      <c r="N152" s="7">
        <v>40.9</v>
      </c>
      <c r="O152" s="7">
        <v>35.1</v>
      </c>
      <c r="P152" s="7">
        <v>24</v>
      </c>
      <c r="Q152" s="7">
        <v>81.7</v>
      </c>
      <c r="R152" s="7">
        <v>92.9</v>
      </c>
      <c r="S152" s="7">
        <v>79.099999999999994</v>
      </c>
      <c r="T152" s="7">
        <v>20.9</v>
      </c>
      <c r="U152" s="7">
        <v>26.4</v>
      </c>
      <c r="V152" s="7">
        <v>75.599999999999994</v>
      </c>
      <c r="W152" s="7">
        <v>24.4</v>
      </c>
      <c r="X152" t="str">
        <f>VLOOKUP(E152,'Transform table'!A:B,2,0)</f>
        <v>Cooma</v>
      </c>
      <c r="Y152" t="str">
        <f>VLOOKUP(F152,'Transform table'!A:B,2,0)</f>
        <v>Tuggeranong United</v>
      </c>
      <c r="Z152" t="str">
        <f t="shared" si="2"/>
        <v>25/07/2026CoomaTuggeranong United</v>
      </c>
      <c r="AA152" t="str">
        <f>VLOOKUP($Z152,'oddspedia-matches'!$A:$AD,AA$2,0)</f>
        <v>4 - 1</v>
      </c>
      <c r="AB152" t="str">
        <f>VLOOKUP($Z152,'oddspedia-matches'!$A:$AD,AB$2,0)</f>
        <v>Green</v>
      </c>
      <c r="AC152" t="str">
        <f>VLOOKUP($Z152,'oddspedia-matches'!$A:$AD,AC$2,0)</f>
        <v>Red</v>
      </c>
      <c r="AD152" t="str">
        <f>VLOOKUP($Z152,'oddspedia-matches'!$A:$AD,AD$2,0)</f>
        <v>Red</v>
      </c>
      <c r="AE152" t="str">
        <f>VLOOKUP($Z152,'oddspedia-matches'!$A:$AD,AE$2,0)</f>
        <v>Green</v>
      </c>
      <c r="AF152" t="str">
        <f>VLOOKUP($Z152,'oddspedia-matches'!$A:$AD,AF$2,0)</f>
        <v>Red</v>
      </c>
      <c r="AG152" t="str">
        <f>VLOOKUP($Z152,'oddspedia-matches'!$A:$AD,AG$2,0)</f>
        <v>Green</v>
      </c>
      <c r="AH152" t="str">
        <f>VLOOKUP($Z152,'oddspedia-matches'!$A:$AD,AH$2,0)</f>
        <v>Green</v>
      </c>
      <c r="AI152" t="str">
        <f>VLOOKUP($Z152,'oddspedia-matches'!$A:$AD,AI$2,0)</f>
        <v>Red</v>
      </c>
      <c r="AJ152" t="str">
        <f>VLOOKUP($Z152,'oddspedia-matches'!$A:$AD,AJ$2,0)</f>
        <v>Red</v>
      </c>
      <c r="AK152" t="str">
        <f>VLOOKUP($Z152,'oddspedia-matches'!$A:$AD,AK$2,0)</f>
        <v>Green</v>
      </c>
      <c r="AL152" t="str">
        <f>VLOOKUP($Z152,'oddspedia-matches'!$A:$AD,AL$2,0)</f>
        <v>Green</v>
      </c>
      <c r="AM152" t="str">
        <f>VLOOKUP($Z152,'oddspedia-matches'!$A:$AD,AM$2,0)</f>
        <v>Green</v>
      </c>
      <c r="AN152" t="str">
        <f>VLOOKUP($Z152,'oddspedia-matches'!$A:$AD,AN$2,0)</f>
        <v>Red</v>
      </c>
      <c r="AO152" t="str">
        <f>VLOOKUP($Z152,'oddspedia-matches'!$A:$AD,AO$2,0)</f>
        <v>Red</v>
      </c>
      <c r="AP152" t="str">
        <f>VLOOKUP($Z152,'oddspedia-matches'!$A:$AD,AP$2,0)</f>
        <v>Green</v>
      </c>
      <c r="AQ152" t="str">
        <f>VLOOKUP($Z152,'oddspedia-matches'!$A:$AD,AQ$2,0)</f>
        <v>Red</v>
      </c>
    </row>
    <row r="153" spans="2:43" x14ac:dyDescent="0.2">
      <c r="B153" s="17" t="s">
        <v>471</v>
      </c>
      <c r="C153" s="8" t="s">
        <v>490</v>
      </c>
      <c r="D153" s="18">
        <v>0.20833333333333334</v>
      </c>
      <c r="E153" s="8" t="s">
        <v>534</v>
      </c>
      <c r="F153" s="8" t="s">
        <v>535</v>
      </c>
      <c r="G153" s="19"/>
      <c r="H153" s="8">
        <v>56.5</v>
      </c>
      <c r="I153" s="8">
        <v>24.2</v>
      </c>
      <c r="J153" s="8">
        <v>19.2</v>
      </c>
      <c r="K153" s="8">
        <v>80.8</v>
      </c>
      <c r="L153" s="8">
        <v>43.5</v>
      </c>
      <c r="M153" s="8">
        <v>75.8</v>
      </c>
      <c r="N153" s="8">
        <v>45.3</v>
      </c>
      <c r="O153" s="8">
        <v>37.1</v>
      </c>
      <c r="P153" s="8">
        <v>17.600000000000001</v>
      </c>
      <c r="Q153" s="8">
        <v>76.599999999999994</v>
      </c>
      <c r="R153" s="8">
        <v>84.2</v>
      </c>
      <c r="S153" s="8">
        <v>62.6</v>
      </c>
      <c r="T153" s="8">
        <v>37.4</v>
      </c>
      <c r="U153" s="8">
        <v>44.4</v>
      </c>
      <c r="V153" s="8">
        <v>61.1</v>
      </c>
      <c r="W153" s="8">
        <v>38.9</v>
      </c>
      <c r="X153" t="str">
        <f>VLOOKUP(E153,'Transform table'!A:B,2,0)</f>
        <v>APIA Leichhardt Tigers</v>
      </c>
      <c r="Y153" t="str">
        <f>VLOOKUP(F153,'Transform table'!A:B,2,0)</f>
        <v>UNSW</v>
      </c>
      <c r="Z153" t="str">
        <f t="shared" si="2"/>
        <v>25/07/2026APIA Leichhardt TigersUNSW</v>
      </c>
      <c r="AA153" t="str">
        <f>VLOOKUP($Z153,'oddspedia-matches'!$A:$AD,AA$2,0)</f>
        <v>4 - 1</v>
      </c>
      <c r="AB153" t="str">
        <f>VLOOKUP($Z153,'oddspedia-matches'!$A:$AD,AB$2,0)</f>
        <v>Green</v>
      </c>
      <c r="AC153" t="str">
        <f>VLOOKUP($Z153,'oddspedia-matches'!$A:$AD,AC$2,0)</f>
        <v>Red</v>
      </c>
      <c r="AD153" t="str">
        <f>VLOOKUP($Z153,'oddspedia-matches'!$A:$AD,AD$2,0)</f>
        <v>Red</v>
      </c>
      <c r="AE153" t="str">
        <f>VLOOKUP($Z153,'oddspedia-matches'!$A:$AD,AE$2,0)</f>
        <v>Green</v>
      </c>
      <c r="AF153" t="str">
        <f>VLOOKUP($Z153,'oddspedia-matches'!$A:$AD,AF$2,0)</f>
        <v>Red</v>
      </c>
      <c r="AG153" t="str">
        <f>VLOOKUP($Z153,'oddspedia-matches'!$A:$AD,AG$2,0)</f>
        <v>Green</v>
      </c>
      <c r="AH153" t="str">
        <f>VLOOKUP($Z153,'oddspedia-matches'!$A:$AD,AH$2,0)</f>
        <v>Green</v>
      </c>
      <c r="AI153" t="str">
        <f>VLOOKUP($Z153,'oddspedia-matches'!$A:$AD,AI$2,0)</f>
        <v>Red</v>
      </c>
      <c r="AJ153" t="str">
        <f>VLOOKUP($Z153,'oddspedia-matches'!$A:$AD,AJ$2,0)</f>
        <v>Red</v>
      </c>
      <c r="AK153" t="str">
        <f>VLOOKUP($Z153,'oddspedia-matches'!$A:$AD,AK$2,0)</f>
        <v>Green</v>
      </c>
      <c r="AL153" t="str">
        <f>VLOOKUP($Z153,'oddspedia-matches'!$A:$AD,AL$2,0)</f>
        <v>Green</v>
      </c>
      <c r="AM153" t="str">
        <f>VLOOKUP($Z153,'oddspedia-matches'!$A:$AD,AM$2,0)</f>
        <v>Green</v>
      </c>
      <c r="AN153" t="str">
        <f>VLOOKUP($Z153,'oddspedia-matches'!$A:$AD,AN$2,0)</f>
        <v>Red</v>
      </c>
      <c r="AO153" t="str">
        <f>VLOOKUP($Z153,'oddspedia-matches'!$A:$AD,AO$2,0)</f>
        <v>Red</v>
      </c>
      <c r="AP153" t="str">
        <f>VLOOKUP($Z153,'oddspedia-matches'!$A:$AD,AP$2,0)</f>
        <v>Green</v>
      </c>
      <c r="AQ153" t="str">
        <f>VLOOKUP($Z153,'oddspedia-matches'!$A:$AD,AQ$2,0)</f>
        <v>Red</v>
      </c>
    </row>
    <row r="154" spans="2:43" x14ac:dyDescent="0.2">
      <c r="B154" s="9" t="s">
        <v>536</v>
      </c>
      <c r="C154" s="7" t="s">
        <v>490</v>
      </c>
      <c r="D154" s="20">
        <v>0.21875</v>
      </c>
      <c r="E154" s="7" t="s">
        <v>537</v>
      </c>
      <c r="F154" s="7" t="s">
        <v>538</v>
      </c>
      <c r="G154" s="21"/>
      <c r="H154" s="7">
        <v>60.4</v>
      </c>
      <c r="I154" s="7">
        <v>23.2</v>
      </c>
      <c r="J154" s="7">
        <v>16.399999999999999</v>
      </c>
      <c r="K154" s="7">
        <v>83.6</v>
      </c>
      <c r="L154" s="7">
        <v>39.6</v>
      </c>
      <c r="M154" s="7">
        <v>76.8</v>
      </c>
      <c r="N154" s="7">
        <v>45.6</v>
      </c>
      <c r="O154" s="7">
        <v>34.9</v>
      </c>
      <c r="P154" s="7">
        <v>19.600000000000001</v>
      </c>
      <c r="Q154" s="7">
        <v>80.599999999999994</v>
      </c>
      <c r="R154" s="7">
        <v>88.7</v>
      </c>
      <c r="S154" s="7">
        <v>70.599999999999994</v>
      </c>
      <c r="T154" s="7">
        <v>29.4</v>
      </c>
      <c r="U154" s="7">
        <v>36.6</v>
      </c>
      <c r="V154" s="7">
        <v>65.599999999999994</v>
      </c>
      <c r="W154" s="7">
        <v>34.4</v>
      </c>
      <c r="X154" t="str">
        <f>VLOOKUP(E154,'Transform table'!A:B,2,0)</f>
        <v>Gold Coast Knights</v>
      </c>
      <c r="Y154" t="str">
        <f>VLOOKUP(F154,'Transform table'!A:B,2,0)</f>
        <v>Gold Coast United</v>
      </c>
      <c r="Z154" t="str">
        <f t="shared" si="2"/>
        <v>25/07/2026Gold Coast KnightsGold Coast United</v>
      </c>
      <c r="AA154" t="str">
        <f>VLOOKUP($Z154,'oddspedia-matches'!$A:$AD,AA$2,0)</f>
        <v>1 - 1</v>
      </c>
      <c r="AB154" t="str">
        <f>VLOOKUP($Z154,'oddspedia-matches'!$A:$AD,AB$2,0)</f>
        <v>Red</v>
      </c>
      <c r="AC154" t="str">
        <f>VLOOKUP($Z154,'oddspedia-matches'!$A:$AD,AC$2,0)</f>
        <v>Green</v>
      </c>
      <c r="AD154" t="str">
        <f>VLOOKUP($Z154,'oddspedia-matches'!$A:$AD,AD$2,0)</f>
        <v>Red</v>
      </c>
      <c r="AE154" t="str">
        <f>VLOOKUP($Z154,'oddspedia-matches'!$A:$AD,AE$2,0)</f>
        <v>Green</v>
      </c>
      <c r="AF154" t="str">
        <f>VLOOKUP($Z154,'oddspedia-matches'!$A:$AD,AF$2,0)</f>
        <v>Green</v>
      </c>
      <c r="AG154" t="str">
        <f>VLOOKUP($Z154,'oddspedia-matches'!$A:$AD,AG$2,0)</f>
        <v>Red</v>
      </c>
      <c r="AH154" t="str">
        <f>VLOOKUP($Z154,'oddspedia-matches'!$A:$AD,AH$2,0)</f>
        <v>Red</v>
      </c>
      <c r="AI154" t="str">
        <f>VLOOKUP($Z154,'oddspedia-matches'!$A:$AD,AI$2,0)</f>
        <v>Green</v>
      </c>
      <c r="AJ154" t="str">
        <f>VLOOKUP($Z154,'oddspedia-matches'!$A:$AD,AJ$2,0)</f>
        <v>Red</v>
      </c>
      <c r="AK154" t="str">
        <f>VLOOKUP($Z154,'oddspedia-matches'!$A:$AD,AK$2,0)</f>
        <v>Red</v>
      </c>
      <c r="AL154" t="str">
        <f>VLOOKUP($Z154,'oddspedia-matches'!$A:$AD,AL$2,0)</f>
        <v>Green</v>
      </c>
      <c r="AM154" t="str">
        <f>VLOOKUP($Z154,'oddspedia-matches'!$A:$AD,AM$2,0)</f>
        <v>Red</v>
      </c>
      <c r="AN154" t="str">
        <f>VLOOKUP($Z154,'oddspedia-matches'!$A:$AD,AN$2,0)</f>
        <v>Green</v>
      </c>
      <c r="AO154" t="str">
        <f>VLOOKUP($Z154,'oddspedia-matches'!$A:$AD,AO$2,0)</f>
        <v>Green</v>
      </c>
      <c r="AP154" t="str">
        <f>VLOOKUP($Z154,'oddspedia-matches'!$A:$AD,AP$2,0)</f>
        <v>Green</v>
      </c>
      <c r="AQ154" t="str">
        <f>VLOOKUP($Z154,'oddspedia-matches'!$A:$AD,AQ$2,0)</f>
        <v>Red</v>
      </c>
    </row>
    <row r="155" spans="2:43" x14ac:dyDescent="0.2">
      <c r="B155" s="17" t="s">
        <v>471</v>
      </c>
      <c r="C155" s="8" t="s">
        <v>490</v>
      </c>
      <c r="D155" s="18">
        <v>0.22916666666666666</v>
      </c>
      <c r="E155" s="8" t="s">
        <v>539</v>
      </c>
      <c r="F155" s="8" t="s">
        <v>540</v>
      </c>
      <c r="G155" s="19"/>
      <c r="H155" s="8">
        <v>33.799999999999997</v>
      </c>
      <c r="I155" s="8">
        <v>28.4</v>
      </c>
      <c r="J155" s="8">
        <v>37.799999999999997</v>
      </c>
      <c r="K155" s="8">
        <v>62.2</v>
      </c>
      <c r="L155" s="8">
        <v>66.2</v>
      </c>
      <c r="M155" s="8">
        <v>71.599999999999994</v>
      </c>
      <c r="N155" s="8">
        <v>30</v>
      </c>
      <c r="O155" s="8">
        <v>41</v>
      </c>
      <c r="P155" s="8">
        <v>29.1</v>
      </c>
      <c r="Q155" s="8">
        <v>73.8</v>
      </c>
      <c r="R155" s="8">
        <v>77.8</v>
      </c>
      <c r="S155" s="8">
        <v>52.7</v>
      </c>
      <c r="T155" s="8">
        <v>47.3</v>
      </c>
      <c r="U155" s="8">
        <v>52.9</v>
      </c>
      <c r="V155" s="8">
        <v>57.8</v>
      </c>
      <c r="W155" s="8">
        <v>42.2</v>
      </c>
      <c r="X155" t="str">
        <f>VLOOKUP(E155,'Transform table'!A:B,2,0)</f>
        <v>St George</v>
      </c>
      <c r="Y155" t="str">
        <f>VLOOKUP(F155,'Transform table'!A:B,2,0)</f>
        <v>Sydney U21</v>
      </c>
      <c r="Z155" t="str">
        <f t="shared" si="2"/>
        <v>25/07/2026St GeorgeSydney U21</v>
      </c>
      <c r="AA155" t="str">
        <f>VLOOKUP($Z155,'oddspedia-matches'!$A:$AD,AA$2,0)</f>
        <v>0 - 0</v>
      </c>
      <c r="AB155" t="str">
        <f>VLOOKUP($Z155,'oddspedia-matches'!$A:$AD,AB$2,0)</f>
        <v>Red</v>
      </c>
      <c r="AC155" t="str">
        <f>VLOOKUP($Z155,'oddspedia-matches'!$A:$AD,AC$2,0)</f>
        <v>Green</v>
      </c>
      <c r="AD155" t="str">
        <f>VLOOKUP($Z155,'oddspedia-matches'!$A:$AD,AD$2,0)</f>
        <v>Red</v>
      </c>
      <c r="AE155" t="str">
        <f>VLOOKUP($Z155,'oddspedia-matches'!$A:$AD,AE$2,0)</f>
        <v>Green</v>
      </c>
      <c r="AF155" t="str">
        <f>VLOOKUP($Z155,'oddspedia-matches'!$A:$AD,AF$2,0)</f>
        <v>Green</v>
      </c>
      <c r="AG155" t="str">
        <f>VLOOKUP($Z155,'oddspedia-matches'!$A:$AD,AG$2,0)</f>
        <v>Red</v>
      </c>
      <c r="AH155" t="str">
        <f>VLOOKUP($Z155,'oddspedia-matches'!$A:$AD,AH$2,0)</f>
        <v>Red</v>
      </c>
      <c r="AI155" t="str">
        <f>VLOOKUP($Z155,'oddspedia-matches'!$A:$AD,AI$2,0)</f>
        <v>Green</v>
      </c>
      <c r="AJ155" t="str">
        <f>VLOOKUP($Z155,'oddspedia-matches'!$A:$AD,AJ$2,0)</f>
        <v>Red</v>
      </c>
      <c r="AK155" t="str">
        <f>VLOOKUP($Z155,'oddspedia-matches'!$A:$AD,AK$2,0)</f>
        <v>Red</v>
      </c>
      <c r="AL155" t="str">
        <f>VLOOKUP($Z155,'oddspedia-matches'!$A:$AD,AL$2,0)</f>
        <v>Red</v>
      </c>
      <c r="AM155" t="str">
        <f>VLOOKUP($Z155,'oddspedia-matches'!$A:$AD,AM$2,0)</f>
        <v>Red</v>
      </c>
      <c r="AN155" t="str">
        <f>VLOOKUP($Z155,'oddspedia-matches'!$A:$AD,AN$2,0)</f>
        <v>Green</v>
      </c>
      <c r="AO155" t="str">
        <f>VLOOKUP($Z155,'oddspedia-matches'!$A:$AD,AO$2,0)</f>
        <v>Green</v>
      </c>
      <c r="AP155" t="str">
        <f>VLOOKUP($Z155,'oddspedia-matches'!$A:$AD,AP$2,0)</f>
        <v>Red</v>
      </c>
      <c r="AQ155" t="str">
        <f>VLOOKUP($Z155,'oddspedia-matches'!$A:$AD,AQ$2,0)</f>
        <v>Green</v>
      </c>
    </row>
    <row r="156" spans="2:43" x14ac:dyDescent="0.2">
      <c r="B156" s="9" t="s">
        <v>471</v>
      </c>
      <c r="C156" s="7" t="s">
        <v>490</v>
      </c>
      <c r="D156" s="20">
        <v>0.26041666666666669</v>
      </c>
      <c r="E156" s="7" t="s">
        <v>541</v>
      </c>
      <c r="F156" s="7" t="s">
        <v>542</v>
      </c>
      <c r="G156" s="21"/>
      <c r="H156" s="7">
        <v>23.4</v>
      </c>
      <c r="I156" s="7">
        <v>31.1</v>
      </c>
      <c r="J156" s="7">
        <v>45.5</v>
      </c>
      <c r="K156" s="7">
        <v>54.5</v>
      </c>
      <c r="L156" s="7">
        <v>76.599999999999994</v>
      </c>
      <c r="M156" s="7">
        <v>68.900000000000006</v>
      </c>
      <c r="N156" s="7">
        <v>17.5</v>
      </c>
      <c r="O156" s="7">
        <v>52.7</v>
      </c>
      <c r="P156" s="7">
        <v>29.7</v>
      </c>
      <c r="Q156" s="7">
        <v>55.5</v>
      </c>
      <c r="R156" s="7">
        <v>67.5</v>
      </c>
      <c r="S156" s="7">
        <v>39.6</v>
      </c>
      <c r="T156" s="7">
        <v>60.4</v>
      </c>
      <c r="U156" s="7">
        <v>66.099999999999994</v>
      </c>
      <c r="V156" s="7">
        <v>45.6</v>
      </c>
      <c r="W156" s="7">
        <v>54.4</v>
      </c>
      <c r="X156" t="str">
        <f>VLOOKUP(E156,'Transform table'!A:B,2,0)</f>
        <v>St George City</v>
      </c>
      <c r="Y156" t="str">
        <f>VLOOKUP(F156,'Transform table'!A:B,2,0)</f>
        <v>Sydney United 58</v>
      </c>
      <c r="Z156" t="str">
        <f t="shared" si="2"/>
        <v>25/07/2026St George CitySydney United 58</v>
      </c>
      <c r="AA156" t="str">
        <f>VLOOKUP($Z156,'oddspedia-matches'!$A:$AD,AA$2,0)</f>
        <v>1 - 0</v>
      </c>
      <c r="AB156" t="str">
        <f>VLOOKUP($Z156,'oddspedia-matches'!$A:$AD,AB$2,0)</f>
        <v>Green</v>
      </c>
      <c r="AC156" t="str">
        <f>VLOOKUP($Z156,'oddspedia-matches'!$A:$AD,AC$2,0)</f>
        <v>Red</v>
      </c>
      <c r="AD156" t="str">
        <f>VLOOKUP($Z156,'oddspedia-matches'!$A:$AD,AD$2,0)</f>
        <v>Red</v>
      </c>
      <c r="AE156" t="str">
        <f>VLOOKUP($Z156,'oddspedia-matches'!$A:$AD,AE$2,0)</f>
        <v>Green</v>
      </c>
      <c r="AF156" t="str">
        <f>VLOOKUP($Z156,'oddspedia-matches'!$A:$AD,AF$2,0)</f>
        <v>Red</v>
      </c>
      <c r="AG156" t="str">
        <f>VLOOKUP($Z156,'oddspedia-matches'!$A:$AD,AG$2,0)</f>
        <v>Green</v>
      </c>
      <c r="AH156" t="str">
        <f>VLOOKUP($Z156,'oddspedia-matches'!$A:$AD,AH$2,0)</f>
        <v>Red</v>
      </c>
      <c r="AI156" t="str">
        <f>VLOOKUP($Z156,'oddspedia-matches'!$A:$AD,AI$2,0)</f>
        <v>Green</v>
      </c>
      <c r="AJ156" t="str">
        <f>VLOOKUP($Z156,'oddspedia-matches'!$A:$AD,AJ$2,0)</f>
        <v>Red</v>
      </c>
      <c r="AK156" t="str">
        <f>VLOOKUP($Z156,'oddspedia-matches'!$A:$AD,AK$2,0)</f>
        <v>Red</v>
      </c>
      <c r="AL156" t="str">
        <f>VLOOKUP($Z156,'oddspedia-matches'!$A:$AD,AL$2,0)</f>
        <v>Red</v>
      </c>
      <c r="AM156" t="str">
        <f>VLOOKUP($Z156,'oddspedia-matches'!$A:$AD,AM$2,0)</f>
        <v>Red</v>
      </c>
      <c r="AN156" t="str">
        <f>VLOOKUP($Z156,'oddspedia-matches'!$A:$AD,AN$2,0)</f>
        <v>Green</v>
      </c>
      <c r="AO156" t="str">
        <f>VLOOKUP($Z156,'oddspedia-matches'!$A:$AD,AO$2,0)</f>
        <v>Green</v>
      </c>
      <c r="AP156" t="str">
        <f>VLOOKUP($Z156,'oddspedia-matches'!$A:$AD,AP$2,0)</f>
        <v>Red</v>
      </c>
      <c r="AQ156" t="str">
        <f>VLOOKUP($Z156,'oddspedia-matches'!$A:$AD,AQ$2,0)</f>
        <v>Green</v>
      </c>
    </row>
    <row r="157" spans="2:43" x14ac:dyDescent="0.2">
      <c r="B157" s="17" t="s">
        <v>543</v>
      </c>
      <c r="C157" s="8" t="s">
        <v>490</v>
      </c>
      <c r="D157" s="18">
        <v>0.27083333333333331</v>
      </c>
      <c r="E157" s="8" t="s">
        <v>544</v>
      </c>
      <c r="F157" s="8" t="s">
        <v>545</v>
      </c>
      <c r="G157" s="19"/>
      <c r="H157" s="8">
        <v>41.2</v>
      </c>
      <c r="I157" s="8">
        <v>27.2</v>
      </c>
      <c r="J157" s="8">
        <v>31.6</v>
      </c>
      <c r="K157" s="8">
        <v>68.400000000000006</v>
      </c>
      <c r="L157" s="8">
        <v>58.8</v>
      </c>
      <c r="M157" s="8">
        <v>72.8</v>
      </c>
      <c r="N157" s="8">
        <v>24.8</v>
      </c>
      <c r="O157" s="8">
        <v>49.5</v>
      </c>
      <c r="P157" s="8">
        <v>25.6</v>
      </c>
      <c r="Q157" s="8">
        <v>60.7</v>
      </c>
      <c r="R157" s="8">
        <v>80.900000000000006</v>
      </c>
      <c r="S157" s="8">
        <v>57.2</v>
      </c>
      <c r="T157" s="8">
        <v>42.8</v>
      </c>
      <c r="U157" s="8">
        <v>48.5</v>
      </c>
      <c r="V157" s="8">
        <v>61</v>
      </c>
      <c r="W157" s="8">
        <v>39</v>
      </c>
      <c r="X157" t="str">
        <f>VLOOKUP(E157,'Transform table'!A:B,2,0)</f>
        <v>Qingdao Jonoon</v>
      </c>
      <c r="Y157" t="str">
        <f>VLOOKUP(F157,'Transform table'!A:B,2,0)</f>
        <v>Tianjin Teda</v>
      </c>
      <c r="Z157" t="str">
        <f t="shared" si="2"/>
        <v>25/07/2026Qingdao JonoonTianjin Teda</v>
      </c>
      <c r="AA157" t="str">
        <f>VLOOKUP($Z157,'oddspedia-matches'!$A:$AD,AA$2,0)</f>
        <v>0 - 2</v>
      </c>
      <c r="AB157" t="str">
        <f>VLOOKUP($Z157,'oddspedia-matches'!$A:$AD,AB$2,0)</f>
        <v>Red</v>
      </c>
      <c r="AC157" t="str">
        <f>VLOOKUP($Z157,'oddspedia-matches'!$A:$AD,AC$2,0)</f>
        <v>Red</v>
      </c>
      <c r="AD157" t="str">
        <f>VLOOKUP($Z157,'oddspedia-matches'!$A:$AD,AD$2,0)</f>
        <v>Green</v>
      </c>
      <c r="AE157" t="str">
        <f>VLOOKUP($Z157,'oddspedia-matches'!$A:$AD,AE$2,0)</f>
        <v>Red</v>
      </c>
      <c r="AF157" t="str">
        <f>VLOOKUP($Z157,'oddspedia-matches'!$A:$AD,AF$2,0)</f>
        <v>Green</v>
      </c>
      <c r="AG157" t="str">
        <f>VLOOKUP($Z157,'oddspedia-matches'!$A:$AD,AG$2,0)</f>
        <v>Green</v>
      </c>
      <c r="AH157" t="str">
        <f>VLOOKUP($Z157,'oddspedia-matches'!$A:$AD,AH$2,0)</f>
        <v>Red</v>
      </c>
      <c r="AI157" t="str">
        <f>VLOOKUP($Z157,'oddspedia-matches'!$A:$AD,AI$2,0)</f>
        <v>Red</v>
      </c>
      <c r="AJ157" t="str">
        <f>VLOOKUP($Z157,'oddspedia-matches'!$A:$AD,AJ$2,0)</f>
        <v>Green</v>
      </c>
      <c r="AK157" t="str">
        <f>VLOOKUP($Z157,'oddspedia-matches'!$A:$AD,AK$2,0)</f>
        <v>Green</v>
      </c>
      <c r="AL157" t="str">
        <f>VLOOKUP($Z157,'oddspedia-matches'!$A:$AD,AL$2,0)</f>
        <v>Green</v>
      </c>
      <c r="AM157" t="str">
        <f>VLOOKUP($Z157,'oddspedia-matches'!$A:$AD,AM$2,0)</f>
        <v>Red</v>
      </c>
      <c r="AN157" t="str">
        <f>VLOOKUP($Z157,'oddspedia-matches'!$A:$AD,AN$2,0)</f>
        <v>Green</v>
      </c>
      <c r="AO157" t="str">
        <f>VLOOKUP($Z157,'oddspedia-matches'!$A:$AD,AO$2,0)</f>
        <v>Green</v>
      </c>
      <c r="AP157" t="str">
        <f>VLOOKUP($Z157,'oddspedia-matches'!$A:$AD,AP$2,0)</f>
        <v>Red</v>
      </c>
      <c r="AQ157" t="str">
        <f>VLOOKUP($Z157,'oddspedia-matches'!$A:$AD,AQ$2,0)</f>
        <v>Green</v>
      </c>
    </row>
    <row r="158" spans="2:43" x14ac:dyDescent="0.2">
      <c r="B158" s="9" t="s">
        <v>546</v>
      </c>
      <c r="C158" s="7" t="s">
        <v>490</v>
      </c>
      <c r="D158" s="20">
        <v>0.27083333333333331</v>
      </c>
      <c r="E158" s="7" t="s">
        <v>402</v>
      </c>
      <c r="F158" s="7" t="s">
        <v>547</v>
      </c>
      <c r="G158" s="21"/>
      <c r="H158" s="7">
        <v>42.8</v>
      </c>
      <c r="I158" s="7">
        <v>37.4</v>
      </c>
      <c r="J158" s="7">
        <v>19.899999999999999</v>
      </c>
      <c r="K158" s="7">
        <v>80.099999999999994</v>
      </c>
      <c r="L158" s="7">
        <v>57.2</v>
      </c>
      <c r="M158" s="7">
        <v>62.6</v>
      </c>
      <c r="N158" s="7">
        <v>31.5</v>
      </c>
      <c r="O158" s="7">
        <v>54.7</v>
      </c>
      <c r="P158" s="7">
        <v>13.8</v>
      </c>
      <c r="Q158" s="7">
        <v>51.8</v>
      </c>
      <c r="R158" s="7">
        <v>45.6</v>
      </c>
      <c r="S158" s="7">
        <v>19.3</v>
      </c>
      <c r="T158" s="7">
        <v>80.7</v>
      </c>
      <c r="U158" s="7">
        <v>84.6</v>
      </c>
      <c r="V158" s="7">
        <v>27.3</v>
      </c>
      <c r="W158" s="7">
        <v>72.7</v>
      </c>
      <c r="X158" t="str">
        <f>VLOOKUP(E158,'Transform table'!A:B,2,0)</f>
        <v>Dalian Kewei</v>
      </c>
      <c r="Y158" t="str">
        <f>VLOOKUP(F158,'Transform table'!A:B,2,0)</f>
        <v>Dalian Yingbo Reserves</v>
      </c>
      <c r="Z158" t="str">
        <f t="shared" si="2"/>
        <v>25/07/2026Dalian KeweiDalian Yingbo Reserves</v>
      </c>
      <c r="AA158" t="str">
        <f>VLOOKUP($Z158,'oddspedia-matches'!$A:$AD,AA$2,0)</f>
        <v>2 - 0</v>
      </c>
      <c r="AB158" t="str">
        <f>VLOOKUP($Z158,'oddspedia-matches'!$A:$AD,AB$2,0)</f>
        <v>Green</v>
      </c>
      <c r="AC158" t="str">
        <f>VLOOKUP($Z158,'oddspedia-matches'!$A:$AD,AC$2,0)</f>
        <v>Red</v>
      </c>
      <c r="AD158" t="str">
        <f>VLOOKUP($Z158,'oddspedia-matches'!$A:$AD,AD$2,0)</f>
        <v>Red</v>
      </c>
      <c r="AE158" t="str">
        <f>VLOOKUP($Z158,'oddspedia-matches'!$A:$AD,AE$2,0)</f>
        <v>Green</v>
      </c>
      <c r="AF158" t="str">
        <f>VLOOKUP($Z158,'oddspedia-matches'!$A:$AD,AF$2,0)</f>
        <v>Red</v>
      </c>
      <c r="AG158" t="str">
        <f>VLOOKUP($Z158,'oddspedia-matches'!$A:$AD,AG$2,0)</f>
        <v>Green</v>
      </c>
      <c r="AH158" t="str">
        <f>VLOOKUP($Z158,'oddspedia-matches'!$A:$AD,AH$2,0)</f>
        <v>Green</v>
      </c>
      <c r="AI158" t="str">
        <f>VLOOKUP($Z158,'oddspedia-matches'!$A:$AD,AI$2,0)</f>
        <v>Red</v>
      </c>
      <c r="AJ158" t="str">
        <f>VLOOKUP($Z158,'oddspedia-matches'!$A:$AD,AJ$2,0)</f>
        <v>Red</v>
      </c>
      <c r="AK158" t="str">
        <f>VLOOKUP($Z158,'oddspedia-matches'!$A:$AD,AK$2,0)</f>
        <v>Green</v>
      </c>
      <c r="AL158" t="str">
        <f>VLOOKUP($Z158,'oddspedia-matches'!$A:$AD,AL$2,0)</f>
        <v>Green</v>
      </c>
      <c r="AM158" t="str">
        <f>VLOOKUP($Z158,'oddspedia-matches'!$A:$AD,AM$2,0)</f>
        <v>Red</v>
      </c>
      <c r="AN158" t="str">
        <f>VLOOKUP($Z158,'oddspedia-matches'!$A:$AD,AN$2,0)</f>
        <v>Green</v>
      </c>
      <c r="AO158" t="str">
        <f>VLOOKUP($Z158,'oddspedia-matches'!$A:$AD,AO$2,0)</f>
        <v>Green</v>
      </c>
      <c r="AP158" t="str">
        <f>VLOOKUP($Z158,'oddspedia-matches'!$A:$AD,AP$2,0)</f>
        <v>Red</v>
      </c>
      <c r="AQ158" t="str">
        <f>VLOOKUP($Z158,'oddspedia-matches'!$A:$AD,AQ$2,0)</f>
        <v>Green</v>
      </c>
    </row>
    <row r="159" spans="2:43" x14ac:dyDescent="0.2">
      <c r="B159" s="17" t="s">
        <v>498</v>
      </c>
      <c r="C159" s="8" t="s">
        <v>490</v>
      </c>
      <c r="D159" s="18">
        <v>0.28125</v>
      </c>
      <c r="E159" s="8" t="s">
        <v>548</v>
      </c>
      <c r="F159" s="8" t="s">
        <v>549</v>
      </c>
      <c r="G159" s="19"/>
      <c r="H159" s="8">
        <v>61.5</v>
      </c>
      <c r="I159" s="8">
        <v>23.1</v>
      </c>
      <c r="J159" s="8">
        <v>15.3</v>
      </c>
      <c r="K159" s="8">
        <v>84.7</v>
      </c>
      <c r="L159" s="8">
        <v>38.5</v>
      </c>
      <c r="M159" s="8">
        <v>76.900000000000006</v>
      </c>
      <c r="N159" s="8">
        <v>61.2</v>
      </c>
      <c r="O159" s="8">
        <v>27.6</v>
      </c>
      <c r="P159" s="8">
        <v>11.2</v>
      </c>
      <c r="Q159" s="8">
        <v>85.5</v>
      </c>
      <c r="R159" s="8">
        <v>90.3</v>
      </c>
      <c r="S159" s="8">
        <v>73.8</v>
      </c>
      <c r="T159" s="8">
        <v>26.2</v>
      </c>
      <c r="U159" s="8">
        <v>33.299999999999997</v>
      </c>
      <c r="V159" s="8">
        <v>67.599999999999994</v>
      </c>
      <c r="W159" s="8">
        <v>32.4</v>
      </c>
      <c r="X159" t="str">
        <f>VLOOKUP(E159,'Transform table'!A:B,2,0)</f>
        <v>North Eastern MetroStars</v>
      </c>
      <c r="Y159" t="str">
        <f>VLOOKUP(F159,'Transform table'!A:B,2,0)</f>
        <v>West Adelaide</v>
      </c>
      <c r="Z159" t="str">
        <f t="shared" si="2"/>
        <v>25/07/2026North Eastern MetroStarsWest Adelaide</v>
      </c>
      <c r="AA159" t="str">
        <f>VLOOKUP($Z159,'oddspedia-matches'!$A:$AD,AA$2,0)</f>
        <v>1 - 3</v>
      </c>
      <c r="AB159" t="str">
        <f>VLOOKUP($Z159,'oddspedia-matches'!$A:$AD,AB$2,0)</f>
        <v>Red</v>
      </c>
      <c r="AC159" t="str">
        <f>VLOOKUP($Z159,'oddspedia-matches'!$A:$AD,AC$2,0)</f>
        <v>Red</v>
      </c>
      <c r="AD159" t="str">
        <f>VLOOKUP($Z159,'oddspedia-matches'!$A:$AD,AD$2,0)</f>
        <v>Green</v>
      </c>
      <c r="AE159" t="str">
        <f>VLOOKUP($Z159,'oddspedia-matches'!$A:$AD,AE$2,0)</f>
        <v>Red</v>
      </c>
      <c r="AF159" t="str">
        <f>VLOOKUP($Z159,'oddspedia-matches'!$A:$AD,AF$2,0)</f>
        <v>Green</v>
      </c>
      <c r="AG159" t="str">
        <f>VLOOKUP($Z159,'oddspedia-matches'!$A:$AD,AG$2,0)</f>
        <v>Green</v>
      </c>
      <c r="AH159" t="str">
        <f>VLOOKUP($Z159,'oddspedia-matches'!$A:$AD,AH$2,0)</f>
        <v>Red</v>
      </c>
      <c r="AI159" t="str">
        <f>VLOOKUP($Z159,'oddspedia-matches'!$A:$AD,AI$2,0)</f>
        <v>Red</v>
      </c>
      <c r="AJ159" t="str">
        <f>VLOOKUP($Z159,'oddspedia-matches'!$A:$AD,AJ$2,0)</f>
        <v>Green</v>
      </c>
      <c r="AK159" t="str">
        <f>VLOOKUP($Z159,'oddspedia-matches'!$A:$AD,AK$2,0)</f>
        <v>Green</v>
      </c>
      <c r="AL159" t="str">
        <f>VLOOKUP($Z159,'oddspedia-matches'!$A:$AD,AL$2,0)</f>
        <v>Green</v>
      </c>
      <c r="AM159" t="str">
        <f>VLOOKUP($Z159,'oddspedia-matches'!$A:$AD,AM$2,0)</f>
        <v>Green</v>
      </c>
      <c r="AN159" t="str">
        <f>VLOOKUP($Z159,'oddspedia-matches'!$A:$AD,AN$2,0)</f>
        <v>Red</v>
      </c>
      <c r="AO159" t="str">
        <f>VLOOKUP($Z159,'oddspedia-matches'!$A:$AD,AO$2,0)</f>
        <v>Red</v>
      </c>
      <c r="AP159" t="str">
        <f>VLOOKUP($Z159,'oddspedia-matches'!$A:$AD,AP$2,0)</f>
        <v>Green</v>
      </c>
      <c r="AQ159" t="str">
        <f>VLOOKUP($Z159,'oddspedia-matches'!$A:$AD,AQ$2,0)</f>
        <v>Red</v>
      </c>
    </row>
    <row r="160" spans="2:43" x14ac:dyDescent="0.2">
      <c r="B160" s="9" t="s">
        <v>446</v>
      </c>
      <c r="C160" s="7" t="s">
        <v>490</v>
      </c>
      <c r="D160" s="20">
        <v>0.3125</v>
      </c>
      <c r="E160" s="7" t="s">
        <v>30</v>
      </c>
      <c r="F160" s="7" t="s">
        <v>219</v>
      </c>
      <c r="G160" s="21"/>
      <c r="H160" s="7">
        <v>35.200000000000003</v>
      </c>
      <c r="I160" s="7">
        <v>31</v>
      </c>
      <c r="J160" s="7">
        <v>33.799999999999997</v>
      </c>
      <c r="K160" s="7">
        <v>66.2</v>
      </c>
      <c r="L160" s="7">
        <v>64.8</v>
      </c>
      <c r="M160" s="7">
        <v>69</v>
      </c>
      <c r="N160" s="7">
        <v>22.8</v>
      </c>
      <c r="O160" s="7">
        <v>49</v>
      </c>
      <c r="P160" s="7">
        <v>28.2</v>
      </c>
      <c r="Q160" s="7">
        <v>61.3</v>
      </c>
      <c r="R160" s="7">
        <v>68.900000000000006</v>
      </c>
      <c r="S160" s="7">
        <v>41.1</v>
      </c>
      <c r="T160" s="7">
        <v>58.9</v>
      </c>
      <c r="U160" s="7">
        <v>64</v>
      </c>
      <c r="V160" s="7">
        <v>48.7</v>
      </c>
      <c r="W160" s="7">
        <v>51.3</v>
      </c>
      <c r="X160" t="str">
        <f>VLOOKUP(E160,'Transform table'!A:B,2,0)</f>
        <v>Sangju Sangmu</v>
      </c>
      <c r="Y160" t="str">
        <f>VLOOKUP(F160,'Transform table'!A:B,2,0)</f>
        <v>Daejeon Citizen</v>
      </c>
      <c r="Z160" t="str">
        <f t="shared" si="2"/>
        <v>25/07/2026Sangju SangmuDaejeon Citizen</v>
      </c>
      <c r="AA160" t="str">
        <f>VLOOKUP($Z160,'oddspedia-matches'!$A:$AD,AA$2,0)</f>
        <v>3 - 2</v>
      </c>
      <c r="AB160" t="str">
        <f>VLOOKUP($Z160,'oddspedia-matches'!$A:$AD,AB$2,0)</f>
        <v>Green</v>
      </c>
      <c r="AC160" t="str">
        <f>VLOOKUP($Z160,'oddspedia-matches'!$A:$AD,AC$2,0)</f>
        <v>Red</v>
      </c>
      <c r="AD160" t="str">
        <f>VLOOKUP($Z160,'oddspedia-matches'!$A:$AD,AD$2,0)</f>
        <v>Red</v>
      </c>
      <c r="AE160" t="str">
        <f>VLOOKUP($Z160,'oddspedia-matches'!$A:$AD,AE$2,0)</f>
        <v>Green</v>
      </c>
      <c r="AF160" t="str">
        <f>VLOOKUP($Z160,'oddspedia-matches'!$A:$AD,AF$2,0)</f>
        <v>Red</v>
      </c>
      <c r="AG160" t="str">
        <f>VLOOKUP($Z160,'oddspedia-matches'!$A:$AD,AG$2,0)</f>
        <v>Green</v>
      </c>
      <c r="AH160" t="str">
        <f>VLOOKUP($Z160,'oddspedia-matches'!$A:$AD,AH$2,0)</f>
        <v>Green</v>
      </c>
      <c r="AI160" t="str">
        <f>VLOOKUP($Z160,'oddspedia-matches'!$A:$AD,AI$2,0)</f>
        <v>Red</v>
      </c>
      <c r="AJ160" t="str">
        <f>VLOOKUP($Z160,'oddspedia-matches'!$A:$AD,AJ$2,0)</f>
        <v>Red</v>
      </c>
      <c r="AK160" t="str">
        <f>VLOOKUP($Z160,'oddspedia-matches'!$A:$AD,AK$2,0)</f>
        <v>Green</v>
      </c>
      <c r="AL160" t="str">
        <f>VLOOKUP($Z160,'oddspedia-matches'!$A:$AD,AL$2,0)</f>
        <v>Green</v>
      </c>
      <c r="AM160" t="str">
        <f>VLOOKUP($Z160,'oddspedia-matches'!$A:$AD,AM$2,0)</f>
        <v>Green</v>
      </c>
      <c r="AN160" t="str">
        <f>VLOOKUP($Z160,'oddspedia-matches'!$A:$AD,AN$2,0)</f>
        <v>Red</v>
      </c>
      <c r="AO160" t="str">
        <f>VLOOKUP($Z160,'oddspedia-matches'!$A:$AD,AO$2,0)</f>
        <v>Red</v>
      </c>
      <c r="AP160" t="str">
        <f>VLOOKUP($Z160,'oddspedia-matches'!$A:$AD,AP$2,0)</f>
        <v>Green</v>
      </c>
      <c r="AQ160" t="str">
        <f>VLOOKUP($Z160,'oddspedia-matches'!$A:$AD,AQ$2,0)</f>
        <v>Red</v>
      </c>
    </row>
    <row r="161" spans="2:43" x14ac:dyDescent="0.2">
      <c r="B161" s="17" t="s">
        <v>446</v>
      </c>
      <c r="C161" s="8" t="s">
        <v>490</v>
      </c>
      <c r="D161" s="18">
        <v>0.3125</v>
      </c>
      <c r="E161" s="8" t="s">
        <v>28</v>
      </c>
      <c r="F161" s="8" t="s">
        <v>218</v>
      </c>
      <c r="G161" s="19"/>
      <c r="H161" s="8">
        <v>38.4</v>
      </c>
      <c r="I161" s="8">
        <v>32.700000000000003</v>
      </c>
      <c r="J161" s="8">
        <v>28.9</v>
      </c>
      <c r="K161" s="8">
        <v>71.099999999999994</v>
      </c>
      <c r="L161" s="8">
        <v>61.6</v>
      </c>
      <c r="M161" s="8">
        <v>67.3</v>
      </c>
      <c r="N161" s="8">
        <v>23.6</v>
      </c>
      <c r="O161" s="8">
        <v>51.4</v>
      </c>
      <c r="P161" s="8">
        <v>25</v>
      </c>
      <c r="Q161" s="8">
        <v>57.8</v>
      </c>
      <c r="R161" s="8">
        <v>62.3</v>
      </c>
      <c r="S161" s="8">
        <v>33.9</v>
      </c>
      <c r="T161" s="8">
        <v>66.099999999999994</v>
      </c>
      <c r="U161" s="8">
        <v>70.900000000000006</v>
      </c>
      <c r="V161" s="8">
        <v>42.4</v>
      </c>
      <c r="W161" s="8">
        <v>57.6</v>
      </c>
      <c r="X161" t="str">
        <f>VLOOKUP(E161,'Transform table'!A:B,2,0)</f>
        <v>Pohang Steelers</v>
      </c>
      <c r="Y161" t="str">
        <f>VLOOKUP(F161,'Transform table'!A:B,2,0)</f>
        <v>Jeonbuk Hyundai Motors</v>
      </c>
      <c r="Z161" t="str">
        <f t="shared" si="2"/>
        <v>25/07/2026Pohang SteelersJeonbuk Hyundai Motors</v>
      </c>
      <c r="AA161" t="str">
        <f>VLOOKUP($Z161,'oddspedia-matches'!$A:$AD,AA$2,0)</f>
        <v>0 - 2</v>
      </c>
      <c r="AB161" t="str">
        <f>VLOOKUP($Z161,'oddspedia-matches'!$A:$AD,AB$2,0)</f>
        <v>Red</v>
      </c>
      <c r="AC161" t="str">
        <f>VLOOKUP($Z161,'oddspedia-matches'!$A:$AD,AC$2,0)</f>
        <v>Red</v>
      </c>
      <c r="AD161" t="str">
        <f>VLOOKUP($Z161,'oddspedia-matches'!$A:$AD,AD$2,0)</f>
        <v>Green</v>
      </c>
      <c r="AE161" t="str">
        <f>VLOOKUP($Z161,'oddspedia-matches'!$A:$AD,AE$2,0)</f>
        <v>Red</v>
      </c>
      <c r="AF161" t="str">
        <f>VLOOKUP($Z161,'oddspedia-matches'!$A:$AD,AF$2,0)</f>
        <v>Green</v>
      </c>
      <c r="AG161" t="str">
        <f>VLOOKUP($Z161,'oddspedia-matches'!$A:$AD,AG$2,0)</f>
        <v>Green</v>
      </c>
      <c r="AH161" t="str">
        <f>VLOOKUP($Z161,'oddspedia-matches'!$A:$AD,AH$2,0)</f>
        <v>Red</v>
      </c>
      <c r="AI161" t="str">
        <f>VLOOKUP($Z161,'oddspedia-matches'!$A:$AD,AI$2,0)</f>
        <v>Red</v>
      </c>
      <c r="AJ161" t="str">
        <f>VLOOKUP($Z161,'oddspedia-matches'!$A:$AD,AJ$2,0)</f>
        <v>Green</v>
      </c>
      <c r="AK161" t="str">
        <f>VLOOKUP($Z161,'oddspedia-matches'!$A:$AD,AK$2,0)</f>
        <v>Green</v>
      </c>
      <c r="AL161" t="str">
        <f>VLOOKUP($Z161,'oddspedia-matches'!$A:$AD,AL$2,0)</f>
        <v>Green</v>
      </c>
      <c r="AM161" t="str">
        <f>VLOOKUP($Z161,'oddspedia-matches'!$A:$AD,AM$2,0)</f>
        <v>Red</v>
      </c>
      <c r="AN161" t="str">
        <f>VLOOKUP($Z161,'oddspedia-matches'!$A:$AD,AN$2,0)</f>
        <v>Green</v>
      </c>
      <c r="AO161" t="str">
        <f>VLOOKUP($Z161,'oddspedia-matches'!$A:$AD,AO$2,0)</f>
        <v>Green</v>
      </c>
      <c r="AP161" t="str">
        <f>VLOOKUP($Z161,'oddspedia-matches'!$A:$AD,AP$2,0)</f>
        <v>Red</v>
      </c>
      <c r="AQ161" t="str">
        <f>VLOOKUP($Z161,'oddspedia-matches'!$A:$AD,AQ$2,0)</f>
        <v>Green</v>
      </c>
    </row>
    <row r="162" spans="2:43" x14ac:dyDescent="0.2">
      <c r="B162" s="9" t="s">
        <v>473</v>
      </c>
      <c r="C162" s="7" t="s">
        <v>490</v>
      </c>
      <c r="D162" s="20">
        <v>0.3125</v>
      </c>
      <c r="E162" s="7" t="s">
        <v>550</v>
      </c>
      <c r="F162" s="7" t="s">
        <v>551</v>
      </c>
      <c r="G162" s="21"/>
      <c r="H162" s="7">
        <v>48.6</v>
      </c>
      <c r="I162" s="7">
        <v>27.2</v>
      </c>
      <c r="J162" s="7">
        <v>24.2</v>
      </c>
      <c r="K162" s="7">
        <v>75.8</v>
      </c>
      <c r="L162" s="7">
        <v>51.4</v>
      </c>
      <c r="M162" s="7">
        <v>72.8</v>
      </c>
      <c r="N162" s="7">
        <v>30.2</v>
      </c>
      <c r="O162" s="7">
        <v>45.9</v>
      </c>
      <c r="P162" s="7">
        <v>23.8</v>
      </c>
      <c r="Q162" s="7">
        <v>65.8</v>
      </c>
      <c r="R162" s="7">
        <v>76.900000000000006</v>
      </c>
      <c r="S162" s="7">
        <v>51.5</v>
      </c>
      <c r="T162" s="7">
        <v>48.5</v>
      </c>
      <c r="U162" s="7">
        <v>54.7</v>
      </c>
      <c r="V162" s="7">
        <v>55</v>
      </c>
      <c r="W162" s="7">
        <v>45</v>
      </c>
      <c r="X162" t="str">
        <f>VLOOKUP(E162,'Transform table'!A:B,2,0)</f>
        <v>Busan IPark</v>
      </c>
      <c r="Y162" t="str">
        <f>VLOOKUP(F162,'Transform table'!A:B,2,0)</f>
        <v>Suwon Samsung Bluewings</v>
      </c>
      <c r="Z162" t="str">
        <f t="shared" si="2"/>
        <v>25/07/2026Busan IParkSuwon Samsung Bluewings</v>
      </c>
      <c r="AA162" t="str">
        <f>VLOOKUP($Z162,'oddspedia-matches'!$A:$AD,AA$2,0)</f>
        <v>1 - 4</v>
      </c>
      <c r="AB162" t="str">
        <f>VLOOKUP($Z162,'oddspedia-matches'!$A:$AD,AB$2,0)</f>
        <v>Red</v>
      </c>
      <c r="AC162" t="str">
        <f>VLOOKUP($Z162,'oddspedia-matches'!$A:$AD,AC$2,0)</f>
        <v>Red</v>
      </c>
      <c r="AD162" t="str">
        <f>VLOOKUP($Z162,'oddspedia-matches'!$A:$AD,AD$2,0)</f>
        <v>Green</v>
      </c>
      <c r="AE162" t="str">
        <f>VLOOKUP($Z162,'oddspedia-matches'!$A:$AD,AE$2,0)</f>
        <v>Red</v>
      </c>
      <c r="AF162" t="str">
        <f>VLOOKUP($Z162,'oddspedia-matches'!$A:$AD,AF$2,0)</f>
        <v>Green</v>
      </c>
      <c r="AG162" t="str">
        <f>VLOOKUP($Z162,'oddspedia-matches'!$A:$AD,AG$2,0)</f>
        <v>Green</v>
      </c>
      <c r="AH162" t="str">
        <f>VLOOKUP($Z162,'oddspedia-matches'!$A:$AD,AH$2,0)</f>
        <v>Red</v>
      </c>
      <c r="AI162" t="str">
        <f>VLOOKUP($Z162,'oddspedia-matches'!$A:$AD,AI$2,0)</f>
        <v>Green</v>
      </c>
      <c r="AJ162" t="str">
        <f>VLOOKUP($Z162,'oddspedia-matches'!$A:$AD,AJ$2,0)</f>
        <v>Red</v>
      </c>
      <c r="AK162" t="str">
        <f>VLOOKUP($Z162,'oddspedia-matches'!$A:$AD,AK$2,0)</f>
        <v>Green</v>
      </c>
      <c r="AL162" t="str">
        <f>VLOOKUP($Z162,'oddspedia-matches'!$A:$AD,AL$2,0)</f>
        <v>Green</v>
      </c>
      <c r="AM162" t="str">
        <f>VLOOKUP($Z162,'oddspedia-matches'!$A:$AD,AM$2,0)</f>
        <v>Green</v>
      </c>
      <c r="AN162" t="str">
        <f>VLOOKUP($Z162,'oddspedia-matches'!$A:$AD,AN$2,0)</f>
        <v>Red</v>
      </c>
      <c r="AO162" t="str">
        <f>VLOOKUP($Z162,'oddspedia-matches'!$A:$AD,AO$2,0)</f>
        <v>Red</v>
      </c>
      <c r="AP162" t="str">
        <f>VLOOKUP($Z162,'oddspedia-matches'!$A:$AD,AP$2,0)</f>
        <v>Green</v>
      </c>
      <c r="AQ162" t="str">
        <f>VLOOKUP($Z162,'oddspedia-matches'!$A:$AD,AQ$2,0)</f>
        <v>Red</v>
      </c>
    </row>
    <row r="163" spans="2:43" x14ac:dyDescent="0.2">
      <c r="B163" s="17" t="s">
        <v>473</v>
      </c>
      <c r="C163" s="8" t="s">
        <v>490</v>
      </c>
      <c r="D163" s="18">
        <v>0.3125</v>
      </c>
      <c r="E163" s="8" t="s">
        <v>552</v>
      </c>
      <c r="F163" s="8" t="s">
        <v>553</v>
      </c>
      <c r="G163" s="19"/>
      <c r="H163" s="8">
        <v>45.4</v>
      </c>
      <c r="I163" s="8">
        <v>25.4</v>
      </c>
      <c r="J163" s="8">
        <v>29.1</v>
      </c>
      <c r="K163" s="8">
        <v>70.900000000000006</v>
      </c>
      <c r="L163" s="8">
        <v>54.6</v>
      </c>
      <c r="M163" s="8">
        <v>74.599999999999994</v>
      </c>
      <c r="N163" s="8">
        <v>35.6</v>
      </c>
      <c r="O163" s="8">
        <v>39.1</v>
      </c>
      <c r="P163" s="8">
        <v>25.3</v>
      </c>
      <c r="Q163" s="8">
        <v>76.099999999999994</v>
      </c>
      <c r="R163" s="8">
        <v>87.2</v>
      </c>
      <c r="S163" s="8">
        <v>67.7</v>
      </c>
      <c r="T163" s="8">
        <v>32.299999999999997</v>
      </c>
      <c r="U163" s="8">
        <v>37.9</v>
      </c>
      <c r="V163" s="8">
        <v>68.599999999999994</v>
      </c>
      <c r="W163" s="8">
        <v>31.4</v>
      </c>
      <c r="X163" t="str">
        <f>VLOOKUP(E163,'Transform table'!A:B,2,0)</f>
        <v>Daegu</v>
      </c>
      <c r="Y163" t="str">
        <f>VLOOKUP(F163,'Transform table'!A:B,2,0)</f>
        <v>Suwon FC</v>
      </c>
      <c r="Z163" t="str">
        <f t="shared" si="2"/>
        <v>25/07/2026DaeguSuwon FC</v>
      </c>
      <c r="AA163" t="str">
        <f>VLOOKUP($Z163,'oddspedia-matches'!$A:$AD,AA$2,0)</f>
        <v>1 - 2</v>
      </c>
      <c r="AB163" t="str">
        <f>VLOOKUP($Z163,'oddspedia-matches'!$A:$AD,AB$2,0)</f>
        <v>Red</v>
      </c>
      <c r="AC163" t="str">
        <f>VLOOKUP($Z163,'oddspedia-matches'!$A:$AD,AC$2,0)</f>
        <v>Red</v>
      </c>
      <c r="AD163" t="str">
        <f>VLOOKUP($Z163,'oddspedia-matches'!$A:$AD,AD$2,0)</f>
        <v>Green</v>
      </c>
      <c r="AE163" t="str">
        <f>VLOOKUP($Z163,'oddspedia-matches'!$A:$AD,AE$2,0)</f>
        <v>Red</v>
      </c>
      <c r="AF163" t="str">
        <f>VLOOKUP($Z163,'oddspedia-matches'!$A:$AD,AF$2,0)</f>
        <v>Green</v>
      </c>
      <c r="AG163" t="str">
        <f>VLOOKUP($Z163,'oddspedia-matches'!$A:$AD,AG$2,0)</f>
        <v>Green</v>
      </c>
      <c r="AH163" t="str">
        <f>VLOOKUP($Z163,'oddspedia-matches'!$A:$AD,AH$2,0)</f>
        <v>Red</v>
      </c>
      <c r="AI163" t="str">
        <f>VLOOKUP($Z163,'oddspedia-matches'!$A:$AD,AI$2,0)</f>
        <v>Red</v>
      </c>
      <c r="AJ163" t="str">
        <f>VLOOKUP($Z163,'oddspedia-matches'!$A:$AD,AJ$2,0)</f>
        <v>Green</v>
      </c>
      <c r="AK163" t="str">
        <f>VLOOKUP($Z163,'oddspedia-matches'!$A:$AD,AK$2,0)</f>
        <v>Green</v>
      </c>
      <c r="AL163" t="str">
        <f>VLOOKUP($Z163,'oddspedia-matches'!$A:$AD,AL$2,0)</f>
        <v>Green</v>
      </c>
      <c r="AM163" t="str">
        <f>VLOOKUP($Z163,'oddspedia-matches'!$A:$AD,AM$2,0)</f>
        <v>Green</v>
      </c>
      <c r="AN163" t="str">
        <f>VLOOKUP($Z163,'oddspedia-matches'!$A:$AD,AN$2,0)</f>
        <v>Red</v>
      </c>
      <c r="AO163" t="str">
        <f>VLOOKUP($Z163,'oddspedia-matches'!$A:$AD,AO$2,0)</f>
        <v>Green</v>
      </c>
      <c r="AP163" t="str">
        <f>VLOOKUP($Z163,'oddspedia-matches'!$A:$AD,AP$2,0)</f>
        <v>Green</v>
      </c>
      <c r="AQ163" t="str">
        <f>VLOOKUP($Z163,'oddspedia-matches'!$A:$AD,AQ$2,0)</f>
        <v>Red</v>
      </c>
    </row>
    <row r="164" spans="2:43" x14ac:dyDescent="0.2">
      <c r="B164" s="9" t="s">
        <v>473</v>
      </c>
      <c r="C164" s="7" t="s">
        <v>490</v>
      </c>
      <c r="D164" s="20">
        <v>0.3125</v>
      </c>
      <c r="E164" s="7" t="s">
        <v>554</v>
      </c>
      <c r="F164" s="7" t="s">
        <v>555</v>
      </c>
      <c r="G164" s="21"/>
      <c r="H164" s="7">
        <v>47.3</v>
      </c>
      <c r="I164" s="7">
        <v>27.7</v>
      </c>
      <c r="J164" s="7">
        <v>25</v>
      </c>
      <c r="K164" s="7">
        <v>75</v>
      </c>
      <c r="L164" s="7">
        <v>52.7</v>
      </c>
      <c r="M164" s="7">
        <v>72.3</v>
      </c>
      <c r="N164" s="7">
        <v>41.1</v>
      </c>
      <c r="O164" s="7">
        <v>40.200000000000003</v>
      </c>
      <c r="P164" s="7">
        <v>18.7</v>
      </c>
      <c r="Q164" s="7">
        <v>72.7</v>
      </c>
      <c r="R164" s="7">
        <v>75.599999999999994</v>
      </c>
      <c r="S164" s="7">
        <v>49.7</v>
      </c>
      <c r="T164" s="7">
        <v>50.3</v>
      </c>
      <c r="U164" s="7">
        <v>56.4</v>
      </c>
      <c r="V164" s="7">
        <v>53.8</v>
      </c>
      <c r="W164" s="7">
        <v>46.2</v>
      </c>
      <c r="X164" t="str">
        <f>VLOOKUP(E164,'Transform table'!A:B,2,0)</f>
        <v>Hwaseong</v>
      </c>
      <c r="Y164" t="str">
        <f>VLOOKUP(F164,'Transform table'!A:B,2,0)</f>
        <v>Ansan Police</v>
      </c>
      <c r="Z164" t="str">
        <f t="shared" si="2"/>
        <v>25/07/2026HwaseongAnsan Police</v>
      </c>
      <c r="AA164" t="str">
        <f>VLOOKUP($Z164,'oddspedia-matches'!$A:$AD,AA$2,0)</f>
        <v>3 - 2</v>
      </c>
      <c r="AB164" t="str">
        <f>VLOOKUP($Z164,'oddspedia-matches'!$A:$AD,AB$2,0)</f>
        <v>Green</v>
      </c>
      <c r="AC164" t="str">
        <f>VLOOKUP($Z164,'oddspedia-matches'!$A:$AD,AC$2,0)</f>
        <v>Red</v>
      </c>
      <c r="AD164" t="str">
        <f>VLOOKUP($Z164,'oddspedia-matches'!$A:$AD,AD$2,0)</f>
        <v>Red</v>
      </c>
      <c r="AE164" t="str">
        <f>VLOOKUP($Z164,'oddspedia-matches'!$A:$AD,AE$2,0)</f>
        <v>Green</v>
      </c>
      <c r="AF164" t="str">
        <f>VLOOKUP($Z164,'oddspedia-matches'!$A:$AD,AF$2,0)</f>
        <v>Red</v>
      </c>
      <c r="AG164" t="str">
        <f>VLOOKUP($Z164,'oddspedia-matches'!$A:$AD,AG$2,0)</f>
        <v>Green</v>
      </c>
      <c r="AH164" t="str">
        <f>VLOOKUP($Z164,'oddspedia-matches'!$A:$AD,AH$2,0)</f>
        <v>Green</v>
      </c>
      <c r="AI164" t="str">
        <f>VLOOKUP($Z164,'oddspedia-matches'!$A:$AD,AI$2,0)</f>
        <v>Red</v>
      </c>
      <c r="AJ164" t="str">
        <f>VLOOKUP($Z164,'oddspedia-matches'!$A:$AD,AJ$2,0)</f>
        <v>Red</v>
      </c>
      <c r="AK164" t="str">
        <f>VLOOKUP($Z164,'oddspedia-matches'!$A:$AD,AK$2,0)</f>
        <v>Green</v>
      </c>
      <c r="AL164" t="str">
        <f>VLOOKUP($Z164,'oddspedia-matches'!$A:$AD,AL$2,0)</f>
        <v>Green</v>
      </c>
      <c r="AM164" t="str">
        <f>VLOOKUP($Z164,'oddspedia-matches'!$A:$AD,AM$2,0)</f>
        <v>Green</v>
      </c>
      <c r="AN164" t="str">
        <f>VLOOKUP($Z164,'oddspedia-matches'!$A:$AD,AN$2,0)</f>
        <v>Red</v>
      </c>
      <c r="AO164" t="str">
        <f>VLOOKUP($Z164,'oddspedia-matches'!$A:$AD,AO$2,0)</f>
        <v>Red</v>
      </c>
      <c r="AP164" t="str">
        <f>VLOOKUP($Z164,'oddspedia-matches'!$A:$AD,AP$2,0)</f>
        <v>Green</v>
      </c>
      <c r="AQ164" t="str">
        <f>VLOOKUP($Z164,'oddspedia-matches'!$A:$AD,AQ$2,0)</f>
        <v>Red</v>
      </c>
    </row>
    <row r="165" spans="2:43" x14ac:dyDescent="0.2">
      <c r="B165" s="17" t="s">
        <v>473</v>
      </c>
      <c r="C165" s="8" t="s">
        <v>490</v>
      </c>
      <c r="D165" s="18">
        <v>0.3125</v>
      </c>
      <c r="E165" s="8" t="s">
        <v>556</v>
      </c>
      <c r="F165" s="8" t="s">
        <v>557</v>
      </c>
      <c r="G165" s="19"/>
      <c r="H165" s="8">
        <v>39.9</v>
      </c>
      <c r="I165" s="8">
        <v>28</v>
      </c>
      <c r="J165" s="8">
        <v>32.1</v>
      </c>
      <c r="K165" s="8">
        <v>67.900000000000006</v>
      </c>
      <c r="L165" s="8">
        <v>60.1</v>
      </c>
      <c r="M165" s="8">
        <v>72</v>
      </c>
      <c r="N165" s="8">
        <v>36</v>
      </c>
      <c r="O165" s="8">
        <v>43</v>
      </c>
      <c r="P165" s="8">
        <v>21</v>
      </c>
      <c r="Q165" s="8">
        <v>69.5</v>
      </c>
      <c r="R165" s="8">
        <v>78.3</v>
      </c>
      <c r="S165" s="8">
        <v>53.3</v>
      </c>
      <c r="T165" s="8">
        <v>46.7</v>
      </c>
      <c r="U165" s="8">
        <v>52.3</v>
      </c>
      <c r="V165" s="8">
        <v>58.1</v>
      </c>
      <c r="W165" s="8">
        <v>41.9</v>
      </c>
      <c r="X165" t="str">
        <f>VLOOKUP(E165,'Transform table'!A:B,2,0)</f>
        <v>Jeonnam Dragons</v>
      </c>
      <c r="Y165" t="str">
        <f>VLOOKUP(F165,'Transform table'!A:B,2,0)</f>
        <v>Gyeongnam</v>
      </c>
      <c r="Z165" t="str">
        <f t="shared" si="2"/>
        <v>25/07/2026Jeonnam DragonsGyeongnam</v>
      </c>
      <c r="AA165" t="str">
        <f>VLOOKUP($Z165,'oddspedia-matches'!$A:$AD,AA$2,0)</f>
        <v>1 - 1</v>
      </c>
      <c r="AB165" t="str">
        <f>VLOOKUP($Z165,'oddspedia-matches'!$A:$AD,AB$2,0)</f>
        <v>Red</v>
      </c>
      <c r="AC165" t="str">
        <f>VLOOKUP($Z165,'oddspedia-matches'!$A:$AD,AC$2,0)</f>
        <v>Green</v>
      </c>
      <c r="AD165" t="str">
        <f>VLOOKUP($Z165,'oddspedia-matches'!$A:$AD,AD$2,0)</f>
        <v>Red</v>
      </c>
      <c r="AE165" t="str">
        <f>VLOOKUP($Z165,'oddspedia-matches'!$A:$AD,AE$2,0)</f>
        <v>Green</v>
      </c>
      <c r="AF165" t="str">
        <f>VLOOKUP($Z165,'oddspedia-matches'!$A:$AD,AF$2,0)</f>
        <v>Green</v>
      </c>
      <c r="AG165" t="str">
        <f>VLOOKUP($Z165,'oddspedia-matches'!$A:$AD,AG$2,0)</f>
        <v>Red</v>
      </c>
      <c r="AH165" t="str">
        <f>VLOOKUP($Z165,'oddspedia-matches'!$A:$AD,AH$2,0)</f>
        <v>Green</v>
      </c>
      <c r="AI165" t="str">
        <f>VLOOKUP($Z165,'oddspedia-matches'!$A:$AD,AI$2,0)</f>
        <v>Red</v>
      </c>
      <c r="AJ165" t="str">
        <f>VLOOKUP($Z165,'oddspedia-matches'!$A:$AD,AJ$2,0)</f>
        <v>Red</v>
      </c>
      <c r="AK165" t="str">
        <f>VLOOKUP($Z165,'oddspedia-matches'!$A:$AD,AK$2,0)</f>
        <v>Green</v>
      </c>
      <c r="AL165" t="str">
        <f>VLOOKUP($Z165,'oddspedia-matches'!$A:$AD,AL$2,0)</f>
        <v>Green</v>
      </c>
      <c r="AM165" t="str">
        <f>VLOOKUP($Z165,'oddspedia-matches'!$A:$AD,AM$2,0)</f>
        <v>Red</v>
      </c>
      <c r="AN165" t="str">
        <f>VLOOKUP($Z165,'oddspedia-matches'!$A:$AD,AN$2,0)</f>
        <v>Green</v>
      </c>
      <c r="AO165" t="str">
        <f>VLOOKUP($Z165,'oddspedia-matches'!$A:$AD,AO$2,0)</f>
        <v>Green</v>
      </c>
      <c r="AP165" t="str">
        <f>VLOOKUP($Z165,'oddspedia-matches'!$A:$AD,AP$2,0)</f>
        <v>Green</v>
      </c>
      <c r="AQ165" t="str">
        <f>VLOOKUP($Z165,'oddspedia-matches'!$A:$AD,AQ$2,0)</f>
        <v>Red</v>
      </c>
    </row>
    <row r="166" spans="2:43" x14ac:dyDescent="0.2">
      <c r="B166" s="9" t="s">
        <v>558</v>
      </c>
      <c r="C166" s="7" t="s">
        <v>490</v>
      </c>
      <c r="D166" s="20">
        <v>0.33333333333333331</v>
      </c>
      <c r="E166" s="7" t="s">
        <v>559</v>
      </c>
      <c r="F166" s="7" t="s">
        <v>560</v>
      </c>
      <c r="G166" s="21"/>
      <c r="H166" s="7">
        <v>41.5</v>
      </c>
      <c r="I166" s="7">
        <v>28.2</v>
      </c>
      <c r="J166" s="7">
        <v>30.4</v>
      </c>
      <c r="K166" s="7">
        <v>69.599999999999994</v>
      </c>
      <c r="L166" s="7">
        <v>58.5</v>
      </c>
      <c r="M166" s="7">
        <v>71.8</v>
      </c>
      <c r="N166" s="7">
        <v>30.6</v>
      </c>
      <c r="O166" s="7">
        <v>38.5</v>
      </c>
      <c r="P166" s="7">
        <v>30.9</v>
      </c>
      <c r="Q166" s="7">
        <v>77.599999999999994</v>
      </c>
      <c r="R166" s="7">
        <v>77.2</v>
      </c>
      <c r="S166" s="7">
        <v>51.8</v>
      </c>
      <c r="T166" s="7">
        <v>48.2</v>
      </c>
      <c r="U166" s="7">
        <v>53.9</v>
      </c>
      <c r="V166" s="7">
        <v>56.7</v>
      </c>
      <c r="W166" s="7">
        <v>43.3</v>
      </c>
      <c r="X166" t="str">
        <f>VLOOKUP(E166,'Transform table'!A:B,2,0)</f>
        <v>Changchun Yatai</v>
      </c>
      <c r="Y166" t="str">
        <f>VLOOKUP(F166,'Transform table'!A:B,2,0)</f>
        <v>Nanjing City</v>
      </c>
      <c r="Z166" t="str">
        <f t="shared" si="2"/>
        <v>25/07/2026Changchun YataiNanjing City</v>
      </c>
      <c r="AA166" t="str">
        <f>VLOOKUP($Z166,'oddspedia-matches'!$A:$AD,AA$2,0)</f>
        <v>2 - 1</v>
      </c>
      <c r="AB166" t="str">
        <f>VLOOKUP($Z166,'oddspedia-matches'!$A:$AD,AB$2,0)</f>
        <v>Green</v>
      </c>
      <c r="AC166" t="str">
        <f>VLOOKUP($Z166,'oddspedia-matches'!$A:$AD,AC$2,0)</f>
        <v>Red</v>
      </c>
      <c r="AD166" t="str">
        <f>VLOOKUP($Z166,'oddspedia-matches'!$A:$AD,AD$2,0)</f>
        <v>Red</v>
      </c>
      <c r="AE166" t="str">
        <f>VLOOKUP($Z166,'oddspedia-matches'!$A:$AD,AE$2,0)</f>
        <v>Green</v>
      </c>
      <c r="AF166" t="str">
        <f>VLOOKUP($Z166,'oddspedia-matches'!$A:$AD,AF$2,0)</f>
        <v>Red</v>
      </c>
      <c r="AG166" t="str">
        <f>VLOOKUP($Z166,'oddspedia-matches'!$A:$AD,AG$2,0)</f>
        <v>Green</v>
      </c>
      <c r="AH166" t="str">
        <f>VLOOKUP($Z166,'oddspedia-matches'!$A:$AD,AH$2,0)</f>
        <v>Green</v>
      </c>
      <c r="AI166" t="str">
        <f>VLOOKUP($Z166,'oddspedia-matches'!$A:$AD,AI$2,0)</f>
        <v>Red</v>
      </c>
      <c r="AJ166" t="str">
        <f>VLOOKUP($Z166,'oddspedia-matches'!$A:$AD,AJ$2,0)</f>
        <v>Red</v>
      </c>
      <c r="AK166" t="str">
        <f>VLOOKUP($Z166,'oddspedia-matches'!$A:$AD,AK$2,0)</f>
        <v>Green</v>
      </c>
      <c r="AL166" t="str">
        <f>VLOOKUP($Z166,'oddspedia-matches'!$A:$AD,AL$2,0)</f>
        <v>Green</v>
      </c>
      <c r="AM166" t="str">
        <f>VLOOKUP($Z166,'oddspedia-matches'!$A:$AD,AM$2,0)</f>
        <v>Green</v>
      </c>
      <c r="AN166" t="str">
        <f>VLOOKUP($Z166,'oddspedia-matches'!$A:$AD,AN$2,0)</f>
        <v>Red</v>
      </c>
      <c r="AO166" t="str">
        <f>VLOOKUP($Z166,'oddspedia-matches'!$A:$AD,AO$2,0)</f>
        <v>Green</v>
      </c>
      <c r="AP166" t="str">
        <f>VLOOKUP($Z166,'oddspedia-matches'!$A:$AD,AP$2,0)</f>
        <v>Green</v>
      </c>
      <c r="AQ166" t="str">
        <f>VLOOKUP($Z166,'oddspedia-matches'!$A:$AD,AQ$2,0)</f>
        <v>Red</v>
      </c>
    </row>
    <row r="167" spans="2:43" x14ac:dyDescent="0.2">
      <c r="B167" s="17" t="s">
        <v>558</v>
      </c>
      <c r="C167" s="8" t="s">
        <v>490</v>
      </c>
      <c r="D167" s="18">
        <v>0.33333333333333331</v>
      </c>
      <c r="E167" s="8" t="s">
        <v>561</v>
      </c>
      <c r="F167" s="8" t="s">
        <v>562</v>
      </c>
      <c r="G167" s="19"/>
      <c r="H167" s="8">
        <v>38.700000000000003</v>
      </c>
      <c r="I167" s="8">
        <v>29.1</v>
      </c>
      <c r="J167" s="8">
        <v>32.200000000000003</v>
      </c>
      <c r="K167" s="8">
        <v>67.8</v>
      </c>
      <c r="L167" s="8">
        <v>61.3</v>
      </c>
      <c r="M167" s="8">
        <v>70.900000000000006</v>
      </c>
      <c r="N167" s="8">
        <v>27.6</v>
      </c>
      <c r="O167" s="8">
        <v>43.5</v>
      </c>
      <c r="P167" s="8">
        <v>28.9</v>
      </c>
      <c r="Q167" s="8">
        <v>69.8</v>
      </c>
      <c r="R167" s="8">
        <v>74.599999999999994</v>
      </c>
      <c r="S167" s="8">
        <v>48.3</v>
      </c>
      <c r="T167" s="8">
        <v>51.7</v>
      </c>
      <c r="U167" s="8">
        <v>57.2</v>
      </c>
      <c r="V167" s="8">
        <v>54.3</v>
      </c>
      <c r="W167" s="8">
        <v>45.7</v>
      </c>
      <c r="X167" t="str">
        <f>VLOOKUP(E167,'Transform table'!A:B,2,0)</f>
        <v>Ningbo Professional</v>
      </c>
      <c r="Y167" t="str">
        <f>VLOOKUP(F167,'Transform table'!A:B,2,0)</f>
        <v>Guandong GZ-Power FC</v>
      </c>
      <c r="Z167" t="str">
        <f t="shared" si="2"/>
        <v>25/07/2026Ningbo ProfessionalGuandong GZ-Power FC</v>
      </c>
      <c r="AA167" t="str">
        <f>VLOOKUP($Z167,'oddspedia-matches'!$A:$AD,AA$2,0)</f>
        <v>1 - 2</v>
      </c>
      <c r="AB167" t="str">
        <f>VLOOKUP($Z167,'oddspedia-matches'!$A:$AD,AB$2,0)</f>
        <v>Red</v>
      </c>
      <c r="AC167" t="str">
        <f>VLOOKUP($Z167,'oddspedia-matches'!$A:$AD,AC$2,0)</f>
        <v>Red</v>
      </c>
      <c r="AD167" t="str">
        <f>VLOOKUP($Z167,'oddspedia-matches'!$A:$AD,AD$2,0)</f>
        <v>Green</v>
      </c>
      <c r="AE167" t="str">
        <f>VLOOKUP($Z167,'oddspedia-matches'!$A:$AD,AE$2,0)</f>
        <v>Red</v>
      </c>
      <c r="AF167" t="str">
        <f>VLOOKUP($Z167,'oddspedia-matches'!$A:$AD,AF$2,0)</f>
        <v>Green</v>
      </c>
      <c r="AG167" t="str">
        <f>VLOOKUP($Z167,'oddspedia-matches'!$A:$AD,AG$2,0)</f>
        <v>Green</v>
      </c>
      <c r="AH167" t="str">
        <f>VLOOKUP($Z167,'oddspedia-matches'!$A:$AD,AH$2,0)</f>
        <v>Red</v>
      </c>
      <c r="AI167" t="str">
        <f>VLOOKUP($Z167,'oddspedia-matches'!$A:$AD,AI$2,0)</f>
        <v>Green</v>
      </c>
      <c r="AJ167" t="str">
        <f>VLOOKUP($Z167,'oddspedia-matches'!$A:$AD,AJ$2,0)</f>
        <v>Red</v>
      </c>
      <c r="AK167" t="str">
        <f>VLOOKUP($Z167,'oddspedia-matches'!$A:$AD,AK$2,0)</f>
        <v>Red</v>
      </c>
      <c r="AL167" t="str">
        <f>VLOOKUP($Z167,'oddspedia-matches'!$A:$AD,AL$2,0)</f>
        <v>Green</v>
      </c>
      <c r="AM167" t="str">
        <f>VLOOKUP($Z167,'oddspedia-matches'!$A:$AD,AM$2,0)</f>
        <v>Green</v>
      </c>
      <c r="AN167" t="str">
        <f>VLOOKUP($Z167,'oddspedia-matches'!$A:$AD,AN$2,0)</f>
        <v>Red</v>
      </c>
      <c r="AO167" t="str">
        <f>VLOOKUP($Z167,'oddspedia-matches'!$A:$AD,AO$2,0)</f>
        <v>Green</v>
      </c>
      <c r="AP167" t="str">
        <f>VLOOKUP($Z167,'oddspedia-matches'!$A:$AD,AP$2,0)</f>
        <v>Green</v>
      </c>
      <c r="AQ167" t="str">
        <f>VLOOKUP($Z167,'oddspedia-matches'!$A:$AD,AQ$2,0)</f>
        <v>Red</v>
      </c>
    </row>
    <row r="168" spans="2:43" x14ac:dyDescent="0.2">
      <c r="B168" s="9" t="s">
        <v>558</v>
      </c>
      <c r="C168" s="7" t="s">
        <v>490</v>
      </c>
      <c r="D168" s="20">
        <v>0.33333333333333331</v>
      </c>
      <c r="E168" s="7" t="s">
        <v>563</v>
      </c>
      <c r="F168" s="7" t="s">
        <v>564</v>
      </c>
      <c r="G168" s="21"/>
      <c r="H168" s="7">
        <v>43</v>
      </c>
      <c r="I168" s="7">
        <v>28.8</v>
      </c>
      <c r="J168" s="7">
        <v>28.2</v>
      </c>
      <c r="K168" s="7">
        <v>71.8</v>
      </c>
      <c r="L168" s="7">
        <v>57</v>
      </c>
      <c r="M168" s="7">
        <v>71.2</v>
      </c>
      <c r="N168" s="7">
        <v>29.2</v>
      </c>
      <c r="O168" s="7">
        <v>46.2</v>
      </c>
      <c r="P168" s="7">
        <v>24.7</v>
      </c>
      <c r="Q168" s="7">
        <v>65.599999999999994</v>
      </c>
      <c r="R168" s="7">
        <v>74</v>
      </c>
      <c r="S168" s="7">
        <v>47.5</v>
      </c>
      <c r="T168" s="7">
        <v>52.5</v>
      </c>
      <c r="U168" s="7">
        <v>58.2</v>
      </c>
      <c r="V168" s="7">
        <v>53</v>
      </c>
      <c r="W168" s="7">
        <v>47</v>
      </c>
      <c r="X168" t="str">
        <f>VLOOKUP(E168,'Transform table'!A:B,2,0)</f>
        <v>Shaanxi Union FC</v>
      </c>
      <c r="Y168" t="str">
        <f>VLOOKUP(F168,'Transform table'!A:B,2,0)</f>
        <v>Shenzhen Juniors</v>
      </c>
      <c r="Z168" t="str">
        <f t="shared" si="2"/>
        <v>25/07/2026Shaanxi Union FCShenzhen Juniors</v>
      </c>
      <c r="AA168" t="str">
        <f>VLOOKUP($Z168,'oddspedia-matches'!$A:$AD,AA$2,0)</f>
        <v>3 - 0</v>
      </c>
      <c r="AB168" t="str">
        <f>VLOOKUP($Z168,'oddspedia-matches'!$A:$AD,AB$2,0)</f>
        <v>Green</v>
      </c>
      <c r="AC168" t="str">
        <f>VLOOKUP($Z168,'oddspedia-matches'!$A:$AD,AC$2,0)</f>
        <v>Red</v>
      </c>
      <c r="AD168" t="str">
        <f>VLOOKUP($Z168,'oddspedia-matches'!$A:$AD,AD$2,0)</f>
        <v>Red</v>
      </c>
      <c r="AE168" t="str">
        <f>VLOOKUP($Z168,'oddspedia-matches'!$A:$AD,AE$2,0)</f>
        <v>Green</v>
      </c>
      <c r="AF168" t="str">
        <f>VLOOKUP($Z168,'oddspedia-matches'!$A:$AD,AF$2,0)</f>
        <v>Red</v>
      </c>
      <c r="AG168" t="str">
        <f>VLOOKUP($Z168,'oddspedia-matches'!$A:$AD,AG$2,0)</f>
        <v>Green</v>
      </c>
      <c r="AH168" t="str">
        <f>VLOOKUP($Z168,'oddspedia-matches'!$A:$AD,AH$2,0)</f>
        <v>Green</v>
      </c>
      <c r="AI168" t="str">
        <f>VLOOKUP($Z168,'oddspedia-matches'!$A:$AD,AI$2,0)</f>
        <v>Red</v>
      </c>
      <c r="AJ168" t="str">
        <f>VLOOKUP($Z168,'oddspedia-matches'!$A:$AD,AJ$2,0)</f>
        <v>Red</v>
      </c>
      <c r="AK168" t="str">
        <f>VLOOKUP($Z168,'oddspedia-matches'!$A:$AD,AK$2,0)</f>
        <v>Green</v>
      </c>
      <c r="AL168" t="str">
        <f>VLOOKUP($Z168,'oddspedia-matches'!$A:$AD,AL$2,0)</f>
        <v>Green</v>
      </c>
      <c r="AM168" t="str">
        <f>VLOOKUP($Z168,'oddspedia-matches'!$A:$AD,AM$2,0)</f>
        <v>Green</v>
      </c>
      <c r="AN168" t="str">
        <f>VLOOKUP($Z168,'oddspedia-matches'!$A:$AD,AN$2,0)</f>
        <v>Red</v>
      </c>
      <c r="AO168" t="str">
        <f>VLOOKUP($Z168,'oddspedia-matches'!$A:$AD,AO$2,0)</f>
        <v>Green</v>
      </c>
      <c r="AP168" t="str">
        <f>VLOOKUP($Z168,'oddspedia-matches'!$A:$AD,AP$2,0)</f>
        <v>Red</v>
      </c>
      <c r="AQ168" t="str">
        <f>VLOOKUP($Z168,'oddspedia-matches'!$A:$AD,AQ$2,0)</f>
        <v>Green</v>
      </c>
    </row>
    <row r="169" spans="2:43" x14ac:dyDescent="0.2">
      <c r="B169" s="17" t="s">
        <v>546</v>
      </c>
      <c r="C169" s="8" t="s">
        <v>490</v>
      </c>
      <c r="D169" s="18">
        <v>0.33333333333333331</v>
      </c>
      <c r="E169" s="8" t="s">
        <v>565</v>
      </c>
      <c r="F169" s="8" t="s">
        <v>566</v>
      </c>
      <c r="G169" s="19"/>
      <c r="H169" s="8">
        <v>42.6</v>
      </c>
      <c r="I169" s="8">
        <v>31.3</v>
      </c>
      <c r="J169" s="8">
        <v>26.1</v>
      </c>
      <c r="K169" s="8">
        <v>73.900000000000006</v>
      </c>
      <c r="L169" s="8">
        <v>57.4</v>
      </c>
      <c r="M169" s="8">
        <v>68.7</v>
      </c>
      <c r="N169" s="8">
        <v>31.5</v>
      </c>
      <c r="O169" s="8">
        <v>45.7</v>
      </c>
      <c r="P169" s="8">
        <v>22.8</v>
      </c>
      <c r="Q169" s="8">
        <v>65.900000000000006</v>
      </c>
      <c r="R169" s="8">
        <v>65.099999999999994</v>
      </c>
      <c r="S169" s="8">
        <v>36.9</v>
      </c>
      <c r="T169" s="8">
        <v>63.1</v>
      </c>
      <c r="U169" s="8">
        <v>68.3</v>
      </c>
      <c r="V169" s="8">
        <v>44.3</v>
      </c>
      <c r="W169" s="8">
        <v>55.7</v>
      </c>
      <c r="X169" t="str">
        <f>VLOOKUP(E169,'Transform table'!A:B,2,0)</f>
        <v>Guangzhou Dandelion Alpha</v>
      </c>
      <c r="Y169" t="str">
        <f>VLOOKUP(F169,'Transform table'!A:B,2,0)</f>
        <v>Yichun Grand Tiger</v>
      </c>
      <c r="Z169" t="str">
        <f t="shared" si="2"/>
        <v>25/07/2026Guangzhou Dandelion AlphaYichun Grand Tiger</v>
      </c>
      <c r="AA169" t="str">
        <f>VLOOKUP($Z169,'oddspedia-matches'!$A:$AD,AA$2,0)</f>
        <v>0 - 0</v>
      </c>
      <c r="AB169" t="str">
        <f>VLOOKUP($Z169,'oddspedia-matches'!$A:$AD,AB$2,0)</f>
        <v>Red</v>
      </c>
      <c r="AC169" t="str">
        <f>VLOOKUP($Z169,'oddspedia-matches'!$A:$AD,AC$2,0)</f>
        <v>Green</v>
      </c>
      <c r="AD169" t="str">
        <f>VLOOKUP($Z169,'oddspedia-matches'!$A:$AD,AD$2,0)</f>
        <v>Red</v>
      </c>
      <c r="AE169" t="str">
        <f>VLOOKUP($Z169,'oddspedia-matches'!$A:$AD,AE$2,0)</f>
        <v>Green</v>
      </c>
      <c r="AF169" t="str">
        <f>VLOOKUP($Z169,'oddspedia-matches'!$A:$AD,AF$2,0)</f>
        <v>Green</v>
      </c>
      <c r="AG169" t="str">
        <f>VLOOKUP($Z169,'oddspedia-matches'!$A:$AD,AG$2,0)</f>
        <v>Red</v>
      </c>
      <c r="AH169" t="str">
        <f>VLOOKUP($Z169,'oddspedia-matches'!$A:$AD,AH$2,0)</f>
        <v>Red</v>
      </c>
      <c r="AI169" t="str">
        <f>VLOOKUP($Z169,'oddspedia-matches'!$A:$AD,AI$2,0)</f>
        <v>Green</v>
      </c>
      <c r="AJ169" t="str">
        <f>VLOOKUP($Z169,'oddspedia-matches'!$A:$AD,AJ$2,0)</f>
        <v>Red</v>
      </c>
      <c r="AK169" t="str">
        <f>VLOOKUP($Z169,'oddspedia-matches'!$A:$AD,AK$2,0)</f>
        <v>Red</v>
      </c>
      <c r="AL169" t="str">
        <f>VLOOKUP($Z169,'oddspedia-matches'!$A:$AD,AL$2,0)</f>
        <v>Red</v>
      </c>
      <c r="AM169" t="str">
        <f>VLOOKUP($Z169,'oddspedia-matches'!$A:$AD,AM$2,0)</f>
        <v>Red</v>
      </c>
      <c r="AN169" t="str">
        <f>VLOOKUP($Z169,'oddspedia-matches'!$A:$AD,AN$2,0)</f>
        <v>Green</v>
      </c>
      <c r="AO169" t="str">
        <f>VLOOKUP($Z169,'oddspedia-matches'!$A:$AD,AO$2,0)</f>
        <v>Green</v>
      </c>
      <c r="AP169" t="str">
        <f>VLOOKUP($Z169,'oddspedia-matches'!$A:$AD,AP$2,0)</f>
        <v>Red</v>
      </c>
      <c r="AQ169" t="str">
        <f>VLOOKUP($Z169,'oddspedia-matches'!$A:$AD,AQ$2,0)</f>
        <v>Green</v>
      </c>
    </row>
    <row r="170" spans="2:43" x14ac:dyDescent="0.2">
      <c r="B170" s="9" t="s">
        <v>546</v>
      </c>
      <c r="C170" s="7" t="s">
        <v>490</v>
      </c>
      <c r="D170" s="20">
        <v>0.33333333333333331</v>
      </c>
      <c r="E170" s="7" t="s">
        <v>567</v>
      </c>
      <c r="F170" s="7" t="s">
        <v>568</v>
      </c>
      <c r="G170" s="21"/>
      <c r="H170" s="7">
        <v>58.1</v>
      </c>
      <c r="I170" s="7">
        <v>27.8</v>
      </c>
      <c r="J170" s="7">
        <v>14.1</v>
      </c>
      <c r="K170" s="7">
        <v>85.9</v>
      </c>
      <c r="L170" s="7">
        <v>41.9</v>
      </c>
      <c r="M170" s="7">
        <v>72.2</v>
      </c>
      <c r="N170" s="7">
        <v>35.700000000000003</v>
      </c>
      <c r="O170" s="7">
        <v>51.4</v>
      </c>
      <c r="P170" s="7">
        <v>13</v>
      </c>
      <c r="Q170" s="7">
        <v>55.8</v>
      </c>
      <c r="R170" s="7">
        <v>63.5</v>
      </c>
      <c r="S170" s="7">
        <v>35.4</v>
      </c>
      <c r="T170" s="7">
        <v>64.599999999999994</v>
      </c>
      <c r="U170" s="7">
        <v>72.099999999999994</v>
      </c>
      <c r="V170" s="7">
        <v>36.5</v>
      </c>
      <c r="W170" s="7">
        <v>63.5</v>
      </c>
      <c r="X170" t="str">
        <f>VLOOKUP(E170,'Transform table'!A:B,2,0)</f>
        <v>Shandong Luneng Taishan Reserves</v>
      </c>
      <c r="Y170" t="str">
        <f>VLOOKUP(F170,'Transform table'!A:B,2,0)</f>
        <v>Changchun Xidu</v>
      </c>
      <c r="Z170" t="str">
        <f t="shared" si="2"/>
        <v>25/07/2026Shandong Luneng Taishan ReservesChangchun Xidu</v>
      </c>
      <c r="AA170" t="str">
        <f>VLOOKUP($Z170,'oddspedia-matches'!$A:$AD,AA$2,0)</f>
        <v>1 - 1</v>
      </c>
      <c r="AB170" t="str">
        <f>VLOOKUP($Z170,'oddspedia-matches'!$A:$AD,AB$2,0)</f>
        <v>Red</v>
      </c>
      <c r="AC170" t="str">
        <f>VLOOKUP($Z170,'oddspedia-matches'!$A:$AD,AC$2,0)</f>
        <v>Green</v>
      </c>
      <c r="AD170" t="str">
        <f>VLOOKUP($Z170,'oddspedia-matches'!$A:$AD,AD$2,0)</f>
        <v>Red</v>
      </c>
      <c r="AE170" t="str">
        <f>VLOOKUP($Z170,'oddspedia-matches'!$A:$AD,AE$2,0)</f>
        <v>Green</v>
      </c>
      <c r="AF170" t="str">
        <f>VLOOKUP($Z170,'oddspedia-matches'!$A:$AD,AF$2,0)</f>
        <v>Green</v>
      </c>
      <c r="AG170" t="str">
        <f>VLOOKUP($Z170,'oddspedia-matches'!$A:$AD,AG$2,0)</f>
        <v>Red</v>
      </c>
      <c r="AH170" t="str">
        <f>VLOOKUP($Z170,'oddspedia-matches'!$A:$AD,AH$2,0)</f>
        <v>Red</v>
      </c>
      <c r="AI170" t="str">
        <f>VLOOKUP($Z170,'oddspedia-matches'!$A:$AD,AI$2,0)</f>
        <v>Green</v>
      </c>
      <c r="AJ170" t="str">
        <f>VLOOKUP($Z170,'oddspedia-matches'!$A:$AD,AJ$2,0)</f>
        <v>Red</v>
      </c>
      <c r="AK170" t="str">
        <f>VLOOKUP($Z170,'oddspedia-matches'!$A:$AD,AK$2,0)</f>
        <v>Red</v>
      </c>
      <c r="AL170" t="str">
        <f>VLOOKUP($Z170,'oddspedia-matches'!$A:$AD,AL$2,0)</f>
        <v>Green</v>
      </c>
      <c r="AM170" t="str">
        <f>VLOOKUP($Z170,'oddspedia-matches'!$A:$AD,AM$2,0)</f>
        <v>Red</v>
      </c>
      <c r="AN170" t="str">
        <f>VLOOKUP($Z170,'oddspedia-matches'!$A:$AD,AN$2,0)</f>
        <v>Green</v>
      </c>
      <c r="AO170" t="str">
        <f>VLOOKUP($Z170,'oddspedia-matches'!$A:$AD,AO$2,0)</f>
        <v>Green</v>
      </c>
      <c r="AP170" t="str">
        <f>VLOOKUP($Z170,'oddspedia-matches'!$A:$AD,AP$2,0)</f>
        <v>Green</v>
      </c>
      <c r="AQ170" t="str">
        <f>VLOOKUP($Z170,'oddspedia-matches'!$A:$AD,AQ$2,0)</f>
        <v>Red</v>
      </c>
    </row>
    <row r="171" spans="2:43" x14ac:dyDescent="0.2">
      <c r="B171" s="17" t="s">
        <v>569</v>
      </c>
      <c r="C171" s="8" t="s">
        <v>490</v>
      </c>
      <c r="D171" s="18">
        <v>0.33333333333333331</v>
      </c>
      <c r="E171" s="8" t="s">
        <v>570</v>
      </c>
      <c r="F171" s="8" t="s">
        <v>255</v>
      </c>
      <c r="G171" s="19"/>
      <c r="H171" s="8">
        <v>33.799999999999997</v>
      </c>
      <c r="I171" s="8">
        <v>27.1</v>
      </c>
      <c r="J171" s="8">
        <v>39.1</v>
      </c>
      <c r="K171" s="8">
        <v>60.9</v>
      </c>
      <c r="L171" s="8">
        <v>66.2</v>
      </c>
      <c r="M171" s="8">
        <v>72.900000000000006</v>
      </c>
      <c r="N171" s="8">
        <v>12.7</v>
      </c>
      <c r="O171" s="8">
        <v>46.9</v>
      </c>
      <c r="P171" s="8">
        <v>40.299999999999997</v>
      </c>
      <c r="Q171" s="8">
        <v>61.9</v>
      </c>
      <c r="R171" s="8">
        <v>82.7</v>
      </c>
      <c r="S171" s="8">
        <v>60</v>
      </c>
      <c r="T171" s="8">
        <v>40</v>
      </c>
      <c r="U171" s="8">
        <v>45.7</v>
      </c>
      <c r="V171" s="8">
        <v>63.3</v>
      </c>
      <c r="W171" s="8">
        <v>36.700000000000003</v>
      </c>
      <c r="X171" t="str">
        <f>VLOOKUP(E171,'Transform table'!A:B,2,0)</f>
        <v>FK Smiltene</v>
      </c>
      <c r="Y171" t="str">
        <f>VLOOKUP(F171,'Transform table'!A:B,2,0)</f>
        <v>Rigas Futbola Skola II</v>
      </c>
      <c r="Z171" t="str">
        <f t="shared" si="2"/>
        <v>25/07/2026FK SmilteneRigas Futbola Skola II</v>
      </c>
      <c r="AA171" t="str">
        <f>VLOOKUP($Z171,'oddspedia-matches'!$A:$AD,AA$2,0)</f>
        <v>3 - 5</v>
      </c>
      <c r="AB171" t="str">
        <f>VLOOKUP($Z171,'oddspedia-matches'!$A:$AD,AB$2,0)</f>
        <v>Red</v>
      </c>
      <c r="AC171" t="str">
        <f>VLOOKUP($Z171,'oddspedia-matches'!$A:$AD,AC$2,0)</f>
        <v>Red</v>
      </c>
      <c r="AD171" t="str">
        <f>VLOOKUP($Z171,'oddspedia-matches'!$A:$AD,AD$2,0)</f>
        <v>Green</v>
      </c>
      <c r="AE171" t="str">
        <f>VLOOKUP($Z171,'oddspedia-matches'!$A:$AD,AE$2,0)</f>
        <v>Red</v>
      </c>
      <c r="AF171" t="str">
        <f>VLOOKUP($Z171,'oddspedia-matches'!$A:$AD,AF$2,0)</f>
        <v>Green</v>
      </c>
      <c r="AG171" t="str">
        <f>VLOOKUP($Z171,'oddspedia-matches'!$A:$AD,AG$2,0)</f>
        <v>Green</v>
      </c>
      <c r="AH171" t="str">
        <f>VLOOKUP($Z171,'oddspedia-matches'!$A:$AD,AH$2,0)</f>
        <v>Red</v>
      </c>
      <c r="AI171" t="str">
        <f>VLOOKUP($Z171,'oddspedia-matches'!$A:$AD,AI$2,0)</f>
        <v>Red</v>
      </c>
      <c r="AJ171" t="str">
        <f>VLOOKUP($Z171,'oddspedia-matches'!$A:$AD,AJ$2,0)</f>
        <v>Green</v>
      </c>
      <c r="AK171" t="str">
        <f>VLOOKUP($Z171,'oddspedia-matches'!$A:$AD,AK$2,0)</f>
        <v>Green</v>
      </c>
      <c r="AL171" t="str">
        <f>VLOOKUP($Z171,'oddspedia-matches'!$A:$AD,AL$2,0)</f>
        <v>Green</v>
      </c>
      <c r="AM171" t="str">
        <f>VLOOKUP($Z171,'oddspedia-matches'!$A:$AD,AM$2,0)</f>
        <v>Green</v>
      </c>
      <c r="AN171" t="str">
        <f>VLOOKUP($Z171,'oddspedia-matches'!$A:$AD,AN$2,0)</f>
        <v>Red</v>
      </c>
      <c r="AO171" t="str">
        <f>VLOOKUP($Z171,'oddspedia-matches'!$A:$AD,AO$2,0)</f>
        <v>Red</v>
      </c>
      <c r="AP171" t="str">
        <f>VLOOKUP($Z171,'oddspedia-matches'!$A:$AD,AP$2,0)</f>
        <v>Green</v>
      </c>
      <c r="AQ171" t="str">
        <f>VLOOKUP($Z171,'oddspedia-matches'!$A:$AD,AQ$2,0)</f>
        <v>Red</v>
      </c>
    </row>
    <row r="172" spans="2:43" x14ac:dyDescent="0.2">
      <c r="B172" s="9" t="s">
        <v>558</v>
      </c>
      <c r="C172" s="7" t="s">
        <v>490</v>
      </c>
      <c r="D172" s="20">
        <v>0.35416666666666669</v>
      </c>
      <c r="E172" s="7" t="s">
        <v>571</v>
      </c>
      <c r="F172" s="7" t="s">
        <v>572</v>
      </c>
      <c r="G172" s="21"/>
      <c r="H172" s="7">
        <v>28.2</v>
      </c>
      <c r="I172" s="7">
        <v>27.4</v>
      </c>
      <c r="J172" s="7">
        <v>44.4</v>
      </c>
      <c r="K172" s="7">
        <v>55.6</v>
      </c>
      <c r="L172" s="7">
        <v>71.8</v>
      </c>
      <c r="M172" s="7">
        <v>72.599999999999994</v>
      </c>
      <c r="N172" s="7">
        <v>23</v>
      </c>
      <c r="O172" s="7">
        <v>38.6</v>
      </c>
      <c r="P172" s="7">
        <v>38.4</v>
      </c>
      <c r="Q172" s="7">
        <v>77</v>
      </c>
      <c r="R172" s="7">
        <v>80.900000000000006</v>
      </c>
      <c r="S172" s="7">
        <v>57.3</v>
      </c>
      <c r="T172" s="7">
        <v>42.7</v>
      </c>
      <c r="U172" s="7">
        <v>48.6</v>
      </c>
      <c r="V172" s="7">
        <v>60.6</v>
      </c>
      <c r="W172" s="7">
        <v>39.4</v>
      </c>
      <c r="X172" t="str">
        <f>VLOOKUP(E172,'Transform table'!A:B,2,0)</f>
        <v>Foshan Nanshi</v>
      </c>
      <c r="Y172" t="str">
        <f>VLOOKUP(F172,'Transform table'!A:B,2,0)</f>
        <v>Wuxi Wugou</v>
      </c>
      <c r="Z172" t="str">
        <f t="shared" si="2"/>
        <v>25/07/2026Foshan NanshiWuxi Wugou</v>
      </c>
      <c r="AA172" t="str">
        <f>VLOOKUP($Z172,'oddspedia-matches'!$A:$AD,AA$2,0)</f>
        <v>0 - 2</v>
      </c>
      <c r="AB172" t="str">
        <f>VLOOKUP($Z172,'oddspedia-matches'!$A:$AD,AB$2,0)</f>
        <v>Red</v>
      </c>
      <c r="AC172" t="str">
        <f>VLOOKUP($Z172,'oddspedia-matches'!$A:$AD,AC$2,0)</f>
        <v>Red</v>
      </c>
      <c r="AD172" t="str">
        <f>VLOOKUP($Z172,'oddspedia-matches'!$A:$AD,AD$2,0)</f>
        <v>Green</v>
      </c>
      <c r="AE172" t="str">
        <f>VLOOKUP($Z172,'oddspedia-matches'!$A:$AD,AE$2,0)</f>
        <v>Red</v>
      </c>
      <c r="AF172" t="str">
        <f>VLOOKUP($Z172,'oddspedia-matches'!$A:$AD,AF$2,0)</f>
        <v>Green</v>
      </c>
      <c r="AG172" t="str">
        <f>VLOOKUP($Z172,'oddspedia-matches'!$A:$AD,AG$2,0)</f>
        <v>Green</v>
      </c>
      <c r="AH172" t="str">
        <f>VLOOKUP($Z172,'oddspedia-matches'!$A:$AD,AH$2,0)</f>
        <v>Red</v>
      </c>
      <c r="AI172" t="str">
        <f>VLOOKUP($Z172,'oddspedia-matches'!$A:$AD,AI$2,0)</f>
        <v>Green</v>
      </c>
      <c r="AJ172" t="str">
        <f>VLOOKUP($Z172,'oddspedia-matches'!$A:$AD,AJ$2,0)</f>
        <v>Red</v>
      </c>
      <c r="AK172" t="str">
        <f>VLOOKUP($Z172,'oddspedia-matches'!$A:$AD,AK$2,0)</f>
        <v>Red</v>
      </c>
      <c r="AL172" t="str">
        <f>VLOOKUP($Z172,'oddspedia-matches'!$A:$AD,AL$2,0)</f>
        <v>Green</v>
      </c>
      <c r="AM172" t="str">
        <f>VLOOKUP($Z172,'oddspedia-matches'!$A:$AD,AM$2,0)</f>
        <v>Red</v>
      </c>
      <c r="AN172" t="str">
        <f>VLOOKUP($Z172,'oddspedia-matches'!$A:$AD,AN$2,0)</f>
        <v>Green</v>
      </c>
      <c r="AO172" t="str">
        <f>VLOOKUP($Z172,'oddspedia-matches'!$A:$AD,AO$2,0)</f>
        <v>Green</v>
      </c>
      <c r="AP172" t="str">
        <f>VLOOKUP($Z172,'oddspedia-matches'!$A:$AD,AP$2,0)</f>
        <v>Red</v>
      </c>
      <c r="AQ172" t="str">
        <f>VLOOKUP($Z172,'oddspedia-matches'!$A:$AD,AQ$2,0)</f>
        <v>Green</v>
      </c>
    </row>
    <row r="173" spans="2:43" x14ac:dyDescent="0.2">
      <c r="B173" s="17" t="s">
        <v>558</v>
      </c>
      <c r="C173" s="8" t="s">
        <v>490</v>
      </c>
      <c r="D173" s="18">
        <v>0.35416666666666669</v>
      </c>
      <c r="E173" s="8" t="s">
        <v>573</v>
      </c>
      <c r="F173" s="8" t="s">
        <v>574</v>
      </c>
      <c r="G173" s="19"/>
      <c r="H173" s="8">
        <v>22.3</v>
      </c>
      <c r="I173" s="8">
        <v>38.6</v>
      </c>
      <c r="J173" s="8">
        <v>39.200000000000003</v>
      </c>
      <c r="K173" s="8">
        <v>60.8</v>
      </c>
      <c r="L173" s="8">
        <v>77.7</v>
      </c>
      <c r="M173" s="8">
        <v>61.4</v>
      </c>
      <c r="N173" s="8">
        <v>16.899999999999999</v>
      </c>
      <c r="O173" s="8">
        <v>61.8</v>
      </c>
      <c r="P173" s="8">
        <v>21.3</v>
      </c>
      <c r="Q173" s="8">
        <v>43.4</v>
      </c>
      <c r="R173" s="8">
        <v>46.9</v>
      </c>
      <c r="S173" s="8">
        <v>20.2</v>
      </c>
      <c r="T173" s="8">
        <v>79.8</v>
      </c>
      <c r="U173" s="8">
        <v>83.4</v>
      </c>
      <c r="V173" s="8">
        <v>29.1</v>
      </c>
      <c r="W173" s="8">
        <v>70.900000000000006</v>
      </c>
      <c r="X173" t="str">
        <f>VLOOKUP(E173,'Transform table'!A:B,2,0)</f>
        <v>Hebei KungFu</v>
      </c>
      <c r="Y173" t="str">
        <f>VLOOKUP(F173,'Transform table'!A:B,2,0)</f>
        <v>Nantong Zhiyun</v>
      </c>
      <c r="Z173" t="str">
        <f t="shared" si="2"/>
        <v>25/07/2026Hebei KungFuNantong Zhiyun</v>
      </c>
      <c r="AA173" t="str">
        <f>VLOOKUP($Z173,'oddspedia-matches'!$A:$AD,AA$2,0)</f>
        <v>1 - 1</v>
      </c>
      <c r="AB173" t="str">
        <f>VLOOKUP($Z173,'oddspedia-matches'!$A:$AD,AB$2,0)</f>
        <v>Red</v>
      </c>
      <c r="AC173" t="str">
        <f>VLOOKUP($Z173,'oddspedia-matches'!$A:$AD,AC$2,0)</f>
        <v>Green</v>
      </c>
      <c r="AD173" t="str">
        <f>VLOOKUP($Z173,'oddspedia-matches'!$A:$AD,AD$2,0)</f>
        <v>Red</v>
      </c>
      <c r="AE173" t="str">
        <f>VLOOKUP($Z173,'oddspedia-matches'!$A:$AD,AE$2,0)</f>
        <v>Green</v>
      </c>
      <c r="AF173" t="str">
        <f>VLOOKUP($Z173,'oddspedia-matches'!$A:$AD,AF$2,0)</f>
        <v>Green</v>
      </c>
      <c r="AG173" t="str">
        <f>VLOOKUP($Z173,'oddspedia-matches'!$A:$AD,AG$2,0)</f>
        <v>Red</v>
      </c>
      <c r="AH173" t="str">
        <f>VLOOKUP($Z173,'oddspedia-matches'!$A:$AD,AH$2,0)</f>
        <v>Red</v>
      </c>
      <c r="AI173" t="str">
        <f>VLOOKUP($Z173,'oddspedia-matches'!$A:$AD,AI$2,0)</f>
        <v>Green</v>
      </c>
      <c r="AJ173" t="str">
        <f>VLOOKUP($Z173,'oddspedia-matches'!$A:$AD,AJ$2,0)</f>
        <v>Red</v>
      </c>
      <c r="AK173" t="str">
        <f>VLOOKUP($Z173,'oddspedia-matches'!$A:$AD,AK$2,0)</f>
        <v>Green</v>
      </c>
      <c r="AL173" t="str">
        <f>VLOOKUP($Z173,'oddspedia-matches'!$A:$AD,AL$2,0)</f>
        <v>Green</v>
      </c>
      <c r="AM173" t="str">
        <f>VLOOKUP($Z173,'oddspedia-matches'!$A:$AD,AM$2,0)</f>
        <v>Red</v>
      </c>
      <c r="AN173" t="str">
        <f>VLOOKUP($Z173,'oddspedia-matches'!$A:$AD,AN$2,0)</f>
        <v>Green</v>
      </c>
      <c r="AO173" t="str">
        <f>VLOOKUP($Z173,'oddspedia-matches'!$A:$AD,AO$2,0)</f>
        <v>Green</v>
      </c>
      <c r="AP173" t="str">
        <f>VLOOKUP($Z173,'oddspedia-matches'!$A:$AD,AP$2,0)</f>
        <v>Green</v>
      </c>
      <c r="AQ173" t="str">
        <f>VLOOKUP($Z173,'oddspedia-matches'!$A:$AD,AQ$2,0)</f>
        <v>Red</v>
      </c>
    </row>
    <row r="174" spans="2:43" x14ac:dyDescent="0.2">
      <c r="B174" s="9" t="s">
        <v>546</v>
      </c>
      <c r="C174" s="7" t="s">
        <v>490</v>
      </c>
      <c r="D174" s="20">
        <v>0.35416666666666669</v>
      </c>
      <c r="E174" s="7" t="s">
        <v>575</v>
      </c>
      <c r="F174" s="7" t="s">
        <v>576</v>
      </c>
      <c r="G174" s="21"/>
      <c r="H174" s="7">
        <v>47.9</v>
      </c>
      <c r="I174" s="7">
        <v>31.3</v>
      </c>
      <c r="J174" s="7">
        <v>20.8</v>
      </c>
      <c r="K174" s="7">
        <v>79.2</v>
      </c>
      <c r="L174" s="7">
        <v>52.1</v>
      </c>
      <c r="M174" s="7">
        <v>68.7</v>
      </c>
      <c r="N174" s="7">
        <v>36</v>
      </c>
      <c r="O174" s="7">
        <v>51.9</v>
      </c>
      <c r="P174" s="7">
        <v>12.1</v>
      </c>
      <c r="Q174" s="7">
        <v>54.7</v>
      </c>
      <c r="R174" s="7">
        <v>61.4</v>
      </c>
      <c r="S174" s="7">
        <v>33.1</v>
      </c>
      <c r="T174" s="7">
        <v>66.900000000000006</v>
      </c>
      <c r="U174" s="7">
        <v>72.5</v>
      </c>
      <c r="V174" s="7">
        <v>39.299999999999997</v>
      </c>
      <c r="W174" s="7">
        <v>60.7</v>
      </c>
      <c r="X174" t="str">
        <f>VLOOKUP(E174,'Transform table'!A:B,2,0)</f>
        <v>Guizhou Zhicheng</v>
      </c>
      <c r="Y174" t="str">
        <f>VLOOKUP(F174,'Transform table'!A:B,2,0)</f>
        <v>Ganzhou Ruishi</v>
      </c>
      <c r="Z174" t="str">
        <f t="shared" si="2"/>
        <v>25/07/2026Guizhou ZhichengGanzhou Ruishi</v>
      </c>
      <c r="AA174" t="str">
        <f>VLOOKUP($Z174,'oddspedia-matches'!$A:$AD,AA$2,0)</f>
        <v>3 - 0</v>
      </c>
      <c r="AB174" t="str">
        <f>VLOOKUP($Z174,'oddspedia-matches'!$A:$AD,AB$2,0)</f>
        <v>Green</v>
      </c>
      <c r="AC174" t="str">
        <f>VLOOKUP($Z174,'oddspedia-matches'!$A:$AD,AC$2,0)</f>
        <v>Red</v>
      </c>
      <c r="AD174" t="str">
        <f>VLOOKUP($Z174,'oddspedia-matches'!$A:$AD,AD$2,0)</f>
        <v>Red</v>
      </c>
      <c r="AE174" t="str">
        <f>VLOOKUP($Z174,'oddspedia-matches'!$A:$AD,AE$2,0)</f>
        <v>Green</v>
      </c>
      <c r="AF174" t="str">
        <f>VLOOKUP($Z174,'oddspedia-matches'!$A:$AD,AF$2,0)</f>
        <v>Red</v>
      </c>
      <c r="AG174" t="str">
        <f>VLOOKUP($Z174,'oddspedia-matches'!$A:$AD,AG$2,0)</f>
        <v>Green</v>
      </c>
      <c r="AH174" t="str">
        <f>VLOOKUP($Z174,'oddspedia-matches'!$A:$AD,AH$2,0)</f>
        <v>Green</v>
      </c>
      <c r="AI174" t="str">
        <f>VLOOKUP($Z174,'oddspedia-matches'!$A:$AD,AI$2,0)</f>
        <v>Red</v>
      </c>
      <c r="AJ174" t="str">
        <f>VLOOKUP($Z174,'oddspedia-matches'!$A:$AD,AJ$2,0)</f>
        <v>Red</v>
      </c>
      <c r="AK174" t="str">
        <f>VLOOKUP($Z174,'oddspedia-matches'!$A:$AD,AK$2,0)</f>
        <v>Green</v>
      </c>
      <c r="AL174" t="str">
        <f>VLOOKUP($Z174,'oddspedia-matches'!$A:$AD,AL$2,0)</f>
        <v>Green</v>
      </c>
      <c r="AM174" t="str">
        <f>VLOOKUP($Z174,'oddspedia-matches'!$A:$AD,AM$2,0)</f>
        <v>Green</v>
      </c>
      <c r="AN174" t="str">
        <f>VLOOKUP($Z174,'oddspedia-matches'!$A:$AD,AN$2,0)</f>
        <v>Red</v>
      </c>
      <c r="AO174" t="str">
        <f>VLOOKUP($Z174,'oddspedia-matches'!$A:$AD,AO$2,0)</f>
        <v>Green</v>
      </c>
      <c r="AP174" t="str">
        <f>VLOOKUP($Z174,'oddspedia-matches'!$A:$AD,AP$2,0)</f>
        <v>Red</v>
      </c>
      <c r="AQ174" t="str">
        <f>VLOOKUP($Z174,'oddspedia-matches'!$A:$AD,AQ$2,0)</f>
        <v>Green</v>
      </c>
    </row>
    <row r="175" spans="2:43" x14ac:dyDescent="0.2">
      <c r="B175" s="17" t="s">
        <v>546</v>
      </c>
      <c r="C175" s="8" t="s">
        <v>490</v>
      </c>
      <c r="D175" s="18">
        <v>0.35416666666666669</v>
      </c>
      <c r="E175" s="8" t="s">
        <v>577</v>
      </c>
      <c r="F175" s="8" t="s">
        <v>578</v>
      </c>
      <c r="G175" s="19"/>
      <c r="H175" s="8">
        <v>42.1</v>
      </c>
      <c r="I175" s="8">
        <v>29.7</v>
      </c>
      <c r="J175" s="8">
        <v>28.2</v>
      </c>
      <c r="K175" s="8">
        <v>71.8</v>
      </c>
      <c r="L175" s="8">
        <v>57.9</v>
      </c>
      <c r="M175" s="8">
        <v>70.3</v>
      </c>
      <c r="N175" s="8">
        <v>40.9</v>
      </c>
      <c r="O175" s="8">
        <v>38.4</v>
      </c>
      <c r="P175" s="8">
        <v>20.7</v>
      </c>
      <c r="Q175" s="8">
        <v>75.900000000000006</v>
      </c>
      <c r="R175" s="8">
        <v>71</v>
      </c>
      <c r="S175" s="8">
        <v>43.7</v>
      </c>
      <c r="T175" s="8">
        <v>56.3</v>
      </c>
      <c r="U175" s="8">
        <v>61.8</v>
      </c>
      <c r="V175" s="8">
        <v>50.1</v>
      </c>
      <c r="W175" s="8">
        <v>49.9</v>
      </c>
      <c r="X175" t="str">
        <f>VLOOKUP(E175,'Transform table'!A:B,2,0)</f>
        <v>Jiangxi Liansheng FC</v>
      </c>
      <c r="Y175" t="str">
        <f>VLOOKUP(F175,'Transform table'!A:B,2,0)</f>
        <v>Shenzhen 2028</v>
      </c>
      <c r="Z175" t="str">
        <f t="shared" si="2"/>
        <v>25/07/2026Jiangxi Liansheng FCShenzhen 2028</v>
      </c>
      <c r="AA175" t="str">
        <f>VLOOKUP($Z175,'oddspedia-matches'!$A:$AD,AA$2,0)</f>
        <v>1 - 2</v>
      </c>
      <c r="AB175" t="str">
        <f>VLOOKUP($Z175,'oddspedia-matches'!$A:$AD,AB$2,0)</f>
        <v>Red</v>
      </c>
      <c r="AC175" t="str">
        <f>VLOOKUP($Z175,'oddspedia-matches'!$A:$AD,AC$2,0)</f>
        <v>Red</v>
      </c>
      <c r="AD175" t="str">
        <f>VLOOKUP($Z175,'oddspedia-matches'!$A:$AD,AD$2,0)</f>
        <v>Green</v>
      </c>
      <c r="AE175" t="str">
        <f>VLOOKUP($Z175,'oddspedia-matches'!$A:$AD,AE$2,0)</f>
        <v>Red</v>
      </c>
      <c r="AF175" t="str">
        <f>VLOOKUP($Z175,'oddspedia-matches'!$A:$AD,AF$2,0)</f>
        <v>Green</v>
      </c>
      <c r="AG175" t="str">
        <f>VLOOKUP($Z175,'oddspedia-matches'!$A:$AD,AG$2,0)</f>
        <v>Green</v>
      </c>
      <c r="AH175" t="str">
        <f>VLOOKUP($Z175,'oddspedia-matches'!$A:$AD,AH$2,0)</f>
        <v>Red</v>
      </c>
      <c r="AI175" t="str">
        <f>VLOOKUP($Z175,'oddspedia-matches'!$A:$AD,AI$2,0)</f>
        <v>Green</v>
      </c>
      <c r="AJ175" t="str">
        <f>VLOOKUP($Z175,'oddspedia-matches'!$A:$AD,AJ$2,0)</f>
        <v>Red</v>
      </c>
      <c r="AK175" t="str">
        <f>VLOOKUP($Z175,'oddspedia-matches'!$A:$AD,AK$2,0)</f>
        <v>Red</v>
      </c>
      <c r="AL175" t="str">
        <f>VLOOKUP($Z175,'oddspedia-matches'!$A:$AD,AL$2,0)</f>
        <v>Green</v>
      </c>
      <c r="AM175" t="str">
        <f>VLOOKUP($Z175,'oddspedia-matches'!$A:$AD,AM$2,0)</f>
        <v>Green</v>
      </c>
      <c r="AN175" t="str">
        <f>VLOOKUP($Z175,'oddspedia-matches'!$A:$AD,AN$2,0)</f>
        <v>Red</v>
      </c>
      <c r="AO175" t="str">
        <f>VLOOKUP($Z175,'oddspedia-matches'!$A:$AD,AO$2,0)</f>
        <v>Green</v>
      </c>
      <c r="AP175" t="str">
        <f>VLOOKUP($Z175,'oddspedia-matches'!$A:$AD,AP$2,0)</f>
        <v>Green</v>
      </c>
      <c r="AQ175" t="str">
        <f>VLOOKUP($Z175,'oddspedia-matches'!$A:$AD,AQ$2,0)</f>
        <v>Red</v>
      </c>
    </row>
    <row r="176" spans="2:43" x14ac:dyDescent="0.2">
      <c r="B176" s="9" t="s">
        <v>546</v>
      </c>
      <c r="C176" s="7" t="s">
        <v>490</v>
      </c>
      <c r="D176" s="20">
        <v>0.35416666666666669</v>
      </c>
      <c r="E176" s="7" t="s">
        <v>579</v>
      </c>
      <c r="F176" s="7" t="s">
        <v>580</v>
      </c>
      <c r="G176" s="21"/>
      <c r="H176" s="7">
        <v>47.1</v>
      </c>
      <c r="I176" s="7">
        <v>32</v>
      </c>
      <c r="J176" s="7">
        <v>20.9</v>
      </c>
      <c r="K176" s="7">
        <v>79.099999999999994</v>
      </c>
      <c r="L176" s="7">
        <v>52.9</v>
      </c>
      <c r="M176" s="7">
        <v>68</v>
      </c>
      <c r="N176" s="7">
        <v>27.5</v>
      </c>
      <c r="O176" s="7">
        <v>54.4</v>
      </c>
      <c r="P176" s="7">
        <v>18</v>
      </c>
      <c r="Q176" s="7">
        <v>53.1</v>
      </c>
      <c r="R176" s="7">
        <v>59.5</v>
      </c>
      <c r="S176" s="7">
        <v>31.1</v>
      </c>
      <c r="T176" s="7">
        <v>68.900000000000006</v>
      </c>
      <c r="U176" s="7">
        <v>74.2</v>
      </c>
      <c r="V176" s="7">
        <v>37.799999999999997</v>
      </c>
      <c r="W176" s="7">
        <v>62.2</v>
      </c>
      <c r="X176" t="str">
        <f>VLOOKUP(E176,'Transform table'!A:B,2,0)</f>
        <v>Rizhao Yuqi</v>
      </c>
      <c r="Y176" t="str">
        <f>VLOOKUP(F176,'Transform table'!A:B,2,0)</f>
        <v>Shanghai Segenda</v>
      </c>
      <c r="Z176" t="str">
        <f t="shared" si="2"/>
        <v>25/07/2026Rizhao YuqiShanghai Segenda</v>
      </c>
      <c r="AA176" t="str">
        <f>VLOOKUP($Z176,'oddspedia-matches'!$A:$AD,AA$2,0)</f>
        <v>2 - 2</v>
      </c>
      <c r="AB176" t="str">
        <f>VLOOKUP($Z176,'oddspedia-matches'!$A:$AD,AB$2,0)</f>
        <v>Red</v>
      </c>
      <c r="AC176" t="str">
        <f>VLOOKUP($Z176,'oddspedia-matches'!$A:$AD,AC$2,0)</f>
        <v>Green</v>
      </c>
      <c r="AD176" t="str">
        <f>VLOOKUP($Z176,'oddspedia-matches'!$A:$AD,AD$2,0)</f>
        <v>Red</v>
      </c>
      <c r="AE176" t="str">
        <f>VLOOKUP($Z176,'oddspedia-matches'!$A:$AD,AE$2,0)</f>
        <v>Green</v>
      </c>
      <c r="AF176" t="str">
        <f>VLOOKUP($Z176,'oddspedia-matches'!$A:$AD,AF$2,0)</f>
        <v>Green</v>
      </c>
      <c r="AG176" t="str">
        <f>VLOOKUP($Z176,'oddspedia-matches'!$A:$AD,AG$2,0)</f>
        <v>Red</v>
      </c>
      <c r="AH176" t="str">
        <f>VLOOKUP($Z176,'oddspedia-matches'!$A:$AD,AH$2,0)</f>
        <v>Red</v>
      </c>
      <c r="AI176" t="str">
        <f>VLOOKUP($Z176,'oddspedia-matches'!$A:$AD,AI$2,0)</f>
        <v>Red</v>
      </c>
      <c r="AJ176" t="str">
        <f>VLOOKUP($Z176,'oddspedia-matches'!$A:$AD,AJ$2,0)</f>
        <v>Green</v>
      </c>
      <c r="AK176" t="str">
        <f>VLOOKUP($Z176,'oddspedia-matches'!$A:$AD,AK$2,0)</f>
        <v>Green</v>
      </c>
      <c r="AL176" t="str">
        <f>VLOOKUP($Z176,'oddspedia-matches'!$A:$AD,AL$2,0)</f>
        <v>Green</v>
      </c>
      <c r="AM176" t="str">
        <f>VLOOKUP($Z176,'oddspedia-matches'!$A:$AD,AM$2,0)</f>
        <v>Green</v>
      </c>
      <c r="AN176" t="str">
        <f>VLOOKUP($Z176,'oddspedia-matches'!$A:$AD,AN$2,0)</f>
        <v>Red</v>
      </c>
      <c r="AO176" t="str">
        <f>VLOOKUP($Z176,'oddspedia-matches'!$A:$AD,AO$2,0)</f>
        <v>Red</v>
      </c>
      <c r="AP176" t="str">
        <f>VLOOKUP($Z176,'oddspedia-matches'!$A:$AD,AP$2,0)</f>
        <v>Green</v>
      </c>
      <c r="AQ176" t="str">
        <f>VLOOKUP($Z176,'oddspedia-matches'!$A:$AD,AQ$2,0)</f>
        <v>Red</v>
      </c>
    </row>
    <row r="177" spans="2:43" x14ac:dyDescent="0.2">
      <c r="B177" s="17" t="s">
        <v>543</v>
      </c>
      <c r="C177" s="8" t="s">
        <v>490</v>
      </c>
      <c r="D177" s="18">
        <v>0.3576388888888889</v>
      </c>
      <c r="E177" s="8" t="s">
        <v>581</v>
      </c>
      <c r="F177" s="8" t="s">
        <v>582</v>
      </c>
      <c r="G177" s="19"/>
      <c r="H177" s="8">
        <v>44.2</v>
      </c>
      <c r="I177" s="8">
        <v>27.3</v>
      </c>
      <c r="J177" s="8">
        <v>28.6</v>
      </c>
      <c r="K177" s="8">
        <v>71.400000000000006</v>
      </c>
      <c r="L177" s="8">
        <v>55.8</v>
      </c>
      <c r="M177" s="8">
        <v>72.7</v>
      </c>
      <c r="N177" s="8">
        <v>26.1</v>
      </c>
      <c r="O177" s="8">
        <v>44.4</v>
      </c>
      <c r="P177" s="8">
        <v>29.4</v>
      </c>
      <c r="Q177" s="8">
        <v>68.400000000000006</v>
      </c>
      <c r="R177" s="8">
        <v>79.5</v>
      </c>
      <c r="S177" s="8">
        <v>55.1</v>
      </c>
      <c r="T177" s="8">
        <v>44.9</v>
      </c>
      <c r="U177" s="8">
        <v>50.8</v>
      </c>
      <c r="V177" s="8">
        <v>58.9</v>
      </c>
      <c r="W177" s="8">
        <v>41.1</v>
      </c>
      <c r="X177" t="str">
        <f>VLOOKUP(E177,'Transform table'!A:B,2,0)</f>
        <v>Liaoning Tieren</v>
      </c>
      <c r="Y177" t="str">
        <f>VLOOKUP(F177,'Transform table'!A:B,2,0)</f>
        <v>Qingdao Kangtine</v>
      </c>
      <c r="Z177" t="str">
        <f t="shared" si="2"/>
        <v>25/07/2026Liaoning TierenQingdao Kangtine</v>
      </c>
      <c r="AA177" t="str">
        <f>VLOOKUP($Z177,'oddspedia-matches'!$A:$AD,AA$2,0)</f>
        <v>0 - 1</v>
      </c>
      <c r="AB177" t="str">
        <f>VLOOKUP($Z177,'oddspedia-matches'!$A:$AD,AB$2,0)</f>
        <v>Red</v>
      </c>
      <c r="AC177" t="str">
        <f>VLOOKUP($Z177,'oddspedia-matches'!$A:$AD,AC$2,0)</f>
        <v>Red</v>
      </c>
      <c r="AD177" t="str">
        <f>VLOOKUP($Z177,'oddspedia-matches'!$A:$AD,AD$2,0)</f>
        <v>Green</v>
      </c>
      <c r="AE177" t="str">
        <f>VLOOKUP($Z177,'oddspedia-matches'!$A:$AD,AE$2,0)</f>
        <v>Red</v>
      </c>
      <c r="AF177" t="str">
        <f>VLOOKUP($Z177,'oddspedia-matches'!$A:$AD,AF$2,0)</f>
        <v>Green</v>
      </c>
      <c r="AG177" t="str">
        <f>VLOOKUP($Z177,'oddspedia-matches'!$A:$AD,AG$2,0)</f>
        <v>Green</v>
      </c>
      <c r="AH177" t="str">
        <f>VLOOKUP($Z177,'oddspedia-matches'!$A:$AD,AH$2,0)</f>
        <v>Red</v>
      </c>
      <c r="AI177" t="str">
        <f>VLOOKUP($Z177,'oddspedia-matches'!$A:$AD,AI$2,0)</f>
        <v>Green</v>
      </c>
      <c r="AJ177" t="str">
        <f>VLOOKUP($Z177,'oddspedia-matches'!$A:$AD,AJ$2,0)</f>
        <v>Red</v>
      </c>
      <c r="AK177" t="str">
        <f>VLOOKUP($Z177,'oddspedia-matches'!$A:$AD,AK$2,0)</f>
        <v>Red</v>
      </c>
      <c r="AL177" t="str">
        <f>VLOOKUP($Z177,'oddspedia-matches'!$A:$AD,AL$2,0)</f>
        <v>Red</v>
      </c>
      <c r="AM177" t="str">
        <f>VLOOKUP($Z177,'oddspedia-matches'!$A:$AD,AM$2,0)</f>
        <v>Red</v>
      </c>
      <c r="AN177" t="str">
        <f>VLOOKUP($Z177,'oddspedia-matches'!$A:$AD,AN$2,0)</f>
        <v>Green</v>
      </c>
      <c r="AO177" t="str">
        <f>VLOOKUP($Z177,'oddspedia-matches'!$A:$AD,AO$2,0)</f>
        <v>Green</v>
      </c>
      <c r="AP177" t="str">
        <f>VLOOKUP($Z177,'oddspedia-matches'!$A:$AD,AP$2,0)</f>
        <v>Red</v>
      </c>
      <c r="AQ177" t="str">
        <f>VLOOKUP($Z177,'oddspedia-matches'!$A:$AD,AQ$2,0)</f>
        <v>Green</v>
      </c>
    </row>
    <row r="178" spans="2:43" x14ac:dyDescent="0.2">
      <c r="B178" s="9" t="s">
        <v>543</v>
      </c>
      <c r="C178" s="7" t="s">
        <v>490</v>
      </c>
      <c r="D178" s="20">
        <v>0.3576388888888889</v>
      </c>
      <c r="E178" s="7" t="s">
        <v>404</v>
      </c>
      <c r="F178" s="7" t="s">
        <v>583</v>
      </c>
      <c r="G178" s="21"/>
      <c r="H178" s="7">
        <v>43.4</v>
      </c>
      <c r="I178" s="7">
        <v>26</v>
      </c>
      <c r="J178" s="7">
        <v>30.6</v>
      </c>
      <c r="K178" s="7">
        <v>69.400000000000006</v>
      </c>
      <c r="L178" s="7">
        <v>56.6</v>
      </c>
      <c r="M178" s="7">
        <v>74</v>
      </c>
      <c r="N178" s="7">
        <v>32.6</v>
      </c>
      <c r="O178" s="7">
        <v>41</v>
      </c>
      <c r="P178" s="7">
        <v>26.4</v>
      </c>
      <c r="Q178" s="7">
        <v>73.5</v>
      </c>
      <c r="R178" s="7">
        <v>85.3</v>
      </c>
      <c r="S178" s="7">
        <v>64.3</v>
      </c>
      <c r="T178" s="7">
        <v>35.700000000000003</v>
      </c>
      <c r="U178" s="7">
        <v>41.4</v>
      </c>
      <c r="V178" s="7">
        <v>66.3</v>
      </c>
      <c r="W178" s="7">
        <v>33.700000000000003</v>
      </c>
      <c r="X178" t="str">
        <f>VLOOKUP(E178,'Transform table'!A:B,2,0)</f>
        <v>Shanghai Port</v>
      </c>
      <c r="Y178" t="str">
        <f>VLOOKUP(F178,'Transform table'!A:B,2,0)</f>
        <v>Shanghai Greenland Shenhua</v>
      </c>
      <c r="Z178" t="str">
        <f t="shared" si="2"/>
        <v>25/07/2026Shanghai PortShanghai Greenland Shenhua</v>
      </c>
      <c r="AA178" t="str">
        <f>VLOOKUP($Z178,'oddspedia-matches'!$A:$AD,AA$2,0)</f>
        <v>2 - 0</v>
      </c>
      <c r="AB178" t="str">
        <f>VLOOKUP($Z178,'oddspedia-matches'!$A:$AD,AB$2,0)</f>
        <v>Green</v>
      </c>
      <c r="AC178" t="str">
        <f>VLOOKUP($Z178,'oddspedia-matches'!$A:$AD,AC$2,0)</f>
        <v>Red</v>
      </c>
      <c r="AD178" t="str">
        <f>VLOOKUP($Z178,'oddspedia-matches'!$A:$AD,AD$2,0)</f>
        <v>Red</v>
      </c>
      <c r="AE178" t="str">
        <f>VLOOKUP($Z178,'oddspedia-matches'!$A:$AD,AE$2,0)</f>
        <v>Green</v>
      </c>
      <c r="AF178" t="str">
        <f>VLOOKUP($Z178,'oddspedia-matches'!$A:$AD,AF$2,0)</f>
        <v>Red</v>
      </c>
      <c r="AG178" t="str">
        <f>VLOOKUP($Z178,'oddspedia-matches'!$A:$AD,AG$2,0)</f>
        <v>Green</v>
      </c>
      <c r="AH178" t="str">
        <f>VLOOKUP($Z178,'oddspedia-matches'!$A:$AD,AH$2,0)</f>
        <v>Green</v>
      </c>
      <c r="AI178" t="str">
        <f>VLOOKUP($Z178,'oddspedia-matches'!$A:$AD,AI$2,0)</f>
        <v>Red</v>
      </c>
      <c r="AJ178" t="str">
        <f>VLOOKUP($Z178,'oddspedia-matches'!$A:$AD,AJ$2,0)</f>
        <v>Red</v>
      </c>
      <c r="AK178" t="str">
        <f>VLOOKUP($Z178,'oddspedia-matches'!$A:$AD,AK$2,0)</f>
        <v>Green</v>
      </c>
      <c r="AL178" t="str">
        <f>VLOOKUP($Z178,'oddspedia-matches'!$A:$AD,AL$2,0)</f>
        <v>Green</v>
      </c>
      <c r="AM178" t="str">
        <f>VLOOKUP($Z178,'oddspedia-matches'!$A:$AD,AM$2,0)</f>
        <v>Red</v>
      </c>
      <c r="AN178" t="str">
        <f>VLOOKUP($Z178,'oddspedia-matches'!$A:$AD,AN$2,0)</f>
        <v>Green</v>
      </c>
      <c r="AO178" t="str">
        <f>VLOOKUP($Z178,'oddspedia-matches'!$A:$AD,AO$2,0)</f>
        <v>Green</v>
      </c>
      <c r="AP178" t="str">
        <f>VLOOKUP($Z178,'oddspedia-matches'!$A:$AD,AP$2,0)</f>
        <v>Red</v>
      </c>
      <c r="AQ178" t="str">
        <f>VLOOKUP($Z178,'oddspedia-matches'!$A:$AD,AQ$2,0)</f>
        <v>Green</v>
      </c>
    </row>
    <row r="179" spans="2:43" x14ac:dyDescent="0.2">
      <c r="B179" s="17" t="s">
        <v>584</v>
      </c>
      <c r="C179" s="8" t="s">
        <v>490</v>
      </c>
      <c r="D179" s="18">
        <v>0.375</v>
      </c>
      <c r="E179" s="8" t="s">
        <v>585</v>
      </c>
      <c r="F179" s="8" t="s">
        <v>586</v>
      </c>
      <c r="G179" s="19"/>
      <c r="H179" s="8">
        <v>45.5</v>
      </c>
      <c r="I179" s="8">
        <v>32.5</v>
      </c>
      <c r="J179" s="8">
        <v>22</v>
      </c>
      <c r="K179" s="8">
        <v>78</v>
      </c>
      <c r="L179" s="8">
        <v>54.5</v>
      </c>
      <c r="M179" s="8">
        <v>67.5</v>
      </c>
      <c r="N179" s="8">
        <v>32.200000000000003</v>
      </c>
      <c r="O179" s="8">
        <v>52.2</v>
      </c>
      <c r="P179" s="8">
        <v>15.6</v>
      </c>
      <c r="Q179" s="8">
        <v>55.6</v>
      </c>
      <c r="R179" s="8">
        <v>58.9</v>
      </c>
      <c r="S179" s="8">
        <v>30.6</v>
      </c>
      <c r="T179" s="8">
        <v>69.400000000000006</v>
      </c>
      <c r="U179" s="8">
        <v>74.5</v>
      </c>
      <c r="V179" s="8">
        <v>37.799999999999997</v>
      </c>
      <c r="W179" s="8">
        <v>62.2</v>
      </c>
      <c r="X179" t="str">
        <f>VLOOKUP(E179,'Transform table'!A:B,2,0)</f>
        <v>Ulytau FC</v>
      </c>
      <c r="Y179" t="str">
        <f>VLOOKUP(F179,'Transform table'!A:B,2,0)</f>
        <v>Irtysh Pavlodar</v>
      </c>
      <c r="Z179" t="str">
        <f t="shared" si="2"/>
        <v>25/07/2026Ulytau FCIrtysh Pavlodar</v>
      </c>
      <c r="AA179" t="str">
        <f>VLOOKUP($Z179,'oddspedia-matches'!$A:$AD,AA$2,0)</f>
        <v>1 - 2</v>
      </c>
      <c r="AB179" t="str">
        <f>VLOOKUP($Z179,'oddspedia-matches'!$A:$AD,AB$2,0)</f>
        <v>Red</v>
      </c>
      <c r="AC179" t="str">
        <f>VLOOKUP($Z179,'oddspedia-matches'!$A:$AD,AC$2,0)</f>
        <v>Red</v>
      </c>
      <c r="AD179" t="str">
        <f>VLOOKUP($Z179,'oddspedia-matches'!$A:$AD,AD$2,0)</f>
        <v>Green</v>
      </c>
      <c r="AE179" t="str">
        <f>VLOOKUP($Z179,'oddspedia-matches'!$A:$AD,AE$2,0)</f>
        <v>Red</v>
      </c>
      <c r="AF179" t="str">
        <f>VLOOKUP($Z179,'oddspedia-matches'!$A:$AD,AF$2,0)</f>
        <v>Green</v>
      </c>
      <c r="AG179" t="str">
        <f>VLOOKUP($Z179,'oddspedia-matches'!$A:$AD,AG$2,0)</f>
        <v>Green</v>
      </c>
      <c r="AH179" t="str">
        <f>VLOOKUP($Z179,'oddspedia-matches'!$A:$AD,AH$2,0)</f>
        <v>Red</v>
      </c>
      <c r="AI179" t="str">
        <f>VLOOKUP($Z179,'oddspedia-matches'!$A:$AD,AI$2,0)</f>
        <v>Red</v>
      </c>
      <c r="AJ179" t="str">
        <f>VLOOKUP($Z179,'oddspedia-matches'!$A:$AD,AJ$2,0)</f>
        <v>Green</v>
      </c>
      <c r="AK179" t="str">
        <f>VLOOKUP($Z179,'oddspedia-matches'!$A:$AD,AK$2,0)</f>
        <v>Green</v>
      </c>
      <c r="AL179" t="str">
        <f>VLOOKUP($Z179,'oddspedia-matches'!$A:$AD,AL$2,0)</f>
        <v>Green</v>
      </c>
      <c r="AM179" t="str">
        <f>VLOOKUP($Z179,'oddspedia-matches'!$A:$AD,AM$2,0)</f>
        <v>Green</v>
      </c>
      <c r="AN179" t="str">
        <f>VLOOKUP($Z179,'oddspedia-matches'!$A:$AD,AN$2,0)</f>
        <v>Red</v>
      </c>
      <c r="AO179" t="str">
        <f>VLOOKUP($Z179,'oddspedia-matches'!$A:$AD,AO$2,0)</f>
        <v>Green</v>
      </c>
      <c r="AP179" t="str">
        <f>VLOOKUP($Z179,'oddspedia-matches'!$A:$AD,AP$2,0)</f>
        <v>Green</v>
      </c>
      <c r="AQ179" t="str">
        <f>VLOOKUP($Z179,'oddspedia-matches'!$A:$AD,AQ$2,0)</f>
        <v>Red</v>
      </c>
    </row>
    <row r="180" spans="2:43" x14ac:dyDescent="0.2">
      <c r="B180" s="9" t="s">
        <v>543</v>
      </c>
      <c r="C180" s="7" t="s">
        <v>490</v>
      </c>
      <c r="D180" s="20">
        <v>0.375</v>
      </c>
      <c r="E180" s="7" t="s">
        <v>410</v>
      </c>
      <c r="F180" s="7" t="s">
        <v>406</v>
      </c>
      <c r="G180" s="21"/>
      <c r="H180" s="7">
        <v>39.5</v>
      </c>
      <c r="I180" s="7">
        <v>28.3</v>
      </c>
      <c r="J180" s="7">
        <v>32.200000000000003</v>
      </c>
      <c r="K180" s="7">
        <v>67.8</v>
      </c>
      <c r="L180" s="7">
        <v>60.5</v>
      </c>
      <c r="M180" s="7">
        <v>71.7</v>
      </c>
      <c r="N180" s="7">
        <v>30.1</v>
      </c>
      <c r="O180" s="7">
        <v>44.3</v>
      </c>
      <c r="P180" s="7">
        <v>25.5</v>
      </c>
      <c r="Q180" s="7">
        <v>68.400000000000006</v>
      </c>
      <c r="R180" s="7">
        <v>77.3</v>
      </c>
      <c r="S180" s="7">
        <v>51.9</v>
      </c>
      <c r="T180" s="7">
        <v>48.1</v>
      </c>
      <c r="U180" s="7">
        <v>53.7</v>
      </c>
      <c r="V180" s="7">
        <v>57.1</v>
      </c>
      <c r="W180" s="7">
        <v>42.9</v>
      </c>
      <c r="X180" t="str">
        <f>VLOOKUP(E180,'Transform table'!A:B,2,0)</f>
        <v>Wuhan Three Towns</v>
      </c>
      <c r="Y180" t="str">
        <f>VLOOKUP(F180,'Transform table'!A:B,2,0)</f>
        <v>Chongqing Tonglianglong</v>
      </c>
      <c r="Z180" t="str">
        <f t="shared" si="2"/>
        <v>25/07/2026Wuhan Three TownsChongqing Tonglianglong</v>
      </c>
      <c r="AA180" t="str">
        <f>VLOOKUP($Z180,'oddspedia-matches'!$A:$AD,AA$2,0)</f>
        <v>1 - 0</v>
      </c>
      <c r="AB180" t="str">
        <f>VLOOKUP($Z180,'oddspedia-matches'!$A:$AD,AB$2,0)</f>
        <v>Green</v>
      </c>
      <c r="AC180" t="str">
        <f>VLOOKUP($Z180,'oddspedia-matches'!$A:$AD,AC$2,0)</f>
        <v>Red</v>
      </c>
      <c r="AD180" t="str">
        <f>VLOOKUP($Z180,'oddspedia-matches'!$A:$AD,AD$2,0)</f>
        <v>Red</v>
      </c>
      <c r="AE180" t="str">
        <f>VLOOKUP($Z180,'oddspedia-matches'!$A:$AD,AE$2,0)</f>
        <v>Green</v>
      </c>
      <c r="AF180" t="str">
        <f>VLOOKUP($Z180,'oddspedia-matches'!$A:$AD,AF$2,0)</f>
        <v>Red</v>
      </c>
      <c r="AG180" t="str">
        <f>VLOOKUP($Z180,'oddspedia-matches'!$A:$AD,AG$2,0)</f>
        <v>Green</v>
      </c>
      <c r="AH180" t="str">
        <f>VLOOKUP($Z180,'oddspedia-matches'!$A:$AD,AH$2,0)</f>
        <v>Green</v>
      </c>
      <c r="AI180" t="str">
        <f>VLOOKUP($Z180,'oddspedia-matches'!$A:$AD,AI$2,0)</f>
        <v>Red</v>
      </c>
      <c r="AJ180" t="str">
        <f>VLOOKUP($Z180,'oddspedia-matches'!$A:$AD,AJ$2,0)</f>
        <v>Red</v>
      </c>
      <c r="AK180" t="str">
        <f>VLOOKUP($Z180,'oddspedia-matches'!$A:$AD,AK$2,0)</f>
        <v>Green</v>
      </c>
      <c r="AL180" t="str">
        <f>VLOOKUP($Z180,'oddspedia-matches'!$A:$AD,AL$2,0)</f>
        <v>Red</v>
      </c>
      <c r="AM180" t="str">
        <f>VLOOKUP($Z180,'oddspedia-matches'!$A:$AD,AM$2,0)</f>
        <v>Red</v>
      </c>
      <c r="AN180" t="str">
        <f>VLOOKUP($Z180,'oddspedia-matches'!$A:$AD,AN$2,0)</f>
        <v>Green</v>
      </c>
      <c r="AO180" t="str">
        <f>VLOOKUP($Z180,'oddspedia-matches'!$A:$AD,AO$2,0)</f>
        <v>Green</v>
      </c>
      <c r="AP180" t="str">
        <f>VLOOKUP($Z180,'oddspedia-matches'!$A:$AD,AP$2,0)</f>
        <v>Red</v>
      </c>
      <c r="AQ180" t="str">
        <f>VLOOKUP($Z180,'oddspedia-matches'!$A:$AD,AQ$2,0)</f>
        <v>Green</v>
      </c>
    </row>
    <row r="181" spans="2:43" x14ac:dyDescent="0.2">
      <c r="B181" s="17" t="s">
        <v>448</v>
      </c>
      <c r="C181" s="8" t="s">
        <v>490</v>
      </c>
      <c r="D181" s="18">
        <v>0.375</v>
      </c>
      <c r="E181" s="8" t="s">
        <v>587</v>
      </c>
      <c r="F181" s="8" t="s">
        <v>222</v>
      </c>
      <c r="G181" s="19"/>
      <c r="H181" s="8">
        <v>55</v>
      </c>
      <c r="I181" s="8">
        <v>25.5</v>
      </c>
      <c r="J181" s="8">
        <v>19.600000000000001</v>
      </c>
      <c r="K181" s="8">
        <v>80.400000000000006</v>
      </c>
      <c r="L181" s="8">
        <v>45</v>
      </c>
      <c r="M181" s="8">
        <v>74.5</v>
      </c>
      <c r="N181" s="8">
        <v>31</v>
      </c>
      <c r="O181" s="8">
        <v>43.7</v>
      </c>
      <c r="P181" s="8">
        <v>25.3</v>
      </c>
      <c r="Q181" s="8">
        <v>69.2</v>
      </c>
      <c r="R181" s="8">
        <v>78.8</v>
      </c>
      <c r="S181" s="8">
        <v>54.2</v>
      </c>
      <c r="T181" s="8">
        <v>45.8</v>
      </c>
      <c r="U181" s="8">
        <v>52.8</v>
      </c>
      <c r="V181" s="8">
        <v>54.8</v>
      </c>
      <c r="W181" s="8">
        <v>45.2</v>
      </c>
      <c r="X181" t="str">
        <f>VLOOKUP(E181,'Transform table'!A:B,2,0)</f>
        <v>Haka</v>
      </c>
      <c r="Y181" t="str">
        <f>VLOOKUP(F181,'Transform table'!A:B,2,0)</f>
        <v>Kapylan Pallo</v>
      </c>
      <c r="Z181" t="str">
        <f t="shared" si="2"/>
        <v>25/07/2026HakaKapylan Pallo</v>
      </c>
      <c r="AA181" t="str">
        <f>VLOOKUP($Z181,'oddspedia-matches'!$A:$AD,AA$2,0)</f>
        <v>3 - 1</v>
      </c>
      <c r="AB181" t="str">
        <f>VLOOKUP($Z181,'oddspedia-matches'!$A:$AD,AB$2,0)</f>
        <v>Green</v>
      </c>
      <c r="AC181" t="str">
        <f>VLOOKUP($Z181,'oddspedia-matches'!$A:$AD,AC$2,0)</f>
        <v>Red</v>
      </c>
      <c r="AD181" t="str">
        <f>VLOOKUP($Z181,'oddspedia-matches'!$A:$AD,AD$2,0)</f>
        <v>Red</v>
      </c>
      <c r="AE181" t="str">
        <f>VLOOKUP($Z181,'oddspedia-matches'!$A:$AD,AE$2,0)</f>
        <v>Green</v>
      </c>
      <c r="AF181" t="str">
        <f>VLOOKUP($Z181,'oddspedia-matches'!$A:$AD,AF$2,0)</f>
        <v>Red</v>
      </c>
      <c r="AG181" t="str">
        <f>VLOOKUP($Z181,'oddspedia-matches'!$A:$AD,AG$2,0)</f>
        <v>Green</v>
      </c>
      <c r="AH181" t="str">
        <f>VLOOKUP($Z181,'oddspedia-matches'!$A:$AD,AH$2,0)</f>
        <v>Green</v>
      </c>
      <c r="AI181" t="str">
        <f>VLOOKUP($Z181,'oddspedia-matches'!$A:$AD,AI$2,0)</f>
        <v>Red</v>
      </c>
      <c r="AJ181" t="str">
        <f>VLOOKUP($Z181,'oddspedia-matches'!$A:$AD,AJ$2,0)</f>
        <v>Red</v>
      </c>
      <c r="AK181" t="str">
        <f>VLOOKUP($Z181,'oddspedia-matches'!$A:$AD,AK$2,0)</f>
        <v>Green</v>
      </c>
      <c r="AL181" t="str">
        <f>VLOOKUP($Z181,'oddspedia-matches'!$A:$AD,AL$2,0)</f>
        <v>Green</v>
      </c>
      <c r="AM181" t="str">
        <f>VLOOKUP($Z181,'oddspedia-matches'!$A:$AD,AM$2,0)</f>
        <v>Green</v>
      </c>
      <c r="AN181" t="str">
        <f>VLOOKUP($Z181,'oddspedia-matches'!$A:$AD,AN$2,0)</f>
        <v>Red</v>
      </c>
      <c r="AO181" t="str">
        <f>VLOOKUP($Z181,'oddspedia-matches'!$A:$AD,AO$2,0)</f>
        <v>Red</v>
      </c>
      <c r="AP181" t="str">
        <f>VLOOKUP($Z181,'oddspedia-matches'!$A:$AD,AP$2,0)</f>
        <v>Green</v>
      </c>
      <c r="AQ181" t="str">
        <f>VLOOKUP($Z181,'oddspedia-matches'!$A:$AD,AQ$2,0)</f>
        <v>Red</v>
      </c>
    </row>
    <row r="182" spans="2:43" x14ac:dyDescent="0.2">
      <c r="B182" s="9" t="s">
        <v>450</v>
      </c>
      <c r="C182" s="7" t="s">
        <v>490</v>
      </c>
      <c r="D182" s="20">
        <v>0.375</v>
      </c>
      <c r="E182" s="7" t="s">
        <v>588</v>
      </c>
      <c r="F182" s="7" t="s">
        <v>224</v>
      </c>
      <c r="G182" s="21"/>
      <c r="H182" s="7">
        <v>64.900000000000006</v>
      </c>
      <c r="I182" s="7">
        <v>22.2</v>
      </c>
      <c r="J182" s="7">
        <v>12.9</v>
      </c>
      <c r="K182" s="7">
        <v>87.1</v>
      </c>
      <c r="L182" s="7">
        <v>35.1</v>
      </c>
      <c r="M182" s="7">
        <v>77.8</v>
      </c>
      <c r="N182" s="7">
        <v>57.8</v>
      </c>
      <c r="O182" s="7">
        <v>31.3</v>
      </c>
      <c r="P182" s="7">
        <v>10.9</v>
      </c>
      <c r="Q182" s="7">
        <v>80.2</v>
      </c>
      <c r="R182" s="7">
        <v>84.8</v>
      </c>
      <c r="S182" s="7">
        <v>63.8</v>
      </c>
      <c r="T182" s="7">
        <v>36.200000000000003</v>
      </c>
      <c r="U182" s="7">
        <v>44.8</v>
      </c>
      <c r="V182" s="7">
        <v>57.1</v>
      </c>
      <c r="W182" s="7">
        <v>42.9</v>
      </c>
      <c r="X182" t="str">
        <f>VLOOKUP(E182,'Transform table'!A:B,2,0)</f>
        <v>FK Atmosfera</v>
      </c>
      <c r="Y182" t="str">
        <f>VLOOKUP(F182,'Transform table'!A:B,2,0)</f>
        <v>Hegelmann Litauen II</v>
      </c>
      <c r="Z182" t="str">
        <f t="shared" si="2"/>
        <v>25/07/2026FK AtmosferaHegelmann Litauen II</v>
      </c>
      <c r="AA182" t="str">
        <f>VLOOKUP($Z182,'oddspedia-matches'!$A:$AD,AA$2,0)</f>
        <v>4 - 1</v>
      </c>
      <c r="AB182" t="str">
        <f>VLOOKUP($Z182,'oddspedia-matches'!$A:$AD,AB$2,0)</f>
        <v>Green</v>
      </c>
      <c r="AC182" t="str">
        <f>VLOOKUP($Z182,'oddspedia-matches'!$A:$AD,AC$2,0)</f>
        <v>Red</v>
      </c>
      <c r="AD182" t="str">
        <f>VLOOKUP($Z182,'oddspedia-matches'!$A:$AD,AD$2,0)</f>
        <v>Red</v>
      </c>
      <c r="AE182" t="str">
        <f>VLOOKUP($Z182,'oddspedia-matches'!$A:$AD,AE$2,0)</f>
        <v>Green</v>
      </c>
      <c r="AF182" t="str">
        <f>VLOOKUP($Z182,'oddspedia-matches'!$A:$AD,AF$2,0)</f>
        <v>Red</v>
      </c>
      <c r="AG182" t="str">
        <f>VLOOKUP($Z182,'oddspedia-matches'!$A:$AD,AG$2,0)</f>
        <v>Green</v>
      </c>
      <c r="AH182" t="str">
        <f>VLOOKUP($Z182,'oddspedia-matches'!$A:$AD,AH$2,0)</f>
        <v>Green</v>
      </c>
      <c r="AI182" t="str">
        <f>VLOOKUP($Z182,'oddspedia-matches'!$A:$AD,AI$2,0)</f>
        <v>Red</v>
      </c>
      <c r="AJ182" t="str">
        <f>VLOOKUP($Z182,'oddspedia-matches'!$A:$AD,AJ$2,0)</f>
        <v>Red</v>
      </c>
      <c r="AK182" t="str">
        <f>VLOOKUP($Z182,'oddspedia-matches'!$A:$AD,AK$2,0)</f>
        <v>Green</v>
      </c>
      <c r="AL182" t="str">
        <f>VLOOKUP($Z182,'oddspedia-matches'!$A:$AD,AL$2,0)</f>
        <v>Green</v>
      </c>
      <c r="AM182" t="str">
        <f>VLOOKUP($Z182,'oddspedia-matches'!$A:$AD,AM$2,0)</f>
        <v>Green</v>
      </c>
      <c r="AN182" t="str">
        <f>VLOOKUP($Z182,'oddspedia-matches'!$A:$AD,AN$2,0)</f>
        <v>Red</v>
      </c>
      <c r="AO182" t="str">
        <f>VLOOKUP($Z182,'oddspedia-matches'!$A:$AD,AO$2,0)</f>
        <v>Red</v>
      </c>
      <c r="AP182" t="str">
        <f>VLOOKUP($Z182,'oddspedia-matches'!$A:$AD,AP$2,0)</f>
        <v>Green</v>
      </c>
      <c r="AQ182" t="str">
        <f>VLOOKUP($Z182,'oddspedia-matches'!$A:$AD,AQ$2,0)</f>
        <v>Red</v>
      </c>
    </row>
    <row r="183" spans="2:43" x14ac:dyDescent="0.2">
      <c r="B183" s="17" t="s">
        <v>584</v>
      </c>
      <c r="C183" s="8" t="s">
        <v>490</v>
      </c>
      <c r="D183" s="18">
        <v>0.41666666666666669</v>
      </c>
      <c r="E183" s="8" t="s">
        <v>589</v>
      </c>
      <c r="F183" s="8" t="s">
        <v>590</v>
      </c>
      <c r="G183" s="19"/>
      <c r="H183" s="8">
        <v>47.9</v>
      </c>
      <c r="I183" s="8">
        <v>28.5</v>
      </c>
      <c r="J183" s="8">
        <v>23.6</v>
      </c>
      <c r="K183" s="8">
        <v>76.400000000000006</v>
      </c>
      <c r="L183" s="8">
        <v>52.1</v>
      </c>
      <c r="M183" s="8">
        <v>71.5</v>
      </c>
      <c r="N183" s="8">
        <v>30.5</v>
      </c>
      <c r="O183" s="8">
        <v>52</v>
      </c>
      <c r="P183" s="8">
        <v>17.5</v>
      </c>
      <c r="Q183" s="8">
        <v>56.3</v>
      </c>
      <c r="R183" s="8">
        <v>72.099999999999994</v>
      </c>
      <c r="S183" s="8">
        <v>45.2</v>
      </c>
      <c r="T183" s="8">
        <v>54.8</v>
      </c>
      <c r="U183" s="8">
        <v>60.9</v>
      </c>
      <c r="V183" s="8">
        <v>49.9</v>
      </c>
      <c r="W183" s="8">
        <v>50.1</v>
      </c>
      <c r="X183" t="str">
        <f>VLOOKUP(E183,'Transform table'!A:B,2,0)</f>
        <v>FC Zhetysu</v>
      </c>
      <c r="Y183" t="str">
        <f>VLOOKUP(F183,'Transform table'!A:B,2,0)</f>
        <v>FK Kyzylzhar</v>
      </c>
      <c r="Z183" t="str">
        <f t="shared" si="2"/>
        <v>25/07/2026FC ZhetysuFK Kyzylzhar</v>
      </c>
      <c r="AA183" t="str">
        <f>VLOOKUP($Z183,'oddspedia-matches'!$A:$AD,AA$2,0)</f>
        <v>1 - 2</v>
      </c>
      <c r="AB183" t="str">
        <f>VLOOKUP($Z183,'oddspedia-matches'!$A:$AD,AB$2,0)</f>
        <v>Red</v>
      </c>
      <c r="AC183" t="str">
        <f>VLOOKUP($Z183,'oddspedia-matches'!$A:$AD,AC$2,0)</f>
        <v>Red</v>
      </c>
      <c r="AD183" t="str">
        <f>VLOOKUP($Z183,'oddspedia-matches'!$A:$AD,AD$2,0)</f>
        <v>Green</v>
      </c>
      <c r="AE183" t="str">
        <f>VLOOKUP($Z183,'oddspedia-matches'!$A:$AD,AE$2,0)</f>
        <v>Red</v>
      </c>
      <c r="AF183" t="str">
        <f>VLOOKUP($Z183,'oddspedia-matches'!$A:$AD,AF$2,0)</f>
        <v>Green</v>
      </c>
      <c r="AG183" t="str">
        <f>VLOOKUP($Z183,'oddspedia-matches'!$A:$AD,AG$2,0)</f>
        <v>Green</v>
      </c>
      <c r="AH183" t="str">
        <f>VLOOKUP($Z183,'oddspedia-matches'!$A:$AD,AH$2,0)</f>
        <v>Red</v>
      </c>
      <c r="AI183" t="str">
        <f>VLOOKUP($Z183,'oddspedia-matches'!$A:$AD,AI$2,0)</f>
        <v>Green</v>
      </c>
      <c r="AJ183" t="str">
        <f>VLOOKUP($Z183,'oddspedia-matches'!$A:$AD,AJ$2,0)</f>
        <v>Red</v>
      </c>
      <c r="AK183" t="str">
        <f>VLOOKUP($Z183,'oddspedia-matches'!$A:$AD,AK$2,0)</f>
        <v>Red</v>
      </c>
      <c r="AL183" t="str">
        <f>VLOOKUP($Z183,'oddspedia-matches'!$A:$AD,AL$2,0)</f>
        <v>Green</v>
      </c>
      <c r="AM183" t="str">
        <f>VLOOKUP($Z183,'oddspedia-matches'!$A:$AD,AM$2,0)</f>
        <v>Green</v>
      </c>
      <c r="AN183" t="str">
        <f>VLOOKUP($Z183,'oddspedia-matches'!$A:$AD,AN$2,0)</f>
        <v>Red</v>
      </c>
      <c r="AO183" t="str">
        <f>VLOOKUP($Z183,'oddspedia-matches'!$A:$AD,AO$2,0)</f>
        <v>Green</v>
      </c>
      <c r="AP183" t="str">
        <f>VLOOKUP($Z183,'oddspedia-matches'!$A:$AD,AP$2,0)</f>
        <v>Green</v>
      </c>
      <c r="AQ183" t="str">
        <f>VLOOKUP($Z183,'oddspedia-matches'!$A:$AD,AQ$2,0)</f>
        <v>Red</v>
      </c>
    </row>
    <row r="184" spans="2:43" x14ac:dyDescent="0.2">
      <c r="B184" s="9" t="s">
        <v>448</v>
      </c>
      <c r="C184" s="7" t="s">
        <v>490</v>
      </c>
      <c r="D184" s="20">
        <v>0.41666666666666669</v>
      </c>
      <c r="E184" s="7" t="s">
        <v>591</v>
      </c>
      <c r="F184" s="7" t="s">
        <v>223</v>
      </c>
      <c r="G184" s="21"/>
      <c r="H184" s="7">
        <v>38.200000000000003</v>
      </c>
      <c r="I184" s="7">
        <v>30.9</v>
      </c>
      <c r="J184" s="7">
        <v>30.8</v>
      </c>
      <c r="K184" s="7">
        <v>69.2</v>
      </c>
      <c r="L184" s="7">
        <v>61.8</v>
      </c>
      <c r="M184" s="7">
        <v>69.099999999999994</v>
      </c>
      <c r="N184" s="7">
        <v>36.4</v>
      </c>
      <c r="O184" s="7">
        <v>48.3</v>
      </c>
      <c r="P184" s="7">
        <v>15.3</v>
      </c>
      <c r="Q184" s="7">
        <v>60.5</v>
      </c>
      <c r="R184" s="7">
        <v>68.400000000000006</v>
      </c>
      <c r="S184" s="7">
        <v>40.6</v>
      </c>
      <c r="T184" s="7">
        <v>59.4</v>
      </c>
      <c r="U184" s="7">
        <v>64.599999999999994</v>
      </c>
      <c r="V184" s="7">
        <v>48.1</v>
      </c>
      <c r="W184" s="7">
        <v>51.9</v>
      </c>
      <c r="X184" t="str">
        <f>VLOOKUP(E184,'Transform table'!A:B,2,0)</f>
        <v>JaPS</v>
      </c>
      <c r="Y184" t="str">
        <f>VLOOKUP(F184,'Transform table'!A:B,2,0)</f>
        <v>Klubi 04</v>
      </c>
      <c r="Z184" t="str">
        <f t="shared" si="2"/>
        <v>25/07/2026JaPSKlubi 04</v>
      </c>
      <c r="AA184" t="str">
        <f>VLOOKUP($Z184,'oddspedia-matches'!$A:$AD,AA$2,0)</f>
        <v>2 - 0</v>
      </c>
      <c r="AB184" t="str">
        <f>VLOOKUP($Z184,'oddspedia-matches'!$A:$AD,AB$2,0)</f>
        <v>Green</v>
      </c>
      <c r="AC184" t="str">
        <f>VLOOKUP($Z184,'oddspedia-matches'!$A:$AD,AC$2,0)</f>
        <v>Red</v>
      </c>
      <c r="AD184" t="str">
        <f>VLOOKUP($Z184,'oddspedia-matches'!$A:$AD,AD$2,0)</f>
        <v>Red</v>
      </c>
      <c r="AE184" t="str">
        <f>VLOOKUP($Z184,'oddspedia-matches'!$A:$AD,AE$2,0)</f>
        <v>Green</v>
      </c>
      <c r="AF184" t="str">
        <f>VLOOKUP($Z184,'oddspedia-matches'!$A:$AD,AF$2,0)</f>
        <v>Red</v>
      </c>
      <c r="AG184" t="str">
        <f>VLOOKUP($Z184,'oddspedia-matches'!$A:$AD,AG$2,0)</f>
        <v>Green</v>
      </c>
      <c r="AH184" t="str">
        <f>VLOOKUP($Z184,'oddspedia-matches'!$A:$AD,AH$2,0)</f>
        <v>Green</v>
      </c>
      <c r="AI184" t="str">
        <f>VLOOKUP($Z184,'oddspedia-matches'!$A:$AD,AI$2,0)</f>
        <v>Red</v>
      </c>
      <c r="AJ184" t="str">
        <f>VLOOKUP($Z184,'oddspedia-matches'!$A:$AD,AJ$2,0)</f>
        <v>Red</v>
      </c>
      <c r="AK184" t="str">
        <f>VLOOKUP($Z184,'oddspedia-matches'!$A:$AD,AK$2,0)</f>
        <v>Green</v>
      </c>
      <c r="AL184" t="str">
        <f>VLOOKUP($Z184,'oddspedia-matches'!$A:$AD,AL$2,0)</f>
        <v>Green</v>
      </c>
      <c r="AM184" t="str">
        <f>VLOOKUP($Z184,'oddspedia-matches'!$A:$AD,AM$2,0)</f>
        <v>Red</v>
      </c>
      <c r="AN184" t="str">
        <f>VLOOKUP($Z184,'oddspedia-matches'!$A:$AD,AN$2,0)</f>
        <v>Green</v>
      </c>
      <c r="AO184" t="str">
        <f>VLOOKUP($Z184,'oddspedia-matches'!$A:$AD,AO$2,0)</f>
        <v>Green</v>
      </c>
      <c r="AP184" t="str">
        <f>VLOOKUP($Z184,'oddspedia-matches'!$A:$AD,AP$2,0)</f>
        <v>Red</v>
      </c>
      <c r="AQ184" t="str">
        <f>VLOOKUP($Z184,'oddspedia-matches'!$A:$AD,AQ$2,0)</f>
        <v>Green</v>
      </c>
    </row>
    <row r="185" spans="2:43" x14ac:dyDescent="0.2">
      <c r="B185" s="17" t="s">
        <v>448</v>
      </c>
      <c r="C185" s="8" t="s">
        <v>490</v>
      </c>
      <c r="D185" s="18">
        <v>0.41666666666666669</v>
      </c>
      <c r="E185" s="8" t="s">
        <v>592</v>
      </c>
      <c r="F185" s="8" t="s">
        <v>593</v>
      </c>
      <c r="G185" s="19"/>
      <c r="H185" s="8">
        <v>31.6</v>
      </c>
      <c r="I185" s="8">
        <v>30.8</v>
      </c>
      <c r="J185" s="8">
        <v>37.700000000000003</v>
      </c>
      <c r="K185" s="8">
        <v>62.3</v>
      </c>
      <c r="L185" s="8">
        <v>68.400000000000006</v>
      </c>
      <c r="M185" s="8">
        <v>69.2</v>
      </c>
      <c r="N185" s="8">
        <v>30.7</v>
      </c>
      <c r="O185" s="8">
        <v>49.5</v>
      </c>
      <c r="P185" s="8">
        <v>19.8</v>
      </c>
      <c r="Q185" s="8">
        <v>60.1</v>
      </c>
      <c r="R185" s="8">
        <v>70</v>
      </c>
      <c r="S185" s="8">
        <v>42.5</v>
      </c>
      <c r="T185" s="8">
        <v>57.5</v>
      </c>
      <c r="U185" s="8">
        <v>62.7</v>
      </c>
      <c r="V185" s="8">
        <v>49.7</v>
      </c>
      <c r="W185" s="8">
        <v>50.3</v>
      </c>
      <c r="X185" t="str">
        <f>VLOOKUP(E185,'Transform table'!A:B,2,0)</f>
        <v>Mikkelin Palloilijat</v>
      </c>
      <c r="Y185" t="str">
        <f>VLOOKUP(F185,'Transform table'!A:B,2,0)</f>
        <v>KTP</v>
      </c>
      <c r="Z185" t="str">
        <f t="shared" si="2"/>
        <v>25/07/2026Mikkelin PalloilijatKTP</v>
      </c>
      <c r="AA185" t="str">
        <f>VLOOKUP($Z185,'oddspedia-matches'!$A:$AD,AA$2,0)</f>
        <v>3 - 3</v>
      </c>
      <c r="AB185" t="str">
        <f>VLOOKUP($Z185,'oddspedia-matches'!$A:$AD,AB$2,0)</f>
        <v>Red</v>
      </c>
      <c r="AC185" t="str">
        <f>VLOOKUP($Z185,'oddspedia-matches'!$A:$AD,AC$2,0)</f>
        <v>Green</v>
      </c>
      <c r="AD185" t="str">
        <f>VLOOKUP($Z185,'oddspedia-matches'!$A:$AD,AD$2,0)</f>
        <v>Red</v>
      </c>
      <c r="AE185" t="str">
        <f>VLOOKUP($Z185,'oddspedia-matches'!$A:$AD,AE$2,0)</f>
        <v>Green</v>
      </c>
      <c r="AF185" t="str">
        <f>VLOOKUP($Z185,'oddspedia-matches'!$A:$AD,AF$2,0)</f>
        <v>Green</v>
      </c>
      <c r="AG185" t="str">
        <f>VLOOKUP($Z185,'oddspedia-matches'!$A:$AD,AG$2,0)</f>
        <v>Red</v>
      </c>
      <c r="AH185" t="str">
        <f>VLOOKUP($Z185,'oddspedia-matches'!$A:$AD,AH$2,0)</f>
        <v>Green</v>
      </c>
      <c r="AI185" t="str">
        <f>VLOOKUP($Z185,'oddspedia-matches'!$A:$AD,AI$2,0)</f>
        <v>Red</v>
      </c>
      <c r="AJ185" t="str">
        <f>VLOOKUP($Z185,'oddspedia-matches'!$A:$AD,AJ$2,0)</f>
        <v>Red</v>
      </c>
      <c r="AK185" t="str">
        <f>VLOOKUP($Z185,'oddspedia-matches'!$A:$AD,AK$2,0)</f>
        <v>Green</v>
      </c>
      <c r="AL185" t="str">
        <f>VLOOKUP($Z185,'oddspedia-matches'!$A:$AD,AL$2,0)</f>
        <v>Green</v>
      </c>
      <c r="AM185" t="str">
        <f>VLOOKUP($Z185,'oddspedia-matches'!$A:$AD,AM$2,0)</f>
        <v>Green</v>
      </c>
      <c r="AN185" t="str">
        <f>VLOOKUP($Z185,'oddspedia-matches'!$A:$AD,AN$2,0)</f>
        <v>Red</v>
      </c>
      <c r="AO185" t="str">
        <f>VLOOKUP($Z185,'oddspedia-matches'!$A:$AD,AO$2,0)</f>
        <v>Red</v>
      </c>
      <c r="AP185" t="str">
        <f>VLOOKUP($Z185,'oddspedia-matches'!$A:$AD,AP$2,0)</f>
        <v>Green</v>
      </c>
      <c r="AQ185" t="str">
        <f>VLOOKUP($Z185,'oddspedia-matches'!$A:$AD,AQ$2,0)</f>
        <v>Red</v>
      </c>
    </row>
    <row r="186" spans="2:43" x14ac:dyDescent="0.2">
      <c r="B186" s="9" t="s">
        <v>448</v>
      </c>
      <c r="C186" s="7" t="s">
        <v>490</v>
      </c>
      <c r="D186" s="20">
        <v>0.41666666666666669</v>
      </c>
      <c r="E186" s="7" t="s">
        <v>594</v>
      </c>
      <c r="F186" s="7" t="s">
        <v>595</v>
      </c>
      <c r="G186" s="21"/>
      <c r="H186" s="7">
        <v>40.6</v>
      </c>
      <c r="I186" s="7">
        <v>29.2</v>
      </c>
      <c r="J186" s="7">
        <v>30.1</v>
      </c>
      <c r="K186" s="7">
        <v>69.900000000000006</v>
      </c>
      <c r="L186" s="7">
        <v>59.4</v>
      </c>
      <c r="M186" s="7">
        <v>70.8</v>
      </c>
      <c r="N186" s="7">
        <v>23.8</v>
      </c>
      <c r="O186" s="7">
        <v>51.7</v>
      </c>
      <c r="P186" s="7">
        <v>24.6</v>
      </c>
      <c r="Q186" s="7">
        <v>57.5</v>
      </c>
      <c r="R186" s="7">
        <v>73.5</v>
      </c>
      <c r="S186" s="7">
        <v>46.8</v>
      </c>
      <c r="T186" s="7">
        <v>53.2</v>
      </c>
      <c r="U186" s="7">
        <v>58.7</v>
      </c>
      <c r="V186" s="7">
        <v>52.9</v>
      </c>
      <c r="W186" s="7">
        <v>47.1</v>
      </c>
      <c r="X186" t="str">
        <f>VLOOKUP(E186,'Transform table'!A:B,2,0)</f>
        <v>Seinajoen JK II</v>
      </c>
      <c r="Y186" t="str">
        <f>VLOOKUP(F186,'Transform table'!A:B,2,0)</f>
        <v>EIF</v>
      </c>
      <c r="Z186" t="str">
        <f t="shared" si="2"/>
        <v>25/07/2026Seinajoen JK IIEIF</v>
      </c>
      <c r="AA186" t="str">
        <f>VLOOKUP($Z186,'oddspedia-matches'!$A:$AD,AA$2,0)</f>
        <v>0 - 0</v>
      </c>
      <c r="AB186" t="str">
        <f>VLOOKUP($Z186,'oddspedia-matches'!$A:$AD,AB$2,0)</f>
        <v>Red</v>
      </c>
      <c r="AC186" t="str">
        <f>VLOOKUP($Z186,'oddspedia-matches'!$A:$AD,AC$2,0)</f>
        <v>Green</v>
      </c>
      <c r="AD186" t="str">
        <f>VLOOKUP($Z186,'oddspedia-matches'!$A:$AD,AD$2,0)</f>
        <v>Red</v>
      </c>
      <c r="AE186" t="str">
        <f>VLOOKUP($Z186,'oddspedia-matches'!$A:$AD,AE$2,0)</f>
        <v>Green</v>
      </c>
      <c r="AF186" t="str">
        <f>VLOOKUP($Z186,'oddspedia-matches'!$A:$AD,AF$2,0)</f>
        <v>Green</v>
      </c>
      <c r="AG186" t="str">
        <f>VLOOKUP($Z186,'oddspedia-matches'!$A:$AD,AG$2,0)</f>
        <v>Red</v>
      </c>
      <c r="AH186" t="str">
        <f>VLOOKUP($Z186,'oddspedia-matches'!$A:$AD,AH$2,0)</f>
        <v>Red</v>
      </c>
      <c r="AI186" t="str">
        <f>VLOOKUP($Z186,'oddspedia-matches'!$A:$AD,AI$2,0)</f>
        <v>Green</v>
      </c>
      <c r="AJ186" t="str">
        <f>VLOOKUP($Z186,'oddspedia-matches'!$A:$AD,AJ$2,0)</f>
        <v>Red</v>
      </c>
      <c r="AK186" t="str">
        <f>VLOOKUP($Z186,'oddspedia-matches'!$A:$AD,AK$2,0)</f>
        <v>Red</v>
      </c>
      <c r="AL186" t="str">
        <f>VLOOKUP($Z186,'oddspedia-matches'!$A:$AD,AL$2,0)</f>
        <v>Red</v>
      </c>
      <c r="AM186" t="str">
        <f>VLOOKUP($Z186,'oddspedia-matches'!$A:$AD,AM$2,0)</f>
        <v>Red</v>
      </c>
      <c r="AN186" t="str">
        <f>VLOOKUP($Z186,'oddspedia-matches'!$A:$AD,AN$2,0)</f>
        <v>Green</v>
      </c>
      <c r="AO186" t="str">
        <f>VLOOKUP($Z186,'oddspedia-matches'!$A:$AD,AO$2,0)</f>
        <v>Green</v>
      </c>
      <c r="AP186" t="str">
        <f>VLOOKUP($Z186,'oddspedia-matches'!$A:$AD,AP$2,0)</f>
        <v>Red</v>
      </c>
      <c r="AQ186" t="str">
        <f>VLOOKUP($Z186,'oddspedia-matches'!$A:$AD,AQ$2,0)</f>
        <v>Green</v>
      </c>
    </row>
    <row r="187" spans="2:43" x14ac:dyDescent="0.2">
      <c r="B187" s="17" t="s">
        <v>569</v>
      </c>
      <c r="C187" s="8" t="s">
        <v>490</v>
      </c>
      <c r="D187" s="18">
        <v>0.41666666666666669</v>
      </c>
      <c r="E187" s="8" t="s">
        <v>596</v>
      </c>
      <c r="F187" s="8" t="s">
        <v>597</v>
      </c>
      <c r="G187" s="19"/>
      <c r="H187" s="8">
        <v>50.9</v>
      </c>
      <c r="I187" s="8">
        <v>24.9</v>
      </c>
      <c r="J187" s="8">
        <v>24.2</v>
      </c>
      <c r="K187" s="8">
        <v>75.8</v>
      </c>
      <c r="L187" s="8">
        <v>49.1</v>
      </c>
      <c r="M187" s="8">
        <v>75.099999999999994</v>
      </c>
      <c r="N187" s="8">
        <v>37.700000000000003</v>
      </c>
      <c r="O187" s="8">
        <v>39.6</v>
      </c>
      <c r="P187" s="8">
        <v>22.7</v>
      </c>
      <c r="Q187" s="8">
        <v>74.8</v>
      </c>
      <c r="R187" s="8">
        <v>86.4</v>
      </c>
      <c r="S187" s="8">
        <v>66.2</v>
      </c>
      <c r="T187" s="8">
        <v>33.799999999999997</v>
      </c>
      <c r="U187" s="8">
        <v>39.9</v>
      </c>
      <c r="V187" s="8">
        <v>66.099999999999994</v>
      </c>
      <c r="W187" s="8">
        <v>33.9</v>
      </c>
      <c r="X187" t="str">
        <f>VLOOKUP(E187,'Transform table'!A:B,2,0)</f>
        <v>DSVK Tractors</v>
      </c>
      <c r="Y187" t="str">
        <f>VLOOKUP(F187,'Transform table'!A:B,2,0)</f>
        <v>SK Super Nova II</v>
      </c>
      <c r="Z187" t="str">
        <f t="shared" si="2"/>
        <v>25/07/2026DSVK TractorsSK Super Nova II</v>
      </c>
      <c r="AA187" t="str">
        <f>VLOOKUP($Z187,'oddspedia-matches'!$A:$AD,AA$2,0)</f>
        <v>1 - 1</v>
      </c>
      <c r="AB187" t="str">
        <f>VLOOKUP($Z187,'oddspedia-matches'!$A:$AD,AB$2,0)</f>
        <v>Red</v>
      </c>
      <c r="AC187" t="str">
        <f>VLOOKUP($Z187,'oddspedia-matches'!$A:$AD,AC$2,0)</f>
        <v>Green</v>
      </c>
      <c r="AD187" t="str">
        <f>VLOOKUP($Z187,'oddspedia-matches'!$A:$AD,AD$2,0)</f>
        <v>Red</v>
      </c>
      <c r="AE187" t="str">
        <f>VLOOKUP($Z187,'oddspedia-matches'!$A:$AD,AE$2,0)</f>
        <v>Green</v>
      </c>
      <c r="AF187" t="str">
        <f>VLOOKUP($Z187,'oddspedia-matches'!$A:$AD,AF$2,0)</f>
        <v>Green</v>
      </c>
      <c r="AG187" t="str">
        <f>VLOOKUP($Z187,'oddspedia-matches'!$A:$AD,AG$2,0)</f>
        <v>Red</v>
      </c>
      <c r="AH187" t="str">
        <f>VLOOKUP($Z187,'oddspedia-matches'!$A:$AD,AH$2,0)</f>
        <v>Red</v>
      </c>
      <c r="AI187" t="str">
        <f>VLOOKUP($Z187,'oddspedia-matches'!$A:$AD,AI$2,0)</f>
        <v>Red</v>
      </c>
      <c r="AJ187" t="str">
        <f>VLOOKUP($Z187,'oddspedia-matches'!$A:$AD,AJ$2,0)</f>
        <v>Green</v>
      </c>
      <c r="AK187" t="str">
        <f>VLOOKUP($Z187,'oddspedia-matches'!$A:$AD,AK$2,0)</f>
        <v>Green</v>
      </c>
      <c r="AL187" t="str">
        <f>VLOOKUP($Z187,'oddspedia-matches'!$A:$AD,AL$2,0)</f>
        <v>Green</v>
      </c>
      <c r="AM187" t="str">
        <f>VLOOKUP($Z187,'oddspedia-matches'!$A:$AD,AM$2,0)</f>
        <v>Red</v>
      </c>
      <c r="AN187" t="str">
        <f>VLOOKUP($Z187,'oddspedia-matches'!$A:$AD,AN$2,0)</f>
        <v>Green</v>
      </c>
      <c r="AO187" t="str">
        <f>VLOOKUP($Z187,'oddspedia-matches'!$A:$AD,AO$2,0)</f>
        <v>Green</v>
      </c>
      <c r="AP187" t="str">
        <f>VLOOKUP($Z187,'oddspedia-matches'!$A:$AD,AP$2,0)</f>
        <v>Green</v>
      </c>
      <c r="AQ187" t="str">
        <f>VLOOKUP($Z187,'oddspedia-matches'!$A:$AD,AQ$2,0)</f>
        <v>Red</v>
      </c>
    </row>
    <row r="188" spans="2:43" x14ac:dyDescent="0.2">
      <c r="B188" s="9" t="s">
        <v>476</v>
      </c>
      <c r="C188" s="7" t="s">
        <v>490</v>
      </c>
      <c r="D188" s="20">
        <v>0.41666666666666669</v>
      </c>
      <c r="E188" s="7" t="s">
        <v>598</v>
      </c>
      <c r="F188" s="7" t="s">
        <v>258</v>
      </c>
      <c r="G188" s="21"/>
      <c r="H188" s="7">
        <v>26.1</v>
      </c>
      <c r="I188" s="7">
        <v>26.7</v>
      </c>
      <c r="J188" s="7">
        <v>47.2</v>
      </c>
      <c r="K188" s="7">
        <v>52.8</v>
      </c>
      <c r="L188" s="7">
        <v>73.900000000000006</v>
      </c>
      <c r="M188" s="7">
        <v>73.3</v>
      </c>
      <c r="N188" s="7">
        <v>17.5</v>
      </c>
      <c r="O188" s="7">
        <v>38.200000000000003</v>
      </c>
      <c r="P188" s="7">
        <v>44.2</v>
      </c>
      <c r="Q188" s="7">
        <v>75.900000000000006</v>
      </c>
      <c r="R188" s="7">
        <v>83.1</v>
      </c>
      <c r="S188" s="7">
        <v>60.8</v>
      </c>
      <c r="T188" s="7">
        <v>39.200000000000003</v>
      </c>
      <c r="U188" s="7">
        <v>45.3</v>
      </c>
      <c r="V188" s="7">
        <v>62.7</v>
      </c>
      <c r="W188" s="7">
        <v>37.299999999999997</v>
      </c>
      <c r="X188" t="str">
        <f>VLOOKUP(E188,'Transform table'!A:B,2,0)</f>
        <v>Degerfors IF</v>
      </c>
      <c r="Y188" t="str">
        <f>VLOOKUP(F188,'Transform table'!A:B,2,0)</f>
        <v>Djurgardens IF</v>
      </c>
      <c r="Z188" t="str">
        <f t="shared" si="2"/>
        <v>25/07/2026Degerfors IFDjurgardens IF</v>
      </c>
      <c r="AA188" t="str">
        <f>VLOOKUP($Z188,'oddspedia-matches'!$A:$AD,AA$2,0)</f>
        <v>0 - 1</v>
      </c>
      <c r="AB188" t="str">
        <f>VLOOKUP($Z188,'oddspedia-matches'!$A:$AD,AB$2,0)</f>
        <v>Red</v>
      </c>
      <c r="AC188" t="str">
        <f>VLOOKUP($Z188,'oddspedia-matches'!$A:$AD,AC$2,0)</f>
        <v>Red</v>
      </c>
      <c r="AD188" t="str">
        <f>VLOOKUP($Z188,'oddspedia-matches'!$A:$AD,AD$2,0)</f>
        <v>Green</v>
      </c>
      <c r="AE188" t="str">
        <f>VLOOKUP($Z188,'oddspedia-matches'!$A:$AD,AE$2,0)</f>
        <v>Red</v>
      </c>
      <c r="AF188" t="str">
        <f>VLOOKUP($Z188,'oddspedia-matches'!$A:$AD,AF$2,0)</f>
        <v>Green</v>
      </c>
      <c r="AG188" t="str">
        <f>VLOOKUP($Z188,'oddspedia-matches'!$A:$AD,AG$2,0)</f>
        <v>Green</v>
      </c>
      <c r="AH188" t="str">
        <f>VLOOKUP($Z188,'oddspedia-matches'!$A:$AD,AH$2,0)</f>
        <v>Red</v>
      </c>
      <c r="AI188" t="str">
        <f>VLOOKUP($Z188,'oddspedia-matches'!$A:$AD,AI$2,0)</f>
        <v>Red</v>
      </c>
      <c r="AJ188" t="str">
        <f>VLOOKUP($Z188,'oddspedia-matches'!$A:$AD,AJ$2,0)</f>
        <v>Green</v>
      </c>
      <c r="AK188" t="str">
        <f>VLOOKUP($Z188,'oddspedia-matches'!$A:$AD,AK$2,0)</f>
        <v>Green</v>
      </c>
      <c r="AL188" t="str">
        <f>VLOOKUP($Z188,'oddspedia-matches'!$A:$AD,AL$2,0)</f>
        <v>Red</v>
      </c>
      <c r="AM188" t="str">
        <f>VLOOKUP($Z188,'oddspedia-matches'!$A:$AD,AM$2,0)</f>
        <v>Red</v>
      </c>
      <c r="AN188" t="str">
        <f>VLOOKUP($Z188,'oddspedia-matches'!$A:$AD,AN$2,0)</f>
        <v>Green</v>
      </c>
      <c r="AO188" t="str">
        <f>VLOOKUP($Z188,'oddspedia-matches'!$A:$AD,AO$2,0)</f>
        <v>Green</v>
      </c>
      <c r="AP188" t="str">
        <f>VLOOKUP($Z188,'oddspedia-matches'!$A:$AD,AP$2,0)</f>
        <v>Red</v>
      </c>
      <c r="AQ188" t="str">
        <f>VLOOKUP($Z188,'oddspedia-matches'!$A:$AD,AQ$2,0)</f>
        <v>Green</v>
      </c>
    </row>
    <row r="189" spans="2:43" x14ac:dyDescent="0.2">
      <c r="B189" s="17" t="s">
        <v>451</v>
      </c>
      <c r="C189" s="8" t="s">
        <v>490</v>
      </c>
      <c r="D189" s="18">
        <v>0.41666666666666669</v>
      </c>
      <c r="E189" s="8" t="s">
        <v>599</v>
      </c>
      <c r="F189" s="8" t="s">
        <v>600</v>
      </c>
      <c r="G189" s="19"/>
      <c r="H189" s="8">
        <v>38.200000000000003</v>
      </c>
      <c r="I189" s="8">
        <v>25.8</v>
      </c>
      <c r="J189" s="8">
        <v>36</v>
      </c>
      <c r="K189" s="8">
        <v>64</v>
      </c>
      <c r="L189" s="8">
        <v>61.8</v>
      </c>
      <c r="M189" s="8">
        <v>74.2</v>
      </c>
      <c r="N189" s="8">
        <v>26.7</v>
      </c>
      <c r="O189" s="8">
        <v>40.6</v>
      </c>
      <c r="P189" s="8">
        <v>32.700000000000003</v>
      </c>
      <c r="Q189" s="8">
        <v>74.3</v>
      </c>
      <c r="R189" s="8">
        <v>87.9</v>
      </c>
      <c r="S189" s="8">
        <v>69</v>
      </c>
      <c r="T189" s="8">
        <v>31</v>
      </c>
      <c r="U189" s="8">
        <v>36.4</v>
      </c>
      <c r="V189" s="8">
        <v>70.3</v>
      </c>
      <c r="W189" s="8">
        <v>29.7</v>
      </c>
      <c r="X189" t="str">
        <f>VLOOKUP(E189,'Transform table'!A:B,2,0)</f>
        <v>IFK Varnamo</v>
      </c>
      <c r="Y189" t="str">
        <f>VLOOKUP(F189,'Transform table'!A:B,2,0)</f>
        <v>IK Brage</v>
      </c>
      <c r="Z189" t="str">
        <f t="shared" si="2"/>
        <v>25/07/2026IFK VarnamoIK Brage</v>
      </c>
      <c r="AA189" t="str">
        <f>VLOOKUP($Z189,'oddspedia-matches'!$A:$AD,AA$2,0)</f>
        <v>0 - 0</v>
      </c>
      <c r="AB189" t="str">
        <f>VLOOKUP($Z189,'oddspedia-matches'!$A:$AD,AB$2,0)</f>
        <v>Red</v>
      </c>
      <c r="AC189" t="str">
        <f>VLOOKUP($Z189,'oddspedia-matches'!$A:$AD,AC$2,0)</f>
        <v>Green</v>
      </c>
      <c r="AD189" t="str">
        <f>VLOOKUP($Z189,'oddspedia-matches'!$A:$AD,AD$2,0)</f>
        <v>Red</v>
      </c>
      <c r="AE189" t="str">
        <f>VLOOKUP($Z189,'oddspedia-matches'!$A:$AD,AE$2,0)</f>
        <v>Green</v>
      </c>
      <c r="AF189" t="str">
        <f>VLOOKUP($Z189,'oddspedia-matches'!$A:$AD,AF$2,0)</f>
        <v>Green</v>
      </c>
      <c r="AG189" t="str">
        <f>VLOOKUP($Z189,'oddspedia-matches'!$A:$AD,AG$2,0)</f>
        <v>Red</v>
      </c>
      <c r="AH189" t="str">
        <f>VLOOKUP($Z189,'oddspedia-matches'!$A:$AD,AH$2,0)</f>
        <v>Red</v>
      </c>
      <c r="AI189" t="str">
        <f>VLOOKUP($Z189,'oddspedia-matches'!$A:$AD,AI$2,0)</f>
        <v>Green</v>
      </c>
      <c r="AJ189" t="str">
        <f>VLOOKUP($Z189,'oddspedia-matches'!$A:$AD,AJ$2,0)</f>
        <v>Red</v>
      </c>
      <c r="AK189" t="str">
        <f>VLOOKUP($Z189,'oddspedia-matches'!$A:$AD,AK$2,0)</f>
        <v>Red</v>
      </c>
      <c r="AL189" t="str">
        <f>VLOOKUP($Z189,'oddspedia-matches'!$A:$AD,AL$2,0)</f>
        <v>Red</v>
      </c>
      <c r="AM189" t="str">
        <f>VLOOKUP($Z189,'oddspedia-matches'!$A:$AD,AM$2,0)</f>
        <v>Red</v>
      </c>
      <c r="AN189" t="str">
        <f>VLOOKUP($Z189,'oddspedia-matches'!$A:$AD,AN$2,0)</f>
        <v>Green</v>
      </c>
      <c r="AO189" t="str">
        <f>VLOOKUP($Z189,'oddspedia-matches'!$A:$AD,AO$2,0)</f>
        <v>Green</v>
      </c>
      <c r="AP189" t="str">
        <f>VLOOKUP($Z189,'oddspedia-matches'!$A:$AD,AP$2,0)</f>
        <v>Red</v>
      </c>
      <c r="AQ189" t="str">
        <f>VLOOKUP($Z189,'oddspedia-matches'!$A:$AD,AQ$2,0)</f>
        <v>Green</v>
      </c>
    </row>
    <row r="190" spans="2:43" x14ac:dyDescent="0.2">
      <c r="B190" s="9" t="s">
        <v>474</v>
      </c>
      <c r="C190" s="7" t="s">
        <v>490</v>
      </c>
      <c r="D190" s="20">
        <v>0.4375</v>
      </c>
      <c r="E190" s="7" t="s">
        <v>250</v>
      </c>
      <c r="F190" s="7" t="s">
        <v>601</v>
      </c>
      <c r="G190" s="21"/>
      <c r="H190" s="7">
        <v>22.1</v>
      </c>
      <c r="I190" s="7">
        <v>29.7</v>
      </c>
      <c r="J190" s="7">
        <v>48.2</v>
      </c>
      <c r="K190" s="7">
        <v>51.8</v>
      </c>
      <c r="L190" s="7">
        <v>77.900000000000006</v>
      </c>
      <c r="M190" s="7">
        <v>70.3</v>
      </c>
      <c r="N190" s="7">
        <v>21.1</v>
      </c>
      <c r="O190" s="7">
        <v>47.1</v>
      </c>
      <c r="P190" s="7">
        <v>31.8</v>
      </c>
      <c r="Q190" s="7">
        <v>64</v>
      </c>
      <c r="R190" s="7">
        <v>71.400000000000006</v>
      </c>
      <c r="S190" s="7">
        <v>44.2</v>
      </c>
      <c r="T190" s="7">
        <v>55.8</v>
      </c>
      <c r="U190" s="7">
        <v>61.9</v>
      </c>
      <c r="V190" s="7">
        <v>48.8</v>
      </c>
      <c r="W190" s="7">
        <v>51.2</v>
      </c>
      <c r="X190" t="str">
        <f>VLOOKUP(E190,'Transform table'!A:B,2,0)</f>
        <v>IFK Mariehamn</v>
      </c>
      <c r="Y190" t="str">
        <f>VLOOKUP(F190,'Transform table'!A:B,2,0)</f>
        <v>AC Oulu</v>
      </c>
      <c r="Z190" t="str">
        <f t="shared" si="2"/>
        <v>25/07/2026IFK MariehamnAC Oulu</v>
      </c>
      <c r="AA190" t="str">
        <f>VLOOKUP($Z190,'oddspedia-matches'!$A:$AD,AA$2,0)</f>
        <v>1 - 1</v>
      </c>
      <c r="AB190" t="str">
        <f>VLOOKUP($Z190,'oddspedia-matches'!$A:$AD,AB$2,0)</f>
        <v>Red</v>
      </c>
      <c r="AC190" t="str">
        <f>VLOOKUP($Z190,'oddspedia-matches'!$A:$AD,AC$2,0)</f>
        <v>Green</v>
      </c>
      <c r="AD190" t="str">
        <f>VLOOKUP($Z190,'oddspedia-matches'!$A:$AD,AD$2,0)</f>
        <v>Red</v>
      </c>
      <c r="AE190" t="str">
        <f>VLOOKUP($Z190,'oddspedia-matches'!$A:$AD,AE$2,0)</f>
        <v>Green</v>
      </c>
      <c r="AF190" t="str">
        <f>VLOOKUP($Z190,'oddspedia-matches'!$A:$AD,AF$2,0)</f>
        <v>Green</v>
      </c>
      <c r="AG190" t="str">
        <f>VLOOKUP($Z190,'oddspedia-matches'!$A:$AD,AG$2,0)</f>
        <v>Red</v>
      </c>
      <c r="AH190" t="str">
        <f>VLOOKUP($Z190,'oddspedia-matches'!$A:$AD,AH$2,0)</f>
        <v>Green</v>
      </c>
      <c r="AI190" t="str">
        <f>VLOOKUP($Z190,'oddspedia-matches'!$A:$AD,AI$2,0)</f>
        <v>Red</v>
      </c>
      <c r="AJ190" t="str">
        <f>VLOOKUP($Z190,'oddspedia-matches'!$A:$AD,AJ$2,0)</f>
        <v>Red</v>
      </c>
      <c r="AK190" t="str">
        <f>VLOOKUP($Z190,'oddspedia-matches'!$A:$AD,AK$2,0)</f>
        <v>Green</v>
      </c>
      <c r="AL190" t="str">
        <f>VLOOKUP($Z190,'oddspedia-matches'!$A:$AD,AL$2,0)</f>
        <v>Green</v>
      </c>
      <c r="AM190" t="str">
        <f>VLOOKUP($Z190,'oddspedia-matches'!$A:$AD,AM$2,0)</f>
        <v>Red</v>
      </c>
      <c r="AN190" t="str">
        <f>VLOOKUP($Z190,'oddspedia-matches'!$A:$AD,AN$2,0)</f>
        <v>Green</v>
      </c>
      <c r="AO190" t="str">
        <f>VLOOKUP($Z190,'oddspedia-matches'!$A:$AD,AO$2,0)</f>
        <v>Green</v>
      </c>
      <c r="AP190" t="str">
        <f>VLOOKUP($Z190,'oddspedia-matches'!$A:$AD,AP$2,0)</f>
        <v>Green</v>
      </c>
      <c r="AQ190" t="str">
        <f>VLOOKUP($Z190,'oddspedia-matches'!$A:$AD,AQ$2,0)</f>
        <v>Red</v>
      </c>
    </row>
    <row r="191" spans="2:43" x14ac:dyDescent="0.2">
      <c r="B191" s="17" t="s">
        <v>474</v>
      </c>
      <c r="C191" s="8" t="s">
        <v>490</v>
      </c>
      <c r="D191" s="18">
        <v>0.45833333333333331</v>
      </c>
      <c r="E191" s="8" t="s">
        <v>602</v>
      </c>
      <c r="F191" s="8" t="s">
        <v>603</v>
      </c>
      <c r="G191" s="19"/>
      <c r="H191" s="8">
        <v>46.8</v>
      </c>
      <c r="I191" s="8">
        <v>28.5</v>
      </c>
      <c r="J191" s="8">
        <v>24.7</v>
      </c>
      <c r="K191" s="8">
        <v>75.3</v>
      </c>
      <c r="L191" s="8">
        <v>53.2</v>
      </c>
      <c r="M191" s="8">
        <v>71.5</v>
      </c>
      <c r="N191" s="8">
        <v>36.700000000000003</v>
      </c>
      <c r="O191" s="8">
        <v>41.4</v>
      </c>
      <c r="P191" s="8">
        <v>21.9</v>
      </c>
      <c r="Q191" s="8">
        <v>72</v>
      </c>
      <c r="R191" s="8">
        <v>72.8</v>
      </c>
      <c r="S191" s="8">
        <v>46.1</v>
      </c>
      <c r="T191" s="8">
        <v>53.9</v>
      </c>
      <c r="U191" s="8">
        <v>59.9</v>
      </c>
      <c r="V191" s="8">
        <v>51</v>
      </c>
      <c r="W191" s="8">
        <v>49</v>
      </c>
      <c r="X191" t="str">
        <f>VLOOKUP(E191,'Transform table'!A:B,2,0)</f>
        <v>Kuopio PS</v>
      </c>
      <c r="Y191" t="str">
        <f>VLOOKUP(F191,'Transform table'!A:B,2,0)</f>
        <v>Vaasa PS</v>
      </c>
      <c r="Z191" t="str">
        <f t="shared" si="2"/>
        <v>25/07/2026Kuopio PSVaasa PS</v>
      </c>
      <c r="AA191" t="str">
        <f>VLOOKUP($Z191,'oddspedia-matches'!$A:$AD,AA$2,0)</f>
        <v>3 - 1</v>
      </c>
      <c r="AB191" t="str">
        <f>VLOOKUP($Z191,'oddspedia-matches'!$A:$AD,AB$2,0)</f>
        <v>Green</v>
      </c>
      <c r="AC191" t="str">
        <f>VLOOKUP($Z191,'oddspedia-matches'!$A:$AD,AC$2,0)</f>
        <v>Red</v>
      </c>
      <c r="AD191" t="str">
        <f>VLOOKUP($Z191,'oddspedia-matches'!$A:$AD,AD$2,0)</f>
        <v>Red</v>
      </c>
      <c r="AE191" t="str">
        <f>VLOOKUP($Z191,'oddspedia-matches'!$A:$AD,AE$2,0)</f>
        <v>Green</v>
      </c>
      <c r="AF191" t="str">
        <f>VLOOKUP($Z191,'oddspedia-matches'!$A:$AD,AF$2,0)</f>
        <v>Red</v>
      </c>
      <c r="AG191" t="str">
        <f>VLOOKUP($Z191,'oddspedia-matches'!$A:$AD,AG$2,0)</f>
        <v>Green</v>
      </c>
      <c r="AH191" t="str">
        <f>VLOOKUP($Z191,'oddspedia-matches'!$A:$AD,AH$2,0)</f>
        <v>Green</v>
      </c>
      <c r="AI191" t="str">
        <f>VLOOKUP($Z191,'oddspedia-matches'!$A:$AD,AI$2,0)</f>
        <v>Red</v>
      </c>
      <c r="AJ191" t="str">
        <f>VLOOKUP($Z191,'oddspedia-matches'!$A:$AD,AJ$2,0)</f>
        <v>Red</v>
      </c>
      <c r="AK191" t="str">
        <f>VLOOKUP($Z191,'oddspedia-matches'!$A:$AD,AK$2,0)</f>
        <v>Green</v>
      </c>
      <c r="AL191" t="str">
        <f>VLOOKUP($Z191,'oddspedia-matches'!$A:$AD,AL$2,0)</f>
        <v>Green</v>
      </c>
      <c r="AM191" t="str">
        <f>VLOOKUP($Z191,'oddspedia-matches'!$A:$AD,AM$2,0)</f>
        <v>Green</v>
      </c>
      <c r="AN191" t="str">
        <f>VLOOKUP($Z191,'oddspedia-matches'!$A:$AD,AN$2,0)</f>
        <v>Red</v>
      </c>
      <c r="AO191" t="str">
        <f>VLOOKUP($Z191,'oddspedia-matches'!$A:$AD,AO$2,0)</f>
        <v>Red</v>
      </c>
      <c r="AP191" t="str">
        <f>VLOOKUP($Z191,'oddspedia-matches'!$A:$AD,AP$2,0)</f>
        <v>Green</v>
      </c>
      <c r="AQ191" t="str">
        <f>VLOOKUP($Z191,'oddspedia-matches'!$A:$AD,AQ$2,0)</f>
        <v>Red</v>
      </c>
    </row>
    <row r="192" spans="2:43" x14ac:dyDescent="0.2">
      <c r="B192" s="9" t="s">
        <v>469</v>
      </c>
      <c r="C192" s="7" t="s">
        <v>490</v>
      </c>
      <c r="D192" s="20">
        <v>0.45833333333333331</v>
      </c>
      <c r="E192" s="7" t="s">
        <v>604</v>
      </c>
      <c r="F192" s="7" t="s">
        <v>605</v>
      </c>
      <c r="G192" s="21"/>
      <c r="H192" s="7">
        <v>56.9</v>
      </c>
      <c r="I192" s="7">
        <v>25.1</v>
      </c>
      <c r="J192" s="7">
        <v>18</v>
      </c>
      <c r="K192" s="7">
        <v>82</v>
      </c>
      <c r="L192" s="7">
        <v>43.1</v>
      </c>
      <c r="M192" s="7">
        <v>74.900000000000006</v>
      </c>
      <c r="N192" s="7">
        <v>49.3</v>
      </c>
      <c r="O192" s="7">
        <v>30.9</v>
      </c>
      <c r="P192" s="7">
        <v>19.899999999999999</v>
      </c>
      <c r="Q192" s="7">
        <v>86.3</v>
      </c>
      <c r="R192" s="7">
        <v>94.3</v>
      </c>
      <c r="S192" s="7">
        <v>82.4</v>
      </c>
      <c r="T192" s="7">
        <v>17.600000000000001</v>
      </c>
      <c r="U192" s="7">
        <v>23</v>
      </c>
      <c r="V192" s="7">
        <v>77.099999999999994</v>
      </c>
      <c r="W192" s="7">
        <v>22.9</v>
      </c>
      <c r="X192" t="str">
        <f>VLOOKUP(E192,'Transform table'!A:B,2,0)</f>
        <v>Afturelding</v>
      </c>
      <c r="Y192" t="str">
        <f>VLOOKUP(F192,'Transform table'!A:B,2,0)</f>
        <v>Grotta Seltjarnarnes</v>
      </c>
      <c r="Z192" t="str">
        <f t="shared" si="2"/>
        <v>25/07/2026AftureldingGrotta Seltjarnarnes</v>
      </c>
      <c r="AA192" t="str">
        <f>VLOOKUP($Z192,'oddspedia-matches'!$A:$AD,AA$2,0)</f>
        <v xml:space="preserve"> - </v>
      </c>
      <c r="AB192" t="str">
        <f>VLOOKUP($Z192,'oddspedia-matches'!$A:$AD,AB$2,0)</f>
        <v>Red</v>
      </c>
      <c r="AC192" t="str">
        <f>VLOOKUP($Z192,'oddspedia-matches'!$A:$AD,AC$2,0)</f>
        <v>Green</v>
      </c>
      <c r="AD192" t="str">
        <f>VLOOKUP($Z192,'oddspedia-matches'!$A:$AD,AD$2,0)</f>
        <v>Red</v>
      </c>
      <c r="AE192" t="str">
        <f>VLOOKUP($Z192,'oddspedia-matches'!$A:$AD,AE$2,0)</f>
        <v>Green</v>
      </c>
      <c r="AF192" t="str">
        <f>VLOOKUP($Z192,'oddspedia-matches'!$A:$AD,AF$2,0)</f>
        <v>Green</v>
      </c>
      <c r="AG192" t="str">
        <f>VLOOKUP($Z192,'oddspedia-matches'!$A:$AD,AG$2,0)</f>
        <v>Red</v>
      </c>
      <c r="AH192" t="str">
        <f>VLOOKUP($Z192,'oddspedia-matches'!$A:$AD,AH$2,0)</f>
        <v>Red</v>
      </c>
      <c r="AI192" t="str">
        <f>VLOOKUP($Z192,'oddspedia-matches'!$A:$AD,AI$2,0)</f>
        <v>Green</v>
      </c>
      <c r="AJ192" t="str">
        <f>VLOOKUP($Z192,'oddspedia-matches'!$A:$AD,AJ$2,0)</f>
        <v>Red</v>
      </c>
      <c r="AK192" t="str">
        <f>VLOOKUP($Z192,'oddspedia-matches'!$A:$AD,AK$2,0)</f>
        <v>Red</v>
      </c>
      <c r="AL192" t="str">
        <f>VLOOKUP($Z192,'oddspedia-matches'!$A:$AD,AL$2,0)</f>
        <v>Red</v>
      </c>
      <c r="AM192" t="str">
        <f>VLOOKUP($Z192,'oddspedia-matches'!$A:$AD,AM$2,0)</f>
        <v>Red</v>
      </c>
      <c r="AN192" t="str">
        <f>VLOOKUP($Z192,'oddspedia-matches'!$A:$AD,AN$2,0)</f>
        <v>Green</v>
      </c>
      <c r="AO192" t="str">
        <f>VLOOKUP($Z192,'oddspedia-matches'!$A:$AD,AO$2,0)</f>
        <v>Green</v>
      </c>
      <c r="AP192" t="str">
        <f>VLOOKUP($Z192,'oddspedia-matches'!$A:$AD,AP$2,0)</f>
        <v>Red</v>
      </c>
      <c r="AQ192" t="str">
        <f>VLOOKUP($Z192,'oddspedia-matches'!$A:$AD,AQ$2,0)</f>
        <v>Green</v>
      </c>
    </row>
    <row r="193" spans="2:43" x14ac:dyDescent="0.2">
      <c r="B193" s="17" t="s">
        <v>469</v>
      </c>
      <c r="C193" s="8" t="s">
        <v>490</v>
      </c>
      <c r="D193" s="18">
        <v>0.45833333333333331</v>
      </c>
      <c r="E193" s="8" t="s">
        <v>606</v>
      </c>
      <c r="F193" s="8" t="s">
        <v>607</v>
      </c>
      <c r="G193" s="19"/>
      <c r="H193" s="8">
        <v>32.4</v>
      </c>
      <c r="I193" s="8">
        <v>25.6</v>
      </c>
      <c r="J193" s="8">
        <v>42</v>
      </c>
      <c r="K193" s="8">
        <v>58</v>
      </c>
      <c r="L193" s="8">
        <v>67.599999999999994</v>
      </c>
      <c r="M193" s="8">
        <v>74.400000000000006</v>
      </c>
      <c r="N193" s="8">
        <v>32.700000000000003</v>
      </c>
      <c r="O193" s="8">
        <v>36.1</v>
      </c>
      <c r="P193" s="8">
        <v>31.2</v>
      </c>
      <c r="Q193" s="8">
        <v>81.3</v>
      </c>
      <c r="R193" s="8">
        <v>89.7</v>
      </c>
      <c r="S193" s="8">
        <v>72.400000000000006</v>
      </c>
      <c r="T193" s="8">
        <v>27.6</v>
      </c>
      <c r="U193" s="8">
        <v>32.9</v>
      </c>
      <c r="V193" s="8">
        <v>72.7</v>
      </c>
      <c r="W193" s="8">
        <v>27.3</v>
      </c>
      <c r="X193" t="str">
        <f>VLOOKUP(E193,'Transform table'!A:B,2,0)</f>
        <v>IR Reykjavik</v>
      </c>
      <c r="Y193" t="str">
        <f>VLOOKUP(F193,'Transform table'!A:B,2,0)</f>
        <v>Fylkir</v>
      </c>
      <c r="Z193" t="str">
        <f t="shared" si="2"/>
        <v>25/07/2026IR ReykjavikFylkir</v>
      </c>
      <c r="AA193" t="str">
        <f>VLOOKUP($Z193,'oddspedia-matches'!$A:$AD,AA$2,0)</f>
        <v>2 - 0</v>
      </c>
      <c r="AB193" t="str">
        <f>VLOOKUP($Z193,'oddspedia-matches'!$A:$AD,AB$2,0)</f>
        <v>Green</v>
      </c>
      <c r="AC193" t="str">
        <f>VLOOKUP($Z193,'oddspedia-matches'!$A:$AD,AC$2,0)</f>
        <v>Red</v>
      </c>
      <c r="AD193" t="str">
        <f>VLOOKUP($Z193,'oddspedia-matches'!$A:$AD,AD$2,0)</f>
        <v>Red</v>
      </c>
      <c r="AE193" t="str">
        <f>VLOOKUP($Z193,'oddspedia-matches'!$A:$AD,AE$2,0)</f>
        <v>Green</v>
      </c>
      <c r="AF193" t="str">
        <f>VLOOKUP($Z193,'oddspedia-matches'!$A:$AD,AF$2,0)</f>
        <v>Red</v>
      </c>
      <c r="AG193" t="str">
        <f>VLOOKUP($Z193,'oddspedia-matches'!$A:$AD,AG$2,0)</f>
        <v>Green</v>
      </c>
      <c r="AH193" t="str">
        <f>VLOOKUP($Z193,'oddspedia-matches'!$A:$AD,AH$2,0)</f>
        <v>Green</v>
      </c>
      <c r="AI193" t="str">
        <f>VLOOKUP($Z193,'oddspedia-matches'!$A:$AD,AI$2,0)</f>
        <v>Red</v>
      </c>
      <c r="AJ193" t="str">
        <f>VLOOKUP($Z193,'oddspedia-matches'!$A:$AD,AJ$2,0)</f>
        <v>Red</v>
      </c>
      <c r="AK193" t="str">
        <f>VLOOKUP($Z193,'oddspedia-matches'!$A:$AD,AK$2,0)</f>
        <v>Green</v>
      </c>
      <c r="AL193" t="str">
        <f>VLOOKUP($Z193,'oddspedia-matches'!$A:$AD,AL$2,0)</f>
        <v>Green</v>
      </c>
      <c r="AM193" t="str">
        <f>VLOOKUP($Z193,'oddspedia-matches'!$A:$AD,AM$2,0)</f>
        <v>Red</v>
      </c>
      <c r="AN193" t="str">
        <f>VLOOKUP($Z193,'oddspedia-matches'!$A:$AD,AN$2,0)</f>
        <v>Green</v>
      </c>
      <c r="AO193" t="str">
        <f>VLOOKUP($Z193,'oddspedia-matches'!$A:$AD,AO$2,0)</f>
        <v>Green</v>
      </c>
      <c r="AP193" t="str">
        <f>VLOOKUP($Z193,'oddspedia-matches'!$A:$AD,AP$2,0)</f>
        <v>Red</v>
      </c>
      <c r="AQ193" t="str">
        <f>VLOOKUP($Z193,'oddspedia-matches'!$A:$AD,AQ$2,0)</f>
        <v>Green</v>
      </c>
    </row>
    <row r="194" spans="2:43" x14ac:dyDescent="0.2">
      <c r="B194" s="9" t="s">
        <v>480</v>
      </c>
      <c r="C194" s="7" t="s">
        <v>490</v>
      </c>
      <c r="D194" s="20">
        <v>0.45833333333333331</v>
      </c>
      <c r="E194" s="7" t="s">
        <v>608</v>
      </c>
      <c r="F194" s="7" t="s">
        <v>609</v>
      </c>
      <c r="G194" s="21"/>
      <c r="H194" s="7">
        <v>52.8</v>
      </c>
      <c r="I194" s="7">
        <v>24.4</v>
      </c>
      <c r="J194" s="7">
        <v>22.8</v>
      </c>
      <c r="K194" s="7">
        <v>77.2</v>
      </c>
      <c r="L194" s="7">
        <v>47.2</v>
      </c>
      <c r="M194" s="7">
        <v>75.599999999999994</v>
      </c>
      <c r="N194" s="7">
        <v>49.9</v>
      </c>
      <c r="O194" s="7">
        <v>33.1</v>
      </c>
      <c r="P194" s="7">
        <v>16.899999999999999</v>
      </c>
      <c r="Q194" s="7">
        <v>81.7</v>
      </c>
      <c r="R194" s="7">
        <v>90.6</v>
      </c>
      <c r="S194" s="7">
        <v>74.3</v>
      </c>
      <c r="T194" s="7">
        <v>25.7</v>
      </c>
      <c r="U194" s="7">
        <v>31.5</v>
      </c>
      <c r="V194" s="7">
        <v>72</v>
      </c>
      <c r="W194" s="7">
        <v>28</v>
      </c>
      <c r="X194" t="str">
        <f>VLOOKUP(E194,'Transform table'!A:B,2,0)</f>
        <v>KFA Austfjarda</v>
      </c>
      <c r="Y194" t="str">
        <f>VLOOKUP(F194,'Transform table'!A:B,2,0)</f>
        <v>Throttur Vogar</v>
      </c>
      <c r="Z194" t="str">
        <f t="shared" si="2"/>
        <v>25/07/2026KFA AustfjardaThrottur Vogar</v>
      </c>
      <c r="AA194" t="str">
        <f>VLOOKUP($Z194,'oddspedia-matches'!$A:$AD,AA$2,0)</f>
        <v>4 - 2</v>
      </c>
      <c r="AB194" t="str">
        <f>VLOOKUP($Z194,'oddspedia-matches'!$A:$AD,AB$2,0)</f>
        <v>Green</v>
      </c>
      <c r="AC194" t="str">
        <f>VLOOKUP($Z194,'oddspedia-matches'!$A:$AD,AC$2,0)</f>
        <v>Red</v>
      </c>
      <c r="AD194" t="str">
        <f>VLOOKUP($Z194,'oddspedia-matches'!$A:$AD,AD$2,0)</f>
        <v>Red</v>
      </c>
      <c r="AE194" t="str">
        <f>VLOOKUP($Z194,'oddspedia-matches'!$A:$AD,AE$2,0)</f>
        <v>Green</v>
      </c>
      <c r="AF194" t="str">
        <f>VLOOKUP($Z194,'oddspedia-matches'!$A:$AD,AF$2,0)</f>
        <v>Red</v>
      </c>
      <c r="AG194" t="str">
        <f>VLOOKUP($Z194,'oddspedia-matches'!$A:$AD,AG$2,0)</f>
        <v>Green</v>
      </c>
      <c r="AH194" t="str">
        <f>VLOOKUP($Z194,'oddspedia-matches'!$A:$AD,AH$2,0)</f>
        <v>Red</v>
      </c>
      <c r="AI194" t="str">
        <f>VLOOKUP($Z194,'oddspedia-matches'!$A:$AD,AI$2,0)</f>
        <v>Red</v>
      </c>
      <c r="AJ194" t="str">
        <f>VLOOKUP($Z194,'oddspedia-matches'!$A:$AD,AJ$2,0)</f>
        <v>Green</v>
      </c>
      <c r="AK194" t="str">
        <f>VLOOKUP($Z194,'oddspedia-matches'!$A:$AD,AK$2,0)</f>
        <v>Green</v>
      </c>
      <c r="AL194" t="str">
        <f>VLOOKUP($Z194,'oddspedia-matches'!$A:$AD,AL$2,0)</f>
        <v>Green</v>
      </c>
      <c r="AM194" t="str">
        <f>VLOOKUP($Z194,'oddspedia-matches'!$A:$AD,AM$2,0)</f>
        <v>Green</v>
      </c>
      <c r="AN194" t="str">
        <f>VLOOKUP($Z194,'oddspedia-matches'!$A:$AD,AN$2,0)</f>
        <v>Red</v>
      </c>
      <c r="AO194" t="str">
        <f>VLOOKUP($Z194,'oddspedia-matches'!$A:$AD,AO$2,0)</f>
        <v>Red</v>
      </c>
      <c r="AP194" t="str">
        <f>VLOOKUP($Z194,'oddspedia-matches'!$A:$AD,AP$2,0)</f>
        <v>Green</v>
      </c>
      <c r="AQ194" t="str">
        <f>VLOOKUP($Z194,'oddspedia-matches'!$A:$AD,AQ$2,0)</f>
        <v>Red</v>
      </c>
    </row>
    <row r="195" spans="2:43" x14ac:dyDescent="0.2">
      <c r="B195" s="17" t="s">
        <v>569</v>
      </c>
      <c r="C195" s="8" t="s">
        <v>490</v>
      </c>
      <c r="D195" s="18">
        <v>0.45833333333333331</v>
      </c>
      <c r="E195" s="8" t="s">
        <v>610</v>
      </c>
      <c r="F195" s="8" t="s">
        <v>611</v>
      </c>
      <c r="G195" s="19"/>
      <c r="H195" s="8">
        <v>60.9</v>
      </c>
      <c r="I195" s="8">
        <v>23.4</v>
      </c>
      <c r="J195" s="8">
        <v>15.7</v>
      </c>
      <c r="K195" s="8">
        <v>84.3</v>
      </c>
      <c r="L195" s="8">
        <v>39.1</v>
      </c>
      <c r="M195" s="8">
        <v>76.599999999999994</v>
      </c>
      <c r="N195" s="8">
        <v>41.7</v>
      </c>
      <c r="O195" s="8">
        <v>39</v>
      </c>
      <c r="P195" s="8">
        <v>19.3</v>
      </c>
      <c r="Q195" s="8">
        <v>74.599999999999994</v>
      </c>
      <c r="R195" s="8">
        <v>82.7</v>
      </c>
      <c r="S195" s="8">
        <v>60.3</v>
      </c>
      <c r="T195" s="8">
        <v>39.700000000000003</v>
      </c>
      <c r="U195" s="8">
        <v>47.7</v>
      </c>
      <c r="V195" s="8">
        <v>56.8</v>
      </c>
      <c r="W195" s="8">
        <v>43.2</v>
      </c>
      <c r="X195" t="str">
        <f>VLOOKUP(E195,'Transform table'!A:B,2,0)</f>
        <v>Beitar Riga Mariners</v>
      </c>
      <c r="Y195" t="str">
        <f>VLOOKUP(F195,'Transform table'!A:B,2,0)</f>
        <v>Ventspils</v>
      </c>
      <c r="Z195" t="str">
        <f t="shared" si="2"/>
        <v>25/07/2026Beitar Riga MarinersVentspils</v>
      </c>
      <c r="AA195" t="str">
        <f>VLOOKUP($Z195,'oddspedia-matches'!$A:$AD,AA$2,0)</f>
        <v>1 - 1</v>
      </c>
      <c r="AB195" t="str">
        <f>VLOOKUP($Z195,'oddspedia-matches'!$A:$AD,AB$2,0)</f>
        <v>Red</v>
      </c>
      <c r="AC195" t="str">
        <f>VLOOKUP($Z195,'oddspedia-matches'!$A:$AD,AC$2,0)</f>
        <v>Green</v>
      </c>
      <c r="AD195" t="str">
        <f>VLOOKUP($Z195,'oddspedia-matches'!$A:$AD,AD$2,0)</f>
        <v>Red</v>
      </c>
      <c r="AE195" t="str">
        <f>VLOOKUP($Z195,'oddspedia-matches'!$A:$AD,AE$2,0)</f>
        <v>Green</v>
      </c>
      <c r="AF195" t="str">
        <f>VLOOKUP($Z195,'oddspedia-matches'!$A:$AD,AF$2,0)</f>
        <v>Green</v>
      </c>
      <c r="AG195" t="str">
        <f>VLOOKUP($Z195,'oddspedia-matches'!$A:$AD,AG$2,0)</f>
        <v>Red</v>
      </c>
      <c r="AH195" t="str">
        <f>VLOOKUP($Z195,'oddspedia-matches'!$A:$AD,AH$2,0)</f>
        <v>Red</v>
      </c>
      <c r="AI195" t="str">
        <f>VLOOKUP($Z195,'oddspedia-matches'!$A:$AD,AI$2,0)</f>
        <v>Red</v>
      </c>
      <c r="AJ195" t="str">
        <f>VLOOKUP($Z195,'oddspedia-matches'!$A:$AD,AJ$2,0)</f>
        <v>Green</v>
      </c>
      <c r="AK195" t="str">
        <f>VLOOKUP($Z195,'oddspedia-matches'!$A:$AD,AK$2,0)</f>
        <v>Green</v>
      </c>
      <c r="AL195" t="str">
        <f>VLOOKUP($Z195,'oddspedia-matches'!$A:$AD,AL$2,0)</f>
        <v>Green</v>
      </c>
      <c r="AM195" t="str">
        <f>VLOOKUP($Z195,'oddspedia-matches'!$A:$AD,AM$2,0)</f>
        <v>Red</v>
      </c>
      <c r="AN195" t="str">
        <f>VLOOKUP($Z195,'oddspedia-matches'!$A:$AD,AN$2,0)</f>
        <v>Green</v>
      </c>
      <c r="AO195" t="str">
        <f>VLOOKUP($Z195,'oddspedia-matches'!$A:$AD,AO$2,0)</f>
        <v>Green</v>
      </c>
      <c r="AP195" t="str">
        <f>VLOOKUP($Z195,'oddspedia-matches'!$A:$AD,AP$2,0)</f>
        <v>Green</v>
      </c>
      <c r="AQ195" t="str">
        <f>VLOOKUP($Z195,'oddspedia-matches'!$A:$AD,AQ$2,0)</f>
        <v>Red</v>
      </c>
    </row>
    <row r="196" spans="2:43" x14ac:dyDescent="0.2">
      <c r="B196" s="9" t="s">
        <v>450</v>
      </c>
      <c r="C196" s="7" t="s">
        <v>490</v>
      </c>
      <c r="D196" s="20">
        <v>0.45833333333333331</v>
      </c>
      <c r="E196" s="7" t="s">
        <v>248</v>
      </c>
      <c r="F196" s="7" t="s">
        <v>612</v>
      </c>
      <c r="G196" s="21"/>
      <c r="H196" s="7">
        <v>62</v>
      </c>
      <c r="I196" s="7">
        <v>23.3</v>
      </c>
      <c r="J196" s="7">
        <v>14.7</v>
      </c>
      <c r="K196" s="7">
        <v>85.3</v>
      </c>
      <c r="L196" s="7">
        <v>38</v>
      </c>
      <c r="M196" s="7">
        <v>76.7</v>
      </c>
      <c r="N196" s="7">
        <v>46.9</v>
      </c>
      <c r="O196" s="7">
        <v>39.6</v>
      </c>
      <c r="P196" s="7">
        <v>13.6</v>
      </c>
      <c r="Q196" s="7">
        <v>71.2</v>
      </c>
      <c r="R196" s="7">
        <v>81.3</v>
      </c>
      <c r="S196" s="7">
        <v>58.1</v>
      </c>
      <c r="T196" s="7">
        <v>41.9</v>
      </c>
      <c r="U196" s="7">
        <v>50.1</v>
      </c>
      <c r="V196" s="7">
        <v>54.2</v>
      </c>
      <c r="W196" s="7">
        <v>45.8</v>
      </c>
      <c r="X196" t="str">
        <f>VLOOKUP(E196,'Transform table'!A:B,2,0)</f>
        <v>Neptunas Klaipeda</v>
      </c>
      <c r="Y196" t="str">
        <f>VLOOKUP(F196,'Transform table'!A:B,2,0)</f>
        <v>FC Siauliai II</v>
      </c>
      <c r="Z196" t="str">
        <f t="shared" ref="Z196:Z259" si="3">C196&amp;X196&amp;Y196</f>
        <v>25/07/2026Neptunas KlaipedaFC Siauliai II</v>
      </c>
      <c r="AA196" t="str">
        <f>VLOOKUP($Z196,'oddspedia-matches'!$A:$AD,AA$2,0)</f>
        <v>2 - 1</v>
      </c>
      <c r="AB196" t="str">
        <f>VLOOKUP($Z196,'oddspedia-matches'!$A:$AD,AB$2,0)</f>
        <v>Green</v>
      </c>
      <c r="AC196" t="str">
        <f>VLOOKUP($Z196,'oddspedia-matches'!$A:$AD,AC$2,0)</f>
        <v>Red</v>
      </c>
      <c r="AD196" t="str">
        <f>VLOOKUP($Z196,'oddspedia-matches'!$A:$AD,AD$2,0)</f>
        <v>Red</v>
      </c>
      <c r="AE196" t="str">
        <f>VLOOKUP($Z196,'oddspedia-matches'!$A:$AD,AE$2,0)</f>
        <v>Green</v>
      </c>
      <c r="AF196" t="str">
        <f>VLOOKUP($Z196,'oddspedia-matches'!$A:$AD,AF$2,0)</f>
        <v>Red</v>
      </c>
      <c r="AG196" t="str">
        <f>VLOOKUP($Z196,'oddspedia-matches'!$A:$AD,AG$2,0)</f>
        <v>Green</v>
      </c>
      <c r="AH196" t="str">
        <f>VLOOKUP($Z196,'oddspedia-matches'!$A:$AD,AH$2,0)</f>
        <v>Red</v>
      </c>
      <c r="AI196" t="str">
        <f>VLOOKUP($Z196,'oddspedia-matches'!$A:$AD,AI$2,0)</f>
        <v>Green</v>
      </c>
      <c r="AJ196" t="str">
        <f>VLOOKUP($Z196,'oddspedia-matches'!$A:$AD,AJ$2,0)</f>
        <v>Red</v>
      </c>
      <c r="AK196" t="str">
        <f>VLOOKUP($Z196,'oddspedia-matches'!$A:$AD,AK$2,0)</f>
        <v>Green</v>
      </c>
      <c r="AL196" t="str">
        <f>VLOOKUP($Z196,'oddspedia-matches'!$A:$AD,AL$2,0)</f>
        <v>Green</v>
      </c>
      <c r="AM196" t="str">
        <f>VLOOKUP($Z196,'oddspedia-matches'!$A:$AD,AM$2,0)</f>
        <v>Green</v>
      </c>
      <c r="AN196" t="str">
        <f>VLOOKUP($Z196,'oddspedia-matches'!$A:$AD,AN$2,0)</f>
        <v>Red</v>
      </c>
      <c r="AO196" t="str">
        <f>VLOOKUP($Z196,'oddspedia-matches'!$A:$AD,AO$2,0)</f>
        <v>Green</v>
      </c>
      <c r="AP196" t="str">
        <f>VLOOKUP($Z196,'oddspedia-matches'!$A:$AD,AP$2,0)</f>
        <v>Green</v>
      </c>
      <c r="AQ196" t="str">
        <f>VLOOKUP($Z196,'oddspedia-matches'!$A:$AD,AQ$2,0)</f>
        <v>Red</v>
      </c>
    </row>
    <row r="197" spans="2:43" x14ac:dyDescent="0.2">
      <c r="B197" s="17" t="s">
        <v>465</v>
      </c>
      <c r="C197" s="8" t="s">
        <v>490</v>
      </c>
      <c r="D197" s="18">
        <v>0.45833333333333331</v>
      </c>
      <c r="E197" s="8" t="s">
        <v>613</v>
      </c>
      <c r="F197" s="8" t="s">
        <v>614</v>
      </c>
      <c r="G197" s="19"/>
      <c r="H197" s="8">
        <v>49.6</v>
      </c>
      <c r="I197" s="8">
        <v>26.5</v>
      </c>
      <c r="J197" s="8">
        <v>23.9</v>
      </c>
      <c r="K197" s="8">
        <v>76.099999999999994</v>
      </c>
      <c r="L197" s="8">
        <v>50.4</v>
      </c>
      <c r="M197" s="8">
        <v>73.5</v>
      </c>
      <c r="N197" s="8">
        <v>25.9</v>
      </c>
      <c r="O197" s="8">
        <v>45.5</v>
      </c>
      <c r="P197" s="8">
        <v>28.6</v>
      </c>
      <c r="Q197" s="8">
        <v>66.7</v>
      </c>
      <c r="R197" s="8">
        <v>79.2</v>
      </c>
      <c r="S197" s="8">
        <v>54.8</v>
      </c>
      <c r="T197" s="8">
        <v>45.2</v>
      </c>
      <c r="U197" s="8">
        <v>51.6</v>
      </c>
      <c r="V197" s="8">
        <v>57.3</v>
      </c>
      <c r="W197" s="8">
        <v>42.7</v>
      </c>
      <c r="X197" t="str">
        <f>VLOOKUP(E197,'Transform table'!A:B,2,0)</f>
        <v>Kristiansund BK</v>
      </c>
      <c r="Y197" t="str">
        <f>VLOOKUP(F197,'Transform table'!A:B,2,0)</f>
        <v>IK Start</v>
      </c>
      <c r="Z197" t="str">
        <f t="shared" si="3"/>
        <v>25/07/2026Kristiansund BKIK Start</v>
      </c>
      <c r="AA197" t="str">
        <f>VLOOKUP($Z197,'oddspedia-matches'!$A:$AD,AA$2,0)</f>
        <v>1 - 2</v>
      </c>
      <c r="AB197" t="str">
        <f>VLOOKUP($Z197,'oddspedia-matches'!$A:$AD,AB$2,0)</f>
        <v>Red</v>
      </c>
      <c r="AC197" t="str">
        <f>VLOOKUP($Z197,'oddspedia-matches'!$A:$AD,AC$2,0)</f>
        <v>Red</v>
      </c>
      <c r="AD197" t="str">
        <f>VLOOKUP($Z197,'oddspedia-matches'!$A:$AD,AD$2,0)</f>
        <v>Green</v>
      </c>
      <c r="AE197" t="str">
        <f>VLOOKUP($Z197,'oddspedia-matches'!$A:$AD,AE$2,0)</f>
        <v>Red</v>
      </c>
      <c r="AF197" t="str">
        <f>VLOOKUP($Z197,'oddspedia-matches'!$A:$AD,AF$2,0)</f>
        <v>Green</v>
      </c>
      <c r="AG197" t="str">
        <f>VLOOKUP($Z197,'oddspedia-matches'!$A:$AD,AG$2,0)</f>
        <v>Green</v>
      </c>
      <c r="AH197" t="str">
        <f>VLOOKUP($Z197,'oddspedia-matches'!$A:$AD,AH$2,0)</f>
        <v>Red</v>
      </c>
      <c r="AI197" t="str">
        <f>VLOOKUP($Z197,'oddspedia-matches'!$A:$AD,AI$2,0)</f>
        <v>Green</v>
      </c>
      <c r="AJ197" t="str">
        <f>VLOOKUP($Z197,'oddspedia-matches'!$A:$AD,AJ$2,0)</f>
        <v>Red</v>
      </c>
      <c r="AK197" t="str">
        <f>VLOOKUP($Z197,'oddspedia-matches'!$A:$AD,AK$2,0)</f>
        <v>Green</v>
      </c>
      <c r="AL197" t="str">
        <f>VLOOKUP($Z197,'oddspedia-matches'!$A:$AD,AL$2,0)</f>
        <v>Green</v>
      </c>
      <c r="AM197" t="str">
        <f>VLOOKUP($Z197,'oddspedia-matches'!$A:$AD,AM$2,0)</f>
        <v>Green</v>
      </c>
      <c r="AN197" t="str">
        <f>VLOOKUP($Z197,'oddspedia-matches'!$A:$AD,AN$2,0)</f>
        <v>Red</v>
      </c>
      <c r="AO197" t="str">
        <f>VLOOKUP($Z197,'oddspedia-matches'!$A:$AD,AO$2,0)</f>
        <v>Green</v>
      </c>
      <c r="AP197" t="str">
        <f>VLOOKUP($Z197,'oddspedia-matches'!$A:$AD,AP$2,0)</f>
        <v>Green</v>
      </c>
      <c r="AQ197" t="str">
        <f>VLOOKUP($Z197,'oddspedia-matches'!$A:$AD,AQ$2,0)</f>
        <v>Red</v>
      </c>
    </row>
    <row r="198" spans="2:43" x14ac:dyDescent="0.2">
      <c r="B198" s="9" t="s">
        <v>584</v>
      </c>
      <c r="C198" s="7" t="s">
        <v>490</v>
      </c>
      <c r="D198" s="20">
        <v>0.5</v>
      </c>
      <c r="E198" s="7" t="s">
        <v>615</v>
      </c>
      <c r="F198" s="7" t="s">
        <v>616</v>
      </c>
      <c r="G198" s="21"/>
      <c r="H198" s="7">
        <v>46.8</v>
      </c>
      <c r="I198" s="7">
        <v>28</v>
      </c>
      <c r="J198" s="7">
        <v>25.2</v>
      </c>
      <c r="K198" s="7">
        <v>74.8</v>
      </c>
      <c r="L198" s="7">
        <v>53.2</v>
      </c>
      <c r="M198" s="7">
        <v>72</v>
      </c>
      <c r="N198" s="7">
        <v>37.9</v>
      </c>
      <c r="O198" s="7">
        <v>48.5</v>
      </c>
      <c r="P198" s="7">
        <v>13.6</v>
      </c>
      <c r="Q198" s="7">
        <v>59.7</v>
      </c>
      <c r="R198" s="7">
        <v>74.8</v>
      </c>
      <c r="S198" s="7">
        <v>48.7</v>
      </c>
      <c r="T198" s="7">
        <v>51.3</v>
      </c>
      <c r="U198" s="7">
        <v>57.4</v>
      </c>
      <c r="V198" s="7">
        <v>53.1</v>
      </c>
      <c r="W198" s="7">
        <v>46.9</v>
      </c>
      <c r="X198" t="str">
        <f>VLOOKUP(E198,'Transform table'!A:B,2,0)</f>
        <v>Aktobe</v>
      </c>
      <c r="Y198" t="str">
        <f>VLOOKUP(F198,'Transform table'!A:B,2,0)</f>
        <v>Okzhetpes</v>
      </c>
      <c r="Z198" t="str">
        <f t="shared" si="3"/>
        <v>25/07/2026AktobeOkzhetpes</v>
      </c>
      <c r="AA198" t="str">
        <f>VLOOKUP($Z198,'oddspedia-matches'!$A:$AD,AA$2,0)</f>
        <v>2 - 1</v>
      </c>
      <c r="AB198" t="str">
        <f>VLOOKUP($Z198,'oddspedia-matches'!$A:$AD,AB$2,0)</f>
        <v>Green</v>
      </c>
      <c r="AC198" t="str">
        <f>VLOOKUP($Z198,'oddspedia-matches'!$A:$AD,AC$2,0)</f>
        <v>Red</v>
      </c>
      <c r="AD198" t="str">
        <f>VLOOKUP($Z198,'oddspedia-matches'!$A:$AD,AD$2,0)</f>
        <v>Red</v>
      </c>
      <c r="AE198" t="str">
        <f>VLOOKUP($Z198,'oddspedia-matches'!$A:$AD,AE$2,0)</f>
        <v>Green</v>
      </c>
      <c r="AF198" t="str">
        <f>VLOOKUP($Z198,'oddspedia-matches'!$A:$AD,AF$2,0)</f>
        <v>Red</v>
      </c>
      <c r="AG198" t="str">
        <f>VLOOKUP($Z198,'oddspedia-matches'!$A:$AD,AG$2,0)</f>
        <v>Green</v>
      </c>
      <c r="AH198" t="str">
        <f>VLOOKUP($Z198,'oddspedia-matches'!$A:$AD,AH$2,0)</f>
        <v>Green</v>
      </c>
      <c r="AI198" t="str">
        <f>VLOOKUP($Z198,'oddspedia-matches'!$A:$AD,AI$2,0)</f>
        <v>Red</v>
      </c>
      <c r="AJ198" t="str">
        <f>VLOOKUP($Z198,'oddspedia-matches'!$A:$AD,AJ$2,0)</f>
        <v>Red</v>
      </c>
      <c r="AK198" t="str">
        <f>VLOOKUP($Z198,'oddspedia-matches'!$A:$AD,AK$2,0)</f>
        <v>Green</v>
      </c>
      <c r="AL198" t="str">
        <f>VLOOKUP($Z198,'oddspedia-matches'!$A:$AD,AL$2,0)</f>
        <v>Green</v>
      </c>
      <c r="AM198" t="str">
        <f>VLOOKUP($Z198,'oddspedia-matches'!$A:$AD,AM$2,0)</f>
        <v>Green</v>
      </c>
      <c r="AN198" t="str">
        <f>VLOOKUP($Z198,'oddspedia-matches'!$A:$AD,AN$2,0)</f>
        <v>Red</v>
      </c>
      <c r="AO198" t="str">
        <f>VLOOKUP($Z198,'oddspedia-matches'!$A:$AD,AO$2,0)</f>
        <v>Green</v>
      </c>
      <c r="AP198" t="str">
        <f>VLOOKUP($Z198,'oddspedia-matches'!$A:$AD,AP$2,0)</f>
        <v>Green</v>
      </c>
      <c r="AQ198" t="str">
        <f>VLOOKUP($Z198,'oddspedia-matches'!$A:$AD,AQ$2,0)</f>
        <v>Red</v>
      </c>
    </row>
    <row r="199" spans="2:43" x14ac:dyDescent="0.2">
      <c r="B199" s="17" t="s">
        <v>448</v>
      </c>
      <c r="C199" s="8" t="s">
        <v>490</v>
      </c>
      <c r="D199" s="18">
        <v>0.5</v>
      </c>
      <c r="E199" s="8" t="s">
        <v>617</v>
      </c>
      <c r="F199" s="8" t="s">
        <v>618</v>
      </c>
      <c r="G199" s="19"/>
      <c r="H199" s="8">
        <v>44.8</v>
      </c>
      <c r="I199" s="8">
        <v>30</v>
      </c>
      <c r="J199" s="8">
        <v>25.3</v>
      </c>
      <c r="K199" s="8">
        <v>74.7</v>
      </c>
      <c r="L199" s="8">
        <v>55.2</v>
      </c>
      <c r="M199" s="8">
        <v>70</v>
      </c>
      <c r="N199" s="8">
        <v>26.8</v>
      </c>
      <c r="O199" s="8">
        <v>50.8</v>
      </c>
      <c r="P199" s="8">
        <v>22.5</v>
      </c>
      <c r="Q199" s="8">
        <v>58.7</v>
      </c>
      <c r="R199" s="8">
        <v>68.599999999999994</v>
      </c>
      <c r="S199" s="8">
        <v>40.9</v>
      </c>
      <c r="T199" s="8">
        <v>59.1</v>
      </c>
      <c r="U199" s="8">
        <v>64.7</v>
      </c>
      <c r="V199" s="8">
        <v>47.2</v>
      </c>
      <c r="W199" s="8">
        <v>52.8</v>
      </c>
      <c r="X199" t="str">
        <f>VLOOKUP(E199,'Transform table'!A:B,2,0)</f>
        <v>PK-35 VJS</v>
      </c>
      <c r="Y199" t="str">
        <f>VLOOKUP(F199,'Transform table'!A:B,2,0)</f>
        <v>Jippo</v>
      </c>
      <c r="Z199" t="str">
        <f t="shared" si="3"/>
        <v>25/07/2026PK-35 VJSJippo</v>
      </c>
      <c r="AA199" t="str">
        <f>VLOOKUP($Z199,'oddspedia-matches'!$A:$AD,AA$2,0)</f>
        <v>1 - 1</v>
      </c>
      <c r="AB199" t="str">
        <f>VLOOKUP($Z199,'oddspedia-matches'!$A:$AD,AB$2,0)</f>
        <v>Red</v>
      </c>
      <c r="AC199" t="str">
        <f>VLOOKUP($Z199,'oddspedia-matches'!$A:$AD,AC$2,0)</f>
        <v>Green</v>
      </c>
      <c r="AD199" t="str">
        <f>VLOOKUP($Z199,'oddspedia-matches'!$A:$AD,AD$2,0)</f>
        <v>Red</v>
      </c>
      <c r="AE199" t="str">
        <f>VLOOKUP($Z199,'oddspedia-matches'!$A:$AD,AE$2,0)</f>
        <v>Green</v>
      </c>
      <c r="AF199" t="str">
        <f>VLOOKUP($Z199,'oddspedia-matches'!$A:$AD,AF$2,0)</f>
        <v>Green</v>
      </c>
      <c r="AG199" t="str">
        <f>VLOOKUP($Z199,'oddspedia-matches'!$A:$AD,AG$2,0)</f>
        <v>Red</v>
      </c>
      <c r="AH199" t="str">
        <f>VLOOKUP($Z199,'oddspedia-matches'!$A:$AD,AH$2,0)</f>
        <v>Red</v>
      </c>
      <c r="AI199" t="str">
        <f>VLOOKUP($Z199,'oddspedia-matches'!$A:$AD,AI$2,0)</f>
        <v>Red</v>
      </c>
      <c r="AJ199" t="str">
        <f>VLOOKUP($Z199,'oddspedia-matches'!$A:$AD,AJ$2,0)</f>
        <v>Green</v>
      </c>
      <c r="AK199" t="str">
        <f>VLOOKUP($Z199,'oddspedia-matches'!$A:$AD,AK$2,0)</f>
        <v>Green</v>
      </c>
      <c r="AL199" t="str">
        <f>VLOOKUP($Z199,'oddspedia-matches'!$A:$AD,AL$2,0)</f>
        <v>Green</v>
      </c>
      <c r="AM199" t="str">
        <f>VLOOKUP($Z199,'oddspedia-matches'!$A:$AD,AM$2,0)</f>
        <v>Red</v>
      </c>
      <c r="AN199" t="str">
        <f>VLOOKUP($Z199,'oddspedia-matches'!$A:$AD,AN$2,0)</f>
        <v>Green</v>
      </c>
      <c r="AO199" t="str">
        <f>VLOOKUP($Z199,'oddspedia-matches'!$A:$AD,AO$2,0)</f>
        <v>Green</v>
      </c>
      <c r="AP199" t="str">
        <f>VLOOKUP($Z199,'oddspedia-matches'!$A:$AD,AP$2,0)</f>
        <v>Green</v>
      </c>
      <c r="AQ199" t="str">
        <f>VLOOKUP($Z199,'oddspedia-matches'!$A:$AD,AQ$2,0)</f>
        <v>Red</v>
      </c>
    </row>
    <row r="200" spans="2:43" x14ac:dyDescent="0.2">
      <c r="B200" s="9" t="s">
        <v>569</v>
      </c>
      <c r="C200" s="7" t="s">
        <v>490</v>
      </c>
      <c r="D200" s="20">
        <v>0.5</v>
      </c>
      <c r="E200" s="7" t="s">
        <v>619</v>
      </c>
      <c r="F200" s="7" t="s">
        <v>620</v>
      </c>
      <c r="G200" s="21"/>
      <c r="H200" s="7">
        <v>22.5</v>
      </c>
      <c r="I200" s="7">
        <v>26.1</v>
      </c>
      <c r="J200" s="7">
        <v>51.5</v>
      </c>
      <c r="K200" s="7">
        <v>48.5</v>
      </c>
      <c r="L200" s="7">
        <v>77.5</v>
      </c>
      <c r="M200" s="7">
        <v>73.900000000000006</v>
      </c>
      <c r="N200" s="7">
        <v>22</v>
      </c>
      <c r="O200" s="7">
        <v>46.8</v>
      </c>
      <c r="P200" s="7">
        <v>31.1</v>
      </c>
      <c r="Q200" s="7">
        <v>64.5</v>
      </c>
      <c r="R200" s="7">
        <v>84</v>
      </c>
      <c r="S200" s="7">
        <v>62.3</v>
      </c>
      <c r="T200" s="7">
        <v>37.700000000000003</v>
      </c>
      <c r="U200" s="7">
        <v>44.2</v>
      </c>
      <c r="V200" s="7">
        <v>62.6</v>
      </c>
      <c r="W200" s="7">
        <v>37.4</v>
      </c>
      <c r="X200" t="str">
        <f>VLOOKUP(E200,'Transform table'!A:B,2,0)</f>
        <v>Rezeknes BJSS</v>
      </c>
      <c r="Y200" t="str">
        <f>VLOOKUP(F200,'Transform table'!A:B,2,0)</f>
        <v>Marupes SC</v>
      </c>
      <c r="Z200" t="str">
        <f t="shared" si="3"/>
        <v>25/07/2026Rezeknes BJSSMarupes SC</v>
      </c>
      <c r="AA200" t="str">
        <f>VLOOKUP($Z200,'oddspedia-matches'!$A:$AD,AA$2,0)</f>
        <v>1 - 2</v>
      </c>
      <c r="AB200" t="str">
        <f>VLOOKUP($Z200,'oddspedia-matches'!$A:$AD,AB$2,0)</f>
        <v>Red</v>
      </c>
      <c r="AC200" t="str">
        <f>VLOOKUP($Z200,'oddspedia-matches'!$A:$AD,AC$2,0)</f>
        <v>Red</v>
      </c>
      <c r="AD200" t="str">
        <f>VLOOKUP($Z200,'oddspedia-matches'!$A:$AD,AD$2,0)</f>
        <v>Green</v>
      </c>
      <c r="AE200" t="str">
        <f>VLOOKUP($Z200,'oddspedia-matches'!$A:$AD,AE$2,0)</f>
        <v>Red</v>
      </c>
      <c r="AF200" t="str">
        <f>VLOOKUP($Z200,'oddspedia-matches'!$A:$AD,AF$2,0)</f>
        <v>Green</v>
      </c>
      <c r="AG200" t="str">
        <f>VLOOKUP($Z200,'oddspedia-matches'!$A:$AD,AG$2,0)</f>
        <v>Green</v>
      </c>
      <c r="AH200" t="str">
        <f>VLOOKUP($Z200,'oddspedia-matches'!$A:$AD,AH$2,0)</f>
        <v>Red</v>
      </c>
      <c r="AI200" t="str">
        <f>VLOOKUP($Z200,'oddspedia-matches'!$A:$AD,AI$2,0)</f>
        <v>Green</v>
      </c>
      <c r="AJ200" t="str">
        <f>VLOOKUP($Z200,'oddspedia-matches'!$A:$AD,AJ$2,0)</f>
        <v>Red</v>
      </c>
      <c r="AK200" t="str">
        <f>VLOOKUP($Z200,'oddspedia-matches'!$A:$AD,AK$2,0)</f>
        <v>Red</v>
      </c>
      <c r="AL200" t="str">
        <f>VLOOKUP($Z200,'oddspedia-matches'!$A:$AD,AL$2,0)</f>
        <v>Green</v>
      </c>
      <c r="AM200" t="str">
        <f>VLOOKUP($Z200,'oddspedia-matches'!$A:$AD,AM$2,0)</f>
        <v>Green</v>
      </c>
      <c r="AN200" t="str">
        <f>VLOOKUP($Z200,'oddspedia-matches'!$A:$AD,AN$2,0)</f>
        <v>Red</v>
      </c>
      <c r="AO200" t="str">
        <f>VLOOKUP($Z200,'oddspedia-matches'!$A:$AD,AO$2,0)</f>
        <v>Green</v>
      </c>
      <c r="AP200" t="str">
        <f>VLOOKUP($Z200,'oddspedia-matches'!$A:$AD,AP$2,0)</f>
        <v>Green</v>
      </c>
      <c r="AQ200" t="str">
        <f>VLOOKUP($Z200,'oddspedia-matches'!$A:$AD,AQ$2,0)</f>
        <v>Red</v>
      </c>
    </row>
    <row r="201" spans="2:43" x14ac:dyDescent="0.2">
      <c r="B201" s="17" t="s">
        <v>450</v>
      </c>
      <c r="C201" s="8" t="s">
        <v>490</v>
      </c>
      <c r="D201" s="18">
        <v>0.5</v>
      </c>
      <c r="E201" s="8" t="s">
        <v>621</v>
      </c>
      <c r="F201" s="8" t="s">
        <v>622</v>
      </c>
      <c r="G201" s="19"/>
      <c r="H201" s="8">
        <v>71.900000000000006</v>
      </c>
      <c r="I201" s="8">
        <v>20.399999999999999</v>
      </c>
      <c r="J201" s="8">
        <v>7.6</v>
      </c>
      <c r="K201" s="8">
        <v>92.4</v>
      </c>
      <c r="L201" s="8">
        <v>28.1</v>
      </c>
      <c r="M201" s="8">
        <v>79.599999999999994</v>
      </c>
      <c r="N201" s="8">
        <v>50.7</v>
      </c>
      <c r="O201" s="8">
        <v>39.1</v>
      </c>
      <c r="P201" s="8">
        <v>10.199999999999999</v>
      </c>
      <c r="Q201" s="8">
        <v>69.8</v>
      </c>
      <c r="R201" s="8">
        <v>75.900000000000006</v>
      </c>
      <c r="S201" s="8">
        <v>50.7</v>
      </c>
      <c r="T201" s="8">
        <v>49.3</v>
      </c>
      <c r="U201" s="8">
        <v>60.8</v>
      </c>
      <c r="V201" s="8">
        <v>39</v>
      </c>
      <c r="W201" s="8">
        <v>61</v>
      </c>
      <c r="X201" t="str">
        <f>VLOOKUP(E201,'Transform table'!A:B,2,0)</f>
        <v>FK Babrungas</v>
      </c>
      <c r="Y201" t="str">
        <f>VLOOKUP(F201,'Transform table'!A:B,2,0)</f>
        <v>Ekranas</v>
      </c>
      <c r="Z201" t="str">
        <f t="shared" si="3"/>
        <v>25/07/2026FK BabrungasEkranas</v>
      </c>
      <c r="AA201" t="str">
        <f>VLOOKUP($Z201,'oddspedia-matches'!$A:$AD,AA$2,0)</f>
        <v>2 - 0</v>
      </c>
      <c r="AB201" t="str">
        <f>VLOOKUP($Z201,'oddspedia-matches'!$A:$AD,AB$2,0)</f>
        <v>Green</v>
      </c>
      <c r="AC201" t="str">
        <f>VLOOKUP($Z201,'oddspedia-matches'!$A:$AD,AC$2,0)</f>
        <v>Red</v>
      </c>
      <c r="AD201" t="str">
        <f>VLOOKUP($Z201,'oddspedia-matches'!$A:$AD,AD$2,0)</f>
        <v>Red</v>
      </c>
      <c r="AE201" t="str">
        <f>VLOOKUP($Z201,'oddspedia-matches'!$A:$AD,AE$2,0)</f>
        <v>Green</v>
      </c>
      <c r="AF201" t="str">
        <f>VLOOKUP($Z201,'oddspedia-matches'!$A:$AD,AF$2,0)</f>
        <v>Red</v>
      </c>
      <c r="AG201" t="str">
        <f>VLOOKUP($Z201,'oddspedia-matches'!$A:$AD,AG$2,0)</f>
        <v>Green</v>
      </c>
      <c r="AH201" t="str">
        <f>VLOOKUP($Z201,'oddspedia-matches'!$A:$AD,AH$2,0)</f>
        <v>Green</v>
      </c>
      <c r="AI201" t="str">
        <f>VLOOKUP($Z201,'oddspedia-matches'!$A:$AD,AI$2,0)</f>
        <v>Red</v>
      </c>
      <c r="AJ201" t="str">
        <f>VLOOKUP($Z201,'oddspedia-matches'!$A:$AD,AJ$2,0)</f>
        <v>Red</v>
      </c>
      <c r="AK201" t="str">
        <f>VLOOKUP($Z201,'oddspedia-matches'!$A:$AD,AK$2,0)</f>
        <v>Green</v>
      </c>
      <c r="AL201" t="str">
        <f>VLOOKUP($Z201,'oddspedia-matches'!$A:$AD,AL$2,0)</f>
        <v>Green</v>
      </c>
      <c r="AM201" t="str">
        <f>VLOOKUP($Z201,'oddspedia-matches'!$A:$AD,AM$2,0)</f>
        <v>Red</v>
      </c>
      <c r="AN201" t="str">
        <f>VLOOKUP($Z201,'oddspedia-matches'!$A:$AD,AN$2,0)</f>
        <v>Green</v>
      </c>
      <c r="AO201" t="str">
        <f>VLOOKUP($Z201,'oddspedia-matches'!$A:$AD,AO$2,0)</f>
        <v>Green</v>
      </c>
      <c r="AP201" t="str">
        <f>VLOOKUP($Z201,'oddspedia-matches'!$A:$AD,AP$2,0)</f>
        <v>Red</v>
      </c>
      <c r="AQ201" t="str">
        <f>VLOOKUP($Z201,'oddspedia-matches'!$A:$AD,AQ$2,0)</f>
        <v>Green</v>
      </c>
    </row>
    <row r="202" spans="2:43" x14ac:dyDescent="0.2">
      <c r="B202" s="9" t="s">
        <v>486</v>
      </c>
      <c r="C202" s="7" t="s">
        <v>490</v>
      </c>
      <c r="D202" s="20">
        <v>0.5</v>
      </c>
      <c r="E202" s="7" t="s">
        <v>623</v>
      </c>
      <c r="F202" s="7" t="s">
        <v>624</v>
      </c>
      <c r="G202" s="21"/>
      <c r="H202" s="7">
        <v>43.4</v>
      </c>
      <c r="I202" s="7">
        <v>29.3</v>
      </c>
      <c r="J202" s="7">
        <v>27.3</v>
      </c>
      <c r="K202" s="7">
        <v>72.7</v>
      </c>
      <c r="L202" s="7">
        <v>56.6</v>
      </c>
      <c r="M202" s="7">
        <v>70.7</v>
      </c>
      <c r="N202" s="7">
        <v>30.1</v>
      </c>
      <c r="O202" s="7">
        <v>44</v>
      </c>
      <c r="P202" s="7">
        <v>25.9</v>
      </c>
      <c r="Q202" s="7">
        <v>68.900000000000006</v>
      </c>
      <c r="R202" s="7">
        <v>72</v>
      </c>
      <c r="S202" s="7">
        <v>44.9</v>
      </c>
      <c r="T202" s="7">
        <v>55.1</v>
      </c>
      <c r="U202" s="7">
        <v>60.7</v>
      </c>
      <c r="V202" s="7">
        <v>50.8</v>
      </c>
      <c r="W202" s="7">
        <v>49.2</v>
      </c>
      <c r="X202" t="str">
        <f>VLOOKUP(E202,'Transform table'!A:B,2,0)</f>
        <v>Central Espanol</v>
      </c>
      <c r="Y202" t="str">
        <f>VLOOKUP(F202,'Transform table'!A:B,2,0)</f>
        <v>Liverpool Montevideo</v>
      </c>
      <c r="Z202" t="str">
        <f t="shared" si="3"/>
        <v>25/07/2026Central EspanolLiverpool Montevideo</v>
      </c>
      <c r="AA202" t="str">
        <f>VLOOKUP($Z202,'oddspedia-matches'!$A:$AD,AA$2,0)</f>
        <v xml:space="preserve"> - </v>
      </c>
      <c r="AB202" t="str">
        <f>VLOOKUP($Z202,'oddspedia-matches'!$A:$AD,AB$2,0)</f>
        <v>Red</v>
      </c>
      <c r="AC202" t="str">
        <f>VLOOKUP($Z202,'oddspedia-matches'!$A:$AD,AC$2,0)</f>
        <v>Green</v>
      </c>
      <c r="AD202" t="str">
        <f>VLOOKUP($Z202,'oddspedia-matches'!$A:$AD,AD$2,0)</f>
        <v>Red</v>
      </c>
      <c r="AE202" t="str">
        <f>VLOOKUP($Z202,'oddspedia-matches'!$A:$AD,AE$2,0)</f>
        <v>Green</v>
      </c>
      <c r="AF202" t="str">
        <f>VLOOKUP($Z202,'oddspedia-matches'!$A:$AD,AF$2,0)</f>
        <v>Green</v>
      </c>
      <c r="AG202" t="str">
        <f>VLOOKUP($Z202,'oddspedia-matches'!$A:$AD,AG$2,0)</f>
        <v>Red</v>
      </c>
      <c r="AH202" t="str">
        <f>VLOOKUP($Z202,'oddspedia-matches'!$A:$AD,AH$2,0)</f>
        <v>Red</v>
      </c>
      <c r="AI202" t="str">
        <f>VLOOKUP($Z202,'oddspedia-matches'!$A:$AD,AI$2,0)</f>
        <v>Green</v>
      </c>
      <c r="AJ202" t="str">
        <f>VLOOKUP($Z202,'oddspedia-matches'!$A:$AD,AJ$2,0)</f>
        <v>Red</v>
      </c>
      <c r="AK202" t="str">
        <f>VLOOKUP($Z202,'oddspedia-matches'!$A:$AD,AK$2,0)</f>
        <v>Red</v>
      </c>
      <c r="AL202" t="str">
        <f>VLOOKUP($Z202,'oddspedia-matches'!$A:$AD,AL$2,0)</f>
        <v>Red</v>
      </c>
      <c r="AM202" t="str">
        <f>VLOOKUP($Z202,'oddspedia-matches'!$A:$AD,AM$2,0)</f>
        <v>Red</v>
      </c>
      <c r="AN202" t="str">
        <f>VLOOKUP($Z202,'oddspedia-matches'!$A:$AD,AN$2,0)</f>
        <v>Green</v>
      </c>
      <c r="AO202" t="str">
        <f>VLOOKUP($Z202,'oddspedia-matches'!$A:$AD,AO$2,0)</f>
        <v>Green</v>
      </c>
      <c r="AP202" t="str">
        <f>VLOOKUP($Z202,'oddspedia-matches'!$A:$AD,AP$2,0)</f>
        <v>Red</v>
      </c>
      <c r="AQ202" t="str">
        <f>VLOOKUP($Z202,'oddspedia-matches'!$A:$AD,AQ$2,0)</f>
        <v>Green</v>
      </c>
    </row>
    <row r="203" spans="2:43" x14ac:dyDescent="0.2">
      <c r="B203" s="17" t="s">
        <v>476</v>
      </c>
      <c r="C203" s="8" t="s">
        <v>490</v>
      </c>
      <c r="D203" s="18">
        <v>0.52083333333333337</v>
      </c>
      <c r="E203" s="8" t="s">
        <v>256</v>
      </c>
      <c r="F203" s="8" t="s">
        <v>625</v>
      </c>
      <c r="G203" s="19"/>
      <c r="H203" s="8">
        <v>36.6</v>
      </c>
      <c r="I203" s="8">
        <v>29.1</v>
      </c>
      <c r="J203" s="8">
        <v>34.299999999999997</v>
      </c>
      <c r="K203" s="8">
        <v>65.7</v>
      </c>
      <c r="L203" s="8">
        <v>63.4</v>
      </c>
      <c r="M203" s="8">
        <v>70.900000000000006</v>
      </c>
      <c r="N203" s="8">
        <v>31.9</v>
      </c>
      <c r="O203" s="8">
        <v>42.8</v>
      </c>
      <c r="P203" s="8">
        <v>25.3</v>
      </c>
      <c r="Q203" s="8">
        <v>70.599999999999994</v>
      </c>
      <c r="R203" s="8">
        <v>75.099999999999994</v>
      </c>
      <c r="S203" s="8">
        <v>49</v>
      </c>
      <c r="T203" s="8">
        <v>51</v>
      </c>
      <c r="U203" s="8">
        <v>56.5</v>
      </c>
      <c r="V203" s="8">
        <v>54.9</v>
      </c>
      <c r="W203" s="8">
        <v>45.1</v>
      </c>
      <c r="X203" t="str">
        <f>VLOOKUP(E203,'Transform table'!A:B,2,0)</f>
        <v>Kalmar</v>
      </c>
      <c r="Y203" t="str">
        <f>VLOOKUP(F203,'Transform table'!A:B,2,0)</f>
        <v>Mjallby</v>
      </c>
      <c r="Z203" t="str">
        <f t="shared" si="3"/>
        <v>25/07/2026KalmarMjallby</v>
      </c>
      <c r="AA203" t="str">
        <f>VLOOKUP($Z203,'oddspedia-matches'!$A:$AD,AA$2,0)</f>
        <v>2 - 1</v>
      </c>
      <c r="AB203" t="str">
        <f>VLOOKUP($Z203,'oddspedia-matches'!$A:$AD,AB$2,0)</f>
        <v>Green</v>
      </c>
      <c r="AC203" t="str">
        <f>VLOOKUP($Z203,'oddspedia-matches'!$A:$AD,AC$2,0)</f>
        <v>Red</v>
      </c>
      <c r="AD203" t="str">
        <f>VLOOKUP($Z203,'oddspedia-matches'!$A:$AD,AD$2,0)</f>
        <v>Red</v>
      </c>
      <c r="AE203" t="str">
        <f>VLOOKUP($Z203,'oddspedia-matches'!$A:$AD,AE$2,0)</f>
        <v>Green</v>
      </c>
      <c r="AF203" t="str">
        <f>VLOOKUP($Z203,'oddspedia-matches'!$A:$AD,AF$2,0)</f>
        <v>Red</v>
      </c>
      <c r="AG203" t="str">
        <f>VLOOKUP($Z203,'oddspedia-matches'!$A:$AD,AG$2,0)</f>
        <v>Green</v>
      </c>
      <c r="AH203" t="str">
        <f>VLOOKUP($Z203,'oddspedia-matches'!$A:$AD,AH$2,0)</f>
        <v>Red</v>
      </c>
      <c r="AI203" t="str">
        <f>VLOOKUP($Z203,'oddspedia-matches'!$A:$AD,AI$2,0)</f>
        <v>Green</v>
      </c>
      <c r="AJ203" t="str">
        <f>VLOOKUP($Z203,'oddspedia-matches'!$A:$AD,AJ$2,0)</f>
        <v>Red</v>
      </c>
      <c r="AK203" t="str">
        <f>VLOOKUP($Z203,'oddspedia-matches'!$A:$AD,AK$2,0)</f>
        <v>Green</v>
      </c>
      <c r="AL203" t="str">
        <f>VLOOKUP($Z203,'oddspedia-matches'!$A:$AD,AL$2,0)</f>
        <v>Green</v>
      </c>
      <c r="AM203" t="str">
        <f>VLOOKUP($Z203,'oddspedia-matches'!$A:$AD,AM$2,0)</f>
        <v>Green</v>
      </c>
      <c r="AN203" t="str">
        <f>VLOOKUP($Z203,'oddspedia-matches'!$A:$AD,AN$2,0)</f>
        <v>Red</v>
      </c>
      <c r="AO203" t="str">
        <f>VLOOKUP($Z203,'oddspedia-matches'!$A:$AD,AO$2,0)</f>
        <v>Green</v>
      </c>
      <c r="AP203" t="str">
        <f>VLOOKUP($Z203,'oddspedia-matches'!$A:$AD,AP$2,0)</f>
        <v>Green</v>
      </c>
      <c r="AQ203" t="str">
        <f>VLOOKUP($Z203,'oddspedia-matches'!$A:$AD,AQ$2,0)</f>
        <v>Red</v>
      </c>
    </row>
    <row r="204" spans="2:43" x14ac:dyDescent="0.2">
      <c r="B204" s="9" t="s">
        <v>626</v>
      </c>
      <c r="C204" s="7" t="s">
        <v>490</v>
      </c>
      <c r="D204" s="20">
        <v>0.54166666666666663</v>
      </c>
      <c r="E204" s="7" t="s">
        <v>627</v>
      </c>
      <c r="F204" s="7" t="s">
        <v>628</v>
      </c>
      <c r="G204" s="21"/>
      <c r="H204" s="7">
        <v>35.700000000000003</v>
      </c>
      <c r="I204" s="7">
        <v>25.6</v>
      </c>
      <c r="J204" s="7">
        <v>38.700000000000003</v>
      </c>
      <c r="K204" s="7">
        <v>61.3</v>
      </c>
      <c r="L204" s="7">
        <v>64.3</v>
      </c>
      <c r="M204" s="7">
        <v>74.400000000000006</v>
      </c>
      <c r="N204" s="7">
        <v>38.5</v>
      </c>
      <c r="O204" s="7">
        <v>32.4</v>
      </c>
      <c r="P204" s="7">
        <v>29.1</v>
      </c>
      <c r="Q204" s="7">
        <v>86.6</v>
      </c>
      <c r="R204" s="7">
        <v>93.3</v>
      </c>
      <c r="S204" s="7">
        <v>80</v>
      </c>
      <c r="T204" s="7">
        <v>20</v>
      </c>
      <c r="U204" s="7">
        <v>24.6</v>
      </c>
      <c r="V204" s="7">
        <v>79</v>
      </c>
      <c r="W204" s="7">
        <v>21</v>
      </c>
      <c r="X204" t="str">
        <f>VLOOKUP(E204,'Transform table'!A:B,2,0)</f>
        <v>Nomme Kalju II</v>
      </c>
      <c r="Y204" t="str">
        <f>VLOOKUP(F204,'Transform table'!A:B,2,0)</f>
        <v>Flora Tallinn II</v>
      </c>
      <c r="Z204" t="str">
        <f t="shared" si="3"/>
        <v>25/07/2026Nomme Kalju IIFlora Tallinn II</v>
      </c>
      <c r="AA204" t="str">
        <f>VLOOKUP($Z204,'oddspedia-matches'!$A:$AD,AA$2,0)</f>
        <v>0 - 5</v>
      </c>
      <c r="AB204" t="str">
        <f>VLOOKUP($Z204,'oddspedia-matches'!$A:$AD,AB$2,0)</f>
        <v>Red</v>
      </c>
      <c r="AC204" t="str">
        <f>VLOOKUP($Z204,'oddspedia-matches'!$A:$AD,AC$2,0)</f>
        <v>Red</v>
      </c>
      <c r="AD204" t="str">
        <f>VLOOKUP($Z204,'oddspedia-matches'!$A:$AD,AD$2,0)</f>
        <v>Green</v>
      </c>
      <c r="AE204" t="str">
        <f>VLOOKUP($Z204,'oddspedia-matches'!$A:$AD,AE$2,0)</f>
        <v>Red</v>
      </c>
      <c r="AF204" t="str">
        <f>VLOOKUP($Z204,'oddspedia-matches'!$A:$AD,AF$2,0)</f>
        <v>Green</v>
      </c>
      <c r="AG204" t="str">
        <f>VLOOKUP($Z204,'oddspedia-matches'!$A:$AD,AG$2,0)</f>
        <v>Green</v>
      </c>
      <c r="AH204" t="str">
        <f>VLOOKUP($Z204,'oddspedia-matches'!$A:$AD,AH$2,0)</f>
        <v>Red</v>
      </c>
      <c r="AI204" t="str">
        <f>VLOOKUP($Z204,'oddspedia-matches'!$A:$AD,AI$2,0)</f>
        <v>Red</v>
      </c>
      <c r="AJ204" t="str">
        <f>VLOOKUP($Z204,'oddspedia-matches'!$A:$AD,AJ$2,0)</f>
        <v>Green</v>
      </c>
      <c r="AK204" t="str">
        <f>VLOOKUP($Z204,'oddspedia-matches'!$A:$AD,AK$2,0)</f>
        <v>Green</v>
      </c>
      <c r="AL204" t="str">
        <f>VLOOKUP($Z204,'oddspedia-matches'!$A:$AD,AL$2,0)</f>
        <v>Green</v>
      </c>
      <c r="AM204" t="str">
        <f>VLOOKUP($Z204,'oddspedia-matches'!$A:$AD,AM$2,0)</f>
        <v>Green</v>
      </c>
      <c r="AN204" t="str">
        <f>VLOOKUP($Z204,'oddspedia-matches'!$A:$AD,AN$2,0)</f>
        <v>Red</v>
      </c>
      <c r="AO204" t="str">
        <f>VLOOKUP($Z204,'oddspedia-matches'!$A:$AD,AO$2,0)</f>
        <v>Red</v>
      </c>
      <c r="AP204" t="str">
        <f>VLOOKUP($Z204,'oddspedia-matches'!$A:$AD,AP$2,0)</f>
        <v>Red</v>
      </c>
      <c r="AQ204" t="str">
        <f>VLOOKUP($Z204,'oddspedia-matches'!$A:$AD,AQ$2,0)</f>
        <v>Green</v>
      </c>
    </row>
    <row r="205" spans="2:43" x14ac:dyDescent="0.2">
      <c r="B205" s="17" t="s">
        <v>478</v>
      </c>
      <c r="C205" s="8" t="s">
        <v>490</v>
      </c>
      <c r="D205" s="18">
        <v>0.54166666666666663</v>
      </c>
      <c r="E205" s="8" t="s">
        <v>629</v>
      </c>
      <c r="F205" s="8" t="s">
        <v>630</v>
      </c>
      <c r="G205" s="19"/>
      <c r="H205" s="8">
        <v>46.4</v>
      </c>
      <c r="I205" s="8">
        <v>25.8</v>
      </c>
      <c r="J205" s="8">
        <v>27.8</v>
      </c>
      <c r="K205" s="8">
        <v>72.2</v>
      </c>
      <c r="L205" s="8">
        <v>53.6</v>
      </c>
      <c r="M205" s="8">
        <v>74.2</v>
      </c>
      <c r="N205" s="8">
        <v>35.4</v>
      </c>
      <c r="O205" s="8">
        <v>40.4</v>
      </c>
      <c r="P205" s="8">
        <v>24.2</v>
      </c>
      <c r="Q205" s="8">
        <v>74.099999999999994</v>
      </c>
      <c r="R205" s="8">
        <v>84.5</v>
      </c>
      <c r="S205" s="8">
        <v>63</v>
      </c>
      <c r="T205" s="8">
        <v>37</v>
      </c>
      <c r="U205" s="8">
        <v>42.9</v>
      </c>
      <c r="V205" s="8">
        <v>64.7</v>
      </c>
      <c r="W205" s="8">
        <v>35.299999999999997</v>
      </c>
      <c r="X205" t="str">
        <f>VLOOKUP(E205,'Transform table'!A:B,2,0)</f>
        <v>Galway FC</v>
      </c>
      <c r="Y205" t="str">
        <f>VLOOKUP(F205,'Transform table'!A:B,2,0)</f>
        <v>Waterford United</v>
      </c>
      <c r="Z205" t="str">
        <f t="shared" si="3"/>
        <v>25/07/2026Galway FCWaterford United</v>
      </c>
      <c r="AA205" t="str">
        <f>VLOOKUP($Z205,'oddspedia-matches'!$A:$AD,AA$2,0)</f>
        <v>0 - 0</v>
      </c>
      <c r="AB205" t="str">
        <f>VLOOKUP($Z205,'oddspedia-matches'!$A:$AD,AB$2,0)</f>
        <v>Red</v>
      </c>
      <c r="AC205" t="str">
        <f>VLOOKUP($Z205,'oddspedia-matches'!$A:$AD,AC$2,0)</f>
        <v>Green</v>
      </c>
      <c r="AD205" t="str">
        <f>VLOOKUP($Z205,'oddspedia-matches'!$A:$AD,AD$2,0)</f>
        <v>Red</v>
      </c>
      <c r="AE205" t="str">
        <f>VLOOKUP($Z205,'oddspedia-matches'!$A:$AD,AE$2,0)</f>
        <v>Green</v>
      </c>
      <c r="AF205" t="str">
        <f>VLOOKUP($Z205,'oddspedia-matches'!$A:$AD,AF$2,0)</f>
        <v>Green</v>
      </c>
      <c r="AG205" t="str">
        <f>VLOOKUP($Z205,'oddspedia-matches'!$A:$AD,AG$2,0)</f>
        <v>Red</v>
      </c>
      <c r="AH205" t="str">
        <f>VLOOKUP($Z205,'oddspedia-matches'!$A:$AD,AH$2,0)</f>
        <v>Red</v>
      </c>
      <c r="AI205" t="str">
        <f>VLOOKUP($Z205,'oddspedia-matches'!$A:$AD,AI$2,0)</f>
        <v>Green</v>
      </c>
      <c r="AJ205" t="str">
        <f>VLOOKUP($Z205,'oddspedia-matches'!$A:$AD,AJ$2,0)</f>
        <v>Red</v>
      </c>
      <c r="AK205" t="str">
        <f>VLOOKUP($Z205,'oddspedia-matches'!$A:$AD,AK$2,0)</f>
        <v>Red</v>
      </c>
      <c r="AL205" t="str">
        <f>VLOOKUP($Z205,'oddspedia-matches'!$A:$AD,AL$2,0)</f>
        <v>Red</v>
      </c>
      <c r="AM205" t="str">
        <f>VLOOKUP($Z205,'oddspedia-matches'!$A:$AD,AM$2,0)</f>
        <v>Red</v>
      </c>
      <c r="AN205" t="str">
        <f>VLOOKUP($Z205,'oddspedia-matches'!$A:$AD,AN$2,0)</f>
        <v>Green</v>
      </c>
      <c r="AO205" t="str">
        <f>VLOOKUP($Z205,'oddspedia-matches'!$A:$AD,AO$2,0)</f>
        <v>Green</v>
      </c>
      <c r="AP205" t="str">
        <f>VLOOKUP($Z205,'oddspedia-matches'!$A:$AD,AP$2,0)</f>
        <v>Red</v>
      </c>
      <c r="AQ205" t="str">
        <f>VLOOKUP($Z205,'oddspedia-matches'!$A:$AD,AQ$2,0)</f>
        <v>Green</v>
      </c>
    </row>
    <row r="206" spans="2:43" x14ac:dyDescent="0.2">
      <c r="B206" s="9" t="s">
        <v>480</v>
      </c>
      <c r="C206" s="7" t="s">
        <v>490</v>
      </c>
      <c r="D206" s="20">
        <v>0.54166666666666663</v>
      </c>
      <c r="E206" s="7" t="s">
        <v>631</v>
      </c>
      <c r="F206" s="7" t="s">
        <v>632</v>
      </c>
      <c r="G206" s="21"/>
      <c r="H206" s="7">
        <v>49.8</v>
      </c>
      <c r="I206" s="7">
        <v>25.1</v>
      </c>
      <c r="J206" s="7">
        <v>25.1</v>
      </c>
      <c r="K206" s="7">
        <v>74.900000000000006</v>
      </c>
      <c r="L206" s="7">
        <v>50.2</v>
      </c>
      <c r="M206" s="7">
        <v>74.900000000000006</v>
      </c>
      <c r="N206" s="7">
        <v>35.700000000000003</v>
      </c>
      <c r="O206" s="7">
        <v>39.700000000000003</v>
      </c>
      <c r="P206" s="7">
        <v>24.6</v>
      </c>
      <c r="Q206" s="7">
        <v>75.099999999999994</v>
      </c>
      <c r="R206" s="7">
        <v>86</v>
      </c>
      <c r="S206" s="7">
        <v>65.599999999999994</v>
      </c>
      <c r="T206" s="7">
        <v>34.4</v>
      </c>
      <c r="U206" s="7">
        <v>40.5</v>
      </c>
      <c r="V206" s="7">
        <v>65.900000000000006</v>
      </c>
      <c r="W206" s="7">
        <v>34.1</v>
      </c>
      <c r="X206" t="str">
        <f>VLOOKUP(E206,'Transform table'!A:B,2,0)</f>
        <v>Dalvik/Reynir</v>
      </c>
      <c r="Y206" t="str">
        <f>VLOOKUP(F206,'Transform table'!A:B,2,0)</f>
        <v>Vikingur Olafsvik</v>
      </c>
      <c r="Z206" t="str">
        <f t="shared" si="3"/>
        <v>25/07/2026Dalvik/ReynirVikingur Olafsvik</v>
      </c>
      <c r="AA206" t="str">
        <f>VLOOKUP($Z206,'oddspedia-matches'!$A:$AD,AA$2,0)</f>
        <v>0 - 1</v>
      </c>
      <c r="AB206" t="str">
        <f>VLOOKUP($Z206,'oddspedia-matches'!$A:$AD,AB$2,0)</f>
        <v>Red</v>
      </c>
      <c r="AC206" t="str">
        <f>VLOOKUP($Z206,'oddspedia-matches'!$A:$AD,AC$2,0)</f>
        <v>Red</v>
      </c>
      <c r="AD206" t="str">
        <f>VLOOKUP($Z206,'oddspedia-matches'!$A:$AD,AD$2,0)</f>
        <v>Green</v>
      </c>
      <c r="AE206" t="str">
        <f>VLOOKUP($Z206,'oddspedia-matches'!$A:$AD,AE$2,0)</f>
        <v>Red</v>
      </c>
      <c r="AF206" t="str">
        <f>VLOOKUP($Z206,'oddspedia-matches'!$A:$AD,AF$2,0)</f>
        <v>Green</v>
      </c>
      <c r="AG206" t="str">
        <f>VLOOKUP($Z206,'oddspedia-matches'!$A:$AD,AG$2,0)</f>
        <v>Green</v>
      </c>
      <c r="AH206" t="str">
        <f>VLOOKUP($Z206,'oddspedia-matches'!$A:$AD,AH$2,0)</f>
        <v>Red</v>
      </c>
      <c r="AI206" t="str">
        <f>VLOOKUP($Z206,'oddspedia-matches'!$A:$AD,AI$2,0)</f>
        <v>Green</v>
      </c>
      <c r="AJ206" t="str">
        <f>VLOOKUP($Z206,'oddspedia-matches'!$A:$AD,AJ$2,0)</f>
        <v>Red</v>
      </c>
      <c r="AK206" t="str">
        <f>VLOOKUP($Z206,'oddspedia-matches'!$A:$AD,AK$2,0)</f>
        <v>Red</v>
      </c>
      <c r="AL206" t="str">
        <f>VLOOKUP($Z206,'oddspedia-matches'!$A:$AD,AL$2,0)</f>
        <v>Red</v>
      </c>
      <c r="AM206" t="str">
        <f>VLOOKUP($Z206,'oddspedia-matches'!$A:$AD,AM$2,0)</f>
        <v>Red</v>
      </c>
      <c r="AN206" t="str">
        <f>VLOOKUP($Z206,'oddspedia-matches'!$A:$AD,AN$2,0)</f>
        <v>Green</v>
      </c>
      <c r="AO206" t="str">
        <f>VLOOKUP($Z206,'oddspedia-matches'!$A:$AD,AO$2,0)</f>
        <v>Green</v>
      </c>
      <c r="AP206" t="str">
        <f>VLOOKUP($Z206,'oddspedia-matches'!$A:$AD,AP$2,0)</f>
        <v>Red</v>
      </c>
      <c r="AQ206" t="str">
        <f>VLOOKUP($Z206,'oddspedia-matches'!$A:$AD,AQ$2,0)</f>
        <v>Green</v>
      </c>
    </row>
    <row r="207" spans="2:43" x14ac:dyDescent="0.2">
      <c r="B207" s="17" t="s">
        <v>480</v>
      </c>
      <c r="C207" s="8" t="s">
        <v>490</v>
      </c>
      <c r="D207" s="18">
        <v>0.54166666666666663</v>
      </c>
      <c r="E207" s="8" t="s">
        <v>633</v>
      </c>
      <c r="F207" s="8" t="s">
        <v>634</v>
      </c>
      <c r="G207" s="19"/>
      <c r="H207" s="8">
        <v>49</v>
      </c>
      <c r="I207" s="8">
        <v>26.6</v>
      </c>
      <c r="J207" s="8">
        <v>24.4</v>
      </c>
      <c r="K207" s="8">
        <v>75.599999999999994</v>
      </c>
      <c r="L207" s="8">
        <v>51</v>
      </c>
      <c r="M207" s="8">
        <v>73.400000000000006</v>
      </c>
      <c r="N207" s="8">
        <v>49.6</v>
      </c>
      <c r="O207" s="8">
        <v>27.9</v>
      </c>
      <c r="P207" s="8">
        <v>22.5</v>
      </c>
      <c r="Q207" s="8">
        <v>91.3</v>
      </c>
      <c r="R207" s="8">
        <v>95.8</v>
      </c>
      <c r="S207" s="8">
        <v>86.2</v>
      </c>
      <c r="T207" s="8">
        <v>13.8</v>
      </c>
      <c r="U207" s="8">
        <v>17.899999999999999</v>
      </c>
      <c r="V207" s="8">
        <v>82.8</v>
      </c>
      <c r="W207" s="8">
        <v>17.2</v>
      </c>
      <c r="X207" t="str">
        <f>VLOOKUP(E207,'Transform table'!A:B,2,0)</f>
        <v>Magni</v>
      </c>
      <c r="Y207" t="str">
        <f>VLOOKUP(F207,'Transform table'!A:B,2,0)</f>
        <v>KFG Gardabaer</v>
      </c>
      <c r="Z207" t="str">
        <f t="shared" si="3"/>
        <v>25/07/2026MagniKFG Gardabaer</v>
      </c>
      <c r="AA207" t="str">
        <f>VLOOKUP($Z207,'oddspedia-matches'!$A:$AD,AA$2,0)</f>
        <v>1 - 1</v>
      </c>
      <c r="AB207" t="str">
        <f>VLOOKUP($Z207,'oddspedia-matches'!$A:$AD,AB$2,0)</f>
        <v>Red</v>
      </c>
      <c r="AC207" t="str">
        <f>VLOOKUP($Z207,'oddspedia-matches'!$A:$AD,AC$2,0)</f>
        <v>Green</v>
      </c>
      <c r="AD207" t="str">
        <f>VLOOKUP($Z207,'oddspedia-matches'!$A:$AD,AD$2,0)</f>
        <v>Red</v>
      </c>
      <c r="AE207" t="str">
        <f>VLOOKUP($Z207,'oddspedia-matches'!$A:$AD,AE$2,0)</f>
        <v>Green</v>
      </c>
      <c r="AF207" t="str">
        <f>VLOOKUP($Z207,'oddspedia-matches'!$A:$AD,AF$2,0)</f>
        <v>Green</v>
      </c>
      <c r="AG207" t="str">
        <f>VLOOKUP($Z207,'oddspedia-matches'!$A:$AD,AG$2,0)</f>
        <v>Red</v>
      </c>
      <c r="AH207" t="str">
        <f>VLOOKUP($Z207,'oddspedia-matches'!$A:$AD,AH$2,0)</f>
        <v>Red</v>
      </c>
      <c r="AI207" t="str">
        <f>VLOOKUP($Z207,'oddspedia-matches'!$A:$AD,AI$2,0)</f>
        <v>Green</v>
      </c>
      <c r="AJ207" t="str">
        <f>VLOOKUP($Z207,'oddspedia-matches'!$A:$AD,AJ$2,0)</f>
        <v>Red</v>
      </c>
      <c r="AK207" t="str">
        <f>VLOOKUP($Z207,'oddspedia-matches'!$A:$AD,AK$2,0)</f>
        <v>Red</v>
      </c>
      <c r="AL207" t="str">
        <f>VLOOKUP($Z207,'oddspedia-matches'!$A:$AD,AL$2,0)</f>
        <v>Green</v>
      </c>
      <c r="AM207" t="str">
        <f>VLOOKUP($Z207,'oddspedia-matches'!$A:$AD,AM$2,0)</f>
        <v>Red</v>
      </c>
      <c r="AN207" t="str">
        <f>VLOOKUP($Z207,'oddspedia-matches'!$A:$AD,AN$2,0)</f>
        <v>Green</v>
      </c>
      <c r="AO207" t="str">
        <f>VLOOKUP($Z207,'oddspedia-matches'!$A:$AD,AO$2,0)</f>
        <v>Green</v>
      </c>
      <c r="AP207" t="str">
        <f>VLOOKUP($Z207,'oddspedia-matches'!$A:$AD,AP$2,0)</f>
        <v>Green</v>
      </c>
      <c r="AQ207" t="str">
        <f>VLOOKUP($Z207,'oddspedia-matches'!$A:$AD,AQ$2,0)</f>
        <v>Red</v>
      </c>
    </row>
    <row r="208" spans="2:43" x14ac:dyDescent="0.2">
      <c r="B208" s="9" t="s">
        <v>475</v>
      </c>
      <c r="C208" s="7" t="s">
        <v>490</v>
      </c>
      <c r="D208" s="20">
        <v>0.54166666666666663</v>
      </c>
      <c r="E208" s="7" t="s">
        <v>635</v>
      </c>
      <c r="F208" s="7" t="s">
        <v>249</v>
      </c>
      <c r="G208" s="21"/>
      <c r="H208" s="7">
        <v>48.1</v>
      </c>
      <c r="I208" s="7">
        <v>28.2</v>
      </c>
      <c r="J208" s="7">
        <v>23.7</v>
      </c>
      <c r="K208" s="7">
        <v>76.3</v>
      </c>
      <c r="L208" s="7">
        <v>51.9</v>
      </c>
      <c r="M208" s="7">
        <v>71.8</v>
      </c>
      <c r="N208" s="7">
        <v>36</v>
      </c>
      <c r="O208" s="7">
        <v>45.3</v>
      </c>
      <c r="P208" s="7">
        <v>18.7</v>
      </c>
      <c r="Q208" s="7">
        <v>65.599999999999994</v>
      </c>
      <c r="R208" s="7">
        <v>73</v>
      </c>
      <c r="S208" s="7">
        <v>46.3</v>
      </c>
      <c r="T208" s="7">
        <v>53.7</v>
      </c>
      <c r="U208" s="7">
        <v>59.8</v>
      </c>
      <c r="V208" s="7">
        <v>50.8</v>
      </c>
      <c r="W208" s="7">
        <v>49.2</v>
      </c>
      <c r="X208" t="str">
        <f>VLOOKUP(E208,'Transform table'!A:B,2,0)</f>
        <v>Kauno Zalgiris</v>
      </c>
      <c r="Y208" t="str">
        <f>VLOOKUP(F208,'Transform table'!A:B,2,0)</f>
        <v>FK Suduva Marijampole</v>
      </c>
      <c r="Z208" t="str">
        <f t="shared" si="3"/>
        <v>25/07/2026Kauno ZalgirisFK Suduva Marijampole</v>
      </c>
      <c r="AA208" t="str">
        <f>VLOOKUP($Z208,'oddspedia-matches'!$A:$AD,AA$2,0)</f>
        <v xml:space="preserve"> - </v>
      </c>
      <c r="AB208" t="str">
        <f>VLOOKUP($Z208,'oddspedia-matches'!$A:$AD,AB$2,0)</f>
        <v>Red</v>
      </c>
      <c r="AC208" t="str">
        <f>VLOOKUP($Z208,'oddspedia-matches'!$A:$AD,AC$2,0)</f>
        <v>Green</v>
      </c>
      <c r="AD208" t="str">
        <f>VLOOKUP($Z208,'oddspedia-matches'!$A:$AD,AD$2,0)</f>
        <v>Red</v>
      </c>
      <c r="AE208" t="str">
        <f>VLOOKUP($Z208,'oddspedia-matches'!$A:$AD,AE$2,0)</f>
        <v>Green</v>
      </c>
      <c r="AF208" t="str">
        <f>VLOOKUP($Z208,'oddspedia-matches'!$A:$AD,AF$2,0)</f>
        <v>Green</v>
      </c>
      <c r="AG208" t="str">
        <f>VLOOKUP($Z208,'oddspedia-matches'!$A:$AD,AG$2,0)</f>
        <v>Red</v>
      </c>
      <c r="AH208" t="str">
        <f>VLOOKUP($Z208,'oddspedia-matches'!$A:$AD,AH$2,0)</f>
        <v>Red</v>
      </c>
      <c r="AI208" t="str">
        <f>VLOOKUP($Z208,'oddspedia-matches'!$A:$AD,AI$2,0)</f>
        <v>Green</v>
      </c>
      <c r="AJ208" t="str">
        <f>VLOOKUP($Z208,'oddspedia-matches'!$A:$AD,AJ$2,0)</f>
        <v>Red</v>
      </c>
      <c r="AK208" t="str">
        <f>VLOOKUP($Z208,'oddspedia-matches'!$A:$AD,AK$2,0)</f>
        <v>Red</v>
      </c>
      <c r="AL208" t="str">
        <f>VLOOKUP($Z208,'oddspedia-matches'!$A:$AD,AL$2,0)</f>
        <v>Red</v>
      </c>
      <c r="AM208" t="str">
        <f>VLOOKUP($Z208,'oddspedia-matches'!$A:$AD,AM$2,0)</f>
        <v>Red</v>
      </c>
      <c r="AN208" t="str">
        <f>VLOOKUP($Z208,'oddspedia-matches'!$A:$AD,AN$2,0)</f>
        <v>Green</v>
      </c>
      <c r="AO208" t="str">
        <f>VLOOKUP($Z208,'oddspedia-matches'!$A:$AD,AO$2,0)</f>
        <v>Green</v>
      </c>
      <c r="AP208" t="str">
        <f>VLOOKUP($Z208,'oddspedia-matches'!$A:$AD,AP$2,0)</f>
        <v>Red</v>
      </c>
      <c r="AQ208" t="str">
        <f>VLOOKUP($Z208,'oddspedia-matches'!$A:$AD,AQ$2,0)</f>
        <v>Green</v>
      </c>
    </row>
    <row r="209" spans="2:43" x14ac:dyDescent="0.2">
      <c r="B209" s="17" t="s">
        <v>450</v>
      </c>
      <c r="C209" s="8" t="s">
        <v>490</v>
      </c>
      <c r="D209" s="18">
        <v>0.54166666666666663</v>
      </c>
      <c r="E209" s="8" t="s">
        <v>636</v>
      </c>
      <c r="F209" s="8" t="s">
        <v>637</v>
      </c>
      <c r="G209" s="19"/>
      <c r="H209" s="8">
        <v>35.6</v>
      </c>
      <c r="I209" s="8">
        <v>30.7</v>
      </c>
      <c r="J209" s="8">
        <v>33.700000000000003</v>
      </c>
      <c r="K209" s="8">
        <v>66.3</v>
      </c>
      <c r="L209" s="8">
        <v>64.400000000000006</v>
      </c>
      <c r="M209" s="8">
        <v>69.3</v>
      </c>
      <c r="N209" s="8">
        <v>30.3</v>
      </c>
      <c r="O209" s="8">
        <v>42.6</v>
      </c>
      <c r="P209" s="8">
        <v>27.1</v>
      </c>
      <c r="Q209" s="8">
        <v>71.2</v>
      </c>
      <c r="R209" s="8">
        <v>70</v>
      </c>
      <c r="S209" s="8">
        <v>42.5</v>
      </c>
      <c r="T209" s="8">
        <v>57.5</v>
      </c>
      <c r="U209" s="8">
        <v>62.7</v>
      </c>
      <c r="V209" s="8">
        <v>49.8</v>
      </c>
      <c r="W209" s="8">
        <v>50.2</v>
      </c>
      <c r="X209" t="str">
        <f>VLOOKUP(E209,'Transform table'!A:B,2,0)</f>
        <v>Lietava Jonava</v>
      </c>
      <c r="Y209" t="str">
        <f>VLOOKUP(F209,'Transform table'!A:B,2,0)</f>
        <v>Garliava Kaunas</v>
      </c>
      <c r="Z209" t="str">
        <f t="shared" si="3"/>
        <v>25/07/2026Lietava JonavaGarliava Kaunas</v>
      </c>
      <c r="AA209" t="str">
        <f>VLOOKUP($Z209,'oddspedia-matches'!$A:$AD,AA$2,0)</f>
        <v>1 - 0</v>
      </c>
      <c r="AB209" t="str">
        <f>VLOOKUP($Z209,'oddspedia-matches'!$A:$AD,AB$2,0)</f>
        <v>Green</v>
      </c>
      <c r="AC209" t="str">
        <f>VLOOKUP($Z209,'oddspedia-matches'!$A:$AD,AC$2,0)</f>
        <v>Red</v>
      </c>
      <c r="AD209" t="str">
        <f>VLOOKUP($Z209,'oddspedia-matches'!$A:$AD,AD$2,0)</f>
        <v>Red</v>
      </c>
      <c r="AE209" t="str">
        <f>VLOOKUP($Z209,'oddspedia-matches'!$A:$AD,AE$2,0)</f>
        <v>Green</v>
      </c>
      <c r="AF209" t="str">
        <f>VLOOKUP($Z209,'oddspedia-matches'!$A:$AD,AF$2,0)</f>
        <v>Red</v>
      </c>
      <c r="AG209" t="str">
        <f>VLOOKUP($Z209,'oddspedia-matches'!$A:$AD,AG$2,0)</f>
        <v>Green</v>
      </c>
      <c r="AH209" t="str">
        <f>VLOOKUP($Z209,'oddspedia-matches'!$A:$AD,AH$2,0)</f>
        <v>Red</v>
      </c>
      <c r="AI209" t="str">
        <f>VLOOKUP($Z209,'oddspedia-matches'!$A:$AD,AI$2,0)</f>
        <v>Green</v>
      </c>
      <c r="AJ209" t="str">
        <f>VLOOKUP($Z209,'oddspedia-matches'!$A:$AD,AJ$2,0)</f>
        <v>Red</v>
      </c>
      <c r="AK209" t="str">
        <f>VLOOKUP($Z209,'oddspedia-matches'!$A:$AD,AK$2,0)</f>
        <v>Red</v>
      </c>
      <c r="AL209" t="str">
        <f>VLOOKUP($Z209,'oddspedia-matches'!$A:$AD,AL$2,0)</f>
        <v>Red</v>
      </c>
      <c r="AM209" t="str">
        <f>VLOOKUP($Z209,'oddspedia-matches'!$A:$AD,AM$2,0)</f>
        <v>Red</v>
      </c>
      <c r="AN209" t="str">
        <f>VLOOKUP($Z209,'oddspedia-matches'!$A:$AD,AN$2,0)</f>
        <v>Green</v>
      </c>
      <c r="AO209" t="str">
        <f>VLOOKUP($Z209,'oddspedia-matches'!$A:$AD,AO$2,0)</f>
        <v>Green</v>
      </c>
      <c r="AP209" t="str">
        <f>VLOOKUP($Z209,'oddspedia-matches'!$A:$AD,AP$2,0)</f>
        <v>Red</v>
      </c>
      <c r="AQ209" t="str">
        <f>VLOOKUP($Z209,'oddspedia-matches'!$A:$AD,AQ$2,0)</f>
        <v>Green</v>
      </c>
    </row>
    <row r="210" spans="2:43" x14ac:dyDescent="0.2">
      <c r="B210" s="9" t="s">
        <v>638</v>
      </c>
      <c r="C210" s="7" t="s">
        <v>490</v>
      </c>
      <c r="D210" s="20">
        <v>0.54166666666666663</v>
      </c>
      <c r="E210" s="7" t="s">
        <v>639</v>
      </c>
      <c r="F210" s="7" t="s">
        <v>640</v>
      </c>
      <c r="G210" s="21"/>
      <c r="H210" s="7">
        <v>64.099999999999994</v>
      </c>
      <c r="I210" s="7">
        <v>23.2</v>
      </c>
      <c r="J210" s="7">
        <v>12.6</v>
      </c>
      <c r="K210" s="7">
        <v>87.4</v>
      </c>
      <c r="L210" s="7">
        <v>35.9</v>
      </c>
      <c r="M210" s="7">
        <v>76.8</v>
      </c>
      <c r="N210" s="7">
        <v>38.200000000000003</v>
      </c>
      <c r="O210" s="7">
        <v>38.700000000000003</v>
      </c>
      <c r="P210" s="7">
        <v>23.1</v>
      </c>
      <c r="Q210" s="7">
        <v>76.2</v>
      </c>
      <c r="R210" s="7">
        <v>92.1</v>
      </c>
      <c r="S210" s="7">
        <v>77.5</v>
      </c>
      <c r="T210" s="7">
        <v>22.5</v>
      </c>
      <c r="U210" s="7">
        <v>29.7</v>
      </c>
      <c r="V210" s="7">
        <v>68.900000000000006</v>
      </c>
      <c r="W210" s="7">
        <v>31.1</v>
      </c>
      <c r="X210" t="str">
        <f>VLOOKUP(E210,'Transform table'!A:B,2,0)</f>
        <v>Stromsgodset</v>
      </c>
      <c r="Y210" t="str">
        <f>VLOOKUP(F210,'Transform table'!A:B,2,0)</f>
        <v>Lyn</v>
      </c>
      <c r="Z210" t="str">
        <f t="shared" si="3"/>
        <v>25/07/2026StromsgodsetLyn</v>
      </c>
      <c r="AA210" t="str">
        <f>VLOOKUP($Z210,'oddspedia-matches'!$A:$AD,AA$2,0)</f>
        <v>1 - 1</v>
      </c>
      <c r="AB210" t="str">
        <f>VLOOKUP($Z210,'oddspedia-matches'!$A:$AD,AB$2,0)</f>
        <v>Red</v>
      </c>
      <c r="AC210" t="str">
        <f>VLOOKUP($Z210,'oddspedia-matches'!$A:$AD,AC$2,0)</f>
        <v>Green</v>
      </c>
      <c r="AD210" t="str">
        <f>VLOOKUP($Z210,'oddspedia-matches'!$A:$AD,AD$2,0)</f>
        <v>Red</v>
      </c>
      <c r="AE210" t="str">
        <f>VLOOKUP($Z210,'oddspedia-matches'!$A:$AD,AE$2,0)</f>
        <v>Green</v>
      </c>
      <c r="AF210" t="str">
        <f>VLOOKUP($Z210,'oddspedia-matches'!$A:$AD,AF$2,0)</f>
        <v>Green</v>
      </c>
      <c r="AG210" t="str">
        <f>VLOOKUP($Z210,'oddspedia-matches'!$A:$AD,AG$2,0)</f>
        <v>Red</v>
      </c>
      <c r="AH210" t="str">
        <f>VLOOKUP($Z210,'oddspedia-matches'!$A:$AD,AH$2,0)</f>
        <v>Red</v>
      </c>
      <c r="AI210" t="str">
        <f>VLOOKUP($Z210,'oddspedia-matches'!$A:$AD,AI$2,0)</f>
        <v>Green</v>
      </c>
      <c r="AJ210" t="str">
        <f>VLOOKUP($Z210,'oddspedia-matches'!$A:$AD,AJ$2,0)</f>
        <v>Red</v>
      </c>
      <c r="AK210" t="str">
        <f>VLOOKUP($Z210,'oddspedia-matches'!$A:$AD,AK$2,0)</f>
        <v>Red</v>
      </c>
      <c r="AL210" t="str">
        <f>VLOOKUP($Z210,'oddspedia-matches'!$A:$AD,AL$2,0)</f>
        <v>Green</v>
      </c>
      <c r="AM210" t="str">
        <f>VLOOKUP($Z210,'oddspedia-matches'!$A:$AD,AM$2,0)</f>
        <v>Red</v>
      </c>
      <c r="AN210" t="str">
        <f>VLOOKUP($Z210,'oddspedia-matches'!$A:$AD,AN$2,0)</f>
        <v>Green</v>
      </c>
      <c r="AO210" t="str">
        <f>VLOOKUP($Z210,'oddspedia-matches'!$A:$AD,AO$2,0)</f>
        <v>Green</v>
      </c>
      <c r="AP210" t="str">
        <f>VLOOKUP($Z210,'oddspedia-matches'!$A:$AD,AP$2,0)</f>
        <v>Green</v>
      </c>
      <c r="AQ210" t="str">
        <f>VLOOKUP($Z210,'oddspedia-matches'!$A:$AD,AQ$2,0)</f>
        <v>Red</v>
      </c>
    </row>
    <row r="211" spans="2:43" x14ac:dyDescent="0.2">
      <c r="B211" s="17" t="s">
        <v>488</v>
      </c>
      <c r="C211" s="8" t="s">
        <v>490</v>
      </c>
      <c r="D211" s="18">
        <v>0.5625</v>
      </c>
      <c r="E211" s="8" t="s">
        <v>641</v>
      </c>
      <c r="F211" s="8" t="s">
        <v>642</v>
      </c>
      <c r="G211" s="19"/>
      <c r="H211" s="8">
        <v>59.1</v>
      </c>
      <c r="I211" s="8">
        <v>24.2</v>
      </c>
      <c r="J211" s="8">
        <v>16.7</v>
      </c>
      <c r="K211" s="8">
        <v>83.3</v>
      </c>
      <c r="L211" s="8">
        <v>40.9</v>
      </c>
      <c r="M211" s="8">
        <v>75.8</v>
      </c>
      <c r="N211" s="8">
        <v>50.5</v>
      </c>
      <c r="O211" s="8">
        <v>34.200000000000003</v>
      </c>
      <c r="P211" s="8">
        <v>15.4</v>
      </c>
      <c r="Q211" s="8">
        <v>79.5</v>
      </c>
      <c r="R211" s="8">
        <v>80.3</v>
      </c>
      <c r="S211" s="8">
        <v>56.6</v>
      </c>
      <c r="T211" s="8">
        <v>43.4</v>
      </c>
      <c r="U211" s="8">
        <v>51.1</v>
      </c>
      <c r="V211" s="8">
        <v>54.7</v>
      </c>
      <c r="W211" s="8">
        <v>45.3</v>
      </c>
      <c r="X211" t="str">
        <f>VLOOKUP(E211,'Transform table'!A:B,2,0)</f>
        <v>Santiago Wanderers</v>
      </c>
      <c r="Y211" t="str">
        <f>VLOOKUP(F211,'Transform table'!A:B,2,0)</f>
        <v>Union San Felipe</v>
      </c>
      <c r="Z211" t="str">
        <f t="shared" si="3"/>
        <v>25/07/2026Santiago WanderersUnion San Felipe</v>
      </c>
      <c r="AA211" t="str">
        <f>VLOOKUP($Z211,'oddspedia-matches'!$A:$AD,AA$2,0)</f>
        <v>2 - 0</v>
      </c>
      <c r="AB211" t="str">
        <f>VLOOKUP($Z211,'oddspedia-matches'!$A:$AD,AB$2,0)</f>
        <v>Green</v>
      </c>
      <c r="AC211" t="str">
        <f>VLOOKUP($Z211,'oddspedia-matches'!$A:$AD,AC$2,0)</f>
        <v>Red</v>
      </c>
      <c r="AD211" t="str">
        <f>VLOOKUP($Z211,'oddspedia-matches'!$A:$AD,AD$2,0)</f>
        <v>Red</v>
      </c>
      <c r="AE211" t="str">
        <f>VLOOKUP($Z211,'oddspedia-matches'!$A:$AD,AE$2,0)</f>
        <v>Green</v>
      </c>
      <c r="AF211" t="str">
        <f>VLOOKUP($Z211,'oddspedia-matches'!$A:$AD,AF$2,0)</f>
        <v>Red</v>
      </c>
      <c r="AG211" t="str">
        <f>VLOOKUP($Z211,'oddspedia-matches'!$A:$AD,AG$2,0)</f>
        <v>Green</v>
      </c>
      <c r="AH211" t="str">
        <f>VLOOKUP($Z211,'oddspedia-matches'!$A:$AD,AH$2,0)</f>
        <v>Green</v>
      </c>
      <c r="AI211" t="str">
        <f>VLOOKUP($Z211,'oddspedia-matches'!$A:$AD,AI$2,0)</f>
        <v>Red</v>
      </c>
      <c r="AJ211" t="str">
        <f>VLOOKUP($Z211,'oddspedia-matches'!$A:$AD,AJ$2,0)</f>
        <v>Red</v>
      </c>
      <c r="AK211" t="str">
        <f>VLOOKUP($Z211,'oddspedia-matches'!$A:$AD,AK$2,0)</f>
        <v>Green</v>
      </c>
      <c r="AL211" t="str">
        <f>VLOOKUP($Z211,'oddspedia-matches'!$A:$AD,AL$2,0)</f>
        <v>Green</v>
      </c>
      <c r="AM211" t="str">
        <f>VLOOKUP($Z211,'oddspedia-matches'!$A:$AD,AM$2,0)</f>
        <v>Red</v>
      </c>
      <c r="AN211" t="str">
        <f>VLOOKUP($Z211,'oddspedia-matches'!$A:$AD,AN$2,0)</f>
        <v>Green</v>
      </c>
      <c r="AO211" t="str">
        <f>VLOOKUP($Z211,'oddspedia-matches'!$A:$AD,AO$2,0)</f>
        <v>Green</v>
      </c>
      <c r="AP211" t="str">
        <f>VLOOKUP($Z211,'oddspedia-matches'!$A:$AD,AP$2,0)</f>
        <v>Red</v>
      </c>
      <c r="AQ211" t="str">
        <f>VLOOKUP($Z211,'oddspedia-matches'!$A:$AD,AQ$2,0)</f>
        <v>Green</v>
      </c>
    </row>
    <row r="212" spans="2:43" x14ac:dyDescent="0.2">
      <c r="B212" s="9" t="s">
        <v>480</v>
      </c>
      <c r="C212" s="7" t="s">
        <v>490</v>
      </c>
      <c r="D212" s="20">
        <v>0.58333333333333337</v>
      </c>
      <c r="E212" s="7" t="s">
        <v>643</v>
      </c>
      <c r="F212" s="7" t="s">
        <v>644</v>
      </c>
      <c r="G212" s="21"/>
      <c r="H212" s="7">
        <v>52.4</v>
      </c>
      <c r="I212" s="7">
        <v>24.4</v>
      </c>
      <c r="J212" s="7">
        <v>23.2</v>
      </c>
      <c r="K212" s="7">
        <v>76.8</v>
      </c>
      <c r="L212" s="7">
        <v>47.6</v>
      </c>
      <c r="M212" s="7">
        <v>75.599999999999994</v>
      </c>
      <c r="N212" s="7">
        <v>42.5</v>
      </c>
      <c r="O212" s="7">
        <v>35.700000000000003</v>
      </c>
      <c r="P212" s="7">
        <v>21.8</v>
      </c>
      <c r="Q212" s="7">
        <v>80.099999999999994</v>
      </c>
      <c r="R212" s="7">
        <v>89.4</v>
      </c>
      <c r="S212" s="7">
        <v>71.900000000000006</v>
      </c>
      <c r="T212" s="7">
        <v>28.1</v>
      </c>
      <c r="U212" s="7">
        <v>34.1</v>
      </c>
      <c r="V212" s="7">
        <v>70.2</v>
      </c>
      <c r="W212" s="7">
        <v>29.8</v>
      </c>
      <c r="X212" t="str">
        <f>VLOOKUP(E212,'Transform table'!A:B,2,0)</f>
        <v>Kormakur/Hvot</v>
      </c>
      <c r="Y212" t="str">
        <f>VLOOKUP(F212,'Transform table'!A:B,2,0)</f>
        <v>Selfoss</v>
      </c>
      <c r="Z212" t="str">
        <f t="shared" si="3"/>
        <v>25/07/2026Kormakur/HvotSelfoss</v>
      </c>
      <c r="AA212" t="str">
        <f>VLOOKUP($Z212,'oddspedia-matches'!$A:$AD,AA$2,0)</f>
        <v>2 - 5</v>
      </c>
      <c r="AB212" t="str">
        <f>VLOOKUP($Z212,'oddspedia-matches'!$A:$AD,AB$2,0)</f>
        <v>Red</v>
      </c>
      <c r="AC212" t="str">
        <f>VLOOKUP($Z212,'oddspedia-matches'!$A:$AD,AC$2,0)</f>
        <v>Red</v>
      </c>
      <c r="AD212" t="str">
        <f>VLOOKUP($Z212,'oddspedia-matches'!$A:$AD,AD$2,0)</f>
        <v>Green</v>
      </c>
      <c r="AE212" t="str">
        <f>VLOOKUP($Z212,'oddspedia-matches'!$A:$AD,AE$2,0)</f>
        <v>Red</v>
      </c>
      <c r="AF212" t="str">
        <f>VLOOKUP($Z212,'oddspedia-matches'!$A:$AD,AF$2,0)</f>
        <v>Green</v>
      </c>
      <c r="AG212" t="str">
        <f>VLOOKUP($Z212,'oddspedia-matches'!$A:$AD,AG$2,0)</f>
        <v>Green</v>
      </c>
      <c r="AH212" t="str">
        <f>VLOOKUP($Z212,'oddspedia-matches'!$A:$AD,AH$2,0)</f>
        <v>Green</v>
      </c>
      <c r="AI212" t="str">
        <f>VLOOKUP($Z212,'oddspedia-matches'!$A:$AD,AI$2,0)</f>
        <v>Red</v>
      </c>
      <c r="AJ212" t="str">
        <f>VLOOKUP($Z212,'oddspedia-matches'!$A:$AD,AJ$2,0)</f>
        <v>Red</v>
      </c>
      <c r="AK212" t="str">
        <f>VLOOKUP($Z212,'oddspedia-matches'!$A:$AD,AK$2,0)</f>
        <v>Green</v>
      </c>
      <c r="AL212" t="str">
        <f>VLOOKUP($Z212,'oddspedia-matches'!$A:$AD,AL$2,0)</f>
        <v>Green</v>
      </c>
      <c r="AM212" t="str">
        <f>VLOOKUP($Z212,'oddspedia-matches'!$A:$AD,AM$2,0)</f>
        <v>Green</v>
      </c>
      <c r="AN212" t="str">
        <f>VLOOKUP($Z212,'oddspedia-matches'!$A:$AD,AN$2,0)</f>
        <v>Red</v>
      </c>
      <c r="AO212" t="str">
        <f>VLOOKUP($Z212,'oddspedia-matches'!$A:$AD,AO$2,0)</f>
        <v>Red</v>
      </c>
      <c r="AP212" t="str">
        <f>VLOOKUP($Z212,'oddspedia-matches'!$A:$AD,AP$2,0)</f>
        <v>Green</v>
      </c>
      <c r="AQ212" t="str">
        <f>VLOOKUP($Z212,'oddspedia-matches'!$A:$AD,AQ$2,0)</f>
        <v>Red</v>
      </c>
    </row>
    <row r="213" spans="2:43" x14ac:dyDescent="0.2">
      <c r="B213" s="17" t="s">
        <v>470</v>
      </c>
      <c r="C213" s="8" t="s">
        <v>490</v>
      </c>
      <c r="D213" s="18">
        <v>0.61458333333333337</v>
      </c>
      <c r="E213" s="8" t="s">
        <v>645</v>
      </c>
      <c r="F213" s="8" t="s">
        <v>646</v>
      </c>
      <c r="G213" s="19"/>
      <c r="H213" s="8">
        <v>21.6</v>
      </c>
      <c r="I213" s="8">
        <v>34.799999999999997</v>
      </c>
      <c r="J213" s="8">
        <v>43.6</v>
      </c>
      <c r="K213" s="8">
        <v>56.4</v>
      </c>
      <c r="L213" s="8">
        <v>78.400000000000006</v>
      </c>
      <c r="M213" s="8">
        <v>65.2</v>
      </c>
      <c r="N213" s="8">
        <v>18.3</v>
      </c>
      <c r="O213" s="8">
        <v>55.3</v>
      </c>
      <c r="P213" s="8">
        <v>26.4</v>
      </c>
      <c r="Q213" s="8">
        <v>52.1</v>
      </c>
      <c r="R213" s="8">
        <v>56.3</v>
      </c>
      <c r="S213" s="8">
        <v>28.1</v>
      </c>
      <c r="T213" s="8">
        <v>71.900000000000006</v>
      </c>
      <c r="U213" s="8">
        <v>76.7</v>
      </c>
      <c r="V213" s="8">
        <v>35.799999999999997</v>
      </c>
      <c r="W213" s="8">
        <v>64.2</v>
      </c>
      <c r="X213" t="str">
        <f>VLOOKUP(E213,'Transform table'!A:B,2,0)</f>
        <v>Estudiantes Rio Cuarto</v>
      </c>
      <c r="Y213" t="str">
        <f>VLOOKUP(F213,'Transform table'!A:B,2,0)</f>
        <v>Club Atletico Tigre</v>
      </c>
      <c r="Z213" t="str">
        <f t="shared" si="3"/>
        <v>25/07/2026Estudiantes Rio CuartoClub Atletico Tigre</v>
      </c>
      <c r="AA213" t="str">
        <f>VLOOKUP($Z213,'oddspedia-matches'!$A:$AD,AA$2,0)</f>
        <v>1 - 0</v>
      </c>
      <c r="AB213" t="str">
        <f>VLOOKUP($Z213,'oddspedia-matches'!$A:$AD,AB$2,0)</f>
        <v>Green</v>
      </c>
      <c r="AC213" t="str">
        <f>VLOOKUP($Z213,'oddspedia-matches'!$A:$AD,AC$2,0)</f>
        <v>Red</v>
      </c>
      <c r="AD213" t="str">
        <f>VLOOKUP($Z213,'oddspedia-matches'!$A:$AD,AD$2,0)</f>
        <v>Red</v>
      </c>
      <c r="AE213" t="str">
        <f>VLOOKUP($Z213,'oddspedia-matches'!$A:$AD,AE$2,0)</f>
        <v>Green</v>
      </c>
      <c r="AF213" t="str">
        <f>VLOOKUP($Z213,'oddspedia-matches'!$A:$AD,AF$2,0)</f>
        <v>Red</v>
      </c>
      <c r="AG213" t="str">
        <f>VLOOKUP($Z213,'oddspedia-matches'!$A:$AD,AG$2,0)</f>
        <v>Green</v>
      </c>
      <c r="AH213" t="str">
        <f>VLOOKUP($Z213,'oddspedia-matches'!$A:$AD,AH$2,0)</f>
        <v>Red</v>
      </c>
      <c r="AI213" t="str">
        <f>VLOOKUP($Z213,'oddspedia-matches'!$A:$AD,AI$2,0)</f>
        <v>Green</v>
      </c>
      <c r="AJ213" t="str">
        <f>VLOOKUP($Z213,'oddspedia-matches'!$A:$AD,AJ$2,0)</f>
        <v>Red</v>
      </c>
      <c r="AK213" t="str">
        <f>VLOOKUP($Z213,'oddspedia-matches'!$A:$AD,AK$2,0)</f>
        <v>Red</v>
      </c>
      <c r="AL213" t="str">
        <f>VLOOKUP($Z213,'oddspedia-matches'!$A:$AD,AL$2,0)</f>
        <v>Red</v>
      </c>
      <c r="AM213" t="str">
        <f>VLOOKUP($Z213,'oddspedia-matches'!$A:$AD,AM$2,0)</f>
        <v>Red</v>
      </c>
      <c r="AN213" t="str">
        <f>VLOOKUP($Z213,'oddspedia-matches'!$A:$AD,AN$2,0)</f>
        <v>Green</v>
      </c>
      <c r="AO213" t="str">
        <f>VLOOKUP($Z213,'oddspedia-matches'!$A:$AD,AO$2,0)</f>
        <v>Green</v>
      </c>
      <c r="AP213" t="str">
        <f>VLOOKUP($Z213,'oddspedia-matches'!$A:$AD,AP$2,0)</f>
        <v>Red</v>
      </c>
      <c r="AQ213" t="str">
        <f>VLOOKUP($Z213,'oddspedia-matches'!$A:$AD,AQ$2,0)</f>
        <v>Green</v>
      </c>
    </row>
    <row r="214" spans="2:43" x14ac:dyDescent="0.2">
      <c r="B214" s="9" t="s">
        <v>647</v>
      </c>
      <c r="C214" s="7" t="s">
        <v>490</v>
      </c>
      <c r="D214" s="20">
        <v>0.625</v>
      </c>
      <c r="E214" s="7" t="s">
        <v>648</v>
      </c>
      <c r="F214" s="7" t="s">
        <v>649</v>
      </c>
      <c r="G214" s="21"/>
      <c r="H214" s="7">
        <v>37.5</v>
      </c>
      <c r="I214" s="7">
        <v>36.6</v>
      </c>
      <c r="J214" s="7">
        <v>25.9</v>
      </c>
      <c r="K214" s="7">
        <v>74.099999999999994</v>
      </c>
      <c r="L214" s="7">
        <v>62.5</v>
      </c>
      <c r="M214" s="7">
        <v>63.4</v>
      </c>
      <c r="N214" s="7">
        <v>25.5</v>
      </c>
      <c r="O214" s="7">
        <v>53.6</v>
      </c>
      <c r="P214" s="7">
        <v>20.8</v>
      </c>
      <c r="Q214" s="7">
        <v>54.5</v>
      </c>
      <c r="R214" s="7">
        <v>50.8</v>
      </c>
      <c r="S214" s="7">
        <v>23.3</v>
      </c>
      <c r="T214" s="7">
        <v>76.7</v>
      </c>
      <c r="U214" s="7">
        <v>80.5</v>
      </c>
      <c r="V214" s="7">
        <v>32.700000000000003</v>
      </c>
      <c r="W214" s="7">
        <v>67.3</v>
      </c>
      <c r="X214" t="str">
        <f>VLOOKUP(E214,'Transform table'!A:B,2,0)</f>
        <v>Estudiantes de BA</v>
      </c>
      <c r="Y214" t="str">
        <f>VLOOKUP(F214,'Transform table'!A:B,2,0)</f>
        <v>Ciudad de Bolivar</v>
      </c>
      <c r="Z214" t="str">
        <f t="shared" si="3"/>
        <v>25/07/2026Estudiantes de BACiudad de Bolivar</v>
      </c>
      <c r="AA214" t="str">
        <f>VLOOKUP($Z214,'oddspedia-matches'!$A:$AD,AA$2,0)</f>
        <v>1 - 2</v>
      </c>
      <c r="AB214" t="str">
        <f>VLOOKUP($Z214,'oddspedia-matches'!$A:$AD,AB$2,0)</f>
        <v>Red</v>
      </c>
      <c r="AC214" t="str">
        <f>VLOOKUP($Z214,'oddspedia-matches'!$A:$AD,AC$2,0)</f>
        <v>Red</v>
      </c>
      <c r="AD214" t="str">
        <f>VLOOKUP($Z214,'oddspedia-matches'!$A:$AD,AD$2,0)</f>
        <v>Green</v>
      </c>
      <c r="AE214" t="str">
        <f>VLOOKUP($Z214,'oddspedia-matches'!$A:$AD,AE$2,0)</f>
        <v>Red</v>
      </c>
      <c r="AF214" t="str">
        <f>VLOOKUP($Z214,'oddspedia-matches'!$A:$AD,AF$2,0)</f>
        <v>Green</v>
      </c>
      <c r="AG214" t="str">
        <f>VLOOKUP($Z214,'oddspedia-matches'!$A:$AD,AG$2,0)</f>
        <v>Green</v>
      </c>
      <c r="AH214" t="str">
        <f>VLOOKUP($Z214,'oddspedia-matches'!$A:$AD,AH$2,0)</f>
        <v>Red</v>
      </c>
      <c r="AI214" t="str">
        <f>VLOOKUP($Z214,'oddspedia-matches'!$A:$AD,AI$2,0)</f>
        <v>Red</v>
      </c>
      <c r="AJ214" t="str">
        <f>VLOOKUP($Z214,'oddspedia-matches'!$A:$AD,AJ$2,0)</f>
        <v>Green</v>
      </c>
      <c r="AK214" t="str">
        <f>VLOOKUP($Z214,'oddspedia-matches'!$A:$AD,AK$2,0)</f>
        <v>Green</v>
      </c>
      <c r="AL214" t="str">
        <f>VLOOKUP($Z214,'oddspedia-matches'!$A:$AD,AL$2,0)</f>
        <v>Green</v>
      </c>
      <c r="AM214" t="str">
        <f>VLOOKUP($Z214,'oddspedia-matches'!$A:$AD,AM$2,0)</f>
        <v>Green</v>
      </c>
      <c r="AN214" t="str">
        <f>VLOOKUP($Z214,'oddspedia-matches'!$A:$AD,AN$2,0)</f>
        <v>Red</v>
      </c>
      <c r="AO214" t="str">
        <f>VLOOKUP($Z214,'oddspedia-matches'!$A:$AD,AO$2,0)</f>
        <v>Green</v>
      </c>
      <c r="AP214" t="str">
        <f>VLOOKUP($Z214,'oddspedia-matches'!$A:$AD,AP$2,0)</f>
        <v>Green</v>
      </c>
      <c r="AQ214" t="str">
        <f>VLOOKUP($Z214,'oddspedia-matches'!$A:$AD,AQ$2,0)</f>
        <v>Red</v>
      </c>
    </row>
    <row r="215" spans="2:43" x14ac:dyDescent="0.2">
      <c r="B215" s="17" t="s">
        <v>650</v>
      </c>
      <c r="C215" s="8" t="s">
        <v>490</v>
      </c>
      <c r="D215" s="18">
        <v>0.625</v>
      </c>
      <c r="E215" s="8" t="s">
        <v>651</v>
      </c>
      <c r="F215" s="8" t="s">
        <v>652</v>
      </c>
      <c r="G215" s="19"/>
      <c r="H215" s="8">
        <v>37.5</v>
      </c>
      <c r="I215" s="8">
        <v>32.6</v>
      </c>
      <c r="J215" s="8">
        <v>29.9</v>
      </c>
      <c r="K215" s="8">
        <v>70.099999999999994</v>
      </c>
      <c r="L215" s="8">
        <v>62.5</v>
      </c>
      <c r="M215" s="8">
        <v>67.400000000000006</v>
      </c>
      <c r="N215" s="8">
        <v>30</v>
      </c>
      <c r="O215" s="8">
        <v>49.3</v>
      </c>
      <c r="P215" s="8">
        <v>20.8</v>
      </c>
      <c r="Q215" s="8">
        <v>60.6</v>
      </c>
      <c r="R215" s="8">
        <v>63.1</v>
      </c>
      <c r="S215" s="8">
        <v>34.700000000000003</v>
      </c>
      <c r="T215" s="8">
        <v>65.3</v>
      </c>
      <c r="U215" s="8">
        <v>70.099999999999994</v>
      </c>
      <c r="V215" s="8">
        <v>43.2</v>
      </c>
      <c r="W215" s="8">
        <v>56.8</v>
      </c>
      <c r="X215">
        <f>VLOOKUP(E215,'Transform table'!A:B,2,0)</f>
        <v>0</v>
      </c>
      <c r="Y215">
        <f>VLOOKUP(F215,'Transform table'!A:B,2,0)</f>
        <v>0</v>
      </c>
      <c r="Z215" t="str">
        <f t="shared" si="3"/>
        <v>25/07/202600</v>
      </c>
      <c r="AA215" t="e">
        <f>VLOOKUP($Z215,'oddspedia-matches'!$A:$AD,AA$2,0)</f>
        <v>#N/A</v>
      </c>
      <c r="AB215" t="e">
        <f>VLOOKUP($Z215,'oddspedia-matches'!$A:$AD,AB$2,0)</f>
        <v>#N/A</v>
      </c>
      <c r="AC215" t="e">
        <f>VLOOKUP($Z215,'oddspedia-matches'!$A:$AD,AC$2,0)</f>
        <v>#N/A</v>
      </c>
      <c r="AD215" t="e">
        <f>VLOOKUP($Z215,'oddspedia-matches'!$A:$AD,AD$2,0)</f>
        <v>#N/A</v>
      </c>
      <c r="AE215" t="e">
        <f>VLOOKUP($Z215,'oddspedia-matches'!$A:$AD,AE$2,0)</f>
        <v>#N/A</v>
      </c>
      <c r="AF215" t="e">
        <f>VLOOKUP($Z215,'oddspedia-matches'!$A:$AD,AF$2,0)</f>
        <v>#N/A</v>
      </c>
      <c r="AG215" t="e">
        <f>VLOOKUP($Z215,'oddspedia-matches'!$A:$AD,AG$2,0)</f>
        <v>#N/A</v>
      </c>
      <c r="AH215" t="e">
        <f>VLOOKUP($Z215,'oddspedia-matches'!$A:$AD,AH$2,0)</f>
        <v>#N/A</v>
      </c>
      <c r="AI215" t="e">
        <f>VLOOKUP($Z215,'oddspedia-matches'!$A:$AD,AI$2,0)</f>
        <v>#N/A</v>
      </c>
      <c r="AJ215" t="e">
        <f>VLOOKUP($Z215,'oddspedia-matches'!$A:$AD,AJ$2,0)</f>
        <v>#N/A</v>
      </c>
      <c r="AK215" t="e">
        <f>VLOOKUP($Z215,'oddspedia-matches'!$A:$AD,AK$2,0)</f>
        <v>#N/A</v>
      </c>
      <c r="AL215" t="e">
        <f>VLOOKUP($Z215,'oddspedia-matches'!$A:$AD,AL$2,0)</f>
        <v>#N/A</v>
      </c>
      <c r="AM215" t="e">
        <f>VLOOKUP($Z215,'oddspedia-matches'!$A:$AD,AM$2,0)</f>
        <v>#N/A</v>
      </c>
      <c r="AN215" t="e">
        <f>VLOOKUP($Z215,'oddspedia-matches'!$A:$AD,AN$2,0)</f>
        <v>#N/A</v>
      </c>
      <c r="AO215" t="e">
        <f>VLOOKUP($Z215,'oddspedia-matches'!$A:$AD,AO$2,0)</f>
        <v>#N/A</v>
      </c>
      <c r="AP215" t="e">
        <f>VLOOKUP($Z215,'oddspedia-matches'!$A:$AD,AP$2,0)</f>
        <v>#N/A</v>
      </c>
      <c r="AQ215" t="e">
        <f>VLOOKUP($Z215,'oddspedia-matches'!$A:$AD,AQ$2,0)</f>
        <v>#N/A</v>
      </c>
    </row>
    <row r="216" spans="2:43" x14ac:dyDescent="0.2">
      <c r="B216" s="9" t="s">
        <v>650</v>
      </c>
      <c r="C216" s="7" t="s">
        <v>490</v>
      </c>
      <c r="D216" s="20">
        <v>0.625</v>
      </c>
      <c r="E216" s="7" t="s">
        <v>653</v>
      </c>
      <c r="F216" s="7" t="s">
        <v>654</v>
      </c>
      <c r="G216" s="21"/>
      <c r="H216" s="7">
        <v>31.3</v>
      </c>
      <c r="I216" s="7">
        <v>39.1</v>
      </c>
      <c r="J216" s="7">
        <v>29.7</v>
      </c>
      <c r="K216" s="7">
        <v>70.3</v>
      </c>
      <c r="L216" s="7">
        <v>68.7</v>
      </c>
      <c r="M216" s="7">
        <v>60.9</v>
      </c>
      <c r="N216" s="7">
        <v>29.3</v>
      </c>
      <c r="O216" s="7">
        <v>54.3</v>
      </c>
      <c r="P216" s="7">
        <v>16.399999999999999</v>
      </c>
      <c r="Q216" s="7">
        <v>53</v>
      </c>
      <c r="R216" s="7">
        <v>45.9</v>
      </c>
      <c r="S216" s="7">
        <v>19.399999999999999</v>
      </c>
      <c r="T216" s="7">
        <v>80.599999999999994</v>
      </c>
      <c r="U216" s="7">
        <v>83.8</v>
      </c>
      <c r="V216" s="7">
        <v>29.4</v>
      </c>
      <c r="W216" s="7">
        <v>70.599999999999994</v>
      </c>
      <c r="X216" t="str">
        <f>VLOOKUP(E216,'Transform table'!A:B,2,0)</f>
        <v>CA Atlas</v>
      </c>
      <c r="Y216" t="str">
        <f>VLOOKUP(F216,'Transform table'!A:B,2,0)</f>
        <v>Deportivo Espanol</v>
      </c>
      <c r="Z216" t="str">
        <f t="shared" si="3"/>
        <v>25/07/2026CA AtlasDeportivo Espanol</v>
      </c>
      <c r="AA216" t="str">
        <f>VLOOKUP($Z216,'oddspedia-matches'!$A:$AD,AA$2,0)</f>
        <v>0 - 1</v>
      </c>
      <c r="AB216" t="str">
        <f>VLOOKUP($Z216,'oddspedia-matches'!$A:$AD,AB$2,0)</f>
        <v>Red</v>
      </c>
      <c r="AC216" t="str">
        <f>VLOOKUP($Z216,'oddspedia-matches'!$A:$AD,AC$2,0)</f>
        <v>Red</v>
      </c>
      <c r="AD216" t="str">
        <f>VLOOKUP($Z216,'oddspedia-matches'!$A:$AD,AD$2,0)</f>
        <v>Green</v>
      </c>
      <c r="AE216" t="str">
        <f>VLOOKUP($Z216,'oddspedia-matches'!$A:$AD,AE$2,0)</f>
        <v>Red</v>
      </c>
      <c r="AF216" t="str">
        <f>VLOOKUP($Z216,'oddspedia-matches'!$A:$AD,AF$2,0)</f>
        <v>Green</v>
      </c>
      <c r="AG216" t="str">
        <f>VLOOKUP($Z216,'oddspedia-matches'!$A:$AD,AG$2,0)</f>
        <v>Green</v>
      </c>
      <c r="AH216" t="str">
        <f>VLOOKUP($Z216,'oddspedia-matches'!$A:$AD,AH$2,0)</f>
        <v>Red</v>
      </c>
      <c r="AI216" t="str">
        <f>VLOOKUP($Z216,'oddspedia-matches'!$A:$AD,AI$2,0)</f>
        <v>Green</v>
      </c>
      <c r="AJ216" t="str">
        <f>VLOOKUP($Z216,'oddspedia-matches'!$A:$AD,AJ$2,0)</f>
        <v>Red</v>
      </c>
      <c r="AK216" t="str">
        <f>VLOOKUP($Z216,'oddspedia-matches'!$A:$AD,AK$2,0)</f>
        <v>Red</v>
      </c>
      <c r="AL216" t="str">
        <f>VLOOKUP($Z216,'oddspedia-matches'!$A:$AD,AL$2,0)</f>
        <v>Red</v>
      </c>
      <c r="AM216" t="str">
        <f>VLOOKUP($Z216,'oddspedia-matches'!$A:$AD,AM$2,0)</f>
        <v>Red</v>
      </c>
      <c r="AN216" t="str">
        <f>VLOOKUP($Z216,'oddspedia-matches'!$A:$AD,AN$2,0)</f>
        <v>Green</v>
      </c>
      <c r="AO216" t="str">
        <f>VLOOKUP($Z216,'oddspedia-matches'!$A:$AD,AO$2,0)</f>
        <v>Green</v>
      </c>
      <c r="AP216" t="str">
        <f>VLOOKUP($Z216,'oddspedia-matches'!$A:$AD,AP$2,0)</f>
        <v>Red</v>
      </c>
      <c r="AQ216" t="str">
        <f>VLOOKUP($Z216,'oddspedia-matches'!$A:$AD,AQ$2,0)</f>
        <v>Green</v>
      </c>
    </row>
    <row r="217" spans="2:43" x14ac:dyDescent="0.2">
      <c r="B217" s="17" t="s">
        <v>650</v>
      </c>
      <c r="C217" s="8" t="s">
        <v>490</v>
      </c>
      <c r="D217" s="18">
        <v>0.625</v>
      </c>
      <c r="E217" s="8" t="s">
        <v>655</v>
      </c>
      <c r="F217" s="8" t="s">
        <v>656</v>
      </c>
      <c r="G217" s="19"/>
      <c r="H217" s="8">
        <v>39.4</v>
      </c>
      <c r="I217" s="8">
        <v>34.5</v>
      </c>
      <c r="J217" s="8">
        <v>26.1</v>
      </c>
      <c r="K217" s="8">
        <v>73.900000000000006</v>
      </c>
      <c r="L217" s="8">
        <v>60.6</v>
      </c>
      <c r="M217" s="8">
        <v>65.5</v>
      </c>
      <c r="N217" s="8">
        <v>25</v>
      </c>
      <c r="O217" s="8">
        <v>52.2</v>
      </c>
      <c r="P217" s="8">
        <v>22.8</v>
      </c>
      <c r="Q217" s="8">
        <v>56.7</v>
      </c>
      <c r="R217" s="8">
        <v>56.3</v>
      </c>
      <c r="S217" s="8">
        <v>28.1</v>
      </c>
      <c r="T217" s="8">
        <v>71.900000000000006</v>
      </c>
      <c r="U217" s="8">
        <v>76.3</v>
      </c>
      <c r="V217" s="8">
        <v>36.9</v>
      </c>
      <c r="W217" s="8">
        <v>63.1</v>
      </c>
      <c r="X217">
        <f>VLOOKUP(E217,'Transform table'!A:B,2,0)</f>
        <v>0</v>
      </c>
      <c r="Y217">
        <f>VLOOKUP(F217,'Transform table'!A:B,2,0)</f>
        <v>0</v>
      </c>
      <c r="Z217" t="str">
        <f t="shared" si="3"/>
        <v>25/07/202600</v>
      </c>
      <c r="AA217" t="e">
        <f>VLOOKUP($Z217,'oddspedia-matches'!$A:$AD,AA$2,0)</f>
        <v>#N/A</v>
      </c>
      <c r="AB217" t="e">
        <f>VLOOKUP($Z217,'oddspedia-matches'!$A:$AD,AB$2,0)</f>
        <v>#N/A</v>
      </c>
      <c r="AC217" t="e">
        <f>VLOOKUP($Z217,'oddspedia-matches'!$A:$AD,AC$2,0)</f>
        <v>#N/A</v>
      </c>
      <c r="AD217" t="e">
        <f>VLOOKUP($Z217,'oddspedia-matches'!$A:$AD,AD$2,0)</f>
        <v>#N/A</v>
      </c>
      <c r="AE217" t="e">
        <f>VLOOKUP($Z217,'oddspedia-matches'!$A:$AD,AE$2,0)</f>
        <v>#N/A</v>
      </c>
      <c r="AF217" t="e">
        <f>VLOOKUP($Z217,'oddspedia-matches'!$A:$AD,AF$2,0)</f>
        <v>#N/A</v>
      </c>
      <c r="AG217" t="e">
        <f>VLOOKUP($Z217,'oddspedia-matches'!$A:$AD,AG$2,0)</f>
        <v>#N/A</v>
      </c>
      <c r="AH217" t="e">
        <f>VLOOKUP($Z217,'oddspedia-matches'!$A:$AD,AH$2,0)</f>
        <v>#N/A</v>
      </c>
      <c r="AI217" t="e">
        <f>VLOOKUP($Z217,'oddspedia-matches'!$A:$AD,AI$2,0)</f>
        <v>#N/A</v>
      </c>
      <c r="AJ217" t="e">
        <f>VLOOKUP($Z217,'oddspedia-matches'!$A:$AD,AJ$2,0)</f>
        <v>#N/A</v>
      </c>
      <c r="AK217" t="e">
        <f>VLOOKUP($Z217,'oddspedia-matches'!$A:$AD,AK$2,0)</f>
        <v>#N/A</v>
      </c>
      <c r="AL217" t="e">
        <f>VLOOKUP($Z217,'oddspedia-matches'!$A:$AD,AL$2,0)</f>
        <v>#N/A</v>
      </c>
      <c r="AM217" t="e">
        <f>VLOOKUP($Z217,'oddspedia-matches'!$A:$AD,AM$2,0)</f>
        <v>#N/A</v>
      </c>
      <c r="AN217" t="e">
        <f>VLOOKUP($Z217,'oddspedia-matches'!$A:$AD,AN$2,0)</f>
        <v>#N/A</v>
      </c>
      <c r="AO217" t="e">
        <f>VLOOKUP($Z217,'oddspedia-matches'!$A:$AD,AO$2,0)</f>
        <v>#N/A</v>
      </c>
      <c r="AP217" t="e">
        <f>VLOOKUP($Z217,'oddspedia-matches'!$A:$AD,AP$2,0)</f>
        <v>#N/A</v>
      </c>
      <c r="AQ217" t="e">
        <f>VLOOKUP($Z217,'oddspedia-matches'!$A:$AD,AQ$2,0)</f>
        <v>#N/A</v>
      </c>
    </row>
    <row r="218" spans="2:43" x14ac:dyDescent="0.2">
      <c r="B218" s="9" t="s">
        <v>650</v>
      </c>
      <c r="C218" s="7" t="s">
        <v>490</v>
      </c>
      <c r="D218" s="20">
        <v>0.625</v>
      </c>
      <c r="E218" s="7" t="s">
        <v>321</v>
      </c>
      <c r="F218" s="7" t="s">
        <v>657</v>
      </c>
      <c r="G218" s="21"/>
      <c r="H218" s="7">
        <v>37.299999999999997</v>
      </c>
      <c r="I218" s="7">
        <v>34.799999999999997</v>
      </c>
      <c r="J218" s="7">
        <v>28</v>
      </c>
      <c r="K218" s="7">
        <v>72</v>
      </c>
      <c r="L218" s="7">
        <v>62.7</v>
      </c>
      <c r="M218" s="7">
        <v>65.2</v>
      </c>
      <c r="N218" s="7">
        <v>24.1</v>
      </c>
      <c r="O218" s="7">
        <v>57.9</v>
      </c>
      <c r="P218" s="7">
        <v>18</v>
      </c>
      <c r="Q218" s="7">
        <v>48.6</v>
      </c>
      <c r="R218" s="7">
        <v>56.2</v>
      </c>
      <c r="S218" s="7">
        <v>28</v>
      </c>
      <c r="T218" s="7">
        <v>72</v>
      </c>
      <c r="U218" s="7">
        <v>76.2</v>
      </c>
      <c r="V218" s="7">
        <v>37.200000000000003</v>
      </c>
      <c r="W218" s="7">
        <v>62.8</v>
      </c>
      <c r="X218" t="str">
        <f>VLOOKUP(E218,'Transform table'!A:B,2,0)</f>
        <v>Berazategui</v>
      </c>
      <c r="Y218" t="str">
        <f>VLOOKUP(F218,'Transform table'!A:B,2,0)</f>
        <v>Club Mercedes</v>
      </c>
      <c r="Z218" t="str">
        <f t="shared" si="3"/>
        <v>25/07/2026BerazateguiClub Mercedes</v>
      </c>
      <c r="AA218" t="str">
        <f>VLOOKUP($Z218,'oddspedia-matches'!$A:$AD,AA$2,0)</f>
        <v>0 - 1</v>
      </c>
      <c r="AB218" t="str">
        <f>VLOOKUP($Z218,'oddspedia-matches'!$A:$AD,AB$2,0)</f>
        <v>Red</v>
      </c>
      <c r="AC218" t="str">
        <f>VLOOKUP($Z218,'oddspedia-matches'!$A:$AD,AC$2,0)</f>
        <v>Red</v>
      </c>
      <c r="AD218" t="str">
        <f>VLOOKUP($Z218,'oddspedia-matches'!$A:$AD,AD$2,0)</f>
        <v>Green</v>
      </c>
      <c r="AE218" t="str">
        <f>VLOOKUP($Z218,'oddspedia-matches'!$A:$AD,AE$2,0)</f>
        <v>Red</v>
      </c>
      <c r="AF218" t="str">
        <f>VLOOKUP($Z218,'oddspedia-matches'!$A:$AD,AF$2,0)</f>
        <v>Green</v>
      </c>
      <c r="AG218" t="str">
        <f>VLOOKUP($Z218,'oddspedia-matches'!$A:$AD,AG$2,0)</f>
        <v>Green</v>
      </c>
      <c r="AH218" t="str">
        <f>VLOOKUP($Z218,'oddspedia-matches'!$A:$AD,AH$2,0)</f>
        <v>Red</v>
      </c>
      <c r="AI218" t="str">
        <f>VLOOKUP($Z218,'oddspedia-matches'!$A:$AD,AI$2,0)</f>
        <v>Red</v>
      </c>
      <c r="AJ218" t="str">
        <f>VLOOKUP($Z218,'oddspedia-matches'!$A:$AD,AJ$2,0)</f>
        <v>Green</v>
      </c>
      <c r="AK218" t="str">
        <f>VLOOKUP($Z218,'oddspedia-matches'!$A:$AD,AK$2,0)</f>
        <v>Green</v>
      </c>
      <c r="AL218" t="str">
        <f>VLOOKUP($Z218,'oddspedia-matches'!$A:$AD,AL$2,0)</f>
        <v>Red</v>
      </c>
      <c r="AM218" t="str">
        <f>VLOOKUP($Z218,'oddspedia-matches'!$A:$AD,AM$2,0)</f>
        <v>Red</v>
      </c>
      <c r="AN218" t="str">
        <f>VLOOKUP($Z218,'oddspedia-matches'!$A:$AD,AN$2,0)</f>
        <v>Green</v>
      </c>
      <c r="AO218" t="str">
        <f>VLOOKUP($Z218,'oddspedia-matches'!$A:$AD,AO$2,0)</f>
        <v>Green</v>
      </c>
      <c r="AP218" t="str">
        <f>VLOOKUP($Z218,'oddspedia-matches'!$A:$AD,AP$2,0)</f>
        <v>Red</v>
      </c>
      <c r="AQ218" t="str">
        <f>VLOOKUP($Z218,'oddspedia-matches'!$A:$AD,AQ$2,0)</f>
        <v>Green</v>
      </c>
    </row>
    <row r="219" spans="2:43" x14ac:dyDescent="0.2">
      <c r="B219" s="17" t="s">
        <v>650</v>
      </c>
      <c r="C219" s="8" t="s">
        <v>490</v>
      </c>
      <c r="D219" s="18">
        <v>0.625</v>
      </c>
      <c r="E219" s="8" t="s">
        <v>658</v>
      </c>
      <c r="F219" s="8" t="s">
        <v>659</v>
      </c>
      <c r="G219" s="19"/>
      <c r="H219" s="8">
        <v>52.3</v>
      </c>
      <c r="I219" s="8">
        <v>31.8</v>
      </c>
      <c r="J219" s="8">
        <v>16</v>
      </c>
      <c r="K219" s="8">
        <v>84</v>
      </c>
      <c r="L219" s="8">
        <v>47.7</v>
      </c>
      <c r="M219" s="8">
        <v>68.2</v>
      </c>
      <c r="N219" s="8">
        <v>30.8</v>
      </c>
      <c r="O219" s="8">
        <v>55.6</v>
      </c>
      <c r="P219" s="8">
        <v>13.6</v>
      </c>
      <c r="Q219" s="8">
        <v>50.7</v>
      </c>
      <c r="R219" s="8">
        <v>55.1</v>
      </c>
      <c r="S219" s="8">
        <v>27.2</v>
      </c>
      <c r="T219" s="8">
        <v>72.8</v>
      </c>
      <c r="U219" s="8">
        <v>78.7</v>
      </c>
      <c r="V219" s="8">
        <v>31.7</v>
      </c>
      <c r="W219" s="8">
        <v>68.3</v>
      </c>
      <c r="X219" t="str">
        <f>VLOOKUP(E219,'Transform table'!A:B,2,0)</f>
        <v>Canuelas FC</v>
      </c>
      <c r="Y219" t="str">
        <f>VLOOKUP(F219,'Transform table'!A:B,2,0)</f>
        <v>Deportivo Muniz</v>
      </c>
      <c r="Z219" t="str">
        <f t="shared" si="3"/>
        <v>25/07/2026Canuelas FCDeportivo Muniz</v>
      </c>
      <c r="AA219" t="str">
        <f>VLOOKUP($Z219,'oddspedia-matches'!$A:$AD,AA$2,0)</f>
        <v>0 - 1</v>
      </c>
      <c r="AB219" t="str">
        <f>VLOOKUP($Z219,'oddspedia-matches'!$A:$AD,AB$2,0)</f>
        <v>Red</v>
      </c>
      <c r="AC219" t="str">
        <f>VLOOKUP($Z219,'oddspedia-matches'!$A:$AD,AC$2,0)</f>
        <v>Red</v>
      </c>
      <c r="AD219" t="str">
        <f>VLOOKUP($Z219,'oddspedia-matches'!$A:$AD,AD$2,0)</f>
        <v>Green</v>
      </c>
      <c r="AE219" t="str">
        <f>VLOOKUP($Z219,'oddspedia-matches'!$A:$AD,AE$2,0)</f>
        <v>Red</v>
      </c>
      <c r="AF219" t="str">
        <f>VLOOKUP($Z219,'oddspedia-matches'!$A:$AD,AF$2,0)</f>
        <v>Green</v>
      </c>
      <c r="AG219" t="str">
        <f>VLOOKUP($Z219,'oddspedia-matches'!$A:$AD,AG$2,0)</f>
        <v>Green</v>
      </c>
      <c r="AH219" t="str">
        <f>VLOOKUP($Z219,'oddspedia-matches'!$A:$AD,AH$2,0)</f>
        <v>Red</v>
      </c>
      <c r="AI219" t="str">
        <f>VLOOKUP($Z219,'oddspedia-matches'!$A:$AD,AI$2,0)</f>
        <v>Red</v>
      </c>
      <c r="AJ219" t="str">
        <f>VLOOKUP($Z219,'oddspedia-matches'!$A:$AD,AJ$2,0)</f>
        <v>Green</v>
      </c>
      <c r="AK219" t="str">
        <f>VLOOKUP($Z219,'oddspedia-matches'!$A:$AD,AK$2,0)</f>
        <v>Green</v>
      </c>
      <c r="AL219" t="str">
        <f>VLOOKUP($Z219,'oddspedia-matches'!$A:$AD,AL$2,0)</f>
        <v>Red</v>
      </c>
      <c r="AM219" t="str">
        <f>VLOOKUP($Z219,'oddspedia-matches'!$A:$AD,AM$2,0)</f>
        <v>Red</v>
      </c>
      <c r="AN219" t="str">
        <f>VLOOKUP($Z219,'oddspedia-matches'!$A:$AD,AN$2,0)</f>
        <v>Green</v>
      </c>
      <c r="AO219" t="str">
        <f>VLOOKUP($Z219,'oddspedia-matches'!$A:$AD,AO$2,0)</f>
        <v>Green</v>
      </c>
      <c r="AP219" t="str">
        <f>VLOOKUP($Z219,'oddspedia-matches'!$A:$AD,AP$2,0)</f>
        <v>Red</v>
      </c>
      <c r="AQ219" t="str">
        <f>VLOOKUP($Z219,'oddspedia-matches'!$A:$AD,AQ$2,0)</f>
        <v>Green</v>
      </c>
    </row>
    <row r="220" spans="2:43" x14ac:dyDescent="0.2">
      <c r="B220" s="9" t="s">
        <v>650</v>
      </c>
      <c r="C220" s="7" t="s">
        <v>490</v>
      </c>
      <c r="D220" s="20">
        <v>0.625</v>
      </c>
      <c r="E220" s="7" t="s">
        <v>660</v>
      </c>
      <c r="F220" s="7" t="s">
        <v>315</v>
      </c>
      <c r="G220" s="21"/>
      <c r="H220" s="7">
        <v>54.6</v>
      </c>
      <c r="I220" s="7">
        <v>29.6</v>
      </c>
      <c r="J220" s="7">
        <v>15.8</v>
      </c>
      <c r="K220" s="7">
        <v>84.2</v>
      </c>
      <c r="L220" s="7">
        <v>45.4</v>
      </c>
      <c r="M220" s="7">
        <v>70.400000000000006</v>
      </c>
      <c r="N220" s="7">
        <v>34.700000000000003</v>
      </c>
      <c r="O220" s="7">
        <v>49.2</v>
      </c>
      <c r="P220" s="7">
        <v>16.100000000000001</v>
      </c>
      <c r="Q220" s="7">
        <v>59.6</v>
      </c>
      <c r="R220" s="7">
        <v>60.6</v>
      </c>
      <c r="S220" s="7">
        <v>32.4</v>
      </c>
      <c r="T220" s="7">
        <v>67.599999999999994</v>
      </c>
      <c r="U220" s="7">
        <v>74.2</v>
      </c>
      <c r="V220" s="7">
        <v>35.6</v>
      </c>
      <c r="W220" s="7">
        <v>64.400000000000006</v>
      </c>
      <c r="X220" t="str">
        <f>VLOOKUP(E220,'Transform table'!A:B,2,0)</f>
        <v>Estrella del Sur</v>
      </c>
      <c r="Y220" t="str">
        <f>VLOOKUP(F220,'Transform table'!A:B,2,0)</f>
        <v>Deportivo Paraguayo</v>
      </c>
      <c r="Z220" t="str">
        <f t="shared" si="3"/>
        <v>25/07/2026Estrella del SurDeportivo Paraguayo</v>
      </c>
      <c r="AA220" t="str">
        <f>VLOOKUP($Z220,'oddspedia-matches'!$A:$AD,AA$2,0)</f>
        <v>1 - 0</v>
      </c>
      <c r="AB220" t="str">
        <f>VLOOKUP($Z220,'oddspedia-matches'!$A:$AD,AB$2,0)</f>
        <v>Green</v>
      </c>
      <c r="AC220" t="str">
        <f>VLOOKUP($Z220,'oddspedia-matches'!$A:$AD,AC$2,0)</f>
        <v>Red</v>
      </c>
      <c r="AD220" t="str">
        <f>VLOOKUP($Z220,'oddspedia-matches'!$A:$AD,AD$2,0)</f>
        <v>Red</v>
      </c>
      <c r="AE220" t="str">
        <f>VLOOKUP($Z220,'oddspedia-matches'!$A:$AD,AE$2,0)</f>
        <v>Green</v>
      </c>
      <c r="AF220" t="str">
        <f>VLOOKUP($Z220,'oddspedia-matches'!$A:$AD,AF$2,0)</f>
        <v>Red</v>
      </c>
      <c r="AG220" t="str">
        <f>VLOOKUP($Z220,'oddspedia-matches'!$A:$AD,AG$2,0)</f>
        <v>Green</v>
      </c>
      <c r="AH220" t="str">
        <f>VLOOKUP($Z220,'oddspedia-matches'!$A:$AD,AH$2,0)</f>
        <v>Red</v>
      </c>
      <c r="AI220" t="str">
        <f>VLOOKUP($Z220,'oddspedia-matches'!$A:$AD,AI$2,0)</f>
        <v>Green</v>
      </c>
      <c r="AJ220" t="str">
        <f>VLOOKUP($Z220,'oddspedia-matches'!$A:$AD,AJ$2,0)</f>
        <v>Red</v>
      </c>
      <c r="AK220" t="str">
        <f>VLOOKUP($Z220,'oddspedia-matches'!$A:$AD,AK$2,0)</f>
        <v>Red</v>
      </c>
      <c r="AL220" t="str">
        <f>VLOOKUP($Z220,'oddspedia-matches'!$A:$AD,AL$2,0)</f>
        <v>Red</v>
      </c>
      <c r="AM220" t="str">
        <f>VLOOKUP($Z220,'oddspedia-matches'!$A:$AD,AM$2,0)</f>
        <v>Red</v>
      </c>
      <c r="AN220" t="str">
        <f>VLOOKUP($Z220,'oddspedia-matches'!$A:$AD,AN$2,0)</f>
        <v>Green</v>
      </c>
      <c r="AO220" t="str">
        <f>VLOOKUP($Z220,'oddspedia-matches'!$A:$AD,AO$2,0)</f>
        <v>Green</v>
      </c>
      <c r="AP220" t="str">
        <f>VLOOKUP($Z220,'oddspedia-matches'!$A:$AD,AP$2,0)</f>
        <v>Red</v>
      </c>
      <c r="AQ220" t="str">
        <f>VLOOKUP($Z220,'oddspedia-matches'!$A:$AD,AQ$2,0)</f>
        <v>Green</v>
      </c>
    </row>
    <row r="221" spans="2:43" x14ac:dyDescent="0.2">
      <c r="B221" s="17" t="s">
        <v>650</v>
      </c>
      <c r="C221" s="8" t="s">
        <v>490</v>
      </c>
      <c r="D221" s="18">
        <v>0.625</v>
      </c>
      <c r="E221" s="8" t="s">
        <v>661</v>
      </c>
      <c r="F221" s="8" t="s">
        <v>662</v>
      </c>
      <c r="G221" s="19"/>
      <c r="H221" s="8">
        <v>32.5</v>
      </c>
      <c r="I221" s="8">
        <v>34.1</v>
      </c>
      <c r="J221" s="8">
        <v>33.4</v>
      </c>
      <c r="K221" s="8">
        <v>66.599999999999994</v>
      </c>
      <c r="L221" s="8">
        <v>67.5</v>
      </c>
      <c r="M221" s="8">
        <v>65.900000000000006</v>
      </c>
      <c r="N221" s="8">
        <v>25.7</v>
      </c>
      <c r="O221" s="8">
        <v>54.7</v>
      </c>
      <c r="P221" s="8">
        <v>19.600000000000001</v>
      </c>
      <c r="Q221" s="8">
        <v>52.9</v>
      </c>
      <c r="R221" s="8">
        <v>59.6</v>
      </c>
      <c r="S221" s="8">
        <v>31.2</v>
      </c>
      <c r="T221" s="8">
        <v>68.8</v>
      </c>
      <c r="U221" s="8">
        <v>73.2</v>
      </c>
      <c r="V221" s="8">
        <v>40.4</v>
      </c>
      <c r="W221" s="8">
        <v>59.6</v>
      </c>
      <c r="X221">
        <f>VLOOKUP(E221,'Transform table'!A:B,2,0)</f>
        <v>0</v>
      </c>
      <c r="Y221">
        <f>VLOOKUP(F221,'Transform table'!A:B,2,0)</f>
        <v>0</v>
      </c>
      <c r="Z221" t="str">
        <f t="shared" si="3"/>
        <v>25/07/202600</v>
      </c>
      <c r="AA221" t="e">
        <f>VLOOKUP($Z221,'oddspedia-matches'!$A:$AD,AA$2,0)</f>
        <v>#N/A</v>
      </c>
      <c r="AB221" t="e">
        <f>VLOOKUP($Z221,'oddspedia-matches'!$A:$AD,AB$2,0)</f>
        <v>#N/A</v>
      </c>
      <c r="AC221" t="e">
        <f>VLOOKUP($Z221,'oddspedia-matches'!$A:$AD,AC$2,0)</f>
        <v>#N/A</v>
      </c>
      <c r="AD221" t="e">
        <f>VLOOKUP($Z221,'oddspedia-matches'!$A:$AD,AD$2,0)</f>
        <v>#N/A</v>
      </c>
      <c r="AE221" t="e">
        <f>VLOOKUP($Z221,'oddspedia-matches'!$A:$AD,AE$2,0)</f>
        <v>#N/A</v>
      </c>
      <c r="AF221" t="e">
        <f>VLOOKUP($Z221,'oddspedia-matches'!$A:$AD,AF$2,0)</f>
        <v>#N/A</v>
      </c>
      <c r="AG221" t="e">
        <f>VLOOKUP($Z221,'oddspedia-matches'!$A:$AD,AG$2,0)</f>
        <v>#N/A</v>
      </c>
      <c r="AH221" t="e">
        <f>VLOOKUP($Z221,'oddspedia-matches'!$A:$AD,AH$2,0)</f>
        <v>#N/A</v>
      </c>
      <c r="AI221" t="e">
        <f>VLOOKUP($Z221,'oddspedia-matches'!$A:$AD,AI$2,0)</f>
        <v>#N/A</v>
      </c>
      <c r="AJ221" t="e">
        <f>VLOOKUP($Z221,'oddspedia-matches'!$A:$AD,AJ$2,0)</f>
        <v>#N/A</v>
      </c>
      <c r="AK221" t="e">
        <f>VLOOKUP($Z221,'oddspedia-matches'!$A:$AD,AK$2,0)</f>
        <v>#N/A</v>
      </c>
      <c r="AL221" t="e">
        <f>VLOOKUP($Z221,'oddspedia-matches'!$A:$AD,AL$2,0)</f>
        <v>#N/A</v>
      </c>
      <c r="AM221" t="e">
        <f>VLOOKUP($Z221,'oddspedia-matches'!$A:$AD,AM$2,0)</f>
        <v>#N/A</v>
      </c>
      <c r="AN221" t="e">
        <f>VLOOKUP($Z221,'oddspedia-matches'!$A:$AD,AN$2,0)</f>
        <v>#N/A</v>
      </c>
      <c r="AO221" t="e">
        <f>VLOOKUP($Z221,'oddspedia-matches'!$A:$AD,AO$2,0)</f>
        <v>#N/A</v>
      </c>
      <c r="AP221" t="e">
        <f>VLOOKUP($Z221,'oddspedia-matches'!$A:$AD,AP$2,0)</f>
        <v>#N/A</v>
      </c>
      <c r="AQ221" t="e">
        <f>VLOOKUP($Z221,'oddspedia-matches'!$A:$AD,AQ$2,0)</f>
        <v>#N/A</v>
      </c>
    </row>
    <row r="222" spans="2:43" x14ac:dyDescent="0.2">
      <c r="B222" s="9" t="s">
        <v>650</v>
      </c>
      <c r="C222" s="7" t="s">
        <v>490</v>
      </c>
      <c r="D222" s="20">
        <v>0.625</v>
      </c>
      <c r="E222" s="7" t="s">
        <v>663</v>
      </c>
      <c r="F222" s="7" t="s">
        <v>664</v>
      </c>
      <c r="G222" s="21"/>
      <c r="H222" s="7">
        <v>43.5</v>
      </c>
      <c r="I222" s="7">
        <v>32.6</v>
      </c>
      <c r="J222" s="7">
        <v>24</v>
      </c>
      <c r="K222" s="7">
        <v>76</v>
      </c>
      <c r="L222" s="7">
        <v>56.5</v>
      </c>
      <c r="M222" s="7">
        <v>67.400000000000006</v>
      </c>
      <c r="N222" s="7">
        <v>28.6</v>
      </c>
      <c r="O222" s="7">
        <v>53.6</v>
      </c>
      <c r="P222" s="7">
        <v>17.8</v>
      </c>
      <c r="Q222" s="7">
        <v>54.2</v>
      </c>
      <c r="R222" s="7">
        <v>60.2</v>
      </c>
      <c r="S222" s="7">
        <v>31.9</v>
      </c>
      <c r="T222" s="7">
        <v>68.099999999999994</v>
      </c>
      <c r="U222" s="7">
        <v>73.099999999999994</v>
      </c>
      <c r="V222" s="7">
        <v>39.5</v>
      </c>
      <c r="W222" s="7">
        <v>60.5</v>
      </c>
      <c r="X222">
        <f>VLOOKUP(E222,'Transform table'!A:B,2,0)</f>
        <v>0</v>
      </c>
      <c r="Y222">
        <f>VLOOKUP(F222,'Transform table'!A:B,2,0)</f>
        <v>0</v>
      </c>
      <c r="Z222" t="str">
        <f t="shared" si="3"/>
        <v>25/07/202600</v>
      </c>
      <c r="AA222" t="e">
        <f>VLOOKUP($Z222,'oddspedia-matches'!$A:$AD,AA$2,0)</f>
        <v>#N/A</v>
      </c>
      <c r="AB222" t="e">
        <f>VLOOKUP($Z222,'oddspedia-matches'!$A:$AD,AB$2,0)</f>
        <v>#N/A</v>
      </c>
      <c r="AC222" t="e">
        <f>VLOOKUP($Z222,'oddspedia-matches'!$A:$AD,AC$2,0)</f>
        <v>#N/A</v>
      </c>
      <c r="AD222" t="e">
        <f>VLOOKUP($Z222,'oddspedia-matches'!$A:$AD,AD$2,0)</f>
        <v>#N/A</v>
      </c>
      <c r="AE222" t="e">
        <f>VLOOKUP($Z222,'oddspedia-matches'!$A:$AD,AE$2,0)</f>
        <v>#N/A</v>
      </c>
      <c r="AF222" t="e">
        <f>VLOOKUP($Z222,'oddspedia-matches'!$A:$AD,AF$2,0)</f>
        <v>#N/A</v>
      </c>
      <c r="AG222" t="e">
        <f>VLOOKUP($Z222,'oddspedia-matches'!$A:$AD,AG$2,0)</f>
        <v>#N/A</v>
      </c>
      <c r="AH222" t="e">
        <f>VLOOKUP($Z222,'oddspedia-matches'!$A:$AD,AH$2,0)</f>
        <v>#N/A</v>
      </c>
      <c r="AI222" t="e">
        <f>VLOOKUP($Z222,'oddspedia-matches'!$A:$AD,AI$2,0)</f>
        <v>#N/A</v>
      </c>
      <c r="AJ222" t="e">
        <f>VLOOKUP($Z222,'oddspedia-matches'!$A:$AD,AJ$2,0)</f>
        <v>#N/A</v>
      </c>
      <c r="AK222" t="e">
        <f>VLOOKUP($Z222,'oddspedia-matches'!$A:$AD,AK$2,0)</f>
        <v>#N/A</v>
      </c>
      <c r="AL222" t="e">
        <f>VLOOKUP($Z222,'oddspedia-matches'!$A:$AD,AL$2,0)</f>
        <v>#N/A</v>
      </c>
      <c r="AM222" t="e">
        <f>VLOOKUP($Z222,'oddspedia-matches'!$A:$AD,AM$2,0)</f>
        <v>#N/A</v>
      </c>
      <c r="AN222" t="e">
        <f>VLOOKUP($Z222,'oddspedia-matches'!$A:$AD,AN$2,0)</f>
        <v>#N/A</v>
      </c>
      <c r="AO222" t="e">
        <f>VLOOKUP($Z222,'oddspedia-matches'!$A:$AD,AO$2,0)</f>
        <v>#N/A</v>
      </c>
      <c r="AP222" t="e">
        <f>VLOOKUP($Z222,'oddspedia-matches'!$A:$AD,AP$2,0)</f>
        <v>#N/A</v>
      </c>
      <c r="AQ222" t="e">
        <f>VLOOKUP($Z222,'oddspedia-matches'!$A:$AD,AQ$2,0)</f>
        <v>#N/A</v>
      </c>
    </row>
    <row r="223" spans="2:43" x14ac:dyDescent="0.2">
      <c r="B223" s="17" t="s">
        <v>650</v>
      </c>
      <c r="C223" s="8" t="s">
        <v>490</v>
      </c>
      <c r="D223" s="18">
        <v>0.625</v>
      </c>
      <c r="E223" s="8" t="s">
        <v>379</v>
      </c>
      <c r="F223" s="8" t="s">
        <v>665</v>
      </c>
      <c r="G223" s="19"/>
      <c r="H223" s="8">
        <v>43.8</v>
      </c>
      <c r="I223" s="8">
        <v>32.9</v>
      </c>
      <c r="J223" s="8">
        <v>23.2</v>
      </c>
      <c r="K223" s="8">
        <v>76.8</v>
      </c>
      <c r="L223" s="8">
        <v>56.2</v>
      </c>
      <c r="M223" s="8">
        <v>67.099999999999994</v>
      </c>
      <c r="N223" s="8">
        <v>31.6</v>
      </c>
      <c r="O223" s="8">
        <v>52.3</v>
      </c>
      <c r="P223" s="8">
        <v>16.100000000000001</v>
      </c>
      <c r="Q223" s="8">
        <v>55.5</v>
      </c>
      <c r="R223" s="8">
        <v>58.7</v>
      </c>
      <c r="S223" s="8">
        <v>30.4</v>
      </c>
      <c r="T223" s="8">
        <v>69.599999999999994</v>
      </c>
      <c r="U223" s="8">
        <v>74.5</v>
      </c>
      <c r="V223" s="8">
        <v>38.1</v>
      </c>
      <c r="W223" s="8">
        <v>61.9</v>
      </c>
      <c r="X223">
        <f>VLOOKUP(E223,'Transform table'!A:B,2,0)</f>
        <v>0</v>
      </c>
      <c r="Y223">
        <f>VLOOKUP(F223,'Transform table'!A:B,2,0)</f>
        <v>0</v>
      </c>
      <c r="Z223" t="str">
        <f t="shared" si="3"/>
        <v>25/07/202600</v>
      </c>
      <c r="AA223" t="e">
        <f>VLOOKUP($Z223,'oddspedia-matches'!$A:$AD,AA$2,0)</f>
        <v>#N/A</v>
      </c>
      <c r="AB223" t="e">
        <f>VLOOKUP($Z223,'oddspedia-matches'!$A:$AD,AB$2,0)</f>
        <v>#N/A</v>
      </c>
      <c r="AC223" t="e">
        <f>VLOOKUP($Z223,'oddspedia-matches'!$A:$AD,AC$2,0)</f>
        <v>#N/A</v>
      </c>
      <c r="AD223" t="e">
        <f>VLOOKUP($Z223,'oddspedia-matches'!$A:$AD,AD$2,0)</f>
        <v>#N/A</v>
      </c>
      <c r="AE223" t="e">
        <f>VLOOKUP($Z223,'oddspedia-matches'!$A:$AD,AE$2,0)</f>
        <v>#N/A</v>
      </c>
      <c r="AF223" t="e">
        <f>VLOOKUP($Z223,'oddspedia-matches'!$A:$AD,AF$2,0)</f>
        <v>#N/A</v>
      </c>
      <c r="AG223" t="e">
        <f>VLOOKUP($Z223,'oddspedia-matches'!$A:$AD,AG$2,0)</f>
        <v>#N/A</v>
      </c>
      <c r="AH223" t="e">
        <f>VLOOKUP($Z223,'oddspedia-matches'!$A:$AD,AH$2,0)</f>
        <v>#N/A</v>
      </c>
      <c r="AI223" t="e">
        <f>VLOOKUP($Z223,'oddspedia-matches'!$A:$AD,AI$2,0)</f>
        <v>#N/A</v>
      </c>
      <c r="AJ223" t="e">
        <f>VLOOKUP($Z223,'oddspedia-matches'!$A:$AD,AJ$2,0)</f>
        <v>#N/A</v>
      </c>
      <c r="AK223" t="e">
        <f>VLOOKUP($Z223,'oddspedia-matches'!$A:$AD,AK$2,0)</f>
        <v>#N/A</v>
      </c>
      <c r="AL223" t="e">
        <f>VLOOKUP($Z223,'oddspedia-matches'!$A:$AD,AL$2,0)</f>
        <v>#N/A</v>
      </c>
      <c r="AM223" t="e">
        <f>VLOOKUP($Z223,'oddspedia-matches'!$A:$AD,AM$2,0)</f>
        <v>#N/A</v>
      </c>
      <c r="AN223" t="e">
        <f>VLOOKUP($Z223,'oddspedia-matches'!$A:$AD,AN$2,0)</f>
        <v>#N/A</v>
      </c>
      <c r="AO223" t="e">
        <f>VLOOKUP($Z223,'oddspedia-matches'!$A:$AD,AO$2,0)</f>
        <v>#N/A</v>
      </c>
      <c r="AP223" t="e">
        <f>VLOOKUP($Z223,'oddspedia-matches'!$A:$AD,AP$2,0)</f>
        <v>#N/A</v>
      </c>
      <c r="AQ223" t="e">
        <f>VLOOKUP($Z223,'oddspedia-matches'!$A:$AD,AQ$2,0)</f>
        <v>#N/A</v>
      </c>
    </row>
    <row r="224" spans="2:43" x14ac:dyDescent="0.2">
      <c r="B224" s="9" t="s">
        <v>650</v>
      </c>
      <c r="C224" s="7" t="s">
        <v>490</v>
      </c>
      <c r="D224" s="20">
        <v>0.625</v>
      </c>
      <c r="E224" s="7" t="s">
        <v>316</v>
      </c>
      <c r="F224" s="7" t="s">
        <v>666</v>
      </c>
      <c r="G224" s="21"/>
      <c r="H224" s="7">
        <v>41.7</v>
      </c>
      <c r="I224" s="7">
        <v>35.299999999999997</v>
      </c>
      <c r="J224" s="7">
        <v>23</v>
      </c>
      <c r="K224" s="7">
        <v>77</v>
      </c>
      <c r="L224" s="7">
        <v>58.3</v>
      </c>
      <c r="M224" s="7">
        <v>64.7</v>
      </c>
      <c r="N224" s="7">
        <v>26.8</v>
      </c>
      <c r="O224" s="7">
        <v>50.7</v>
      </c>
      <c r="P224" s="7">
        <v>22.5</v>
      </c>
      <c r="Q224" s="7">
        <v>58.7</v>
      </c>
      <c r="R224" s="7">
        <v>52.3</v>
      </c>
      <c r="S224" s="7">
        <v>24.6</v>
      </c>
      <c r="T224" s="7">
        <v>75.400000000000006</v>
      </c>
      <c r="U224" s="7">
        <v>79.599999999999994</v>
      </c>
      <c r="V224" s="7">
        <v>33.1</v>
      </c>
      <c r="W224" s="7">
        <v>66.900000000000006</v>
      </c>
      <c r="X224" t="str">
        <f>VLOOKUP(E224,'Transform table'!A:B,2,0)</f>
        <v>Leones de Rosario</v>
      </c>
      <c r="Y224" t="str">
        <f>VLOOKUP(F224,'Transform table'!A:B,2,0)</f>
        <v>Central Cordoba de Rosario</v>
      </c>
      <c r="Z224" t="str">
        <f t="shared" si="3"/>
        <v>25/07/2026Leones de RosarioCentral Cordoba de Rosario</v>
      </c>
      <c r="AA224" t="str">
        <f>VLOOKUP($Z224,'oddspedia-matches'!$A:$AD,AA$2,0)</f>
        <v>0 - 2</v>
      </c>
      <c r="AB224" t="str">
        <f>VLOOKUP($Z224,'oddspedia-matches'!$A:$AD,AB$2,0)</f>
        <v>Red</v>
      </c>
      <c r="AC224" t="str">
        <f>VLOOKUP($Z224,'oddspedia-matches'!$A:$AD,AC$2,0)</f>
        <v>Red</v>
      </c>
      <c r="AD224" t="str">
        <f>VLOOKUP($Z224,'oddspedia-matches'!$A:$AD,AD$2,0)</f>
        <v>Green</v>
      </c>
      <c r="AE224" t="str">
        <f>VLOOKUP($Z224,'oddspedia-matches'!$A:$AD,AE$2,0)</f>
        <v>Red</v>
      </c>
      <c r="AF224" t="str">
        <f>VLOOKUP($Z224,'oddspedia-matches'!$A:$AD,AF$2,0)</f>
        <v>Green</v>
      </c>
      <c r="AG224" t="str">
        <f>VLOOKUP($Z224,'oddspedia-matches'!$A:$AD,AG$2,0)</f>
        <v>Green</v>
      </c>
      <c r="AH224" t="str">
        <f>VLOOKUP($Z224,'oddspedia-matches'!$A:$AD,AH$2,0)</f>
        <v>Red</v>
      </c>
      <c r="AI224" t="str">
        <f>VLOOKUP($Z224,'oddspedia-matches'!$A:$AD,AI$2,0)</f>
        <v>Red</v>
      </c>
      <c r="AJ224" t="str">
        <f>VLOOKUP($Z224,'oddspedia-matches'!$A:$AD,AJ$2,0)</f>
        <v>Green</v>
      </c>
      <c r="AK224" t="str">
        <f>VLOOKUP($Z224,'oddspedia-matches'!$A:$AD,AK$2,0)</f>
        <v>Green</v>
      </c>
      <c r="AL224" t="str">
        <f>VLOOKUP($Z224,'oddspedia-matches'!$A:$AD,AL$2,0)</f>
        <v>Green</v>
      </c>
      <c r="AM224" t="str">
        <f>VLOOKUP($Z224,'oddspedia-matches'!$A:$AD,AM$2,0)</f>
        <v>Red</v>
      </c>
      <c r="AN224" t="str">
        <f>VLOOKUP($Z224,'oddspedia-matches'!$A:$AD,AN$2,0)</f>
        <v>Green</v>
      </c>
      <c r="AO224" t="str">
        <f>VLOOKUP($Z224,'oddspedia-matches'!$A:$AD,AO$2,0)</f>
        <v>Green</v>
      </c>
      <c r="AP224" t="str">
        <f>VLOOKUP($Z224,'oddspedia-matches'!$A:$AD,AP$2,0)</f>
        <v>Red</v>
      </c>
      <c r="AQ224" t="str">
        <f>VLOOKUP($Z224,'oddspedia-matches'!$A:$AD,AQ$2,0)</f>
        <v>Green</v>
      </c>
    </row>
    <row r="225" spans="2:43" x14ac:dyDescent="0.2">
      <c r="B225" s="17" t="s">
        <v>650</v>
      </c>
      <c r="C225" s="8" t="s">
        <v>490</v>
      </c>
      <c r="D225" s="18">
        <v>0.625</v>
      </c>
      <c r="E225" s="8" t="s">
        <v>667</v>
      </c>
      <c r="F225" s="8" t="s">
        <v>317</v>
      </c>
      <c r="G225" s="19"/>
      <c r="H225" s="8">
        <v>41.1</v>
      </c>
      <c r="I225" s="8">
        <v>30.4</v>
      </c>
      <c r="J225" s="8">
        <v>28.6</v>
      </c>
      <c r="K225" s="8">
        <v>71.400000000000006</v>
      </c>
      <c r="L225" s="8">
        <v>58.9</v>
      </c>
      <c r="M225" s="8">
        <v>69.599999999999994</v>
      </c>
      <c r="N225" s="8">
        <v>28.9</v>
      </c>
      <c r="O225" s="8">
        <v>50.8</v>
      </c>
      <c r="P225" s="8">
        <v>20.3</v>
      </c>
      <c r="Q225" s="8">
        <v>58.4</v>
      </c>
      <c r="R225" s="8">
        <v>69.3</v>
      </c>
      <c r="S225" s="8">
        <v>41.6</v>
      </c>
      <c r="T225" s="8">
        <v>58.4</v>
      </c>
      <c r="U225" s="8">
        <v>63.7</v>
      </c>
      <c r="V225" s="8">
        <v>48.5</v>
      </c>
      <c r="W225" s="8">
        <v>51.5</v>
      </c>
      <c r="X225" t="str">
        <f>VLOOKUP(E225,'Transform table'!A:B,2,0)</f>
        <v>CA Lugano</v>
      </c>
      <c r="Y225" t="str">
        <f>VLOOKUP(F225,'Transform table'!A:B,2,0)</f>
        <v>Centro Espanol</v>
      </c>
      <c r="Z225" t="str">
        <f t="shared" si="3"/>
        <v>25/07/2026CA LuganoCentro Espanol</v>
      </c>
      <c r="AA225" t="str">
        <f>VLOOKUP($Z225,'oddspedia-matches'!$A:$AD,AA$2,0)</f>
        <v>1 - 0</v>
      </c>
      <c r="AB225" t="str">
        <f>VLOOKUP($Z225,'oddspedia-matches'!$A:$AD,AB$2,0)</f>
        <v>Green</v>
      </c>
      <c r="AC225" t="str">
        <f>VLOOKUP($Z225,'oddspedia-matches'!$A:$AD,AC$2,0)</f>
        <v>Red</v>
      </c>
      <c r="AD225" t="str">
        <f>VLOOKUP($Z225,'oddspedia-matches'!$A:$AD,AD$2,0)</f>
        <v>Red</v>
      </c>
      <c r="AE225" t="str">
        <f>VLOOKUP($Z225,'oddspedia-matches'!$A:$AD,AE$2,0)</f>
        <v>Green</v>
      </c>
      <c r="AF225" t="str">
        <f>VLOOKUP($Z225,'oddspedia-matches'!$A:$AD,AF$2,0)</f>
        <v>Red</v>
      </c>
      <c r="AG225" t="str">
        <f>VLOOKUP($Z225,'oddspedia-matches'!$A:$AD,AG$2,0)</f>
        <v>Green</v>
      </c>
      <c r="AH225" t="str">
        <f>VLOOKUP($Z225,'oddspedia-matches'!$A:$AD,AH$2,0)</f>
        <v>Red</v>
      </c>
      <c r="AI225" t="str">
        <f>VLOOKUP($Z225,'oddspedia-matches'!$A:$AD,AI$2,0)</f>
        <v>Green</v>
      </c>
      <c r="AJ225" t="str">
        <f>VLOOKUP($Z225,'oddspedia-matches'!$A:$AD,AJ$2,0)</f>
        <v>Red</v>
      </c>
      <c r="AK225" t="str">
        <f>VLOOKUP($Z225,'oddspedia-matches'!$A:$AD,AK$2,0)</f>
        <v>Red</v>
      </c>
      <c r="AL225" t="str">
        <f>VLOOKUP($Z225,'oddspedia-matches'!$A:$AD,AL$2,0)</f>
        <v>Red</v>
      </c>
      <c r="AM225" t="str">
        <f>VLOOKUP($Z225,'oddspedia-matches'!$A:$AD,AM$2,0)</f>
        <v>Red</v>
      </c>
      <c r="AN225" t="str">
        <f>VLOOKUP($Z225,'oddspedia-matches'!$A:$AD,AN$2,0)</f>
        <v>Green</v>
      </c>
      <c r="AO225" t="str">
        <f>VLOOKUP($Z225,'oddspedia-matches'!$A:$AD,AO$2,0)</f>
        <v>Green</v>
      </c>
      <c r="AP225" t="str">
        <f>VLOOKUP($Z225,'oddspedia-matches'!$A:$AD,AP$2,0)</f>
        <v>Red</v>
      </c>
      <c r="AQ225" t="str">
        <f>VLOOKUP($Z225,'oddspedia-matches'!$A:$AD,AQ$2,0)</f>
        <v>Green</v>
      </c>
    </row>
    <row r="226" spans="2:43" x14ac:dyDescent="0.2">
      <c r="B226" s="9" t="s">
        <v>650</v>
      </c>
      <c r="C226" s="7" t="s">
        <v>490</v>
      </c>
      <c r="D226" s="20">
        <v>0.625</v>
      </c>
      <c r="E226" s="7" t="s">
        <v>668</v>
      </c>
      <c r="F226" s="7" t="s">
        <v>314</v>
      </c>
      <c r="G226" s="21"/>
      <c r="H226" s="7">
        <v>48.9</v>
      </c>
      <c r="I226" s="7">
        <v>30.8</v>
      </c>
      <c r="J226" s="7">
        <v>20.3</v>
      </c>
      <c r="K226" s="7">
        <v>79.7</v>
      </c>
      <c r="L226" s="7">
        <v>51.1</v>
      </c>
      <c r="M226" s="7">
        <v>69.2</v>
      </c>
      <c r="N226" s="7">
        <v>52.2</v>
      </c>
      <c r="O226" s="7">
        <v>40.299999999999997</v>
      </c>
      <c r="P226" s="7">
        <v>7.5</v>
      </c>
      <c r="Q226" s="7">
        <v>66.400000000000006</v>
      </c>
      <c r="R226" s="7">
        <v>62.2</v>
      </c>
      <c r="S226" s="7">
        <v>33.9</v>
      </c>
      <c r="T226" s="7">
        <v>66.099999999999994</v>
      </c>
      <c r="U226" s="7">
        <v>71.900000000000006</v>
      </c>
      <c r="V226" s="7">
        <v>39.6</v>
      </c>
      <c r="W226" s="7">
        <v>60.4</v>
      </c>
      <c r="X226">
        <f>VLOOKUP(E226,'Transform table'!A:B,2,0)</f>
        <v>0</v>
      </c>
      <c r="Y226">
        <f>VLOOKUP(F226,'Transform table'!A:B,2,0)</f>
        <v>0</v>
      </c>
      <c r="Z226" t="str">
        <f t="shared" si="3"/>
        <v>25/07/202600</v>
      </c>
      <c r="AA226" t="e">
        <f>VLOOKUP($Z226,'oddspedia-matches'!$A:$AD,AA$2,0)</f>
        <v>#N/A</v>
      </c>
      <c r="AB226" t="e">
        <f>VLOOKUP($Z226,'oddspedia-matches'!$A:$AD,AB$2,0)</f>
        <v>#N/A</v>
      </c>
      <c r="AC226" t="e">
        <f>VLOOKUP($Z226,'oddspedia-matches'!$A:$AD,AC$2,0)</f>
        <v>#N/A</v>
      </c>
      <c r="AD226" t="e">
        <f>VLOOKUP($Z226,'oddspedia-matches'!$A:$AD,AD$2,0)</f>
        <v>#N/A</v>
      </c>
      <c r="AE226" t="e">
        <f>VLOOKUP($Z226,'oddspedia-matches'!$A:$AD,AE$2,0)</f>
        <v>#N/A</v>
      </c>
      <c r="AF226" t="e">
        <f>VLOOKUP($Z226,'oddspedia-matches'!$A:$AD,AF$2,0)</f>
        <v>#N/A</v>
      </c>
      <c r="AG226" t="e">
        <f>VLOOKUP($Z226,'oddspedia-matches'!$A:$AD,AG$2,0)</f>
        <v>#N/A</v>
      </c>
      <c r="AH226" t="e">
        <f>VLOOKUP($Z226,'oddspedia-matches'!$A:$AD,AH$2,0)</f>
        <v>#N/A</v>
      </c>
      <c r="AI226" t="e">
        <f>VLOOKUP($Z226,'oddspedia-matches'!$A:$AD,AI$2,0)</f>
        <v>#N/A</v>
      </c>
      <c r="AJ226" t="e">
        <f>VLOOKUP($Z226,'oddspedia-matches'!$A:$AD,AJ$2,0)</f>
        <v>#N/A</v>
      </c>
      <c r="AK226" t="e">
        <f>VLOOKUP($Z226,'oddspedia-matches'!$A:$AD,AK$2,0)</f>
        <v>#N/A</v>
      </c>
      <c r="AL226" t="e">
        <f>VLOOKUP($Z226,'oddspedia-matches'!$A:$AD,AL$2,0)</f>
        <v>#N/A</v>
      </c>
      <c r="AM226" t="e">
        <f>VLOOKUP($Z226,'oddspedia-matches'!$A:$AD,AM$2,0)</f>
        <v>#N/A</v>
      </c>
      <c r="AN226" t="e">
        <f>VLOOKUP($Z226,'oddspedia-matches'!$A:$AD,AN$2,0)</f>
        <v>#N/A</v>
      </c>
      <c r="AO226" t="e">
        <f>VLOOKUP($Z226,'oddspedia-matches'!$A:$AD,AO$2,0)</f>
        <v>#N/A</v>
      </c>
      <c r="AP226" t="e">
        <f>VLOOKUP($Z226,'oddspedia-matches'!$A:$AD,AP$2,0)</f>
        <v>#N/A</v>
      </c>
      <c r="AQ226" t="e">
        <f>VLOOKUP($Z226,'oddspedia-matches'!$A:$AD,AQ$2,0)</f>
        <v>#N/A</v>
      </c>
    </row>
    <row r="227" spans="2:43" x14ac:dyDescent="0.2">
      <c r="B227" s="17" t="s">
        <v>650</v>
      </c>
      <c r="C227" s="8" t="s">
        <v>490</v>
      </c>
      <c r="D227" s="18">
        <v>0.625</v>
      </c>
      <c r="E227" s="8" t="s">
        <v>318</v>
      </c>
      <c r="F227" s="8" t="s">
        <v>669</v>
      </c>
      <c r="G227" s="19"/>
      <c r="H227" s="8">
        <v>54.4</v>
      </c>
      <c r="I227" s="8">
        <v>27.6</v>
      </c>
      <c r="J227" s="8">
        <v>18.100000000000001</v>
      </c>
      <c r="K227" s="8">
        <v>81.900000000000006</v>
      </c>
      <c r="L227" s="8">
        <v>45.6</v>
      </c>
      <c r="M227" s="8">
        <v>72.400000000000006</v>
      </c>
      <c r="N227" s="8">
        <v>43</v>
      </c>
      <c r="O227" s="8">
        <v>45.9</v>
      </c>
      <c r="P227" s="8">
        <v>11.1</v>
      </c>
      <c r="Q227" s="8">
        <v>61.7</v>
      </c>
      <c r="R227" s="8">
        <v>69.7</v>
      </c>
      <c r="S227" s="8">
        <v>42.2</v>
      </c>
      <c r="T227" s="8">
        <v>57.8</v>
      </c>
      <c r="U227" s="8">
        <v>64.7</v>
      </c>
      <c r="V227" s="8">
        <v>44.8</v>
      </c>
      <c r="W227" s="8">
        <v>55.2</v>
      </c>
      <c r="X227">
        <f>VLOOKUP(E227,'Transform table'!A:B,2,0)</f>
        <v>0</v>
      </c>
      <c r="Y227">
        <f>VLOOKUP(F227,'Transform table'!A:B,2,0)</f>
        <v>0</v>
      </c>
      <c r="Z227" t="str">
        <f t="shared" si="3"/>
        <v>25/07/202600</v>
      </c>
      <c r="AA227" t="e">
        <f>VLOOKUP($Z227,'oddspedia-matches'!$A:$AD,AA$2,0)</f>
        <v>#N/A</v>
      </c>
      <c r="AB227" t="e">
        <f>VLOOKUP($Z227,'oddspedia-matches'!$A:$AD,AB$2,0)</f>
        <v>#N/A</v>
      </c>
      <c r="AC227" t="e">
        <f>VLOOKUP($Z227,'oddspedia-matches'!$A:$AD,AC$2,0)</f>
        <v>#N/A</v>
      </c>
      <c r="AD227" t="e">
        <f>VLOOKUP($Z227,'oddspedia-matches'!$A:$AD,AD$2,0)</f>
        <v>#N/A</v>
      </c>
      <c r="AE227" t="e">
        <f>VLOOKUP($Z227,'oddspedia-matches'!$A:$AD,AE$2,0)</f>
        <v>#N/A</v>
      </c>
      <c r="AF227" t="e">
        <f>VLOOKUP($Z227,'oddspedia-matches'!$A:$AD,AF$2,0)</f>
        <v>#N/A</v>
      </c>
      <c r="AG227" t="e">
        <f>VLOOKUP($Z227,'oddspedia-matches'!$A:$AD,AG$2,0)</f>
        <v>#N/A</v>
      </c>
      <c r="AH227" t="e">
        <f>VLOOKUP($Z227,'oddspedia-matches'!$A:$AD,AH$2,0)</f>
        <v>#N/A</v>
      </c>
      <c r="AI227" t="e">
        <f>VLOOKUP($Z227,'oddspedia-matches'!$A:$AD,AI$2,0)</f>
        <v>#N/A</v>
      </c>
      <c r="AJ227" t="e">
        <f>VLOOKUP($Z227,'oddspedia-matches'!$A:$AD,AJ$2,0)</f>
        <v>#N/A</v>
      </c>
      <c r="AK227" t="e">
        <f>VLOOKUP($Z227,'oddspedia-matches'!$A:$AD,AK$2,0)</f>
        <v>#N/A</v>
      </c>
      <c r="AL227" t="e">
        <f>VLOOKUP($Z227,'oddspedia-matches'!$A:$AD,AL$2,0)</f>
        <v>#N/A</v>
      </c>
      <c r="AM227" t="e">
        <f>VLOOKUP($Z227,'oddspedia-matches'!$A:$AD,AM$2,0)</f>
        <v>#N/A</v>
      </c>
      <c r="AN227" t="e">
        <f>VLOOKUP($Z227,'oddspedia-matches'!$A:$AD,AN$2,0)</f>
        <v>#N/A</v>
      </c>
      <c r="AO227" t="e">
        <f>VLOOKUP($Z227,'oddspedia-matches'!$A:$AD,AO$2,0)</f>
        <v>#N/A</v>
      </c>
      <c r="AP227" t="e">
        <f>VLOOKUP($Z227,'oddspedia-matches'!$A:$AD,AP$2,0)</f>
        <v>#N/A</v>
      </c>
      <c r="AQ227" t="e">
        <f>VLOOKUP($Z227,'oddspedia-matches'!$A:$AD,AQ$2,0)</f>
        <v>#N/A</v>
      </c>
    </row>
    <row r="228" spans="2:43" x14ac:dyDescent="0.2">
      <c r="B228" s="9" t="s">
        <v>650</v>
      </c>
      <c r="C228" s="7" t="s">
        <v>490</v>
      </c>
      <c r="D228" s="20">
        <v>0.625</v>
      </c>
      <c r="E228" s="7" t="s">
        <v>670</v>
      </c>
      <c r="F228" s="7" t="s">
        <v>671</v>
      </c>
      <c r="G228" s="21"/>
      <c r="H228" s="7">
        <v>47.8</v>
      </c>
      <c r="I228" s="7">
        <v>36.200000000000003</v>
      </c>
      <c r="J228" s="7">
        <v>16</v>
      </c>
      <c r="K228" s="7">
        <v>84</v>
      </c>
      <c r="L228" s="7">
        <v>52.2</v>
      </c>
      <c r="M228" s="7">
        <v>63.8</v>
      </c>
      <c r="N228" s="7">
        <v>27.6</v>
      </c>
      <c r="O228" s="7">
        <v>62.6</v>
      </c>
      <c r="P228" s="7">
        <v>9.8000000000000007</v>
      </c>
      <c r="Q228" s="7">
        <v>41.1</v>
      </c>
      <c r="R228" s="7">
        <v>45.1</v>
      </c>
      <c r="S228" s="7">
        <v>19</v>
      </c>
      <c r="T228" s="7">
        <v>81</v>
      </c>
      <c r="U228" s="7">
        <v>85.5</v>
      </c>
      <c r="V228" s="7">
        <v>25</v>
      </c>
      <c r="W228" s="7">
        <v>75</v>
      </c>
      <c r="X228">
        <f>VLOOKUP(E228,'Transform table'!A:B,2,0)</f>
        <v>0</v>
      </c>
      <c r="Y228">
        <f>VLOOKUP(F228,'Transform table'!A:B,2,0)</f>
        <v>0</v>
      </c>
      <c r="Z228" t="str">
        <f t="shared" si="3"/>
        <v>25/07/202600</v>
      </c>
      <c r="AA228" t="e">
        <f>VLOOKUP($Z228,'oddspedia-matches'!$A:$AD,AA$2,0)</f>
        <v>#N/A</v>
      </c>
      <c r="AB228" t="e">
        <f>VLOOKUP($Z228,'oddspedia-matches'!$A:$AD,AB$2,0)</f>
        <v>#N/A</v>
      </c>
      <c r="AC228" t="e">
        <f>VLOOKUP($Z228,'oddspedia-matches'!$A:$AD,AC$2,0)</f>
        <v>#N/A</v>
      </c>
      <c r="AD228" t="e">
        <f>VLOOKUP($Z228,'oddspedia-matches'!$A:$AD,AD$2,0)</f>
        <v>#N/A</v>
      </c>
      <c r="AE228" t="e">
        <f>VLOOKUP($Z228,'oddspedia-matches'!$A:$AD,AE$2,0)</f>
        <v>#N/A</v>
      </c>
      <c r="AF228" t="e">
        <f>VLOOKUP($Z228,'oddspedia-matches'!$A:$AD,AF$2,0)</f>
        <v>#N/A</v>
      </c>
      <c r="AG228" t="e">
        <f>VLOOKUP($Z228,'oddspedia-matches'!$A:$AD,AG$2,0)</f>
        <v>#N/A</v>
      </c>
      <c r="AH228" t="e">
        <f>VLOOKUP($Z228,'oddspedia-matches'!$A:$AD,AH$2,0)</f>
        <v>#N/A</v>
      </c>
      <c r="AI228" t="e">
        <f>VLOOKUP($Z228,'oddspedia-matches'!$A:$AD,AI$2,0)</f>
        <v>#N/A</v>
      </c>
      <c r="AJ228" t="e">
        <f>VLOOKUP($Z228,'oddspedia-matches'!$A:$AD,AJ$2,0)</f>
        <v>#N/A</v>
      </c>
      <c r="AK228" t="e">
        <f>VLOOKUP($Z228,'oddspedia-matches'!$A:$AD,AK$2,0)</f>
        <v>#N/A</v>
      </c>
      <c r="AL228" t="e">
        <f>VLOOKUP($Z228,'oddspedia-matches'!$A:$AD,AL$2,0)</f>
        <v>#N/A</v>
      </c>
      <c r="AM228" t="e">
        <f>VLOOKUP($Z228,'oddspedia-matches'!$A:$AD,AM$2,0)</f>
        <v>#N/A</v>
      </c>
      <c r="AN228" t="e">
        <f>VLOOKUP($Z228,'oddspedia-matches'!$A:$AD,AN$2,0)</f>
        <v>#N/A</v>
      </c>
      <c r="AO228" t="e">
        <f>VLOOKUP($Z228,'oddspedia-matches'!$A:$AD,AO$2,0)</f>
        <v>#N/A</v>
      </c>
      <c r="AP228" t="e">
        <f>VLOOKUP($Z228,'oddspedia-matches'!$A:$AD,AP$2,0)</f>
        <v>#N/A</v>
      </c>
      <c r="AQ228" t="e">
        <f>VLOOKUP($Z228,'oddspedia-matches'!$A:$AD,AQ$2,0)</f>
        <v>#N/A</v>
      </c>
    </row>
    <row r="229" spans="2:43" x14ac:dyDescent="0.2">
      <c r="B229" s="17" t="s">
        <v>638</v>
      </c>
      <c r="C229" s="8" t="s">
        <v>490</v>
      </c>
      <c r="D229" s="18">
        <v>0.625</v>
      </c>
      <c r="E229" s="8" t="s">
        <v>672</v>
      </c>
      <c r="F229" s="8" t="s">
        <v>673</v>
      </c>
      <c r="G229" s="19"/>
      <c r="H229" s="8">
        <v>60.3</v>
      </c>
      <c r="I229" s="8">
        <v>23.6</v>
      </c>
      <c r="J229" s="8">
        <v>16.100000000000001</v>
      </c>
      <c r="K229" s="8">
        <v>83.9</v>
      </c>
      <c r="L229" s="8">
        <v>39.700000000000003</v>
      </c>
      <c r="M229" s="8">
        <v>76.400000000000006</v>
      </c>
      <c r="N229" s="8">
        <v>48</v>
      </c>
      <c r="O229" s="8">
        <v>33.799999999999997</v>
      </c>
      <c r="P229" s="8">
        <v>18.2</v>
      </c>
      <c r="Q229" s="8">
        <v>81.400000000000006</v>
      </c>
      <c r="R229" s="8">
        <v>91.7</v>
      </c>
      <c r="S229" s="8">
        <v>76.5</v>
      </c>
      <c r="T229" s="8">
        <v>23.5</v>
      </c>
      <c r="U229" s="8">
        <v>30</v>
      </c>
      <c r="V229" s="8">
        <v>70.599999999999994</v>
      </c>
      <c r="W229" s="8">
        <v>29.4</v>
      </c>
      <c r="X229" t="str">
        <f>VLOOKUP(E229,'Transform table'!A:B,2,0)</f>
        <v>Haugesund</v>
      </c>
      <c r="Y229" t="str">
        <f>VLOOKUP(F229,'Transform table'!A:B,2,0)</f>
        <v>Bryne</v>
      </c>
      <c r="Z229" t="str">
        <f t="shared" si="3"/>
        <v>25/07/2026HaugesundBryne</v>
      </c>
      <c r="AA229" t="str">
        <f>VLOOKUP($Z229,'oddspedia-matches'!$A:$AD,AA$2,0)</f>
        <v>1 - 2</v>
      </c>
      <c r="AB229" t="str">
        <f>VLOOKUP($Z229,'oddspedia-matches'!$A:$AD,AB$2,0)</f>
        <v>Red</v>
      </c>
      <c r="AC229" t="str">
        <f>VLOOKUP($Z229,'oddspedia-matches'!$A:$AD,AC$2,0)</f>
        <v>Red</v>
      </c>
      <c r="AD229" t="str">
        <f>VLOOKUP($Z229,'oddspedia-matches'!$A:$AD,AD$2,0)</f>
        <v>Green</v>
      </c>
      <c r="AE229" t="str">
        <f>VLOOKUP($Z229,'oddspedia-matches'!$A:$AD,AE$2,0)</f>
        <v>Red</v>
      </c>
      <c r="AF229" t="str">
        <f>VLOOKUP($Z229,'oddspedia-matches'!$A:$AD,AF$2,0)</f>
        <v>Green</v>
      </c>
      <c r="AG229" t="str">
        <f>VLOOKUP($Z229,'oddspedia-matches'!$A:$AD,AG$2,0)</f>
        <v>Green</v>
      </c>
      <c r="AH229" t="str">
        <f>VLOOKUP($Z229,'oddspedia-matches'!$A:$AD,AH$2,0)</f>
        <v>Green</v>
      </c>
      <c r="AI229" t="str">
        <f>VLOOKUP($Z229,'oddspedia-matches'!$A:$AD,AI$2,0)</f>
        <v>Red</v>
      </c>
      <c r="AJ229" t="str">
        <f>VLOOKUP($Z229,'oddspedia-matches'!$A:$AD,AJ$2,0)</f>
        <v>Red</v>
      </c>
      <c r="AK229" t="str">
        <f>VLOOKUP($Z229,'oddspedia-matches'!$A:$AD,AK$2,0)</f>
        <v>Green</v>
      </c>
      <c r="AL229" t="str">
        <f>VLOOKUP($Z229,'oddspedia-matches'!$A:$AD,AL$2,0)</f>
        <v>Green</v>
      </c>
      <c r="AM229" t="str">
        <f>VLOOKUP($Z229,'oddspedia-matches'!$A:$AD,AM$2,0)</f>
        <v>Green</v>
      </c>
      <c r="AN229" t="str">
        <f>VLOOKUP($Z229,'oddspedia-matches'!$A:$AD,AN$2,0)</f>
        <v>Red</v>
      </c>
      <c r="AO229" t="str">
        <f>VLOOKUP($Z229,'oddspedia-matches'!$A:$AD,AO$2,0)</f>
        <v>Green</v>
      </c>
      <c r="AP229" t="str">
        <f>VLOOKUP($Z229,'oddspedia-matches'!$A:$AD,AP$2,0)</f>
        <v>Green</v>
      </c>
      <c r="AQ229" t="str">
        <f>VLOOKUP($Z229,'oddspedia-matches'!$A:$AD,AQ$2,0)</f>
        <v>Red</v>
      </c>
    </row>
    <row r="230" spans="2:43" x14ac:dyDescent="0.2">
      <c r="B230" s="9" t="s">
        <v>482</v>
      </c>
      <c r="C230" s="7" t="s">
        <v>490</v>
      </c>
      <c r="D230" s="20">
        <v>0.625</v>
      </c>
      <c r="E230" s="7" t="s">
        <v>674</v>
      </c>
      <c r="F230" s="7" t="s">
        <v>675</v>
      </c>
      <c r="G230" s="21"/>
      <c r="H230" s="7">
        <v>39.5</v>
      </c>
      <c r="I230" s="7">
        <v>30.4</v>
      </c>
      <c r="J230" s="7">
        <v>30.1</v>
      </c>
      <c r="K230" s="7">
        <v>69.900000000000006</v>
      </c>
      <c r="L230" s="7">
        <v>60.5</v>
      </c>
      <c r="M230" s="7">
        <v>69.599999999999994</v>
      </c>
      <c r="N230" s="7">
        <v>27.7</v>
      </c>
      <c r="O230" s="7">
        <v>48.6</v>
      </c>
      <c r="P230" s="7">
        <v>23.7</v>
      </c>
      <c r="Q230" s="7">
        <v>61.9</v>
      </c>
      <c r="R230" s="7">
        <v>69.8</v>
      </c>
      <c r="S230" s="7">
        <v>42.3</v>
      </c>
      <c r="T230" s="7">
        <v>57.7</v>
      </c>
      <c r="U230" s="7">
        <v>63</v>
      </c>
      <c r="V230" s="7">
        <v>49.3</v>
      </c>
      <c r="W230" s="7">
        <v>50.7</v>
      </c>
      <c r="X230" t="str">
        <f>VLOOKUP(E230,'Transform table'!A:B,2,0)</f>
        <v>Sport Huancayo</v>
      </c>
      <c r="Y230" t="str">
        <f>VLOOKUP(F230,'Transform table'!A:B,2,0)</f>
        <v>Atletico Grau</v>
      </c>
      <c r="Z230" t="str">
        <f t="shared" si="3"/>
        <v>25/07/2026Sport HuancayoAtletico Grau</v>
      </c>
      <c r="AA230" t="str">
        <f>VLOOKUP($Z230,'oddspedia-matches'!$A:$AD,AA$2,0)</f>
        <v>2 - 0</v>
      </c>
      <c r="AB230" t="str">
        <f>VLOOKUP($Z230,'oddspedia-matches'!$A:$AD,AB$2,0)</f>
        <v>Green</v>
      </c>
      <c r="AC230" t="str">
        <f>VLOOKUP($Z230,'oddspedia-matches'!$A:$AD,AC$2,0)</f>
        <v>Red</v>
      </c>
      <c r="AD230" t="str">
        <f>VLOOKUP($Z230,'oddspedia-matches'!$A:$AD,AD$2,0)</f>
        <v>Red</v>
      </c>
      <c r="AE230" t="str">
        <f>VLOOKUP($Z230,'oddspedia-matches'!$A:$AD,AE$2,0)</f>
        <v>Green</v>
      </c>
      <c r="AF230" t="str">
        <f>VLOOKUP($Z230,'oddspedia-matches'!$A:$AD,AF$2,0)</f>
        <v>Red</v>
      </c>
      <c r="AG230" t="str">
        <f>VLOOKUP($Z230,'oddspedia-matches'!$A:$AD,AG$2,0)</f>
        <v>Green</v>
      </c>
      <c r="AH230" t="str">
        <f>VLOOKUP($Z230,'oddspedia-matches'!$A:$AD,AH$2,0)</f>
        <v>Red</v>
      </c>
      <c r="AI230" t="str">
        <f>VLOOKUP($Z230,'oddspedia-matches'!$A:$AD,AI$2,0)</f>
        <v>Green</v>
      </c>
      <c r="AJ230" t="str">
        <f>VLOOKUP($Z230,'oddspedia-matches'!$A:$AD,AJ$2,0)</f>
        <v>Red</v>
      </c>
      <c r="AK230" t="str">
        <f>VLOOKUP($Z230,'oddspedia-matches'!$A:$AD,AK$2,0)</f>
        <v>Red</v>
      </c>
      <c r="AL230" t="str">
        <f>VLOOKUP($Z230,'oddspedia-matches'!$A:$AD,AL$2,0)</f>
        <v>Green</v>
      </c>
      <c r="AM230" t="str">
        <f>VLOOKUP($Z230,'oddspedia-matches'!$A:$AD,AM$2,0)</f>
        <v>Red</v>
      </c>
      <c r="AN230" t="str">
        <f>VLOOKUP($Z230,'oddspedia-matches'!$A:$AD,AN$2,0)</f>
        <v>Green</v>
      </c>
      <c r="AO230" t="str">
        <f>VLOOKUP($Z230,'oddspedia-matches'!$A:$AD,AO$2,0)</f>
        <v>Green</v>
      </c>
      <c r="AP230" t="str">
        <f>VLOOKUP($Z230,'oddspedia-matches'!$A:$AD,AP$2,0)</f>
        <v>Red</v>
      </c>
      <c r="AQ230" t="str">
        <f>VLOOKUP($Z230,'oddspedia-matches'!$A:$AD,AQ$2,0)</f>
        <v>Green</v>
      </c>
    </row>
    <row r="231" spans="2:43" x14ac:dyDescent="0.2">
      <c r="B231" s="17" t="s">
        <v>486</v>
      </c>
      <c r="C231" s="8" t="s">
        <v>490</v>
      </c>
      <c r="D231" s="18">
        <v>0.625</v>
      </c>
      <c r="E231" s="8" t="s">
        <v>676</v>
      </c>
      <c r="F231" s="8" t="s">
        <v>677</v>
      </c>
      <c r="G231" s="19"/>
      <c r="H231" s="8">
        <v>51.6</v>
      </c>
      <c r="I231" s="8">
        <v>30.9</v>
      </c>
      <c r="J231" s="8">
        <v>17.5</v>
      </c>
      <c r="K231" s="8">
        <v>82.5</v>
      </c>
      <c r="L231" s="8">
        <v>48.4</v>
      </c>
      <c r="M231" s="8">
        <v>69.099999999999994</v>
      </c>
      <c r="N231" s="8">
        <v>31</v>
      </c>
      <c r="O231" s="8">
        <v>50.9</v>
      </c>
      <c r="P231" s="8">
        <v>18.100000000000001</v>
      </c>
      <c r="Q231" s="8">
        <v>57.9</v>
      </c>
      <c r="R231" s="8">
        <v>59.1</v>
      </c>
      <c r="S231" s="8">
        <v>30.9</v>
      </c>
      <c r="T231" s="8">
        <v>69.099999999999994</v>
      </c>
      <c r="U231" s="8">
        <v>75.099999999999994</v>
      </c>
      <c r="V231" s="8">
        <v>35.700000000000003</v>
      </c>
      <c r="W231" s="8">
        <v>64.3</v>
      </c>
      <c r="X231" t="str">
        <f>VLOOKUP(E231,'Transform table'!A:B,2,0)</f>
        <v>Defensor Sporting</v>
      </c>
      <c r="Y231" t="str">
        <f>VLOOKUP(F231,'Transform table'!A:B,2,0)</f>
        <v>CA Cerro</v>
      </c>
      <c r="Z231" t="str">
        <f t="shared" si="3"/>
        <v>25/07/2026Defensor SportingCA Cerro</v>
      </c>
      <c r="AA231" t="str">
        <f>VLOOKUP($Z231,'oddspedia-matches'!$A:$AD,AA$2,0)</f>
        <v xml:space="preserve"> - </v>
      </c>
      <c r="AB231" t="str">
        <f>VLOOKUP($Z231,'oddspedia-matches'!$A:$AD,AB$2,0)</f>
        <v>Red</v>
      </c>
      <c r="AC231" t="str">
        <f>VLOOKUP($Z231,'oddspedia-matches'!$A:$AD,AC$2,0)</f>
        <v>Green</v>
      </c>
      <c r="AD231" t="str">
        <f>VLOOKUP($Z231,'oddspedia-matches'!$A:$AD,AD$2,0)</f>
        <v>Red</v>
      </c>
      <c r="AE231" t="str">
        <f>VLOOKUP($Z231,'oddspedia-matches'!$A:$AD,AE$2,0)</f>
        <v>Green</v>
      </c>
      <c r="AF231" t="str">
        <f>VLOOKUP($Z231,'oddspedia-matches'!$A:$AD,AF$2,0)</f>
        <v>Green</v>
      </c>
      <c r="AG231" t="str">
        <f>VLOOKUP($Z231,'oddspedia-matches'!$A:$AD,AG$2,0)</f>
        <v>Red</v>
      </c>
      <c r="AH231" t="str">
        <f>VLOOKUP($Z231,'oddspedia-matches'!$A:$AD,AH$2,0)</f>
        <v>Red</v>
      </c>
      <c r="AI231" t="str">
        <f>VLOOKUP($Z231,'oddspedia-matches'!$A:$AD,AI$2,0)</f>
        <v>Green</v>
      </c>
      <c r="AJ231" t="str">
        <f>VLOOKUP($Z231,'oddspedia-matches'!$A:$AD,AJ$2,0)</f>
        <v>Red</v>
      </c>
      <c r="AK231" t="str">
        <f>VLOOKUP($Z231,'oddspedia-matches'!$A:$AD,AK$2,0)</f>
        <v>Red</v>
      </c>
      <c r="AL231" t="str">
        <f>VLOOKUP($Z231,'oddspedia-matches'!$A:$AD,AL$2,0)</f>
        <v>Red</v>
      </c>
      <c r="AM231" t="str">
        <f>VLOOKUP($Z231,'oddspedia-matches'!$A:$AD,AM$2,0)</f>
        <v>Red</v>
      </c>
      <c r="AN231" t="str">
        <f>VLOOKUP($Z231,'oddspedia-matches'!$A:$AD,AN$2,0)</f>
        <v>Green</v>
      </c>
      <c r="AO231" t="str">
        <f>VLOOKUP($Z231,'oddspedia-matches'!$A:$AD,AO$2,0)</f>
        <v>Green</v>
      </c>
      <c r="AP231" t="str">
        <f>VLOOKUP($Z231,'oddspedia-matches'!$A:$AD,AP$2,0)</f>
        <v>Red</v>
      </c>
      <c r="AQ231" t="str">
        <f>VLOOKUP($Z231,'oddspedia-matches'!$A:$AD,AQ$2,0)</f>
        <v>Green</v>
      </c>
    </row>
    <row r="232" spans="2:43" x14ac:dyDescent="0.2">
      <c r="B232" s="9" t="s">
        <v>477</v>
      </c>
      <c r="C232" s="7" t="s">
        <v>490</v>
      </c>
      <c r="D232" s="20">
        <v>0.64583333333333337</v>
      </c>
      <c r="E232" s="7" t="s">
        <v>678</v>
      </c>
      <c r="F232" s="7" t="s">
        <v>679</v>
      </c>
      <c r="G232" s="21"/>
      <c r="H232" s="7">
        <v>45.3</v>
      </c>
      <c r="I232" s="7">
        <v>28.8</v>
      </c>
      <c r="J232" s="7">
        <v>25.9</v>
      </c>
      <c r="K232" s="7">
        <v>74.099999999999994</v>
      </c>
      <c r="L232" s="7">
        <v>54.7</v>
      </c>
      <c r="M232" s="7">
        <v>71.2</v>
      </c>
      <c r="N232" s="7">
        <v>25</v>
      </c>
      <c r="O232" s="7">
        <v>52.2</v>
      </c>
      <c r="P232" s="7">
        <v>22.8</v>
      </c>
      <c r="Q232" s="7">
        <v>56.7</v>
      </c>
      <c r="R232" s="7">
        <v>72.7</v>
      </c>
      <c r="S232" s="7">
        <v>45.9</v>
      </c>
      <c r="T232" s="7">
        <v>54.1</v>
      </c>
      <c r="U232" s="7">
        <v>59.9</v>
      </c>
      <c r="V232" s="7">
        <v>51.2</v>
      </c>
      <c r="W232" s="7">
        <v>48.8</v>
      </c>
      <c r="X232" t="str">
        <f>VLOOKUP(E232,'Transform table'!A:B,2,0)</f>
        <v>Longford Town</v>
      </c>
      <c r="Y232" t="str">
        <f>VLOOKUP(F232,'Transform table'!A:B,2,0)</f>
        <v>Wexford Youths</v>
      </c>
      <c r="Z232" t="str">
        <f t="shared" si="3"/>
        <v>25/07/2026Longford TownWexford Youths</v>
      </c>
      <c r="AA232" t="str">
        <f>VLOOKUP($Z232,'oddspedia-matches'!$A:$AD,AA$2,0)</f>
        <v>1 - 2</v>
      </c>
      <c r="AB232" t="str">
        <f>VLOOKUP($Z232,'oddspedia-matches'!$A:$AD,AB$2,0)</f>
        <v>Red</v>
      </c>
      <c r="AC232" t="str">
        <f>VLOOKUP($Z232,'oddspedia-matches'!$A:$AD,AC$2,0)</f>
        <v>Red</v>
      </c>
      <c r="AD232" t="str">
        <f>VLOOKUP($Z232,'oddspedia-matches'!$A:$AD,AD$2,0)</f>
        <v>Green</v>
      </c>
      <c r="AE232" t="str">
        <f>VLOOKUP($Z232,'oddspedia-matches'!$A:$AD,AE$2,0)</f>
        <v>Red</v>
      </c>
      <c r="AF232" t="str">
        <f>VLOOKUP($Z232,'oddspedia-matches'!$A:$AD,AF$2,0)</f>
        <v>Green</v>
      </c>
      <c r="AG232" t="str">
        <f>VLOOKUP($Z232,'oddspedia-matches'!$A:$AD,AG$2,0)</f>
        <v>Green</v>
      </c>
      <c r="AH232" t="str">
        <f>VLOOKUP($Z232,'oddspedia-matches'!$A:$AD,AH$2,0)</f>
        <v>Red</v>
      </c>
      <c r="AI232" t="str">
        <f>VLOOKUP($Z232,'oddspedia-matches'!$A:$AD,AI$2,0)</f>
        <v>Red</v>
      </c>
      <c r="AJ232" t="str">
        <f>VLOOKUP($Z232,'oddspedia-matches'!$A:$AD,AJ$2,0)</f>
        <v>Green</v>
      </c>
      <c r="AK232" t="str">
        <f>VLOOKUP($Z232,'oddspedia-matches'!$A:$AD,AK$2,0)</f>
        <v>Green</v>
      </c>
      <c r="AL232" t="str">
        <f>VLOOKUP($Z232,'oddspedia-matches'!$A:$AD,AL$2,0)</f>
        <v>Green</v>
      </c>
      <c r="AM232" t="str">
        <f>VLOOKUP($Z232,'oddspedia-matches'!$A:$AD,AM$2,0)</f>
        <v>Green</v>
      </c>
      <c r="AN232" t="str">
        <f>VLOOKUP($Z232,'oddspedia-matches'!$A:$AD,AN$2,0)</f>
        <v>Red</v>
      </c>
      <c r="AO232" t="str">
        <f>VLOOKUP($Z232,'oddspedia-matches'!$A:$AD,AO$2,0)</f>
        <v>Green</v>
      </c>
      <c r="AP232" t="str">
        <f>VLOOKUP($Z232,'oddspedia-matches'!$A:$AD,AP$2,0)</f>
        <v>Green</v>
      </c>
      <c r="AQ232" t="str">
        <f>VLOOKUP($Z232,'oddspedia-matches'!$A:$AD,AQ$2,0)</f>
        <v>Red</v>
      </c>
    </row>
    <row r="233" spans="2:43" x14ac:dyDescent="0.2">
      <c r="B233" s="17" t="s">
        <v>478</v>
      </c>
      <c r="C233" s="8" t="s">
        <v>490</v>
      </c>
      <c r="D233" s="18">
        <v>0.65625</v>
      </c>
      <c r="E233" s="8" t="s">
        <v>680</v>
      </c>
      <c r="F233" s="8" t="s">
        <v>681</v>
      </c>
      <c r="G233" s="19"/>
      <c r="H233" s="8">
        <v>38.9</v>
      </c>
      <c r="I233" s="8">
        <v>28.6</v>
      </c>
      <c r="J233" s="8">
        <v>32.5</v>
      </c>
      <c r="K233" s="8">
        <v>67.5</v>
      </c>
      <c r="L233" s="8">
        <v>61.1</v>
      </c>
      <c r="M233" s="8">
        <v>71.400000000000006</v>
      </c>
      <c r="N233" s="8">
        <v>34.6</v>
      </c>
      <c r="O233" s="8">
        <v>44.5</v>
      </c>
      <c r="P233" s="8">
        <v>20.9</v>
      </c>
      <c r="Q233" s="8">
        <v>67.3</v>
      </c>
      <c r="R233" s="8">
        <v>76.3</v>
      </c>
      <c r="S233" s="8">
        <v>50.5</v>
      </c>
      <c r="T233" s="8">
        <v>49.5</v>
      </c>
      <c r="U233" s="8">
        <v>55</v>
      </c>
      <c r="V233" s="8">
        <v>56</v>
      </c>
      <c r="W233" s="8">
        <v>44</v>
      </c>
      <c r="X233" t="str">
        <f>VLOOKUP(E233,'Transform table'!A:B,2,0)</f>
        <v>Sligo FC</v>
      </c>
      <c r="Y233" t="str">
        <f>VLOOKUP(F233,'Transform table'!A:B,2,0)</f>
        <v>Drogheda United</v>
      </c>
      <c r="Z233" t="str">
        <f t="shared" si="3"/>
        <v>25/07/2026Sligo FCDrogheda United</v>
      </c>
      <c r="AA233" t="str">
        <f>VLOOKUP($Z233,'oddspedia-matches'!$A:$AD,AA$2,0)</f>
        <v>2 - 2</v>
      </c>
      <c r="AB233" t="str">
        <f>VLOOKUP($Z233,'oddspedia-matches'!$A:$AD,AB$2,0)</f>
        <v>Red</v>
      </c>
      <c r="AC233" t="str">
        <f>VLOOKUP($Z233,'oddspedia-matches'!$A:$AD,AC$2,0)</f>
        <v>Green</v>
      </c>
      <c r="AD233" t="str">
        <f>VLOOKUP($Z233,'oddspedia-matches'!$A:$AD,AD$2,0)</f>
        <v>Red</v>
      </c>
      <c r="AE233" t="str">
        <f>VLOOKUP($Z233,'oddspedia-matches'!$A:$AD,AE$2,0)</f>
        <v>Green</v>
      </c>
      <c r="AF233" t="str">
        <f>VLOOKUP($Z233,'oddspedia-matches'!$A:$AD,AF$2,0)</f>
        <v>Green</v>
      </c>
      <c r="AG233" t="str">
        <f>VLOOKUP($Z233,'oddspedia-matches'!$A:$AD,AG$2,0)</f>
        <v>Red</v>
      </c>
      <c r="AH233" t="str">
        <f>VLOOKUP($Z233,'oddspedia-matches'!$A:$AD,AH$2,0)</f>
        <v>Green</v>
      </c>
      <c r="AI233" t="str">
        <f>VLOOKUP($Z233,'oddspedia-matches'!$A:$AD,AI$2,0)</f>
        <v>Red</v>
      </c>
      <c r="AJ233" t="str">
        <f>VLOOKUP($Z233,'oddspedia-matches'!$A:$AD,AJ$2,0)</f>
        <v>Red</v>
      </c>
      <c r="AK233" t="str">
        <f>VLOOKUP($Z233,'oddspedia-matches'!$A:$AD,AK$2,0)</f>
        <v>Green</v>
      </c>
      <c r="AL233" t="str">
        <f>VLOOKUP($Z233,'oddspedia-matches'!$A:$AD,AL$2,0)</f>
        <v>Green</v>
      </c>
      <c r="AM233" t="str">
        <f>VLOOKUP($Z233,'oddspedia-matches'!$A:$AD,AM$2,0)</f>
        <v>Green</v>
      </c>
      <c r="AN233" t="str">
        <f>VLOOKUP($Z233,'oddspedia-matches'!$A:$AD,AN$2,0)</f>
        <v>Red</v>
      </c>
      <c r="AO233" t="str">
        <f>VLOOKUP($Z233,'oddspedia-matches'!$A:$AD,AO$2,0)</f>
        <v>Red</v>
      </c>
      <c r="AP233" t="str">
        <f>VLOOKUP($Z233,'oddspedia-matches'!$A:$AD,AP$2,0)</f>
        <v>Green</v>
      </c>
      <c r="AQ233" t="str">
        <f>VLOOKUP($Z233,'oddspedia-matches'!$A:$AD,AQ$2,0)</f>
        <v>Red</v>
      </c>
    </row>
    <row r="234" spans="2:43" x14ac:dyDescent="0.2">
      <c r="B234" s="9" t="s">
        <v>647</v>
      </c>
      <c r="C234" s="7" t="s">
        <v>490</v>
      </c>
      <c r="D234" s="20">
        <v>0.66666666666666663</v>
      </c>
      <c r="E234" s="7" t="s">
        <v>682</v>
      </c>
      <c r="F234" s="7" t="s">
        <v>683</v>
      </c>
      <c r="G234" s="21"/>
      <c r="H234" s="7">
        <v>36.1</v>
      </c>
      <c r="I234" s="7">
        <v>37</v>
      </c>
      <c r="J234" s="7">
        <v>26.9</v>
      </c>
      <c r="K234" s="7">
        <v>73.099999999999994</v>
      </c>
      <c r="L234" s="7">
        <v>63.9</v>
      </c>
      <c r="M234" s="7">
        <v>63</v>
      </c>
      <c r="N234" s="7">
        <v>29.4</v>
      </c>
      <c r="O234" s="7">
        <v>56.9</v>
      </c>
      <c r="P234" s="7">
        <v>13.7</v>
      </c>
      <c r="Q234" s="7">
        <v>49.1</v>
      </c>
      <c r="R234" s="7">
        <v>50.1</v>
      </c>
      <c r="S234" s="7">
        <v>22.7</v>
      </c>
      <c r="T234" s="7">
        <v>77.3</v>
      </c>
      <c r="U234" s="7">
        <v>80.900000000000006</v>
      </c>
      <c r="V234" s="7">
        <v>32.4</v>
      </c>
      <c r="W234" s="7">
        <v>67.599999999999994</v>
      </c>
      <c r="X234" t="str">
        <f>VLOOKUP(E234,'Transform table'!A:B,2,0)</f>
        <v>Atletico de Rafaela</v>
      </c>
      <c r="Y234" t="str">
        <f>VLOOKUP(F234,'Transform table'!A:B,2,0)</f>
        <v>Nueva Chicago</v>
      </c>
      <c r="Z234" t="str">
        <f t="shared" si="3"/>
        <v>25/07/2026Atletico de RafaelaNueva Chicago</v>
      </c>
      <c r="AA234" t="str">
        <f>VLOOKUP($Z234,'oddspedia-matches'!$A:$AD,AA$2,0)</f>
        <v>1 - 0</v>
      </c>
      <c r="AB234" t="str">
        <f>VLOOKUP($Z234,'oddspedia-matches'!$A:$AD,AB$2,0)</f>
        <v>Green</v>
      </c>
      <c r="AC234" t="str">
        <f>VLOOKUP($Z234,'oddspedia-matches'!$A:$AD,AC$2,0)</f>
        <v>Red</v>
      </c>
      <c r="AD234" t="str">
        <f>VLOOKUP($Z234,'oddspedia-matches'!$A:$AD,AD$2,0)</f>
        <v>Red</v>
      </c>
      <c r="AE234" t="str">
        <f>VLOOKUP($Z234,'oddspedia-matches'!$A:$AD,AE$2,0)</f>
        <v>Green</v>
      </c>
      <c r="AF234" t="str">
        <f>VLOOKUP($Z234,'oddspedia-matches'!$A:$AD,AF$2,0)</f>
        <v>Red</v>
      </c>
      <c r="AG234" t="str">
        <f>VLOOKUP($Z234,'oddspedia-matches'!$A:$AD,AG$2,0)</f>
        <v>Green</v>
      </c>
      <c r="AH234" t="str">
        <f>VLOOKUP($Z234,'oddspedia-matches'!$A:$AD,AH$2,0)</f>
        <v>Red</v>
      </c>
      <c r="AI234" t="str">
        <f>VLOOKUP($Z234,'oddspedia-matches'!$A:$AD,AI$2,0)</f>
        <v>Green</v>
      </c>
      <c r="AJ234" t="str">
        <f>VLOOKUP($Z234,'oddspedia-matches'!$A:$AD,AJ$2,0)</f>
        <v>Red</v>
      </c>
      <c r="AK234" t="str">
        <f>VLOOKUP($Z234,'oddspedia-matches'!$A:$AD,AK$2,0)</f>
        <v>Red</v>
      </c>
      <c r="AL234" t="str">
        <f>VLOOKUP($Z234,'oddspedia-matches'!$A:$AD,AL$2,0)</f>
        <v>Red</v>
      </c>
      <c r="AM234" t="str">
        <f>VLOOKUP($Z234,'oddspedia-matches'!$A:$AD,AM$2,0)</f>
        <v>Red</v>
      </c>
      <c r="AN234" t="str">
        <f>VLOOKUP($Z234,'oddspedia-matches'!$A:$AD,AN$2,0)</f>
        <v>Green</v>
      </c>
      <c r="AO234" t="str">
        <f>VLOOKUP($Z234,'oddspedia-matches'!$A:$AD,AO$2,0)</f>
        <v>Green</v>
      </c>
      <c r="AP234" t="str">
        <f>VLOOKUP($Z234,'oddspedia-matches'!$A:$AD,AP$2,0)</f>
        <v>Red</v>
      </c>
      <c r="AQ234" t="str">
        <f>VLOOKUP($Z234,'oddspedia-matches'!$A:$AD,AQ$2,0)</f>
        <v>Green</v>
      </c>
    </row>
    <row r="235" spans="2:43" x14ac:dyDescent="0.2">
      <c r="B235" s="17" t="s">
        <v>457</v>
      </c>
      <c r="C235" s="8" t="s">
        <v>490</v>
      </c>
      <c r="D235" s="18">
        <v>0.66666666666666663</v>
      </c>
      <c r="E235" s="8" t="s">
        <v>684</v>
      </c>
      <c r="F235" s="8" t="s">
        <v>261</v>
      </c>
      <c r="G235" s="19"/>
      <c r="H235" s="8">
        <v>72.400000000000006</v>
      </c>
      <c r="I235" s="8">
        <v>19.899999999999999</v>
      </c>
      <c r="J235" s="8">
        <v>7.6</v>
      </c>
      <c r="K235" s="8">
        <v>92.4</v>
      </c>
      <c r="L235" s="8">
        <v>27.6</v>
      </c>
      <c r="M235" s="8">
        <v>80.099999999999994</v>
      </c>
      <c r="N235" s="8">
        <v>53.3</v>
      </c>
      <c r="O235" s="8">
        <v>40.799999999999997</v>
      </c>
      <c r="P235" s="8">
        <v>5.9</v>
      </c>
      <c r="Q235" s="8">
        <v>64.5</v>
      </c>
      <c r="R235" s="8">
        <v>84.3</v>
      </c>
      <c r="S235" s="8">
        <v>63.1</v>
      </c>
      <c r="T235" s="8">
        <v>36.9</v>
      </c>
      <c r="U235" s="8">
        <v>47.9</v>
      </c>
      <c r="V235" s="8">
        <v>49.1</v>
      </c>
      <c r="W235" s="8">
        <v>50.9</v>
      </c>
      <c r="X235" t="str">
        <f>VLOOKUP(E235,'Transform table'!A:B,2,0)</f>
        <v>Always Ready</v>
      </c>
      <c r="Y235" t="str">
        <f>VLOOKUP(F235,'Transform table'!A:B,2,0)</f>
        <v>SA Bulo Bulo</v>
      </c>
      <c r="Z235" t="str">
        <f t="shared" si="3"/>
        <v>25/07/2026Always ReadySA Bulo Bulo</v>
      </c>
      <c r="AA235" t="str">
        <f>VLOOKUP($Z235,'oddspedia-matches'!$A:$AD,AA$2,0)</f>
        <v>3 - 1</v>
      </c>
      <c r="AB235" t="str">
        <f>VLOOKUP($Z235,'oddspedia-matches'!$A:$AD,AB$2,0)</f>
        <v>Green</v>
      </c>
      <c r="AC235" t="str">
        <f>VLOOKUP($Z235,'oddspedia-matches'!$A:$AD,AC$2,0)</f>
        <v>Red</v>
      </c>
      <c r="AD235" t="str">
        <f>VLOOKUP($Z235,'oddspedia-matches'!$A:$AD,AD$2,0)</f>
        <v>Red</v>
      </c>
      <c r="AE235" t="str">
        <f>VLOOKUP($Z235,'oddspedia-matches'!$A:$AD,AE$2,0)</f>
        <v>Green</v>
      </c>
      <c r="AF235" t="str">
        <f>VLOOKUP($Z235,'oddspedia-matches'!$A:$AD,AF$2,0)</f>
        <v>Red</v>
      </c>
      <c r="AG235" t="str">
        <f>VLOOKUP($Z235,'oddspedia-matches'!$A:$AD,AG$2,0)</f>
        <v>Green</v>
      </c>
      <c r="AH235" t="str">
        <f>VLOOKUP($Z235,'oddspedia-matches'!$A:$AD,AH$2,0)</f>
        <v>Green</v>
      </c>
      <c r="AI235" t="str">
        <f>VLOOKUP($Z235,'oddspedia-matches'!$A:$AD,AI$2,0)</f>
        <v>Red</v>
      </c>
      <c r="AJ235" t="str">
        <f>VLOOKUP($Z235,'oddspedia-matches'!$A:$AD,AJ$2,0)</f>
        <v>Red</v>
      </c>
      <c r="AK235" t="str">
        <f>VLOOKUP($Z235,'oddspedia-matches'!$A:$AD,AK$2,0)</f>
        <v>Green</v>
      </c>
      <c r="AL235" t="str">
        <f>VLOOKUP($Z235,'oddspedia-matches'!$A:$AD,AL$2,0)</f>
        <v>Green</v>
      </c>
      <c r="AM235" t="str">
        <f>VLOOKUP($Z235,'oddspedia-matches'!$A:$AD,AM$2,0)</f>
        <v>Green</v>
      </c>
      <c r="AN235" t="str">
        <f>VLOOKUP($Z235,'oddspedia-matches'!$A:$AD,AN$2,0)</f>
        <v>Red</v>
      </c>
      <c r="AO235" t="str">
        <f>VLOOKUP($Z235,'oddspedia-matches'!$A:$AD,AO$2,0)</f>
        <v>Red</v>
      </c>
      <c r="AP235" t="str">
        <f>VLOOKUP($Z235,'oddspedia-matches'!$A:$AD,AP$2,0)</f>
        <v>Green</v>
      </c>
      <c r="AQ235" t="str">
        <f>VLOOKUP($Z235,'oddspedia-matches'!$A:$AD,AQ$2,0)</f>
        <v>Red</v>
      </c>
    </row>
    <row r="236" spans="2:43" x14ac:dyDescent="0.2">
      <c r="B236" s="9" t="s">
        <v>685</v>
      </c>
      <c r="C236" s="7" t="s">
        <v>490</v>
      </c>
      <c r="D236" s="20">
        <v>0.66666666666666663</v>
      </c>
      <c r="E236" s="7" t="s">
        <v>686</v>
      </c>
      <c r="F236" s="7" t="s">
        <v>687</v>
      </c>
      <c r="G236" s="21"/>
      <c r="H236" s="7">
        <v>43.6</v>
      </c>
      <c r="I236" s="7">
        <v>30.9</v>
      </c>
      <c r="J236" s="7">
        <v>25.5</v>
      </c>
      <c r="K236" s="7">
        <v>74.5</v>
      </c>
      <c r="L236" s="7">
        <v>56.4</v>
      </c>
      <c r="M236" s="7">
        <v>69.099999999999994</v>
      </c>
      <c r="N236" s="7">
        <v>24.5</v>
      </c>
      <c r="O236" s="7">
        <v>57.9</v>
      </c>
      <c r="P236" s="7">
        <v>17.600000000000001</v>
      </c>
      <c r="Q236" s="7">
        <v>48.5</v>
      </c>
      <c r="R236" s="7">
        <v>66.099999999999994</v>
      </c>
      <c r="S236" s="7">
        <v>38.1</v>
      </c>
      <c r="T236" s="7">
        <v>61.9</v>
      </c>
      <c r="U236" s="7">
        <v>67.3</v>
      </c>
      <c r="V236" s="7">
        <v>45</v>
      </c>
      <c r="W236" s="7">
        <v>55</v>
      </c>
      <c r="X236" t="str">
        <f>VLOOKUP(E236,'Transform table'!A:B,2,0)</f>
        <v>Iguatu</v>
      </c>
      <c r="Y236" t="str">
        <f>VLOOKUP(F236,'Transform table'!A:B,2,0)</f>
        <v>Nacional AM</v>
      </c>
      <c r="Z236" t="str">
        <f t="shared" si="3"/>
        <v>25/07/2026IguatuNacional AM</v>
      </c>
      <c r="AA236" t="str">
        <f>VLOOKUP($Z236,'oddspedia-matches'!$A:$AD,AA$2,0)</f>
        <v>1 - 1</v>
      </c>
      <c r="AB236" t="str">
        <f>VLOOKUP($Z236,'oddspedia-matches'!$A:$AD,AB$2,0)</f>
        <v>Red</v>
      </c>
      <c r="AC236" t="str">
        <f>VLOOKUP($Z236,'oddspedia-matches'!$A:$AD,AC$2,0)</f>
        <v>Green</v>
      </c>
      <c r="AD236" t="str">
        <f>VLOOKUP($Z236,'oddspedia-matches'!$A:$AD,AD$2,0)</f>
        <v>Red</v>
      </c>
      <c r="AE236" t="str">
        <f>VLOOKUP($Z236,'oddspedia-matches'!$A:$AD,AE$2,0)</f>
        <v>Green</v>
      </c>
      <c r="AF236" t="str">
        <f>VLOOKUP($Z236,'oddspedia-matches'!$A:$AD,AF$2,0)</f>
        <v>Green</v>
      </c>
      <c r="AG236" t="str">
        <f>VLOOKUP($Z236,'oddspedia-matches'!$A:$AD,AG$2,0)</f>
        <v>Red</v>
      </c>
      <c r="AH236" t="str">
        <f>VLOOKUP($Z236,'oddspedia-matches'!$A:$AD,AH$2,0)</f>
        <v>Red</v>
      </c>
      <c r="AI236" t="str">
        <f>VLOOKUP($Z236,'oddspedia-matches'!$A:$AD,AI$2,0)</f>
        <v>Green</v>
      </c>
      <c r="AJ236" t="str">
        <f>VLOOKUP($Z236,'oddspedia-matches'!$A:$AD,AJ$2,0)</f>
        <v>Red</v>
      </c>
      <c r="AK236" t="str">
        <f>VLOOKUP($Z236,'oddspedia-matches'!$A:$AD,AK$2,0)</f>
        <v>Green</v>
      </c>
      <c r="AL236" t="str">
        <f>VLOOKUP($Z236,'oddspedia-matches'!$A:$AD,AL$2,0)</f>
        <v>Green</v>
      </c>
      <c r="AM236" t="str">
        <f>VLOOKUP($Z236,'oddspedia-matches'!$A:$AD,AM$2,0)</f>
        <v>Red</v>
      </c>
      <c r="AN236" t="str">
        <f>VLOOKUP($Z236,'oddspedia-matches'!$A:$AD,AN$2,0)</f>
        <v>Green</v>
      </c>
      <c r="AO236" t="str">
        <f>VLOOKUP($Z236,'oddspedia-matches'!$A:$AD,AO$2,0)</f>
        <v>Green</v>
      </c>
      <c r="AP236" t="str">
        <f>VLOOKUP($Z236,'oddspedia-matches'!$A:$AD,AP$2,0)</f>
        <v>Green</v>
      </c>
      <c r="AQ236" t="str">
        <f>VLOOKUP($Z236,'oddspedia-matches'!$A:$AD,AQ$2,0)</f>
        <v>Red</v>
      </c>
    </row>
    <row r="237" spans="2:43" x14ac:dyDescent="0.2">
      <c r="B237" s="17" t="s">
        <v>685</v>
      </c>
      <c r="C237" s="8" t="s">
        <v>490</v>
      </c>
      <c r="D237" s="18">
        <v>0.66666666666666663</v>
      </c>
      <c r="E237" s="8" t="s">
        <v>688</v>
      </c>
      <c r="F237" s="8" t="s">
        <v>689</v>
      </c>
      <c r="G237" s="19"/>
      <c r="H237" s="8">
        <v>43.9</v>
      </c>
      <c r="I237" s="8">
        <v>31.3</v>
      </c>
      <c r="J237" s="8">
        <v>24.8</v>
      </c>
      <c r="K237" s="8">
        <v>75.2</v>
      </c>
      <c r="L237" s="8">
        <v>56.1</v>
      </c>
      <c r="M237" s="8">
        <v>68.7</v>
      </c>
      <c r="N237" s="8">
        <v>28.8</v>
      </c>
      <c r="O237" s="8">
        <v>51.9</v>
      </c>
      <c r="P237" s="8">
        <v>19.399999999999999</v>
      </c>
      <c r="Q237" s="8">
        <v>56.8</v>
      </c>
      <c r="R237" s="8">
        <v>64.400000000000006</v>
      </c>
      <c r="S237" s="8">
        <v>36.1</v>
      </c>
      <c r="T237" s="8">
        <v>63.9</v>
      </c>
      <c r="U237" s="8">
        <v>69.2</v>
      </c>
      <c r="V237" s="8">
        <v>43.3</v>
      </c>
      <c r="W237" s="8">
        <v>56.7</v>
      </c>
      <c r="X237" t="str">
        <f>VLOOKUP(E237,'Transform table'!A:B,2,0)</f>
        <v>Portuguesa SP</v>
      </c>
      <c r="Y237" t="str">
        <f>VLOOKUP(F237,'Transform table'!A:B,2,0)</f>
        <v>Uberlandia MG</v>
      </c>
      <c r="Z237" t="str">
        <f t="shared" si="3"/>
        <v>25/07/2026Portuguesa SPUberlandia MG</v>
      </c>
      <c r="AA237" t="str">
        <f>VLOOKUP($Z237,'oddspedia-matches'!$A:$AD,AA$2,0)</f>
        <v>1 - 0</v>
      </c>
      <c r="AB237" t="str">
        <f>VLOOKUP($Z237,'oddspedia-matches'!$A:$AD,AB$2,0)</f>
        <v>Green</v>
      </c>
      <c r="AC237" t="str">
        <f>VLOOKUP($Z237,'oddspedia-matches'!$A:$AD,AC$2,0)</f>
        <v>Red</v>
      </c>
      <c r="AD237" t="str">
        <f>VLOOKUP($Z237,'oddspedia-matches'!$A:$AD,AD$2,0)</f>
        <v>Red</v>
      </c>
      <c r="AE237" t="str">
        <f>VLOOKUP($Z237,'oddspedia-matches'!$A:$AD,AE$2,0)</f>
        <v>Green</v>
      </c>
      <c r="AF237" t="str">
        <f>VLOOKUP($Z237,'oddspedia-matches'!$A:$AD,AF$2,0)</f>
        <v>Red</v>
      </c>
      <c r="AG237" t="str">
        <f>VLOOKUP($Z237,'oddspedia-matches'!$A:$AD,AG$2,0)</f>
        <v>Green</v>
      </c>
      <c r="AH237" t="str">
        <f>VLOOKUP($Z237,'oddspedia-matches'!$A:$AD,AH$2,0)</f>
        <v>Red</v>
      </c>
      <c r="AI237" t="str">
        <f>VLOOKUP($Z237,'oddspedia-matches'!$A:$AD,AI$2,0)</f>
        <v>Green</v>
      </c>
      <c r="AJ237" t="str">
        <f>VLOOKUP($Z237,'oddspedia-matches'!$A:$AD,AJ$2,0)</f>
        <v>Red</v>
      </c>
      <c r="AK237" t="str">
        <f>VLOOKUP($Z237,'oddspedia-matches'!$A:$AD,AK$2,0)</f>
        <v>Red</v>
      </c>
      <c r="AL237" t="str">
        <f>VLOOKUP($Z237,'oddspedia-matches'!$A:$AD,AL$2,0)</f>
        <v>Red</v>
      </c>
      <c r="AM237" t="str">
        <f>VLOOKUP($Z237,'oddspedia-matches'!$A:$AD,AM$2,0)</f>
        <v>Red</v>
      </c>
      <c r="AN237" t="str">
        <f>VLOOKUP($Z237,'oddspedia-matches'!$A:$AD,AN$2,0)</f>
        <v>Green</v>
      </c>
      <c r="AO237" t="str">
        <f>VLOOKUP($Z237,'oddspedia-matches'!$A:$AD,AO$2,0)</f>
        <v>Green</v>
      </c>
      <c r="AP237" t="str">
        <f>VLOOKUP($Z237,'oddspedia-matches'!$A:$AD,AP$2,0)</f>
        <v>Red</v>
      </c>
      <c r="AQ237" t="str">
        <f>VLOOKUP($Z237,'oddspedia-matches'!$A:$AD,AQ$2,0)</f>
        <v>Green</v>
      </c>
    </row>
    <row r="238" spans="2:43" x14ac:dyDescent="0.2">
      <c r="B238" s="9" t="s">
        <v>485</v>
      </c>
      <c r="C238" s="7" t="s">
        <v>490</v>
      </c>
      <c r="D238" s="20">
        <v>0.66666666666666663</v>
      </c>
      <c r="E238" s="7" t="s">
        <v>690</v>
      </c>
      <c r="F238" s="7" t="s">
        <v>691</v>
      </c>
      <c r="G238" s="21"/>
      <c r="H238" s="7">
        <v>54.6</v>
      </c>
      <c r="I238" s="7">
        <v>26.3</v>
      </c>
      <c r="J238" s="7">
        <v>19.2</v>
      </c>
      <c r="K238" s="7">
        <v>80.8</v>
      </c>
      <c r="L238" s="7">
        <v>45.4</v>
      </c>
      <c r="M238" s="7">
        <v>73.7</v>
      </c>
      <c r="N238" s="7">
        <v>44.4</v>
      </c>
      <c r="O238" s="7">
        <v>42.5</v>
      </c>
      <c r="P238" s="7">
        <v>13.1</v>
      </c>
      <c r="Q238" s="7">
        <v>67.099999999999994</v>
      </c>
      <c r="R238" s="7">
        <v>75.400000000000006</v>
      </c>
      <c r="S238" s="7">
        <v>49.4</v>
      </c>
      <c r="T238" s="7">
        <v>50.6</v>
      </c>
      <c r="U238" s="7">
        <v>57.6</v>
      </c>
      <c r="V238" s="7">
        <v>50.9</v>
      </c>
      <c r="W238" s="7">
        <v>49.1</v>
      </c>
      <c r="X238" t="str">
        <f>VLOOKUP(E238,'Transform table'!A:B,2,0)</f>
        <v>Coquimbo Unido</v>
      </c>
      <c r="Y238" t="str">
        <f>VLOOKUP(F238,'Transform table'!A:B,2,0)</f>
        <v>Universidad de Concepcion</v>
      </c>
      <c r="Z238" t="str">
        <f t="shared" si="3"/>
        <v>25/07/2026Coquimbo UnidoUniversidad de Concepcion</v>
      </c>
      <c r="AA238" t="str">
        <f>VLOOKUP($Z238,'oddspedia-matches'!$A:$AD,AA$2,0)</f>
        <v xml:space="preserve"> - </v>
      </c>
      <c r="AB238" t="str">
        <f>VLOOKUP($Z238,'oddspedia-matches'!$A:$AD,AB$2,0)</f>
        <v>Red</v>
      </c>
      <c r="AC238" t="str">
        <f>VLOOKUP($Z238,'oddspedia-matches'!$A:$AD,AC$2,0)</f>
        <v>Green</v>
      </c>
      <c r="AD238" t="str">
        <f>VLOOKUP($Z238,'oddspedia-matches'!$A:$AD,AD$2,0)</f>
        <v>Red</v>
      </c>
      <c r="AE238" t="str">
        <f>VLOOKUP($Z238,'oddspedia-matches'!$A:$AD,AE$2,0)</f>
        <v>Green</v>
      </c>
      <c r="AF238" t="str">
        <f>VLOOKUP($Z238,'oddspedia-matches'!$A:$AD,AF$2,0)</f>
        <v>Green</v>
      </c>
      <c r="AG238" t="str">
        <f>VLOOKUP($Z238,'oddspedia-matches'!$A:$AD,AG$2,0)</f>
        <v>Red</v>
      </c>
      <c r="AH238" t="str">
        <f>VLOOKUP($Z238,'oddspedia-matches'!$A:$AD,AH$2,0)</f>
        <v>Red</v>
      </c>
      <c r="AI238" t="str">
        <f>VLOOKUP($Z238,'oddspedia-matches'!$A:$AD,AI$2,0)</f>
        <v>Green</v>
      </c>
      <c r="AJ238" t="str">
        <f>VLOOKUP($Z238,'oddspedia-matches'!$A:$AD,AJ$2,0)</f>
        <v>Red</v>
      </c>
      <c r="AK238" t="str">
        <f>VLOOKUP($Z238,'oddspedia-matches'!$A:$AD,AK$2,0)</f>
        <v>Red</v>
      </c>
      <c r="AL238" t="str">
        <f>VLOOKUP($Z238,'oddspedia-matches'!$A:$AD,AL$2,0)</f>
        <v>Red</v>
      </c>
      <c r="AM238" t="str">
        <f>VLOOKUP($Z238,'oddspedia-matches'!$A:$AD,AM$2,0)</f>
        <v>Red</v>
      </c>
      <c r="AN238" t="str">
        <f>VLOOKUP($Z238,'oddspedia-matches'!$A:$AD,AN$2,0)</f>
        <v>Green</v>
      </c>
      <c r="AO238" t="str">
        <f>VLOOKUP($Z238,'oddspedia-matches'!$A:$AD,AO$2,0)</f>
        <v>Green</v>
      </c>
      <c r="AP238" t="str">
        <f>VLOOKUP($Z238,'oddspedia-matches'!$A:$AD,AP$2,0)</f>
        <v>Red</v>
      </c>
      <c r="AQ238" t="str">
        <f>VLOOKUP($Z238,'oddspedia-matches'!$A:$AD,AQ$2,0)</f>
        <v>Green</v>
      </c>
    </row>
    <row r="239" spans="2:43" x14ac:dyDescent="0.2">
      <c r="B239" s="17" t="s">
        <v>488</v>
      </c>
      <c r="C239" s="8" t="s">
        <v>490</v>
      </c>
      <c r="D239" s="18">
        <v>0.66666666666666663</v>
      </c>
      <c r="E239" s="8" t="s">
        <v>692</v>
      </c>
      <c r="F239" s="8" t="s">
        <v>693</v>
      </c>
      <c r="G239" s="19"/>
      <c r="H239" s="8">
        <v>37.5</v>
      </c>
      <c r="I239" s="8">
        <v>28.6</v>
      </c>
      <c r="J239" s="8">
        <v>33.9</v>
      </c>
      <c r="K239" s="8">
        <v>66.099999999999994</v>
      </c>
      <c r="L239" s="8">
        <v>62.5</v>
      </c>
      <c r="M239" s="8">
        <v>71.400000000000006</v>
      </c>
      <c r="N239" s="8">
        <v>34</v>
      </c>
      <c r="O239" s="8">
        <v>41</v>
      </c>
      <c r="P239" s="8">
        <v>25</v>
      </c>
      <c r="Q239" s="8">
        <v>73.2</v>
      </c>
      <c r="R239" s="8">
        <v>76.7</v>
      </c>
      <c r="S239" s="8">
        <v>51.1</v>
      </c>
      <c r="T239" s="8">
        <v>48.9</v>
      </c>
      <c r="U239" s="8">
        <v>54.4</v>
      </c>
      <c r="V239" s="8">
        <v>56.6</v>
      </c>
      <c r="W239" s="8">
        <v>43.4</v>
      </c>
      <c r="X239" t="str">
        <f>VLOOKUP(E239,'Transform table'!A:B,2,0)</f>
        <v>Curico Unido</v>
      </c>
      <c r="Y239" t="str">
        <f>VLOOKUP(F239,'Transform table'!A:B,2,0)</f>
        <v>San Luis Quillota</v>
      </c>
      <c r="Z239" t="str">
        <f t="shared" si="3"/>
        <v>25/07/2026Curico UnidoSan Luis Quillota</v>
      </c>
      <c r="AA239" t="str">
        <f>VLOOKUP($Z239,'oddspedia-matches'!$A:$AD,AA$2,0)</f>
        <v>1 - 2</v>
      </c>
      <c r="AB239" t="str">
        <f>VLOOKUP($Z239,'oddspedia-matches'!$A:$AD,AB$2,0)</f>
        <v>Red</v>
      </c>
      <c r="AC239" t="str">
        <f>VLOOKUP($Z239,'oddspedia-matches'!$A:$AD,AC$2,0)</f>
        <v>Red</v>
      </c>
      <c r="AD239" t="str">
        <f>VLOOKUP($Z239,'oddspedia-matches'!$A:$AD,AD$2,0)</f>
        <v>Green</v>
      </c>
      <c r="AE239" t="str">
        <f>VLOOKUP($Z239,'oddspedia-matches'!$A:$AD,AE$2,0)</f>
        <v>Red</v>
      </c>
      <c r="AF239" t="str">
        <f>VLOOKUP($Z239,'oddspedia-matches'!$A:$AD,AF$2,0)</f>
        <v>Green</v>
      </c>
      <c r="AG239" t="str">
        <f>VLOOKUP($Z239,'oddspedia-matches'!$A:$AD,AG$2,0)</f>
        <v>Green</v>
      </c>
      <c r="AH239" t="str">
        <f>VLOOKUP($Z239,'oddspedia-matches'!$A:$AD,AH$2,0)</f>
        <v>Red</v>
      </c>
      <c r="AI239" t="str">
        <f>VLOOKUP($Z239,'oddspedia-matches'!$A:$AD,AI$2,0)</f>
        <v>Red</v>
      </c>
      <c r="AJ239" t="str">
        <f>VLOOKUP($Z239,'oddspedia-matches'!$A:$AD,AJ$2,0)</f>
        <v>Green</v>
      </c>
      <c r="AK239" t="str">
        <f>VLOOKUP($Z239,'oddspedia-matches'!$A:$AD,AK$2,0)</f>
        <v>Green</v>
      </c>
      <c r="AL239" t="str">
        <f>VLOOKUP($Z239,'oddspedia-matches'!$A:$AD,AL$2,0)</f>
        <v>Green</v>
      </c>
      <c r="AM239" t="str">
        <f>VLOOKUP($Z239,'oddspedia-matches'!$A:$AD,AM$2,0)</f>
        <v>Green</v>
      </c>
      <c r="AN239" t="str">
        <f>VLOOKUP($Z239,'oddspedia-matches'!$A:$AD,AN$2,0)</f>
        <v>Red</v>
      </c>
      <c r="AO239" t="str">
        <f>VLOOKUP($Z239,'oddspedia-matches'!$A:$AD,AO$2,0)</f>
        <v>Green</v>
      </c>
      <c r="AP239" t="str">
        <f>VLOOKUP($Z239,'oddspedia-matches'!$A:$AD,AP$2,0)</f>
        <v>Green</v>
      </c>
      <c r="AQ239" t="str">
        <f>VLOOKUP($Z239,'oddspedia-matches'!$A:$AD,AQ$2,0)</f>
        <v>Red</v>
      </c>
    </row>
    <row r="240" spans="2:43" x14ac:dyDescent="0.2">
      <c r="B240" s="9" t="s">
        <v>479</v>
      </c>
      <c r="C240" s="7" t="s">
        <v>490</v>
      </c>
      <c r="D240" s="20">
        <v>0.66666666666666663</v>
      </c>
      <c r="E240" s="7" t="s">
        <v>694</v>
      </c>
      <c r="F240" s="7" t="s">
        <v>695</v>
      </c>
      <c r="G240" s="21"/>
      <c r="H240" s="7">
        <v>59.3</v>
      </c>
      <c r="I240" s="7">
        <v>24.4</v>
      </c>
      <c r="J240" s="7">
        <v>16.3</v>
      </c>
      <c r="K240" s="7">
        <v>83.7</v>
      </c>
      <c r="L240" s="7">
        <v>40.700000000000003</v>
      </c>
      <c r="M240" s="7">
        <v>75.599999999999994</v>
      </c>
      <c r="N240" s="7">
        <v>42.9</v>
      </c>
      <c r="O240" s="7">
        <v>41.2</v>
      </c>
      <c r="P240" s="7">
        <v>15.9</v>
      </c>
      <c r="Q240" s="7">
        <v>70.099999999999994</v>
      </c>
      <c r="R240" s="7">
        <v>78.900000000000006</v>
      </c>
      <c r="S240" s="7">
        <v>54.4</v>
      </c>
      <c r="T240" s="7">
        <v>45.6</v>
      </c>
      <c r="U240" s="7">
        <v>53.4</v>
      </c>
      <c r="V240" s="7">
        <v>52.7</v>
      </c>
      <c r="W240" s="7">
        <v>47.3</v>
      </c>
      <c r="X240" t="str">
        <f>VLOOKUP(E240,'Transform table'!A:B,2,0)</f>
        <v>CD Recoleta</v>
      </c>
      <c r="Y240" t="str">
        <f>VLOOKUP(F240,'Transform table'!A:B,2,0)</f>
        <v>Sportivo San Lorenzo</v>
      </c>
      <c r="Z240" t="str">
        <f t="shared" si="3"/>
        <v>25/07/2026CD RecoletaSportivo San Lorenzo</v>
      </c>
      <c r="AA240" t="str">
        <f>VLOOKUP($Z240,'oddspedia-matches'!$A:$AD,AA$2,0)</f>
        <v>1 - 1</v>
      </c>
      <c r="AB240" t="str">
        <f>VLOOKUP($Z240,'oddspedia-matches'!$A:$AD,AB$2,0)</f>
        <v>Red</v>
      </c>
      <c r="AC240" t="str">
        <f>VLOOKUP($Z240,'oddspedia-matches'!$A:$AD,AC$2,0)</f>
        <v>Green</v>
      </c>
      <c r="AD240" t="str">
        <f>VLOOKUP($Z240,'oddspedia-matches'!$A:$AD,AD$2,0)</f>
        <v>Red</v>
      </c>
      <c r="AE240" t="str">
        <f>VLOOKUP($Z240,'oddspedia-matches'!$A:$AD,AE$2,0)</f>
        <v>Green</v>
      </c>
      <c r="AF240" t="str">
        <f>VLOOKUP($Z240,'oddspedia-matches'!$A:$AD,AF$2,0)</f>
        <v>Green</v>
      </c>
      <c r="AG240" t="str">
        <f>VLOOKUP($Z240,'oddspedia-matches'!$A:$AD,AG$2,0)</f>
        <v>Red</v>
      </c>
      <c r="AH240" t="str">
        <f>VLOOKUP($Z240,'oddspedia-matches'!$A:$AD,AH$2,0)</f>
        <v>Red</v>
      </c>
      <c r="AI240" t="str">
        <f>VLOOKUP($Z240,'oddspedia-matches'!$A:$AD,AI$2,0)</f>
        <v>Red</v>
      </c>
      <c r="AJ240" t="str">
        <f>VLOOKUP($Z240,'oddspedia-matches'!$A:$AD,AJ$2,0)</f>
        <v>Green</v>
      </c>
      <c r="AK240" t="str">
        <f>VLOOKUP($Z240,'oddspedia-matches'!$A:$AD,AK$2,0)</f>
        <v>Green</v>
      </c>
      <c r="AL240" t="str">
        <f>VLOOKUP($Z240,'oddspedia-matches'!$A:$AD,AL$2,0)</f>
        <v>Green</v>
      </c>
      <c r="AM240" t="str">
        <f>VLOOKUP($Z240,'oddspedia-matches'!$A:$AD,AM$2,0)</f>
        <v>Red</v>
      </c>
      <c r="AN240" t="str">
        <f>VLOOKUP($Z240,'oddspedia-matches'!$A:$AD,AN$2,0)</f>
        <v>Green</v>
      </c>
      <c r="AO240" t="str">
        <f>VLOOKUP($Z240,'oddspedia-matches'!$A:$AD,AO$2,0)</f>
        <v>Green</v>
      </c>
      <c r="AP240" t="str">
        <f>VLOOKUP($Z240,'oddspedia-matches'!$A:$AD,AP$2,0)</f>
        <v>Green</v>
      </c>
      <c r="AQ240" t="str">
        <f>VLOOKUP($Z240,'oddspedia-matches'!$A:$AD,AQ$2,0)</f>
        <v>Red</v>
      </c>
    </row>
    <row r="241" spans="2:43" x14ac:dyDescent="0.2">
      <c r="B241" s="17" t="s">
        <v>470</v>
      </c>
      <c r="C241" s="8" t="s">
        <v>490</v>
      </c>
      <c r="D241" s="18">
        <v>0.70833333333333337</v>
      </c>
      <c r="E241" s="8" t="s">
        <v>696</v>
      </c>
      <c r="F241" s="8" t="s">
        <v>697</v>
      </c>
      <c r="G241" s="19"/>
      <c r="H241" s="8">
        <v>30.4</v>
      </c>
      <c r="I241" s="8">
        <v>32.299999999999997</v>
      </c>
      <c r="J241" s="8">
        <v>37.299999999999997</v>
      </c>
      <c r="K241" s="8">
        <v>62.7</v>
      </c>
      <c r="L241" s="8">
        <v>69.599999999999994</v>
      </c>
      <c r="M241" s="8">
        <v>67.7</v>
      </c>
      <c r="N241" s="8">
        <v>15.7</v>
      </c>
      <c r="O241" s="8">
        <v>56.4</v>
      </c>
      <c r="P241" s="8">
        <v>27.9</v>
      </c>
      <c r="Q241" s="8">
        <v>50.3</v>
      </c>
      <c r="R241" s="8">
        <v>65.3</v>
      </c>
      <c r="S241" s="8">
        <v>37.1</v>
      </c>
      <c r="T241" s="8">
        <v>62.9</v>
      </c>
      <c r="U241" s="8">
        <v>67.900000000000006</v>
      </c>
      <c r="V241" s="8">
        <v>45.2</v>
      </c>
      <c r="W241" s="8">
        <v>54.8</v>
      </c>
      <c r="X241" t="str">
        <f>VLOOKUP(E241,'Transform table'!A:B,2,0)</f>
        <v>Newell's Old Boys</v>
      </c>
      <c r="Y241" t="str">
        <f>VLOOKUP(F241,'Transform table'!A:B,2,0)</f>
        <v>Talleres de Cordoba</v>
      </c>
      <c r="Z241" t="str">
        <f t="shared" si="3"/>
        <v>25/07/2026Newell's Old BoysTalleres de Cordoba</v>
      </c>
      <c r="AA241" t="str">
        <f>VLOOKUP($Z241,'oddspedia-matches'!$A:$AD,AA$2,0)</f>
        <v>1 - 0</v>
      </c>
      <c r="AB241" t="str">
        <f>VLOOKUP($Z241,'oddspedia-matches'!$A:$AD,AB$2,0)</f>
        <v>Green</v>
      </c>
      <c r="AC241" t="str">
        <f>VLOOKUP($Z241,'oddspedia-matches'!$A:$AD,AC$2,0)</f>
        <v>Red</v>
      </c>
      <c r="AD241" t="str">
        <f>VLOOKUP($Z241,'oddspedia-matches'!$A:$AD,AD$2,0)</f>
        <v>Red</v>
      </c>
      <c r="AE241" t="str">
        <f>VLOOKUP($Z241,'oddspedia-matches'!$A:$AD,AE$2,0)</f>
        <v>Green</v>
      </c>
      <c r="AF241" t="str">
        <f>VLOOKUP($Z241,'oddspedia-matches'!$A:$AD,AF$2,0)</f>
        <v>Red</v>
      </c>
      <c r="AG241" t="str">
        <f>VLOOKUP($Z241,'oddspedia-matches'!$A:$AD,AG$2,0)</f>
        <v>Green</v>
      </c>
      <c r="AH241" t="str">
        <f>VLOOKUP($Z241,'oddspedia-matches'!$A:$AD,AH$2,0)</f>
        <v>Red</v>
      </c>
      <c r="AI241" t="str">
        <f>VLOOKUP($Z241,'oddspedia-matches'!$A:$AD,AI$2,0)</f>
        <v>Green</v>
      </c>
      <c r="AJ241" t="str">
        <f>VLOOKUP($Z241,'oddspedia-matches'!$A:$AD,AJ$2,0)</f>
        <v>Red</v>
      </c>
      <c r="AK241" t="str">
        <f>VLOOKUP($Z241,'oddspedia-matches'!$A:$AD,AK$2,0)</f>
        <v>Red</v>
      </c>
      <c r="AL241" t="str">
        <f>VLOOKUP($Z241,'oddspedia-matches'!$A:$AD,AL$2,0)</f>
        <v>Red</v>
      </c>
      <c r="AM241" t="str">
        <f>VLOOKUP($Z241,'oddspedia-matches'!$A:$AD,AM$2,0)</f>
        <v>Red</v>
      </c>
      <c r="AN241" t="str">
        <f>VLOOKUP($Z241,'oddspedia-matches'!$A:$AD,AN$2,0)</f>
        <v>Green</v>
      </c>
      <c r="AO241" t="str">
        <f>VLOOKUP($Z241,'oddspedia-matches'!$A:$AD,AO$2,0)</f>
        <v>Green</v>
      </c>
      <c r="AP241" t="str">
        <f>VLOOKUP($Z241,'oddspedia-matches'!$A:$AD,AP$2,0)</f>
        <v>Red</v>
      </c>
      <c r="AQ241" t="str">
        <f>VLOOKUP($Z241,'oddspedia-matches'!$A:$AD,AQ$2,0)</f>
        <v>Green</v>
      </c>
    </row>
    <row r="242" spans="2:43" x14ac:dyDescent="0.2">
      <c r="B242" s="9" t="s">
        <v>647</v>
      </c>
      <c r="C242" s="7" t="s">
        <v>490</v>
      </c>
      <c r="D242" s="20">
        <v>0.70833333333333337</v>
      </c>
      <c r="E242" s="7" t="s">
        <v>698</v>
      </c>
      <c r="F242" s="7" t="s">
        <v>699</v>
      </c>
      <c r="G242" s="21"/>
      <c r="H242" s="7">
        <v>28.1</v>
      </c>
      <c r="I242" s="7">
        <v>34.6</v>
      </c>
      <c r="J242" s="7">
        <v>37.200000000000003</v>
      </c>
      <c r="K242" s="7">
        <v>62.8</v>
      </c>
      <c r="L242" s="7">
        <v>71.900000000000006</v>
      </c>
      <c r="M242" s="7">
        <v>65.400000000000006</v>
      </c>
      <c r="N242" s="7">
        <v>18.2</v>
      </c>
      <c r="O242" s="7">
        <v>56.4</v>
      </c>
      <c r="P242" s="7">
        <v>25.5</v>
      </c>
      <c r="Q242" s="7">
        <v>50.7</v>
      </c>
      <c r="R242" s="7">
        <v>58.2</v>
      </c>
      <c r="S242" s="7">
        <v>29.8</v>
      </c>
      <c r="T242" s="7">
        <v>70.2</v>
      </c>
      <c r="U242" s="7">
        <v>74.599999999999994</v>
      </c>
      <c r="V242" s="7">
        <v>38.9</v>
      </c>
      <c r="W242" s="7">
        <v>61.1</v>
      </c>
      <c r="X242" t="str">
        <f>VLOOKUP(E242,'Transform table'!A:B,2,0)</f>
        <v>Club Atletico Acassuso</v>
      </c>
      <c r="Y242" t="str">
        <f>VLOOKUP(F242,'Transform table'!A:B,2,0)</f>
        <v>Club Atletico Colon</v>
      </c>
      <c r="Z242" t="str">
        <f t="shared" si="3"/>
        <v>25/07/2026Club Atletico AcassusoClub Atletico Colon</v>
      </c>
      <c r="AA242" t="str">
        <f>VLOOKUP($Z242,'oddspedia-matches'!$A:$AD,AA$2,0)</f>
        <v xml:space="preserve"> - </v>
      </c>
      <c r="AB242" t="str">
        <f>VLOOKUP($Z242,'oddspedia-matches'!$A:$AD,AB$2,0)</f>
        <v>Red</v>
      </c>
      <c r="AC242" t="str">
        <f>VLOOKUP($Z242,'oddspedia-matches'!$A:$AD,AC$2,0)</f>
        <v>Green</v>
      </c>
      <c r="AD242" t="str">
        <f>VLOOKUP($Z242,'oddspedia-matches'!$A:$AD,AD$2,0)</f>
        <v>Red</v>
      </c>
      <c r="AE242" t="str">
        <f>VLOOKUP($Z242,'oddspedia-matches'!$A:$AD,AE$2,0)</f>
        <v>Green</v>
      </c>
      <c r="AF242" t="str">
        <f>VLOOKUP($Z242,'oddspedia-matches'!$A:$AD,AF$2,0)</f>
        <v>Green</v>
      </c>
      <c r="AG242" t="str">
        <f>VLOOKUP($Z242,'oddspedia-matches'!$A:$AD,AG$2,0)</f>
        <v>Red</v>
      </c>
      <c r="AH242" t="str">
        <f>VLOOKUP($Z242,'oddspedia-matches'!$A:$AD,AH$2,0)</f>
        <v>Red</v>
      </c>
      <c r="AI242" t="str">
        <f>VLOOKUP($Z242,'oddspedia-matches'!$A:$AD,AI$2,0)</f>
        <v>Green</v>
      </c>
      <c r="AJ242" t="str">
        <f>VLOOKUP($Z242,'oddspedia-matches'!$A:$AD,AJ$2,0)</f>
        <v>Red</v>
      </c>
      <c r="AK242" t="str">
        <f>VLOOKUP($Z242,'oddspedia-matches'!$A:$AD,AK$2,0)</f>
        <v>Red</v>
      </c>
      <c r="AL242" t="str">
        <f>VLOOKUP($Z242,'oddspedia-matches'!$A:$AD,AL$2,0)</f>
        <v>Red</v>
      </c>
      <c r="AM242" t="str">
        <f>VLOOKUP($Z242,'oddspedia-matches'!$A:$AD,AM$2,0)</f>
        <v>Red</v>
      </c>
      <c r="AN242" t="str">
        <f>VLOOKUP($Z242,'oddspedia-matches'!$A:$AD,AN$2,0)</f>
        <v>Green</v>
      </c>
      <c r="AO242" t="str">
        <f>VLOOKUP($Z242,'oddspedia-matches'!$A:$AD,AO$2,0)</f>
        <v>Green</v>
      </c>
      <c r="AP242" t="str">
        <f>VLOOKUP($Z242,'oddspedia-matches'!$A:$AD,AP$2,0)</f>
        <v>Red</v>
      </c>
      <c r="AQ242" t="str">
        <f>VLOOKUP($Z242,'oddspedia-matches'!$A:$AD,AQ$2,0)</f>
        <v>Green</v>
      </c>
    </row>
    <row r="243" spans="2:43" x14ac:dyDescent="0.2">
      <c r="B243" s="17" t="s">
        <v>647</v>
      </c>
      <c r="C243" s="8" t="s">
        <v>490</v>
      </c>
      <c r="D243" s="18">
        <v>0.70833333333333337</v>
      </c>
      <c r="E243" s="8" t="s">
        <v>700</v>
      </c>
      <c r="F243" s="8" t="s">
        <v>701</v>
      </c>
      <c r="G243" s="19"/>
      <c r="H243" s="8">
        <v>30.7</v>
      </c>
      <c r="I243" s="8">
        <v>36.1</v>
      </c>
      <c r="J243" s="8">
        <v>33.299999999999997</v>
      </c>
      <c r="K243" s="8">
        <v>66.7</v>
      </c>
      <c r="L243" s="8">
        <v>69.3</v>
      </c>
      <c r="M243" s="8">
        <v>63.9</v>
      </c>
      <c r="N243" s="8">
        <v>15.3</v>
      </c>
      <c r="O243" s="8">
        <v>58.2</v>
      </c>
      <c r="P243" s="8">
        <v>26.5</v>
      </c>
      <c r="Q243" s="8">
        <v>48</v>
      </c>
      <c r="R243" s="8">
        <v>54</v>
      </c>
      <c r="S243" s="8">
        <v>26</v>
      </c>
      <c r="T243" s="8">
        <v>74</v>
      </c>
      <c r="U243" s="8">
        <v>77.900000000000006</v>
      </c>
      <c r="V243" s="8">
        <v>35.700000000000003</v>
      </c>
      <c r="W243" s="8">
        <v>64.3</v>
      </c>
      <c r="X243" t="str">
        <f>VLOOKUP(E243,'Transform table'!A:B,2,0)</f>
        <v>Club Almagro</v>
      </c>
      <c r="Y243" t="str">
        <f>VLOOKUP(F243,'Transform table'!A:B,2,0)</f>
        <v>Ferrocarril Midland</v>
      </c>
      <c r="Z243" t="str">
        <f t="shared" si="3"/>
        <v>25/07/2026Club AlmagroFerrocarril Midland</v>
      </c>
      <c r="AA243" t="str">
        <f>VLOOKUP($Z243,'oddspedia-matches'!$A:$AD,AA$2,0)</f>
        <v xml:space="preserve"> - </v>
      </c>
      <c r="AB243" t="str">
        <f>VLOOKUP($Z243,'oddspedia-matches'!$A:$AD,AB$2,0)</f>
        <v>Red</v>
      </c>
      <c r="AC243" t="str">
        <f>VLOOKUP($Z243,'oddspedia-matches'!$A:$AD,AC$2,0)</f>
        <v>Green</v>
      </c>
      <c r="AD243" t="str">
        <f>VLOOKUP($Z243,'oddspedia-matches'!$A:$AD,AD$2,0)</f>
        <v>Red</v>
      </c>
      <c r="AE243" t="str">
        <f>VLOOKUP($Z243,'oddspedia-matches'!$A:$AD,AE$2,0)</f>
        <v>Green</v>
      </c>
      <c r="AF243" t="str">
        <f>VLOOKUP($Z243,'oddspedia-matches'!$A:$AD,AF$2,0)</f>
        <v>Green</v>
      </c>
      <c r="AG243" t="str">
        <f>VLOOKUP($Z243,'oddspedia-matches'!$A:$AD,AG$2,0)</f>
        <v>Red</v>
      </c>
      <c r="AH243" t="str">
        <f>VLOOKUP($Z243,'oddspedia-matches'!$A:$AD,AH$2,0)</f>
        <v>Red</v>
      </c>
      <c r="AI243" t="str">
        <f>VLOOKUP($Z243,'oddspedia-matches'!$A:$AD,AI$2,0)</f>
        <v>Green</v>
      </c>
      <c r="AJ243" t="str">
        <f>VLOOKUP($Z243,'oddspedia-matches'!$A:$AD,AJ$2,0)</f>
        <v>Red</v>
      </c>
      <c r="AK243" t="str">
        <f>VLOOKUP($Z243,'oddspedia-matches'!$A:$AD,AK$2,0)</f>
        <v>Red</v>
      </c>
      <c r="AL243" t="str">
        <f>VLOOKUP($Z243,'oddspedia-matches'!$A:$AD,AL$2,0)</f>
        <v>Red</v>
      </c>
      <c r="AM243" t="str">
        <f>VLOOKUP($Z243,'oddspedia-matches'!$A:$AD,AM$2,0)</f>
        <v>Red</v>
      </c>
      <c r="AN243" t="str">
        <f>VLOOKUP($Z243,'oddspedia-matches'!$A:$AD,AN$2,0)</f>
        <v>Green</v>
      </c>
      <c r="AO243" t="str">
        <f>VLOOKUP($Z243,'oddspedia-matches'!$A:$AD,AO$2,0)</f>
        <v>Green</v>
      </c>
      <c r="AP243" t="str">
        <f>VLOOKUP($Z243,'oddspedia-matches'!$A:$AD,AP$2,0)</f>
        <v>Red</v>
      </c>
      <c r="AQ243" t="str">
        <f>VLOOKUP($Z243,'oddspedia-matches'!$A:$AD,AQ$2,0)</f>
        <v>Green</v>
      </c>
    </row>
    <row r="244" spans="2:43" x14ac:dyDescent="0.2">
      <c r="B244" s="9" t="s">
        <v>647</v>
      </c>
      <c r="C244" s="7" t="s">
        <v>490</v>
      </c>
      <c r="D244" s="20">
        <v>0.70833333333333337</v>
      </c>
      <c r="E244" s="7" t="s">
        <v>702</v>
      </c>
      <c r="F244" s="7" t="s">
        <v>700</v>
      </c>
      <c r="G244" s="21"/>
      <c r="H244" s="7">
        <v>50.1</v>
      </c>
      <c r="I244" s="7">
        <v>31.3</v>
      </c>
      <c r="J244" s="7">
        <v>18.600000000000001</v>
      </c>
      <c r="K244" s="7">
        <v>81.400000000000006</v>
      </c>
      <c r="L244" s="7">
        <v>49.9</v>
      </c>
      <c r="M244" s="7">
        <v>68.7</v>
      </c>
      <c r="N244" s="7">
        <v>31.7</v>
      </c>
      <c r="O244" s="7">
        <v>58.9</v>
      </c>
      <c r="P244" s="7">
        <v>9.3000000000000007</v>
      </c>
      <c r="Q244" s="7">
        <v>45.4</v>
      </c>
      <c r="R244" s="7">
        <v>59.1</v>
      </c>
      <c r="S244" s="7">
        <v>30.8</v>
      </c>
      <c r="T244" s="7">
        <v>69.2</v>
      </c>
      <c r="U244" s="7">
        <v>74.900000000000006</v>
      </c>
      <c r="V244" s="7">
        <v>36.299999999999997</v>
      </c>
      <c r="W244" s="7">
        <v>63.7</v>
      </c>
      <c r="X244" t="str">
        <f>VLOOKUP(E244,'Transform table'!A:B,2,0)</f>
        <v>CA Atlanta</v>
      </c>
      <c r="Y244" t="str">
        <f>VLOOKUP(F244,'Transform table'!A:B,2,0)</f>
        <v>Club Almagro</v>
      </c>
      <c r="Z244" t="str">
        <f t="shared" si="3"/>
        <v>25/07/2026CA AtlantaClub Almagro</v>
      </c>
      <c r="AA244" t="str">
        <f>VLOOKUP($Z244,'oddspedia-matches'!$A:$AD,AA$2,0)</f>
        <v xml:space="preserve"> - </v>
      </c>
      <c r="AB244" t="str">
        <f>VLOOKUP($Z244,'oddspedia-matches'!$A:$AD,AB$2,0)</f>
        <v>Red</v>
      </c>
      <c r="AC244" t="str">
        <f>VLOOKUP($Z244,'oddspedia-matches'!$A:$AD,AC$2,0)</f>
        <v>Green</v>
      </c>
      <c r="AD244" t="str">
        <f>VLOOKUP($Z244,'oddspedia-matches'!$A:$AD,AD$2,0)</f>
        <v>Red</v>
      </c>
      <c r="AE244" t="str">
        <f>VLOOKUP($Z244,'oddspedia-matches'!$A:$AD,AE$2,0)</f>
        <v>Green</v>
      </c>
      <c r="AF244" t="str">
        <f>VLOOKUP($Z244,'oddspedia-matches'!$A:$AD,AF$2,0)</f>
        <v>Green</v>
      </c>
      <c r="AG244" t="str">
        <f>VLOOKUP($Z244,'oddspedia-matches'!$A:$AD,AG$2,0)</f>
        <v>Red</v>
      </c>
      <c r="AH244" t="str">
        <f>VLOOKUP($Z244,'oddspedia-matches'!$A:$AD,AH$2,0)</f>
        <v>Red</v>
      </c>
      <c r="AI244" t="str">
        <f>VLOOKUP($Z244,'oddspedia-matches'!$A:$AD,AI$2,0)</f>
        <v>Green</v>
      </c>
      <c r="AJ244" t="str">
        <f>VLOOKUP($Z244,'oddspedia-matches'!$A:$AD,AJ$2,0)</f>
        <v>Red</v>
      </c>
      <c r="AK244" t="str">
        <f>VLOOKUP($Z244,'oddspedia-matches'!$A:$AD,AK$2,0)</f>
        <v>Red</v>
      </c>
      <c r="AL244" t="str">
        <f>VLOOKUP($Z244,'oddspedia-matches'!$A:$AD,AL$2,0)</f>
        <v>Red</v>
      </c>
      <c r="AM244" t="str">
        <f>VLOOKUP($Z244,'oddspedia-matches'!$A:$AD,AM$2,0)</f>
        <v>Red</v>
      </c>
      <c r="AN244" t="str">
        <f>VLOOKUP($Z244,'oddspedia-matches'!$A:$AD,AN$2,0)</f>
        <v>Green</v>
      </c>
      <c r="AO244" t="str">
        <f>VLOOKUP($Z244,'oddspedia-matches'!$A:$AD,AO$2,0)</f>
        <v>Green</v>
      </c>
      <c r="AP244" t="str">
        <f>VLOOKUP($Z244,'oddspedia-matches'!$A:$AD,AP$2,0)</f>
        <v>Red</v>
      </c>
      <c r="AQ244" t="str">
        <f>VLOOKUP($Z244,'oddspedia-matches'!$A:$AD,AQ$2,0)</f>
        <v>Green</v>
      </c>
    </row>
    <row r="245" spans="2:43" x14ac:dyDescent="0.2">
      <c r="B245" s="17" t="s">
        <v>647</v>
      </c>
      <c r="C245" s="8" t="s">
        <v>490</v>
      </c>
      <c r="D245" s="18">
        <v>0.70833333333333337</v>
      </c>
      <c r="E245" s="8" t="s">
        <v>683</v>
      </c>
      <c r="F245" s="8" t="s">
        <v>703</v>
      </c>
      <c r="G245" s="19"/>
      <c r="H245" s="8">
        <v>34.1</v>
      </c>
      <c r="I245" s="8">
        <v>36.9</v>
      </c>
      <c r="J245" s="8">
        <v>28.9</v>
      </c>
      <c r="K245" s="8">
        <v>71.099999999999994</v>
      </c>
      <c r="L245" s="8">
        <v>65.900000000000006</v>
      </c>
      <c r="M245" s="8">
        <v>63.1</v>
      </c>
      <c r="N245" s="8">
        <v>18.600000000000001</v>
      </c>
      <c r="O245" s="8">
        <v>53.8</v>
      </c>
      <c r="P245" s="8">
        <v>27.6</v>
      </c>
      <c r="Q245" s="8">
        <v>54.2</v>
      </c>
      <c r="R245" s="8">
        <v>50.9</v>
      </c>
      <c r="S245" s="8">
        <v>23.4</v>
      </c>
      <c r="T245" s="8">
        <v>76.599999999999994</v>
      </c>
      <c r="U245" s="8">
        <v>80.3</v>
      </c>
      <c r="V245" s="8">
        <v>33.200000000000003</v>
      </c>
      <c r="W245" s="8">
        <v>66.8</v>
      </c>
      <c r="X245" t="str">
        <f>VLOOKUP(E245,'Transform table'!A:B,2,0)</f>
        <v>Nueva Chicago</v>
      </c>
      <c r="Y245" t="str">
        <f>VLOOKUP(F245,'Transform table'!A:B,2,0)</f>
        <v>San Martin de Tucuman</v>
      </c>
      <c r="Z245" t="str">
        <f t="shared" si="3"/>
        <v>25/07/2026Nueva ChicagoSan Martin de Tucuman</v>
      </c>
      <c r="AA245" t="str">
        <f>VLOOKUP($Z245,'oddspedia-matches'!$A:$AD,AA$2,0)</f>
        <v xml:space="preserve"> - </v>
      </c>
      <c r="AB245" t="str">
        <f>VLOOKUP($Z245,'oddspedia-matches'!$A:$AD,AB$2,0)</f>
        <v>Red</v>
      </c>
      <c r="AC245" t="str">
        <f>VLOOKUP($Z245,'oddspedia-matches'!$A:$AD,AC$2,0)</f>
        <v>Green</v>
      </c>
      <c r="AD245" t="str">
        <f>VLOOKUP($Z245,'oddspedia-matches'!$A:$AD,AD$2,0)</f>
        <v>Red</v>
      </c>
      <c r="AE245" t="str">
        <f>VLOOKUP($Z245,'oddspedia-matches'!$A:$AD,AE$2,0)</f>
        <v>Green</v>
      </c>
      <c r="AF245" t="str">
        <f>VLOOKUP($Z245,'oddspedia-matches'!$A:$AD,AF$2,0)</f>
        <v>Green</v>
      </c>
      <c r="AG245" t="str">
        <f>VLOOKUP($Z245,'oddspedia-matches'!$A:$AD,AG$2,0)</f>
        <v>Red</v>
      </c>
      <c r="AH245" t="str">
        <f>VLOOKUP($Z245,'oddspedia-matches'!$A:$AD,AH$2,0)</f>
        <v>Red</v>
      </c>
      <c r="AI245" t="str">
        <f>VLOOKUP($Z245,'oddspedia-matches'!$A:$AD,AI$2,0)</f>
        <v>Green</v>
      </c>
      <c r="AJ245" t="str">
        <f>VLOOKUP($Z245,'oddspedia-matches'!$A:$AD,AJ$2,0)</f>
        <v>Red</v>
      </c>
      <c r="AK245" t="str">
        <f>VLOOKUP($Z245,'oddspedia-matches'!$A:$AD,AK$2,0)</f>
        <v>Red</v>
      </c>
      <c r="AL245" t="str">
        <f>VLOOKUP($Z245,'oddspedia-matches'!$A:$AD,AL$2,0)</f>
        <v>Red</v>
      </c>
      <c r="AM245" t="str">
        <f>VLOOKUP($Z245,'oddspedia-matches'!$A:$AD,AM$2,0)</f>
        <v>Red</v>
      </c>
      <c r="AN245" t="str">
        <f>VLOOKUP($Z245,'oddspedia-matches'!$A:$AD,AN$2,0)</f>
        <v>Green</v>
      </c>
      <c r="AO245" t="str">
        <f>VLOOKUP($Z245,'oddspedia-matches'!$A:$AD,AO$2,0)</f>
        <v>Green</v>
      </c>
      <c r="AP245" t="str">
        <f>VLOOKUP($Z245,'oddspedia-matches'!$A:$AD,AP$2,0)</f>
        <v>Red</v>
      </c>
      <c r="AQ245" t="str">
        <f>VLOOKUP($Z245,'oddspedia-matches'!$A:$AD,AQ$2,0)</f>
        <v>Green</v>
      </c>
    </row>
    <row r="246" spans="2:43" x14ac:dyDescent="0.2">
      <c r="B246" s="9" t="s">
        <v>647</v>
      </c>
      <c r="C246" s="7" t="s">
        <v>490</v>
      </c>
      <c r="D246" s="20">
        <v>0.70833333333333337</v>
      </c>
      <c r="E246" s="7" t="s">
        <v>704</v>
      </c>
      <c r="F246" s="7" t="s">
        <v>682</v>
      </c>
      <c r="G246" s="21"/>
      <c r="H246" s="7">
        <v>41.8</v>
      </c>
      <c r="I246" s="7">
        <v>34.5</v>
      </c>
      <c r="J246" s="7">
        <v>23.7</v>
      </c>
      <c r="K246" s="7">
        <v>76.3</v>
      </c>
      <c r="L246" s="7">
        <v>58.2</v>
      </c>
      <c r="M246" s="7">
        <v>65.5</v>
      </c>
      <c r="N246" s="7">
        <v>30.6</v>
      </c>
      <c r="O246" s="7">
        <v>55.4</v>
      </c>
      <c r="P246" s="7">
        <v>14</v>
      </c>
      <c r="Q246" s="7">
        <v>51.1</v>
      </c>
      <c r="R246" s="7">
        <v>54.9</v>
      </c>
      <c r="S246" s="7">
        <v>26.9</v>
      </c>
      <c r="T246" s="7">
        <v>73.099999999999994</v>
      </c>
      <c r="U246" s="7">
        <v>77.599999999999994</v>
      </c>
      <c r="V246" s="7">
        <v>35.299999999999997</v>
      </c>
      <c r="W246" s="7">
        <v>64.7</v>
      </c>
      <c r="X246" t="str">
        <f>VLOOKUP(E246,'Transform table'!A:B,2,0)</f>
        <v>San Martin de San Juan</v>
      </c>
      <c r="Y246" t="str">
        <f>VLOOKUP(F246,'Transform table'!A:B,2,0)</f>
        <v>Atletico de Rafaela</v>
      </c>
      <c r="Z246" t="str">
        <f t="shared" si="3"/>
        <v>25/07/2026San Martin de San JuanAtletico de Rafaela</v>
      </c>
      <c r="AA246" t="str">
        <f>VLOOKUP($Z246,'oddspedia-matches'!$A:$AD,AA$2,0)</f>
        <v xml:space="preserve"> - </v>
      </c>
      <c r="AB246" t="str">
        <f>VLOOKUP($Z246,'oddspedia-matches'!$A:$AD,AB$2,0)</f>
        <v>Red</v>
      </c>
      <c r="AC246" t="str">
        <f>VLOOKUP($Z246,'oddspedia-matches'!$A:$AD,AC$2,0)</f>
        <v>Green</v>
      </c>
      <c r="AD246" t="str">
        <f>VLOOKUP($Z246,'oddspedia-matches'!$A:$AD,AD$2,0)</f>
        <v>Red</v>
      </c>
      <c r="AE246" t="str">
        <f>VLOOKUP($Z246,'oddspedia-matches'!$A:$AD,AE$2,0)</f>
        <v>Green</v>
      </c>
      <c r="AF246" t="str">
        <f>VLOOKUP($Z246,'oddspedia-matches'!$A:$AD,AF$2,0)</f>
        <v>Green</v>
      </c>
      <c r="AG246" t="str">
        <f>VLOOKUP($Z246,'oddspedia-matches'!$A:$AD,AG$2,0)</f>
        <v>Red</v>
      </c>
      <c r="AH246" t="str">
        <f>VLOOKUP($Z246,'oddspedia-matches'!$A:$AD,AH$2,0)</f>
        <v>Red</v>
      </c>
      <c r="AI246" t="str">
        <f>VLOOKUP($Z246,'oddspedia-matches'!$A:$AD,AI$2,0)</f>
        <v>Green</v>
      </c>
      <c r="AJ246" t="str">
        <f>VLOOKUP($Z246,'oddspedia-matches'!$A:$AD,AJ$2,0)</f>
        <v>Red</v>
      </c>
      <c r="AK246" t="str">
        <f>VLOOKUP($Z246,'oddspedia-matches'!$A:$AD,AK$2,0)</f>
        <v>Red</v>
      </c>
      <c r="AL246" t="str">
        <f>VLOOKUP($Z246,'oddspedia-matches'!$A:$AD,AL$2,0)</f>
        <v>Red</v>
      </c>
      <c r="AM246" t="str">
        <f>VLOOKUP($Z246,'oddspedia-matches'!$A:$AD,AM$2,0)</f>
        <v>Red</v>
      </c>
      <c r="AN246" t="str">
        <f>VLOOKUP($Z246,'oddspedia-matches'!$A:$AD,AN$2,0)</f>
        <v>Green</v>
      </c>
      <c r="AO246" t="str">
        <f>VLOOKUP($Z246,'oddspedia-matches'!$A:$AD,AO$2,0)</f>
        <v>Green</v>
      </c>
      <c r="AP246" t="str">
        <f>VLOOKUP($Z246,'oddspedia-matches'!$A:$AD,AP$2,0)</f>
        <v>Red</v>
      </c>
      <c r="AQ246" t="str">
        <f>VLOOKUP($Z246,'oddspedia-matches'!$A:$AD,AQ$2,0)</f>
        <v>Green</v>
      </c>
    </row>
    <row r="247" spans="2:43" x14ac:dyDescent="0.2">
      <c r="B247" s="17" t="s">
        <v>705</v>
      </c>
      <c r="C247" s="8" t="s">
        <v>490</v>
      </c>
      <c r="D247" s="18">
        <v>0.70833333333333337</v>
      </c>
      <c r="E247" s="8" t="s">
        <v>706</v>
      </c>
      <c r="F247" s="8" t="s">
        <v>707</v>
      </c>
      <c r="G247" s="19"/>
      <c r="H247" s="8">
        <v>29.1</v>
      </c>
      <c r="I247" s="8">
        <v>35.1</v>
      </c>
      <c r="J247" s="8">
        <v>35.799999999999997</v>
      </c>
      <c r="K247" s="8">
        <v>64.2</v>
      </c>
      <c r="L247" s="8">
        <v>70.900000000000006</v>
      </c>
      <c r="M247" s="8">
        <v>64.900000000000006</v>
      </c>
      <c r="N247" s="8">
        <v>25.8</v>
      </c>
      <c r="O247" s="8">
        <v>54.3</v>
      </c>
      <c r="P247" s="8">
        <v>19.899999999999999</v>
      </c>
      <c r="Q247" s="8">
        <v>53.6</v>
      </c>
      <c r="R247" s="8">
        <v>56.8</v>
      </c>
      <c r="S247" s="8">
        <v>28.5</v>
      </c>
      <c r="T247" s="8">
        <v>71.5</v>
      </c>
      <c r="U247" s="8">
        <v>75.7</v>
      </c>
      <c r="V247" s="8">
        <v>37.799999999999997</v>
      </c>
      <c r="W247" s="8">
        <v>62.2</v>
      </c>
      <c r="X247" t="str">
        <f>VLOOKUP(E247,'Transform table'!A:B,2,0)</f>
        <v>Argentino Quilmes</v>
      </c>
      <c r="Y247" t="str">
        <f>VLOOKUP(F247,'Transform table'!A:B,2,0)</f>
        <v>Villa Dalmine</v>
      </c>
      <c r="Z247" t="str">
        <f t="shared" si="3"/>
        <v>25/07/2026Argentino QuilmesVilla Dalmine</v>
      </c>
      <c r="AA247" t="str">
        <f>VLOOKUP($Z247,'oddspedia-matches'!$A:$AD,AA$2,0)</f>
        <v>0 - 0</v>
      </c>
      <c r="AB247" t="str">
        <f>VLOOKUP($Z247,'oddspedia-matches'!$A:$AD,AB$2,0)</f>
        <v>Red</v>
      </c>
      <c r="AC247" t="str">
        <f>VLOOKUP($Z247,'oddspedia-matches'!$A:$AD,AC$2,0)</f>
        <v>Green</v>
      </c>
      <c r="AD247" t="str">
        <f>VLOOKUP($Z247,'oddspedia-matches'!$A:$AD,AD$2,0)</f>
        <v>Red</v>
      </c>
      <c r="AE247" t="str">
        <f>VLOOKUP($Z247,'oddspedia-matches'!$A:$AD,AE$2,0)</f>
        <v>Green</v>
      </c>
      <c r="AF247" t="str">
        <f>VLOOKUP($Z247,'oddspedia-matches'!$A:$AD,AF$2,0)</f>
        <v>Green</v>
      </c>
      <c r="AG247" t="str">
        <f>VLOOKUP($Z247,'oddspedia-matches'!$A:$AD,AG$2,0)</f>
        <v>Red</v>
      </c>
      <c r="AH247" t="str">
        <f>VLOOKUP($Z247,'oddspedia-matches'!$A:$AD,AH$2,0)</f>
        <v>Red</v>
      </c>
      <c r="AI247" t="str">
        <f>VLOOKUP($Z247,'oddspedia-matches'!$A:$AD,AI$2,0)</f>
        <v>Green</v>
      </c>
      <c r="AJ247" t="str">
        <f>VLOOKUP($Z247,'oddspedia-matches'!$A:$AD,AJ$2,0)</f>
        <v>Red</v>
      </c>
      <c r="AK247" t="str">
        <f>VLOOKUP($Z247,'oddspedia-matches'!$A:$AD,AK$2,0)</f>
        <v>Red</v>
      </c>
      <c r="AL247" t="str">
        <f>VLOOKUP($Z247,'oddspedia-matches'!$A:$AD,AL$2,0)</f>
        <v>Red</v>
      </c>
      <c r="AM247" t="str">
        <f>VLOOKUP($Z247,'oddspedia-matches'!$A:$AD,AM$2,0)</f>
        <v>Red</v>
      </c>
      <c r="AN247" t="str">
        <f>VLOOKUP($Z247,'oddspedia-matches'!$A:$AD,AN$2,0)</f>
        <v>Green</v>
      </c>
      <c r="AO247" t="str">
        <f>VLOOKUP($Z247,'oddspedia-matches'!$A:$AD,AO$2,0)</f>
        <v>Green</v>
      </c>
      <c r="AP247" t="str">
        <f>VLOOKUP($Z247,'oddspedia-matches'!$A:$AD,AP$2,0)</f>
        <v>Red</v>
      </c>
      <c r="AQ247" t="str">
        <f>VLOOKUP($Z247,'oddspedia-matches'!$A:$AD,AQ$2,0)</f>
        <v>Green</v>
      </c>
    </row>
    <row r="248" spans="2:43" x14ac:dyDescent="0.2">
      <c r="B248" s="9" t="s">
        <v>705</v>
      </c>
      <c r="C248" s="7" t="s">
        <v>490</v>
      </c>
      <c r="D248" s="20">
        <v>0.70833333333333337</v>
      </c>
      <c r="E248" s="7" t="s">
        <v>708</v>
      </c>
      <c r="F248" s="7" t="s">
        <v>709</v>
      </c>
      <c r="G248" s="21"/>
      <c r="H248" s="7">
        <v>45.7</v>
      </c>
      <c r="I248" s="7">
        <v>32.299999999999997</v>
      </c>
      <c r="J248" s="7">
        <v>21.9</v>
      </c>
      <c r="K248" s="7">
        <v>78.099999999999994</v>
      </c>
      <c r="L248" s="7">
        <v>54.3</v>
      </c>
      <c r="M248" s="7">
        <v>67.7</v>
      </c>
      <c r="N248" s="7">
        <v>28.1</v>
      </c>
      <c r="O248" s="7">
        <v>52.2</v>
      </c>
      <c r="P248" s="7">
        <v>19.7</v>
      </c>
      <c r="Q248" s="7">
        <v>56.4</v>
      </c>
      <c r="R248" s="7">
        <v>59.4</v>
      </c>
      <c r="S248" s="7">
        <v>31.1</v>
      </c>
      <c r="T248" s="7">
        <v>68.900000000000006</v>
      </c>
      <c r="U248" s="7">
        <v>74.099999999999994</v>
      </c>
      <c r="V248" s="7">
        <v>38.200000000000003</v>
      </c>
      <c r="W248" s="7">
        <v>61.8</v>
      </c>
      <c r="X248" t="str">
        <f>VLOOKUP(E248,'Transform table'!A:B,2,0)</f>
        <v>Atletico Camioneros</v>
      </c>
      <c r="Y248" t="str">
        <f>VLOOKUP(F248,'Transform table'!A:B,2,0)</f>
        <v>San Martin De Burzaco</v>
      </c>
      <c r="Z248" t="str">
        <f t="shared" si="3"/>
        <v>25/07/2026Atletico CamionerosSan Martin De Burzaco</v>
      </c>
      <c r="AA248" t="str">
        <f>VLOOKUP($Z248,'oddspedia-matches'!$A:$AD,AA$2,0)</f>
        <v>2 - 0</v>
      </c>
      <c r="AB248" t="str">
        <f>VLOOKUP($Z248,'oddspedia-matches'!$A:$AD,AB$2,0)</f>
        <v>Green</v>
      </c>
      <c r="AC248" t="str">
        <f>VLOOKUP($Z248,'oddspedia-matches'!$A:$AD,AC$2,0)</f>
        <v>Red</v>
      </c>
      <c r="AD248" t="str">
        <f>VLOOKUP($Z248,'oddspedia-matches'!$A:$AD,AD$2,0)</f>
        <v>Red</v>
      </c>
      <c r="AE248" t="str">
        <f>VLOOKUP($Z248,'oddspedia-matches'!$A:$AD,AE$2,0)</f>
        <v>Green</v>
      </c>
      <c r="AF248" t="str">
        <f>VLOOKUP($Z248,'oddspedia-matches'!$A:$AD,AF$2,0)</f>
        <v>Red</v>
      </c>
      <c r="AG248" t="str">
        <f>VLOOKUP($Z248,'oddspedia-matches'!$A:$AD,AG$2,0)</f>
        <v>Green</v>
      </c>
      <c r="AH248" t="str">
        <f>VLOOKUP($Z248,'oddspedia-matches'!$A:$AD,AH$2,0)</f>
        <v>Green</v>
      </c>
      <c r="AI248" t="str">
        <f>VLOOKUP($Z248,'oddspedia-matches'!$A:$AD,AI$2,0)</f>
        <v>Red</v>
      </c>
      <c r="AJ248" t="str">
        <f>VLOOKUP($Z248,'oddspedia-matches'!$A:$AD,AJ$2,0)</f>
        <v>Red</v>
      </c>
      <c r="AK248" t="str">
        <f>VLOOKUP($Z248,'oddspedia-matches'!$A:$AD,AK$2,0)</f>
        <v>Green</v>
      </c>
      <c r="AL248" t="str">
        <f>VLOOKUP($Z248,'oddspedia-matches'!$A:$AD,AL$2,0)</f>
        <v>Green</v>
      </c>
      <c r="AM248" t="str">
        <f>VLOOKUP($Z248,'oddspedia-matches'!$A:$AD,AM$2,0)</f>
        <v>Red</v>
      </c>
      <c r="AN248" t="str">
        <f>VLOOKUP($Z248,'oddspedia-matches'!$A:$AD,AN$2,0)</f>
        <v>Green</v>
      </c>
      <c r="AO248" t="str">
        <f>VLOOKUP($Z248,'oddspedia-matches'!$A:$AD,AO$2,0)</f>
        <v>Green</v>
      </c>
      <c r="AP248" t="str">
        <f>VLOOKUP($Z248,'oddspedia-matches'!$A:$AD,AP$2,0)</f>
        <v>Red</v>
      </c>
      <c r="AQ248" t="str">
        <f>VLOOKUP($Z248,'oddspedia-matches'!$A:$AD,AQ$2,0)</f>
        <v>Green</v>
      </c>
    </row>
    <row r="249" spans="2:43" x14ac:dyDescent="0.2">
      <c r="B249" s="17" t="s">
        <v>705</v>
      </c>
      <c r="C249" s="8" t="s">
        <v>490</v>
      </c>
      <c r="D249" s="18">
        <v>0.70833333333333337</v>
      </c>
      <c r="E249" s="8" t="s">
        <v>710</v>
      </c>
      <c r="F249" s="8" t="s">
        <v>711</v>
      </c>
      <c r="G249" s="19"/>
      <c r="H249" s="8">
        <v>30.1</v>
      </c>
      <c r="I249" s="8">
        <v>35.5</v>
      </c>
      <c r="J249" s="8">
        <v>34.4</v>
      </c>
      <c r="K249" s="8">
        <v>65.599999999999994</v>
      </c>
      <c r="L249" s="8">
        <v>69.900000000000006</v>
      </c>
      <c r="M249" s="8">
        <v>64.5</v>
      </c>
      <c r="N249" s="8">
        <v>16.399999999999999</v>
      </c>
      <c r="O249" s="8">
        <v>56.4</v>
      </c>
      <c r="P249" s="8">
        <v>27.2</v>
      </c>
      <c r="Q249" s="8">
        <v>50.4</v>
      </c>
      <c r="R249" s="8">
        <v>55.6</v>
      </c>
      <c r="S249" s="8">
        <v>27.5</v>
      </c>
      <c r="T249" s="8">
        <v>72.5</v>
      </c>
      <c r="U249" s="8">
        <v>76.599999999999994</v>
      </c>
      <c r="V249" s="8">
        <v>37</v>
      </c>
      <c r="W249" s="8">
        <v>63</v>
      </c>
      <c r="X249" t="str">
        <f>VLOOKUP(E249,'Transform table'!A:B,2,0)</f>
        <v>Club Atl√©tico Brown</v>
      </c>
      <c r="Y249" t="str">
        <f>VLOOKUP(F249,'Transform table'!A:B,2,0)</f>
        <v>Argentino Merlo</v>
      </c>
      <c r="Z249" t="str">
        <f t="shared" si="3"/>
        <v>25/07/2026Club Atl√©tico BrownArgentino Merlo</v>
      </c>
      <c r="AA249" t="str">
        <f>VLOOKUP($Z249,'oddspedia-matches'!$A:$AD,AA$2,0)</f>
        <v>1 - 0</v>
      </c>
      <c r="AB249" t="str">
        <f>VLOOKUP($Z249,'oddspedia-matches'!$A:$AD,AB$2,0)</f>
        <v>Green</v>
      </c>
      <c r="AC249" t="str">
        <f>VLOOKUP($Z249,'oddspedia-matches'!$A:$AD,AC$2,0)</f>
        <v>Red</v>
      </c>
      <c r="AD249" t="str">
        <f>VLOOKUP($Z249,'oddspedia-matches'!$A:$AD,AD$2,0)</f>
        <v>Red</v>
      </c>
      <c r="AE249" t="str">
        <f>VLOOKUP($Z249,'oddspedia-matches'!$A:$AD,AE$2,0)</f>
        <v>Green</v>
      </c>
      <c r="AF249" t="str">
        <f>VLOOKUP($Z249,'oddspedia-matches'!$A:$AD,AF$2,0)</f>
        <v>Red</v>
      </c>
      <c r="AG249" t="str">
        <f>VLOOKUP($Z249,'oddspedia-matches'!$A:$AD,AG$2,0)</f>
        <v>Green</v>
      </c>
      <c r="AH249" t="str">
        <f>VLOOKUP($Z249,'oddspedia-matches'!$A:$AD,AH$2,0)</f>
        <v>Green</v>
      </c>
      <c r="AI249" t="str">
        <f>VLOOKUP($Z249,'oddspedia-matches'!$A:$AD,AI$2,0)</f>
        <v>Red</v>
      </c>
      <c r="AJ249" t="str">
        <f>VLOOKUP($Z249,'oddspedia-matches'!$A:$AD,AJ$2,0)</f>
        <v>Red</v>
      </c>
      <c r="AK249" t="str">
        <f>VLOOKUP($Z249,'oddspedia-matches'!$A:$AD,AK$2,0)</f>
        <v>Green</v>
      </c>
      <c r="AL249" t="str">
        <f>VLOOKUP($Z249,'oddspedia-matches'!$A:$AD,AL$2,0)</f>
        <v>Red</v>
      </c>
      <c r="AM249" t="str">
        <f>VLOOKUP($Z249,'oddspedia-matches'!$A:$AD,AM$2,0)</f>
        <v>Red</v>
      </c>
      <c r="AN249" t="str">
        <f>VLOOKUP($Z249,'oddspedia-matches'!$A:$AD,AN$2,0)</f>
        <v>Green</v>
      </c>
      <c r="AO249" t="str">
        <f>VLOOKUP($Z249,'oddspedia-matches'!$A:$AD,AO$2,0)</f>
        <v>Green</v>
      </c>
      <c r="AP249" t="str">
        <f>VLOOKUP($Z249,'oddspedia-matches'!$A:$AD,AP$2,0)</f>
        <v>Red</v>
      </c>
      <c r="AQ249" t="str">
        <f>VLOOKUP($Z249,'oddspedia-matches'!$A:$AD,AQ$2,0)</f>
        <v>Green</v>
      </c>
    </row>
    <row r="250" spans="2:43" x14ac:dyDescent="0.2">
      <c r="B250" s="9" t="s">
        <v>705</v>
      </c>
      <c r="C250" s="7" t="s">
        <v>490</v>
      </c>
      <c r="D250" s="20">
        <v>0.70833333333333337</v>
      </c>
      <c r="E250" s="7" t="s">
        <v>712</v>
      </c>
      <c r="F250" s="7" t="s">
        <v>713</v>
      </c>
      <c r="G250" s="21"/>
      <c r="H250" s="7">
        <v>43.2</v>
      </c>
      <c r="I250" s="7">
        <v>30.8</v>
      </c>
      <c r="J250" s="7">
        <v>25.9</v>
      </c>
      <c r="K250" s="7">
        <v>74.099999999999994</v>
      </c>
      <c r="L250" s="7">
        <v>56.8</v>
      </c>
      <c r="M250" s="7">
        <v>69.2</v>
      </c>
      <c r="N250" s="7">
        <v>28.5</v>
      </c>
      <c r="O250" s="7">
        <v>50.2</v>
      </c>
      <c r="P250" s="7">
        <v>21.4</v>
      </c>
      <c r="Q250" s="7">
        <v>59.4</v>
      </c>
      <c r="R250" s="7">
        <v>66.400000000000006</v>
      </c>
      <c r="S250" s="7">
        <v>38.4</v>
      </c>
      <c r="T250" s="7">
        <v>61.6</v>
      </c>
      <c r="U250" s="7">
        <v>67</v>
      </c>
      <c r="V250" s="7">
        <v>45.4</v>
      </c>
      <c r="W250" s="7">
        <v>54.6</v>
      </c>
      <c r="X250" t="str">
        <f>VLOOKUP(E250,'Transform table'!A:B,2,0)</f>
        <v>Club Comunicaciones</v>
      </c>
      <c r="Y250" t="str">
        <f>VLOOKUP(F250,'Transform table'!A:B,2,0)</f>
        <v>Real Pilar</v>
      </c>
      <c r="Z250" t="str">
        <f t="shared" si="3"/>
        <v>25/07/2026Club ComunicacionesReal Pilar</v>
      </c>
      <c r="AA250" t="str">
        <f>VLOOKUP($Z250,'oddspedia-matches'!$A:$AD,AA$2,0)</f>
        <v>1 - 2</v>
      </c>
      <c r="AB250" t="str">
        <f>VLOOKUP($Z250,'oddspedia-matches'!$A:$AD,AB$2,0)</f>
        <v>Red</v>
      </c>
      <c r="AC250" t="str">
        <f>VLOOKUP($Z250,'oddspedia-matches'!$A:$AD,AC$2,0)</f>
        <v>Red</v>
      </c>
      <c r="AD250" t="str">
        <f>VLOOKUP($Z250,'oddspedia-matches'!$A:$AD,AD$2,0)</f>
        <v>Green</v>
      </c>
      <c r="AE250" t="str">
        <f>VLOOKUP($Z250,'oddspedia-matches'!$A:$AD,AE$2,0)</f>
        <v>Red</v>
      </c>
      <c r="AF250" t="str">
        <f>VLOOKUP($Z250,'oddspedia-matches'!$A:$AD,AF$2,0)</f>
        <v>Green</v>
      </c>
      <c r="AG250" t="str">
        <f>VLOOKUP($Z250,'oddspedia-matches'!$A:$AD,AG$2,0)</f>
        <v>Green</v>
      </c>
      <c r="AH250" t="str">
        <f>VLOOKUP($Z250,'oddspedia-matches'!$A:$AD,AH$2,0)</f>
        <v>Red</v>
      </c>
      <c r="AI250" t="str">
        <f>VLOOKUP($Z250,'oddspedia-matches'!$A:$AD,AI$2,0)</f>
        <v>Green</v>
      </c>
      <c r="AJ250" t="str">
        <f>VLOOKUP($Z250,'oddspedia-matches'!$A:$AD,AJ$2,0)</f>
        <v>Red</v>
      </c>
      <c r="AK250" t="str">
        <f>VLOOKUP($Z250,'oddspedia-matches'!$A:$AD,AK$2,0)</f>
        <v>Green</v>
      </c>
      <c r="AL250" t="str">
        <f>VLOOKUP($Z250,'oddspedia-matches'!$A:$AD,AL$2,0)</f>
        <v>Green</v>
      </c>
      <c r="AM250" t="str">
        <f>VLOOKUP($Z250,'oddspedia-matches'!$A:$AD,AM$2,0)</f>
        <v>Green</v>
      </c>
      <c r="AN250" t="str">
        <f>VLOOKUP($Z250,'oddspedia-matches'!$A:$AD,AN$2,0)</f>
        <v>Red</v>
      </c>
      <c r="AO250" t="str">
        <f>VLOOKUP($Z250,'oddspedia-matches'!$A:$AD,AO$2,0)</f>
        <v>Green</v>
      </c>
      <c r="AP250" t="str">
        <f>VLOOKUP($Z250,'oddspedia-matches'!$A:$AD,AP$2,0)</f>
        <v>Green</v>
      </c>
      <c r="AQ250" t="str">
        <f>VLOOKUP($Z250,'oddspedia-matches'!$A:$AD,AQ$2,0)</f>
        <v>Red</v>
      </c>
    </row>
    <row r="251" spans="2:43" x14ac:dyDescent="0.2">
      <c r="B251" s="17" t="s">
        <v>705</v>
      </c>
      <c r="C251" s="8" t="s">
        <v>490</v>
      </c>
      <c r="D251" s="18">
        <v>0.70833333333333337</v>
      </c>
      <c r="E251" s="8" t="s">
        <v>714</v>
      </c>
      <c r="F251" s="8" t="s">
        <v>715</v>
      </c>
      <c r="G251" s="19"/>
      <c r="H251" s="8">
        <v>36.799999999999997</v>
      </c>
      <c r="I251" s="8">
        <v>37.799999999999997</v>
      </c>
      <c r="J251" s="8">
        <v>25.4</v>
      </c>
      <c r="K251" s="8">
        <v>74.599999999999994</v>
      </c>
      <c r="L251" s="8">
        <v>63.2</v>
      </c>
      <c r="M251" s="8">
        <v>62.2</v>
      </c>
      <c r="N251" s="8">
        <v>25.3</v>
      </c>
      <c r="O251" s="8">
        <v>56.7</v>
      </c>
      <c r="P251" s="8">
        <v>18</v>
      </c>
      <c r="Q251" s="8">
        <v>50.1</v>
      </c>
      <c r="R251" s="8">
        <v>47.7</v>
      </c>
      <c r="S251" s="8">
        <v>20.8</v>
      </c>
      <c r="T251" s="8">
        <v>79.2</v>
      </c>
      <c r="U251" s="8">
        <v>82.7</v>
      </c>
      <c r="V251" s="8">
        <v>30.3</v>
      </c>
      <c r="W251" s="8">
        <v>69.7</v>
      </c>
      <c r="X251" t="str">
        <f>VLOOKUP(E251,'Transform table'!A:B,2,0)</f>
        <v>Defensores Unidos</v>
      </c>
      <c r="Y251" t="str">
        <f>VLOOKUP(F251,'Transform table'!A:B,2,0)</f>
        <v>UAI Urquiza</v>
      </c>
      <c r="Z251" t="str">
        <f t="shared" si="3"/>
        <v>25/07/2026Defensores UnidosUAI Urquiza</v>
      </c>
      <c r="AA251" t="str">
        <f>VLOOKUP($Z251,'oddspedia-matches'!$A:$AD,AA$2,0)</f>
        <v>1 - 1</v>
      </c>
      <c r="AB251" t="str">
        <f>VLOOKUP($Z251,'oddspedia-matches'!$A:$AD,AB$2,0)</f>
        <v>Red</v>
      </c>
      <c r="AC251" t="str">
        <f>VLOOKUP($Z251,'oddspedia-matches'!$A:$AD,AC$2,0)</f>
        <v>Green</v>
      </c>
      <c r="AD251" t="str">
        <f>VLOOKUP($Z251,'oddspedia-matches'!$A:$AD,AD$2,0)</f>
        <v>Red</v>
      </c>
      <c r="AE251" t="str">
        <f>VLOOKUP($Z251,'oddspedia-matches'!$A:$AD,AE$2,0)</f>
        <v>Green</v>
      </c>
      <c r="AF251" t="str">
        <f>VLOOKUP($Z251,'oddspedia-matches'!$A:$AD,AF$2,0)</f>
        <v>Green</v>
      </c>
      <c r="AG251" t="str">
        <f>VLOOKUP($Z251,'oddspedia-matches'!$A:$AD,AG$2,0)</f>
        <v>Red</v>
      </c>
      <c r="AH251" t="str">
        <f>VLOOKUP($Z251,'oddspedia-matches'!$A:$AD,AH$2,0)</f>
        <v>Green</v>
      </c>
      <c r="AI251" t="str">
        <f>VLOOKUP($Z251,'oddspedia-matches'!$A:$AD,AI$2,0)</f>
        <v>Red</v>
      </c>
      <c r="AJ251" t="str">
        <f>VLOOKUP($Z251,'oddspedia-matches'!$A:$AD,AJ$2,0)</f>
        <v>Red</v>
      </c>
      <c r="AK251" t="str">
        <f>VLOOKUP($Z251,'oddspedia-matches'!$A:$AD,AK$2,0)</f>
        <v>Green</v>
      </c>
      <c r="AL251" t="str">
        <f>VLOOKUP($Z251,'oddspedia-matches'!$A:$AD,AL$2,0)</f>
        <v>Green</v>
      </c>
      <c r="AM251" t="str">
        <f>VLOOKUP($Z251,'oddspedia-matches'!$A:$AD,AM$2,0)</f>
        <v>Red</v>
      </c>
      <c r="AN251" t="str">
        <f>VLOOKUP($Z251,'oddspedia-matches'!$A:$AD,AN$2,0)</f>
        <v>Green</v>
      </c>
      <c r="AO251" t="str">
        <f>VLOOKUP($Z251,'oddspedia-matches'!$A:$AD,AO$2,0)</f>
        <v>Green</v>
      </c>
      <c r="AP251" t="str">
        <f>VLOOKUP($Z251,'oddspedia-matches'!$A:$AD,AP$2,0)</f>
        <v>Green</v>
      </c>
      <c r="AQ251" t="str">
        <f>VLOOKUP($Z251,'oddspedia-matches'!$A:$AD,AQ$2,0)</f>
        <v>Red</v>
      </c>
    </row>
    <row r="252" spans="2:43" x14ac:dyDescent="0.2">
      <c r="B252" s="9" t="s">
        <v>705</v>
      </c>
      <c r="C252" s="7" t="s">
        <v>490</v>
      </c>
      <c r="D252" s="20">
        <v>0.70833333333333337</v>
      </c>
      <c r="E252" s="7" t="s">
        <v>716</v>
      </c>
      <c r="F252" s="7" t="s">
        <v>717</v>
      </c>
      <c r="G252" s="21"/>
      <c r="H252" s="7">
        <v>32.9</v>
      </c>
      <c r="I252" s="7">
        <v>32.1</v>
      </c>
      <c r="J252" s="7">
        <v>35</v>
      </c>
      <c r="K252" s="7">
        <v>65</v>
      </c>
      <c r="L252" s="7">
        <v>67.099999999999994</v>
      </c>
      <c r="M252" s="7">
        <v>67.900000000000006</v>
      </c>
      <c r="N252" s="7">
        <v>31.2</v>
      </c>
      <c r="O252" s="7">
        <v>43.9</v>
      </c>
      <c r="P252" s="7">
        <v>24.8</v>
      </c>
      <c r="Q252" s="7">
        <v>68.900000000000006</v>
      </c>
      <c r="R252" s="7">
        <v>65.900000000000006</v>
      </c>
      <c r="S252" s="7">
        <v>37.700000000000003</v>
      </c>
      <c r="T252" s="7">
        <v>62.3</v>
      </c>
      <c r="U252" s="7">
        <v>67.2</v>
      </c>
      <c r="V252" s="7">
        <v>45.9</v>
      </c>
      <c r="W252" s="7">
        <v>54.1</v>
      </c>
      <c r="X252" t="str">
        <f>VLOOKUP(E252,'Transform table'!A:B,2,0)</f>
        <v>Deportivo Armenio</v>
      </c>
      <c r="Y252" t="str">
        <f>VLOOKUP(F252,'Transform table'!A:B,2,0)</f>
        <v>Arsenal de Sarandi</v>
      </c>
      <c r="Z252" t="str">
        <f t="shared" si="3"/>
        <v>25/07/2026Deportivo ArmenioArsenal de Sarandi</v>
      </c>
      <c r="AA252" t="str">
        <f>VLOOKUP($Z252,'oddspedia-matches'!$A:$AD,AA$2,0)</f>
        <v>0 - 0</v>
      </c>
      <c r="AB252" t="str">
        <f>VLOOKUP($Z252,'oddspedia-matches'!$A:$AD,AB$2,0)</f>
        <v>Red</v>
      </c>
      <c r="AC252" t="str">
        <f>VLOOKUP($Z252,'oddspedia-matches'!$A:$AD,AC$2,0)</f>
        <v>Green</v>
      </c>
      <c r="AD252" t="str">
        <f>VLOOKUP($Z252,'oddspedia-matches'!$A:$AD,AD$2,0)</f>
        <v>Red</v>
      </c>
      <c r="AE252" t="str">
        <f>VLOOKUP($Z252,'oddspedia-matches'!$A:$AD,AE$2,0)</f>
        <v>Green</v>
      </c>
      <c r="AF252" t="str">
        <f>VLOOKUP($Z252,'oddspedia-matches'!$A:$AD,AF$2,0)</f>
        <v>Green</v>
      </c>
      <c r="AG252" t="str">
        <f>VLOOKUP($Z252,'oddspedia-matches'!$A:$AD,AG$2,0)</f>
        <v>Red</v>
      </c>
      <c r="AH252" t="str">
        <f>VLOOKUP($Z252,'oddspedia-matches'!$A:$AD,AH$2,0)</f>
        <v>Red</v>
      </c>
      <c r="AI252" t="str">
        <f>VLOOKUP($Z252,'oddspedia-matches'!$A:$AD,AI$2,0)</f>
        <v>Green</v>
      </c>
      <c r="AJ252" t="str">
        <f>VLOOKUP($Z252,'oddspedia-matches'!$A:$AD,AJ$2,0)</f>
        <v>Red</v>
      </c>
      <c r="AK252" t="str">
        <f>VLOOKUP($Z252,'oddspedia-matches'!$A:$AD,AK$2,0)</f>
        <v>Red</v>
      </c>
      <c r="AL252" t="str">
        <f>VLOOKUP($Z252,'oddspedia-matches'!$A:$AD,AL$2,0)</f>
        <v>Red</v>
      </c>
      <c r="AM252" t="str">
        <f>VLOOKUP($Z252,'oddspedia-matches'!$A:$AD,AM$2,0)</f>
        <v>Red</v>
      </c>
      <c r="AN252" t="str">
        <f>VLOOKUP($Z252,'oddspedia-matches'!$A:$AD,AN$2,0)</f>
        <v>Green</v>
      </c>
      <c r="AO252" t="str">
        <f>VLOOKUP($Z252,'oddspedia-matches'!$A:$AD,AO$2,0)</f>
        <v>Green</v>
      </c>
      <c r="AP252" t="str">
        <f>VLOOKUP($Z252,'oddspedia-matches'!$A:$AD,AP$2,0)</f>
        <v>Red</v>
      </c>
      <c r="AQ252" t="str">
        <f>VLOOKUP($Z252,'oddspedia-matches'!$A:$AD,AQ$2,0)</f>
        <v>Green</v>
      </c>
    </row>
    <row r="253" spans="2:43" x14ac:dyDescent="0.2">
      <c r="B253" s="17" t="s">
        <v>705</v>
      </c>
      <c r="C253" s="8" t="s">
        <v>490</v>
      </c>
      <c r="D253" s="18">
        <v>0.70833333333333337</v>
      </c>
      <c r="E253" s="8" t="s">
        <v>718</v>
      </c>
      <c r="F253" s="8" t="s">
        <v>719</v>
      </c>
      <c r="G253" s="19"/>
      <c r="H253" s="8">
        <v>31.1</v>
      </c>
      <c r="I253" s="8">
        <v>34.200000000000003</v>
      </c>
      <c r="J253" s="8">
        <v>34.700000000000003</v>
      </c>
      <c r="K253" s="8">
        <v>65.3</v>
      </c>
      <c r="L253" s="8">
        <v>68.900000000000006</v>
      </c>
      <c r="M253" s="8">
        <v>65.8</v>
      </c>
      <c r="N253" s="8">
        <v>28.6</v>
      </c>
      <c r="O253" s="8">
        <v>45.7</v>
      </c>
      <c r="P253" s="8">
        <v>25.7</v>
      </c>
      <c r="Q253" s="8">
        <v>66.3</v>
      </c>
      <c r="R253" s="8">
        <v>59.4</v>
      </c>
      <c r="S253" s="8">
        <v>31</v>
      </c>
      <c r="T253" s="8">
        <v>69</v>
      </c>
      <c r="U253" s="8">
        <v>73.400000000000006</v>
      </c>
      <c r="V253" s="8">
        <v>40.1</v>
      </c>
      <c r="W253" s="8">
        <v>59.9</v>
      </c>
      <c r="X253">
        <f>VLOOKUP(E253,'Transform table'!A:B,2,0)</f>
        <v>0</v>
      </c>
      <c r="Y253">
        <f>VLOOKUP(F253,'Transform table'!A:B,2,0)</f>
        <v>0</v>
      </c>
      <c r="Z253" t="str">
        <f t="shared" si="3"/>
        <v>25/07/202600</v>
      </c>
      <c r="AA253" t="e">
        <f>VLOOKUP($Z253,'oddspedia-matches'!$A:$AD,AA$2,0)</f>
        <v>#N/A</v>
      </c>
      <c r="AB253" t="e">
        <f>VLOOKUP($Z253,'oddspedia-matches'!$A:$AD,AB$2,0)</f>
        <v>#N/A</v>
      </c>
      <c r="AC253" t="e">
        <f>VLOOKUP($Z253,'oddspedia-matches'!$A:$AD,AC$2,0)</f>
        <v>#N/A</v>
      </c>
      <c r="AD253" t="e">
        <f>VLOOKUP($Z253,'oddspedia-matches'!$A:$AD,AD$2,0)</f>
        <v>#N/A</v>
      </c>
      <c r="AE253" t="e">
        <f>VLOOKUP($Z253,'oddspedia-matches'!$A:$AD,AE$2,0)</f>
        <v>#N/A</v>
      </c>
      <c r="AF253" t="e">
        <f>VLOOKUP($Z253,'oddspedia-matches'!$A:$AD,AF$2,0)</f>
        <v>#N/A</v>
      </c>
      <c r="AG253" t="e">
        <f>VLOOKUP($Z253,'oddspedia-matches'!$A:$AD,AG$2,0)</f>
        <v>#N/A</v>
      </c>
      <c r="AH253" t="e">
        <f>VLOOKUP($Z253,'oddspedia-matches'!$A:$AD,AH$2,0)</f>
        <v>#N/A</v>
      </c>
      <c r="AI253" t="e">
        <f>VLOOKUP($Z253,'oddspedia-matches'!$A:$AD,AI$2,0)</f>
        <v>#N/A</v>
      </c>
      <c r="AJ253" t="e">
        <f>VLOOKUP($Z253,'oddspedia-matches'!$A:$AD,AJ$2,0)</f>
        <v>#N/A</v>
      </c>
      <c r="AK253" t="e">
        <f>VLOOKUP($Z253,'oddspedia-matches'!$A:$AD,AK$2,0)</f>
        <v>#N/A</v>
      </c>
      <c r="AL253" t="e">
        <f>VLOOKUP($Z253,'oddspedia-matches'!$A:$AD,AL$2,0)</f>
        <v>#N/A</v>
      </c>
      <c r="AM253" t="e">
        <f>VLOOKUP($Z253,'oddspedia-matches'!$A:$AD,AM$2,0)</f>
        <v>#N/A</v>
      </c>
      <c r="AN253" t="e">
        <f>VLOOKUP($Z253,'oddspedia-matches'!$A:$AD,AN$2,0)</f>
        <v>#N/A</v>
      </c>
      <c r="AO253" t="e">
        <f>VLOOKUP($Z253,'oddspedia-matches'!$A:$AD,AO$2,0)</f>
        <v>#N/A</v>
      </c>
      <c r="AP253" t="e">
        <f>VLOOKUP($Z253,'oddspedia-matches'!$A:$AD,AP$2,0)</f>
        <v>#N/A</v>
      </c>
      <c r="AQ253" t="e">
        <f>VLOOKUP($Z253,'oddspedia-matches'!$A:$AD,AQ$2,0)</f>
        <v>#N/A</v>
      </c>
    </row>
    <row r="254" spans="2:43" x14ac:dyDescent="0.2">
      <c r="B254" s="9" t="s">
        <v>705</v>
      </c>
      <c r="C254" s="7" t="s">
        <v>490</v>
      </c>
      <c r="D254" s="20">
        <v>0.70833333333333337</v>
      </c>
      <c r="E254" s="7" t="s">
        <v>720</v>
      </c>
      <c r="F254" s="7" t="s">
        <v>721</v>
      </c>
      <c r="G254" s="21"/>
      <c r="H254" s="7">
        <v>44.6</v>
      </c>
      <c r="I254" s="7">
        <v>33.799999999999997</v>
      </c>
      <c r="J254" s="7">
        <v>21.6</v>
      </c>
      <c r="K254" s="7">
        <v>78.400000000000006</v>
      </c>
      <c r="L254" s="7">
        <v>55.4</v>
      </c>
      <c r="M254" s="7">
        <v>66.2</v>
      </c>
      <c r="N254" s="7">
        <v>36.9</v>
      </c>
      <c r="O254" s="7">
        <v>49.3</v>
      </c>
      <c r="P254" s="7">
        <v>13.8</v>
      </c>
      <c r="Q254" s="7">
        <v>58.7</v>
      </c>
      <c r="R254" s="7">
        <v>55.2</v>
      </c>
      <c r="S254" s="7">
        <v>27.1</v>
      </c>
      <c r="T254" s="7">
        <v>72.900000000000006</v>
      </c>
      <c r="U254" s="7">
        <v>77.599999999999994</v>
      </c>
      <c r="V254" s="7">
        <v>34.799999999999997</v>
      </c>
      <c r="W254" s="7">
        <v>65.2</v>
      </c>
      <c r="X254" t="str">
        <f>VLOOKUP(E254,'Transform table'!A:B,2,0)</f>
        <v>Sportivo Dock Sud</v>
      </c>
      <c r="Y254" t="str">
        <f>VLOOKUP(F254,'Transform table'!A:B,2,0)</f>
        <v>CSD Liniers</v>
      </c>
      <c r="Z254" t="str">
        <f t="shared" si="3"/>
        <v>25/07/2026Sportivo Dock SudCSD Liniers</v>
      </c>
      <c r="AA254" t="str">
        <f>VLOOKUP($Z254,'oddspedia-matches'!$A:$AD,AA$2,0)</f>
        <v>1 - 1</v>
      </c>
      <c r="AB254" t="str">
        <f>VLOOKUP($Z254,'oddspedia-matches'!$A:$AD,AB$2,0)</f>
        <v>Red</v>
      </c>
      <c r="AC254" t="str">
        <f>VLOOKUP($Z254,'oddspedia-matches'!$A:$AD,AC$2,0)</f>
        <v>Green</v>
      </c>
      <c r="AD254" t="str">
        <f>VLOOKUP($Z254,'oddspedia-matches'!$A:$AD,AD$2,0)</f>
        <v>Red</v>
      </c>
      <c r="AE254" t="str">
        <f>VLOOKUP($Z254,'oddspedia-matches'!$A:$AD,AE$2,0)</f>
        <v>Green</v>
      </c>
      <c r="AF254" t="str">
        <f>VLOOKUP($Z254,'oddspedia-matches'!$A:$AD,AF$2,0)</f>
        <v>Green</v>
      </c>
      <c r="AG254" t="str">
        <f>VLOOKUP($Z254,'oddspedia-matches'!$A:$AD,AG$2,0)</f>
        <v>Red</v>
      </c>
      <c r="AH254" t="str">
        <f>VLOOKUP($Z254,'oddspedia-matches'!$A:$AD,AH$2,0)</f>
        <v>Red</v>
      </c>
      <c r="AI254" t="str">
        <f>VLOOKUP($Z254,'oddspedia-matches'!$A:$AD,AI$2,0)</f>
        <v>Red</v>
      </c>
      <c r="AJ254" t="str">
        <f>VLOOKUP($Z254,'oddspedia-matches'!$A:$AD,AJ$2,0)</f>
        <v>Green</v>
      </c>
      <c r="AK254" t="str">
        <f>VLOOKUP($Z254,'oddspedia-matches'!$A:$AD,AK$2,0)</f>
        <v>Green</v>
      </c>
      <c r="AL254" t="str">
        <f>VLOOKUP($Z254,'oddspedia-matches'!$A:$AD,AL$2,0)</f>
        <v>Green</v>
      </c>
      <c r="AM254" t="str">
        <f>VLOOKUP($Z254,'oddspedia-matches'!$A:$AD,AM$2,0)</f>
        <v>Red</v>
      </c>
      <c r="AN254" t="str">
        <f>VLOOKUP($Z254,'oddspedia-matches'!$A:$AD,AN$2,0)</f>
        <v>Green</v>
      </c>
      <c r="AO254" t="str">
        <f>VLOOKUP($Z254,'oddspedia-matches'!$A:$AD,AO$2,0)</f>
        <v>Green</v>
      </c>
      <c r="AP254" t="str">
        <f>VLOOKUP($Z254,'oddspedia-matches'!$A:$AD,AP$2,0)</f>
        <v>Green</v>
      </c>
      <c r="AQ254" t="str">
        <f>VLOOKUP($Z254,'oddspedia-matches'!$A:$AD,AQ$2,0)</f>
        <v>Red</v>
      </c>
    </row>
    <row r="255" spans="2:43" x14ac:dyDescent="0.2">
      <c r="B255" s="17" t="s">
        <v>705</v>
      </c>
      <c r="C255" s="8" t="s">
        <v>490</v>
      </c>
      <c r="D255" s="18">
        <v>0.70833333333333337</v>
      </c>
      <c r="E255" s="8" t="s">
        <v>722</v>
      </c>
      <c r="F255" s="8" t="s">
        <v>723</v>
      </c>
      <c r="G255" s="19"/>
      <c r="H255" s="8">
        <v>23.2</v>
      </c>
      <c r="I255" s="8">
        <v>33.9</v>
      </c>
      <c r="J255" s="8">
        <v>42.9</v>
      </c>
      <c r="K255" s="8">
        <v>57.1</v>
      </c>
      <c r="L255" s="8">
        <v>76.8</v>
      </c>
      <c r="M255" s="8">
        <v>66.099999999999994</v>
      </c>
      <c r="N255" s="8">
        <v>24</v>
      </c>
      <c r="O255" s="8">
        <v>54.3</v>
      </c>
      <c r="P255" s="8">
        <v>21.7</v>
      </c>
      <c r="Q255" s="8">
        <v>53.7</v>
      </c>
      <c r="R255" s="8">
        <v>59.4</v>
      </c>
      <c r="S255" s="8">
        <v>31</v>
      </c>
      <c r="T255" s="8">
        <v>69</v>
      </c>
      <c r="U255" s="8">
        <v>73.900000000000006</v>
      </c>
      <c r="V255" s="8">
        <v>38.799999999999997</v>
      </c>
      <c r="W255" s="8">
        <v>61.2</v>
      </c>
      <c r="X255" t="str">
        <f>VLOOKUP(E255,'Transform table'!A:B,2,0)</f>
        <v>Flandria</v>
      </c>
      <c r="Y255" t="str">
        <f>VLOOKUP(F255,'Transform table'!A:B,2,0)</f>
        <v>Excursionistas</v>
      </c>
      <c r="Z255" t="str">
        <f t="shared" si="3"/>
        <v>25/07/2026FlandriaExcursionistas</v>
      </c>
      <c r="AA255" t="str">
        <f>VLOOKUP($Z255,'oddspedia-matches'!$A:$AD,AA$2,0)</f>
        <v>1 - 1</v>
      </c>
      <c r="AB255" t="str">
        <f>VLOOKUP($Z255,'oddspedia-matches'!$A:$AD,AB$2,0)</f>
        <v>Red</v>
      </c>
      <c r="AC255" t="str">
        <f>VLOOKUP($Z255,'oddspedia-matches'!$A:$AD,AC$2,0)</f>
        <v>Green</v>
      </c>
      <c r="AD255" t="str">
        <f>VLOOKUP($Z255,'oddspedia-matches'!$A:$AD,AD$2,0)</f>
        <v>Red</v>
      </c>
      <c r="AE255" t="str">
        <f>VLOOKUP($Z255,'oddspedia-matches'!$A:$AD,AE$2,0)</f>
        <v>Green</v>
      </c>
      <c r="AF255" t="str">
        <f>VLOOKUP($Z255,'oddspedia-matches'!$A:$AD,AF$2,0)</f>
        <v>Green</v>
      </c>
      <c r="AG255" t="str">
        <f>VLOOKUP($Z255,'oddspedia-matches'!$A:$AD,AG$2,0)</f>
        <v>Red</v>
      </c>
      <c r="AH255" t="str">
        <f>VLOOKUP($Z255,'oddspedia-matches'!$A:$AD,AH$2,0)</f>
        <v>Green</v>
      </c>
      <c r="AI255" t="str">
        <f>VLOOKUP($Z255,'oddspedia-matches'!$A:$AD,AI$2,0)</f>
        <v>Red</v>
      </c>
      <c r="AJ255" t="str">
        <f>VLOOKUP($Z255,'oddspedia-matches'!$A:$AD,AJ$2,0)</f>
        <v>Red</v>
      </c>
      <c r="AK255" t="str">
        <f>VLOOKUP($Z255,'oddspedia-matches'!$A:$AD,AK$2,0)</f>
        <v>Green</v>
      </c>
      <c r="AL255" t="str">
        <f>VLOOKUP($Z255,'oddspedia-matches'!$A:$AD,AL$2,0)</f>
        <v>Green</v>
      </c>
      <c r="AM255" t="str">
        <f>VLOOKUP($Z255,'oddspedia-matches'!$A:$AD,AM$2,0)</f>
        <v>Red</v>
      </c>
      <c r="AN255" t="str">
        <f>VLOOKUP($Z255,'oddspedia-matches'!$A:$AD,AN$2,0)</f>
        <v>Green</v>
      </c>
      <c r="AO255" t="str">
        <f>VLOOKUP($Z255,'oddspedia-matches'!$A:$AD,AO$2,0)</f>
        <v>Green</v>
      </c>
      <c r="AP255" t="str">
        <f>VLOOKUP($Z255,'oddspedia-matches'!$A:$AD,AP$2,0)</f>
        <v>Green</v>
      </c>
      <c r="AQ255" t="str">
        <f>VLOOKUP($Z255,'oddspedia-matches'!$A:$AD,AQ$2,0)</f>
        <v>Red</v>
      </c>
    </row>
    <row r="256" spans="2:43" x14ac:dyDescent="0.2">
      <c r="B256" s="9" t="s">
        <v>705</v>
      </c>
      <c r="C256" s="7" t="s">
        <v>490</v>
      </c>
      <c r="D256" s="20">
        <v>0.70833333333333337</v>
      </c>
      <c r="E256" s="7" t="s">
        <v>724</v>
      </c>
      <c r="F256" s="7" t="s">
        <v>725</v>
      </c>
      <c r="G256" s="21"/>
      <c r="H256" s="7">
        <v>25.4</v>
      </c>
      <c r="I256" s="7">
        <v>32.9</v>
      </c>
      <c r="J256" s="7">
        <v>41.7</v>
      </c>
      <c r="K256" s="7">
        <v>58.3</v>
      </c>
      <c r="L256" s="7">
        <v>74.599999999999994</v>
      </c>
      <c r="M256" s="7">
        <v>67.099999999999994</v>
      </c>
      <c r="N256" s="7">
        <v>17.399999999999999</v>
      </c>
      <c r="O256" s="7">
        <v>51.2</v>
      </c>
      <c r="P256" s="7">
        <v>31.5</v>
      </c>
      <c r="Q256" s="7">
        <v>57.6</v>
      </c>
      <c r="R256" s="7">
        <v>62.8</v>
      </c>
      <c r="S256" s="7">
        <v>34.5</v>
      </c>
      <c r="T256" s="7">
        <v>65.5</v>
      </c>
      <c r="U256" s="7">
        <v>70.599999999999994</v>
      </c>
      <c r="V256" s="7">
        <v>42.2</v>
      </c>
      <c r="W256" s="7">
        <v>57.8</v>
      </c>
      <c r="X256">
        <f>VLOOKUP(E256,'Transform table'!A:B,2,0)</f>
        <v>0</v>
      </c>
      <c r="Y256">
        <f>VLOOKUP(F256,'Transform table'!A:B,2,0)</f>
        <v>0</v>
      </c>
      <c r="Z256" t="str">
        <f t="shared" si="3"/>
        <v>25/07/202600</v>
      </c>
      <c r="AA256" t="e">
        <f>VLOOKUP($Z256,'oddspedia-matches'!$A:$AD,AA$2,0)</f>
        <v>#N/A</v>
      </c>
      <c r="AB256" t="e">
        <f>VLOOKUP($Z256,'oddspedia-matches'!$A:$AD,AB$2,0)</f>
        <v>#N/A</v>
      </c>
      <c r="AC256" t="e">
        <f>VLOOKUP($Z256,'oddspedia-matches'!$A:$AD,AC$2,0)</f>
        <v>#N/A</v>
      </c>
      <c r="AD256" t="e">
        <f>VLOOKUP($Z256,'oddspedia-matches'!$A:$AD,AD$2,0)</f>
        <v>#N/A</v>
      </c>
      <c r="AE256" t="e">
        <f>VLOOKUP($Z256,'oddspedia-matches'!$A:$AD,AE$2,0)</f>
        <v>#N/A</v>
      </c>
      <c r="AF256" t="e">
        <f>VLOOKUP($Z256,'oddspedia-matches'!$A:$AD,AF$2,0)</f>
        <v>#N/A</v>
      </c>
      <c r="AG256" t="e">
        <f>VLOOKUP($Z256,'oddspedia-matches'!$A:$AD,AG$2,0)</f>
        <v>#N/A</v>
      </c>
      <c r="AH256" t="e">
        <f>VLOOKUP($Z256,'oddspedia-matches'!$A:$AD,AH$2,0)</f>
        <v>#N/A</v>
      </c>
      <c r="AI256" t="e">
        <f>VLOOKUP($Z256,'oddspedia-matches'!$A:$AD,AI$2,0)</f>
        <v>#N/A</v>
      </c>
      <c r="AJ256" t="e">
        <f>VLOOKUP($Z256,'oddspedia-matches'!$A:$AD,AJ$2,0)</f>
        <v>#N/A</v>
      </c>
      <c r="AK256" t="e">
        <f>VLOOKUP($Z256,'oddspedia-matches'!$A:$AD,AK$2,0)</f>
        <v>#N/A</v>
      </c>
      <c r="AL256" t="e">
        <f>VLOOKUP($Z256,'oddspedia-matches'!$A:$AD,AL$2,0)</f>
        <v>#N/A</v>
      </c>
      <c r="AM256" t="e">
        <f>VLOOKUP($Z256,'oddspedia-matches'!$A:$AD,AM$2,0)</f>
        <v>#N/A</v>
      </c>
      <c r="AN256" t="e">
        <f>VLOOKUP($Z256,'oddspedia-matches'!$A:$AD,AN$2,0)</f>
        <v>#N/A</v>
      </c>
      <c r="AO256" t="e">
        <f>VLOOKUP($Z256,'oddspedia-matches'!$A:$AD,AO$2,0)</f>
        <v>#N/A</v>
      </c>
      <c r="AP256" t="e">
        <f>VLOOKUP($Z256,'oddspedia-matches'!$A:$AD,AP$2,0)</f>
        <v>#N/A</v>
      </c>
      <c r="AQ256" t="e">
        <f>VLOOKUP($Z256,'oddspedia-matches'!$A:$AD,AQ$2,0)</f>
        <v>#N/A</v>
      </c>
    </row>
    <row r="257" spans="2:43" x14ac:dyDescent="0.2">
      <c r="B257" s="17" t="s">
        <v>705</v>
      </c>
      <c r="C257" s="8" t="s">
        <v>490</v>
      </c>
      <c r="D257" s="18">
        <v>0.70833333333333337</v>
      </c>
      <c r="E257" s="8" t="s">
        <v>726</v>
      </c>
      <c r="F257" s="8" t="s">
        <v>727</v>
      </c>
      <c r="G257" s="19"/>
      <c r="H257" s="8">
        <v>42.4</v>
      </c>
      <c r="I257" s="8">
        <v>29.6</v>
      </c>
      <c r="J257" s="8">
        <v>27.9</v>
      </c>
      <c r="K257" s="8">
        <v>72.099999999999994</v>
      </c>
      <c r="L257" s="8">
        <v>57.6</v>
      </c>
      <c r="M257" s="8">
        <v>70.400000000000006</v>
      </c>
      <c r="N257" s="8">
        <v>25.9</v>
      </c>
      <c r="O257" s="8">
        <v>48.5</v>
      </c>
      <c r="P257" s="8">
        <v>25.7</v>
      </c>
      <c r="Q257" s="8">
        <v>62.2</v>
      </c>
      <c r="R257" s="8">
        <v>71.2</v>
      </c>
      <c r="S257" s="8">
        <v>43.9</v>
      </c>
      <c r="T257" s="8">
        <v>56.1</v>
      </c>
      <c r="U257" s="8">
        <v>61.6</v>
      </c>
      <c r="V257" s="8">
        <v>50.2</v>
      </c>
      <c r="W257" s="8">
        <v>49.8</v>
      </c>
      <c r="X257" t="str">
        <f>VLOOKUP(E257,'Transform table'!A:B,2,0)</f>
        <v>Deportivo Merlo</v>
      </c>
      <c r="Y257" t="str">
        <f>VLOOKUP(F257,'Transform table'!A:B,2,0)</f>
        <v>CA Villa San Carlos</v>
      </c>
      <c r="Z257" t="str">
        <f t="shared" si="3"/>
        <v>25/07/2026Deportivo MerloCA Villa San Carlos</v>
      </c>
      <c r="AA257" t="str">
        <f>VLOOKUP($Z257,'oddspedia-matches'!$A:$AD,AA$2,0)</f>
        <v>1 - 2</v>
      </c>
      <c r="AB257" t="str">
        <f>VLOOKUP($Z257,'oddspedia-matches'!$A:$AD,AB$2,0)</f>
        <v>Red</v>
      </c>
      <c r="AC257" t="str">
        <f>VLOOKUP($Z257,'oddspedia-matches'!$A:$AD,AC$2,0)</f>
        <v>Red</v>
      </c>
      <c r="AD257" t="str">
        <f>VLOOKUP($Z257,'oddspedia-matches'!$A:$AD,AD$2,0)</f>
        <v>Green</v>
      </c>
      <c r="AE257" t="str">
        <f>VLOOKUP($Z257,'oddspedia-matches'!$A:$AD,AE$2,0)</f>
        <v>Red</v>
      </c>
      <c r="AF257" t="str">
        <f>VLOOKUP($Z257,'oddspedia-matches'!$A:$AD,AF$2,0)</f>
        <v>Green</v>
      </c>
      <c r="AG257" t="str">
        <f>VLOOKUP($Z257,'oddspedia-matches'!$A:$AD,AG$2,0)</f>
        <v>Green</v>
      </c>
      <c r="AH257" t="str">
        <f>VLOOKUP($Z257,'oddspedia-matches'!$A:$AD,AH$2,0)</f>
        <v>Red</v>
      </c>
      <c r="AI257" t="str">
        <f>VLOOKUP($Z257,'oddspedia-matches'!$A:$AD,AI$2,0)</f>
        <v>Green</v>
      </c>
      <c r="AJ257" t="str">
        <f>VLOOKUP($Z257,'oddspedia-matches'!$A:$AD,AJ$2,0)</f>
        <v>Red</v>
      </c>
      <c r="AK257" t="str">
        <f>VLOOKUP($Z257,'oddspedia-matches'!$A:$AD,AK$2,0)</f>
        <v>Green</v>
      </c>
      <c r="AL257" t="str">
        <f>VLOOKUP($Z257,'oddspedia-matches'!$A:$AD,AL$2,0)</f>
        <v>Green</v>
      </c>
      <c r="AM257" t="str">
        <f>VLOOKUP($Z257,'oddspedia-matches'!$A:$AD,AM$2,0)</f>
        <v>Green</v>
      </c>
      <c r="AN257" t="str">
        <f>VLOOKUP($Z257,'oddspedia-matches'!$A:$AD,AN$2,0)</f>
        <v>Red</v>
      </c>
      <c r="AO257" t="str">
        <f>VLOOKUP($Z257,'oddspedia-matches'!$A:$AD,AO$2,0)</f>
        <v>Green</v>
      </c>
      <c r="AP257" t="str">
        <f>VLOOKUP($Z257,'oddspedia-matches'!$A:$AD,AP$2,0)</f>
        <v>Green</v>
      </c>
      <c r="AQ257" t="str">
        <f>VLOOKUP($Z257,'oddspedia-matches'!$A:$AD,AQ$2,0)</f>
        <v>Red</v>
      </c>
    </row>
    <row r="258" spans="2:43" x14ac:dyDescent="0.2">
      <c r="B258" s="9" t="s">
        <v>728</v>
      </c>
      <c r="C258" s="7" t="s">
        <v>490</v>
      </c>
      <c r="D258" s="20">
        <v>0.70833333333333337</v>
      </c>
      <c r="E258" s="7" t="s">
        <v>729</v>
      </c>
      <c r="F258" s="7" t="s">
        <v>730</v>
      </c>
      <c r="G258" s="21"/>
      <c r="H258" s="7">
        <v>45.8</v>
      </c>
      <c r="I258" s="7">
        <v>32.9</v>
      </c>
      <c r="J258" s="7">
        <v>21.3</v>
      </c>
      <c r="K258" s="7">
        <v>78.7</v>
      </c>
      <c r="L258" s="7">
        <v>54.2</v>
      </c>
      <c r="M258" s="7">
        <v>67.099999999999994</v>
      </c>
      <c r="N258" s="7">
        <v>26.1</v>
      </c>
      <c r="O258" s="7">
        <v>56.2</v>
      </c>
      <c r="P258" s="7">
        <v>17.7</v>
      </c>
      <c r="Q258" s="7">
        <v>50.8</v>
      </c>
      <c r="R258" s="7">
        <v>57.2</v>
      </c>
      <c r="S258" s="7">
        <v>29</v>
      </c>
      <c r="T258" s="7">
        <v>71</v>
      </c>
      <c r="U258" s="7">
        <v>76</v>
      </c>
      <c r="V258" s="7">
        <v>36.200000000000003</v>
      </c>
      <c r="W258" s="7">
        <v>63.8</v>
      </c>
      <c r="X258" t="str">
        <f>VLOOKUP(E258,'Transform table'!A:B,2,0)</f>
        <v>Ferroviaria SP</v>
      </c>
      <c r="Y258" t="str">
        <f>VLOOKUP(F258,'Transform table'!A:B,2,0)</f>
        <v>Maranhao</v>
      </c>
      <c r="Z258" t="str">
        <f t="shared" si="3"/>
        <v>25/07/2026Ferroviaria SPMaranhao</v>
      </c>
      <c r="AA258" t="str">
        <f>VLOOKUP($Z258,'oddspedia-matches'!$A:$AD,AA$2,0)</f>
        <v>0 - 0</v>
      </c>
      <c r="AB258" t="str">
        <f>VLOOKUP($Z258,'oddspedia-matches'!$A:$AD,AB$2,0)</f>
        <v>Red</v>
      </c>
      <c r="AC258" t="str">
        <f>VLOOKUP($Z258,'oddspedia-matches'!$A:$AD,AC$2,0)</f>
        <v>Green</v>
      </c>
      <c r="AD258" t="str">
        <f>VLOOKUP($Z258,'oddspedia-matches'!$A:$AD,AD$2,0)</f>
        <v>Red</v>
      </c>
      <c r="AE258" t="str">
        <f>VLOOKUP($Z258,'oddspedia-matches'!$A:$AD,AE$2,0)</f>
        <v>Green</v>
      </c>
      <c r="AF258" t="str">
        <f>VLOOKUP($Z258,'oddspedia-matches'!$A:$AD,AF$2,0)</f>
        <v>Green</v>
      </c>
      <c r="AG258" t="str">
        <f>VLOOKUP($Z258,'oddspedia-matches'!$A:$AD,AG$2,0)</f>
        <v>Red</v>
      </c>
      <c r="AH258" t="str">
        <f>VLOOKUP($Z258,'oddspedia-matches'!$A:$AD,AH$2,0)</f>
        <v>Red</v>
      </c>
      <c r="AI258" t="str">
        <f>VLOOKUP($Z258,'oddspedia-matches'!$A:$AD,AI$2,0)</f>
        <v>Green</v>
      </c>
      <c r="AJ258" t="str">
        <f>VLOOKUP($Z258,'oddspedia-matches'!$A:$AD,AJ$2,0)</f>
        <v>Red</v>
      </c>
      <c r="AK258" t="str">
        <f>VLOOKUP($Z258,'oddspedia-matches'!$A:$AD,AK$2,0)</f>
        <v>Red</v>
      </c>
      <c r="AL258" t="str">
        <f>VLOOKUP($Z258,'oddspedia-matches'!$A:$AD,AL$2,0)</f>
        <v>Red</v>
      </c>
      <c r="AM258" t="str">
        <f>VLOOKUP($Z258,'oddspedia-matches'!$A:$AD,AM$2,0)</f>
        <v>Red</v>
      </c>
      <c r="AN258" t="str">
        <f>VLOOKUP($Z258,'oddspedia-matches'!$A:$AD,AN$2,0)</f>
        <v>Green</v>
      </c>
      <c r="AO258" t="str">
        <f>VLOOKUP($Z258,'oddspedia-matches'!$A:$AD,AO$2,0)</f>
        <v>Green</v>
      </c>
      <c r="AP258" t="str">
        <f>VLOOKUP($Z258,'oddspedia-matches'!$A:$AD,AP$2,0)</f>
        <v>Red</v>
      </c>
      <c r="AQ258" t="str">
        <f>VLOOKUP($Z258,'oddspedia-matches'!$A:$AD,AQ$2,0)</f>
        <v>Green</v>
      </c>
    </row>
    <row r="259" spans="2:43" x14ac:dyDescent="0.2">
      <c r="B259" s="17" t="s">
        <v>728</v>
      </c>
      <c r="C259" s="8" t="s">
        <v>490</v>
      </c>
      <c r="D259" s="18">
        <v>0.70833333333333337</v>
      </c>
      <c r="E259" s="8" t="s">
        <v>731</v>
      </c>
      <c r="F259" s="8" t="s">
        <v>732</v>
      </c>
      <c r="G259" s="19"/>
      <c r="H259" s="8">
        <v>51.1</v>
      </c>
      <c r="I259" s="8">
        <v>30.3</v>
      </c>
      <c r="J259" s="8">
        <v>18.600000000000001</v>
      </c>
      <c r="K259" s="8">
        <v>81.400000000000006</v>
      </c>
      <c r="L259" s="8">
        <v>48.9</v>
      </c>
      <c r="M259" s="8">
        <v>69.7</v>
      </c>
      <c r="N259" s="8">
        <v>34.9</v>
      </c>
      <c r="O259" s="8">
        <v>52.5</v>
      </c>
      <c r="P259" s="8">
        <v>12.6</v>
      </c>
      <c r="Q259" s="8">
        <v>54.2</v>
      </c>
      <c r="R259" s="8">
        <v>62.1</v>
      </c>
      <c r="S259" s="8">
        <v>33.799999999999997</v>
      </c>
      <c r="T259" s="8">
        <v>66.2</v>
      </c>
      <c r="U259" s="8">
        <v>72.2</v>
      </c>
      <c r="V259" s="8">
        <v>38.700000000000003</v>
      </c>
      <c r="W259" s="8">
        <v>61.3</v>
      </c>
      <c r="X259" t="str">
        <f>VLOOKUP(E259,'Transform table'!A:B,2,0)</f>
        <v>Santa Cruz</v>
      </c>
      <c r="Y259" t="str">
        <f>VLOOKUP(F259,'Transform table'!A:B,2,0)</f>
        <v>Figueirense</v>
      </c>
      <c r="Z259" t="str">
        <f t="shared" si="3"/>
        <v>25/07/2026Santa CruzFigueirense</v>
      </c>
      <c r="AA259" t="str">
        <f>VLOOKUP($Z259,'oddspedia-matches'!$A:$AD,AA$2,0)</f>
        <v>0 - 1</v>
      </c>
      <c r="AB259" t="str">
        <f>VLOOKUP($Z259,'oddspedia-matches'!$A:$AD,AB$2,0)</f>
        <v>Red</v>
      </c>
      <c r="AC259" t="str">
        <f>VLOOKUP($Z259,'oddspedia-matches'!$A:$AD,AC$2,0)</f>
        <v>Red</v>
      </c>
      <c r="AD259" t="str">
        <f>VLOOKUP($Z259,'oddspedia-matches'!$A:$AD,AD$2,0)</f>
        <v>Green</v>
      </c>
      <c r="AE259" t="str">
        <f>VLOOKUP($Z259,'oddspedia-matches'!$A:$AD,AE$2,0)</f>
        <v>Red</v>
      </c>
      <c r="AF259" t="str">
        <f>VLOOKUP($Z259,'oddspedia-matches'!$A:$AD,AF$2,0)</f>
        <v>Green</v>
      </c>
      <c r="AG259" t="str">
        <f>VLOOKUP($Z259,'oddspedia-matches'!$A:$AD,AG$2,0)</f>
        <v>Green</v>
      </c>
      <c r="AH259" t="str">
        <f>VLOOKUP($Z259,'oddspedia-matches'!$A:$AD,AH$2,0)</f>
        <v>Red</v>
      </c>
      <c r="AI259" t="str">
        <f>VLOOKUP($Z259,'oddspedia-matches'!$A:$AD,AI$2,0)</f>
        <v>Red</v>
      </c>
      <c r="AJ259" t="str">
        <f>VLOOKUP($Z259,'oddspedia-matches'!$A:$AD,AJ$2,0)</f>
        <v>Green</v>
      </c>
      <c r="AK259" t="str">
        <f>VLOOKUP($Z259,'oddspedia-matches'!$A:$AD,AK$2,0)</f>
        <v>Green</v>
      </c>
      <c r="AL259" t="str">
        <f>VLOOKUP($Z259,'oddspedia-matches'!$A:$AD,AL$2,0)</f>
        <v>Red</v>
      </c>
      <c r="AM259" t="str">
        <f>VLOOKUP($Z259,'oddspedia-matches'!$A:$AD,AM$2,0)</f>
        <v>Red</v>
      </c>
      <c r="AN259" t="str">
        <f>VLOOKUP($Z259,'oddspedia-matches'!$A:$AD,AN$2,0)</f>
        <v>Green</v>
      </c>
      <c r="AO259" t="str">
        <f>VLOOKUP($Z259,'oddspedia-matches'!$A:$AD,AO$2,0)</f>
        <v>Green</v>
      </c>
      <c r="AP259" t="str">
        <f>VLOOKUP($Z259,'oddspedia-matches'!$A:$AD,AP$2,0)</f>
        <v>Red</v>
      </c>
      <c r="AQ259" t="str">
        <f>VLOOKUP($Z259,'oddspedia-matches'!$A:$AD,AQ$2,0)</f>
        <v>Green</v>
      </c>
    </row>
    <row r="260" spans="2:43" x14ac:dyDescent="0.2">
      <c r="B260" s="9" t="s">
        <v>482</v>
      </c>
      <c r="C260" s="7" t="s">
        <v>490</v>
      </c>
      <c r="D260" s="20">
        <v>0.71875</v>
      </c>
      <c r="E260" s="7" t="s">
        <v>733</v>
      </c>
      <c r="F260" s="7" t="s">
        <v>734</v>
      </c>
      <c r="G260" s="21"/>
      <c r="H260" s="7">
        <v>31.4</v>
      </c>
      <c r="I260" s="7">
        <v>26.2</v>
      </c>
      <c r="J260" s="7">
        <v>42.4</v>
      </c>
      <c r="K260" s="7">
        <v>57.6</v>
      </c>
      <c r="L260" s="7">
        <v>68.599999999999994</v>
      </c>
      <c r="M260" s="7">
        <v>73.8</v>
      </c>
      <c r="N260" s="7">
        <v>30.4</v>
      </c>
      <c r="O260" s="7">
        <v>40</v>
      </c>
      <c r="P260" s="7">
        <v>29.6</v>
      </c>
      <c r="Q260" s="7">
        <v>75.2</v>
      </c>
      <c r="R260" s="7">
        <v>86.1</v>
      </c>
      <c r="S260" s="7">
        <v>65.8</v>
      </c>
      <c r="T260" s="7">
        <v>34.200000000000003</v>
      </c>
      <c r="U260" s="7">
        <v>39.799999999999997</v>
      </c>
      <c r="V260" s="7">
        <v>67.5</v>
      </c>
      <c r="W260" s="7">
        <v>32.5</v>
      </c>
      <c r="X260" t="str">
        <f>VLOOKUP(E260,'Transform table'!A:B,2,0)</f>
        <v>Juan Pablo II</v>
      </c>
      <c r="Y260" t="str">
        <f>VLOOKUP(F260,'Transform table'!A:B,2,0)</f>
        <v>Cienciano</v>
      </c>
      <c r="Z260" t="str">
        <f t="shared" ref="Z260:Z323" si="4">C260&amp;X260&amp;Y260</f>
        <v>25/07/2026Juan Pablo IICienciano</v>
      </c>
      <c r="AA260" t="str">
        <f>VLOOKUP($Z260,'oddspedia-matches'!$A:$AD,AA$2,0)</f>
        <v>2 - 0</v>
      </c>
      <c r="AB260" t="str">
        <f>VLOOKUP($Z260,'oddspedia-matches'!$A:$AD,AB$2,0)</f>
        <v>Green</v>
      </c>
      <c r="AC260" t="str">
        <f>VLOOKUP($Z260,'oddspedia-matches'!$A:$AD,AC$2,0)</f>
        <v>Red</v>
      </c>
      <c r="AD260" t="str">
        <f>VLOOKUP($Z260,'oddspedia-matches'!$A:$AD,AD$2,0)</f>
        <v>Red</v>
      </c>
      <c r="AE260" t="str">
        <f>VLOOKUP($Z260,'oddspedia-matches'!$A:$AD,AE$2,0)</f>
        <v>Green</v>
      </c>
      <c r="AF260" t="str">
        <f>VLOOKUP($Z260,'oddspedia-matches'!$A:$AD,AF$2,0)</f>
        <v>Red</v>
      </c>
      <c r="AG260" t="str">
        <f>VLOOKUP($Z260,'oddspedia-matches'!$A:$AD,AG$2,0)</f>
        <v>Green</v>
      </c>
      <c r="AH260" t="str">
        <f>VLOOKUP($Z260,'oddspedia-matches'!$A:$AD,AH$2,0)</f>
        <v>Red</v>
      </c>
      <c r="AI260" t="str">
        <f>VLOOKUP($Z260,'oddspedia-matches'!$A:$AD,AI$2,0)</f>
        <v>Green</v>
      </c>
      <c r="AJ260" t="str">
        <f>VLOOKUP($Z260,'oddspedia-matches'!$A:$AD,AJ$2,0)</f>
        <v>Red</v>
      </c>
      <c r="AK260" t="str">
        <f>VLOOKUP($Z260,'oddspedia-matches'!$A:$AD,AK$2,0)</f>
        <v>Red</v>
      </c>
      <c r="AL260" t="str">
        <f>VLOOKUP($Z260,'oddspedia-matches'!$A:$AD,AL$2,0)</f>
        <v>Green</v>
      </c>
      <c r="AM260" t="str">
        <f>VLOOKUP($Z260,'oddspedia-matches'!$A:$AD,AM$2,0)</f>
        <v>Red</v>
      </c>
      <c r="AN260" t="str">
        <f>VLOOKUP($Z260,'oddspedia-matches'!$A:$AD,AN$2,0)</f>
        <v>Green</v>
      </c>
      <c r="AO260" t="str">
        <f>VLOOKUP($Z260,'oddspedia-matches'!$A:$AD,AO$2,0)</f>
        <v>Green</v>
      </c>
      <c r="AP260" t="str">
        <f>VLOOKUP($Z260,'oddspedia-matches'!$A:$AD,AP$2,0)</f>
        <v>Red</v>
      </c>
      <c r="AQ260" t="str">
        <f>VLOOKUP($Z260,'oddspedia-matches'!$A:$AD,AQ$2,0)</f>
        <v>Green</v>
      </c>
    </row>
    <row r="261" spans="2:43" x14ac:dyDescent="0.2">
      <c r="B261" s="17" t="s">
        <v>487</v>
      </c>
      <c r="C261" s="8" t="s">
        <v>490</v>
      </c>
      <c r="D261" s="18">
        <v>0.75</v>
      </c>
      <c r="E261" s="8" t="s">
        <v>735</v>
      </c>
      <c r="F261" s="8" t="s">
        <v>736</v>
      </c>
      <c r="G261" s="19"/>
      <c r="H261" s="8">
        <v>20.8</v>
      </c>
      <c r="I261" s="8">
        <v>29.8</v>
      </c>
      <c r="J261" s="8">
        <v>49.4</v>
      </c>
      <c r="K261" s="8">
        <v>50.6</v>
      </c>
      <c r="L261" s="8">
        <v>79.2</v>
      </c>
      <c r="M261" s="8">
        <v>70.2</v>
      </c>
      <c r="N261" s="8">
        <v>25.8</v>
      </c>
      <c r="O261" s="8">
        <v>46.6</v>
      </c>
      <c r="P261" s="8">
        <v>27.6</v>
      </c>
      <c r="Q261" s="8">
        <v>65</v>
      </c>
      <c r="R261" s="8">
        <v>70.3</v>
      </c>
      <c r="S261" s="8">
        <v>42.9</v>
      </c>
      <c r="T261" s="8">
        <v>57.1</v>
      </c>
      <c r="U261" s="8">
        <v>63.4</v>
      </c>
      <c r="V261" s="8">
        <v>47.1</v>
      </c>
      <c r="W261" s="8">
        <v>52.9</v>
      </c>
      <c r="X261" t="str">
        <f>VLOOKUP(E261,'Transform table'!A:B,2,0)</f>
        <v>Boyaca Chico</v>
      </c>
      <c r="Y261" t="str">
        <f>VLOOKUP(F261,'Transform table'!A:B,2,0)</f>
        <v>Atletico Nacional</v>
      </c>
      <c r="Z261" t="str">
        <f t="shared" si="4"/>
        <v>25/07/2026Boyaca ChicoAtletico Nacional</v>
      </c>
      <c r="AA261" t="str">
        <f>VLOOKUP($Z261,'oddspedia-matches'!$A:$AD,AA$2,0)</f>
        <v xml:space="preserve"> - </v>
      </c>
      <c r="AB261" t="str">
        <f>VLOOKUP($Z261,'oddspedia-matches'!$A:$AD,AB$2,0)</f>
        <v>Red</v>
      </c>
      <c r="AC261" t="str">
        <f>VLOOKUP($Z261,'oddspedia-matches'!$A:$AD,AC$2,0)</f>
        <v>Green</v>
      </c>
      <c r="AD261" t="str">
        <f>VLOOKUP($Z261,'oddspedia-matches'!$A:$AD,AD$2,0)</f>
        <v>Red</v>
      </c>
      <c r="AE261" t="str">
        <f>VLOOKUP($Z261,'oddspedia-matches'!$A:$AD,AE$2,0)</f>
        <v>Green</v>
      </c>
      <c r="AF261" t="str">
        <f>VLOOKUP($Z261,'oddspedia-matches'!$A:$AD,AF$2,0)</f>
        <v>Green</v>
      </c>
      <c r="AG261" t="str">
        <f>VLOOKUP($Z261,'oddspedia-matches'!$A:$AD,AG$2,0)</f>
        <v>Red</v>
      </c>
      <c r="AH261" t="str">
        <f>VLOOKUP($Z261,'oddspedia-matches'!$A:$AD,AH$2,0)</f>
        <v>Red</v>
      </c>
      <c r="AI261" t="str">
        <f>VLOOKUP($Z261,'oddspedia-matches'!$A:$AD,AI$2,0)</f>
        <v>Green</v>
      </c>
      <c r="AJ261" t="str">
        <f>VLOOKUP($Z261,'oddspedia-matches'!$A:$AD,AJ$2,0)</f>
        <v>Red</v>
      </c>
      <c r="AK261" t="str">
        <f>VLOOKUP($Z261,'oddspedia-matches'!$A:$AD,AK$2,0)</f>
        <v>Red</v>
      </c>
      <c r="AL261" t="str">
        <f>VLOOKUP($Z261,'oddspedia-matches'!$A:$AD,AL$2,0)</f>
        <v>Red</v>
      </c>
      <c r="AM261" t="str">
        <f>VLOOKUP($Z261,'oddspedia-matches'!$A:$AD,AM$2,0)</f>
        <v>Red</v>
      </c>
      <c r="AN261" t="str">
        <f>VLOOKUP($Z261,'oddspedia-matches'!$A:$AD,AN$2,0)</f>
        <v>Green</v>
      </c>
      <c r="AO261" t="str">
        <f>VLOOKUP($Z261,'oddspedia-matches'!$A:$AD,AO$2,0)</f>
        <v>Green</v>
      </c>
      <c r="AP261" t="str">
        <f>VLOOKUP($Z261,'oddspedia-matches'!$A:$AD,AP$2,0)</f>
        <v>Red</v>
      </c>
      <c r="AQ261" t="str">
        <f>VLOOKUP($Z261,'oddspedia-matches'!$A:$AD,AQ$2,0)</f>
        <v>Green</v>
      </c>
    </row>
    <row r="262" spans="2:43" x14ac:dyDescent="0.2">
      <c r="B262" s="9" t="s">
        <v>483</v>
      </c>
      <c r="C262" s="7" t="s">
        <v>490</v>
      </c>
      <c r="D262" s="20">
        <v>0.75</v>
      </c>
      <c r="E262" s="7" t="s">
        <v>737</v>
      </c>
      <c r="F262" s="7" t="s">
        <v>738</v>
      </c>
      <c r="G262" s="21"/>
      <c r="H262" s="7">
        <v>29</v>
      </c>
      <c r="I262" s="7">
        <v>31.5</v>
      </c>
      <c r="J262" s="7">
        <v>39.5</v>
      </c>
      <c r="K262" s="7">
        <v>60.5</v>
      </c>
      <c r="L262" s="7">
        <v>71</v>
      </c>
      <c r="M262" s="7">
        <v>68.5</v>
      </c>
      <c r="N262" s="7">
        <v>24.3</v>
      </c>
      <c r="O262" s="7">
        <v>44.3</v>
      </c>
      <c r="P262" s="7">
        <v>31.4</v>
      </c>
      <c r="Q262" s="7">
        <v>68.5</v>
      </c>
      <c r="R262" s="7">
        <v>67.599999999999994</v>
      </c>
      <c r="S262" s="7">
        <v>39.700000000000003</v>
      </c>
      <c r="T262" s="7">
        <v>60.3</v>
      </c>
      <c r="U262" s="7">
        <v>65.5</v>
      </c>
      <c r="V262" s="7">
        <v>47.1</v>
      </c>
      <c r="W262" s="7">
        <v>52.9</v>
      </c>
      <c r="X262" t="str">
        <f>VLOOKUP(E262,'Transform table'!A:B,2,0)</f>
        <v>Bogota</v>
      </c>
      <c r="Y262" t="str">
        <f>VLOOKUP(F262,'Transform table'!A:B,2,0)</f>
        <v>Union Magdalena</v>
      </c>
      <c r="Z262" t="str">
        <f t="shared" si="4"/>
        <v>25/07/2026BogotaUnion Magdalena</v>
      </c>
      <c r="AA262" t="str">
        <f>VLOOKUP($Z262,'oddspedia-matches'!$A:$AD,AA$2,0)</f>
        <v>1 - 0</v>
      </c>
      <c r="AB262" t="str">
        <f>VLOOKUP($Z262,'oddspedia-matches'!$A:$AD,AB$2,0)</f>
        <v>Green</v>
      </c>
      <c r="AC262" t="str">
        <f>VLOOKUP($Z262,'oddspedia-matches'!$A:$AD,AC$2,0)</f>
        <v>Red</v>
      </c>
      <c r="AD262" t="str">
        <f>VLOOKUP($Z262,'oddspedia-matches'!$A:$AD,AD$2,0)</f>
        <v>Red</v>
      </c>
      <c r="AE262" t="str">
        <f>VLOOKUP($Z262,'oddspedia-matches'!$A:$AD,AE$2,0)</f>
        <v>Green</v>
      </c>
      <c r="AF262" t="str">
        <f>VLOOKUP($Z262,'oddspedia-matches'!$A:$AD,AF$2,0)</f>
        <v>Red</v>
      </c>
      <c r="AG262" t="str">
        <f>VLOOKUP($Z262,'oddspedia-matches'!$A:$AD,AG$2,0)</f>
        <v>Green</v>
      </c>
      <c r="AH262" t="str">
        <f>VLOOKUP($Z262,'oddspedia-matches'!$A:$AD,AH$2,0)</f>
        <v>Green</v>
      </c>
      <c r="AI262" t="str">
        <f>VLOOKUP($Z262,'oddspedia-matches'!$A:$AD,AI$2,0)</f>
        <v>Red</v>
      </c>
      <c r="AJ262" t="str">
        <f>VLOOKUP($Z262,'oddspedia-matches'!$A:$AD,AJ$2,0)</f>
        <v>Red</v>
      </c>
      <c r="AK262" t="str">
        <f>VLOOKUP($Z262,'oddspedia-matches'!$A:$AD,AK$2,0)</f>
        <v>Green</v>
      </c>
      <c r="AL262" t="str">
        <f>VLOOKUP($Z262,'oddspedia-matches'!$A:$AD,AL$2,0)</f>
        <v>Red</v>
      </c>
      <c r="AM262" t="str">
        <f>VLOOKUP($Z262,'oddspedia-matches'!$A:$AD,AM$2,0)</f>
        <v>Red</v>
      </c>
      <c r="AN262" t="str">
        <f>VLOOKUP($Z262,'oddspedia-matches'!$A:$AD,AN$2,0)</f>
        <v>Green</v>
      </c>
      <c r="AO262" t="str">
        <f>VLOOKUP($Z262,'oddspedia-matches'!$A:$AD,AO$2,0)</f>
        <v>Green</v>
      </c>
      <c r="AP262" t="str">
        <f>VLOOKUP($Z262,'oddspedia-matches'!$A:$AD,AP$2,0)</f>
        <v>Red</v>
      </c>
      <c r="AQ262" t="str">
        <f>VLOOKUP($Z262,'oddspedia-matches'!$A:$AD,AQ$2,0)</f>
        <v>Green</v>
      </c>
    </row>
    <row r="263" spans="2:43" x14ac:dyDescent="0.2">
      <c r="B263" s="17" t="s">
        <v>466</v>
      </c>
      <c r="C263" s="8" t="s">
        <v>490</v>
      </c>
      <c r="D263" s="18">
        <v>0.75</v>
      </c>
      <c r="E263" s="8" t="s">
        <v>46</v>
      </c>
      <c r="F263" s="8" t="s">
        <v>739</v>
      </c>
      <c r="G263" s="19"/>
      <c r="H263" s="8">
        <v>31.4</v>
      </c>
      <c r="I263" s="8">
        <v>26.1</v>
      </c>
      <c r="J263" s="8">
        <v>42.5</v>
      </c>
      <c r="K263" s="8">
        <v>57.5</v>
      </c>
      <c r="L263" s="8">
        <v>68.599999999999994</v>
      </c>
      <c r="M263" s="8">
        <v>73.900000000000006</v>
      </c>
      <c r="N263" s="8">
        <v>20.2</v>
      </c>
      <c r="O263" s="8">
        <v>42</v>
      </c>
      <c r="P263" s="8">
        <v>37.700000000000003</v>
      </c>
      <c r="Q263" s="8">
        <v>71.2</v>
      </c>
      <c r="R263" s="8">
        <v>86.6</v>
      </c>
      <c r="S263" s="8">
        <v>66.599999999999994</v>
      </c>
      <c r="T263" s="8">
        <v>33.4</v>
      </c>
      <c r="U263" s="8">
        <v>39</v>
      </c>
      <c r="V263" s="8">
        <v>68.099999999999994</v>
      </c>
      <c r="W263" s="8">
        <v>31.9</v>
      </c>
      <c r="X263" t="str">
        <f>VLOOKUP(E263,'Transform table'!A:B,2,0)</f>
        <v>Inter Miami II</v>
      </c>
      <c r="Y263" t="str">
        <f>VLOOKUP(F263,'Transform table'!A:B,2,0)</f>
        <v>Toronto FC II</v>
      </c>
      <c r="Z263" t="str">
        <f t="shared" si="4"/>
        <v>25/07/2026Inter Miami IIToronto FC II</v>
      </c>
      <c r="AA263" t="str">
        <f>VLOOKUP($Z263,'oddspedia-matches'!$A:$AD,AA$2,0)</f>
        <v>2 - 1</v>
      </c>
      <c r="AB263" t="str">
        <f>VLOOKUP($Z263,'oddspedia-matches'!$A:$AD,AB$2,0)</f>
        <v>Green</v>
      </c>
      <c r="AC263" t="str">
        <f>VLOOKUP($Z263,'oddspedia-matches'!$A:$AD,AC$2,0)</f>
        <v>Red</v>
      </c>
      <c r="AD263" t="str">
        <f>VLOOKUP($Z263,'oddspedia-matches'!$A:$AD,AD$2,0)</f>
        <v>Red</v>
      </c>
      <c r="AE263" t="str">
        <f>VLOOKUP($Z263,'oddspedia-matches'!$A:$AD,AE$2,0)</f>
        <v>Green</v>
      </c>
      <c r="AF263" t="str">
        <f>VLOOKUP($Z263,'oddspedia-matches'!$A:$AD,AF$2,0)</f>
        <v>Red</v>
      </c>
      <c r="AG263" t="str">
        <f>VLOOKUP($Z263,'oddspedia-matches'!$A:$AD,AG$2,0)</f>
        <v>Green</v>
      </c>
      <c r="AH263" t="str">
        <f>VLOOKUP($Z263,'oddspedia-matches'!$A:$AD,AH$2,0)</f>
        <v>Red</v>
      </c>
      <c r="AI263" t="str">
        <f>VLOOKUP($Z263,'oddspedia-matches'!$A:$AD,AI$2,0)</f>
        <v>Green</v>
      </c>
      <c r="AJ263" t="str">
        <f>VLOOKUP($Z263,'oddspedia-matches'!$A:$AD,AJ$2,0)</f>
        <v>Red</v>
      </c>
      <c r="AK263" t="str">
        <f>VLOOKUP($Z263,'oddspedia-matches'!$A:$AD,AK$2,0)</f>
        <v>Green</v>
      </c>
      <c r="AL263" t="str">
        <f>VLOOKUP($Z263,'oddspedia-matches'!$A:$AD,AL$2,0)</f>
        <v>Green</v>
      </c>
      <c r="AM263" t="str">
        <f>VLOOKUP($Z263,'oddspedia-matches'!$A:$AD,AM$2,0)</f>
        <v>Green</v>
      </c>
      <c r="AN263" t="str">
        <f>VLOOKUP($Z263,'oddspedia-matches'!$A:$AD,AN$2,0)</f>
        <v>Red</v>
      </c>
      <c r="AO263" t="str">
        <f>VLOOKUP($Z263,'oddspedia-matches'!$A:$AD,AO$2,0)</f>
        <v>Green</v>
      </c>
      <c r="AP263" t="str">
        <f>VLOOKUP($Z263,'oddspedia-matches'!$A:$AD,AP$2,0)</f>
        <v>Green</v>
      </c>
      <c r="AQ263" t="str">
        <f>VLOOKUP($Z263,'oddspedia-matches'!$A:$AD,AQ$2,0)</f>
        <v>Red</v>
      </c>
    </row>
    <row r="264" spans="2:43" x14ac:dyDescent="0.2">
      <c r="B264" s="9" t="s">
        <v>486</v>
      </c>
      <c r="C264" s="7" t="s">
        <v>490</v>
      </c>
      <c r="D264" s="20">
        <v>0.75</v>
      </c>
      <c r="E264" s="7" t="s">
        <v>740</v>
      </c>
      <c r="F264" s="7" t="s">
        <v>741</v>
      </c>
      <c r="G264" s="21"/>
      <c r="H264" s="7">
        <v>56.1</v>
      </c>
      <c r="I264" s="7">
        <v>25.2</v>
      </c>
      <c r="J264" s="7">
        <v>18.7</v>
      </c>
      <c r="K264" s="7">
        <v>81.3</v>
      </c>
      <c r="L264" s="7">
        <v>43.9</v>
      </c>
      <c r="M264" s="7">
        <v>74.8</v>
      </c>
      <c r="N264" s="7">
        <v>38.5</v>
      </c>
      <c r="O264" s="7">
        <v>39.9</v>
      </c>
      <c r="P264" s="7">
        <v>21.6</v>
      </c>
      <c r="Q264" s="7">
        <v>74.099999999999994</v>
      </c>
      <c r="R264" s="7">
        <v>78.599999999999994</v>
      </c>
      <c r="S264" s="7">
        <v>54</v>
      </c>
      <c r="T264" s="7">
        <v>46</v>
      </c>
      <c r="U264" s="7">
        <v>53.3</v>
      </c>
      <c r="V264" s="7">
        <v>54.1</v>
      </c>
      <c r="W264" s="7">
        <v>45.9</v>
      </c>
      <c r="X264" t="str">
        <f>VLOOKUP(E264,'Transform table'!A:B,2,0)</f>
        <v>Deportivo Maldonado</v>
      </c>
      <c r="Y264" t="str">
        <f>VLOOKUP(F264,'Transform table'!A:B,2,0)</f>
        <v>CA Juventud</v>
      </c>
      <c r="Z264" t="str">
        <f t="shared" si="4"/>
        <v>25/07/2026Deportivo MaldonadoCA Juventud</v>
      </c>
      <c r="AA264" t="str">
        <f>VLOOKUP($Z264,'oddspedia-matches'!$A:$AD,AA$2,0)</f>
        <v xml:space="preserve"> - </v>
      </c>
      <c r="AB264" t="str">
        <f>VLOOKUP($Z264,'oddspedia-matches'!$A:$AD,AB$2,0)</f>
        <v>Red</v>
      </c>
      <c r="AC264" t="str">
        <f>VLOOKUP($Z264,'oddspedia-matches'!$A:$AD,AC$2,0)</f>
        <v>Green</v>
      </c>
      <c r="AD264" t="str">
        <f>VLOOKUP($Z264,'oddspedia-matches'!$A:$AD,AD$2,0)</f>
        <v>Red</v>
      </c>
      <c r="AE264" t="str">
        <f>VLOOKUP($Z264,'oddspedia-matches'!$A:$AD,AE$2,0)</f>
        <v>Green</v>
      </c>
      <c r="AF264" t="str">
        <f>VLOOKUP($Z264,'oddspedia-matches'!$A:$AD,AF$2,0)</f>
        <v>Green</v>
      </c>
      <c r="AG264" t="str">
        <f>VLOOKUP($Z264,'oddspedia-matches'!$A:$AD,AG$2,0)</f>
        <v>Red</v>
      </c>
      <c r="AH264" t="str">
        <f>VLOOKUP($Z264,'oddspedia-matches'!$A:$AD,AH$2,0)</f>
        <v>Red</v>
      </c>
      <c r="AI264" t="str">
        <f>VLOOKUP($Z264,'oddspedia-matches'!$A:$AD,AI$2,0)</f>
        <v>Green</v>
      </c>
      <c r="AJ264" t="str">
        <f>VLOOKUP($Z264,'oddspedia-matches'!$A:$AD,AJ$2,0)</f>
        <v>Red</v>
      </c>
      <c r="AK264" t="str">
        <f>VLOOKUP($Z264,'oddspedia-matches'!$A:$AD,AK$2,0)</f>
        <v>Red</v>
      </c>
      <c r="AL264" t="str">
        <f>VLOOKUP($Z264,'oddspedia-matches'!$A:$AD,AL$2,0)</f>
        <v>Red</v>
      </c>
      <c r="AM264" t="str">
        <f>VLOOKUP($Z264,'oddspedia-matches'!$A:$AD,AM$2,0)</f>
        <v>Red</v>
      </c>
      <c r="AN264" t="str">
        <f>VLOOKUP($Z264,'oddspedia-matches'!$A:$AD,AN$2,0)</f>
        <v>Green</v>
      </c>
      <c r="AO264" t="str">
        <f>VLOOKUP($Z264,'oddspedia-matches'!$A:$AD,AO$2,0)</f>
        <v>Green</v>
      </c>
      <c r="AP264" t="str">
        <f>VLOOKUP($Z264,'oddspedia-matches'!$A:$AD,AP$2,0)</f>
        <v>Red</v>
      </c>
      <c r="AQ264" t="str">
        <f>VLOOKUP($Z264,'oddspedia-matches'!$A:$AD,AQ$2,0)</f>
        <v>Green</v>
      </c>
    </row>
    <row r="265" spans="2:43" x14ac:dyDescent="0.2">
      <c r="B265" s="17" t="s">
        <v>487</v>
      </c>
      <c r="C265" s="8" t="s">
        <v>490</v>
      </c>
      <c r="D265" s="18">
        <v>0.75347222222222221</v>
      </c>
      <c r="E265" s="8" t="s">
        <v>742</v>
      </c>
      <c r="F265" s="8" t="s">
        <v>423</v>
      </c>
      <c r="G265" s="19"/>
      <c r="H265" s="8">
        <v>44.2</v>
      </c>
      <c r="I265" s="8">
        <v>28.3</v>
      </c>
      <c r="J265" s="8">
        <v>27.5</v>
      </c>
      <c r="K265" s="8">
        <v>72.5</v>
      </c>
      <c r="L265" s="8">
        <v>55.8</v>
      </c>
      <c r="M265" s="8">
        <v>71.7</v>
      </c>
      <c r="N265" s="8">
        <v>25.1</v>
      </c>
      <c r="O265" s="8">
        <v>45.8</v>
      </c>
      <c r="P265" s="8">
        <v>29.1</v>
      </c>
      <c r="Q265" s="8">
        <v>66.3</v>
      </c>
      <c r="R265" s="8">
        <v>75.400000000000006</v>
      </c>
      <c r="S265" s="8">
        <v>49.4</v>
      </c>
      <c r="T265" s="8">
        <v>50.6</v>
      </c>
      <c r="U265" s="8">
        <v>56.4</v>
      </c>
      <c r="V265" s="8">
        <v>54.3</v>
      </c>
      <c r="W265" s="8">
        <v>45.7</v>
      </c>
      <c r="X265" t="str">
        <f>VLOOKUP(E265,'Transform table'!A:B,2,0)</f>
        <v>Independiente Medellin</v>
      </c>
      <c r="Y265" t="str">
        <f>VLOOKUP(F265,'Transform table'!A:B,2,0)</f>
        <v>Deportivo Pasto</v>
      </c>
      <c r="Z265" t="str">
        <f t="shared" si="4"/>
        <v>25/07/2026Independiente MedellinDeportivo Pasto</v>
      </c>
      <c r="AA265" t="str">
        <f>VLOOKUP($Z265,'oddspedia-matches'!$A:$AD,AA$2,0)</f>
        <v>3 - 2</v>
      </c>
      <c r="AB265" t="str">
        <f>VLOOKUP($Z265,'oddspedia-matches'!$A:$AD,AB$2,0)</f>
        <v>Green</v>
      </c>
      <c r="AC265" t="str">
        <f>VLOOKUP($Z265,'oddspedia-matches'!$A:$AD,AC$2,0)</f>
        <v>Red</v>
      </c>
      <c r="AD265" t="str">
        <f>VLOOKUP($Z265,'oddspedia-matches'!$A:$AD,AD$2,0)</f>
        <v>Red</v>
      </c>
      <c r="AE265" t="str">
        <f>VLOOKUP($Z265,'oddspedia-matches'!$A:$AD,AE$2,0)</f>
        <v>Green</v>
      </c>
      <c r="AF265" t="str">
        <f>VLOOKUP($Z265,'oddspedia-matches'!$A:$AD,AF$2,0)</f>
        <v>Red</v>
      </c>
      <c r="AG265" t="str">
        <f>VLOOKUP($Z265,'oddspedia-matches'!$A:$AD,AG$2,0)</f>
        <v>Green</v>
      </c>
      <c r="AH265" t="str">
        <f>VLOOKUP($Z265,'oddspedia-matches'!$A:$AD,AH$2,0)</f>
        <v>Red</v>
      </c>
      <c r="AI265" t="str">
        <f>VLOOKUP($Z265,'oddspedia-matches'!$A:$AD,AI$2,0)</f>
        <v>Green</v>
      </c>
      <c r="AJ265" t="str">
        <f>VLOOKUP($Z265,'oddspedia-matches'!$A:$AD,AJ$2,0)</f>
        <v>Red</v>
      </c>
      <c r="AK265" t="str">
        <f>VLOOKUP($Z265,'oddspedia-matches'!$A:$AD,AK$2,0)</f>
        <v>Green</v>
      </c>
      <c r="AL265" t="str">
        <f>VLOOKUP($Z265,'oddspedia-matches'!$A:$AD,AL$2,0)</f>
        <v>Green</v>
      </c>
      <c r="AM265" t="str">
        <f>VLOOKUP($Z265,'oddspedia-matches'!$A:$AD,AM$2,0)</f>
        <v>Green</v>
      </c>
      <c r="AN265" t="str">
        <f>VLOOKUP($Z265,'oddspedia-matches'!$A:$AD,AN$2,0)</f>
        <v>Red</v>
      </c>
      <c r="AO265" t="str">
        <f>VLOOKUP($Z265,'oddspedia-matches'!$A:$AD,AO$2,0)</f>
        <v>Red</v>
      </c>
      <c r="AP265" t="str">
        <f>VLOOKUP($Z265,'oddspedia-matches'!$A:$AD,AP$2,0)</f>
        <v>Green</v>
      </c>
      <c r="AQ265" t="str">
        <f>VLOOKUP($Z265,'oddspedia-matches'!$A:$AD,AQ$2,0)</f>
        <v>Red</v>
      </c>
    </row>
    <row r="266" spans="2:43" x14ac:dyDescent="0.2">
      <c r="B266" s="9" t="s">
        <v>457</v>
      </c>
      <c r="C266" s="7" t="s">
        <v>490</v>
      </c>
      <c r="D266" s="20">
        <v>0.76041666666666663</v>
      </c>
      <c r="E266" s="7" t="s">
        <v>743</v>
      </c>
      <c r="F266" s="7" t="s">
        <v>267</v>
      </c>
      <c r="G266" s="21"/>
      <c r="H266" s="7">
        <v>43</v>
      </c>
      <c r="I266" s="7">
        <v>25.2</v>
      </c>
      <c r="J266" s="7">
        <v>31.8</v>
      </c>
      <c r="K266" s="7">
        <v>68.2</v>
      </c>
      <c r="L266" s="7">
        <v>57</v>
      </c>
      <c r="M266" s="7">
        <v>74.8</v>
      </c>
      <c r="N266" s="7">
        <v>38.5</v>
      </c>
      <c r="O266" s="7">
        <v>36.5</v>
      </c>
      <c r="P266" s="7">
        <v>25</v>
      </c>
      <c r="Q266" s="7">
        <v>79.900000000000006</v>
      </c>
      <c r="R266" s="7">
        <v>91.7</v>
      </c>
      <c r="S266" s="7">
        <v>76.400000000000006</v>
      </c>
      <c r="T266" s="7">
        <v>23.6</v>
      </c>
      <c r="U266" s="7">
        <v>28.5</v>
      </c>
      <c r="V266" s="7">
        <v>75.8</v>
      </c>
      <c r="W266" s="7">
        <v>24.2</v>
      </c>
      <c r="X266" t="str">
        <f>VLOOKUP(E266,'Transform table'!A:B,2,0)</f>
        <v>Guabira</v>
      </c>
      <c r="Y266" t="str">
        <f>VLOOKUP(F266,'Transform table'!A:B,2,0)</f>
        <v>Real Oruro</v>
      </c>
      <c r="Z266" t="str">
        <f t="shared" si="4"/>
        <v>25/07/2026GuabiraReal Oruro</v>
      </c>
      <c r="AA266" t="str">
        <f>VLOOKUP($Z266,'oddspedia-matches'!$A:$AD,AA$2,0)</f>
        <v>4 - 1</v>
      </c>
      <c r="AB266" t="str">
        <f>VLOOKUP($Z266,'oddspedia-matches'!$A:$AD,AB$2,0)</f>
        <v>Green</v>
      </c>
      <c r="AC266" t="str">
        <f>VLOOKUP($Z266,'oddspedia-matches'!$A:$AD,AC$2,0)</f>
        <v>Red</v>
      </c>
      <c r="AD266" t="str">
        <f>VLOOKUP($Z266,'oddspedia-matches'!$A:$AD,AD$2,0)</f>
        <v>Red</v>
      </c>
      <c r="AE266" t="str">
        <f>VLOOKUP($Z266,'oddspedia-matches'!$A:$AD,AE$2,0)</f>
        <v>Green</v>
      </c>
      <c r="AF266" t="str">
        <f>VLOOKUP($Z266,'oddspedia-matches'!$A:$AD,AF$2,0)</f>
        <v>Red</v>
      </c>
      <c r="AG266" t="str">
        <f>VLOOKUP($Z266,'oddspedia-matches'!$A:$AD,AG$2,0)</f>
        <v>Green</v>
      </c>
      <c r="AH266" t="str">
        <f>VLOOKUP($Z266,'oddspedia-matches'!$A:$AD,AH$2,0)</f>
        <v>Green</v>
      </c>
      <c r="AI266" t="str">
        <f>VLOOKUP($Z266,'oddspedia-matches'!$A:$AD,AI$2,0)</f>
        <v>Red</v>
      </c>
      <c r="AJ266" t="str">
        <f>VLOOKUP($Z266,'oddspedia-matches'!$A:$AD,AJ$2,0)</f>
        <v>Red</v>
      </c>
      <c r="AK266" t="str">
        <f>VLOOKUP($Z266,'oddspedia-matches'!$A:$AD,AK$2,0)</f>
        <v>Green</v>
      </c>
      <c r="AL266" t="str">
        <f>VLOOKUP($Z266,'oddspedia-matches'!$A:$AD,AL$2,0)</f>
        <v>Green</v>
      </c>
      <c r="AM266" t="str">
        <f>VLOOKUP($Z266,'oddspedia-matches'!$A:$AD,AM$2,0)</f>
        <v>Green</v>
      </c>
      <c r="AN266" t="str">
        <f>VLOOKUP($Z266,'oddspedia-matches'!$A:$AD,AN$2,0)</f>
        <v>Red</v>
      </c>
      <c r="AO266" t="str">
        <f>VLOOKUP($Z266,'oddspedia-matches'!$A:$AD,AO$2,0)</f>
        <v>Red</v>
      </c>
      <c r="AP266" t="str">
        <f>VLOOKUP($Z266,'oddspedia-matches'!$A:$AD,AP$2,0)</f>
        <v>Green</v>
      </c>
      <c r="AQ266" t="str">
        <f>VLOOKUP($Z266,'oddspedia-matches'!$A:$AD,AQ$2,0)</f>
        <v>Red</v>
      </c>
    </row>
    <row r="267" spans="2:43" x14ac:dyDescent="0.2">
      <c r="B267" s="17" t="s">
        <v>454</v>
      </c>
      <c r="C267" s="8" t="s">
        <v>490</v>
      </c>
      <c r="D267" s="18">
        <v>0.77083333333333337</v>
      </c>
      <c r="E267" s="8" t="s">
        <v>70</v>
      </c>
      <c r="F267" s="8" t="s">
        <v>67</v>
      </c>
      <c r="G267" s="19"/>
      <c r="H267" s="8">
        <v>45.6</v>
      </c>
      <c r="I267" s="8">
        <v>29.7</v>
      </c>
      <c r="J267" s="8">
        <v>24.7</v>
      </c>
      <c r="K267" s="8">
        <v>75.3</v>
      </c>
      <c r="L267" s="8">
        <v>54.4</v>
      </c>
      <c r="M267" s="8">
        <v>70.3</v>
      </c>
      <c r="N267" s="8">
        <v>33.4</v>
      </c>
      <c r="O267" s="8">
        <v>44.1</v>
      </c>
      <c r="P267" s="8">
        <v>22.5</v>
      </c>
      <c r="Q267" s="8">
        <v>68.3</v>
      </c>
      <c r="R267" s="8">
        <v>69.2</v>
      </c>
      <c r="S267" s="8">
        <v>41.6</v>
      </c>
      <c r="T267" s="8">
        <v>58.4</v>
      </c>
      <c r="U267" s="8">
        <v>64.099999999999994</v>
      </c>
      <c r="V267" s="8">
        <v>47.6</v>
      </c>
      <c r="W267" s="8">
        <v>52.4</v>
      </c>
      <c r="X267" t="str">
        <f>VLOOKUP(E267,'Transform table'!A:B,2,0)</f>
        <v>Athletico Paranaense</v>
      </c>
      <c r="Y267" t="str">
        <f>VLOOKUP(F267,'Transform table'!A:B,2,0)</f>
        <v>Internacional</v>
      </c>
      <c r="Z267" t="str">
        <f t="shared" si="4"/>
        <v>25/07/2026Athletico ParanaenseInternacional</v>
      </c>
      <c r="AA267" t="str">
        <f>VLOOKUP($Z267,'oddspedia-matches'!$A:$AD,AA$2,0)</f>
        <v>2 - 0</v>
      </c>
      <c r="AB267" t="str">
        <f>VLOOKUP($Z267,'oddspedia-matches'!$A:$AD,AB$2,0)</f>
        <v>Green</v>
      </c>
      <c r="AC267" t="str">
        <f>VLOOKUP($Z267,'oddspedia-matches'!$A:$AD,AC$2,0)</f>
        <v>Red</v>
      </c>
      <c r="AD267" t="str">
        <f>VLOOKUP($Z267,'oddspedia-matches'!$A:$AD,AD$2,0)</f>
        <v>Red</v>
      </c>
      <c r="AE267" t="str">
        <f>VLOOKUP($Z267,'oddspedia-matches'!$A:$AD,AE$2,0)</f>
        <v>Green</v>
      </c>
      <c r="AF267" t="str">
        <f>VLOOKUP($Z267,'oddspedia-matches'!$A:$AD,AF$2,0)</f>
        <v>Red</v>
      </c>
      <c r="AG267" t="str">
        <f>VLOOKUP($Z267,'oddspedia-matches'!$A:$AD,AG$2,0)</f>
        <v>Green</v>
      </c>
      <c r="AH267" t="str">
        <f>VLOOKUP($Z267,'oddspedia-matches'!$A:$AD,AH$2,0)</f>
        <v>Green</v>
      </c>
      <c r="AI267" t="str">
        <f>VLOOKUP($Z267,'oddspedia-matches'!$A:$AD,AI$2,0)</f>
        <v>Red</v>
      </c>
      <c r="AJ267" t="str">
        <f>VLOOKUP($Z267,'oddspedia-matches'!$A:$AD,AJ$2,0)</f>
        <v>Red</v>
      </c>
      <c r="AK267" t="str">
        <f>VLOOKUP($Z267,'oddspedia-matches'!$A:$AD,AK$2,0)</f>
        <v>Green</v>
      </c>
      <c r="AL267" t="str">
        <f>VLOOKUP($Z267,'oddspedia-matches'!$A:$AD,AL$2,0)</f>
        <v>Green</v>
      </c>
      <c r="AM267" t="str">
        <f>VLOOKUP($Z267,'oddspedia-matches'!$A:$AD,AM$2,0)</f>
        <v>Red</v>
      </c>
      <c r="AN267" t="str">
        <f>VLOOKUP($Z267,'oddspedia-matches'!$A:$AD,AN$2,0)</f>
        <v>Green</v>
      </c>
      <c r="AO267" t="str">
        <f>VLOOKUP($Z267,'oddspedia-matches'!$A:$AD,AO$2,0)</f>
        <v>Green</v>
      </c>
      <c r="AP267" t="str">
        <f>VLOOKUP($Z267,'oddspedia-matches'!$A:$AD,AP$2,0)</f>
        <v>Red</v>
      </c>
      <c r="AQ267" t="str">
        <f>VLOOKUP($Z267,'oddspedia-matches'!$A:$AD,AQ$2,0)</f>
        <v>Green</v>
      </c>
    </row>
    <row r="268" spans="2:43" x14ac:dyDescent="0.2">
      <c r="B268" s="9" t="s">
        <v>454</v>
      </c>
      <c r="C268" s="7" t="s">
        <v>490</v>
      </c>
      <c r="D268" s="20">
        <v>0.77083333333333337</v>
      </c>
      <c r="E268" s="7" t="s">
        <v>744</v>
      </c>
      <c r="F268" s="7" t="s">
        <v>65</v>
      </c>
      <c r="G268" s="21"/>
      <c r="H268" s="7">
        <v>54.7</v>
      </c>
      <c r="I268" s="7">
        <v>25</v>
      </c>
      <c r="J268" s="7">
        <v>20.3</v>
      </c>
      <c r="K268" s="7">
        <v>79.7</v>
      </c>
      <c r="L268" s="7">
        <v>45.3</v>
      </c>
      <c r="M268" s="7">
        <v>75</v>
      </c>
      <c r="N268" s="7">
        <v>45.6</v>
      </c>
      <c r="O268" s="7">
        <v>39.5</v>
      </c>
      <c r="P268" s="7">
        <v>14.9</v>
      </c>
      <c r="Q268" s="7">
        <v>71.900000000000006</v>
      </c>
      <c r="R268" s="7">
        <v>81.7</v>
      </c>
      <c r="S268" s="7">
        <v>58.5</v>
      </c>
      <c r="T268" s="7">
        <v>41.5</v>
      </c>
      <c r="U268" s="7">
        <v>48.4</v>
      </c>
      <c r="V268" s="7">
        <v>58.5</v>
      </c>
      <c r="W268" s="7">
        <v>41.5</v>
      </c>
      <c r="X268" t="str">
        <f>VLOOKUP(E268,'Transform table'!A:B,2,0)</f>
        <v>Santos</v>
      </c>
      <c r="Y268" t="str">
        <f>VLOOKUP(F268,'Transform table'!A:B,2,0)</f>
        <v>Chapecoense</v>
      </c>
      <c r="Z268" t="str">
        <f t="shared" si="4"/>
        <v>25/07/2026SantosChapecoense</v>
      </c>
      <c r="AA268" t="str">
        <f>VLOOKUP($Z268,'oddspedia-matches'!$A:$AD,AA$2,0)</f>
        <v>2 - 2</v>
      </c>
      <c r="AB268" t="str">
        <f>VLOOKUP($Z268,'oddspedia-matches'!$A:$AD,AB$2,0)</f>
        <v>Red</v>
      </c>
      <c r="AC268" t="str">
        <f>VLOOKUP($Z268,'oddspedia-matches'!$A:$AD,AC$2,0)</f>
        <v>Green</v>
      </c>
      <c r="AD268" t="str">
        <f>VLOOKUP($Z268,'oddspedia-matches'!$A:$AD,AD$2,0)</f>
        <v>Red</v>
      </c>
      <c r="AE268" t="str">
        <f>VLOOKUP($Z268,'oddspedia-matches'!$A:$AD,AE$2,0)</f>
        <v>Green</v>
      </c>
      <c r="AF268" t="str">
        <f>VLOOKUP($Z268,'oddspedia-matches'!$A:$AD,AF$2,0)</f>
        <v>Green</v>
      </c>
      <c r="AG268" t="str">
        <f>VLOOKUP($Z268,'oddspedia-matches'!$A:$AD,AG$2,0)</f>
        <v>Red</v>
      </c>
      <c r="AH268" t="str">
        <f>VLOOKUP($Z268,'oddspedia-matches'!$A:$AD,AH$2,0)</f>
        <v>Green</v>
      </c>
      <c r="AI268" t="str">
        <f>VLOOKUP($Z268,'oddspedia-matches'!$A:$AD,AI$2,0)</f>
        <v>Red</v>
      </c>
      <c r="AJ268" t="str">
        <f>VLOOKUP($Z268,'oddspedia-matches'!$A:$AD,AJ$2,0)</f>
        <v>Red</v>
      </c>
      <c r="AK268" t="str">
        <f>VLOOKUP($Z268,'oddspedia-matches'!$A:$AD,AK$2,0)</f>
        <v>Green</v>
      </c>
      <c r="AL268" t="str">
        <f>VLOOKUP($Z268,'oddspedia-matches'!$A:$AD,AL$2,0)</f>
        <v>Green</v>
      </c>
      <c r="AM268" t="str">
        <f>VLOOKUP($Z268,'oddspedia-matches'!$A:$AD,AM$2,0)</f>
        <v>Green</v>
      </c>
      <c r="AN268" t="str">
        <f>VLOOKUP($Z268,'oddspedia-matches'!$A:$AD,AN$2,0)</f>
        <v>Red</v>
      </c>
      <c r="AO268" t="str">
        <f>VLOOKUP($Z268,'oddspedia-matches'!$A:$AD,AO$2,0)</f>
        <v>Red</v>
      </c>
      <c r="AP268" t="str">
        <f>VLOOKUP($Z268,'oddspedia-matches'!$A:$AD,AP$2,0)</f>
        <v>Green</v>
      </c>
      <c r="AQ268" t="str">
        <f>VLOOKUP($Z268,'oddspedia-matches'!$A:$AD,AQ$2,0)</f>
        <v>Red</v>
      </c>
    </row>
    <row r="269" spans="2:43" x14ac:dyDescent="0.2">
      <c r="B269" s="17" t="s">
        <v>728</v>
      </c>
      <c r="C269" s="8" t="s">
        <v>490</v>
      </c>
      <c r="D269" s="18">
        <v>0.77083333333333337</v>
      </c>
      <c r="E269" s="8" t="s">
        <v>745</v>
      </c>
      <c r="F269" s="8" t="s">
        <v>746</v>
      </c>
      <c r="G269" s="19"/>
      <c r="H269" s="8">
        <v>38.799999999999997</v>
      </c>
      <c r="I269" s="8">
        <v>34.1</v>
      </c>
      <c r="J269" s="8">
        <v>27.1</v>
      </c>
      <c r="K269" s="8">
        <v>72.900000000000006</v>
      </c>
      <c r="L269" s="8">
        <v>61.2</v>
      </c>
      <c r="M269" s="8">
        <v>65.900000000000006</v>
      </c>
      <c r="N269" s="8">
        <v>23.3</v>
      </c>
      <c r="O269" s="8">
        <v>54.9</v>
      </c>
      <c r="P269" s="8">
        <v>21.8</v>
      </c>
      <c r="Q269" s="8">
        <v>52.8</v>
      </c>
      <c r="R269" s="8">
        <v>57.6</v>
      </c>
      <c r="S269" s="8">
        <v>29.3</v>
      </c>
      <c r="T269" s="8">
        <v>70.7</v>
      </c>
      <c r="U269" s="8">
        <v>75.099999999999994</v>
      </c>
      <c r="V269" s="8">
        <v>38.200000000000003</v>
      </c>
      <c r="W269" s="8">
        <v>61.8</v>
      </c>
      <c r="X269" t="str">
        <f>VLOOKUP(E269,'Transform table'!A:B,2,0)</f>
        <v>Confianca SE</v>
      </c>
      <c r="Y269" t="str">
        <f>VLOOKUP(F269,'Transform table'!A:B,2,0)</f>
        <v>Itabaiana SE</v>
      </c>
      <c r="Z269" t="str">
        <f t="shared" si="4"/>
        <v>25/07/2026Confianca SEItabaiana SE</v>
      </c>
      <c r="AA269" t="str">
        <f>VLOOKUP($Z269,'oddspedia-matches'!$A:$AD,AA$2,0)</f>
        <v>1 - 1</v>
      </c>
      <c r="AB269" t="str">
        <f>VLOOKUP($Z269,'oddspedia-matches'!$A:$AD,AB$2,0)</f>
        <v>Red</v>
      </c>
      <c r="AC269" t="str">
        <f>VLOOKUP($Z269,'oddspedia-matches'!$A:$AD,AC$2,0)</f>
        <v>Green</v>
      </c>
      <c r="AD269" t="str">
        <f>VLOOKUP($Z269,'oddspedia-matches'!$A:$AD,AD$2,0)</f>
        <v>Red</v>
      </c>
      <c r="AE269" t="str">
        <f>VLOOKUP($Z269,'oddspedia-matches'!$A:$AD,AE$2,0)</f>
        <v>Green</v>
      </c>
      <c r="AF269" t="str">
        <f>VLOOKUP($Z269,'oddspedia-matches'!$A:$AD,AF$2,0)</f>
        <v>Green</v>
      </c>
      <c r="AG269" t="str">
        <f>VLOOKUP($Z269,'oddspedia-matches'!$A:$AD,AG$2,0)</f>
        <v>Red</v>
      </c>
      <c r="AH269" t="str">
        <f>VLOOKUP($Z269,'oddspedia-matches'!$A:$AD,AH$2,0)</f>
        <v>Red</v>
      </c>
      <c r="AI269" t="str">
        <f>VLOOKUP($Z269,'oddspedia-matches'!$A:$AD,AI$2,0)</f>
        <v>Red</v>
      </c>
      <c r="AJ269" t="str">
        <f>VLOOKUP($Z269,'oddspedia-matches'!$A:$AD,AJ$2,0)</f>
        <v>Green</v>
      </c>
      <c r="AK269" t="str">
        <f>VLOOKUP($Z269,'oddspedia-matches'!$A:$AD,AK$2,0)</f>
        <v>Green</v>
      </c>
      <c r="AL269" t="str">
        <f>VLOOKUP($Z269,'oddspedia-matches'!$A:$AD,AL$2,0)</f>
        <v>Green</v>
      </c>
      <c r="AM269" t="str">
        <f>VLOOKUP($Z269,'oddspedia-matches'!$A:$AD,AM$2,0)</f>
        <v>Red</v>
      </c>
      <c r="AN269" t="str">
        <f>VLOOKUP($Z269,'oddspedia-matches'!$A:$AD,AN$2,0)</f>
        <v>Green</v>
      </c>
      <c r="AO269" t="str">
        <f>VLOOKUP($Z269,'oddspedia-matches'!$A:$AD,AO$2,0)</f>
        <v>Green</v>
      </c>
      <c r="AP269" t="str">
        <f>VLOOKUP($Z269,'oddspedia-matches'!$A:$AD,AP$2,0)</f>
        <v>Green</v>
      </c>
      <c r="AQ269" t="str">
        <f>VLOOKUP($Z269,'oddspedia-matches'!$A:$AD,AQ$2,0)</f>
        <v>Red</v>
      </c>
    </row>
    <row r="270" spans="2:43" x14ac:dyDescent="0.2">
      <c r="B270" s="9" t="s">
        <v>485</v>
      </c>
      <c r="C270" s="7" t="s">
        <v>490</v>
      </c>
      <c r="D270" s="20">
        <v>0.77083333333333337</v>
      </c>
      <c r="E270" s="7" t="s">
        <v>747</v>
      </c>
      <c r="F270" s="7" t="s">
        <v>748</v>
      </c>
      <c r="G270" s="21"/>
      <c r="H270" s="7">
        <v>54.8</v>
      </c>
      <c r="I270" s="7">
        <v>24.6</v>
      </c>
      <c r="J270" s="7">
        <v>20.6</v>
      </c>
      <c r="K270" s="7">
        <v>79.400000000000006</v>
      </c>
      <c r="L270" s="7">
        <v>45.2</v>
      </c>
      <c r="M270" s="7">
        <v>75.400000000000006</v>
      </c>
      <c r="N270" s="7">
        <v>39.299999999999997</v>
      </c>
      <c r="O270" s="7">
        <v>39.6</v>
      </c>
      <c r="P270" s="7">
        <v>21.1</v>
      </c>
      <c r="Q270" s="7">
        <v>74.400000000000006</v>
      </c>
      <c r="R270" s="7">
        <v>83.9</v>
      </c>
      <c r="S270" s="7">
        <v>62.1</v>
      </c>
      <c r="T270" s="7">
        <v>37.9</v>
      </c>
      <c r="U270" s="7">
        <v>44.7</v>
      </c>
      <c r="V270" s="7">
        <v>61.4</v>
      </c>
      <c r="W270" s="7">
        <v>38.6</v>
      </c>
      <c r="X270" t="str">
        <f>VLOOKUP(E270,'Transform table'!A:B,2,0)</f>
        <v>Huachipato</v>
      </c>
      <c r="Y270" t="str">
        <f>VLOOKUP(F270,'Transform table'!A:B,2,0)</f>
        <v>Cobresal</v>
      </c>
      <c r="Z270" t="str">
        <f t="shared" si="4"/>
        <v>25/07/2026HuachipatoCobresal</v>
      </c>
      <c r="AA270" t="str">
        <f>VLOOKUP($Z270,'oddspedia-matches'!$A:$AD,AA$2,0)</f>
        <v>3 - 3</v>
      </c>
      <c r="AB270" t="str">
        <f>VLOOKUP($Z270,'oddspedia-matches'!$A:$AD,AB$2,0)</f>
        <v>Red</v>
      </c>
      <c r="AC270" t="str">
        <f>VLOOKUP($Z270,'oddspedia-matches'!$A:$AD,AC$2,0)</f>
        <v>Green</v>
      </c>
      <c r="AD270" t="str">
        <f>VLOOKUP($Z270,'oddspedia-matches'!$A:$AD,AD$2,0)</f>
        <v>Red</v>
      </c>
      <c r="AE270" t="str">
        <f>VLOOKUP($Z270,'oddspedia-matches'!$A:$AD,AE$2,0)</f>
        <v>Green</v>
      </c>
      <c r="AF270" t="str">
        <f>VLOOKUP($Z270,'oddspedia-matches'!$A:$AD,AF$2,0)</f>
        <v>Green</v>
      </c>
      <c r="AG270" t="str">
        <f>VLOOKUP($Z270,'oddspedia-matches'!$A:$AD,AG$2,0)</f>
        <v>Red</v>
      </c>
      <c r="AH270" t="str">
        <f>VLOOKUP($Z270,'oddspedia-matches'!$A:$AD,AH$2,0)</f>
        <v>Green</v>
      </c>
      <c r="AI270" t="str">
        <f>VLOOKUP($Z270,'oddspedia-matches'!$A:$AD,AI$2,0)</f>
        <v>Red</v>
      </c>
      <c r="AJ270" t="str">
        <f>VLOOKUP($Z270,'oddspedia-matches'!$A:$AD,AJ$2,0)</f>
        <v>Red</v>
      </c>
      <c r="AK270" t="str">
        <f>VLOOKUP($Z270,'oddspedia-matches'!$A:$AD,AK$2,0)</f>
        <v>Green</v>
      </c>
      <c r="AL270" t="str">
        <f>VLOOKUP($Z270,'oddspedia-matches'!$A:$AD,AL$2,0)</f>
        <v>Green</v>
      </c>
      <c r="AM270" t="str">
        <f>VLOOKUP($Z270,'oddspedia-matches'!$A:$AD,AM$2,0)</f>
        <v>Green</v>
      </c>
      <c r="AN270" t="str">
        <f>VLOOKUP($Z270,'oddspedia-matches'!$A:$AD,AN$2,0)</f>
        <v>Red</v>
      </c>
      <c r="AO270" t="str">
        <f>VLOOKUP($Z270,'oddspedia-matches'!$A:$AD,AO$2,0)</f>
        <v>Red</v>
      </c>
      <c r="AP270" t="str">
        <f>VLOOKUP($Z270,'oddspedia-matches'!$A:$AD,AP$2,0)</f>
        <v>Green</v>
      </c>
      <c r="AQ270" t="str">
        <f>VLOOKUP($Z270,'oddspedia-matches'!$A:$AD,AQ$2,0)</f>
        <v>Red</v>
      </c>
    </row>
    <row r="271" spans="2:43" x14ac:dyDescent="0.2">
      <c r="B271" s="17" t="s">
        <v>488</v>
      </c>
      <c r="C271" s="8" t="s">
        <v>490</v>
      </c>
      <c r="D271" s="18">
        <v>0.77083333333333337</v>
      </c>
      <c r="E271" s="8" t="s">
        <v>749</v>
      </c>
      <c r="F271" s="8" t="s">
        <v>750</v>
      </c>
      <c r="G271" s="19"/>
      <c r="H271" s="8">
        <v>58.4</v>
      </c>
      <c r="I271" s="8">
        <v>23.7</v>
      </c>
      <c r="J271" s="8">
        <v>17.899999999999999</v>
      </c>
      <c r="K271" s="8">
        <v>82.1</v>
      </c>
      <c r="L271" s="8">
        <v>41.6</v>
      </c>
      <c r="M271" s="8">
        <v>76.3</v>
      </c>
      <c r="N271" s="8">
        <v>48</v>
      </c>
      <c r="O271" s="8">
        <v>33.5</v>
      </c>
      <c r="P271" s="8">
        <v>18.600000000000001</v>
      </c>
      <c r="Q271" s="8">
        <v>82.1</v>
      </c>
      <c r="R271" s="8">
        <v>85.9</v>
      </c>
      <c r="S271" s="8">
        <v>65.5</v>
      </c>
      <c r="T271" s="8">
        <v>34.5</v>
      </c>
      <c r="U271" s="8">
        <v>41.7</v>
      </c>
      <c r="V271" s="8">
        <v>62.6</v>
      </c>
      <c r="W271" s="8">
        <v>37.4</v>
      </c>
      <c r="X271" t="str">
        <f>VLOOKUP(E271,'Transform table'!A:B,2,0)</f>
        <v>Cobreloa</v>
      </c>
      <c r="Y271" t="str">
        <f>VLOOKUP(F271,'Transform table'!A:B,2,0)</f>
        <v>Deportes Santa Cruz</v>
      </c>
      <c r="Z271" t="str">
        <f t="shared" si="4"/>
        <v>25/07/2026CobreloaDeportes Santa Cruz</v>
      </c>
      <c r="AA271" t="str">
        <f>VLOOKUP($Z271,'oddspedia-matches'!$A:$AD,AA$2,0)</f>
        <v>4 - 2</v>
      </c>
      <c r="AB271" t="str">
        <f>VLOOKUP($Z271,'oddspedia-matches'!$A:$AD,AB$2,0)</f>
        <v>Green</v>
      </c>
      <c r="AC271" t="str">
        <f>VLOOKUP($Z271,'oddspedia-matches'!$A:$AD,AC$2,0)</f>
        <v>Red</v>
      </c>
      <c r="AD271" t="str">
        <f>VLOOKUP($Z271,'oddspedia-matches'!$A:$AD,AD$2,0)</f>
        <v>Red</v>
      </c>
      <c r="AE271" t="str">
        <f>VLOOKUP($Z271,'oddspedia-matches'!$A:$AD,AE$2,0)</f>
        <v>Green</v>
      </c>
      <c r="AF271" t="str">
        <f>VLOOKUP($Z271,'oddspedia-matches'!$A:$AD,AF$2,0)</f>
        <v>Red</v>
      </c>
      <c r="AG271" t="str">
        <f>VLOOKUP($Z271,'oddspedia-matches'!$A:$AD,AG$2,0)</f>
        <v>Green</v>
      </c>
      <c r="AH271" t="str">
        <f>VLOOKUP($Z271,'oddspedia-matches'!$A:$AD,AH$2,0)</f>
        <v>Green</v>
      </c>
      <c r="AI271" t="str">
        <f>VLOOKUP($Z271,'oddspedia-matches'!$A:$AD,AI$2,0)</f>
        <v>Red</v>
      </c>
      <c r="AJ271" t="str">
        <f>VLOOKUP($Z271,'oddspedia-matches'!$A:$AD,AJ$2,0)</f>
        <v>Red</v>
      </c>
      <c r="AK271" t="str">
        <f>VLOOKUP($Z271,'oddspedia-matches'!$A:$AD,AK$2,0)</f>
        <v>Green</v>
      </c>
      <c r="AL271" t="str">
        <f>VLOOKUP($Z271,'oddspedia-matches'!$A:$AD,AL$2,0)</f>
        <v>Green</v>
      </c>
      <c r="AM271" t="str">
        <f>VLOOKUP($Z271,'oddspedia-matches'!$A:$AD,AM$2,0)</f>
        <v>Green</v>
      </c>
      <c r="AN271" t="str">
        <f>VLOOKUP($Z271,'oddspedia-matches'!$A:$AD,AN$2,0)</f>
        <v>Red</v>
      </c>
      <c r="AO271" t="str">
        <f>VLOOKUP($Z271,'oddspedia-matches'!$A:$AD,AO$2,0)</f>
        <v>Red</v>
      </c>
      <c r="AP271" t="str">
        <f>VLOOKUP($Z271,'oddspedia-matches'!$A:$AD,AP$2,0)</f>
        <v>Green</v>
      </c>
      <c r="AQ271" t="str">
        <f>VLOOKUP($Z271,'oddspedia-matches'!$A:$AD,AQ$2,0)</f>
        <v>Red</v>
      </c>
    </row>
    <row r="272" spans="2:43" x14ac:dyDescent="0.2">
      <c r="B272" s="9" t="s">
        <v>479</v>
      </c>
      <c r="C272" s="7" t="s">
        <v>490</v>
      </c>
      <c r="D272" s="20">
        <v>0.77083333333333337</v>
      </c>
      <c r="E272" s="7" t="s">
        <v>751</v>
      </c>
      <c r="F272" s="7" t="s">
        <v>185</v>
      </c>
      <c r="G272" s="21"/>
      <c r="H272" s="7">
        <v>40.1</v>
      </c>
      <c r="I272" s="7">
        <v>30.8</v>
      </c>
      <c r="J272" s="7">
        <v>29</v>
      </c>
      <c r="K272" s="7">
        <v>71</v>
      </c>
      <c r="L272" s="7">
        <v>59.9</v>
      </c>
      <c r="M272" s="7">
        <v>69.2</v>
      </c>
      <c r="N272" s="7">
        <v>35.700000000000003</v>
      </c>
      <c r="O272" s="7">
        <v>45.3</v>
      </c>
      <c r="P272" s="7">
        <v>19</v>
      </c>
      <c r="Q272" s="7">
        <v>65.7</v>
      </c>
      <c r="R272" s="7">
        <v>68.099999999999994</v>
      </c>
      <c r="S272" s="7">
        <v>40.200000000000003</v>
      </c>
      <c r="T272" s="7">
        <v>59.8</v>
      </c>
      <c r="U272" s="7">
        <v>65</v>
      </c>
      <c r="V272" s="7">
        <v>47.5</v>
      </c>
      <c r="W272" s="7">
        <v>52.5</v>
      </c>
      <c r="X272" t="str">
        <f>VLOOKUP(E272,'Transform table'!A:B,2,0)</f>
        <v>Club Sportivo Ameliano</v>
      </c>
      <c r="Y272" t="str">
        <f>VLOOKUP(F272,'Transform table'!A:B,2,0)</f>
        <v>Nacional De Football</v>
      </c>
      <c r="Z272" t="str">
        <f t="shared" si="4"/>
        <v>25/07/2026Club Sportivo AmelianoNacional De Football</v>
      </c>
      <c r="AA272" t="e">
        <f>VLOOKUP($Z272,'oddspedia-matches'!$A:$AD,AA$2,0)</f>
        <v>#N/A</v>
      </c>
      <c r="AB272" t="e">
        <f>VLOOKUP($Z272,'oddspedia-matches'!$A:$AD,AB$2,0)</f>
        <v>#N/A</v>
      </c>
      <c r="AC272" t="e">
        <f>VLOOKUP($Z272,'oddspedia-matches'!$A:$AD,AC$2,0)</f>
        <v>#N/A</v>
      </c>
      <c r="AD272" t="e">
        <f>VLOOKUP($Z272,'oddspedia-matches'!$A:$AD,AD$2,0)</f>
        <v>#N/A</v>
      </c>
      <c r="AE272" t="e">
        <f>VLOOKUP($Z272,'oddspedia-matches'!$A:$AD,AE$2,0)</f>
        <v>#N/A</v>
      </c>
      <c r="AF272" t="e">
        <f>VLOOKUP($Z272,'oddspedia-matches'!$A:$AD,AF$2,0)</f>
        <v>#N/A</v>
      </c>
      <c r="AG272" t="e">
        <f>VLOOKUP($Z272,'oddspedia-matches'!$A:$AD,AG$2,0)</f>
        <v>#N/A</v>
      </c>
      <c r="AH272" t="e">
        <f>VLOOKUP($Z272,'oddspedia-matches'!$A:$AD,AH$2,0)</f>
        <v>#N/A</v>
      </c>
      <c r="AI272" t="e">
        <f>VLOOKUP($Z272,'oddspedia-matches'!$A:$AD,AI$2,0)</f>
        <v>#N/A</v>
      </c>
      <c r="AJ272" t="e">
        <f>VLOOKUP($Z272,'oddspedia-matches'!$A:$AD,AJ$2,0)</f>
        <v>#N/A</v>
      </c>
      <c r="AK272" t="e">
        <f>VLOOKUP($Z272,'oddspedia-matches'!$A:$AD,AK$2,0)</f>
        <v>#N/A</v>
      </c>
      <c r="AL272" t="e">
        <f>VLOOKUP($Z272,'oddspedia-matches'!$A:$AD,AL$2,0)</f>
        <v>#N/A</v>
      </c>
      <c r="AM272" t="e">
        <f>VLOOKUP($Z272,'oddspedia-matches'!$A:$AD,AM$2,0)</f>
        <v>#N/A</v>
      </c>
      <c r="AN272" t="e">
        <f>VLOOKUP($Z272,'oddspedia-matches'!$A:$AD,AN$2,0)</f>
        <v>#N/A</v>
      </c>
      <c r="AO272" t="e">
        <f>VLOOKUP($Z272,'oddspedia-matches'!$A:$AD,AO$2,0)</f>
        <v>#N/A</v>
      </c>
      <c r="AP272" t="e">
        <f>VLOOKUP($Z272,'oddspedia-matches'!$A:$AD,AP$2,0)</f>
        <v>#N/A</v>
      </c>
      <c r="AQ272" t="e">
        <f>VLOOKUP($Z272,'oddspedia-matches'!$A:$AD,AQ$2,0)</f>
        <v>#N/A</v>
      </c>
    </row>
    <row r="273" spans="2:43" x14ac:dyDescent="0.2">
      <c r="B273" s="17" t="s">
        <v>647</v>
      </c>
      <c r="C273" s="8" t="s">
        <v>490</v>
      </c>
      <c r="D273" s="18">
        <v>0.79166666666666663</v>
      </c>
      <c r="E273" s="8" t="s">
        <v>703</v>
      </c>
      <c r="F273" s="8" t="s">
        <v>752</v>
      </c>
      <c r="G273" s="19"/>
      <c r="H273" s="8">
        <v>40.1</v>
      </c>
      <c r="I273" s="8">
        <v>35.4</v>
      </c>
      <c r="J273" s="8">
        <v>24.5</v>
      </c>
      <c r="K273" s="8">
        <v>75.5</v>
      </c>
      <c r="L273" s="8">
        <v>59.9</v>
      </c>
      <c r="M273" s="8">
        <v>64.599999999999994</v>
      </c>
      <c r="N273" s="8">
        <v>30.5</v>
      </c>
      <c r="O273" s="8">
        <v>48.2</v>
      </c>
      <c r="P273" s="8">
        <v>21.3</v>
      </c>
      <c r="Q273" s="8">
        <v>62.1</v>
      </c>
      <c r="R273" s="8">
        <v>52.9</v>
      </c>
      <c r="S273" s="8">
        <v>25.1</v>
      </c>
      <c r="T273" s="8">
        <v>74.900000000000006</v>
      </c>
      <c r="U273" s="8">
        <v>79.099999999999994</v>
      </c>
      <c r="V273" s="8">
        <v>34</v>
      </c>
      <c r="W273" s="8">
        <v>66</v>
      </c>
      <c r="X273" t="str">
        <f>VLOOKUP(E273,'Transform table'!A:B,2,0)</f>
        <v>San Martin de Tucuman</v>
      </c>
      <c r="Y273" t="str">
        <f>VLOOKUP(F273,'Transform table'!A:B,2,0)</f>
        <v>CA Temperley</v>
      </c>
      <c r="Z273" t="str">
        <f t="shared" si="4"/>
        <v>25/07/2026San Martin de TucumanCA Temperley</v>
      </c>
      <c r="AA273" t="str">
        <f>VLOOKUP($Z273,'oddspedia-matches'!$A:$AD,AA$2,0)</f>
        <v>1 - 2</v>
      </c>
      <c r="AB273" t="str">
        <f>VLOOKUP($Z273,'oddspedia-matches'!$A:$AD,AB$2,0)</f>
        <v>Red</v>
      </c>
      <c r="AC273" t="str">
        <f>VLOOKUP($Z273,'oddspedia-matches'!$A:$AD,AC$2,0)</f>
        <v>Red</v>
      </c>
      <c r="AD273" t="str">
        <f>VLOOKUP($Z273,'oddspedia-matches'!$A:$AD,AD$2,0)</f>
        <v>Green</v>
      </c>
      <c r="AE273" t="str">
        <f>VLOOKUP($Z273,'oddspedia-matches'!$A:$AD,AE$2,0)</f>
        <v>Red</v>
      </c>
      <c r="AF273" t="str">
        <f>VLOOKUP($Z273,'oddspedia-matches'!$A:$AD,AF$2,0)</f>
        <v>Green</v>
      </c>
      <c r="AG273" t="str">
        <f>VLOOKUP($Z273,'oddspedia-matches'!$A:$AD,AG$2,0)</f>
        <v>Green</v>
      </c>
      <c r="AH273" t="str">
        <f>VLOOKUP($Z273,'oddspedia-matches'!$A:$AD,AH$2,0)</f>
        <v>Red</v>
      </c>
      <c r="AI273" t="str">
        <f>VLOOKUP($Z273,'oddspedia-matches'!$A:$AD,AI$2,0)</f>
        <v>Red</v>
      </c>
      <c r="AJ273" t="str">
        <f>VLOOKUP($Z273,'oddspedia-matches'!$A:$AD,AJ$2,0)</f>
        <v>Green</v>
      </c>
      <c r="AK273" t="str">
        <f>VLOOKUP($Z273,'oddspedia-matches'!$A:$AD,AK$2,0)</f>
        <v>Green</v>
      </c>
      <c r="AL273" t="str">
        <f>VLOOKUP($Z273,'oddspedia-matches'!$A:$AD,AL$2,0)</f>
        <v>Green</v>
      </c>
      <c r="AM273" t="str">
        <f>VLOOKUP($Z273,'oddspedia-matches'!$A:$AD,AM$2,0)</f>
        <v>Green</v>
      </c>
      <c r="AN273" t="str">
        <f>VLOOKUP($Z273,'oddspedia-matches'!$A:$AD,AN$2,0)</f>
        <v>Red</v>
      </c>
      <c r="AO273" t="str">
        <f>VLOOKUP($Z273,'oddspedia-matches'!$A:$AD,AO$2,0)</f>
        <v>Green</v>
      </c>
      <c r="AP273" t="str">
        <f>VLOOKUP($Z273,'oddspedia-matches'!$A:$AD,AP$2,0)</f>
        <v>Green</v>
      </c>
      <c r="AQ273" t="str">
        <f>VLOOKUP($Z273,'oddspedia-matches'!$A:$AD,AQ$2,0)</f>
        <v>Red</v>
      </c>
    </row>
    <row r="274" spans="2:43" x14ac:dyDescent="0.2">
      <c r="B274" s="9" t="s">
        <v>728</v>
      </c>
      <c r="C274" s="7" t="s">
        <v>490</v>
      </c>
      <c r="D274" s="20">
        <v>0.79166666666666663</v>
      </c>
      <c r="E274" s="7" t="s">
        <v>308</v>
      </c>
      <c r="F274" s="7" t="s">
        <v>753</v>
      </c>
      <c r="G274" s="21"/>
      <c r="H274" s="7">
        <v>43.4</v>
      </c>
      <c r="I274" s="7">
        <v>34.200000000000003</v>
      </c>
      <c r="J274" s="7">
        <v>22.5</v>
      </c>
      <c r="K274" s="7">
        <v>77.5</v>
      </c>
      <c r="L274" s="7">
        <v>56.6</v>
      </c>
      <c r="M274" s="7">
        <v>65.8</v>
      </c>
      <c r="N274" s="7">
        <v>23.7</v>
      </c>
      <c r="O274" s="7">
        <v>58.8</v>
      </c>
      <c r="P274" s="7">
        <v>17.5</v>
      </c>
      <c r="Q274" s="7">
        <v>47.3</v>
      </c>
      <c r="R274" s="7">
        <v>54.9</v>
      </c>
      <c r="S274" s="7">
        <v>26.9</v>
      </c>
      <c r="T274" s="7">
        <v>73.099999999999994</v>
      </c>
      <c r="U274" s="7">
        <v>77.7</v>
      </c>
      <c r="V274" s="7">
        <v>34.9</v>
      </c>
      <c r="W274" s="7">
        <v>65.099999999999994</v>
      </c>
      <c r="X274" t="str">
        <f>VLOOKUP(E274,'Transform table'!A:B,2,0)</f>
        <v>Volta Redonda</v>
      </c>
      <c r="Y274" t="str">
        <f>VLOOKUP(F274,'Transform table'!A:B,2,0)</f>
        <v>Anapolis GO</v>
      </c>
      <c r="Z274" t="str">
        <f t="shared" si="4"/>
        <v>25/07/2026Volta RedondaAnapolis GO</v>
      </c>
      <c r="AA274" t="str">
        <f>VLOOKUP($Z274,'oddspedia-matches'!$A:$AD,AA$2,0)</f>
        <v>1 - 4</v>
      </c>
      <c r="AB274" t="str">
        <f>VLOOKUP($Z274,'oddspedia-matches'!$A:$AD,AB$2,0)</f>
        <v>Red</v>
      </c>
      <c r="AC274" t="str">
        <f>VLOOKUP($Z274,'oddspedia-matches'!$A:$AD,AC$2,0)</f>
        <v>Red</v>
      </c>
      <c r="AD274" t="str">
        <f>VLOOKUP($Z274,'oddspedia-matches'!$A:$AD,AD$2,0)</f>
        <v>Green</v>
      </c>
      <c r="AE274" t="str">
        <f>VLOOKUP($Z274,'oddspedia-matches'!$A:$AD,AE$2,0)</f>
        <v>Red</v>
      </c>
      <c r="AF274" t="str">
        <f>VLOOKUP($Z274,'oddspedia-matches'!$A:$AD,AF$2,0)</f>
        <v>Green</v>
      </c>
      <c r="AG274" t="str">
        <f>VLOOKUP($Z274,'oddspedia-matches'!$A:$AD,AG$2,0)</f>
        <v>Green</v>
      </c>
      <c r="AH274" t="str">
        <f>VLOOKUP($Z274,'oddspedia-matches'!$A:$AD,AH$2,0)</f>
        <v>Red</v>
      </c>
      <c r="AI274" t="str">
        <f>VLOOKUP($Z274,'oddspedia-matches'!$A:$AD,AI$2,0)</f>
        <v>Green</v>
      </c>
      <c r="AJ274" t="str">
        <f>VLOOKUP($Z274,'oddspedia-matches'!$A:$AD,AJ$2,0)</f>
        <v>Red</v>
      </c>
      <c r="AK274" t="str">
        <f>VLOOKUP($Z274,'oddspedia-matches'!$A:$AD,AK$2,0)</f>
        <v>Green</v>
      </c>
      <c r="AL274" t="str">
        <f>VLOOKUP($Z274,'oddspedia-matches'!$A:$AD,AL$2,0)</f>
        <v>Green</v>
      </c>
      <c r="AM274" t="str">
        <f>VLOOKUP($Z274,'oddspedia-matches'!$A:$AD,AM$2,0)</f>
        <v>Green</v>
      </c>
      <c r="AN274" t="str">
        <f>VLOOKUP($Z274,'oddspedia-matches'!$A:$AD,AN$2,0)</f>
        <v>Red</v>
      </c>
      <c r="AO274" t="str">
        <f>VLOOKUP($Z274,'oddspedia-matches'!$A:$AD,AO$2,0)</f>
        <v>Red</v>
      </c>
      <c r="AP274" t="str">
        <f>VLOOKUP($Z274,'oddspedia-matches'!$A:$AD,AP$2,0)</f>
        <v>Green</v>
      </c>
      <c r="AQ274" t="str">
        <f>VLOOKUP($Z274,'oddspedia-matches'!$A:$AD,AQ$2,0)</f>
        <v>Red</v>
      </c>
    </row>
    <row r="275" spans="2:43" x14ac:dyDescent="0.2">
      <c r="B275" s="17" t="s">
        <v>470</v>
      </c>
      <c r="C275" s="8" t="s">
        <v>490</v>
      </c>
      <c r="D275" s="18">
        <v>0.80208333333333337</v>
      </c>
      <c r="E275" s="8" t="s">
        <v>754</v>
      </c>
      <c r="F275" s="8" t="s">
        <v>755</v>
      </c>
      <c r="G275" s="19"/>
      <c r="H275" s="8">
        <v>47.8</v>
      </c>
      <c r="I275" s="8">
        <v>31.2</v>
      </c>
      <c r="J275" s="8">
        <v>20.9</v>
      </c>
      <c r="K275" s="8">
        <v>79.099999999999994</v>
      </c>
      <c r="L275" s="8">
        <v>52.2</v>
      </c>
      <c r="M275" s="8">
        <v>68.8</v>
      </c>
      <c r="N275" s="8">
        <v>28</v>
      </c>
      <c r="O275" s="8">
        <v>48.2</v>
      </c>
      <c r="P275" s="8">
        <v>23.8</v>
      </c>
      <c r="Q275" s="8">
        <v>62.5</v>
      </c>
      <c r="R275" s="8">
        <v>61.6</v>
      </c>
      <c r="S275" s="8">
        <v>33.299999999999997</v>
      </c>
      <c r="T275" s="8">
        <v>66.7</v>
      </c>
      <c r="U275" s="8">
        <v>72.2</v>
      </c>
      <c r="V275" s="8">
        <v>39.5</v>
      </c>
      <c r="W275" s="8">
        <v>60.5</v>
      </c>
      <c r="X275" t="str">
        <f>VLOOKUP(E275,'Transform table'!A:B,2,0)</f>
        <v>River Plate</v>
      </c>
      <c r="Y275" t="str">
        <f>VLOOKUP(F275,'Transform table'!A:B,2,0)</f>
        <v>Barracas Central</v>
      </c>
      <c r="Z275" t="str">
        <f t="shared" si="4"/>
        <v>25/07/2026River PlateBarracas Central</v>
      </c>
      <c r="AA275" t="str">
        <f>VLOOKUP($Z275,'oddspedia-matches'!$A:$AD,AA$2,0)</f>
        <v>0 - 1</v>
      </c>
      <c r="AB275" t="str">
        <f>VLOOKUP($Z275,'oddspedia-matches'!$A:$AD,AB$2,0)</f>
        <v>Red</v>
      </c>
      <c r="AC275" t="str">
        <f>VLOOKUP($Z275,'oddspedia-matches'!$A:$AD,AC$2,0)</f>
        <v>Red</v>
      </c>
      <c r="AD275" t="str">
        <f>VLOOKUP($Z275,'oddspedia-matches'!$A:$AD,AD$2,0)</f>
        <v>Green</v>
      </c>
      <c r="AE275" t="str">
        <f>VLOOKUP($Z275,'oddspedia-matches'!$A:$AD,AE$2,0)</f>
        <v>Red</v>
      </c>
      <c r="AF275" t="str">
        <f>VLOOKUP($Z275,'oddspedia-matches'!$A:$AD,AF$2,0)</f>
        <v>Green</v>
      </c>
      <c r="AG275" t="str">
        <f>VLOOKUP($Z275,'oddspedia-matches'!$A:$AD,AG$2,0)</f>
        <v>Green</v>
      </c>
      <c r="AH275" t="str">
        <f>VLOOKUP($Z275,'oddspedia-matches'!$A:$AD,AH$2,0)</f>
        <v>Red</v>
      </c>
      <c r="AI275" t="str">
        <f>VLOOKUP($Z275,'oddspedia-matches'!$A:$AD,AI$2,0)</f>
        <v>Red</v>
      </c>
      <c r="AJ275" t="str">
        <f>VLOOKUP($Z275,'oddspedia-matches'!$A:$AD,AJ$2,0)</f>
        <v>Green</v>
      </c>
      <c r="AK275" t="str">
        <f>VLOOKUP($Z275,'oddspedia-matches'!$A:$AD,AK$2,0)</f>
        <v>Green</v>
      </c>
      <c r="AL275" t="str">
        <f>VLOOKUP($Z275,'oddspedia-matches'!$A:$AD,AL$2,0)</f>
        <v>Red</v>
      </c>
      <c r="AM275" t="str">
        <f>VLOOKUP($Z275,'oddspedia-matches'!$A:$AD,AM$2,0)</f>
        <v>Red</v>
      </c>
      <c r="AN275" t="str">
        <f>VLOOKUP($Z275,'oddspedia-matches'!$A:$AD,AN$2,0)</f>
        <v>Green</v>
      </c>
      <c r="AO275" t="str">
        <f>VLOOKUP($Z275,'oddspedia-matches'!$A:$AD,AO$2,0)</f>
        <v>Green</v>
      </c>
      <c r="AP275" t="str">
        <f>VLOOKUP($Z275,'oddspedia-matches'!$A:$AD,AP$2,0)</f>
        <v>Red</v>
      </c>
      <c r="AQ275" t="str">
        <f>VLOOKUP($Z275,'oddspedia-matches'!$A:$AD,AQ$2,0)</f>
        <v>Green</v>
      </c>
    </row>
    <row r="276" spans="2:43" x14ac:dyDescent="0.2">
      <c r="B276" s="9" t="s">
        <v>468</v>
      </c>
      <c r="C276" s="7" t="s">
        <v>490</v>
      </c>
      <c r="D276" s="20">
        <v>0.8125</v>
      </c>
      <c r="E276" s="7" t="s">
        <v>60</v>
      </c>
      <c r="F276" s="7" t="s">
        <v>63</v>
      </c>
      <c r="G276" s="21"/>
      <c r="H276" s="7">
        <v>42.7</v>
      </c>
      <c r="I276" s="7">
        <v>25.8</v>
      </c>
      <c r="J276" s="7">
        <v>31.5</v>
      </c>
      <c r="K276" s="7">
        <v>68.5</v>
      </c>
      <c r="L276" s="7">
        <v>57.3</v>
      </c>
      <c r="M276" s="7">
        <v>74.2</v>
      </c>
      <c r="N276" s="7">
        <v>41.6</v>
      </c>
      <c r="O276" s="7">
        <v>37.9</v>
      </c>
      <c r="P276" s="7">
        <v>20.5</v>
      </c>
      <c r="Q276" s="7">
        <v>76.599999999999994</v>
      </c>
      <c r="R276" s="7">
        <v>86.6</v>
      </c>
      <c r="S276" s="7">
        <v>66.5</v>
      </c>
      <c r="T276" s="7">
        <v>33.5</v>
      </c>
      <c r="U276" s="7">
        <v>39</v>
      </c>
      <c r="V276" s="7">
        <v>68.099999999999994</v>
      </c>
      <c r="W276" s="7">
        <v>31.9</v>
      </c>
      <c r="X276" t="str">
        <f>VLOOKUP(E276,'Transform table'!A:B,2,0)</f>
        <v>New York Red Bulls</v>
      </c>
      <c r="Y276" t="str">
        <f>VLOOKUP(F276,'Transform table'!A:B,2,0)</f>
        <v>Charlotte FC</v>
      </c>
      <c r="Z276" t="str">
        <f t="shared" si="4"/>
        <v>25/07/2026New York Red BullsCharlotte FC</v>
      </c>
      <c r="AA276" t="str">
        <f>VLOOKUP($Z276,'oddspedia-matches'!$A:$AD,AA$2,0)</f>
        <v>0 - 2</v>
      </c>
      <c r="AB276" t="str">
        <f>VLOOKUP($Z276,'oddspedia-matches'!$A:$AD,AB$2,0)</f>
        <v>Red</v>
      </c>
      <c r="AC276" t="str">
        <f>VLOOKUP($Z276,'oddspedia-matches'!$A:$AD,AC$2,0)</f>
        <v>Red</v>
      </c>
      <c r="AD276" t="str">
        <f>VLOOKUP($Z276,'oddspedia-matches'!$A:$AD,AD$2,0)</f>
        <v>Green</v>
      </c>
      <c r="AE276" t="str">
        <f>VLOOKUP($Z276,'oddspedia-matches'!$A:$AD,AE$2,0)</f>
        <v>Red</v>
      </c>
      <c r="AF276" t="str">
        <f>VLOOKUP($Z276,'oddspedia-matches'!$A:$AD,AF$2,0)</f>
        <v>Green</v>
      </c>
      <c r="AG276" t="str">
        <f>VLOOKUP($Z276,'oddspedia-matches'!$A:$AD,AG$2,0)</f>
        <v>Green</v>
      </c>
      <c r="AH276" t="str">
        <f>VLOOKUP($Z276,'oddspedia-matches'!$A:$AD,AH$2,0)</f>
        <v>Red</v>
      </c>
      <c r="AI276" t="str">
        <f>VLOOKUP($Z276,'oddspedia-matches'!$A:$AD,AI$2,0)</f>
        <v>Red</v>
      </c>
      <c r="AJ276" t="str">
        <f>VLOOKUP($Z276,'oddspedia-matches'!$A:$AD,AJ$2,0)</f>
        <v>Green</v>
      </c>
      <c r="AK276" t="str">
        <f>VLOOKUP($Z276,'oddspedia-matches'!$A:$AD,AK$2,0)</f>
        <v>Green</v>
      </c>
      <c r="AL276" t="str">
        <f>VLOOKUP($Z276,'oddspedia-matches'!$A:$AD,AL$2,0)</f>
        <v>Green</v>
      </c>
      <c r="AM276" t="str">
        <f>VLOOKUP($Z276,'oddspedia-matches'!$A:$AD,AM$2,0)</f>
        <v>Red</v>
      </c>
      <c r="AN276" t="str">
        <f>VLOOKUP($Z276,'oddspedia-matches'!$A:$AD,AN$2,0)</f>
        <v>Green</v>
      </c>
      <c r="AO276" t="str">
        <f>VLOOKUP($Z276,'oddspedia-matches'!$A:$AD,AO$2,0)</f>
        <v>Green</v>
      </c>
      <c r="AP276" t="str">
        <f>VLOOKUP($Z276,'oddspedia-matches'!$A:$AD,AP$2,0)</f>
        <v>Red</v>
      </c>
      <c r="AQ276" t="str">
        <f>VLOOKUP($Z276,'oddspedia-matches'!$A:$AD,AQ$2,0)</f>
        <v>Green</v>
      </c>
    </row>
    <row r="277" spans="2:43" x14ac:dyDescent="0.2">
      <c r="B277" s="17" t="s">
        <v>482</v>
      </c>
      <c r="C277" s="8" t="s">
        <v>490</v>
      </c>
      <c r="D277" s="18">
        <v>0.8125</v>
      </c>
      <c r="E277" s="8" t="s">
        <v>756</v>
      </c>
      <c r="F277" s="8" t="s">
        <v>757</v>
      </c>
      <c r="G277" s="19"/>
      <c r="H277" s="8">
        <v>39.1</v>
      </c>
      <c r="I277" s="8">
        <v>31.6</v>
      </c>
      <c r="J277" s="8">
        <v>29.3</v>
      </c>
      <c r="K277" s="8">
        <v>70.7</v>
      </c>
      <c r="L277" s="8">
        <v>60.9</v>
      </c>
      <c r="M277" s="8">
        <v>68.400000000000006</v>
      </c>
      <c r="N277" s="8">
        <v>23</v>
      </c>
      <c r="O277" s="8">
        <v>49.7</v>
      </c>
      <c r="P277" s="8">
        <v>27.3</v>
      </c>
      <c r="Q277" s="8">
        <v>60.4</v>
      </c>
      <c r="R277" s="8">
        <v>65.900000000000006</v>
      </c>
      <c r="S277" s="8">
        <v>37.700000000000003</v>
      </c>
      <c r="T277" s="8">
        <v>62.3</v>
      </c>
      <c r="U277" s="8">
        <v>67.3</v>
      </c>
      <c r="V277" s="8">
        <v>45.6</v>
      </c>
      <c r="W277" s="8">
        <v>54.4</v>
      </c>
      <c r="X277" t="str">
        <f>VLOOKUP(E277,'Transform table'!A:B,2,0)</f>
        <v>Sport Boys</v>
      </c>
      <c r="Y277" t="str">
        <f>VLOOKUP(F277,'Transform table'!A:B,2,0)</f>
        <v>AD Tarma</v>
      </c>
      <c r="Z277" t="str">
        <f t="shared" si="4"/>
        <v>25/07/2026Sport BoysAD Tarma</v>
      </c>
      <c r="AA277" t="str">
        <f>VLOOKUP($Z277,'oddspedia-matches'!$A:$AD,AA$2,0)</f>
        <v>2 - 0</v>
      </c>
      <c r="AB277" t="str">
        <f>VLOOKUP($Z277,'oddspedia-matches'!$A:$AD,AB$2,0)</f>
        <v>Green</v>
      </c>
      <c r="AC277" t="str">
        <f>VLOOKUP($Z277,'oddspedia-matches'!$A:$AD,AC$2,0)</f>
        <v>Red</v>
      </c>
      <c r="AD277" t="str">
        <f>VLOOKUP($Z277,'oddspedia-matches'!$A:$AD,AD$2,0)</f>
        <v>Red</v>
      </c>
      <c r="AE277" t="str">
        <f>VLOOKUP($Z277,'oddspedia-matches'!$A:$AD,AE$2,0)</f>
        <v>Green</v>
      </c>
      <c r="AF277" t="str">
        <f>VLOOKUP($Z277,'oddspedia-matches'!$A:$AD,AF$2,0)</f>
        <v>Red</v>
      </c>
      <c r="AG277" t="str">
        <f>VLOOKUP($Z277,'oddspedia-matches'!$A:$AD,AG$2,0)</f>
        <v>Green</v>
      </c>
      <c r="AH277" t="str">
        <f>VLOOKUP($Z277,'oddspedia-matches'!$A:$AD,AH$2,0)</f>
        <v>Red</v>
      </c>
      <c r="AI277" t="str">
        <f>VLOOKUP($Z277,'oddspedia-matches'!$A:$AD,AI$2,0)</f>
        <v>Green</v>
      </c>
      <c r="AJ277" t="str">
        <f>VLOOKUP($Z277,'oddspedia-matches'!$A:$AD,AJ$2,0)</f>
        <v>Red</v>
      </c>
      <c r="AK277" t="str">
        <f>VLOOKUP($Z277,'oddspedia-matches'!$A:$AD,AK$2,0)</f>
        <v>Red</v>
      </c>
      <c r="AL277" t="str">
        <f>VLOOKUP($Z277,'oddspedia-matches'!$A:$AD,AL$2,0)</f>
        <v>Green</v>
      </c>
      <c r="AM277" t="str">
        <f>VLOOKUP($Z277,'oddspedia-matches'!$A:$AD,AM$2,0)</f>
        <v>Red</v>
      </c>
      <c r="AN277" t="str">
        <f>VLOOKUP($Z277,'oddspedia-matches'!$A:$AD,AN$2,0)</f>
        <v>Green</v>
      </c>
      <c r="AO277" t="str">
        <f>VLOOKUP($Z277,'oddspedia-matches'!$A:$AD,AO$2,0)</f>
        <v>Green</v>
      </c>
      <c r="AP277" t="str">
        <f>VLOOKUP($Z277,'oddspedia-matches'!$A:$AD,AP$2,0)</f>
        <v>Red</v>
      </c>
      <c r="AQ277" t="str">
        <f>VLOOKUP($Z277,'oddspedia-matches'!$A:$AD,AQ$2,0)</f>
        <v>Green</v>
      </c>
    </row>
    <row r="278" spans="2:43" x14ac:dyDescent="0.2">
      <c r="B278" s="9" t="s">
        <v>468</v>
      </c>
      <c r="C278" s="7" t="s">
        <v>490</v>
      </c>
      <c r="D278" s="20">
        <v>0.83333333333333337</v>
      </c>
      <c r="E278" s="7" t="s">
        <v>51</v>
      </c>
      <c r="F278" s="7" t="s">
        <v>53</v>
      </c>
      <c r="G278" s="21"/>
      <c r="H278" s="7">
        <v>46.4</v>
      </c>
      <c r="I278" s="7">
        <v>25</v>
      </c>
      <c r="J278" s="7">
        <v>28.5</v>
      </c>
      <c r="K278" s="7">
        <v>71.5</v>
      </c>
      <c r="L278" s="7">
        <v>53.6</v>
      </c>
      <c r="M278" s="7">
        <v>75</v>
      </c>
      <c r="N278" s="7">
        <v>44.4</v>
      </c>
      <c r="O278" s="7">
        <v>35.1</v>
      </c>
      <c r="P278" s="7">
        <v>20.6</v>
      </c>
      <c r="Q278" s="7">
        <v>80.7</v>
      </c>
      <c r="R278" s="7">
        <v>90.5</v>
      </c>
      <c r="S278" s="7">
        <v>74</v>
      </c>
      <c r="T278" s="7">
        <v>26</v>
      </c>
      <c r="U278" s="7">
        <v>31.4</v>
      </c>
      <c r="V278" s="7">
        <v>73.400000000000006</v>
      </c>
      <c r="W278" s="7">
        <v>26.6</v>
      </c>
      <c r="X278" t="str">
        <f>VLOOKUP(E278,'Transform table'!A:B,2,0)</f>
        <v>Columbus Crew</v>
      </c>
      <c r="Y278" t="str">
        <f>VLOOKUP(F278,'Transform table'!A:B,2,0)</f>
        <v>FC Cincinnati</v>
      </c>
      <c r="Z278" t="str">
        <f t="shared" si="4"/>
        <v>25/07/2026Columbus CrewFC Cincinnati</v>
      </c>
      <c r="AA278" t="str">
        <f>VLOOKUP($Z278,'oddspedia-matches'!$A:$AD,AA$2,0)</f>
        <v>2 - 1</v>
      </c>
      <c r="AB278" t="str">
        <f>VLOOKUP($Z278,'oddspedia-matches'!$A:$AD,AB$2,0)</f>
        <v>Green</v>
      </c>
      <c r="AC278" t="str">
        <f>VLOOKUP($Z278,'oddspedia-matches'!$A:$AD,AC$2,0)</f>
        <v>Red</v>
      </c>
      <c r="AD278" t="str">
        <f>VLOOKUP($Z278,'oddspedia-matches'!$A:$AD,AD$2,0)</f>
        <v>Red</v>
      </c>
      <c r="AE278" t="str">
        <f>VLOOKUP($Z278,'oddspedia-matches'!$A:$AD,AE$2,0)</f>
        <v>Green</v>
      </c>
      <c r="AF278" t="str">
        <f>VLOOKUP($Z278,'oddspedia-matches'!$A:$AD,AF$2,0)</f>
        <v>Red</v>
      </c>
      <c r="AG278" t="str">
        <f>VLOOKUP($Z278,'oddspedia-matches'!$A:$AD,AG$2,0)</f>
        <v>Green</v>
      </c>
      <c r="AH278" t="str">
        <f>VLOOKUP($Z278,'oddspedia-matches'!$A:$AD,AH$2,0)</f>
        <v>Green</v>
      </c>
      <c r="AI278" t="str">
        <f>VLOOKUP($Z278,'oddspedia-matches'!$A:$AD,AI$2,0)</f>
        <v>Red</v>
      </c>
      <c r="AJ278" t="str">
        <f>VLOOKUP($Z278,'oddspedia-matches'!$A:$AD,AJ$2,0)</f>
        <v>Red</v>
      </c>
      <c r="AK278" t="str">
        <f>VLOOKUP($Z278,'oddspedia-matches'!$A:$AD,AK$2,0)</f>
        <v>Green</v>
      </c>
      <c r="AL278" t="str">
        <f>VLOOKUP($Z278,'oddspedia-matches'!$A:$AD,AL$2,0)</f>
        <v>Green</v>
      </c>
      <c r="AM278" t="str">
        <f>VLOOKUP($Z278,'oddspedia-matches'!$A:$AD,AM$2,0)</f>
        <v>Green</v>
      </c>
      <c r="AN278" t="str">
        <f>VLOOKUP($Z278,'oddspedia-matches'!$A:$AD,AN$2,0)</f>
        <v>Red</v>
      </c>
      <c r="AO278" t="str">
        <f>VLOOKUP($Z278,'oddspedia-matches'!$A:$AD,AO$2,0)</f>
        <v>Green</v>
      </c>
      <c r="AP278" t="str">
        <f>VLOOKUP($Z278,'oddspedia-matches'!$A:$AD,AP$2,0)</f>
        <v>Green</v>
      </c>
      <c r="AQ278" t="str">
        <f>VLOOKUP($Z278,'oddspedia-matches'!$A:$AD,AQ$2,0)</f>
        <v>Red</v>
      </c>
    </row>
    <row r="279" spans="2:43" x14ac:dyDescent="0.2">
      <c r="B279" s="17" t="s">
        <v>467</v>
      </c>
      <c r="C279" s="8" t="s">
        <v>490</v>
      </c>
      <c r="D279" s="18">
        <v>0.83333333333333337</v>
      </c>
      <c r="E279" s="8" t="s">
        <v>758</v>
      </c>
      <c r="F279" s="8" t="s">
        <v>759</v>
      </c>
      <c r="G279" s="19"/>
      <c r="H279" s="8">
        <v>36.299999999999997</v>
      </c>
      <c r="I279" s="8">
        <v>29.2</v>
      </c>
      <c r="J279" s="8">
        <v>34.5</v>
      </c>
      <c r="K279" s="8">
        <v>65.5</v>
      </c>
      <c r="L279" s="8">
        <v>63.7</v>
      </c>
      <c r="M279" s="8">
        <v>70.8</v>
      </c>
      <c r="N279" s="8">
        <v>25.6</v>
      </c>
      <c r="O279" s="8">
        <v>44.2</v>
      </c>
      <c r="P279" s="8">
        <v>30.2</v>
      </c>
      <c r="Q279" s="8">
        <v>68.7</v>
      </c>
      <c r="R279" s="8">
        <v>74.7</v>
      </c>
      <c r="S279" s="8">
        <v>48.4</v>
      </c>
      <c r="T279" s="8">
        <v>51.6</v>
      </c>
      <c r="U279" s="8">
        <v>57</v>
      </c>
      <c r="V279" s="8">
        <v>54.5</v>
      </c>
      <c r="W279" s="8">
        <v>45.5</v>
      </c>
      <c r="X279" t="str">
        <f>VLOOKUP(E279,'Transform table'!A:B,2,0)</f>
        <v>Brooklyn FC</v>
      </c>
      <c r="Y279" t="str">
        <f>VLOOKUP(F279,'Transform table'!A:B,2,0)</f>
        <v>San Antonio FC</v>
      </c>
      <c r="Z279" t="str">
        <f t="shared" si="4"/>
        <v>25/07/2026Brooklyn FCSan Antonio FC</v>
      </c>
      <c r="AA279" t="str">
        <f>VLOOKUP($Z279,'oddspedia-matches'!$A:$AD,AA$2,0)</f>
        <v>0 - 1</v>
      </c>
      <c r="AB279" t="str">
        <f>VLOOKUP($Z279,'oddspedia-matches'!$A:$AD,AB$2,0)</f>
        <v>Red</v>
      </c>
      <c r="AC279" t="str">
        <f>VLOOKUP($Z279,'oddspedia-matches'!$A:$AD,AC$2,0)</f>
        <v>Red</v>
      </c>
      <c r="AD279" t="str">
        <f>VLOOKUP($Z279,'oddspedia-matches'!$A:$AD,AD$2,0)</f>
        <v>Green</v>
      </c>
      <c r="AE279" t="str">
        <f>VLOOKUP($Z279,'oddspedia-matches'!$A:$AD,AE$2,0)</f>
        <v>Red</v>
      </c>
      <c r="AF279" t="str">
        <f>VLOOKUP($Z279,'oddspedia-matches'!$A:$AD,AF$2,0)</f>
        <v>Green</v>
      </c>
      <c r="AG279" t="str">
        <f>VLOOKUP($Z279,'oddspedia-matches'!$A:$AD,AG$2,0)</f>
        <v>Green</v>
      </c>
      <c r="AH279" t="str">
        <f>VLOOKUP($Z279,'oddspedia-matches'!$A:$AD,AH$2,0)</f>
        <v>Red</v>
      </c>
      <c r="AI279" t="str">
        <f>VLOOKUP($Z279,'oddspedia-matches'!$A:$AD,AI$2,0)</f>
        <v>Red</v>
      </c>
      <c r="AJ279" t="str">
        <f>VLOOKUP($Z279,'oddspedia-matches'!$A:$AD,AJ$2,0)</f>
        <v>Green</v>
      </c>
      <c r="AK279" t="str">
        <f>VLOOKUP($Z279,'oddspedia-matches'!$A:$AD,AK$2,0)</f>
        <v>Green</v>
      </c>
      <c r="AL279" t="str">
        <f>VLOOKUP($Z279,'oddspedia-matches'!$A:$AD,AL$2,0)</f>
        <v>Red</v>
      </c>
      <c r="AM279" t="str">
        <f>VLOOKUP($Z279,'oddspedia-matches'!$A:$AD,AM$2,0)</f>
        <v>Red</v>
      </c>
      <c r="AN279" t="str">
        <f>VLOOKUP($Z279,'oddspedia-matches'!$A:$AD,AN$2,0)</f>
        <v>Green</v>
      </c>
      <c r="AO279" t="str">
        <f>VLOOKUP($Z279,'oddspedia-matches'!$A:$AD,AO$2,0)</f>
        <v>Green</v>
      </c>
      <c r="AP279" t="str">
        <f>VLOOKUP($Z279,'oddspedia-matches'!$A:$AD,AP$2,0)</f>
        <v>Red</v>
      </c>
      <c r="AQ279" t="str">
        <f>VLOOKUP($Z279,'oddspedia-matches'!$A:$AD,AQ$2,0)</f>
        <v>Green</v>
      </c>
    </row>
    <row r="280" spans="2:43" x14ac:dyDescent="0.2">
      <c r="B280" s="9" t="s">
        <v>467</v>
      </c>
      <c r="C280" s="7" t="s">
        <v>490</v>
      </c>
      <c r="D280" s="20">
        <v>0.83333333333333337</v>
      </c>
      <c r="E280" s="7" t="s">
        <v>760</v>
      </c>
      <c r="F280" s="7" t="s">
        <v>761</v>
      </c>
      <c r="G280" s="21"/>
      <c r="H280" s="7">
        <v>52.5</v>
      </c>
      <c r="I280" s="7">
        <v>26</v>
      </c>
      <c r="J280" s="7">
        <v>21.5</v>
      </c>
      <c r="K280" s="7">
        <v>78.5</v>
      </c>
      <c r="L280" s="7">
        <v>47.5</v>
      </c>
      <c r="M280" s="7">
        <v>74</v>
      </c>
      <c r="N280" s="7">
        <v>35.9</v>
      </c>
      <c r="O280" s="7">
        <v>42.4</v>
      </c>
      <c r="P280" s="7">
        <v>21.7</v>
      </c>
      <c r="Q280" s="7">
        <v>70.5</v>
      </c>
      <c r="R280" s="7">
        <v>78.900000000000006</v>
      </c>
      <c r="S280" s="7">
        <v>54.3</v>
      </c>
      <c r="T280" s="7">
        <v>45.7</v>
      </c>
      <c r="U280" s="7">
        <v>52.4</v>
      </c>
      <c r="V280" s="7">
        <v>55.9</v>
      </c>
      <c r="W280" s="7">
        <v>44.1</v>
      </c>
      <c r="X280" t="str">
        <f>VLOOKUP(E280,'Transform table'!A:B,2,0)</f>
        <v>Detroit City FC</v>
      </c>
      <c r="Y280" t="str">
        <f>VLOOKUP(F280,'Transform table'!A:B,2,0)</f>
        <v>Las Vegas Lights</v>
      </c>
      <c r="Z280" t="str">
        <f t="shared" si="4"/>
        <v>25/07/2026Detroit City FCLas Vegas Lights</v>
      </c>
      <c r="AA280" t="str">
        <f>VLOOKUP($Z280,'oddspedia-matches'!$A:$AD,AA$2,0)</f>
        <v>0 - 1</v>
      </c>
      <c r="AB280" t="str">
        <f>VLOOKUP($Z280,'oddspedia-matches'!$A:$AD,AB$2,0)</f>
        <v>Red</v>
      </c>
      <c r="AC280" t="str">
        <f>VLOOKUP($Z280,'oddspedia-matches'!$A:$AD,AC$2,0)</f>
        <v>Red</v>
      </c>
      <c r="AD280" t="str">
        <f>VLOOKUP($Z280,'oddspedia-matches'!$A:$AD,AD$2,0)</f>
        <v>Green</v>
      </c>
      <c r="AE280" t="str">
        <f>VLOOKUP($Z280,'oddspedia-matches'!$A:$AD,AE$2,0)</f>
        <v>Red</v>
      </c>
      <c r="AF280" t="str">
        <f>VLOOKUP($Z280,'oddspedia-matches'!$A:$AD,AF$2,0)</f>
        <v>Green</v>
      </c>
      <c r="AG280" t="str">
        <f>VLOOKUP($Z280,'oddspedia-matches'!$A:$AD,AG$2,0)</f>
        <v>Green</v>
      </c>
      <c r="AH280" t="str">
        <f>VLOOKUP($Z280,'oddspedia-matches'!$A:$AD,AH$2,0)</f>
        <v>Red</v>
      </c>
      <c r="AI280" t="str">
        <f>VLOOKUP($Z280,'oddspedia-matches'!$A:$AD,AI$2,0)</f>
        <v>Red</v>
      </c>
      <c r="AJ280" t="str">
        <f>VLOOKUP($Z280,'oddspedia-matches'!$A:$AD,AJ$2,0)</f>
        <v>Green</v>
      </c>
      <c r="AK280" t="str">
        <f>VLOOKUP($Z280,'oddspedia-matches'!$A:$AD,AK$2,0)</f>
        <v>Green</v>
      </c>
      <c r="AL280" t="str">
        <f>VLOOKUP($Z280,'oddspedia-matches'!$A:$AD,AL$2,0)</f>
        <v>Red</v>
      </c>
      <c r="AM280" t="str">
        <f>VLOOKUP($Z280,'oddspedia-matches'!$A:$AD,AM$2,0)</f>
        <v>Red</v>
      </c>
      <c r="AN280" t="str">
        <f>VLOOKUP($Z280,'oddspedia-matches'!$A:$AD,AN$2,0)</f>
        <v>Green</v>
      </c>
      <c r="AO280" t="str">
        <f>VLOOKUP($Z280,'oddspedia-matches'!$A:$AD,AO$2,0)</f>
        <v>Green</v>
      </c>
      <c r="AP280" t="str">
        <f>VLOOKUP($Z280,'oddspedia-matches'!$A:$AD,AP$2,0)</f>
        <v>Red</v>
      </c>
      <c r="AQ280" t="str">
        <f>VLOOKUP($Z280,'oddspedia-matches'!$A:$AD,AQ$2,0)</f>
        <v>Green</v>
      </c>
    </row>
    <row r="281" spans="2:43" x14ac:dyDescent="0.2">
      <c r="B281" s="17" t="s">
        <v>467</v>
      </c>
      <c r="C281" s="8" t="s">
        <v>490</v>
      </c>
      <c r="D281" s="18">
        <v>0.83333333333333337</v>
      </c>
      <c r="E281" s="8" t="s">
        <v>762</v>
      </c>
      <c r="F281" s="8" t="s">
        <v>763</v>
      </c>
      <c r="G281" s="19"/>
      <c r="H281" s="8">
        <v>54.9</v>
      </c>
      <c r="I281" s="8">
        <v>25.8</v>
      </c>
      <c r="J281" s="8">
        <v>19.3</v>
      </c>
      <c r="K281" s="8">
        <v>80.7</v>
      </c>
      <c r="L281" s="8">
        <v>45.1</v>
      </c>
      <c r="M281" s="8">
        <v>74.2</v>
      </c>
      <c r="N281" s="8">
        <v>37.5</v>
      </c>
      <c r="O281" s="8">
        <v>48.1</v>
      </c>
      <c r="P281" s="8">
        <v>14.4</v>
      </c>
      <c r="Q281" s="8">
        <v>60.4</v>
      </c>
      <c r="R281" s="8">
        <v>77.400000000000006</v>
      </c>
      <c r="S281" s="8">
        <v>52.2</v>
      </c>
      <c r="T281" s="8">
        <v>47.8</v>
      </c>
      <c r="U281" s="8">
        <v>54.9</v>
      </c>
      <c r="V281" s="8">
        <v>53.1</v>
      </c>
      <c r="W281" s="8">
        <v>46.9</v>
      </c>
      <c r="X281" t="str">
        <f>VLOOKUP(E281,'Transform table'!A:B,2,0)</f>
        <v>Indy Eleven</v>
      </c>
      <c r="Y281" t="str">
        <f>VLOOKUP(F281,'Transform table'!A:B,2,0)</f>
        <v>Loudoun United</v>
      </c>
      <c r="Z281" t="str">
        <f t="shared" si="4"/>
        <v>25/07/2026Indy ElevenLoudoun United</v>
      </c>
      <c r="AA281" t="str">
        <f>VLOOKUP($Z281,'oddspedia-matches'!$A:$AD,AA$2,0)</f>
        <v>0 - 1</v>
      </c>
      <c r="AB281" t="str">
        <f>VLOOKUP($Z281,'oddspedia-matches'!$A:$AD,AB$2,0)</f>
        <v>Red</v>
      </c>
      <c r="AC281" t="str">
        <f>VLOOKUP($Z281,'oddspedia-matches'!$A:$AD,AC$2,0)</f>
        <v>Red</v>
      </c>
      <c r="AD281" t="str">
        <f>VLOOKUP($Z281,'oddspedia-matches'!$A:$AD,AD$2,0)</f>
        <v>Green</v>
      </c>
      <c r="AE281" t="str">
        <f>VLOOKUP($Z281,'oddspedia-matches'!$A:$AD,AE$2,0)</f>
        <v>Red</v>
      </c>
      <c r="AF281" t="str">
        <f>VLOOKUP($Z281,'oddspedia-matches'!$A:$AD,AF$2,0)</f>
        <v>Green</v>
      </c>
      <c r="AG281" t="str">
        <f>VLOOKUP($Z281,'oddspedia-matches'!$A:$AD,AG$2,0)</f>
        <v>Green</v>
      </c>
      <c r="AH281" t="str">
        <f>VLOOKUP($Z281,'oddspedia-matches'!$A:$AD,AH$2,0)</f>
        <v>Red</v>
      </c>
      <c r="AI281" t="str">
        <f>VLOOKUP($Z281,'oddspedia-matches'!$A:$AD,AI$2,0)</f>
        <v>Green</v>
      </c>
      <c r="AJ281" t="str">
        <f>VLOOKUP($Z281,'oddspedia-matches'!$A:$AD,AJ$2,0)</f>
        <v>Red</v>
      </c>
      <c r="AK281" t="str">
        <f>VLOOKUP($Z281,'oddspedia-matches'!$A:$AD,AK$2,0)</f>
        <v>Red</v>
      </c>
      <c r="AL281" t="str">
        <f>VLOOKUP($Z281,'oddspedia-matches'!$A:$AD,AL$2,0)</f>
        <v>Red</v>
      </c>
      <c r="AM281" t="str">
        <f>VLOOKUP($Z281,'oddspedia-matches'!$A:$AD,AM$2,0)</f>
        <v>Red</v>
      </c>
      <c r="AN281" t="str">
        <f>VLOOKUP($Z281,'oddspedia-matches'!$A:$AD,AN$2,0)</f>
        <v>Green</v>
      </c>
      <c r="AO281" t="str">
        <f>VLOOKUP($Z281,'oddspedia-matches'!$A:$AD,AO$2,0)</f>
        <v>Green</v>
      </c>
      <c r="AP281" t="str">
        <f>VLOOKUP($Z281,'oddspedia-matches'!$A:$AD,AP$2,0)</f>
        <v>Red</v>
      </c>
      <c r="AQ281" t="str">
        <f>VLOOKUP($Z281,'oddspedia-matches'!$A:$AD,AQ$2,0)</f>
        <v>Green</v>
      </c>
    </row>
    <row r="282" spans="2:43" x14ac:dyDescent="0.2">
      <c r="B282" s="9" t="s">
        <v>467</v>
      </c>
      <c r="C282" s="7" t="s">
        <v>490</v>
      </c>
      <c r="D282" s="20">
        <v>0.83333333333333337</v>
      </c>
      <c r="E282" s="7" t="s">
        <v>82</v>
      </c>
      <c r="F282" s="7" t="s">
        <v>764</v>
      </c>
      <c r="G282" s="21"/>
      <c r="H282" s="7">
        <v>31.2</v>
      </c>
      <c r="I282" s="7">
        <v>29.8</v>
      </c>
      <c r="J282" s="7">
        <v>39</v>
      </c>
      <c r="K282" s="7">
        <v>61</v>
      </c>
      <c r="L282" s="7">
        <v>68.8</v>
      </c>
      <c r="M282" s="7">
        <v>70.2</v>
      </c>
      <c r="N282" s="7">
        <v>24</v>
      </c>
      <c r="O282" s="7">
        <v>46.4</v>
      </c>
      <c r="P282" s="7">
        <v>29.6</v>
      </c>
      <c r="Q282" s="7">
        <v>65.400000000000006</v>
      </c>
      <c r="R282" s="7">
        <v>73.2</v>
      </c>
      <c r="S282" s="7">
        <v>46.5</v>
      </c>
      <c r="T282" s="7">
        <v>53.5</v>
      </c>
      <c r="U282" s="7">
        <v>59</v>
      </c>
      <c r="V282" s="7">
        <v>52.8</v>
      </c>
      <c r="W282" s="7">
        <v>47.2</v>
      </c>
      <c r="X282" t="str">
        <f>VLOOKUP(E282,'Transform table'!A:B,2,0)</f>
        <v>Miami FC</v>
      </c>
      <c r="Y282" t="str">
        <f>VLOOKUP(F282,'Transform table'!A:B,2,0)</f>
        <v>Tampa Bay Rowdies</v>
      </c>
      <c r="Z282" t="str">
        <f t="shared" si="4"/>
        <v>25/07/2026Miami FCTampa Bay Rowdies</v>
      </c>
      <c r="AA282" t="str">
        <f>VLOOKUP($Z282,'oddspedia-matches'!$A:$AD,AA$2,0)</f>
        <v>2 - 3</v>
      </c>
      <c r="AB282" t="str">
        <f>VLOOKUP($Z282,'oddspedia-matches'!$A:$AD,AB$2,0)</f>
        <v>Red</v>
      </c>
      <c r="AC282" t="str">
        <f>VLOOKUP($Z282,'oddspedia-matches'!$A:$AD,AC$2,0)</f>
        <v>Red</v>
      </c>
      <c r="AD282" t="str">
        <f>VLOOKUP($Z282,'oddspedia-matches'!$A:$AD,AD$2,0)</f>
        <v>Green</v>
      </c>
      <c r="AE282" t="str">
        <f>VLOOKUP($Z282,'oddspedia-matches'!$A:$AD,AE$2,0)</f>
        <v>Red</v>
      </c>
      <c r="AF282" t="str">
        <f>VLOOKUP($Z282,'oddspedia-matches'!$A:$AD,AF$2,0)</f>
        <v>Green</v>
      </c>
      <c r="AG282" t="str">
        <f>VLOOKUP($Z282,'oddspedia-matches'!$A:$AD,AG$2,0)</f>
        <v>Green</v>
      </c>
      <c r="AH282" t="str">
        <f>VLOOKUP($Z282,'oddspedia-matches'!$A:$AD,AH$2,0)</f>
        <v>Red</v>
      </c>
      <c r="AI282" t="str">
        <f>VLOOKUP($Z282,'oddspedia-matches'!$A:$AD,AI$2,0)</f>
        <v>Red</v>
      </c>
      <c r="AJ282" t="str">
        <f>VLOOKUP($Z282,'oddspedia-matches'!$A:$AD,AJ$2,0)</f>
        <v>Green</v>
      </c>
      <c r="AK282" t="str">
        <f>VLOOKUP($Z282,'oddspedia-matches'!$A:$AD,AK$2,0)</f>
        <v>Green</v>
      </c>
      <c r="AL282" t="str">
        <f>VLOOKUP($Z282,'oddspedia-matches'!$A:$AD,AL$2,0)</f>
        <v>Green</v>
      </c>
      <c r="AM282" t="str">
        <f>VLOOKUP($Z282,'oddspedia-matches'!$A:$AD,AM$2,0)</f>
        <v>Green</v>
      </c>
      <c r="AN282" t="str">
        <f>VLOOKUP($Z282,'oddspedia-matches'!$A:$AD,AN$2,0)</f>
        <v>Red</v>
      </c>
      <c r="AO282" t="str">
        <f>VLOOKUP($Z282,'oddspedia-matches'!$A:$AD,AO$2,0)</f>
        <v>Red</v>
      </c>
      <c r="AP282" t="str">
        <f>VLOOKUP($Z282,'oddspedia-matches'!$A:$AD,AP$2,0)</f>
        <v>Green</v>
      </c>
      <c r="AQ282" t="str">
        <f>VLOOKUP($Z282,'oddspedia-matches'!$A:$AD,AQ$2,0)</f>
        <v>Red</v>
      </c>
    </row>
    <row r="283" spans="2:43" x14ac:dyDescent="0.2">
      <c r="B283" s="17" t="s">
        <v>467</v>
      </c>
      <c r="C283" s="8" t="s">
        <v>490</v>
      </c>
      <c r="D283" s="18">
        <v>0.83333333333333337</v>
      </c>
      <c r="E283" s="8" t="s">
        <v>765</v>
      </c>
      <c r="F283" s="8" t="s">
        <v>766</v>
      </c>
      <c r="G283" s="19"/>
      <c r="H283" s="8">
        <v>39.700000000000003</v>
      </c>
      <c r="I283" s="8">
        <v>28.3</v>
      </c>
      <c r="J283" s="8">
        <v>32</v>
      </c>
      <c r="K283" s="8">
        <v>68</v>
      </c>
      <c r="L283" s="8">
        <v>60.3</v>
      </c>
      <c r="M283" s="8">
        <v>71.7</v>
      </c>
      <c r="N283" s="8">
        <v>27.1</v>
      </c>
      <c r="O283" s="8">
        <v>51.3</v>
      </c>
      <c r="P283" s="8">
        <v>21.6</v>
      </c>
      <c r="Q283" s="8">
        <v>57.8</v>
      </c>
      <c r="R283" s="8">
        <v>77.2</v>
      </c>
      <c r="S283" s="8">
        <v>51.7</v>
      </c>
      <c r="T283" s="8">
        <v>48.3</v>
      </c>
      <c r="U283" s="8">
        <v>53.9</v>
      </c>
      <c r="V283" s="8">
        <v>56.9</v>
      </c>
      <c r="W283" s="8">
        <v>43.1</v>
      </c>
      <c r="X283" t="str">
        <f>VLOOKUP(E283,'Transform table'!A:B,2,0)</f>
        <v>Pittsburgh Riverhounds</v>
      </c>
      <c r="Y283" t="str">
        <f>VLOOKUP(F283,'Transform table'!A:B,2,0)</f>
        <v>Rhode Island</v>
      </c>
      <c r="Z283" t="str">
        <f t="shared" si="4"/>
        <v>25/07/2026Pittsburgh RiverhoundsRhode Island</v>
      </c>
      <c r="AA283" t="str">
        <f>VLOOKUP($Z283,'oddspedia-matches'!$A:$AD,AA$2,0)</f>
        <v>0 - 1</v>
      </c>
      <c r="AB283" t="str">
        <f>VLOOKUP($Z283,'oddspedia-matches'!$A:$AD,AB$2,0)</f>
        <v>Red</v>
      </c>
      <c r="AC283" t="str">
        <f>VLOOKUP($Z283,'oddspedia-matches'!$A:$AD,AC$2,0)</f>
        <v>Red</v>
      </c>
      <c r="AD283" t="str">
        <f>VLOOKUP($Z283,'oddspedia-matches'!$A:$AD,AD$2,0)</f>
        <v>Green</v>
      </c>
      <c r="AE283" t="str">
        <f>VLOOKUP($Z283,'oddspedia-matches'!$A:$AD,AE$2,0)</f>
        <v>Red</v>
      </c>
      <c r="AF283" t="str">
        <f>VLOOKUP($Z283,'oddspedia-matches'!$A:$AD,AF$2,0)</f>
        <v>Green</v>
      </c>
      <c r="AG283" t="str">
        <f>VLOOKUP($Z283,'oddspedia-matches'!$A:$AD,AG$2,0)</f>
        <v>Green</v>
      </c>
      <c r="AH283" t="str">
        <f>VLOOKUP($Z283,'oddspedia-matches'!$A:$AD,AH$2,0)</f>
        <v>Red</v>
      </c>
      <c r="AI283" t="str">
        <f>VLOOKUP($Z283,'oddspedia-matches'!$A:$AD,AI$2,0)</f>
        <v>Green</v>
      </c>
      <c r="AJ283" t="str">
        <f>VLOOKUP($Z283,'oddspedia-matches'!$A:$AD,AJ$2,0)</f>
        <v>Red</v>
      </c>
      <c r="AK283" t="str">
        <f>VLOOKUP($Z283,'oddspedia-matches'!$A:$AD,AK$2,0)</f>
        <v>Red</v>
      </c>
      <c r="AL283" t="str">
        <f>VLOOKUP($Z283,'oddspedia-matches'!$A:$AD,AL$2,0)</f>
        <v>Red</v>
      </c>
      <c r="AM283" t="str">
        <f>VLOOKUP($Z283,'oddspedia-matches'!$A:$AD,AM$2,0)</f>
        <v>Red</v>
      </c>
      <c r="AN283" t="str">
        <f>VLOOKUP($Z283,'oddspedia-matches'!$A:$AD,AN$2,0)</f>
        <v>Green</v>
      </c>
      <c r="AO283" t="str">
        <f>VLOOKUP($Z283,'oddspedia-matches'!$A:$AD,AO$2,0)</f>
        <v>Green</v>
      </c>
      <c r="AP283" t="str">
        <f>VLOOKUP($Z283,'oddspedia-matches'!$A:$AD,AP$2,0)</f>
        <v>Red</v>
      </c>
      <c r="AQ283" t="str">
        <f>VLOOKUP($Z283,'oddspedia-matches'!$A:$AD,AQ$2,0)</f>
        <v>Green</v>
      </c>
    </row>
    <row r="284" spans="2:43" x14ac:dyDescent="0.2">
      <c r="B284" s="9" t="s">
        <v>466</v>
      </c>
      <c r="C284" s="7" t="s">
        <v>490</v>
      </c>
      <c r="D284" s="20">
        <v>0.83333333333333337</v>
      </c>
      <c r="E284" s="7" t="s">
        <v>767</v>
      </c>
      <c r="F284" s="7" t="s">
        <v>768</v>
      </c>
      <c r="G284" s="21"/>
      <c r="H284" s="7">
        <v>48.6</v>
      </c>
      <c r="I284" s="7">
        <v>26.5</v>
      </c>
      <c r="J284" s="7">
        <v>24.9</v>
      </c>
      <c r="K284" s="7">
        <v>75.099999999999994</v>
      </c>
      <c r="L284" s="7">
        <v>51.4</v>
      </c>
      <c r="M284" s="7">
        <v>73.5</v>
      </c>
      <c r="N284" s="7">
        <v>39.700000000000003</v>
      </c>
      <c r="O284" s="7">
        <v>41.8</v>
      </c>
      <c r="P284" s="7">
        <v>18.5</v>
      </c>
      <c r="Q284" s="7">
        <v>70.5</v>
      </c>
      <c r="R284" s="7">
        <v>79.8</v>
      </c>
      <c r="S284" s="7">
        <v>55.6</v>
      </c>
      <c r="T284" s="7">
        <v>44.4</v>
      </c>
      <c r="U284" s="7">
        <v>50.6</v>
      </c>
      <c r="V284" s="7">
        <v>58.3</v>
      </c>
      <c r="W284" s="7">
        <v>41.7</v>
      </c>
      <c r="X284" t="str">
        <f>VLOOKUP(E284,'Transform table'!A:B,2,0)</f>
        <v>Chattanooga FC</v>
      </c>
      <c r="Y284" t="str">
        <f>VLOOKUP(F284,'Transform table'!A:B,2,0)</f>
        <v>Philadelphia Union II</v>
      </c>
      <c r="Z284" t="str">
        <f t="shared" si="4"/>
        <v>25/07/2026Chattanooga FCPhiladelphia Union II</v>
      </c>
      <c r="AA284" t="str">
        <f>VLOOKUP($Z284,'oddspedia-matches'!$A:$AD,AA$2,0)</f>
        <v>4 - 0</v>
      </c>
      <c r="AB284" t="str">
        <f>VLOOKUP($Z284,'oddspedia-matches'!$A:$AD,AB$2,0)</f>
        <v>Green</v>
      </c>
      <c r="AC284" t="str">
        <f>VLOOKUP($Z284,'oddspedia-matches'!$A:$AD,AC$2,0)</f>
        <v>Red</v>
      </c>
      <c r="AD284" t="str">
        <f>VLOOKUP($Z284,'oddspedia-matches'!$A:$AD,AD$2,0)</f>
        <v>Red</v>
      </c>
      <c r="AE284" t="str">
        <f>VLOOKUP($Z284,'oddspedia-matches'!$A:$AD,AE$2,0)</f>
        <v>Green</v>
      </c>
      <c r="AF284" t="str">
        <f>VLOOKUP($Z284,'oddspedia-matches'!$A:$AD,AF$2,0)</f>
        <v>Red</v>
      </c>
      <c r="AG284" t="str">
        <f>VLOOKUP($Z284,'oddspedia-matches'!$A:$AD,AG$2,0)</f>
        <v>Green</v>
      </c>
      <c r="AH284" t="str">
        <f>VLOOKUP($Z284,'oddspedia-matches'!$A:$AD,AH$2,0)</f>
        <v>Green</v>
      </c>
      <c r="AI284" t="str">
        <f>VLOOKUP($Z284,'oddspedia-matches'!$A:$AD,AI$2,0)</f>
        <v>Red</v>
      </c>
      <c r="AJ284" t="str">
        <f>VLOOKUP($Z284,'oddspedia-matches'!$A:$AD,AJ$2,0)</f>
        <v>Red</v>
      </c>
      <c r="AK284" t="str">
        <f>VLOOKUP($Z284,'oddspedia-matches'!$A:$AD,AK$2,0)</f>
        <v>Green</v>
      </c>
      <c r="AL284" t="str">
        <f>VLOOKUP($Z284,'oddspedia-matches'!$A:$AD,AL$2,0)</f>
        <v>Green</v>
      </c>
      <c r="AM284" t="str">
        <f>VLOOKUP($Z284,'oddspedia-matches'!$A:$AD,AM$2,0)</f>
        <v>Green</v>
      </c>
      <c r="AN284" t="str">
        <f>VLOOKUP($Z284,'oddspedia-matches'!$A:$AD,AN$2,0)</f>
        <v>Red</v>
      </c>
      <c r="AO284" t="str">
        <f>VLOOKUP($Z284,'oddspedia-matches'!$A:$AD,AO$2,0)</f>
        <v>Red</v>
      </c>
      <c r="AP284" t="str">
        <f>VLOOKUP($Z284,'oddspedia-matches'!$A:$AD,AP$2,0)</f>
        <v>Red</v>
      </c>
      <c r="AQ284" t="str">
        <f>VLOOKUP($Z284,'oddspedia-matches'!$A:$AD,AQ$2,0)</f>
        <v>Green</v>
      </c>
    </row>
    <row r="285" spans="2:43" x14ac:dyDescent="0.2">
      <c r="B285" s="17" t="s">
        <v>466</v>
      </c>
      <c r="C285" s="8" t="s">
        <v>490</v>
      </c>
      <c r="D285" s="18">
        <v>0.83333333333333337</v>
      </c>
      <c r="E285" s="8" t="s">
        <v>769</v>
      </c>
      <c r="F285" s="8" t="s">
        <v>770</v>
      </c>
      <c r="G285" s="19"/>
      <c r="H285" s="8">
        <v>37.6</v>
      </c>
      <c r="I285" s="8">
        <v>26.7</v>
      </c>
      <c r="J285" s="8">
        <v>35.700000000000003</v>
      </c>
      <c r="K285" s="8">
        <v>64.3</v>
      </c>
      <c r="L285" s="8">
        <v>62.4</v>
      </c>
      <c r="M285" s="8">
        <v>73.3</v>
      </c>
      <c r="N285" s="8">
        <v>22.8</v>
      </c>
      <c r="O285" s="8">
        <v>41.9</v>
      </c>
      <c r="P285" s="8">
        <v>35.299999999999997</v>
      </c>
      <c r="Q285" s="8">
        <v>72</v>
      </c>
      <c r="R285" s="8">
        <v>84</v>
      </c>
      <c r="S285" s="8">
        <v>62.1</v>
      </c>
      <c r="T285" s="8">
        <v>37.9</v>
      </c>
      <c r="U285" s="8">
        <v>43.5</v>
      </c>
      <c r="V285" s="8">
        <v>65.099999999999994</v>
      </c>
      <c r="W285" s="8">
        <v>34.9</v>
      </c>
      <c r="X285" t="str">
        <f>VLOOKUP(E285,'Transform table'!A:B,2,0)</f>
        <v>L.A Galaxy II</v>
      </c>
      <c r="Y285" t="str">
        <f>VLOOKUP(F285,'Transform table'!A:B,2,0)</f>
        <v>The Town</v>
      </c>
      <c r="Z285" t="str">
        <f t="shared" si="4"/>
        <v>25/07/2026L.A Galaxy IIThe Town</v>
      </c>
      <c r="AA285" t="str">
        <f>VLOOKUP($Z285,'oddspedia-matches'!$A:$AD,AA$2,0)</f>
        <v>3 - 0</v>
      </c>
      <c r="AB285" t="str">
        <f>VLOOKUP($Z285,'oddspedia-matches'!$A:$AD,AB$2,0)</f>
        <v>Green</v>
      </c>
      <c r="AC285" t="str">
        <f>VLOOKUP($Z285,'oddspedia-matches'!$A:$AD,AC$2,0)</f>
        <v>Red</v>
      </c>
      <c r="AD285" t="str">
        <f>VLOOKUP($Z285,'oddspedia-matches'!$A:$AD,AD$2,0)</f>
        <v>Red</v>
      </c>
      <c r="AE285" t="str">
        <f>VLOOKUP($Z285,'oddspedia-matches'!$A:$AD,AE$2,0)</f>
        <v>Green</v>
      </c>
      <c r="AF285" t="str">
        <f>VLOOKUP($Z285,'oddspedia-matches'!$A:$AD,AF$2,0)</f>
        <v>Red</v>
      </c>
      <c r="AG285" t="str">
        <f>VLOOKUP($Z285,'oddspedia-matches'!$A:$AD,AG$2,0)</f>
        <v>Green</v>
      </c>
      <c r="AH285" t="str">
        <f>VLOOKUP($Z285,'oddspedia-matches'!$A:$AD,AH$2,0)</f>
        <v>Red</v>
      </c>
      <c r="AI285" t="str">
        <f>VLOOKUP($Z285,'oddspedia-matches'!$A:$AD,AI$2,0)</f>
        <v>Green</v>
      </c>
      <c r="AJ285" t="str">
        <f>VLOOKUP($Z285,'oddspedia-matches'!$A:$AD,AJ$2,0)</f>
        <v>Red</v>
      </c>
      <c r="AK285" t="str">
        <f>VLOOKUP($Z285,'oddspedia-matches'!$A:$AD,AK$2,0)</f>
        <v>Red</v>
      </c>
      <c r="AL285" t="str">
        <f>VLOOKUP($Z285,'oddspedia-matches'!$A:$AD,AL$2,0)</f>
        <v>Green</v>
      </c>
      <c r="AM285" t="str">
        <f>VLOOKUP($Z285,'oddspedia-matches'!$A:$AD,AM$2,0)</f>
        <v>Green</v>
      </c>
      <c r="AN285" t="str">
        <f>VLOOKUP($Z285,'oddspedia-matches'!$A:$AD,AN$2,0)</f>
        <v>Red</v>
      </c>
      <c r="AO285" t="str">
        <f>VLOOKUP($Z285,'oddspedia-matches'!$A:$AD,AO$2,0)</f>
        <v>Green</v>
      </c>
      <c r="AP285" t="str">
        <f>VLOOKUP($Z285,'oddspedia-matches'!$A:$AD,AP$2,0)</f>
        <v>Red</v>
      </c>
      <c r="AQ285" t="str">
        <f>VLOOKUP($Z285,'oddspedia-matches'!$A:$AD,AQ$2,0)</f>
        <v>Green</v>
      </c>
    </row>
    <row r="286" spans="2:43" x14ac:dyDescent="0.2">
      <c r="B286" s="9" t="s">
        <v>487</v>
      </c>
      <c r="C286" s="7" t="s">
        <v>490</v>
      </c>
      <c r="D286" s="20">
        <v>0.84027777777777779</v>
      </c>
      <c r="E286" s="7" t="s">
        <v>771</v>
      </c>
      <c r="F286" s="7" t="s">
        <v>772</v>
      </c>
      <c r="G286" s="21"/>
      <c r="H286" s="7">
        <v>44.2</v>
      </c>
      <c r="I286" s="7">
        <v>28.7</v>
      </c>
      <c r="J286" s="7">
        <v>27.2</v>
      </c>
      <c r="K286" s="7">
        <v>72.8</v>
      </c>
      <c r="L286" s="7">
        <v>55.8</v>
      </c>
      <c r="M286" s="7">
        <v>71.3</v>
      </c>
      <c r="N286" s="7">
        <v>32.5</v>
      </c>
      <c r="O286" s="7">
        <v>44.7</v>
      </c>
      <c r="P286" s="7">
        <v>22.8</v>
      </c>
      <c r="Q286" s="7">
        <v>67.400000000000006</v>
      </c>
      <c r="R286" s="7">
        <v>74</v>
      </c>
      <c r="S286" s="7">
        <v>47.5</v>
      </c>
      <c r="T286" s="7">
        <v>52.5</v>
      </c>
      <c r="U286" s="7">
        <v>58.3</v>
      </c>
      <c r="V286" s="7">
        <v>52.8</v>
      </c>
      <c r="W286" s="7">
        <v>47.2</v>
      </c>
      <c r="X286" t="str">
        <f>VLOOKUP(E286,'Transform table'!A:B,2,0)</f>
        <v>Millonarios FC</v>
      </c>
      <c r="Y286" t="str">
        <f>VLOOKUP(F286,'Transform table'!A:B,2,0)</f>
        <v>Atletico Bucaramanga</v>
      </c>
      <c r="Z286" t="str">
        <f t="shared" si="4"/>
        <v>25/07/2026Millonarios FCAtletico Bucaramanga</v>
      </c>
      <c r="AA286" t="str">
        <f>VLOOKUP($Z286,'oddspedia-matches'!$A:$AD,AA$2,0)</f>
        <v>0 - 1</v>
      </c>
      <c r="AB286" t="str">
        <f>VLOOKUP($Z286,'oddspedia-matches'!$A:$AD,AB$2,0)</f>
        <v>Red</v>
      </c>
      <c r="AC286" t="str">
        <f>VLOOKUP($Z286,'oddspedia-matches'!$A:$AD,AC$2,0)</f>
        <v>Red</v>
      </c>
      <c r="AD286" t="str">
        <f>VLOOKUP($Z286,'oddspedia-matches'!$A:$AD,AD$2,0)</f>
        <v>Green</v>
      </c>
      <c r="AE286" t="str">
        <f>VLOOKUP($Z286,'oddspedia-matches'!$A:$AD,AE$2,0)</f>
        <v>Red</v>
      </c>
      <c r="AF286" t="str">
        <f>VLOOKUP($Z286,'oddspedia-matches'!$A:$AD,AF$2,0)</f>
        <v>Green</v>
      </c>
      <c r="AG286" t="str">
        <f>VLOOKUP($Z286,'oddspedia-matches'!$A:$AD,AG$2,0)</f>
        <v>Green</v>
      </c>
      <c r="AH286" t="str">
        <f>VLOOKUP($Z286,'oddspedia-matches'!$A:$AD,AH$2,0)</f>
        <v>Red</v>
      </c>
      <c r="AI286" t="str">
        <f>VLOOKUP($Z286,'oddspedia-matches'!$A:$AD,AI$2,0)</f>
        <v>Green</v>
      </c>
      <c r="AJ286" t="str">
        <f>VLOOKUP($Z286,'oddspedia-matches'!$A:$AD,AJ$2,0)</f>
        <v>Red</v>
      </c>
      <c r="AK286" t="str">
        <f>VLOOKUP($Z286,'oddspedia-matches'!$A:$AD,AK$2,0)</f>
        <v>Red</v>
      </c>
      <c r="AL286" t="str">
        <f>VLOOKUP($Z286,'oddspedia-matches'!$A:$AD,AL$2,0)</f>
        <v>Red</v>
      </c>
      <c r="AM286" t="str">
        <f>VLOOKUP($Z286,'oddspedia-matches'!$A:$AD,AM$2,0)</f>
        <v>Red</v>
      </c>
      <c r="AN286" t="str">
        <f>VLOOKUP($Z286,'oddspedia-matches'!$A:$AD,AN$2,0)</f>
        <v>Green</v>
      </c>
      <c r="AO286" t="str">
        <f>VLOOKUP($Z286,'oddspedia-matches'!$A:$AD,AO$2,0)</f>
        <v>Green</v>
      </c>
      <c r="AP286" t="str">
        <f>VLOOKUP($Z286,'oddspedia-matches'!$A:$AD,AP$2,0)</f>
        <v>Red</v>
      </c>
      <c r="AQ286" t="str">
        <f>VLOOKUP($Z286,'oddspedia-matches'!$A:$AD,AQ$2,0)</f>
        <v>Green</v>
      </c>
    </row>
    <row r="287" spans="2:43" x14ac:dyDescent="0.2">
      <c r="B287" s="17" t="s">
        <v>489</v>
      </c>
      <c r="C287" s="8" t="s">
        <v>490</v>
      </c>
      <c r="D287" s="18">
        <v>0.84375</v>
      </c>
      <c r="E287" s="8" t="s">
        <v>773</v>
      </c>
      <c r="F287" s="8" t="s">
        <v>774</v>
      </c>
      <c r="G287" s="19"/>
      <c r="H287" s="8">
        <v>42.5</v>
      </c>
      <c r="I287" s="8">
        <v>27.7</v>
      </c>
      <c r="J287" s="8">
        <v>29.9</v>
      </c>
      <c r="K287" s="8">
        <v>70.099999999999994</v>
      </c>
      <c r="L287" s="8">
        <v>57.5</v>
      </c>
      <c r="M287" s="8">
        <v>72.3</v>
      </c>
      <c r="N287" s="8">
        <v>42.5</v>
      </c>
      <c r="O287" s="8">
        <v>41.6</v>
      </c>
      <c r="P287" s="8">
        <v>15.9</v>
      </c>
      <c r="Q287" s="8">
        <v>69.599999999999994</v>
      </c>
      <c r="R287" s="8">
        <v>78.7</v>
      </c>
      <c r="S287" s="8">
        <v>53.9</v>
      </c>
      <c r="T287" s="8">
        <v>46.1</v>
      </c>
      <c r="U287" s="8">
        <v>51.8</v>
      </c>
      <c r="V287" s="8">
        <v>58.3</v>
      </c>
      <c r="W287" s="8">
        <v>41.7</v>
      </c>
      <c r="X287" t="str">
        <f>VLOOKUP(E287,'Transform table'!A:B,2,0)</f>
        <v>Alianza</v>
      </c>
      <c r="Y287" t="str">
        <f>VLOOKUP(F287,'Transform table'!A:B,2,0)</f>
        <v>UMECIT</v>
      </c>
      <c r="Z287" t="str">
        <f t="shared" si="4"/>
        <v>25/07/2026AlianzaUMECIT</v>
      </c>
      <c r="AA287" t="str">
        <f>VLOOKUP($Z287,'oddspedia-matches'!$A:$AD,AA$2,0)</f>
        <v>0 - 0</v>
      </c>
      <c r="AB287" t="str">
        <f>VLOOKUP($Z287,'oddspedia-matches'!$A:$AD,AB$2,0)</f>
        <v>Red</v>
      </c>
      <c r="AC287" t="str">
        <f>VLOOKUP($Z287,'oddspedia-matches'!$A:$AD,AC$2,0)</f>
        <v>Green</v>
      </c>
      <c r="AD287" t="str">
        <f>VLOOKUP($Z287,'oddspedia-matches'!$A:$AD,AD$2,0)</f>
        <v>Red</v>
      </c>
      <c r="AE287" t="str">
        <f>VLOOKUP($Z287,'oddspedia-matches'!$A:$AD,AE$2,0)</f>
        <v>Green</v>
      </c>
      <c r="AF287" t="str">
        <f>VLOOKUP($Z287,'oddspedia-matches'!$A:$AD,AF$2,0)</f>
        <v>Green</v>
      </c>
      <c r="AG287" t="str">
        <f>VLOOKUP($Z287,'oddspedia-matches'!$A:$AD,AG$2,0)</f>
        <v>Red</v>
      </c>
      <c r="AH287" t="str">
        <f>VLOOKUP($Z287,'oddspedia-matches'!$A:$AD,AH$2,0)</f>
        <v>Red</v>
      </c>
      <c r="AI287" t="str">
        <f>VLOOKUP($Z287,'oddspedia-matches'!$A:$AD,AI$2,0)</f>
        <v>Green</v>
      </c>
      <c r="AJ287" t="str">
        <f>VLOOKUP($Z287,'oddspedia-matches'!$A:$AD,AJ$2,0)</f>
        <v>Red</v>
      </c>
      <c r="AK287" t="str">
        <f>VLOOKUP($Z287,'oddspedia-matches'!$A:$AD,AK$2,0)</f>
        <v>Red</v>
      </c>
      <c r="AL287" t="str">
        <f>VLOOKUP($Z287,'oddspedia-matches'!$A:$AD,AL$2,0)</f>
        <v>Red</v>
      </c>
      <c r="AM287" t="str">
        <f>VLOOKUP($Z287,'oddspedia-matches'!$A:$AD,AM$2,0)</f>
        <v>Red</v>
      </c>
      <c r="AN287" t="str">
        <f>VLOOKUP($Z287,'oddspedia-matches'!$A:$AD,AN$2,0)</f>
        <v>Green</v>
      </c>
      <c r="AO287" t="str">
        <f>VLOOKUP($Z287,'oddspedia-matches'!$A:$AD,AO$2,0)</f>
        <v>Green</v>
      </c>
      <c r="AP287" t="str">
        <f>VLOOKUP($Z287,'oddspedia-matches'!$A:$AD,AP$2,0)</f>
        <v>Red</v>
      </c>
      <c r="AQ287" t="str">
        <f>VLOOKUP($Z287,'oddspedia-matches'!$A:$AD,AQ$2,0)</f>
        <v>Green</v>
      </c>
    </row>
    <row r="288" spans="2:43" x14ac:dyDescent="0.2">
      <c r="B288" s="9" t="s">
        <v>457</v>
      </c>
      <c r="C288" s="7" t="s">
        <v>490</v>
      </c>
      <c r="D288" s="20">
        <v>0.85416666666666663</v>
      </c>
      <c r="E288" s="7" t="s">
        <v>236</v>
      </c>
      <c r="F288" s="7" t="s">
        <v>775</v>
      </c>
      <c r="G288" s="21"/>
      <c r="H288" s="7">
        <v>44.1</v>
      </c>
      <c r="I288" s="7">
        <v>27.1</v>
      </c>
      <c r="J288" s="7">
        <v>28.8</v>
      </c>
      <c r="K288" s="7">
        <v>71.2</v>
      </c>
      <c r="L288" s="7">
        <v>55.9</v>
      </c>
      <c r="M288" s="7">
        <v>72.900000000000006</v>
      </c>
      <c r="N288" s="7">
        <v>32</v>
      </c>
      <c r="O288" s="7">
        <v>43.2</v>
      </c>
      <c r="P288" s="7">
        <v>24.8</v>
      </c>
      <c r="Q288" s="7">
        <v>69.900000000000006</v>
      </c>
      <c r="R288" s="7">
        <v>80.099999999999994</v>
      </c>
      <c r="S288" s="7">
        <v>56</v>
      </c>
      <c r="T288" s="7">
        <v>44</v>
      </c>
      <c r="U288" s="7">
        <v>49.9</v>
      </c>
      <c r="V288" s="7">
        <v>59.6</v>
      </c>
      <c r="W288" s="7">
        <v>40.4</v>
      </c>
      <c r="X288" t="str">
        <f>VLOOKUP(E288,'Transform table'!A:B,2,0)</f>
        <v>Independiente Petrolero</v>
      </c>
      <c r="Y288" t="str">
        <f>VLOOKUP(F288,'Transform table'!A:B,2,0)</f>
        <v>Oriente Petrolero</v>
      </c>
      <c r="Z288" t="str">
        <f t="shared" si="4"/>
        <v>25/07/2026Independiente PetroleroOriente Petrolero</v>
      </c>
      <c r="AA288" t="str">
        <f>VLOOKUP($Z288,'oddspedia-matches'!$A:$AD,AA$2,0)</f>
        <v>1 - 2</v>
      </c>
      <c r="AB288" t="str">
        <f>VLOOKUP($Z288,'oddspedia-matches'!$A:$AD,AB$2,0)</f>
        <v>Red</v>
      </c>
      <c r="AC288" t="str">
        <f>VLOOKUP($Z288,'oddspedia-matches'!$A:$AD,AC$2,0)</f>
        <v>Red</v>
      </c>
      <c r="AD288" t="str">
        <f>VLOOKUP($Z288,'oddspedia-matches'!$A:$AD,AD$2,0)</f>
        <v>Green</v>
      </c>
      <c r="AE288" t="str">
        <f>VLOOKUP($Z288,'oddspedia-matches'!$A:$AD,AE$2,0)</f>
        <v>Red</v>
      </c>
      <c r="AF288" t="str">
        <f>VLOOKUP($Z288,'oddspedia-matches'!$A:$AD,AF$2,0)</f>
        <v>Green</v>
      </c>
      <c r="AG288" t="str">
        <f>VLOOKUP($Z288,'oddspedia-matches'!$A:$AD,AG$2,0)</f>
        <v>Green</v>
      </c>
      <c r="AH288" t="str">
        <f>VLOOKUP($Z288,'oddspedia-matches'!$A:$AD,AH$2,0)</f>
        <v>Red</v>
      </c>
      <c r="AI288" t="str">
        <f>VLOOKUP($Z288,'oddspedia-matches'!$A:$AD,AI$2,0)</f>
        <v>Red</v>
      </c>
      <c r="AJ288" t="str">
        <f>VLOOKUP($Z288,'oddspedia-matches'!$A:$AD,AJ$2,0)</f>
        <v>Green</v>
      </c>
      <c r="AK288" t="str">
        <f>VLOOKUP($Z288,'oddspedia-matches'!$A:$AD,AK$2,0)</f>
        <v>Green</v>
      </c>
      <c r="AL288" t="str">
        <f>VLOOKUP($Z288,'oddspedia-matches'!$A:$AD,AL$2,0)</f>
        <v>Green</v>
      </c>
      <c r="AM288" t="str">
        <f>VLOOKUP($Z288,'oddspedia-matches'!$A:$AD,AM$2,0)</f>
        <v>Green</v>
      </c>
      <c r="AN288" t="str">
        <f>VLOOKUP($Z288,'oddspedia-matches'!$A:$AD,AN$2,0)</f>
        <v>Red</v>
      </c>
      <c r="AO288" t="str">
        <f>VLOOKUP($Z288,'oddspedia-matches'!$A:$AD,AO$2,0)</f>
        <v>Green</v>
      </c>
      <c r="AP288" t="str">
        <f>VLOOKUP($Z288,'oddspedia-matches'!$A:$AD,AP$2,0)</f>
        <v>Green</v>
      </c>
      <c r="AQ288" t="str">
        <f>VLOOKUP($Z288,'oddspedia-matches'!$A:$AD,AQ$2,0)</f>
        <v>Red</v>
      </c>
    </row>
    <row r="289" spans="2:43" x14ac:dyDescent="0.2">
      <c r="B289" s="17" t="s">
        <v>454</v>
      </c>
      <c r="C289" s="8" t="s">
        <v>490</v>
      </c>
      <c r="D289" s="18">
        <v>0.85416666666666663</v>
      </c>
      <c r="E289" s="8" t="s">
        <v>776</v>
      </c>
      <c r="F289" s="8" t="s">
        <v>777</v>
      </c>
      <c r="G289" s="19"/>
      <c r="H289" s="8">
        <v>42.3</v>
      </c>
      <c r="I289" s="8">
        <v>28.7</v>
      </c>
      <c r="J289" s="8">
        <v>29</v>
      </c>
      <c r="K289" s="8">
        <v>71</v>
      </c>
      <c r="L289" s="8">
        <v>57.7</v>
      </c>
      <c r="M289" s="8">
        <v>71.3</v>
      </c>
      <c r="N289" s="8">
        <v>21.9</v>
      </c>
      <c r="O289" s="8">
        <v>46.4</v>
      </c>
      <c r="P289" s="8">
        <v>31.7</v>
      </c>
      <c r="Q289" s="8">
        <v>65.099999999999994</v>
      </c>
      <c r="R289" s="8">
        <v>74.8</v>
      </c>
      <c r="S289" s="8">
        <v>48.5</v>
      </c>
      <c r="T289" s="8">
        <v>51.5</v>
      </c>
      <c r="U289" s="8">
        <v>57.1</v>
      </c>
      <c r="V289" s="8">
        <v>54</v>
      </c>
      <c r="W289" s="8">
        <v>46</v>
      </c>
      <c r="X289" t="str">
        <f>VLOOKUP(E289,'Transform table'!A:B,2,0)</f>
        <v>Vasco Da Gama RJ</v>
      </c>
      <c r="Y289" t="str">
        <f>VLOOKUP(F289,'Transform table'!A:B,2,0)</f>
        <v>Mirassol SP</v>
      </c>
      <c r="Z289" t="str">
        <f t="shared" si="4"/>
        <v>25/07/2026Vasco Da Gama RJMirassol SP</v>
      </c>
      <c r="AA289" t="str">
        <f>VLOOKUP($Z289,'oddspedia-matches'!$A:$AD,AA$2,0)</f>
        <v>1 - 1</v>
      </c>
      <c r="AB289" t="str">
        <f>VLOOKUP($Z289,'oddspedia-matches'!$A:$AD,AB$2,0)</f>
        <v>Red</v>
      </c>
      <c r="AC289" t="str">
        <f>VLOOKUP($Z289,'oddspedia-matches'!$A:$AD,AC$2,0)</f>
        <v>Green</v>
      </c>
      <c r="AD289" t="str">
        <f>VLOOKUP($Z289,'oddspedia-matches'!$A:$AD,AD$2,0)</f>
        <v>Red</v>
      </c>
      <c r="AE289" t="str">
        <f>VLOOKUP($Z289,'oddspedia-matches'!$A:$AD,AE$2,0)</f>
        <v>Green</v>
      </c>
      <c r="AF289" t="str">
        <f>VLOOKUP($Z289,'oddspedia-matches'!$A:$AD,AF$2,0)</f>
        <v>Green</v>
      </c>
      <c r="AG289" t="str">
        <f>VLOOKUP($Z289,'oddspedia-matches'!$A:$AD,AG$2,0)</f>
        <v>Red</v>
      </c>
      <c r="AH289" t="str">
        <f>VLOOKUP($Z289,'oddspedia-matches'!$A:$AD,AH$2,0)</f>
        <v>Red</v>
      </c>
      <c r="AI289" t="str">
        <f>VLOOKUP($Z289,'oddspedia-matches'!$A:$AD,AI$2,0)</f>
        <v>Red</v>
      </c>
      <c r="AJ289" t="str">
        <f>VLOOKUP($Z289,'oddspedia-matches'!$A:$AD,AJ$2,0)</f>
        <v>Green</v>
      </c>
      <c r="AK289" t="str">
        <f>VLOOKUP($Z289,'oddspedia-matches'!$A:$AD,AK$2,0)</f>
        <v>Green</v>
      </c>
      <c r="AL289" t="str">
        <f>VLOOKUP($Z289,'oddspedia-matches'!$A:$AD,AL$2,0)</f>
        <v>Green</v>
      </c>
      <c r="AM289" t="str">
        <f>VLOOKUP($Z289,'oddspedia-matches'!$A:$AD,AM$2,0)</f>
        <v>Red</v>
      </c>
      <c r="AN289" t="str">
        <f>VLOOKUP($Z289,'oddspedia-matches'!$A:$AD,AN$2,0)</f>
        <v>Green</v>
      </c>
      <c r="AO289" t="str">
        <f>VLOOKUP($Z289,'oddspedia-matches'!$A:$AD,AO$2,0)</f>
        <v>Green</v>
      </c>
      <c r="AP289" t="str">
        <f>VLOOKUP($Z289,'oddspedia-matches'!$A:$AD,AP$2,0)</f>
        <v>Green</v>
      </c>
      <c r="AQ289" t="str">
        <f>VLOOKUP($Z289,'oddspedia-matches'!$A:$AD,AQ$2,0)</f>
        <v>Red</v>
      </c>
    </row>
    <row r="290" spans="2:43" x14ac:dyDescent="0.2">
      <c r="B290" s="9" t="s">
        <v>468</v>
      </c>
      <c r="C290" s="7" t="s">
        <v>490</v>
      </c>
      <c r="D290" s="20">
        <v>0.85416666666666663</v>
      </c>
      <c r="E290" s="7" t="s">
        <v>78</v>
      </c>
      <c r="F290" s="7" t="s">
        <v>55</v>
      </c>
      <c r="G290" s="21"/>
      <c r="H290" s="7">
        <v>37.1</v>
      </c>
      <c r="I290" s="7">
        <v>25.4</v>
      </c>
      <c r="J290" s="7">
        <v>37.5</v>
      </c>
      <c r="K290" s="7">
        <v>62.5</v>
      </c>
      <c r="L290" s="7">
        <v>62.9</v>
      </c>
      <c r="M290" s="7">
        <v>74.599999999999994</v>
      </c>
      <c r="N290" s="7">
        <v>36.4</v>
      </c>
      <c r="O290" s="7">
        <v>34.299999999999997</v>
      </c>
      <c r="P290" s="7">
        <v>29.3</v>
      </c>
      <c r="Q290" s="7">
        <v>84</v>
      </c>
      <c r="R290" s="7">
        <v>91.2</v>
      </c>
      <c r="S290" s="7">
        <v>75.400000000000006</v>
      </c>
      <c r="T290" s="7">
        <v>24.6</v>
      </c>
      <c r="U290" s="7">
        <v>29.5</v>
      </c>
      <c r="V290" s="7">
        <v>75.3</v>
      </c>
      <c r="W290" s="7">
        <v>24.7</v>
      </c>
      <c r="X290" t="str">
        <f>VLOOKUP(E290,'Transform table'!A:B,2,0)</f>
        <v>Montreal Impact</v>
      </c>
      <c r="Y290" t="str">
        <f>VLOOKUP(F290,'Transform table'!A:B,2,0)</f>
        <v>Inter Miami CF</v>
      </c>
      <c r="Z290" t="str">
        <f t="shared" si="4"/>
        <v>25/07/2026Montreal ImpactInter Miami CF</v>
      </c>
      <c r="AA290" t="str">
        <f>VLOOKUP($Z290,'oddspedia-matches'!$A:$AD,AA$2,0)</f>
        <v>0 - 1</v>
      </c>
      <c r="AB290" t="str">
        <f>VLOOKUP($Z290,'oddspedia-matches'!$A:$AD,AB$2,0)</f>
        <v>Red</v>
      </c>
      <c r="AC290" t="str">
        <f>VLOOKUP($Z290,'oddspedia-matches'!$A:$AD,AC$2,0)</f>
        <v>Red</v>
      </c>
      <c r="AD290" t="str">
        <f>VLOOKUP($Z290,'oddspedia-matches'!$A:$AD,AD$2,0)</f>
        <v>Green</v>
      </c>
      <c r="AE290" t="str">
        <f>VLOOKUP($Z290,'oddspedia-matches'!$A:$AD,AE$2,0)</f>
        <v>Red</v>
      </c>
      <c r="AF290" t="str">
        <f>VLOOKUP($Z290,'oddspedia-matches'!$A:$AD,AF$2,0)</f>
        <v>Green</v>
      </c>
      <c r="AG290" t="str">
        <f>VLOOKUP($Z290,'oddspedia-matches'!$A:$AD,AG$2,0)</f>
        <v>Green</v>
      </c>
      <c r="AH290" t="str">
        <f>VLOOKUP($Z290,'oddspedia-matches'!$A:$AD,AH$2,0)</f>
        <v>Red</v>
      </c>
      <c r="AI290" t="str">
        <f>VLOOKUP($Z290,'oddspedia-matches'!$A:$AD,AI$2,0)</f>
        <v>Green</v>
      </c>
      <c r="AJ290" t="str">
        <f>VLOOKUP($Z290,'oddspedia-matches'!$A:$AD,AJ$2,0)</f>
        <v>Red</v>
      </c>
      <c r="AK290" t="str">
        <f>VLOOKUP($Z290,'oddspedia-matches'!$A:$AD,AK$2,0)</f>
        <v>Red</v>
      </c>
      <c r="AL290" t="str">
        <f>VLOOKUP($Z290,'oddspedia-matches'!$A:$AD,AL$2,0)</f>
        <v>Red</v>
      </c>
      <c r="AM290" t="str">
        <f>VLOOKUP($Z290,'oddspedia-matches'!$A:$AD,AM$2,0)</f>
        <v>Red</v>
      </c>
      <c r="AN290" t="str">
        <f>VLOOKUP($Z290,'oddspedia-matches'!$A:$AD,AN$2,0)</f>
        <v>Green</v>
      </c>
      <c r="AO290" t="str">
        <f>VLOOKUP($Z290,'oddspedia-matches'!$A:$AD,AO$2,0)</f>
        <v>Green</v>
      </c>
      <c r="AP290" t="str">
        <f>VLOOKUP($Z290,'oddspedia-matches'!$A:$AD,AP$2,0)</f>
        <v>Red</v>
      </c>
      <c r="AQ290" t="str">
        <f>VLOOKUP($Z290,'oddspedia-matches'!$A:$AD,AQ$2,0)</f>
        <v>Green</v>
      </c>
    </row>
    <row r="291" spans="2:43" x14ac:dyDescent="0.2">
      <c r="B291" s="17" t="s">
        <v>468</v>
      </c>
      <c r="C291" s="8" t="s">
        <v>490</v>
      </c>
      <c r="D291" s="18">
        <v>0.85416666666666663</v>
      </c>
      <c r="E291" s="8" t="s">
        <v>76</v>
      </c>
      <c r="F291" s="8" t="s">
        <v>58</v>
      </c>
      <c r="G291" s="19"/>
      <c r="H291" s="8">
        <v>48</v>
      </c>
      <c r="I291" s="8">
        <v>25.6</v>
      </c>
      <c r="J291" s="8">
        <v>26.4</v>
      </c>
      <c r="K291" s="8">
        <v>73.599999999999994</v>
      </c>
      <c r="L291" s="8">
        <v>52</v>
      </c>
      <c r="M291" s="8">
        <v>74.400000000000006</v>
      </c>
      <c r="N291" s="8">
        <v>42.9</v>
      </c>
      <c r="O291" s="8">
        <v>40.5</v>
      </c>
      <c r="P291" s="8">
        <v>16.600000000000001</v>
      </c>
      <c r="Q291" s="8">
        <v>71.5</v>
      </c>
      <c r="R291" s="8">
        <v>84.7</v>
      </c>
      <c r="S291" s="8">
        <v>63.4</v>
      </c>
      <c r="T291" s="8">
        <v>36.6</v>
      </c>
      <c r="U291" s="8">
        <v>42.7</v>
      </c>
      <c r="V291" s="8">
        <v>64.599999999999994</v>
      </c>
      <c r="W291" s="8">
        <v>35.4</v>
      </c>
      <c r="X291" t="str">
        <f>VLOOKUP(E291,'Transform table'!A:B,2,0)</f>
        <v>DC United</v>
      </c>
      <c r="Y291" t="str">
        <f>VLOOKUP(F291,'Transform table'!A:B,2,0)</f>
        <v>Toronto FC</v>
      </c>
      <c r="Z291" t="str">
        <f t="shared" si="4"/>
        <v>25/07/2026DC UnitedToronto FC</v>
      </c>
      <c r="AA291" t="str">
        <f>VLOOKUP($Z291,'oddspedia-matches'!$A:$AD,AA$2,0)</f>
        <v>2 - 1</v>
      </c>
      <c r="AB291" t="str">
        <f>VLOOKUP($Z291,'oddspedia-matches'!$A:$AD,AB$2,0)</f>
        <v>Green</v>
      </c>
      <c r="AC291" t="str">
        <f>VLOOKUP($Z291,'oddspedia-matches'!$A:$AD,AC$2,0)</f>
        <v>Red</v>
      </c>
      <c r="AD291" t="str">
        <f>VLOOKUP($Z291,'oddspedia-matches'!$A:$AD,AD$2,0)</f>
        <v>Red</v>
      </c>
      <c r="AE291" t="str">
        <f>VLOOKUP($Z291,'oddspedia-matches'!$A:$AD,AE$2,0)</f>
        <v>Green</v>
      </c>
      <c r="AF291" t="str">
        <f>VLOOKUP($Z291,'oddspedia-matches'!$A:$AD,AF$2,0)</f>
        <v>Red</v>
      </c>
      <c r="AG291" t="str">
        <f>VLOOKUP($Z291,'oddspedia-matches'!$A:$AD,AG$2,0)</f>
        <v>Green</v>
      </c>
      <c r="AH291" t="str">
        <f>VLOOKUP($Z291,'oddspedia-matches'!$A:$AD,AH$2,0)</f>
        <v>Green</v>
      </c>
      <c r="AI291" t="str">
        <f>VLOOKUP($Z291,'oddspedia-matches'!$A:$AD,AI$2,0)</f>
        <v>Red</v>
      </c>
      <c r="AJ291" t="str">
        <f>VLOOKUP($Z291,'oddspedia-matches'!$A:$AD,AJ$2,0)</f>
        <v>Red</v>
      </c>
      <c r="AK291" t="str">
        <f>VLOOKUP($Z291,'oddspedia-matches'!$A:$AD,AK$2,0)</f>
        <v>Green</v>
      </c>
      <c r="AL291" t="str">
        <f>VLOOKUP($Z291,'oddspedia-matches'!$A:$AD,AL$2,0)</f>
        <v>Green</v>
      </c>
      <c r="AM291" t="str">
        <f>VLOOKUP($Z291,'oddspedia-matches'!$A:$AD,AM$2,0)</f>
        <v>Green</v>
      </c>
      <c r="AN291" t="str">
        <f>VLOOKUP($Z291,'oddspedia-matches'!$A:$AD,AN$2,0)</f>
        <v>Red</v>
      </c>
      <c r="AO291" t="str">
        <f>VLOOKUP($Z291,'oddspedia-matches'!$A:$AD,AO$2,0)</f>
        <v>Green</v>
      </c>
      <c r="AP291" t="str">
        <f>VLOOKUP($Z291,'oddspedia-matches'!$A:$AD,AP$2,0)</f>
        <v>Green</v>
      </c>
      <c r="AQ291" t="str">
        <f>VLOOKUP($Z291,'oddspedia-matches'!$A:$AD,AQ$2,0)</f>
        <v>Red</v>
      </c>
    </row>
    <row r="292" spans="2:43" x14ac:dyDescent="0.2">
      <c r="B292" s="9" t="s">
        <v>468</v>
      </c>
      <c r="C292" s="7" t="s">
        <v>490</v>
      </c>
      <c r="D292" s="20">
        <v>0.85416666666666663</v>
      </c>
      <c r="E292" s="7" t="s">
        <v>57</v>
      </c>
      <c r="F292" s="7" t="s">
        <v>64</v>
      </c>
      <c r="G292" s="21"/>
      <c r="H292" s="7">
        <v>53.8</v>
      </c>
      <c r="I292" s="7">
        <v>26.4</v>
      </c>
      <c r="J292" s="7">
        <v>19.8</v>
      </c>
      <c r="K292" s="7">
        <v>80.2</v>
      </c>
      <c r="L292" s="7">
        <v>46.2</v>
      </c>
      <c r="M292" s="7">
        <v>73.599999999999994</v>
      </c>
      <c r="N292" s="7">
        <v>28.7</v>
      </c>
      <c r="O292" s="7">
        <v>45.7</v>
      </c>
      <c r="P292" s="7">
        <v>25.5</v>
      </c>
      <c r="Q292" s="7">
        <v>66.3</v>
      </c>
      <c r="R292" s="7">
        <v>75.7</v>
      </c>
      <c r="S292" s="7">
        <v>49.9</v>
      </c>
      <c r="T292" s="7">
        <v>50.1</v>
      </c>
      <c r="U292" s="7">
        <v>57</v>
      </c>
      <c r="V292" s="7">
        <v>51.7</v>
      </c>
      <c r="W292" s="7">
        <v>48.3</v>
      </c>
      <c r="X292" t="str">
        <f>VLOOKUP(E292,'Transform table'!A:B,2,0)</f>
        <v>New England Revolution</v>
      </c>
      <c r="Y292" t="str">
        <f>VLOOKUP(F292,'Transform table'!A:B,2,0)</f>
        <v>Atlanta United</v>
      </c>
      <c r="Z292" t="str">
        <f t="shared" si="4"/>
        <v>25/07/2026New England RevolutionAtlanta United</v>
      </c>
      <c r="AA292" t="str">
        <f>VLOOKUP($Z292,'oddspedia-matches'!$A:$AD,AA$2,0)</f>
        <v>4 - 1</v>
      </c>
      <c r="AB292" t="str">
        <f>VLOOKUP($Z292,'oddspedia-matches'!$A:$AD,AB$2,0)</f>
        <v>Green</v>
      </c>
      <c r="AC292" t="str">
        <f>VLOOKUP($Z292,'oddspedia-matches'!$A:$AD,AC$2,0)</f>
        <v>Red</v>
      </c>
      <c r="AD292" t="str">
        <f>VLOOKUP($Z292,'oddspedia-matches'!$A:$AD,AD$2,0)</f>
        <v>Red</v>
      </c>
      <c r="AE292" t="str">
        <f>VLOOKUP($Z292,'oddspedia-matches'!$A:$AD,AE$2,0)</f>
        <v>Green</v>
      </c>
      <c r="AF292" t="str">
        <f>VLOOKUP($Z292,'oddspedia-matches'!$A:$AD,AF$2,0)</f>
        <v>Red</v>
      </c>
      <c r="AG292" t="str">
        <f>VLOOKUP($Z292,'oddspedia-matches'!$A:$AD,AG$2,0)</f>
        <v>Green</v>
      </c>
      <c r="AH292" t="str">
        <f>VLOOKUP($Z292,'oddspedia-matches'!$A:$AD,AH$2,0)</f>
        <v>Green</v>
      </c>
      <c r="AI292" t="str">
        <f>VLOOKUP($Z292,'oddspedia-matches'!$A:$AD,AI$2,0)</f>
        <v>Red</v>
      </c>
      <c r="AJ292" t="str">
        <f>VLOOKUP($Z292,'oddspedia-matches'!$A:$AD,AJ$2,0)</f>
        <v>Red</v>
      </c>
      <c r="AK292" t="str">
        <f>VLOOKUP($Z292,'oddspedia-matches'!$A:$AD,AK$2,0)</f>
        <v>Green</v>
      </c>
      <c r="AL292" t="str">
        <f>VLOOKUP($Z292,'oddspedia-matches'!$A:$AD,AL$2,0)</f>
        <v>Green</v>
      </c>
      <c r="AM292" t="str">
        <f>VLOOKUP($Z292,'oddspedia-matches'!$A:$AD,AM$2,0)</f>
        <v>Green</v>
      </c>
      <c r="AN292" t="str">
        <f>VLOOKUP($Z292,'oddspedia-matches'!$A:$AD,AN$2,0)</f>
        <v>Red</v>
      </c>
      <c r="AO292" t="str">
        <f>VLOOKUP($Z292,'oddspedia-matches'!$A:$AD,AO$2,0)</f>
        <v>Red</v>
      </c>
      <c r="AP292" t="str">
        <f>VLOOKUP($Z292,'oddspedia-matches'!$A:$AD,AP$2,0)</f>
        <v>Green</v>
      </c>
      <c r="AQ292" t="str">
        <f>VLOOKUP($Z292,'oddspedia-matches'!$A:$AD,AQ$2,0)</f>
        <v>Red</v>
      </c>
    </row>
    <row r="293" spans="2:43" x14ac:dyDescent="0.2">
      <c r="B293" s="17" t="s">
        <v>468</v>
      </c>
      <c r="C293" s="8" t="s">
        <v>490</v>
      </c>
      <c r="D293" s="18">
        <v>0.85416666666666663</v>
      </c>
      <c r="E293" s="8" t="s">
        <v>52</v>
      </c>
      <c r="F293" s="8" t="s">
        <v>56</v>
      </c>
      <c r="G293" s="19"/>
      <c r="H293" s="8">
        <v>37.700000000000003</v>
      </c>
      <c r="I293" s="8">
        <v>27.4</v>
      </c>
      <c r="J293" s="8">
        <v>35</v>
      </c>
      <c r="K293" s="8">
        <v>65</v>
      </c>
      <c r="L293" s="8">
        <v>62.3</v>
      </c>
      <c r="M293" s="8">
        <v>72.599999999999994</v>
      </c>
      <c r="N293" s="8">
        <v>33.200000000000003</v>
      </c>
      <c r="O293" s="8">
        <v>41.1</v>
      </c>
      <c r="P293" s="8">
        <v>25.7</v>
      </c>
      <c r="Q293" s="8">
        <v>73.2</v>
      </c>
      <c r="R293" s="8">
        <v>81.2</v>
      </c>
      <c r="S293" s="8">
        <v>57.6</v>
      </c>
      <c r="T293" s="8">
        <v>42.4</v>
      </c>
      <c r="U293" s="8">
        <v>48</v>
      </c>
      <c r="V293" s="8">
        <v>61.6</v>
      </c>
      <c r="W293" s="8">
        <v>38.4</v>
      </c>
      <c r="X293" t="str">
        <f>VLOOKUP(E293,'Transform table'!A:B,2,0)</f>
        <v>New York City</v>
      </c>
      <c r="Y293" t="str">
        <f>VLOOKUP(F293,'Transform table'!A:B,2,0)</f>
        <v>Chicago Fire</v>
      </c>
      <c r="Z293" t="str">
        <f t="shared" si="4"/>
        <v>25/07/2026New York CityChicago Fire</v>
      </c>
      <c r="AA293" t="str">
        <f>VLOOKUP($Z293,'oddspedia-matches'!$A:$AD,AA$2,0)</f>
        <v>3 - 1</v>
      </c>
      <c r="AB293" t="str">
        <f>VLOOKUP($Z293,'oddspedia-matches'!$A:$AD,AB$2,0)</f>
        <v>Green</v>
      </c>
      <c r="AC293" t="str">
        <f>VLOOKUP($Z293,'oddspedia-matches'!$A:$AD,AC$2,0)</f>
        <v>Red</v>
      </c>
      <c r="AD293" t="str">
        <f>VLOOKUP($Z293,'oddspedia-matches'!$A:$AD,AD$2,0)</f>
        <v>Red</v>
      </c>
      <c r="AE293" t="str">
        <f>VLOOKUP($Z293,'oddspedia-matches'!$A:$AD,AE$2,0)</f>
        <v>Green</v>
      </c>
      <c r="AF293" t="str">
        <f>VLOOKUP($Z293,'oddspedia-matches'!$A:$AD,AF$2,0)</f>
        <v>Red</v>
      </c>
      <c r="AG293" t="str">
        <f>VLOOKUP($Z293,'oddspedia-matches'!$A:$AD,AG$2,0)</f>
        <v>Green</v>
      </c>
      <c r="AH293" t="str">
        <f>VLOOKUP($Z293,'oddspedia-matches'!$A:$AD,AH$2,0)</f>
        <v>Green</v>
      </c>
      <c r="AI293" t="str">
        <f>VLOOKUP($Z293,'oddspedia-matches'!$A:$AD,AI$2,0)</f>
        <v>Red</v>
      </c>
      <c r="AJ293" t="str">
        <f>VLOOKUP($Z293,'oddspedia-matches'!$A:$AD,AJ$2,0)</f>
        <v>Red</v>
      </c>
      <c r="AK293" t="str">
        <f>VLOOKUP($Z293,'oddspedia-matches'!$A:$AD,AK$2,0)</f>
        <v>Green</v>
      </c>
      <c r="AL293" t="str">
        <f>VLOOKUP($Z293,'oddspedia-matches'!$A:$AD,AL$2,0)</f>
        <v>Green</v>
      </c>
      <c r="AM293" t="str">
        <f>VLOOKUP($Z293,'oddspedia-matches'!$A:$AD,AM$2,0)</f>
        <v>Green</v>
      </c>
      <c r="AN293" t="str">
        <f>VLOOKUP($Z293,'oddspedia-matches'!$A:$AD,AN$2,0)</f>
        <v>Red</v>
      </c>
      <c r="AO293" t="str">
        <f>VLOOKUP($Z293,'oddspedia-matches'!$A:$AD,AO$2,0)</f>
        <v>Red</v>
      </c>
      <c r="AP293" t="str">
        <f>VLOOKUP($Z293,'oddspedia-matches'!$A:$AD,AP$2,0)</f>
        <v>Green</v>
      </c>
      <c r="AQ293" t="str">
        <f>VLOOKUP($Z293,'oddspedia-matches'!$A:$AD,AQ$2,0)</f>
        <v>Red</v>
      </c>
    </row>
    <row r="294" spans="2:43" x14ac:dyDescent="0.2">
      <c r="B294" s="9" t="s">
        <v>468</v>
      </c>
      <c r="C294" s="7" t="s">
        <v>490</v>
      </c>
      <c r="D294" s="20">
        <v>0.85416666666666663</v>
      </c>
      <c r="E294" s="7" t="s">
        <v>94</v>
      </c>
      <c r="F294" s="7" t="s">
        <v>77</v>
      </c>
      <c r="G294" s="21"/>
      <c r="H294" s="7">
        <v>22.5</v>
      </c>
      <c r="I294" s="7">
        <v>25.7</v>
      </c>
      <c r="J294" s="7">
        <v>51.8</v>
      </c>
      <c r="K294" s="7">
        <v>48.2</v>
      </c>
      <c r="L294" s="7">
        <v>77.5</v>
      </c>
      <c r="M294" s="7">
        <v>74.3</v>
      </c>
      <c r="N294" s="7">
        <v>24.6</v>
      </c>
      <c r="O294" s="7">
        <v>37.799999999999997</v>
      </c>
      <c r="P294" s="7">
        <v>37.6</v>
      </c>
      <c r="Q294" s="7">
        <v>78.3</v>
      </c>
      <c r="R294" s="7">
        <v>85.9</v>
      </c>
      <c r="S294" s="7">
        <v>65.5</v>
      </c>
      <c r="T294" s="7">
        <v>34.5</v>
      </c>
      <c r="U294" s="7">
        <v>40.799999999999997</v>
      </c>
      <c r="V294" s="7">
        <v>65.099999999999994</v>
      </c>
      <c r="W294" s="7">
        <v>34.9</v>
      </c>
      <c r="X294" t="str">
        <f>VLOOKUP(E294,'Transform table'!A:B,2,0)</f>
        <v>Orlando City</v>
      </c>
      <c r="Y294" t="str">
        <f>VLOOKUP(F294,'Transform table'!A:B,2,0)</f>
        <v>Nashville FC</v>
      </c>
      <c r="Z294" t="str">
        <f t="shared" si="4"/>
        <v>25/07/2026Orlando CityNashville FC</v>
      </c>
      <c r="AA294" t="str">
        <f>VLOOKUP($Z294,'oddspedia-matches'!$A:$AD,AA$2,0)</f>
        <v>1 - 0</v>
      </c>
      <c r="AB294" t="str">
        <f>VLOOKUP($Z294,'oddspedia-matches'!$A:$AD,AB$2,0)</f>
        <v>Green</v>
      </c>
      <c r="AC294" t="str">
        <f>VLOOKUP($Z294,'oddspedia-matches'!$A:$AD,AC$2,0)</f>
        <v>Red</v>
      </c>
      <c r="AD294" t="str">
        <f>VLOOKUP($Z294,'oddspedia-matches'!$A:$AD,AD$2,0)</f>
        <v>Red</v>
      </c>
      <c r="AE294" t="str">
        <f>VLOOKUP($Z294,'oddspedia-matches'!$A:$AD,AE$2,0)</f>
        <v>Green</v>
      </c>
      <c r="AF294" t="str">
        <f>VLOOKUP($Z294,'oddspedia-matches'!$A:$AD,AF$2,0)</f>
        <v>Red</v>
      </c>
      <c r="AG294" t="str">
        <f>VLOOKUP($Z294,'oddspedia-matches'!$A:$AD,AG$2,0)</f>
        <v>Green</v>
      </c>
      <c r="AH294" t="str">
        <f>VLOOKUP($Z294,'oddspedia-matches'!$A:$AD,AH$2,0)</f>
        <v>Red</v>
      </c>
      <c r="AI294" t="str">
        <f>VLOOKUP($Z294,'oddspedia-matches'!$A:$AD,AI$2,0)</f>
        <v>Green</v>
      </c>
      <c r="AJ294" t="str">
        <f>VLOOKUP($Z294,'oddspedia-matches'!$A:$AD,AJ$2,0)</f>
        <v>Red</v>
      </c>
      <c r="AK294" t="str">
        <f>VLOOKUP($Z294,'oddspedia-matches'!$A:$AD,AK$2,0)</f>
        <v>Red</v>
      </c>
      <c r="AL294" t="str">
        <f>VLOOKUP($Z294,'oddspedia-matches'!$A:$AD,AL$2,0)</f>
        <v>Red</v>
      </c>
      <c r="AM294" t="str">
        <f>VLOOKUP($Z294,'oddspedia-matches'!$A:$AD,AM$2,0)</f>
        <v>Red</v>
      </c>
      <c r="AN294" t="str">
        <f>VLOOKUP($Z294,'oddspedia-matches'!$A:$AD,AN$2,0)</f>
        <v>Green</v>
      </c>
      <c r="AO294" t="str">
        <f>VLOOKUP($Z294,'oddspedia-matches'!$A:$AD,AO$2,0)</f>
        <v>Green</v>
      </c>
      <c r="AP294" t="str">
        <f>VLOOKUP($Z294,'oddspedia-matches'!$A:$AD,AP$2,0)</f>
        <v>Red</v>
      </c>
      <c r="AQ294" t="str">
        <f>VLOOKUP($Z294,'oddspedia-matches'!$A:$AD,AQ$2,0)</f>
        <v>Green</v>
      </c>
    </row>
    <row r="295" spans="2:43" x14ac:dyDescent="0.2">
      <c r="B295" s="17" t="s">
        <v>468</v>
      </c>
      <c r="C295" s="8" t="s">
        <v>490</v>
      </c>
      <c r="D295" s="18">
        <v>0.85416666666666663</v>
      </c>
      <c r="E295" s="8" t="s">
        <v>59</v>
      </c>
      <c r="F295" s="8" t="s">
        <v>74</v>
      </c>
      <c r="G295" s="19"/>
      <c r="H295" s="8">
        <v>37</v>
      </c>
      <c r="I295" s="8">
        <v>28.9</v>
      </c>
      <c r="J295" s="8">
        <v>34</v>
      </c>
      <c r="K295" s="8">
        <v>66</v>
      </c>
      <c r="L295" s="8">
        <v>63</v>
      </c>
      <c r="M295" s="8">
        <v>71.099999999999994</v>
      </c>
      <c r="N295" s="8">
        <v>26</v>
      </c>
      <c r="O295" s="8">
        <v>44.6</v>
      </c>
      <c r="P295" s="8">
        <v>29.4</v>
      </c>
      <c r="Q295" s="8">
        <v>68.2</v>
      </c>
      <c r="R295" s="8">
        <v>75.7</v>
      </c>
      <c r="S295" s="8">
        <v>49.8</v>
      </c>
      <c r="T295" s="8">
        <v>50.2</v>
      </c>
      <c r="U295" s="8">
        <v>55.7</v>
      </c>
      <c r="V295" s="8">
        <v>55.5</v>
      </c>
      <c r="W295" s="8">
        <v>44.5</v>
      </c>
      <c r="X295" t="str">
        <f>VLOOKUP(E295,'Transform table'!A:B,2,0)</f>
        <v>Philadelphia Union</v>
      </c>
      <c r="Y295" t="str">
        <f>VLOOKUP(F295,'Transform table'!A:B,2,0)</f>
        <v>Seattle Sounders FC</v>
      </c>
      <c r="Z295" t="str">
        <f t="shared" si="4"/>
        <v>25/07/2026Philadelphia UnionSeattle Sounders FC</v>
      </c>
      <c r="AA295" t="str">
        <f>VLOOKUP($Z295,'oddspedia-matches'!$A:$AD,AA$2,0)</f>
        <v>1 - 0</v>
      </c>
      <c r="AB295" t="str">
        <f>VLOOKUP($Z295,'oddspedia-matches'!$A:$AD,AB$2,0)</f>
        <v>Green</v>
      </c>
      <c r="AC295" t="str">
        <f>VLOOKUP($Z295,'oddspedia-matches'!$A:$AD,AC$2,0)</f>
        <v>Red</v>
      </c>
      <c r="AD295" t="str">
        <f>VLOOKUP($Z295,'oddspedia-matches'!$A:$AD,AD$2,0)</f>
        <v>Red</v>
      </c>
      <c r="AE295" t="str">
        <f>VLOOKUP($Z295,'oddspedia-matches'!$A:$AD,AE$2,0)</f>
        <v>Green</v>
      </c>
      <c r="AF295" t="str">
        <f>VLOOKUP($Z295,'oddspedia-matches'!$A:$AD,AF$2,0)</f>
        <v>Red</v>
      </c>
      <c r="AG295" t="str">
        <f>VLOOKUP($Z295,'oddspedia-matches'!$A:$AD,AG$2,0)</f>
        <v>Green</v>
      </c>
      <c r="AH295" t="str">
        <f>VLOOKUP($Z295,'oddspedia-matches'!$A:$AD,AH$2,0)</f>
        <v>Green</v>
      </c>
      <c r="AI295" t="str">
        <f>VLOOKUP($Z295,'oddspedia-matches'!$A:$AD,AI$2,0)</f>
        <v>Red</v>
      </c>
      <c r="AJ295" t="str">
        <f>VLOOKUP($Z295,'oddspedia-matches'!$A:$AD,AJ$2,0)</f>
        <v>Red</v>
      </c>
      <c r="AK295" t="str">
        <f>VLOOKUP($Z295,'oddspedia-matches'!$A:$AD,AK$2,0)</f>
        <v>Green</v>
      </c>
      <c r="AL295" t="str">
        <f>VLOOKUP($Z295,'oddspedia-matches'!$A:$AD,AL$2,0)</f>
        <v>Red</v>
      </c>
      <c r="AM295" t="str">
        <f>VLOOKUP($Z295,'oddspedia-matches'!$A:$AD,AM$2,0)</f>
        <v>Red</v>
      </c>
      <c r="AN295" t="str">
        <f>VLOOKUP($Z295,'oddspedia-matches'!$A:$AD,AN$2,0)</f>
        <v>Green</v>
      </c>
      <c r="AO295" t="str">
        <f>VLOOKUP($Z295,'oddspedia-matches'!$A:$AD,AO$2,0)</f>
        <v>Green</v>
      </c>
      <c r="AP295" t="str">
        <f>VLOOKUP($Z295,'oddspedia-matches'!$A:$AD,AP$2,0)</f>
        <v>Red</v>
      </c>
      <c r="AQ295" t="str">
        <f>VLOOKUP($Z295,'oddspedia-matches'!$A:$AD,AQ$2,0)</f>
        <v>Green</v>
      </c>
    </row>
    <row r="296" spans="2:43" x14ac:dyDescent="0.2">
      <c r="B296" s="9" t="s">
        <v>466</v>
      </c>
      <c r="C296" s="7" t="s">
        <v>490</v>
      </c>
      <c r="D296" s="20">
        <v>0.85416666666666663</v>
      </c>
      <c r="E296" s="7" t="s">
        <v>45</v>
      </c>
      <c r="F296" s="7" t="s">
        <v>778</v>
      </c>
      <c r="G296" s="21"/>
      <c r="H296" s="7">
        <v>37.6</v>
      </c>
      <c r="I296" s="7">
        <v>27.7</v>
      </c>
      <c r="J296" s="7">
        <v>34.700000000000003</v>
      </c>
      <c r="K296" s="7">
        <v>65.3</v>
      </c>
      <c r="L296" s="7">
        <v>62.4</v>
      </c>
      <c r="M296" s="7">
        <v>72.3</v>
      </c>
      <c r="N296" s="7">
        <v>20.8</v>
      </c>
      <c r="O296" s="7">
        <v>41.4</v>
      </c>
      <c r="P296" s="7">
        <v>37.799999999999997</v>
      </c>
      <c r="Q296" s="7">
        <v>72.3</v>
      </c>
      <c r="R296" s="7">
        <v>79.900000000000006</v>
      </c>
      <c r="S296" s="7">
        <v>55.6</v>
      </c>
      <c r="T296" s="7">
        <v>44.4</v>
      </c>
      <c r="U296" s="7">
        <v>50</v>
      </c>
      <c r="V296" s="7">
        <v>60.1</v>
      </c>
      <c r="W296" s="7">
        <v>39.9</v>
      </c>
      <c r="X296" t="str">
        <f>VLOOKUP(E296,'Transform table'!A:B,2,0)</f>
        <v>Carolina Core</v>
      </c>
      <c r="Y296" t="str">
        <f>VLOOKUP(F296,'Transform table'!A:B,2,0)</f>
        <v>Chicago Fire II</v>
      </c>
      <c r="Z296" t="str">
        <f t="shared" si="4"/>
        <v>25/07/2026Carolina CoreChicago Fire II</v>
      </c>
      <c r="AA296" t="str">
        <f>VLOOKUP($Z296,'oddspedia-matches'!$A:$AD,AA$2,0)</f>
        <v>1 - 5</v>
      </c>
      <c r="AB296" t="str">
        <f>VLOOKUP($Z296,'oddspedia-matches'!$A:$AD,AB$2,0)</f>
        <v>Red</v>
      </c>
      <c r="AC296" t="str">
        <f>VLOOKUP($Z296,'oddspedia-matches'!$A:$AD,AC$2,0)</f>
        <v>Red</v>
      </c>
      <c r="AD296" t="str">
        <f>VLOOKUP($Z296,'oddspedia-matches'!$A:$AD,AD$2,0)</f>
        <v>Green</v>
      </c>
      <c r="AE296" t="str">
        <f>VLOOKUP($Z296,'oddspedia-matches'!$A:$AD,AE$2,0)</f>
        <v>Red</v>
      </c>
      <c r="AF296" t="str">
        <f>VLOOKUP($Z296,'oddspedia-matches'!$A:$AD,AF$2,0)</f>
        <v>Green</v>
      </c>
      <c r="AG296" t="str">
        <f>VLOOKUP($Z296,'oddspedia-matches'!$A:$AD,AG$2,0)</f>
        <v>Green</v>
      </c>
      <c r="AH296" t="str">
        <f>VLOOKUP($Z296,'oddspedia-matches'!$A:$AD,AH$2,0)</f>
        <v>Red</v>
      </c>
      <c r="AI296" t="str">
        <f>VLOOKUP($Z296,'oddspedia-matches'!$A:$AD,AI$2,0)</f>
        <v>Red</v>
      </c>
      <c r="AJ296" t="str">
        <f>VLOOKUP($Z296,'oddspedia-matches'!$A:$AD,AJ$2,0)</f>
        <v>Green</v>
      </c>
      <c r="AK296" t="str">
        <f>VLOOKUP($Z296,'oddspedia-matches'!$A:$AD,AK$2,0)</f>
        <v>Green</v>
      </c>
      <c r="AL296" t="str">
        <f>VLOOKUP($Z296,'oddspedia-matches'!$A:$AD,AL$2,0)</f>
        <v>Green</v>
      </c>
      <c r="AM296" t="str">
        <f>VLOOKUP($Z296,'oddspedia-matches'!$A:$AD,AM$2,0)</f>
        <v>Green</v>
      </c>
      <c r="AN296" t="str">
        <f>VLOOKUP($Z296,'oddspedia-matches'!$A:$AD,AN$2,0)</f>
        <v>Red</v>
      </c>
      <c r="AO296" t="str">
        <f>VLOOKUP($Z296,'oddspedia-matches'!$A:$AD,AO$2,0)</f>
        <v>Red</v>
      </c>
      <c r="AP296" t="str">
        <f>VLOOKUP($Z296,'oddspedia-matches'!$A:$AD,AP$2,0)</f>
        <v>Green</v>
      </c>
      <c r="AQ296" t="str">
        <f>VLOOKUP($Z296,'oddspedia-matches'!$A:$AD,AQ$2,0)</f>
        <v>Red</v>
      </c>
    </row>
    <row r="297" spans="2:43" x14ac:dyDescent="0.2">
      <c r="B297" s="17" t="s">
        <v>485</v>
      </c>
      <c r="C297" s="8" t="s">
        <v>490</v>
      </c>
      <c r="D297" s="18">
        <v>0.875</v>
      </c>
      <c r="E297" s="8" t="s">
        <v>779</v>
      </c>
      <c r="F297" s="8" t="s">
        <v>780</v>
      </c>
      <c r="G297" s="19"/>
      <c r="H297" s="8">
        <v>59.5</v>
      </c>
      <c r="I297" s="8">
        <v>23.4</v>
      </c>
      <c r="J297" s="8">
        <v>17.100000000000001</v>
      </c>
      <c r="K297" s="8">
        <v>82.9</v>
      </c>
      <c r="L297" s="8">
        <v>40.5</v>
      </c>
      <c r="M297" s="8">
        <v>76.599999999999994</v>
      </c>
      <c r="N297" s="8">
        <v>35.4</v>
      </c>
      <c r="O297" s="8">
        <v>36.1</v>
      </c>
      <c r="P297" s="8">
        <v>28.5</v>
      </c>
      <c r="Q297" s="8">
        <v>81.099999999999994</v>
      </c>
      <c r="R297" s="8">
        <v>86.1</v>
      </c>
      <c r="S297" s="8">
        <v>65.8</v>
      </c>
      <c r="T297" s="8">
        <v>34.200000000000003</v>
      </c>
      <c r="U297" s="8">
        <v>41.5</v>
      </c>
      <c r="V297" s="8">
        <v>62.2</v>
      </c>
      <c r="W297" s="8">
        <v>37.799999999999997</v>
      </c>
      <c r="X297" t="str">
        <f>VLOOKUP(E297,'Transform table'!A:B,2,0)</f>
        <v>CD Uni Catolica Santiago</v>
      </c>
      <c r="Y297" t="str">
        <f>VLOOKUP(F297,'Transform table'!A:B,2,0)</f>
        <v>CD La Serena</v>
      </c>
      <c r="Z297" t="str">
        <f t="shared" si="4"/>
        <v>25/07/2026CD Uni Catolica SantiagoCD La Serena</v>
      </c>
      <c r="AA297" t="str">
        <f>VLOOKUP($Z297,'oddspedia-matches'!$A:$AD,AA$2,0)</f>
        <v>3 - 3</v>
      </c>
      <c r="AB297" t="str">
        <f>VLOOKUP($Z297,'oddspedia-matches'!$A:$AD,AB$2,0)</f>
        <v>Red</v>
      </c>
      <c r="AC297" t="str">
        <f>VLOOKUP($Z297,'oddspedia-matches'!$A:$AD,AC$2,0)</f>
        <v>Green</v>
      </c>
      <c r="AD297" t="str">
        <f>VLOOKUP($Z297,'oddspedia-matches'!$A:$AD,AD$2,0)</f>
        <v>Red</v>
      </c>
      <c r="AE297" t="str">
        <f>VLOOKUP($Z297,'oddspedia-matches'!$A:$AD,AE$2,0)</f>
        <v>Green</v>
      </c>
      <c r="AF297" t="str">
        <f>VLOOKUP($Z297,'oddspedia-matches'!$A:$AD,AF$2,0)</f>
        <v>Green</v>
      </c>
      <c r="AG297" t="str">
        <f>VLOOKUP($Z297,'oddspedia-matches'!$A:$AD,AG$2,0)</f>
        <v>Red</v>
      </c>
      <c r="AH297" t="str">
        <f>VLOOKUP($Z297,'oddspedia-matches'!$A:$AD,AH$2,0)</f>
        <v>Green</v>
      </c>
      <c r="AI297" t="str">
        <f>VLOOKUP($Z297,'oddspedia-matches'!$A:$AD,AI$2,0)</f>
        <v>Red</v>
      </c>
      <c r="AJ297" t="str">
        <f>VLOOKUP($Z297,'oddspedia-matches'!$A:$AD,AJ$2,0)</f>
        <v>Red</v>
      </c>
      <c r="AK297" t="str">
        <f>VLOOKUP($Z297,'oddspedia-matches'!$A:$AD,AK$2,0)</f>
        <v>Green</v>
      </c>
      <c r="AL297" t="str">
        <f>VLOOKUP($Z297,'oddspedia-matches'!$A:$AD,AL$2,0)</f>
        <v>Green</v>
      </c>
      <c r="AM297" t="str">
        <f>VLOOKUP($Z297,'oddspedia-matches'!$A:$AD,AM$2,0)</f>
        <v>Green</v>
      </c>
      <c r="AN297" t="str">
        <f>VLOOKUP($Z297,'oddspedia-matches'!$A:$AD,AN$2,0)</f>
        <v>Red</v>
      </c>
      <c r="AO297" t="str">
        <f>VLOOKUP($Z297,'oddspedia-matches'!$A:$AD,AO$2,0)</f>
        <v>Red</v>
      </c>
      <c r="AP297" t="str">
        <f>VLOOKUP($Z297,'oddspedia-matches'!$A:$AD,AP$2,0)</f>
        <v>Green</v>
      </c>
      <c r="AQ297" t="str">
        <f>VLOOKUP($Z297,'oddspedia-matches'!$A:$AD,AQ$2,0)</f>
        <v>Red</v>
      </c>
    </row>
    <row r="298" spans="2:43" x14ac:dyDescent="0.2">
      <c r="B298" s="9" t="s">
        <v>483</v>
      </c>
      <c r="C298" s="7" t="s">
        <v>490</v>
      </c>
      <c r="D298" s="20">
        <v>0.875</v>
      </c>
      <c r="E298" s="7" t="s">
        <v>428</v>
      </c>
      <c r="F298" s="7" t="s">
        <v>781</v>
      </c>
      <c r="G298" s="21"/>
      <c r="H298" s="7">
        <v>58.2</v>
      </c>
      <c r="I298" s="7">
        <v>26.4</v>
      </c>
      <c r="J298" s="7">
        <v>15.4</v>
      </c>
      <c r="K298" s="7">
        <v>84.6</v>
      </c>
      <c r="L298" s="7">
        <v>41.8</v>
      </c>
      <c r="M298" s="7">
        <v>73.599999999999994</v>
      </c>
      <c r="N298" s="7">
        <v>44.5</v>
      </c>
      <c r="O298" s="7">
        <v>43.2</v>
      </c>
      <c r="P298" s="7">
        <v>12.3</v>
      </c>
      <c r="Q298" s="7">
        <v>65.8</v>
      </c>
      <c r="R298" s="7">
        <v>69.8</v>
      </c>
      <c r="S298" s="7">
        <v>42.4</v>
      </c>
      <c r="T298" s="7">
        <v>57.6</v>
      </c>
      <c r="U298" s="7">
        <v>65.2</v>
      </c>
      <c r="V298" s="7">
        <v>42.9</v>
      </c>
      <c r="W298" s="7">
        <v>57.1</v>
      </c>
      <c r="X298" t="str">
        <f>VLOOKUP(E298,'Transform table'!A:B,2,0)</f>
        <v>Real Cartagena</v>
      </c>
      <c r="Y298" t="str">
        <f>VLOOKUP(F298,'Transform table'!A:B,2,0)</f>
        <v>Real Santander</v>
      </c>
      <c r="Z298" t="str">
        <f t="shared" si="4"/>
        <v>25/07/2026Real CartagenaReal Santander</v>
      </c>
      <c r="AA298" t="str">
        <f>VLOOKUP($Z298,'oddspedia-matches'!$A:$AD,AA$2,0)</f>
        <v>5 - 1</v>
      </c>
      <c r="AB298" t="str">
        <f>VLOOKUP($Z298,'oddspedia-matches'!$A:$AD,AB$2,0)</f>
        <v>Green</v>
      </c>
      <c r="AC298" t="str">
        <f>VLOOKUP($Z298,'oddspedia-matches'!$A:$AD,AC$2,0)</f>
        <v>Red</v>
      </c>
      <c r="AD298" t="str">
        <f>VLOOKUP($Z298,'oddspedia-matches'!$A:$AD,AD$2,0)</f>
        <v>Red</v>
      </c>
      <c r="AE298" t="str">
        <f>VLOOKUP($Z298,'oddspedia-matches'!$A:$AD,AE$2,0)</f>
        <v>Green</v>
      </c>
      <c r="AF298" t="str">
        <f>VLOOKUP($Z298,'oddspedia-matches'!$A:$AD,AF$2,0)</f>
        <v>Red</v>
      </c>
      <c r="AG298" t="str">
        <f>VLOOKUP($Z298,'oddspedia-matches'!$A:$AD,AG$2,0)</f>
        <v>Green</v>
      </c>
      <c r="AH298" t="str">
        <f>VLOOKUP($Z298,'oddspedia-matches'!$A:$AD,AH$2,0)</f>
        <v>Green</v>
      </c>
      <c r="AI298" t="str">
        <f>VLOOKUP($Z298,'oddspedia-matches'!$A:$AD,AI$2,0)</f>
        <v>Red</v>
      </c>
      <c r="AJ298" t="str">
        <f>VLOOKUP($Z298,'oddspedia-matches'!$A:$AD,AJ$2,0)</f>
        <v>Red</v>
      </c>
      <c r="AK298" t="str">
        <f>VLOOKUP($Z298,'oddspedia-matches'!$A:$AD,AK$2,0)</f>
        <v>Green</v>
      </c>
      <c r="AL298" t="str">
        <f>VLOOKUP($Z298,'oddspedia-matches'!$A:$AD,AL$2,0)</f>
        <v>Green</v>
      </c>
      <c r="AM298" t="str">
        <f>VLOOKUP($Z298,'oddspedia-matches'!$A:$AD,AM$2,0)</f>
        <v>Green</v>
      </c>
      <c r="AN298" t="str">
        <f>VLOOKUP($Z298,'oddspedia-matches'!$A:$AD,AN$2,0)</f>
        <v>Red</v>
      </c>
      <c r="AO298" t="str">
        <f>VLOOKUP($Z298,'oddspedia-matches'!$A:$AD,AO$2,0)</f>
        <v>Red</v>
      </c>
      <c r="AP298" t="str">
        <f>VLOOKUP($Z298,'oddspedia-matches'!$A:$AD,AP$2,0)</f>
        <v>Green</v>
      </c>
      <c r="AQ298" t="str">
        <f>VLOOKUP($Z298,'oddspedia-matches'!$A:$AD,AQ$2,0)</f>
        <v>Red</v>
      </c>
    </row>
    <row r="299" spans="2:43" x14ac:dyDescent="0.2">
      <c r="B299" s="17" t="s">
        <v>452</v>
      </c>
      <c r="C299" s="8" t="s">
        <v>490</v>
      </c>
      <c r="D299" s="18">
        <v>0.875</v>
      </c>
      <c r="E299" s="8" t="s">
        <v>38</v>
      </c>
      <c r="F299" s="8" t="s">
        <v>61</v>
      </c>
      <c r="G299" s="19"/>
      <c r="H299" s="8">
        <v>48.7</v>
      </c>
      <c r="I299" s="8">
        <v>32.299999999999997</v>
      </c>
      <c r="J299" s="8">
        <v>19</v>
      </c>
      <c r="K299" s="8">
        <v>81</v>
      </c>
      <c r="L299" s="8">
        <v>51.3</v>
      </c>
      <c r="M299" s="8">
        <v>67.7</v>
      </c>
      <c r="N299" s="8">
        <v>33.9</v>
      </c>
      <c r="O299" s="8">
        <v>54.3</v>
      </c>
      <c r="P299" s="8">
        <v>11.7</v>
      </c>
      <c r="Q299" s="8">
        <v>51.6</v>
      </c>
      <c r="R299" s="8">
        <v>56.9</v>
      </c>
      <c r="S299" s="8">
        <v>28.7</v>
      </c>
      <c r="T299" s="8">
        <v>71.3</v>
      </c>
      <c r="U299" s="8">
        <v>76.599999999999994</v>
      </c>
      <c r="V299" s="8">
        <v>34.9</v>
      </c>
      <c r="W299" s="8">
        <v>65.099999999999994</v>
      </c>
      <c r="X299" t="str">
        <f>VLOOKUP(E299,'Transform table'!A:B,2,0)</f>
        <v>Tecnico Universitario</v>
      </c>
      <c r="Y299" t="str">
        <f>VLOOKUP(F299,'Transform table'!A:B,2,0)</f>
        <v>Manta FC</v>
      </c>
      <c r="Z299" t="str">
        <f t="shared" si="4"/>
        <v>25/07/2026Tecnico UniversitarioManta FC</v>
      </c>
      <c r="AA299" t="str">
        <f>VLOOKUP($Z299,'oddspedia-matches'!$A:$AD,AA$2,0)</f>
        <v>1 - 0</v>
      </c>
      <c r="AB299" t="str">
        <f>VLOOKUP($Z299,'oddspedia-matches'!$A:$AD,AB$2,0)</f>
        <v>Green</v>
      </c>
      <c r="AC299" t="str">
        <f>VLOOKUP($Z299,'oddspedia-matches'!$A:$AD,AC$2,0)</f>
        <v>Red</v>
      </c>
      <c r="AD299" t="str">
        <f>VLOOKUP($Z299,'oddspedia-matches'!$A:$AD,AD$2,0)</f>
        <v>Red</v>
      </c>
      <c r="AE299" t="str">
        <f>VLOOKUP($Z299,'oddspedia-matches'!$A:$AD,AE$2,0)</f>
        <v>Green</v>
      </c>
      <c r="AF299" t="str">
        <f>VLOOKUP($Z299,'oddspedia-matches'!$A:$AD,AF$2,0)</f>
        <v>Red</v>
      </c>
      <c r="AG299" t="str">
        <f>VLOOKUP($Z299,'oddspedia-matches'!$A:$AD,AG$2,0)</f>
        <v>Green</v>
      </c>
      <c r="AH299" t="str">
        <f>VLOOKUP($Z299,'oddspedia-matches'!$A:$AD,AH$2,0)</f>
        <v>Red</v>
      </c>
      <c r="AI299" t="str">
        <f>VLOOKUP($Z299,'oddspedia-matches'!$A:$AD,AI$2,0)</f>
        <v>Green</v>
      </c>
      <c r="AJ299" t="str">
        <f>VLOOKUP($Z299,'oddspedia-matches'!$A:$AD,AJ$2,0)</f>
        <v>Red</v>
      </c>
      <c r="AK299" t="str">
        <f>VLOOKUP($Z299,'oddspedia-matches'!$A:$AD,AK$2,0)</f>
        <v>Red</v>
      </c>
      <c r="AL299" t="str">
        <f>VLOOKUP($Z299,'oddspedia-matches'!$A:$AD,AL$2,0)</f>
        <v>Red</v>
      </c>
      <c r="AM299" t="str">
        <f>VLOOKUP($Z299,'oddspedia-matches'!$A:$AD,AM$2,0)</f>
        <v>Red</v>
      </c>
      <c r="AN299" t="str">
        <f>VLOOKUP($Z299,'oddspedia-matches'!$A:$AD,AN$2,0)</f>
        <v>Green</v>
      </c>
      <c r="AO299" t="str">
        <f>VLOOKUP($Z299,'oddspedia-matches'!$A:$AD,AO$2,0)</f>
        <v>Green</v>
      </c>
      <c r="AP299" t="str">
        <f>VLOOKUP($Z299,'oddspedia-matches'!$A:$AD,AP$2,0)</f>
        <v>Red</v>
      </c>
      <c r="AQ299" t="str">
        <f>VLOOKUP($Z299,'oddspedia-matches'!$A:$AD,AQ$2,0)</f>
        <v>Green</v>
      </c>
    </row>
    <row r="300" spans="2:43" x14ac:dyDescent="0.2">
      <c r="B300" s="9" t="s">
        <v>470</v>
      </c>
      <c r="C300" s="7" t="s">
        <v>490</v>
      </c>
      <c r="D300" s="20">
        <v>0.89583333333333337</v>
      </c>
      <c r="E300" s="7" t="s">
        <v>782</v>
      </c>
      <c r="F300" s="7" t="s">
        <v>783</v>
      </c>
      <c r="G300" s="21"/>
      <c r="H300" s="7">
        <v>43.1</v>
      </c>
      <c r="I300" s="7">
        <v>32.9</v>
      </c>
      <c r="J300" s="7">
        <v>24.1</v>
      </c>
      <c r="K300" s="7">
        <v>75.900000000000006</v>
      </c>
      <c r="L300" s="7">
        <v>56.9</v>
      </c>
      <c r="M300" s="7">
        <v>67.099999999999994</v>
      </c>
      <c r="N300" s="7">
        <v>32.6</v>
      </c>
      <c r="O300" s="7">
        <v>54.6</v>
      </c>
      <c r="P300" s="7">
        <v>12.8</v>
      </c>
      <c r="Q300" s="7">
        <v>51.7</v>
      </c>
      <c r="R300" s="7">
        <v>59.5</v>
      </c>
      <c r="S300" s="7">
        <v>31.1</v>
      </c>
      <c r="T300" s="7">
        <v>68.900000000000006</v>
      </c>
      <c r="U300" s="7">
        <v>73.8</v>
      </c>
      <c r="V300" s="7">
        <v>39</v>
      </c>
      <c r="W300" s="7">
        <v>61</v>
      </c>
      <c r="X300" t="str">
        <f>VLOOKUP(E300,'Transform table'!A:B,2,0)</f>
        <v>Lanus</v>
      </c>
      <c r="Y300" t="str">
        <f>VLOOKUP(F300,'Transform table'!A:B,2,0)</f>
        <v>San Lorenzo</v>
      </c>
      <c r="Z300" t="str">
        <f t="shared" si="4"/>
        <v>25/07/2026LanusSan Lorenzo</v>
      </c>
      <c r="AA300" t="str">
        <f>VLOOKUP($Z300,'oddspedia-matches'!$A:$AD,AA$2,0)</f>
        <v>1 - 0</v>
      </c>
      <c r="AB300" t="str">
        <f>VLOOKUP($Z300,'oddspedia-matches'!$A:$AD,AB$2,0)</f>
        <v>Green</v>
      </c>
      <c r="AC300" t="str">
        <f>VLOOKUP($Z300,'oddspedia-matches'!$A:$AD,AC$2,0)</f>
        <v>Red</v>
      </c>
      <c r="AD300" t="str">
        <f>VLOOKUP($Z300,'oddspedia-matches'!$A:$AD,AD$2,0)</f>
        <v>Red</v>
      </c>
      <c r="AE300" t="str">
        <f>VLOOKUP($Z300,'oddspedia-matches'!$A:$AD,AE$2,0)</f>
        <v>Green</v>
      </c>
      <c r="AF300" t="str">
        <f>VLOOKUP($Z300,'oddspedia-matches'!$A:$AD,AF$2,0)</f>
        <v>Red</v>
      </c>
      <c r="AG300" t="str">
        <f>VLOOKUP($Z300,'oddspedia-matches'!$A:$AD,AG$2,0)</f>
        <v>Green</v>
      </c>
      <c r="AH300" t="str">
        <f>VLOOKUP($Z300,'oddspedia-matches'!$A:$AD,AH$2,0)</f>
        <v>Red</v>
      </c>
      <c r="AI300" t="str">
        <f>VLOOKUP($Z300,'oddspedia-matches'!$A:$AD,AI$2,0)</f>
        <v>Green</v>
      </c>
      <c r="AJ300" t="str">
        <f>VLOOKUP($Z300,'oddspedia-matches'!$A:$AD,AJ$2,0)</f>
        <v>Red</v>
      </c>
      <c r="AK300" t="str">
        <f>VLOOKUP($Z300,'oddspedia-matches'!$A:$AD,AK$2,0)</f>
        <v>Red</v>
      </c>
      <c r="AL300" t="str">
        <f>VLOOKUP($Z300,'oddspedia-matches'!$A:$AD,AL$2,0)</f>
        <v>Red</v>
      </c>
      <c r="AM300" t="str">
        <f>VLOOKUP($Z300,'oddspedia-matches'!$A:$AD,AM$2,0)</f>
        <v>Red</v>
      </c>
      <c r="AN300" t="str">
        <f>VLOOKUP($Z300,'oddspedia-matches'!$A:$AD,AN$2,0)</f>
        <v>Green</v>
      </c>
      <c r="AO300" t="str">
        <f>VLOOKUP($Z300,'oddspedia-matches'!$A:$AD,AO$2,0)</f>
        <v>Green</v>
      </c>
      <c r="AP300" t="str">
        <f>VLOOKUP($Z300,'oddspedia-matches'!$A:$AD,AP$2,0)</f>
        <v>Red</v>
      </c>
      <c r="AQ300" t="str">
        <f>VLOOKUP($Z300,'oddspedia-matches'!$A:$AD,AQ$2,0)</f>
        <v>Green</v>
      </c>
    </row>
    <row r="301" spans="2:43" x14ac:dyDescent="0.2">
      <c r="B301" s="17" t="s">
        <v>468</v>
      </c>
      <c r="C301" s="8" t="s">
        <v>490</v>
      </c>
      <c r="D301" s="18">
        <v>0.89583333333333337</v>
      </c>
      <c r="E301" s="8" t="s">
        <v>75</v>
      </c>
      <c r="F301" s="8" t="s">
        <v>73</v>
      </c>
      <c r="G301" s="19"/>
      <c r="H301" s="8">
        <v>49.5</v>
      </c>
      <c r="I301" s="8">
        <v>25.8</v>
      </c>
      <c r="J301" s="8">
        <v>24.7</v>
      </c>
      <c r="K301" s="8">
        <v>75.3</v>
      </c>
      <c r="L301" s="8">
        <v>50.5</v>
      </c>
      <c r="M301" s="8">
        <v>74.2</v>
      </c>
      <c r="N301" s="8">
        <v>28</v>
      </c>
      <c r="O301" s="8">
        <v>44.4</v>
      </c>
      <c r="P301" s="8">
        <v>27.6</v>
      </c>
      <c r="Q301" s="8">
        <v>68.400000000000006</v>
      </c>
      <c r="R301" s="8">
        <v>82.5</v>
      </c>
      <c r="S301" s="8">
        <v>59.8</v>
      </c>
      <c r="T301" s="8">
        <v>40.200000000000003</v>
      </c>
      <c r="U301" s="8">
        <v>46.4</v>
      </c>
      <c r="V301" s="8">
        <v>61.4</v>
      </c>
      <c r="W301" s="8">
        <v>38.6</v>
      </c>
      <c r="X301" t="str">
        <f>VLOOKUP(E301,'Transform table'!A:B,2,0)</f>
        <v>Houston Dynamo</v>
      </c>
      <c r="Y301" t="str">
        <f>VLOOKUP(F301,'Transform table'!A:B,2,0)</f>
        <v>Austin FC</v>
      </c>
      <c r="Z301" t="str">
        <f t="shared" si="4"/>
        <v>25/07/2026Houston DynamoAustin FC</v>
      </c>
      <c r="AA301" t="str">
        <f>VLOOKUP($Z301,'oddspedia-matches'!$A:$AD,AA$2,0)</f>
        <v>3 - 0</v>
      </c>
      <c r="AB301" t="str">
        <f>VLOOKUP($Z301,'oddspedia-matches'!$A:$AD,AB$2,0)</f>
        <v>Green</v>
      </c>
      <c r="AC301" t="str">
        <f>VLOOKUP($Z301,'oddspedia-matches'!$A:$AD,AC$2,0)</f>
        <v>Red</v>
      </c>
      <c r="AD301" t="str">
        <f>VLOOKUP($Z301,'oddspedia-matches'!$A:$AD,AD$2,0)</f>
        <v>Red</v>
      </c>
      <c r="AE301" t="str">
        <f>VLOOKUP($Z301,'oddspedia-matches'!$A:$AD,AE$2,0)</f>
        <v>Green</v>
      </c>
      <c r="AF301" t="str">
        <f>VLOOKUP($Z301,'oddspedia-matches'!$A:$AD,AF$2,0)</f>
        <v>Red</v>
      </c>
      <c r="AG301" t="str">
        <f>VLOOKUP($Z301,'oddspedia-matches'!$A:$AD,AG$2,0)</f>
        <v>Green</v>
      </c>
      <c r="AH301" t="str">
        <f>VLOOKUP($Z301,'oddspedia-matches'!$A:$AD,AH$2,0)</f>
        <v>Green</v>
      </c>
      <c r="AI301" t="str">
        <f>VLOOKUP($Z301,'oddspedia-matches'!$A:$AD,AI$2,0)</f>
        <v>Red</v>
      </c>
      <c r="AJ301" t="str">
        <f>VLOOKUP($Z301,'oddspedia-matches'!$A:$AD,AJ$2,0)</f>
        <v>Red</v>
      </c>
      <c r="AK301" t="str">
        <f>VLOOKUP($Z301,'oddspedia-matches'!$A:$AD,AK$2,0)</f>
        <v>Green</v>
      </c>
      <c r="AL301" t="str">
        <f>VLOOKUP($Z301,'oddspedia-matches'!$A:$AD,AL$2,0)</f>
        <v>Green</v>
      </c>
      <c r="AM301" t="str">
        <f>VLOOKUP($Z301,'oddspedia-matches'!$A:$AD,AM$2,0)</f>
        <v>Green</v>
      </c>
      <c r="AN301" t="str">
        <f>VLOOKUP($Z301,'oddspedia-matches'!$A:$AD,AN$2,0)</f>
        <v>Red</v>
      </c>
      <c r="AO301" t="str">
        <f>VLOOKUP($Z301,'oddspedia-matches'!$A:$AD,AO$2,0)</f>
        <v>Green</v>
      </c>
      <c r="AP301" t="str">
        <f>VLOOKUP($Z301,'oddspedia-matches'!$A:$AD,AP$2,0)</f>
        <v>Red</v>
      </c>
      <c r="AQ301" t="str">
        <f>VLOOKUP($Z301,'oddspedia-matches'!$A:$AD,AQ$2,0)</f>
        <v>Green</v>
      </c>
    </row>
    <row r="302" spans="2:43" x14ac:dyDescent="0.2">
      <c r="B302" s="9" t="s">
        <v>468</v>
      </c>
      <c r="C302" s="7" t="s">
        <v>490</v>
      </c>
      <c r="D302" s="20">
        <v>0.89583333333333337</v>
      </c>
      <c r="E302" s="7" t="s">
        <v>80</v>
      </c>
      <c r="F302" s="7" t="s">
        <v>54</v>
      </c>
      <c r="G302" s="21"/>
      <c r="H302" s="7">
        <v>26.7</v>
      </c>
      <c r="I302" s="7">
        <v>28</v>
      </c>
      <c r="J302" s="7">
        <v>45.3</v>
      </c>
      <c r="K302" s="7">
        <v>54.7</v>
      </c>
      <c r="L302" s="7">
        <v>73.3</v>
      </c>
      <c r="M302" s="7">
        <v>72</v>
      </c>
      <c r="N302" s="7">
        <v>18.899999999999999</v>
      </c>
      <c r="O302" s="7">
        <v>39.5</v>
      </c>
      <c r="P302" s="7">
        <v>41.7</v>
      </c>
      <c r="Q302" s="7">
        <v>74.5</v>
      </c>
      <c r="R302" s="7">
        <v>78.5</v>
      </c>
      <c r="S302" s="7">
        <v>53.7</v>
      </c>
      <c r="T302" s="7">
        <v>46.3</v>
      </c>
      <c r="U302" s="7">
        <v>52.2</v>
      </c>
      <c r="V302" s="7">
        <v>57.5</v>
      </c>
      <c r="W302" s="7">
        <v>42.5</v>
      </c>
      <c r="X302" t="str">
        <f>VLOOKUP(E302,'Transform table'!A:B,2,0)</f>
        <v>Minnesota United</v>
      </c>
      <c r="Y302" t="str">
        <f>VLOOKUP(F302,'Transform table'!A:B,2,0)</f>
        <v>Vancouver Whitecaps</v>
      </c>
      <c r="Z302" t="str">
        <f t="shared" si="4"/>
        <v>25/07/2026Minnesota UnitedVancouver Whitecaps</v>
      </c>
      <c r="AA302" t="str">
        <f>VLOOKUP($Z302,'oddspedia-matches'!$A:$AD,AA$2,0)</f>
        <v>0 - 0</v>
      </c>
      <c r="AB302" t="str">
        <f>VLOOKUP($Z302,'oddspedia-matches'!$A:$AD,AB$2,0)</f>
        <v>Red</v>
      </c>
      <c r="AC302" t="str">
        <f>VLOOKUP($Z302,'oddspedia-matches'!$A:$AD,AC$2,0)</f>
        <v>Green</v>
      </c>
      <c r="AD302" t="str">
        <f>VLOOKUP($Z302,'oddspedia-matches'!$A:$AD,AD$2,0)</f>
        <v>Red</v>
      </c>
      <c r="AE302" t="str">
        <f>VLOOKUP($Z302,'oddspedia-matches'!$A:$AD,AE$2,0)</f>
        <v>Green</v>
      </c>
      <c r="AF302" t="str">
        <f>VLOOKUP($Z302,'oddspedia-matches'!$A:$AD,AF$2,0)</f>
        <v>Green</v>
      </c>
      <c r="AG302" t="str">
        <f>VLOOKUP($Z302,'oddspedia-matches'!$A:$AD,AG$2,0)</f>
        <v>Red</v>
      </c>
      <c r="AH302" t="str">
        <f>VLOOKUP($Z302,'oddspedia-matches'!$A:$AD,AH$2,0)</f>
        <v>Red</v>
      </c>
      <c r="AI302" t="str">
        <f>VLOOKUP($Z302,'oddspedia-matches'!$A:$AD,AI$2,0)</f>
        <v>Green</v>
      </c>
      <c r="AJ302" t="str">
        <f>VLOOKUP($Z302,'oddspedia-matches'!$A:$AD,AJ$2,0)</f>
        <v>Red</v>
      </c>
      <c r="AK302" t="str">
        <f>VLOOKUP($Z302,'oddspedia-matches'!$A:$AD,AK$2,0)</f>
        <v>Red</v>
      </c>
      <c r="AL302" t="str">
        <f>VLOOKUP($Z302,'oddspedia-matches'!$A:$AD,AL$2,0)</f>
        <v>Red</v>
      </c>
      <c r="AM302" t="str">
        <f>VLOOKUP($Z302,'oddspedia-matches'!$A:$AD,AM$2,0)</f>
        <v>Red</v>
      </c>
      <c r="AN302" t="str">
        <f>VLOOKUP($Z302,'oddspedia-matches'!$A:$AD,AN$2,0)</f>
        <v>Green</v>
      </c>
      <c r="AO302" t="str">
        <f>VLOOKUP($Z302,'oddspedia-matches'!$A:$AD,AO$2,0)</f>
        <v>Green</v>
      </c>
      <c r="AP302" t="str">
        <f>VLOOKUP($Z302,'oddspedia-matches'!$A:$AD,AP$2,0)</f>
        <v>Red</v>
      </c>
      <c r="AQ302" t="str">
        <f>VLOOKUP($Z302,'oddspedia-matches'!$A:$AD,AQ$2,0)</f>
        <v>Green</v>
      </c>
    </row>
    <row r="303" spans="2:43" x14ac:dyDescent="0.2">
      <c r="B303" s="17" t="s">
        <v>468</v>
      </c>
      <c r="C303" s="8" t="s">
        <v>490</v>
      </c>
      <c r="D303" s="18">
        <v>0.89583333333333337</v>
      </c>
      <c r="E303" s="8" t="s">
        <v>88</v>
      </c>
      <c r="F303" s="8" t="s">
        <v>85</v>
      </c>
      <c r="G303" s="19"/>
      <c r="H303" s="8">
        <v>40.9</v>
      </c>
      <c r="I303" s="8">
        <v>27.2</v>
      </c>
      <c r="J303" s="8">
        <v>31.9</v>
      </c>
      <c r="K303" s="8">
        <v>68.099999999999994</v>
      </c>
      <c r="L303" s="8">
        <v>59.1</v>
      </c>
      <c r="M303" s="8">
        <v>72.8</v>
      </c>
      <c r="N303" s="8">
        <v>35</v>
      </c>
      <c r="O303" s="8">
        <v>42.9</v>
      </c>
      <c r="P303" s="8">
        <v>22.1</v>
      </c>
      <c r="Q303" s="8">
        <v>69.900000000000006</v>
      </c>
      <c r="R303" s="8">
        <v>81.2</v>
      </c>
      <c r="S303" s="8">
        <v>57.7</v>
      </c>
      <c r="T303" s="8">
        <v>42.3</v>
      </c>
      <c r="U303" s="8">
        <v>48</v>
      </c>
      <c r="V303" s="8">
        <v>61.4</v>
      </c>
      <c r="W303" s="8">
        <v>38.6</v>
      </c>
      <c r="X303" t="str">
        <f>VLOOKUP(E303,'Transform table'!A:B,2,0)</f>
        <v>Saint Louis City</v>
      </c>
      <c r="Y303" t="str">
        <f>VLOOKUP(F303,'Transform table'!A:B,2,0)</f>
        <v>Colorado Rapids</v>
      </c>
      <c r="Z303" t="str">
        <f t="shared" si="4"/>
        <v>25/07/2026Saint Louis CityColorado Rapids</v>
      </c>
      <c r="AA303" t="str">
        <f>VLOOKUP($Z303,'oddspedia-matches'!$A:$AD,AA$2,0)</f>
        <v>1 - 0</v>
      </c>
      <c r="AB303" t="str">
        <f>VLOOKUP($Z303,'oddspedia-matches'!$A:$AD,AB$2,0)</f>
        <v>Green</v>
      </c>
      <c r="AC303" t="str">
        <f>VLOOKUP($Z303,'oddspedia-matches'!$A:$AD,AC$2,0)</f>
        <v>Red</v>
      </c>
      <c r="AD303" t="str">
        <f>VLOOKUP($Z303,'oddspedia-matches'!$A:$AD,AD$2,0)</f>
        <v>Red</v>
      </c>
      <c r="AE303" t="str">
        <f>VLOOKUP($Z303,'oddspedia-matches'!$A:$AD,AE$2,0)</f>
        <v>Green</v>
      </c>
      <c r="AF303" t="str">
        <f>VLOOKUP($Z303,'oddspedia-matches'!$A:$AD,AF$2,0)</f>
        <v>Red</v>
      </c>
      <c r="AG303" t="str">
        <f>VLOOKUP($Z303,'oddspedia-matches'!$A:$AD,AG$2,0)</f>
        <v>Green</v>
      </c>
      <c r="AH303" t="str">
        <f>VLOOKUP($Z303,'oddspedia-matches'!$A:$AD,AH$2,0)</f>
        <v>Red</v>
      </c>
      <c r="AI303" t="str">
        <f>VLOOKUP($Z303,'oddspedia-matches'!$A:$AD,AI$2,0)</f>
        <v>Green</v>
      </c>
      <c r="AJ303" t="str">
        <f>VLOOKUP($Z303,'oddspedia-matches'!$A:$AD,AJ$2,0)</f>
        <v>Red</v>
      </c>
      <c r="AK303" t="str">
        <f>VLOOKUP($Z303,'oddspedia-matches'!$A:$AD,AK$2,0)</f>
        <v>Red</v>
      </c>
      <c r="AL303" t="str">
        <f>VLOOKUP($Z303,'oddspedia-matches'!$A:$AD,AL$2,0)</f>
        <v>Red</v>
      </c>
      <c r="AM303" t="str">
        <f>VLOOKUP($Z303,'oddspedia-matches'!$A:$AD,AM$2,0)</f>
        <v>Red</v>
      </c>
      <c r="AN303" t="str">
        <f>VLOOKUP($Z303,'oddspedia-matches'!$A:$AD,AN$2,0)</f>
        <v>Green</v>
      </c>
      <c r="AO303" t="str">
        <f>VLOOKUP($Z303,'oddspedia-matches'!$A:$AD,AO$2,0)</f>
        <v>Green</v>
      </c>
      <c r="AP303" t="str">
        <f>VLOOKUP($Z303,'oddspedia-matches'!$A:$AD,AP$2,0)</f>
        <v>Red</v>
      </c>
      <c r="AQ303" t="str">
        <f>VLOOKUP($Z303,'oddspedia-matches'!$A:$AD,AQ$2,0)</f>
        <v>Green</v>
      </c>
    </row>
    <row r="304" spans="2:43" x14ac:dyDescent="0.2">
      <c r="B304" s="9" t="s">
        <v>467</v>
      </c>
      <c r="C304" s="7" t="s">
        <v>490</v>
      </c>
      <c r="D304" s="20">
        <v>0.89583333333333337</v>
      </c>
      <c r="E304" s="7" t="s">
        <v>784</v>
      </c>
      <c r="F304" s="7" t="s">
        <v>47</v>
      </c>
      <c r="G304" s="21"/>
      <c r="H304" s="7">
        <v>44</v>
      </c>
      <c r="I304" s="7">
        <v>27.7</v>
      </c>
      <c r="J304" s="7">
        <v>28.2</v>
      </c>
      <c r="K304" s="7">
        <v>71.8</v>
      </c>
      <c r="L304" s="7">
        <v>56</v>
      </c>
      <c r="M304" s="7">
        <v>72.3</v>
      </c>
      <c r="N304" s="7">
        <v>29.3</v>
      </c>
      <c r="O304" s="7">
        <v>45.7</v>
      </c>
      <c r="P304" s="7">
        <v>25</v>
      </c>
      <c r="Q304" s="7">
        <v>66.2</v>
      </c>
      <c r="R304" s="7">
        <v>77.599999999999994</v>
      </c>
      <c r="S304" s="7">
        <v>52.3</v>
      </c>
      <c r="T304" s="7">
        <v>47.7</v>
      </c>
      <c r="U304" s="7">
        <v>53.5</v>
      </c>
      <c r="V304" s="7">
        <v>56.7</v>
      </c>
      <c r="W304" s="7">
        <v>43.3</v>
      </c>
      <c r="X304" t="str">
        <f>VLOOKUP(E304,'Transform table'!A:B,2,0)</f>
        <v>Tulsa Roughnecks</v>
      </c>
      <c r="Y304" t="str">
        <f>VLOOKUP(F304,'Transform table'!A:B,2,0)</f>
        <v>Lexington SC</v>
      </c>
      <c r="Z304" t="str">
        <f t="shared" si="4"/>
        <v>25/07/2026Tulsa RoughnecksLexington SC</v>
      </c>
      <c r="AA304" t="str">
        <f>VLOOKUP($Z304,'oddspedia-matches'!$A:$AD,AA$2,0)</f>
        <v>0 - 0</v>
      </c>
      <c r="AB304" t="str">
        <f>VLOOKUP($Z304,'oddspedia-matches'!$A:$AD,AB$2,0)</f>
        <v>Red</v>
      </c>
      <c r="AC304" t="str">
        <f>VLOOKUP($Z304,'oddspedia-matches'!$A:$AD,AC$2,0)</f>
        <v>Green</v>
      </c>
      <c r="AD304" t="str">
        <f>VLOOKUP($Z304,'oddspedia-matches'!$A:$AD,AD$2,0)</f>
        <v>Red</v>
      </c>
      <c r="AE304" t="str">
        <f>VLOOKUP($Z304,'oddspedia-matches'!$A:$AD,AE$2,0)</f>
        <v>Green</v>
      </c>
      <c r="AF304" t="str">
        <f>VLOOKUP($Z304,'oddspedia-matches'!$A:$AD,AF$2,0)</f>
        <v>Green</v>
      </c>
      <c r="AG304" t="str">
        <f>VLOOKUP($Z304,'oddspedia-matches'!$A:$AD,AG$2,0)</f>
        <v>Red</v>
      </c>
      <c r="AH304" t="str">
        <f>VLOOKUP($Z304,'oddspedia-matches'!$A:$AD,AH$2,0)</f>
        <v>Red</v>
      </c>
      <c r="AI304" t="str">
        <f>VLOOKUP($Z304,'oddspedia-matches'!$A:$AD,AI$2,0)</f>
        <v>Green</v>
      </c>
      <c r="AJ304" t="str">
        <f>VLOOKUP($Z304,'oddspedia-matches'!$A:$AD,AJ$2,0)</f>
        <v>Red</v>
      </c>
      <c r="AK304" t="str">
        <f>VLOOKUP($Z304,'oddspedia-matches'!$A:$AD,AK$2,0)</f>
        <v>Red</v>
      </c>
      <c r="AL304" t="str">
        <f>VLOOKUP($Z304,'oddspedia-matches'!$A:$AD,AL$2,0)</f>
        <v>Red</v>
      </c>
      <c r="AM304" t="str">
        <f>VLOOKUP($Z304,'oddspedia-matches'!$A:$AD,AM$2,0)</f>
        <v>Red</v>
      </c>
      <c r="AN304" t="str">
        <f>VLOOKUP($Z304,'oddspedia-matches'!$A:$AD,AN$2,0)</f>
        <v>Green</v>
      </c>
      <c r="AO304" t="str">
        <f>VLOOKUP($Z304,'oddspedia-matches'!$A:$AD,AO$2,0)</f>
        <v>Green</v>
      </c>
      <c r="AP304" t="str">
        <f>VLOOKUP($Z304,'oddspedia-matches'!$A:$AD,AP$2,0)</f>
        <v>Red</v>
      </c>
      <c r="AQ304" t="str">
        <f>VLOOKUP($Z304,'oddspedia-matches'!$A:$AD,AQ$2,0)</f>
        <v>Green</v>
      </c>
    </row>
    <row r="305" spans="2:43" x14ac:dyDescent="0.2">
      <c r="B305" s="17" t="s">
        <v>466</v>
      </c>
      <c r="C305" s="8" t="s">
        <v>490</v>
      </c>
      <c r="D305" s="18">
        <v>0.90625</v>
      </c>
      <c r="E305" s="8" t="s">
        <v>785</v>
      </c>
      <c r="F305" s="8" t="s">
        <v>786</v>
      </c>
      <c r="G305" s="19"/>
      <c r="H305" s="8">
        <v>51.2</v>
      </c>
      <c r="I305" s="8">
        <v>25.4</v>
      </c>
      <c r="J305" s="8">
        <v>23.4</v>
      </c>
      <c r="K305" s="8">
        <v>76.599999999999994</v>
      </c>
      <c r="L305" s="8">
        <v>48.8</v>
      </c>
      <c r="M305" s="8">
        <v>74.599999999999994</v>
      </c>
      <c r="N305" s="8">
        <v>44.3</v>
      </c>
      <c r="O305" s="8">
        <v>36.799999999999997</v>
      </c>
      <c r="P305" s="8">
        <v>18.899999999999999</v>
      </c>
      <c r="Q305" s="8">
        <v>77.599999999999994</v>
      </c>
      <c r="R305" s="8">
        <v>83.4</v>
      </c>
      <c r="S305" s="8">
        <v>61.2</v>
      </c>
      <c r="T305" s="8">
        <v>38.799999999999997</v>
      </c>
      <c r="U305" s="8">
        <v>45.2</v>
      </c>
      <c r="V305" s="8">
        <v>62</v>
      </c>
      <c r="W305" s="8">
        <v>38</v>
      </c>
      <c r="X305" t="str">
        <f>VLOOKUP(E305,'Transform table'!A:B,2,0)</f>
        <v>North Texas SC</v>
      </c>
      <c r="Y305" t="str">
        <f>VLOOKUP(F305,'Transform table'!A:B,2,0)</f>
        <v>Los Angeles FC II</v>
      </c>
      <c r="Z305" t="str">
        <f t="shared" si="4"/>
        <v>25/07/2026North Texas SCLos Angeles FC II</v>
      </c>
      <c r="AA305" t="str">
        <f>VLOOKUP($Z305,'oddspedia-matches'!$A:$AD,AA$2,0)</f>
        <v>2 - 2</v>
      </c>
      <c r="AB305" t="str">
        <f>VLOOKUP($Z305,'oddspedia-matches'!$A:$AD,AB$2,0)</f>
        <v>Red</v>
      </c>
      <c r="AC305" t="str">
        <f>VLOOKUP($Z305,'oddspedia-matches'!$A:$AD,AC$2,0)</f>
        <v>Green</v>
      </c>
      <c r="AD305" t="str">
        <f>VLOOKUP($Z305,'oddspedia-matches'!$A:$AD,AD$2,0)</f>
        <v>Red</v>
      </c>
      <c r="AE305" t="str">
        <f>VLOOKUP($Z305,'oddspedia-matches'!$A:$AD,AE$2,0)</f>
        <v>Green</v>
      </c>
      <c r="AF305" t="str">
        <f>VLOOKUP($Z305,'oddspedia-matches'!$A:$AD,AF$2,0)</f>
        <v>Green</v>
      </c>
      <c r="AG305" t="str">
        <f>VLOOKUP($Z305,'oddspedia-matches'!$A:$AD,AG$2,0)</f>
        <v>Red</v>
      </c>
      <c r="AH305" t="str">
        <f>VLOOKUP($Z305,'oddspedia-matches'!$A:$AD,AH$2,0)</f>
        <v>Red</v>
      </c>
      <c r="AI305" t="str">
        <f>VLOOKUP($Z305,'oddspedia-matches'!$A:$AD,AI$2,0)</f>
        <v>Red</v>
      </c>
      <c r="AJ305" t="str">
        <f>VLOOKUP($Z305,'oddspedia-matches'!$A:$AD,AJ$2,0)</f>
        <v>Green</v>
      </c>
      <c r="AK305" t="str">
        <f>VLOOKUP($Z305,'oddspedia-matches'!$A:$AD,AK$2,0)</f>
        <v>Green</v>
      </c>
      <c r="AL305" t="str">
        <f>VLOOKUP($Z305,'oddspedia-matches'!$A:$AD,AL$2,0)</f>
        <v>Green</v>
      </c>
      <c r="AM305" t="str">
        <f>VLOOKUP($Z305,'oddspedia-matches'!$A:$AD,AM$2,0)</f>
        <v>Green</v>
      </c>
      <c r="AN305" t="str">
        <f>VLOOKUP($Z305,'oddspedia-matches'!$A:$AD,AN$2,0)</f>
        <v>Red</v>
      </c>
      <c r="AO305" t="str">
        <f>VLOOKUP($Z305,'oddspedia-matches'!$A:$AD,AO$2,0)</f>
        <v>Red</v>
      </c>
      <c r="AP305" t="str">
        <f>VLOOKUP($Z305,'oddspedia-matches'!$A:$AD,AP$2,0)</f>
        <v>Green</v>
      </c>
      <c r="AQ305" t="str">
        <f>VLOOKUP($Z305,'oddspedia-matches'!$A:$AD,AQ$2,0)</f>
        <v>Red</v>
      </c>
    </row>
    <row r="306" spans="2:43" x14ac:dyDescent="0.2">
      <c r="B306" s="9" t="s">
        <v>467</v>
      </c>
      <c r="C306" s="7" t="s">
        <v>490</v>
      </c>
      <c r="D306" s="20">
        <v>0.91666666666666663</v>
      </c>
      <c r="E306" s="7" t="s">
        <v>81</v>
      </c>
      <c r="F306" s="7" t="s">
        <v>787</v>
      </c>
      <c r="G306" s="21"/>
      <c r="H306" s="7">
        <v>41.3</v>
      </c>
      <c r="I306" s="7">
        <v>26.4</v>
      </c>
      <c r="J306" s="7">
        <v>32.299999999999997</v>
      </c>
      <c r="K306" s="7">
        <v>67.7</v>
      </c>
      <c r="L306" s="7">
        <v>58.7</v>
      </c>
      <c r="M306" s="7">
        <v>73.599999999999994</v>
      </c>
      <c r="N306" s="7">
        <v>25.6</v>
      </c>
      <c r="O306" s="7">
        <v>44.1</v>
      </c>
      <c r="P306" s="7">
        <v>30.3</v>
      </c>
      <c r="Q306" s="7">
        <v>68.900000000000006</v>
      </c>
      <c r="R306" s="7">
        <v>84.1</v>
      </c>
      <c r="S306" s="7">
        <v>62.3</v>
      </c>
      <c r="T306" s="7">
        <v>37.700000000000003</v>
      </c>
      <c r="U306" s="7">
        <v>43.3</v>
      </c>
      <c r="V306" s="7">
        <v>65</v>
      </c>
      <c r="W306" s="7">
        <v>35</v>
      </c>
      <c r="X306" t="str">
        <f>VLOOKUP(E306,'Transform table'!A:B,2,0)</f>
        <v>Colorado Switchbacks</v>
      </c>
      <c r="Y306" t="str">
        <f>VLOOKUP(F306,'Transform table'!A:B,2,0)</f>
        <v>Charleston Battery</v>
      </c>
      <c r="Z306" t="str">
        <f t="shared" si="4"/>
        <v>25/07/2026Colorado SwitchbacksCharleston Battery</v>
      </c>
      <c r="AA306" t="str">
        <f>VLOOKUP($Z306,'oddspedia-matches'!$A:$AD,AA$2,0)</f>
        <v>2 - 1</v>
      </c>
      <c r="AB306" t="str">
        <f>VLOOKUP($Z306,'oddspedia-matches'!$A:$AD,AB$2,0)</f>
        <v>Green</v>
      </c>
      <c r="AC306" t="str">
        <f>VLOOKUP($Z306,'oddspedia-matches'!$A:$AD,AC$2,0)</f>
        <v>Red</v>
      </c>
      <c r="AD306" t="str">
        <f>VLOOKUP($Z306,'oddspedia-matches'!$A:$AD,AD$2,0)</f>
        <v>Red</v>
      </c>
      <c r="AE306" t="str">
        <f>VLOOKUP($Z306,'oddspedia-matches'!$A:$AD,AE$2,0)</f>
        <v>Green</v>
      </c>
      <c r="AF306" t="str">
        <f>VLOOKUP($Z306,'oddspedia-matches'!$A:$AD,AF$2,0)</f>
        <v>Red</v>
      </c>
      <c r="AG306" t="str">
        <f>VLOOKUP($Z306,'oddspedia-matches'!$A:$AD,AG$2,0)</f>
        <v>Green</v>
      </c>
      <c r="AH306" t="str">
        <f>VLOOKUP($Z306,'oddspedia-matches'!$A:$AD,AH$2,0)</f>
        <v>Red</v>
      </c>
      <c r="AI306" t="str">
        <f>VLOOKUP($Z306,'oddspedia-matches'!$A:$AD,AI$2,0)</f>
        <v>Green</v>
      </c>
      <c r="AJ306" t="str">
        <f>VLOOKUP($Z306,'oddspedia-matches'!$A:$AD,AJ$2,0)</f>
        <v>Red</v>
      </c>
      <c r="AK306" t="str">
        <f>VLOOKUP($Z306,'oddspedia-matches'!$A:$AD,AK$2,0)</f>
        <v>Red</v>
      </c>
      <c r="AL306" t="str">
        <f>VLOOKUP($Z306,'oddspedia-matches'!$A:$AD,AL$2,0)</f>
        <v>Green</v>
      </c>
      <c r="AM306" t="str">
        <f>VLOOKUP($Z306,'oddspedia-matches'!$A:$AD,AM$2,0)</f>
        <v>Green</v>
      </c>
      <c r="AN306" t="str">
        <f>VLOOKUP($Z306,'oddspedia-matches'!$A:$AD,AN$2,0)</f>
        <v>Red</v>
      </c>
      <c r="AO306" t="str">
        <f>VLOOKUP($Z306,'oddspedia-matches'!$A:$AD,AO$2,0)</f>
        <v>Green</v>
      </c>
      <c r="AP306" t="str">
        <f>VLOOKUP($Z306,'oddspedia-matches'!$A:$AD,AP$2,0)</f>
        <v>Green</v>
      </c>
      <c r="AQ306" t="str">
        <f>VLOOKUP($Z306,'oddspedia-matches'!$A:$AD,AQ$2,0)</f>
        <v>Red</v>
      </c>
    </row>
    <row r="307" spans="2:43" x14ac:dyDescent="0.2">
      <c r="B307" s="17" t="s">
        <v>467</v>
      </c>
      <c r="C307" s="8" t="s">
        <v>490</v>
      </c>
      <c r="D307" s="18">
        <v>0.91666666666666663</v>
      </c>
      <c r="E307" s="8" t="s">
        <v>788</v>
      </c>
      <c r="F307" s="8" t="s">
        <v>789</v>
      </c>
      <c r="G307" s="19"/>
      <c r="H307" s="8">
        <v>55.8</v>
      </c>
      <c r="I307" s="8">
        <v>24</v>
      </c>
      <c r="J307" s="8">
        <v>20.2</v>
      </c>
      <c r="K307" s="8">
        <v>79.8</v>
      </c>
      <c r="L307" s="8">
        <v>44.2</v>
      </c>
      <c r="M307" s="8">
        <v>76</v>
      </c>
      <c r="N307" s="8">
        <v>45.6</v>
      </c>
      <c r="O307" s="8">
        <v>33.5</v>
      </c>
      <c r="P307" s="8">
        <v>21</v>
      </c>
      <c r="Q307" s="8">
        <v>83.1</v>
      </c>
      <c r="R307" s="8">
        <v>90.7</v>
      </c>
      <c r="S307" s="8">
        <v>74.599999999999994</v>
      </c>
      <c r="T307" s="8">
        <v>25.4</v>
      </c>
      <c r="U307" s="8">
        <v>31.5</v>
      </c>
      <c r="V307" s="8">
        <v>71.2</v>
      </c>
      <c r="W307" s="8">
        <v>28.8</v>
      </c>
      <c r="X307" t="str">
        <f>VLOOKUP(E307,'Transform table'!A:B,2,0)</f>
        <v>El Paso Locomotive</v>
      </c>
      <c r="Y307" t="str">
        <f>VLOOKUP(F307,'Transform table'!A:B,2,0)</f>
        <v>Sporting Jacksonville</v>
      </c>
      <c r="Z307" t="str">
        <f t="shared" si="4"/>
        <v>25/07/2026El Paso LocomotiveSporting Jacksonville</v>
      </c>
      <c r="AA307" t="str">
        <f>VLOOKUP($Z307,'oddspedia-matches'!$A:$AD,AA$2,0)</f>
        <v>2 - 0</v>
      </c>
      <c r="AB307" t="str">
        <f>VLOOKUP($Z307,'oddspedia-matches'!$A:$AD,AB$2,0)</f>
        <v>Green</v>
      </c>
      <c r="AC307" t="str">
        <f>VLOOKUP($Z307,'oddspedia-matches'!$A:$AD,AC$2,0)</f>
        <v>Red</v>
      </c>
      <c r="AD307" t="str">
        <f>VLOOKUP($Z307,'oddspedia-matches'!$A:$AD,AD$2,0)</f>
        <v>Red</v>
      </c>
      <c r="AE307" t="str">
        <f>VLOOKUP($Z307,'oddspedia-matches'!$A:$AD,AE$2,0)</f>
        <v>Green</v>
      </c>
      <c r="AF307" t="str">
        <f>VLOOKUP($Z307,'oddspedia-matches'!$A:$AD,AF$2,0)</f>
        <v>Red</v>
      </c>
      <c r="AG307" t="str">
        <f>VLOOKUP($Z307,'oddspedia-matches'!$A:$AD,AG$2,0)</f>
        <v>Green</v>
      </c>
      <c r="AH307" t="str">
        <f>VLOOKUP($Z307,'oddspedia-matches'!$A:$AD,AH$2,0)</f>
        <v>Green</v>
      </c>
      <c r="AI307" t="str">
        <f>VLOOKUP($Z307,'oddspedia-matches'!$A:$AD,AI$2,0)</f>
        <v>Red</v>
      </c>
      <c r="AJ307" t="str">
        <f>VLOOKUP($Z307,'oddspedia-matches'!$A:$AD,AJ$2,0)</f>
        <v>Red</v>
      </c>
      <c r="AK307" t="str">
        <f>VLOOKUP($Z307,'oddspedia-matches'!$A:$AD,AK$2,0)</f>
        <v>Green</v>
      </c>
      <c r="AL307" t="str">
        <f>VLOOKUP($Z307,'oddspedia-matches'!$A:$AD,AL$2,0)</f>
        <v>Green</v>
      </c>
      <c r="AM307" t="str">
        <f>VLOOKUP($Z307,'oddspedia-matches'!$A:$AD,AM$2,0)</f>
        <v>Red</v>
      </c>
      <c r="AN307" t="str">
        <f>VLOOKUP($Z307,'oddspedia-matches'!$A:$AD,AN$2,0)</f>
        <v>Green</v>
      </c>
      <c r="AO307" t="str">
        <f>VLOOKUP($Z307,'oddspedia-matches'!$A:$AD,AO$2,0)</f>
        <v>Green</v>
      </c>
      <c r="AP307" t="str">
        <f>VLOOKUP($Z307,'oddspedia-matches'!$A:$AD,AP$2,0)</f>
        <v>Red</v>
      </c>
      <c r="AQ307" t="str">
        <f>VLOOKUP($Z307,'oddspedia-matches'!$A:$AD,AQ$2,0)</f>
        <v>Green</v>
      </c>
    </row>
    <row r="308" spans="2:43" x14ac:dyDescent="0.2">
      <c r="B308" s="9" t="s">
        <v>482</v>
      </c>
      <c r="C308" s="7" t="s">
        <v>490</v>
      </c>
      <c r="D308" s="20">
        <v>0.91666666666666663</v>
      </c>
      <c r="E308" s="7" t="s">
        <v>790</v>
      </c>
      <c r="F308" s="7" t="s">
        <v>791</v>
      </c>
      <c r="G308" s="21"/>
      <c r="H308" s="7">
        <v>52.2</v>
      </c>
      <c r="I308" s="7">
        <v>25.3</v>
      </c>
      <c r="J308" s="7">
        <v>22.5</v>
      </c>
      <c r="K308" s="7">
        <v>77.5</v>
      </c>
      <c r="L308" s="7">
        <v>47.8</v>
      </c>
      <c r="M308" s="7">
        <v>74.7</v>
      </c>
      <c r="N308" s="7">
        <v>42.8</v>
      </c>
      <c r="O308" s="7">
        <v>39.9</v>
      </c>
      <c r="P308" s="7">
        <v>17.3</v>
      </c>
      <c r="Q308" s="7">
        <v>72.5</v>
      </c>
      <c r="R308" s="7">
        <v>82.8</v>
      </c>
      <c r="S308" s="7">
        <v>60.2</v>
      </c>
      <c r="T308" s="7">
        <v>39.799999999999997</v>
      </c>
      <c r="U308" s="7">
        <v>46.3</v>
      </c>
      <c r="V308" s="7">
        <v>60.9</v>
      </c>
      <c r="W308" s="7">
        <v>39.1</v>
      </c>
      <c r="X308" t="str">
        <f>VLOOKUP(E308,'Transform table'!A:B,2,0)</f>
        <v>FBC Melgar</v>
      </c>
      <c r="Y308" t="str">
        <f>VLOOKUP(F308,'Transform table'!A:B,2,0)</f>
        <v>Sporting Cristal</v>
      </c>
      <c r="Z308" t="str">
        <f t="shared" si="4"/>
        <v>25/07/2026FBC MelgarSporting Cristal</v>
      </c>
      <c r="AA308" t="str">
        <f>VLOOKUP($Z308,'oddspedia-matches'!$A:$AD,AA$2,0)</f>
        <v>2 - 1</v>
      </c>
      <c r="AB308" t="str">
        <f>VLOOKUP($Z308,'oddspedia-matches'!$A:$AD,AB$2,0)</f>
        <v>Green</v>
      </c>
      <c r="AC308" t="str">
        <f>VLOOKUP($Z308,'oddspedia-matches'!$A:$AD,AC$2,0)</f>
        <v>Red</v>
      </c>
      <c r="AD308" t="str">
        <f>VLOOKUP($Z308,'oddspedia-matches'!$A:$AD,AD$2,0)</f>
        <v>Red</v>
      </c>
      <c r="AE308" t="str">
        <f>VLOOKUP($Z308,'oddspedia-matches'!$A:$AD,AE$2,0)</f>
        <v>Green</v>
      </c>
      <c r="AF308" t="str">
        <f>VLOOKUP($Z308,'oddspedia-matches'!$A:$AD,AF$2,0)</f>
        <v>Red</v>
      </c>
      <c r="AG308" t="str">
        <f>VLOOKUP($Z308,'oddspedia-matches'!$A:$AD,AG$2,0)</f>
        <v>Green</v>
      </c>
      <c r="AH308" t="str">
        <f>VLOOKUP($Z308,'oddspedia-matches'!$A:$AD,AH$2,0)</f>
        <v>Green</v>
      </c>
      <c r="AI308" t="str">
        <f>VLOOKUP($Z308,'oddspedia-matches'!$A:$AD,AI$2,0)</f>
        <v>Red</v>
      </c>
      <c r="AJ308" t="str">
        <f>VLOOKUP($Z308,'oddspedia-matches'!$A:$AD,AJ$2,0)</f>
        <v>Red</v>
      </c>
      <c r="AK308" t="str">
        <f>VLOOKUP($Z308,'oddspedia-matches'!$A:$AD,AK$2,0)</f>
        <v>Green</v>
      </c>
      <c r="AL308" t="str">
        <f>VLOOKUP($Z308,'oddspedia-matches'!$A:$AD,AL$2,0)</f>
        <v>Green</v>
      </c>
      <c r="AM308" t="str">
        <f>VLOOKUP($Z308,'oddspedia-matches'!$A:$AD,AM$2,0)</f>
        <v>Green</v>
      </c>
      <c r="AN308" t="str">
        <f>VLOOKUP($Z308,'oddspedia-matches'!$A:$AD,AN$2,0)</f>
        <v>Red</v>
      </c>
      <c r="AO308" t="str">
        <f>VLOOKUP($Z308,'oddspedia-matches'!$A:$AD,AO$2,0)</f>
        <v>Green</v>
      </c>
      <c r="AP308" t="str">
        <f>VLOOKUP($Z308,'oddspedia-matches'!$A:$AD,AP$2,0)</f>
        <v>Green</v>
      </c>
      <c r="AQ308" t="str">
        <f>VLOOKUP($Z308,'oddspedia-matches'!$A:$AD,AQ$2,0)</f>
        <v>Red</v>
      </c>
    </row>
    <row r="309" spans="2:43" x14ac:dyDescent="0.2">
      <c r="B309" s="17" t="s">
        <v>487</v>
      </c>
      <c r="C309" s="8" t="s">
        <v>490</v>
      </c>
      <c r="D309" s="18">
        <v>0.92708333333333337</v>
      </c>
      <c r="E309" s="8" t="s">
        <v>419</v>
      </c>
      <c r="F309" s="8" t="s">
        <v>792</v>
      </c>
      <c r="G309" s="19"/>
      <c r="H309" s="8">
        <v>43.1</v>
      </c>
      <c r="I309" s="8">
        <v>29.5</v>
      </c>
      <c r="J309" s="8">
        <v>27.4</v>
      </c>
      <c r="K309" s="8">
        <v>72.599999999999994</v>
      </c>
      <c r="L309" s="8">
        <v>56.9</v>
      </c>
      <c r="M309" s="8">
        <v>70.5</v>
      </c>
      <c r="N309" s="8">
        <v>33.9</v>
      </c>
      <c r="O309" s="8">
        <v>43</v>
      </c>
      <c r="P309" s="8">
        <v>23.1</v>
      </c>
      <c r="Q309" s="8">
        <v>70</v>
      </c>
      <c r="R309" s="8">
        <v>71.400000000000006</v>
      </c>
      <c r="S309" s="8">
        <v>44.2</v>
      </c>
      <c r="T309" s="8">
        <v>55.8</v>
      </c>
      <c r="U309" s="8">
        <v>61.4</v>
      </c>
      <c r="V309" s="8">
        <v>50.3</v>
      </c>
      <c r="W309" s="8">
        <v>49.7</v>
      </c>
      <c r="X309" t="str">
        <f>VLOOKUP(E309,'Transform table'!A:B,2,0)</f>
        <v>Deportes Tolima</v>
      </c>
      <c r="Y309" t="str">
        <f>VLOOKUP(F309,'Transform table'!A:B,2,0)</f>
        <v>Junior FC</v>
      </c>
      <c r="Z309" t="str">
        <f t="shared" si="4"/>
        <v>25/07/2026Deportes TolimaJunior FC</v>
      </c>
      <c r="AA309" t="str">
        <f>VLOOKUP($Z309,'oddspedia-matches'!$A:$AD,AA$2,0)</f>
        <v>2 - 1</v>
      </c>
      <c r="AB309" t="str">
        <f>VLOOKUP($Z309,'oddspedia-matches'!$A:$AD,AB$2,0)</f>
        <v>Green</v>
      </c>
      <c r="AC309" t="str">
        <f>VLOOKUP($Z309,'oddspedia-matches'!$A:$AD,AC$2,0)</f>
        <v>Red</v>
      </c>
      <c r="AD309" t="str">
        <f>VLOOKUP($Z309,'oddspedia-matches'!$A:$AD,AD$2,0)</f>
        <v>Red</v>
      </c>
      <c r="AE309" t="str">
        <f>VLOOKUP($Z309,'oddspedia-matches'!$A:$AD,AE$2,0)</f>
        <v>Green</v>
      </c>
      <c r="AF309" t="str">
        <f>VLOOKUP($Z309,'oddspedia-matches'!$A:$AD,AF$2,0)</f>
        <v>Red</v>
      </c>
      <c r="AG309" t="str">
        <f>VLOOKUP($Z309,'oddspedia-matches'!$A:$AD,AG$2,0)</f>
        <v>Green</v>
      </c>
      <c r="AH309" t="str">
        <f>VLOOKUP($Z309,'oddspedia-matches'!$A:$AD,AH$2,0)</f>
        <v>Green</v>
      </c>
      <c r="AI309" t="str">
        <f>VLOOKUP($Z309,'oddspedia-matches'!$A:$AD,AI$2,0)</f>
        <v>Red</v>
      </c>
      <c r="AJ309" t="str">
        <f>VLOOKUP($Z309,'oddspedia-matches'!$A:$AD,AJ$2,0)</f>
        <v>Red</v>
      </c>
      <c r="AK309" t="str">
        <f>VLOOKUP($Z309,'oddspedia-matches'!$A:$AD,AK$2,0)</f>
        <v>Green</v>
      </c>
      <c r="AL309" t="str">
        <f>VLOOKUP($Z309,'oddspedia-matches'!$A:$AD,AL$2,0)</f>
        <v>Green</v>
      </c>
      <c r="AM309" t="str">
        <f>VLOOKUP($Z309,'oddspedia-matches'!$A:$AD,AM$2,0)</f>
        <v>Green</v>
      </c>
      <c r="AN309" t="str">
        <f>VLOOKUP($Z309,'oddspedia-matches'!$A:$AD,AN$2,0)</f>
        <v>Red</v>
      </c>
      <c r="AO309" t="str">
        <f>VLOOKUP($Z309,'oddspedia-matches'!$A:$AD,AO$2,0)</f>
        <v>Green</v>
      </c>
      <c r="AP309" t="str">
        <f>VLOOKUP($Z309,'oddspedia-matches'!$A:$AD,AP$2,0)</f>
        <v>Green</v>
      </c>
      <c r="AQ309" t="str">
        <f>VLOOKUP($Z309,'oddspedia-matches'!$A:$AD,AQ$2,0)</f>
        <v>Red</v>
      </c>
    </row>
    <row r="310" spans="2:43" x14ac:dyDescent="0.2">
      <c r="B310" s="9" t="s">
        <v>468</v>
      </c>
      <c r="C310" s="7" t="s">
        <v>490</v>
      </c>
      <c r="D310" s="20">
        <v>0.9375</v>
      </c>
      <c r="E310" s="7" t="s">
        <v>86</v>
      </c>
      <c r="F310" s="7" t="s">
        <v>92</v>
      </c>
      <c r="G310" s="21"/>
      <c r="H310" s="7">
        <v>40.200000000000003</v>
      </c>
      <c r="I310" s="7">
        <v>25.8</v>
      </c>
      <c r="J310" s="7">
        <v>34.1</v>
      </c>
      <c r="K310" s="7">
        <v>65.900000000000006</v>
      </c>
      <c r="L310" s="7">
        <v>59.8</v>
      </c>
      <c r="M310" s="7">
        <v>74.2</v>
      </c>
      <c r="N310" s="7">
        <v>37.700000000000003</v>
      </c>
      <c r="O310" s="7">
        <v>32.799999999999997</v>
      </c>
      <c r="P310" s="7">
        <v>29.5</v>
      </c>
      <c r="Q310" s="7">
        <v>86.1</v>
      </c>
      <c r="R310" s="7">
        <v>87.7</v>
      </c>
      <c r="S310" s="7">
        <v>68.599999999999994</v>
      </c>
      <c r="T310" s="7">
        <v>31.4</v>
      </c>
      <c r="U310" s="7">
        <v>36.799999999999997</v>
      </c>
      <c r="V310" s="7">
        <v>69.900000000000006</v>
      </c>
      <c r="W310" s="7">
        <v>30.1</v>
      </c>
      <c r="X310" t="str">
        <f>VLOOKUP(E310,'Transform table'!A:B,2,0)</f>
        <v>San Diego FC</v>
      </c>
      <c r="Y310" t="str">
        <f>VLOOKUP(F310,'Transform table'!A:B,2,0)</f>
        <v>Dallas</v>
      </c>
      <c r="Z310" t="str">
        <f t="shared" si="4"/>
        <v>25/07/2026San Diego FCDallas</v>
      </c>
      <c r="AA310" t="str">
        <f>VLOOKUP($Z310,'oddspedia-matches'!$A:$AD,AA$2,0)</f>
        <v>1 - 0</v>
      </c>
      <c r="AB310" t="str">
        <f>VLOOKUP($Z310,'oddspedia-matches'!$A:$AD,AB$2,0)</f>
        <v>Green</v>
      </c>
      <c r="AC310" t="str">
        <f>VLOOKUP($Z310,'oddspedia-matches'!$A:$AD,AC$2,0)</f>
        <v>Red</v>
      </c>
      <c r="AD310" t="str">
        <f>VLOOKUP($Z310,'oddspedia-matches'!$A:$AD,AD$2,0)</f>
        <v>Red</v>
      </c>
      <c r="AE310" t="str">
        <f>VLOOKUP($Z310,'oddspedia-matches'!$A:$AD,AE$2,0)</f>
        <v>Green</v>
      </c>
      <c r="AF310" t="str">
        <f>VLOOKUP($Z310,'oddspedia-matches'!$A:$AD,AF$2,0)</f>
        <v>Red</v>
      </c>
      <c r="AG310" t="str">
        <f>VLOOKUP($Z310,'oddspedia-matches'!$A:$AD,AG$2,0)</f>
        <v>Green</v>
      </c>
      <c r="AH310" t="str">
        <f>VLOOKUP($Z310,'oddspedia-matches'!$A:$AD,AH$2,0)</f>
        <v>Red</v>
      </c>
      <c r="AI310" t="str">
        <f>VLOOKUP($Z310,'oddspedia-matches'!$A:$AD,AI$2,0)</f>
        <v>Green</v>
      </c>
      <c r="AJ310" t="str">
        <f>VLOOKUP($Z310,'oddspedia-matches'!$A:$AD,AJ$2,0)</f>
        <v>Red</v>
      </c>
      <c r="AK310" t="str">
        <f>VLOOKUP($Z310,'oddspedia-matches'!$A:$AD,AK$2,0)</f>
        <v>Red</v>
      </c>
      <c r="AL310" t="str">
        <f>VLOOKUP($Z310,'oddspedia-matches'!$A:$AD,AL$2,0)</f>
        <v>Red</v>
      </c>
      <c r="AM310" t="str">
        <f>VLOOKUP($Z310,'oddspedia-matches'!$A:$AD,AM$2,0)</f>
        <v>Red</v>
      </c>
      <c r="AN310" t="str">
        <f>VLOOKUP($Z310,'oddspedia-matches'!$A:$AD,AN$2,0)</f>
        <v>Green</v>
      </c>
      <c r="AO310" t="str">
        <f>VLOOKUP($Z310,'oddspedia-matches'!$A:$AD,AO$2,0)</f>
        <v>Green</v>
      </c>
      <c r="AP310" t="str">
        <f>VLOOKUP($Z310,'oddspedia-matches'!$A:$AD,AP$2,0)</f>
        <v>Red</v>
      </c>
      <c r="AQ310" t="str">
        <f>VLOOKUP($Z310,'oddspedia-matches'!$A:$AD,AQ$2,0)</f>
        <v>Green</v>
      </c>
    </row>
    <row r="311" spans="2:43" x14ac:dyDescent="0.2">
      <c r="B311" s="17" t="s">
        <v>489</v>
      </c>
      <c r="C311" s="8" t="s">
        <v>490</v>
      </c>
      <c r="D311" s="18">
        <v>0.9375</v>
      </c>
      <c r="E311" s="8" t="s">
        <v>793</v>
      </c>
      <c r="F311" s="8" t="s">
        <v>794</v>
      </c>
      <c r="G311" s="19"/>
      <c r="H311" s="8">
        <v>41.5</v>
      </c>
      <c r="I311" s="8">
        <v>27.5</v>
      </c>
      <c r="J311" s="8">
        <v>31.1</v>
      </c>
      <c r="K311" s="8">
        <v>68.900000000000006</v>
      </c>
      <c r="L311" s="8">
        <v>58.5</v>
      </c>
      <c r="M311" s="8">
        <v>72.5</v>
      </c>
      <c r="N311" s="8">
        <v>34.299999999999997</v>
      </c>
      <c r="O311" s="8">
        <v>39</v>
      </c>
      <c r="P311" s="8">
        <v>26.6</v>
      </c>
      <c r="Q311" s="8">
        <v>76.5</v>
      </c>
      <c r="R311" s="8">
        <v>79.8</v>
      </c>
      <c r="S311" s="8">
        <v>55.5</v>
      </c>
      <c r="T311" s="8">
        <v>44.5</v>
      </c>
      <c r="U311" s="8">
        <v>50.2</v>
      </c>
      <c r="V311" s="8">
        <v>59.7</v>
      </c>
      <c r="W311" s="8">
        <v>40.299999999999997</v>
      </c>
      <c r="X311" t="str">
        <f>VLOOKUP(E311,'Transform table'!A:B,2,0)</f>
        <v>Union Deportivo Universitario</v>
      </c>
      <c r="Y311" t="str">
        <f>VLOOKUP(F311,'Transform table'!A:B,2,0)</f>
        <v>San Francisco FC</v>
      </c>
      <c r="Z311" t="str">
        <f t="shared" si="4"/>
        <v>25/07/2026Union Deportivo UniversitarioSan Francisco FC</v>
      </c>
      <c r="AA311" t="str">
        <f>VLOOKUP($Z311,'oddspedia-matches'!$A:$AD,AA$2,0)</f>
        <v>1 - 2</v>
      </c>
      <c r="AB311" t="str">
        <f>VLOOKUP($Z311,'oddspedia-matches'!$A:$AD,AB$2,0)</f>
        <v>Red</v>
      </c>
      <c r="AC311" t="str">
        <f>VLOOKUP($Z311,'oddspedia-matches'!$A:$AD,AC$2,0)</f>
        <v>Red</v>
      </c>
      <c r="AD311" t="str">
        <f>VLOOKUP($Z311,'oddspedia-matches'!$A:$AD,AD$2,0)</f>
        <v>Green</v>
      </c>
      <c r="AE311" t="str">
        <f>VLOOKUP($Z311,'oddspedia-matches'!$A:$AD,AE$2,0)</f>
        <v>Red</v>
      </c>
      <c r="AF311" t="str">
        <f>VLOOKUP($Z311,'oddspedia-matches'!$A:$AD,AF$2,0)</f>
        <v>Green</v>
      </c>
      <c r="AG311" t="str">
        <f>VLOOKUP($Z311,'oddspedia-matches'!$A:$AD,AG$2,0)</f>
        <v>Green</v>
      </c>
      <c r="AH311" t="str">
        <f>VLOOKUP($Z311,'oddspedia-matches'!$A:$AD,AH$2,0)</f>
        <v>Red</v>
      </c>
      <c r="AI311" t="str">
        <f>VLOOKUP($Z311,'oddspedia-matches'!$A:$AD,AI$2,0)</f>
        <v>Red</v>
      </c>
      <c r="AJ311" t="str">
        <f>VLOOKUP($Z311,'oddspedia-matches'!$A:$AD,AJ$2,0)</f>
        <v>Green</v>
      </c>
      <c r="AK311" t="str">
        <f>VLOOKUP($Z311,'oddspedia-matches'!$A:$AD,AK$2,0)</f>
        <v>Green</v>
      </c>
      <c r="AL311" t="str">
        <f>VLOOKUP($Z311,'oddspedia-matches'!$A:$AD,AL$2,0)</f>
        <v>Green</v>
      </c>
      <c r="AM311" t="str">
        <f>VLOOKUP($Z311,'oddspedia-matches'!$A:$AD,AM$2,0)</f>
        <v>Green</v>
      </c>
      <c r="AN311" t="str">
        <f>VLOOKUP($Z311,'oddspedia-matches'!$A:$AD,AN$2,0)</f>
        <v>Red</v>
      </c>
      <c r="AO311" t="str">
        <f>VLOOKUP($Z311,'oddspedia-matches'!$A:$AD,AO$2,0)</f>
        <v>Green</v>
      </c>
      <c r="AP311" t="str">
        <f>VLOOKUP($Z311,'oddspedia-matches'!$A:$AD,AP$2,0)</f>
        <v>Green</v>
      </c>
      <c r="AQ311" t="str">
        <f>VLOOKUP($Z311,'oddspedia-matches'!$A:$AD,AQ$2,0)</f>
        <v>Red</v>
      </c>
    </row>
    <row r="312" spans="2:43" x14ac:dyDescent="0.2">
      <c r="B312" s="9" t="s">
        <v>467</v>
      </c>
      <c r="C312" s="7" t="s">
        <v>490</v>
      </c>
      <c r="D312" s="20">
        <v>0.95833333333333337</v>
      </c>
      <c r="E312" s="7" t="s">
        <v>795</v>
      </c>
      <c r="F312" s="7" t="s">
        <v>796</v>
      </c>
      <c r="G312" s="21"/>
      <c r="H312" s="7">
        <v>30.1</v>
      </c>
      <c r="I312" s="7">
        <v>30.3</v>
      </c>
      <c r="J312" s="7">
        <v>39.700000000000003</v>
      </c>
      <c r="K312" s="7">
        <v>60.3</v>
      </c>
      <c r="L312" s="7">
        <v>69.900000000000006</v>
      </c>
      <c r="M312" s="7">
        <v>69.7</v>
      </c>
      <c r="N312" s="7">
        <v>20.9</v>
      </c>
      <c r="O312" s="7">
        <v>51.1</v>
      </c>
      <c r="P312" s="7">
        <v>28.1</v>
      </c>
      <c r="Q312" s="7">
        <v>58.3</v>
      </c>
      <c r="R312" s="7">
        <v>71.7</v>
      </c>
      <c r="S312" s="7">
        <v>44.5</v>
      </c>
      <c r="T312" s="7">
        <v>55.5</v>
      </c>
      <c r="U312" s="7">
        <v>60.9</v>
      </c>
      <c r="V312" s="7">
        <v>51.1</v>
      </c>
      <c r="W312" s="7">
        <v>48.9</v>
      </c>
      <c r="X312" t="str">
        <f>VLOOKUP(E312,'Transform table'!A:B,2,0)</f>
        <v>Monterey Bay</v>
      </c>
      <c r="Y312" t="str">
        <f>VLOOKUP(F312,'Transform table'!A:B,2,0)</f>
        <v>Orange County Blues</v>
      </c>
      <c r="Z312" t="str">
        <f t="shared" si="4"/>
        <v>25/07/2026Monterey BayOrange County Blues</v>
      </c>
      <c r="AA312" t="str">
        <f>VLOOKUP($Z312,'oddspedia-matches'!$A:$AD,AA$2,0)</f>
        <v>1 - 2</v>
      </c>
      <c r="AB312" t="str">
        <f>VLOOKUP($Z312,'oddspedia-matches'!$A:$AD,AB$2,0)</f>
        <v>Red</v>
      </c>
      <c r="AC312" t="str">
        <f>VLOOKUP($Z312,'oddspedia-matches'!$A:$AD,AC$2,0)</f>
        <v>Red</v>
      </c>
      <c r="AD312" t="str">
        <f>VLOOKUP($Z312,'oddspedia-matches'!$A:$AD,AD$2,0)</f>
        <v>Green</v>
      </c>
      <c r="AE312" t="str">
        <f>VLOOKUP($Z312,'oddspedia-matches'!$A:$AD,AE$2,0)</f>
        <v>Red</v>
      </c>
      <c r="AF312" t="str">
        <f>VLOOKUP($Z312,'oddspedia-matches'!$A:$AD,AF$2,0)</f>
        <v>Green</v>
      </c>
      <c r="AG312" t="str">
        <f>VLOOKUP($Z312,'oddspedia-matches'!$A:$AD,AG$2,0)</f>
        <v>Green</v>
      </c>
      <c r="AH312" t="str">
        <f>VLOOKUP($Z312,'oddspedia-matches'!$A:$AD,AH$2,0)</f>
        <v>Red</v>
      </c>
      <c r="AI312" t="str">
        <f>VLOOKUP($Z312,'oddspedia-matches'!$A:$AD,AI$2,0)</f>
        <v>Green</v>
      </c>
      <c r="AJ312" t="str">
        <f>VLOOKUP($Z312,'oddspedia-matches'!$A:$AD,AJ$2,0)</f>
        <v>Red</v>
      </c>
      <c r="AK312" t="str">
        <f>VLOOKUP($Z312,'oddspedia-matches'!$A:$AD,AK$2,0)</f>
        <v>Red</v>
      </c>
      <c r="AL312" t="str">
        <f>VLOOKUP($Z312,'oddspedia-matches'!$A:$AD,AL$2,0)</f>
        <v>Green</v>
      </c>
      <c r="AM312" t="str">
        <f>VLOOKUP($Z312,'oddspedia-matches'!$A:$AD,AM$2,0)</f>
        <v>Green</v>
      </c>
      <c r="AN312" t="str">
        <f>VLOOKUP($Z312,'oddspedia-matches'!$A:$AD,AN$2,0)</f>
        <v>Red</v>
      </c>
      <c r="AO312" t="str">
        <f>VLOOKUP($Z312,'oddspedia-matches'!$A:$AD,AO$2,0)</f>
        <v>Green</v>
      </c>
      <c r="AP312" t="str">
        <f>VLOOKUP($Z312,'oddspedia-matches'!$A:$AD,AP$2,0)</f>
        <v>Green</v>
      </c>
      <c r="AQ312" t="str">
        <f>VLOOKUP($Z312,'oddspedia-matches'!$A:$AD,AQ$2,0)</f>
        <v>Red</v>
      </c>
    </row>
    <row r="313" spans="2:43" x14ac:dyDescent="0.2">
      <c r="B313" s="17" t="s">
        <v>467</v>
      </c>
      <c r="C313" s="8" t="s">
        <v>490</v>
      </c>
      <c r="D313" s="18">
        <v>0.95833333333333337</v>
      </c>
      <c r="E313" s="8" t="s">
        <v>48</v>
      </c>
      <c r="F313" s="8" t="s">
        <v>797</v>
      </c>
      <c r="G313" s="19"/>
      <c r="H313" s="8">
        <v>45.3</v>
      </c>
      <c r="I313" s="8">
        <v>28.1</v>
      </c>
      <c r="J313" s="8">
        <v>26.6</v>
      </c>
      <c r="K313" s="8">
        <v>73.400000000000006</v>
      </c>
      <c r="L313" s="8">
        <v>54.7</v>
      </c>
      <c r="M313" s="8">
        <v>71.900000000000006</v>
      </c>
      <c r="N313" s="8">
        <v>40.6</v>
      </c>
      <c r="O313" s="8">
        <v>42.3</v>
      </c>
      <c r="P313" s="8">
        <v>17</v>
      </c>
      <c r="Q313" s="8">
        <v>69.099999999999994</v>
      </c>
      <c r="R313" s="8">
        <v>75.400000000000006</v>
      </c>
      <c r="S313" s="8">
        <v>49.4</v>
      </c>
      <c r="T313" s="8">
        <v>50.6</v>
      </c>
      <c r="U313" s="8">
        <v>56.5</v>
      </c>
      <c r="V313" s="8">
        <v>54.1</v>
      </c>
      <c r="W313" s="8">
        <v>45.9</v>
      </c>
      <c r="X313" t="str">
        <f>VLOOKUP(E313,'Transform table'!A:B,2,0)</f>
        <v>Oakland Roots</v>
      </c>
      <c r="Y313" t="str">
        <f>VLOOKUP(F313,'Transform table'!A:B,2,0)</f>
        <v>Sacramento Republic</v>
      </c>
      <c r="Z313" t="str">
        <f t="shared" si="4"/>
        <v>25/07/2026Oakland RootsSacramento Republic</v>
      </c>
      <c r="AA313" t="str">
        <f>VLOOKUP($Z313,'oddspedia-matches'!$A:$AD,AA$2,0)</f>
        <v>1 - 3</v>
      </c>
      <c r="AB313" t="str">
        <f>VLOOKUP($Z313,'oddspedia-matches'!$A:$AD,AB$2,0)</f>
        <v>Red</v>
      </c>
      <c r="AC313" t="str">
        <f>VLOOKUP($Z313,'oddspedia-matches'!$A:$AD,AC$2,0)</f>
        <v>Red</v>
      </c>
      <c r="AD313" t="str">
        <f>VLOOKUP($Z313,'oddspedia-matches'!$A:$AD,AD$2,0)</f>
        <v>Green</v>
      </c>
      <c r="AE313" t="str">
        <f>VLOOKUP($Z313,'oddspedia-matches'!$A:$AD,AE$2,0)</f>
        <v>Red</v>
      </c>
      <c r="AF313" t="str">
        <f>VLOOKUP($Z313,'oddspedia-matches'!$A:$AD,AF$2,0)</f>
        <v>Green</v>
      </c>
      <c r="AG313" t="str">
        <f>VLOOKUP($Z313,'oddspedia-matches'!$A:$AD,AG$2,0)</f>
        <v>Green</v>
      </c>
      <c r="AH313" t="str">
        <f>VLOOKUP($Z313,'oddspedia-matches'!$A:$AD,AH$2,0)</f>
        <v>Red</v>
      </c>
      <c r="AI313" t="str">
        <f>VLOOKUP($Z313,'oddspedia-matches'!$A:$AD,AI$2,0)</f>
        <v>Green</v>
      </c>
      <c r="AJ313" t="str">
        <f>VLOOKUP($Z313,'oddspedia-matches'!$A:$AD,AJ$2,0)</f>
        <v>Red</v>
      </c>
      <c r="AK313" t="str">
        <f>VLOOKUP($Z313,'oddspedia-matches'!$A:$AD,AK$2,0)</f>
        <v>Green</v>
      </c>
      <c r="AL313" t="str">
        <f>VLOOKUP($Z313,'oddspedia-matches'!$A:$AD,AL$2,0)</f>
        <v>Green</v>
      </c>
      <c r="AM313" t="str">
        <f>VLOOKUP($Z313,'oddspedia-matches'!$A:$AD,AM$2,0)</f>
        <v>Green</v>
      </c>
      <c r="AN313" t="str">
        <f>VLOOKUP($Z313,'oddspedia-matches'!$A:$AD,AN$2,0)</f>
        <v>Red</v>
      </c>
      <c r="AO313" t="str">
        <f>VLOOKUP($Z313,'oddspedia-matches'!$A:$AD,AO$2,0)</f>
        <v>Red</v>
      </c>
      <c r="AP313" t="str">
        <f>VLOOKUP($Z313,'oddspedia-matches'!$A:$AD,AP$2,0)</f>
        <v>Green</v>
      </c>
      <c r="AQ313" t="str">
        <f>VLOOKUP($Z313,'oddspedia-matches'!$A:$AD,AQ$2,0)</f>
        <v>Red</v>
      </c>
    </row>
    <row r="314" spans="2:43" x14ac:dyDescent="0.2">
      <c r="B314" s="9" t="s">
        <v>468</v>
      </c>
      <c r="C314" s="7" t="s">
        <v>490</v>
      </c>
      <c r="D314" s="20">
        <v>0.97916666666666663</v>
      </c>
      <c r="E314" s="7" t="s">
        <v>89</v>
      </c>
      <c r="F314" s="7" t="s">
        <v>79</v>
      </c>
      <c r="G314" s="21"/>
      <c r="H314" s="7">
        <v>65.3</v>
      </c>
      <c r="I314" s="7">
        <v>22.1</v>
      </c>
      <c r="J314" s="7">
        <v>12.6</v>
      </c>
      <c r="K314" s="7">
        <v>87.4</v>
      </c>
      <c r="L314" s="7">
        <v>34.700000000000003</v>
      </c>
      <c r="M314" s="7">
        <v>77.900000000000006</v>
      </c>
      <c r="N314" s="7">
        <v>54.8</v>
      </c>
      <c r="O314" s="7">
        <v>33.4</v>
      </c>
      <c r="P314" s="7">
        <v>11.8</v>
      </c>
      <c r="Q314" s="7">
        <v>78.2</v>
      </c>
      <c r="R314" s="7">
        <v>85.2</v>
      </c>
      <c r="S314" s="7">
        <v>64.5</v>
      </c>
      <c r="T314" s="7">
        <v>35.5</v>
      </c>
      <c r="U314" s="7">
        <v>44.2</v>
      </c>
      <c r="V314" s="7">
        <v>57.3</v>
      </c>
      <c r="W314" s="7">
        <v>42.7</v>
      </c>
      <c r="X314" t="str">
        <f>VLOOKUP(E314,'Transform table'!A:B,2,0)</f>
        <v>Los Angeles FC</v>
      </c>
      <c r="Y314" t="str">
        <f>VLOOKUP(F314,'Transform table'!A:B,2,0)</f>
        <v>Sporting Kansas City</v>
      </c>
      <c r="Z314" t="str">
        <f t="shared" si="4"/>
        <v>25/07/2026Los Angeles FCSporting Kansas City</v>
      </c>
      <c r="AA314" t="str">
        <f>VLOOKUP($Z314,'oddspedia-matches'!$A:$AD,AA$2,0)</f>
        <v>4 - 0</v>
      </c>
      <c r="AB314" t="str">
        <f>VLOOKUP($Z314,'oddspedia-matches'!$A:$AD,AB$2,0)</f>
        <v>Green</v>
      </c>
      <c r="AC314" t="str">
        <f>VLOOKUP($Z314,'oddspedia-matches'!$A:$AD,AC$2,0)</f>
        <v>Red</v>
      </c>
      <c r="AD314" t="str">
        <f>VLOOKUP($Z314,'oddspedia-matches'!$A:$AD,AD$2,0)</f>
        <v>Red</v>
      </c>
      <c r="AE314" t="str">
        <f>VLOOKUP($Z314,'oddspedia-matches'!$A:$AD,AE$2,0)</f>
        <v>Green</v>
      </c>
      <c r="AF314" t="str">
        <f>VLOOKUP($Z314,'oddspedia-matches'!$A:$AD,AF$2,0)</f>
        <v>Red</v>
      </c>
      <c r="AG314" t="str">
        <f>VLOOKUP($Z314,'oddspedia-matches'!$A:$AD,AG$2,0)</f>
        <v>Green</v>
      </c>
      <c r="AH314" t="str">
        <f>VLOOKUP($Z314,'oddspedia-matches'!$A:$AD,AH$2,0)</f>
        <v>Green</v>
      </c>
      <c r="AI314" t="str">
        <f>VLOOKUP($Z314,'oddspedia-matches'!$A:$AD,AI$2,0)</f>
        <v>Red</v>
      </c>
      <c r="AJ314" t="str">
        <f>VLOOKUP($Z314,'oddspedia-matches'!$A:$AD,AJ$2,0)</f>
        <v>Red</v>
      </c>
      <c r="AK314" t="str">
        <f>VLOOKUP($Z314,'oddspedia-matches'!$A:$AD,AK$2,0)</f>
        <v>Green</v>
      </c>
      <c r="AL314" t="str">
        <f>VLOOKUP($Z314,'oddspedia-matches'!$A:$AD,AL$2,0)</f>
        <v>Green</v>
      </c>
      <c r="AM314" t="str">
        <f>VLOOKUP($Z314,'oddspedia-matches'!$A:$AD,AM$2,0)</f>
        <v>Green</v>
      </c>
      <c r="AN314" t="str">
        <f>VLOOKUP($Z314,'oddspedia-matches'!$A:$AD,AN$2,0)</f>
        <v>Red</v>
      </c>
      <c r="AO314" t="str">
        <f>VLOOKUP($Z314,'oddspedia-matches'!$A:$AD,AO$2,0)</f>
        <v>Red</v>
      </c>
      <c r="AP314" t="str">
        <f>VLOOKUP($Z314,'oddspedia-matches'!$A:$AD,AP$2,0)</f>
        <v>Red</v>
      </c>
      <c r="AQ314" t="str">
        <f>VLOOKUP($Z314,'oddspedia-matches'!$A:$AD,AQ$2,0)</f>
        <v>Green</v>
      </c>
    </row>
    <row r="315" spans="2:43" x14ac:dyDescent="0.2">
      <c r="B315" s="17" t="s">
        <v>468</v>
      </c>
      <c r="C315" s="8" t="s">
        <v>490</v>
      </c>
      <c r="D315" s="18">
        <v>0.97916666666666663</v>
      </c>
      <c r="E315" s="8" t="s">
        <v>91</v>
      </c>
      <c r="F315" s="8" t="s">
        <v>90</v>
      </c>
      <c r="G315" s="19"/>
      <c r="H315" s="8">
        <v>41.4</v>
      </c>
      <c r="I315" s="8">
        <v>25.9</v>
      </c>
      <c r="J315" s="8">
        <v>32.700000000000003</v>
      </c>
      <c r="K315" s="8">
        <v>67.3</v>
      </c>
      <c r="L315" s="8">
        <v>58.6</v>
      </c>
      <c r="M315" s="8">
        <v>74.099999999999994</v>
      </c>
      <c r="N315" s="8">
        <v>30.9</v>
      </c>
      <c r="O315" s="8">
        <v>34.5</v>
      </c>
      <c r="P315" s="8">
        <v>34.6</v>
      </c>
      <c r="Q315" s="8">
        <v>83.9</v>
      </c>
      <c r="R315" s="8">
        <v>86.7</v>
      </c>
      <c r="S315" s="8">
        <v>66.8</v>
      </c>
      <c r="T315" s="8">
        <v>33.200000000000003</v>
      </c>
      <c r="U315" s="8">
        <v>38.700000000000003</v>
      </c>
      <c r="V315" s="8">
        <v>68.400000000000006</v>
      </c>
      <c r="W315" s="8">
        <v>31.6</v>
      </c>
      <c r="X315" t="str">
        <f>VLOOKUP(E315,'Transform table'!A:B,2,0)</f>
        <v>Portland Timbers</v>
      </c>
      <c r="Y315" t="str">
        <f>VLOOKUP(F315,'Transform table'!A:B,2,0)</f>
        <v>Real Salt Lake</v>
      </c>
      <c r="Z315" t="str">
        <f t="shared" si="4"/>
        <v>25/07/2026Portland TimbersReal Salt Lake</v>
      </c>
      <c r="AA315" t="str">
        <f>VLOOKUP($Z315,'oddspedia-matches'!$A:$AD,AA$2,0)</f>
        <v>2 - 1</v>
      </c>
      <c r="AB315" t="str">
        <f>VLOOKUP($Z315,'oddspedia-matches'!$A:$AD,AB$2,0)</f>
        <v>Green</v>
      </c>
      <c r="AC315" t="str">
        <f>VLOOKUP($Z315,'oddspedia-matches'!$A:$AD,AC$2,0)</f>
        <v>Red</v>
      </c>
      <c r="AD315" t="str">
        <f>VLOOKUP($Z315,'oddspedia-matches'!$A:$AD,AD$2,0)</f>
        <v>Red</v>
      </c>
      <c r="AE315" t="str">
        <f>VLOOKUP($Z315,'oddspedia-matches'!$A:$AD,AE$2,0)</f>
        <v>Green</v>
      </c>
      <c r="AF315" t="str">
        <f>VLOOKUP($Z315,'oddspedia-matches'!$A:$AD,AF$2,0)</f>
        <v>Red</v>
      </c>
      <c r="AG315" t="str">
        <f>VLOOKUP($Z315,'oddspedia-matches'!$A:$AD,AG$2,0)</f>
        <v>Green</v>
      </c>
      <c r="AH315" t="str">
        <f>VLOOKUP($Z315,'oddspedia-matches'!$A:$AD,AH$2,0)</f>
        <v>Red</v>
      </c>
      <c r="AI315" t="str">
        <f>VLOOKUP($Z315,'oddspedia-matches'!$A:$AD,AI$2,0)</f>
        <v>Red</v>
      </c>
      <c r="AJ315" t="str">
        <f>VLOOKUP($Z315,'oddspedia-matches'!$A:$AD,AJ$2,0)</f>
        <v>Green</v>
      </c>
      <c r="AK315" t="str">
        <f>VLOOKUP($Z315,'oddspedia-matches'!$A:$AD,AK$2,0)</f>
        <v>Green</v>
      </c>
      <c r="AL315" t="str">
        <f>VLOOKUP($Z315,'oddspedia-matches'!$A:$AD,AL$2,0)</f>
        <v>Green</v>
      </c>
      <c r="AM315" t="str">
        <f>VLOOKUP($Z315,'oddspedia-matches'!$A:$AD,AM$2,0)</f>
        <v>Green</v>
      </c>
      <c r="AN315" t="str">
        <f>VLOOKUP($Z315,'oddspedia-matches'!$A:$AD,AN$2,0)</f>
        <v>Red</v>
      </c>
      <c r="AO315" t="str">
        <f>VLOOKUP($Z315,'oddspedia-matches'!$A:$AD,AO$2,0)</f>
        <v>Green</v>
      </c>
      <c r="AP315" t="str">
        <f>VLOOKUP($Z315,'oddspedia-matches'!$A:$AD,AP$2,0)</f>
        <v>Green</v>
      </c>
      <c r="AQ315" t="str">
        <f>VLOOKUP($Z315,'oddspedia-matches'!$A:$AD,AQ$2,0)</f>
        <v>Red</v>
      </c>
    </row>
    <row r="316" spans="2:43" x14ac:dyDescent="0.2">
      <c r="B316" s="9" t="s">
        <v>468</v>
      </c>
      <c r="C316" s="7" t="s">
        <v>490</v>
      </c>
      <c r="D316" s="20">
        <v>0.97916666666666663</v>
      </c>
      <c r="E316" s="7" t="s">
        <v>93</v>
      </c>
      <c r="F316" s="7" t="s">
        <v>87</v>
      </c>
      <c r="G316" s="21"/>
      <c r="H316" s="7">
        <v>60</v>
      </c>
      <c r="I316" s="7">
        <v>23.5</v>
      </c>
      <c r="J316" s="7">
        <v>16.5</v>
      </c>
      <c r="K316" s="7">
        <v>83.5</v>
      </c>
      <c r="L316" s="7">
        <v>40</v>
      </c>
      <c r="M316" s="7">
        <v>76.5</v>
      </c>
      <c r="N316" s="7">
        <v>46.8</v>
      </c>
      <c r="O316" s="7">
        <v>36</v>
      </c>
      <c r="P316" s="7">
        <v>17.2</v>
      </c>
      <c r="Q316" s="7">
        <v>77.900000000000006</v>
      </c>
      <c r="R316" s="7">
        <v>84.2</v>
      </c>
      <c r="S316" s="7">
        <v>62.7</v>
      </c>
      <c r="T316" s="7">
        <v>37.299999999999997</v>
      </c>
      <c r="U316" s="7">
        <v>44.9</v>
      </c>
      <c r="V316" s="7">
        <v>59.4</v>
      </c>
      <c r="W316" s="7">
        <v>40.6</v>
      </c>
      <c r="X316" t="str">
        <f>VLOOKUP(E316,'Transform table'!A:B,2,0)</f>
        <v>San Jose Earthquakes</v>
      </c>
      <c r="Y316" t="str">
        <f>VLOOKUP(F316,'Transform table'!A:B,2,0)</f>
        <v>LA Galaxy</v>
      </c>
      <c r="Z316" t="str">
        <f t="shared" si="4"/>
        <v>25/07/2026San Jose EarthquakesLA Galaxy</v>
      </c>
      <c r="AA316" t="str">
        <f>VLOOKUP($Z316,'oddspedia-matches'!$A:$AD,AA$2,0)</f>
        <v>1 - 1</v>
      </c>
      <c r="AB316" t="str">
        <f>VLOOKUP($Z316,'oddspedia-matches'!$A:$AD,AB$2,0)</f>
        <v>Red</v>
      </c>
      <c r="AC316" t="str">
        <f>VLOOKUP($Z316,'oddspedia-matches'!$A:$AD,AC$2,0)</f>
        <v>Green</v>
      </c>
      <c r="AD316" t="str">
        <f>VLOOKUP($Z316,'oddspedia-matches'!$A:$AD,AD$2,0)</f>
        <v>Red</v>
      </c>
      <c r="AE316" t="str">
        <f>VLOOKUP($Z316,'oddspedia-matches'!$A:$AD,AE$2,0)</f>
        <v>Green</v>
      </c>
      <c r="AF316" t="str">
        <f>VLOOKUP($Z316,'oddspedia-matches'!$A:$AD,AF$2,0)</f>
        <v>Green</v>
      </c>
      <c r="AG316" t="str">
        <f>VLOOKUP($Z316,'oddspedia-matches'!$A:$AD,AG$2,0)</f>
        <v>Red</v>
      </c>
      <c r="AH316" t="str">
        <f>VLOOKUP($Z316,'oddspedia-matches'!$A:$AD,AH$2,0)</f>
        <v>Red</v>
      </c>
      <c r="AI316" t="str">
        <f>VLOOKUP($Z316,'oddspedia-matches'!$A:$AD,AI$2,0)</f>
        <v>Red</v>
      </c>
      <c r="AJ316" t="str">
        <f>VLOOKUP($Z316,'oddspedia-matches'!$A:$AD,AJ$2,0)</f>
        <v>Green</v>
      </c>
      <c r="AK316" t="str">
        <f>VLOOKUP($Z316,'oddspedia-matches'!$A:$AD,AK$2,0)</f>
        <v>Green</v>
      </c>
      <c r="AL316" t="str">
        <f>VLOOKUP($Z316,'oddspedia-matches'!$A:$AD,AL$2,0)</f>
        <v>Green</v>
      </c>
      <c r="AM316" t="str">
        <f>VLOOKUP($Z316,'oddspedia-matches'!$A:$AD,AM$2,0)</f>
        <v>Red</v>
      </c>
      <c r="AN316" t="str">
        <f>VLOOKUP($Z316,'oddspedia-matches'!$A:$AD,AN$2,0)</f>
        <v>Green</v>
      </c>
      <c r="AO316" t="str">
        <f>VLOOKUP($Z316,'oddspedia-matches'!$A:$AD,AO$2,0)</f>
        <v>Green</v>
      </c>
      <c r="AP316" t="str">
        <f>VLOOKUP($Z316,'oddspedia-matches'!$A:$AD,AP$2,0)</f>
        <v>Green</v>
      </c>
      <c r="AQ316" t="str">
        <f>VLOOKUP($Z316,'oddspedia-matches'!$A:$AD,AQ$2,0)</f>
        <v>Red</v>
      </c>
    </row>
    <row r="317" spans="2:43" x14ac:dyDescent="0.2">
      <c r="B317" s="17" t="s">
        <v>467</v>
      </c>
      <c r="C317" s="8" t="s">
        <v>490</v>
      </c>
      <c r="D317" s="18">
        <v>0.97916666666666663</v>
      </c>
      <c r="E317" s="8" t="s">
        <v>798</v>
      </c>
      <c r="F317" s="8" t="s">
        <v>799</v>
      </c>
      <c r="G317" s="19"/>
      <c r="H317" s="8">
        <v>43.4</v>
      </c>
      <c r="I317" s="8">
        <v>29.8</v>
      </c>
      <c r="J317" s="8">
        <v>26.8</v>
      </c>
      <c r="K317" s="8">
        <v>73.2</v>
      </c>
      <c r="L317" s="8">
        <v>56.6</v>
      </c>
      <c r="M317" s="8">
        <v>70.2</v>
      </c>
      <c r="N317" s="8">
        <v>28.4</v>
      </c>
      <c r="O317" s="8">
        <v>48.8</v>
      </c>
      <c r="P317" s="8">
        <v>22.9</v>
      </c>
      <c r="Q317" s="8">
        <v>61.6</v>
      </c>
      <c r="R317" s="8">
        <v>70.099999999999994</v>
      </c>
      <c r="S317" s="8">
        <v>42.7</v>
      </c>
      <c r="T317" s="8">
        <v>57.3</v>
      </c>
      <c r="U317" s="8">
        <v>62.9</v>
      </c>
      <c r="V317" s="8">
        <v>49</v>
      </c>
      <c r="W317" s="8">
        <v>51</v>
      </c>
      <c r="X317" t="str">
        <f>VLOOKUP(E317,'Transform table'!A:B,2,0)</f>
        <v>Phoenix Rising FC</v>
      </c>
      <c r="Y317" t="str">
        <f>VLOOKUP(F317,'Transform table'!A:B,2,0)</f>
        <v>Hartford Athletic</v>
      </c>
      <c r="Z317" t="str">
        <f t="shared" si="4"/>
        <v>25/07/2026Phoenix Rising FCHartford Athletic</v>
      </c>
      <c r="AA317" t="str">
        <f>VLOOKUP($Z317,'oddspedia-matches'!$A:$AD,AA$2,0)</f>
        <v>0 - 0</v>
      </c>
      <c r="AB317" t="str">
        <f>VLOOKUP($Z317,'oddspedia-matches'!$A:$AD,AB$2,0)</f>
        <v>Red</v>
      </c>
      <c r="AC317" t="str">
        <f>VLOOKUP($Z317,'oddspedia-matches'!$A:$AD,AC$2,0)</f>
        <v>Green</v>
      </c>
      <c r="AD317" t="str">
        <f>VLOOKUP($Z317,'oddspedia-matches'!$A:$AD,AD$2,0)</f>
        <v>Red</v>
      </c>
      <c r="AE317" t="str">
        <f>VLOOKUP($Z317,'oddspedia-matches'!$A:$AD,AE$2,0)</f>
        <v>Green</v>
      </c>
      <c r="AF317" t="str">
        <f>VLOOKUP($Z317,'oddspedia-matches'!$A:$AD,AF$2,0)</f>
        <v>Green</v>
      </c>
      <c r="AG317" t="str">
        <f>VLOOKUP($Z317,'oddspedia-matches'!$A:$AD,AG$2,0)</f>
        <v>Red</v>
      </c>
      <c r="AH317" t="str">
        <f>VLOOKUP($Z317,'oddspedia-matches'!$A:$AD,AH$2,0)</f>
        <v>Red</v>
      </c>
      <c r="AI317" t="str">
        <f>VLOOKUP($Z317,'oddspedia-matches'!$A:$AD,AI$2,0)</f>
        <v>Green</v>
      </c>
      <c r="AJ317" t="str">
        <f>VLOOKUP($Z317,'oddspedia-matches'!$A:$AD,AJ$2,0)</f>
        <v>Red</v>
      </c>
      <c r="AK317" t="str">
        <f>VLOOKUP($Z317,'oddspedia-matches'!$A:$AD,AK$2,0)</f>
        <v>Red</v>
      </c>
      <c r="AL317" t="str">
        <f>VLOOKUP($Z317,'oddspedia-matches'!$A:$AD,AL$2,0)</f>
        <v>Red</v>
      </c>
      <c r="AM317" t="str">
        <f>VLOOKUP($Z317,'oddspedia-matches'!$A:$AD,AM$2,0)</f>
        <v>Red</v>
      </c>
      <c r="AN317" t="str">
        <f>VLOOKUP($Z317,'oddspedia-matches'!$A:$AD,AN$2,0)</f>
        <v>Green</v>
      </c>
      <c r="AO317" t="str">
        <f>VLOOKUP($Z317,'oddspedia-matches'!$A:$AD,AO$2,0)</f>
        <v>Green</v>
      </c>
      <c r="AP317" t="str">
        <f>VLOOKUP($Z317,'oddspedia-matches'!$A:$AD,AP$2,0)</f>
        <v>Red</v>
      </c>
      <c r="AQ317" t="str">
        <f>VLOOKUP($Z317,'oddspedia-matches'!$A:$AD,AQ$2,0)</f>
        <v>Green</v>
      </c>
    </row>
    <row r="318" spans="2:43" x14ac:dyDescent="0.2">
      <c r="B318" t="s">
        <v>463</v>
      </c>
      <c r="C318" t="s">
        <v>930</v>
      </c>
      <c r="D318" s="25">
        <v>0</v>
      </c>
      <c r="E318" t="s">
        <v>931</v>
      </c>
      <c r="F318" t="s">
        <v>18</v>
      </c>
      <c r="H318">
        <v>48.7</v>
      </c>
      <c r="I318">
        <v>24.8</v>
      </c>
      <c r="J318">
        <v>26.4</v>
      </c>
      <c r="K318">
        <v>73.599999999999994</v>
      </c>
      <c r="L318">
        <v>51.3</v>
      </c>
      <c r="M318">
        <v>75.2</v>
      </c>
      <c r="N318">
        <v>40.700000000000003</v>
      </c>
      <c r="O318">
        <v>33.299999999999997</v>
      </c>
      <c r="P318">
        <v>26</v>
      </c>
      <c r="Q318">
        <v>84.8</v>
      </c>
      <c r="R318">
        <v>89.7</v>
      </c>
      <c r="S318">
        <v>72.400000000000006</v>
      </c>
      <c r="T318">
        <v>27.6</v>
      </c>
      <c r="U318">
        <v>33.200000000000003</v>
      </c>
      <c r="V318">
        <v>71.599999999999994</v>
      </c>
      <c r="W318">
        <v>28.4</v>
      </c>
      <c r="X318" t="str">
        <f>VLOOKUP(E318,'Transform table'!A:B,2,0)</f>
        <v>Edgeworth Eagles Reserves</v>
      </c>
      <c r="Y318" t="str">
        <f>VLOOKUP(F318,'Transform table'!A:B,2,0)</f>
        <v>Hamilton Olympic</v>
      </c>
      <c r="Z318" t="str">
        <f t="shared" si="4"/>
        <v>26/07/2026Edgeworth Eagles ReservesHamilton Olympic</v>
      </c>
      <c r="AA318" t="e">
        <f>VLOOKUP($Z318,'oddspedia-matches'!$A:$AD,AA$2,0)</f>
        <v>#N/A</v>
      </c>
      <c r="AB318" t="e">
        <f>VLOOKUP($Z318,'oddspedia-matches'!$A:$AD,AB$2,0)</f>
        <v>#N/A</v>
      </c>
      <c r="AC318" t="e">
        <f>VLOOKUP($Z318,'oddspedia-matches'!$A:$AD,AC$2,0)</f>
        <v>#N/A</v>
      </c>
      <c r="AD318" t="e">
        <f>VLOOKUP($Z318,'oddspedia-matches'!$A:$AD,AD$2,0)</f>
        <v>#N/A</v>
      </c>
      <c r="AE318" t="e">
        <f>VLOOKUP($Z318,'oddspedia-matches'!$A:$AD,AE$2,0)</f>
        <v>#N/A</v>
      </c>
      <c r="AF318" t="e">
        <f>VLOOKUP($Z318,'oddspedia-matches'!$A:$AD,AF$2,0)</f>
        <v>#N/A</v>
      </c>
      <c r="AG318" t="e">
        <f>VLOOKUP($Z318,'oddspedia-matches'!$A:$AD,AG$2,0)</f>
        <v>#N/A</v>
      </c>
      <c r="AH318" t="e">
        <f>VLOOKUP($Z318,'oddspedia-matches'!$A:$AD,AH$2,0)</f>
        <v>#N/A</v>
      </c>
      <c r="AI318" t="e">
        <f>VLOOKUP($Z318,'oddspedia-matches'!$A:$AD,AI$2,0)</f>
        <v>#N/A</v>
      </c>
      <c r="AJ318" t="e">
        <f>VLOOKUP($Z318,'oddspedia-matches'!$A:$AD,AJ$2,0)</f>
        <v>#N/A</v>
      </c>
      <c r="AK318" t="e">
        <f>VLOOKUP($Z318,'oddspedia-matches'!$A:$AD,AK$2,0)</f>
        <v>#N/A</v>
      </c>
      <c r="AL318" t="e">
        <f>VLOOKUP($Z318,'oddspedia-matches'!$A:$AD,AL$2,0)</f>
        <v>#N/A</v>
      </c>
      <c r="AM318" t="e">
        <f>VLOOKUP($Z318,'oddspedia-matches'!$A:$AD,AM$2,0)</f>
        <v>#N/A</v>
      </c>
      <c r="AN318" t="e">
        <f>VLOOKUP($Z318,'oddspedia-matches'!$A:$AD,AN$2,0)</f>
        <v>#N/A</v>
      </c>
      <c r="AO318" t="e">
        <f>VLOOKUP($Z318,'oddspedia-matches'!$A:$AD,AO$2,0)</f>
        <v>#N/A</v>
      </c>
      <c r="AP318" t="e">
        <f>VLOOKUP($Z318,'oddspedia-matches'!$A:$AD,AP$2,0)</f>
        <v>#N/A</v>
      </c>
      <c r="AQ318" t="e">
        <f>VLOOKUP($Z318,'oddspedia-matches'!$A:$AD,AQ$2,0)</f>
        <v>#N/A</v>
      </c>
    </row>
    <row r="319" spans="2:43" x14ac:dyDescent="0.2">
      <c r="B319" t="s">
        <v>932</v>
      </c>
      <c r="C319" t="s">
        <v>930</v>
      </c>
      <c r="D319" s="25">
        <v>0</v>
      </c>
      <c r="E319" t="s">
        <v>744</v>
      </c>
      <c r="F319" t="s">
        <v>653</v>
      </c>
      <c r="H319">
        <v>30.9</v>
      </c>
      <c r="I319">
        <v>30.1</v>
      </c>
      <c r="J319">
        <v>39</v>
      </c>
      <c r="K319">
        <v>61</v>
      </c>
      <c r="L319">
        <v>69.099999999999994</v>
      </c>
      <c r="M319">
        <v>69.900000000000006</v>
      </c>
      <c r="N319">
        <v>22.4</v>
      </c>
      <c r="O319">
        <v>40.700000000000003</v>
      </c>
      <c r="P319">
        <v>37</v>
      </c>
      <c r="Q319">
        <v>73.7</v>
      </c>
      <c r="R319">
        <v>72.099999999999994</v>
      </c>
      <c r="S319">
        <v>45</v>
      </c>
      <c r="T319">
        <v>55</v>
      </c>
      <c r="U319">
        <v>60.4</v>
      </c>
      <c r="V319">
        <v>51.6</v>
      </c>
      <c r="W319">
        <v>48.4</v>
      </c>
      <c r="X319" t="str">
        <f>VLOOKUP(E319,'Transform table'!A:B,2,0)</f>
        <v>Santos</v>
      </c>
      <c r="Y319" t="str">
        <f>VLOOKUP(F319,'Transform table'!A:B,2,0)</f>
        <v>CA Atlas</v>
      </c>
      <c r="Z319" t="str">
        <f t="shared" si="4"/>
        <v>26/07/2026SantosCA Atlas</v>
      </c>
      <c r="AA319" t="e">
        <f>VLOOKUP($Z319,'oddspedia-matches'!$A:$AD,AA$2,0)</f>
        <v>#N/A</v>
      </c>
      <c r="AB319" t="e">
        <f>VLOOKUP($Z319,'oddspedia-matches'!$A:$AD,AB$2,0)</f>
        <v>#N/A</v>
      </c>
      <c r="AC319" t="e">
        <f>VLOOKUP($Z319,'oddspedia-matches'!$A:$AD,AC$2,0)</f>
        <v>#N/A</v>
      </c>
      <c r="AD319" t="e">
        <f>VLOOKUP($Z319,'oddspedia-matches'!$A:$AD,AD$2,0)</f>
        <v>#N/A</v>
      </c>
      <c r="AE319" t="e">
        <f>VLOOKUP($Z319,'oddspedia-matches'!$A:$AD,AE$2,0)</f>
        <v>#N/A</v>
      </c>
      <c r="AF319" t="e">
        <f>VLOOKUP($Z319,'oddspedia-matches'!$A:$AD,AF$2,0)</f>
        <v>#N/A</v>
      </c>
      <c r="AG319" t="e">
        <f>VLOOKUP($Z319,'oddspedia-matches'!$A:$AD,AG$2,0)</f>
        <v>#N/A</v>
      </c>
      <c r="AH319" t="e">
        <f>VLOOKUP($Z319,'oddspedia-matches'!$A:$AD,AH$2,0)</f>
        <v>#N/A</v>
      </c>
      <c r="AI319" t="e">
        <f>VLOOKUP($Z319,'oddspedia-matches'!$A:$AD,AI$2,0)</f>
        <v>#N/A</v>
      </c>
      <c r="AJ319" t="e">
        <f>VLOOKUP($Z319,'oddspedia-matches'!$A:$AD,AJ$2,0)</f>
        <v>#N/A</v>
      </c>
      <c r="AK319" t="e">
        <f>VLOOKUP($Z319,'oddspedia-matches'!$A:$AD,AK$2,0)</f>
        <v>#N/A</v>
      </c>
      <c r="AL319" t="e">
        <f>VLOOKUP($Z319,'oddspedia-matches'!$A:$AD,AL$2,0)</f>
        <v>#N/A</v>
      </c>
      <c r="AM319" t="e">
        <f>VLOOKUP($Z319,'oddspedia-matches'!$A:$AD,AM$2,0)</f>
        <v>#N/A</v>
      </c>
      <c r="AN319" t="e">
        <f>VLOOKUP($Z319,'oddspedia-matches'!$A:$AD,AN$2,0)</f>
        <v>#N/A</v>
      </c>
      <c r="AO319" t="e">
        <f>VLOOKUP($Z319,'oddspedia-matches'!$A:$AD,AO$2,0)</f>
        <v>#N/A</v>
      </c>
      <c r="AP319" t="e">
        <f>VLOOKUP($Z319,'oddspedia-matches'!$A:$AD,AP$2,0)</f>
        <v>#N/A</v>
      </c>
      <c r="AQ319" t="e">
        <f>VLOOKUP($Z319,'oddspedia-matches'!$A:$AD,AQ$2,0)</f>
        <v>#N/A</v>
      </c>
    </row>
    <row r="320" spans="2:43" x14ac:dyDescent="0.2">
      <c r="B320" t="s">
        <v>932</v>
      </c>
      <c r="C320" t="s">
        <v>930</v>
      </c>
      <c r="D320" s="25">
        <v>0</v>
      </c>
      <c r="E320" t="s">
        <v>933</v>
      </c>
      <c r="F320" t="s">
        <v>934</v>
      </c>
      <c r="H320">
        <v>42.8</v>
      </c>
      <c r="I320">
        <v>30.7</v>
      </c>
      <c r="J320">
        <v>26.5</v>
      </c>
      <c r="K320">
        <v>73.5</v>
      </c>
      <c r="L320">
        <v>57.2</v>
      </c>
      <c r="M320">
        <v>69.3</v>
      </c>
      <c r="N320">
        <v>0</v>
      </c>
      <c r="O320">
        <v>82.8</v>
      </c>
      <c r="P320">
        <v>17.2</v>
      </c>
      <c r="Q320">
        <v>17.2</v>
      </c>
      <c r="R320">
        <v>67.3</v>
      </c>
      <c r="S320">
        <v>39.4</v>
      </c>
      <c r="T320">
        <v>60.6</v>
      </c>
      <c r="U320">
        <v>66</v>
      </c>
      <c r="V320">
        <v>46.3</v>
      </c>
      <c r="W320">
        <v>53.7</v>
      </c>
      <c r="X320" t="str">
        <f>VLOOKUP(E320,'Transform table'!A:B,2,0)</f>
        <v>Club Atletico Tigre</v>
      </c>
      <c r="Y320" t="e">
        <f>VLOOKUP(F320,'Transform table'!A:B,2,0)</f>
        <v>#N/A</v>
      </c>
      <c r="Z320" t="e">
        <f t="shared" si="4"/>
        <v>#N/A</v>
      </c>
      <c r="AA320" t="e">
        <f>VLOOKUP($Z320,'oddspedia-matches'!$A:$AD,AA$2,0)</f>
        <v>#N/A</v>
      </c>
      <c r="AB320" t="e">
        <f>VLOOKUP($Z320,'oddspedia-matches'!$A:$AD,AB$2,0)</f>
        <v>#N/A</v>
      </c>
      <c r="AC320" t="e">
        <f>VLOOKUP($Z320,'oddspedia-matches'!$A:$AD,AC$2,0)</f>
        <v>#N/A</v>
      </c>
      <c r="AD320" t="e">
        <f>VLOOKUP($Z320,'oddspedia-matches'!$A:$AD,AD$2,0)</f>
        <v>#N/A</v>
      </c>
      <c r="AE320" t="e">
        <f>VLOOKUP($Z320,'oddspedia-matches'!$A:$AD,AE$2,0)</f>
        <v>#N/A</v>
      </c>
      <c r="AF320" t="e">
        <f>VLOOKUP($Z320,'oddspedia-matches'!$A:$AD,AF$2,0)</f>
        <v>#N/A</v>
      </c>
      <c r="AG320" t="e">
        <f>VLOOKUP($Z320,'oddspedia-matches'!$A:$AD,AG$2,0)</f>
        <v>#N/A</v>
      </c>
      <c r="AH320" t="e">
        <f>VLOOKUP($Z320,'oddspedia-matches'!$A:$AD,AH$2,0)</f>
        <v>#N/A</v>
      </c>
      <c r="AI320" t="e">
        <f>VLOOKUP($Z320,'oddspedia-matches'!$A:$AD,AI$2,0)</f>
        <v>#N/A</v>
      </c>
      <c r="AJ320" t="e">
        <f>VLOOKUP($Z320,'oddspedia-matches'!$A:$AD,AJ$2,0)</f>
        <v>#N/A</v>
      </c>
      <c r="AK320" t="e">
        <f>VLOOKUP($Z320,'oddspedia-matches'!$A:$AD,AK$2,0)</f>
        <v>#N/A</v>
      </c>
      <c r="AL320" t="e">
        <f>VLOOKUP($Z320,'oddspedia-matches'!$A:$AD,AL$2,0)</f>
        <v>#N/A</v>
      </c>
      <c r="AM320" t="e">
        <f>VLOOKUP($Z320,'oddspedia-matches'!$A:$AD,AM$2,0)</f>
        <v>#N/A</v>
      </c>
      <c r="AN320" t="e">
        <f>VLOOKUP($Z320,'oddspedia-matches'!$A:$AD,AN$2,0)</f>
        <v>#N/A</v>
      </c>
      <c r="AO320" t="e">
        <f>VLOOKUP($Z320,'oddspedia-matches'!$A:$AD,AO$2,0)</f>
        <v>#N/A</v>
      </c>
      <c r="AP320" t="e">
        <f>VLOOKUP($Z320,'oddspedia-matches'!$A:$AD,AP$2,0)</f>
        <v>#N/A</v>
      </c>
      <c r="AQ320" t="e">
        <f>VLOOKUP($Z320,'oddspedia-matches'!$A:$AD,AQ$2,0)</f>
        <v>#N/A</v>
      </c>
    </row>
    <row r="321" spans="2:43" x14ac:dyDescent="0.2">
      <c r="B321" t="s">
        <v>471</v>
      </c>
      <c r="C321" t="s">
        <v>930</v>
      </c>
      <c r="D321" s="25">
        <v>8.3333333333333329E-2</v>
      </c>
      <c r="E321" t="s">
        <v>935</v>
      </c>
      <c r="F321" t="s">
        <v>936</v>
      </c>
      <c r="H321">
        <v>48</v>
      </c>
      <c r="I321">
        <v>26.2</v>
      </c>
      <c r="J321">
        <v>25.7</v>
      </c>
      <c r="K321">
        <v>74.3</v>
      </c>
      <c r="L321">
        <v>52</v>
      </c>
      <c r="M321">
        <v>73.8</v>
      </c>
      <c r="N321">
        <v>35.299999999999997</v>
      </c>
      <c r="O321">
        <v>42.4</v>
      </c>
      <c r="P321">
        <v>22.2</v>
      </c>
      <c r="Q321">
        <v>70.599999999999994</v>
      </c>
      <c r="R321">
        <v>81.5</v>
      </c>
      <c r="S321">
        <v>58.2</v>
      </c>
      <c r="T321">
        <v>41.8</v>
      </c>
      <c r="U321">
        <v>47.9</v>
      </c>
      <c r="V321">
        <v>60.5</v>
      </c>
      <c r="W321">
        <v>39.5</v>
      </c>
      <c r="X321" t="str">
        <f>VLOOKUP(E321,'Transform table'!A:B,2,0)</f>
        <v>Rockdale not found</v>
      </c>
      <c r="Y321" t="e">
        <f>VLOOKUP(F321,'Transform table'!A:B,2,0)</f>
        <v>#N/A</v>
      </c>
      <c r="Z321" t="e">
        <f t="shared" si="4"/>
        <v>#N/A</v>
      </c>
      <c r="AA321" t="e">
        <f>VLOOKUP($Z321,'oddspedia-matches'!$A:$AD,AA$2,0)</f>
        <v>#N/A</v>
      </c>
      <c r="AB321" t="e">
        <f>VLOOKUP($Z321,'oddspedia-matches'!$A:$AD,AB$2,0)</f>
        <v>#N/A</v>
      </c>
      <c r="AC321" t="e">
        <f>VLOOKUP($Z321,'oddspedia-matches'!$A:$AD,AC$2,0)</f>
        <v>#N/A</v>
      </c>
      <c r="AD321" t="e">
        <f>VLOOKUP($Z321,'oddspedia-matches'!$A:$AD,AD$2,0)</f>
        <v>#N/A</v>
      </c>
      <c r="AE321" t="e">
        <f>VLOOKUP($Z321,'oddspedia-matches'!$A:$AD,AE$2,0)</f>
        <v>#N/A</v>
      </c>
      <c r="AF321" t="e">
        <f>VLOOKUP($Z321,'oddspedia-matches'!$A:$AD,AF$2,0)</f>
        <v>#N/A</v>
      </c>
      <c r="AG321" t="e">
        <f>VLOOKUP($Z321,'oddspedia-matches'!$A:$AD,AG$2,0)</f>
        <v>#N/A</v>
      </c>
      <c r="AH321" t="e">
        <f>VLOOKUP($Z321,'oddspedia-matches'!$A:$AD,AH$2,0)</f>
        <v>#N/A</v>
      </c>
      <c r="AI321" t="e">
        <f>VLOOKUP($Z321,'oddspedia-matches'!$A:$AD,AI$2,0)</f>
        <v>#N/A</v>
      </c>
      <c r="AJ321" t="e">
        <f>VLOOKUP($Z321,'oddspedia-matches'!$A:$AD,AJ$2,0)</f>
        <v>#N/A</v>
      </c>
      <c r="AK321" t="e">
        <f>VLOOKUP($Z321,'oddspedia-matches'!$A:$AD,AK$2,0)</f>
        <v>#N/A</v>
      </c>
      <c r="AL321" t="e">
        <f>VLOOKUP($Z321,'oddspedia-matches'!$A:$AD,AL$2,0)</f>
        <v>#N/A</v>
      </c>
      <c r="AM321" t="e">
        <f>VLOOKUP($Z321,'oddspedia-matches'!$A:$AD,AM$2,0)</f>
        <v>#N/A</v>
      </c>
      <c r="AN321" t="e">
        <f>VLOOKUP($Z321,'oddspedia-matches'!$A:$AD,AN$2,0)</f>
        <v>#N/A</v>
      </c>
      <c r="AO321" t="e">
        <f>VLOOKUP($Z321,'oddspedia-matches'!$A:$AD,AO$2,0)</f>
        <v>#N/A</v>
      </c>
      <c r="AP321" t="e">
        <f>VLOOKUP($Z321,'oddspedia-matches'!$A:$AD,AP$2,0)</f>
        <v>#N/A</v>
      </c>
      <c r="AQ321" t="e">
        <f>VLOOKUP($Z321,'oddspedia-matches'!$A:$AD,AQ$2,0)</f>
        <v>#N/A</v>
      </c>
    </row>
    <row r="322" spans="2:43" x14ac:dyDescent="0.2">
      <c r="B322" t="s">
        <v>471</v>
      </c>
      <c r="C322" t="s">
        <v>930</v>
      </c>
      <c r="D322" s="25">
        <v>8.3333333333333329E-2</v>
      </c>
      <c r="E322" t="s">
        <v>937</v>
      </c>
      <c r="F322" t="s">
        <v>938</v>
      </c>
      <c r="H322">
        <v>43.2</v>
      </c>
      <c r="I322">
        <v>27.8</v>
      </c>
      <c r="J322">
        <v>29</v>
      </c>
      <c r="K322">
        <v>71</v>
      </c>
      <c r="L322">
        <v>56.8</v>
      </c>
      <c r="M322">
        <v>72.2</v>
      </c>
      <c r="N322">
        <v>28.8</v>
      </c>
      <c r="O322">
        <v>39.200000000000003</v>
      </c>
      <c r="P322">
        <v>32</v>
      </c>
      <c r="Q322">
        <v>76.5</v>
      </c>
      <c r="R322">
        <v>77.900000000000006</v>
      </c>
      <c r="S322">
        <v>52.8</v>
      </c>
      <c r="T322">
        <v>47.2</v>
      </c>
      <c r="U322">
        <v>53</v>
      </c>
      <c r="V322">
        <v>57.2</v>
      </c>
      <c r="W322">
        <v>42.8</v>
      </c>
      <c r="X322" t="str">
        <f>VLOOKUP(E322,'Transform table'!A:B,2,0)</f>
        <v>Wolves</v>
      </c>
      <c r="Y322" t="e">
        <f>VLOOKUP(F322,'Transform table'!A:B,2,0)</f>
        <v>#N/A</v>
      </c>
      <c r="Z322" t="e">
        <f t="shared" si="4"/>
        <v>#N/A</v>
      </c>
      <c r="AA322" t="e">
        <f>VLOOKUP($Z322,'oddspedia-matches'!$A:$AD,AA$2,0)</f>
        <v>#N/A</v>
      </c>
      <c r="AB322" t="e">
        <f>VLOOKUP($Z322,'oddspedia-matches'!$A:$AD,AB$2,0)</f>
        <v>#N/A</v>
      </c>
      <c r="AC322" t="e">
        <f>VLOOKUP($Z322,'oddspedia-matches'!$A:$AD,AC$2,0)</f>
        <v>#N/A</v>
      </c>
      <c r="AD322" t="e">
        <f>VLOOKUP($Z322,'oddspedia-matches'!$A:$AD,AD$2,0)</f>
        <v>#N/A</v>
      </c>
      <c r="AE322" t="e">
        <f>VLOOKUP($Z322,'oddspedia-matches'!$A:$AD,AE$2,0)</f>
        <v>#N/A</v>
      </c>
      <c r="AF322" t="e">
        <f>VLOOKUP($Z322,'oddspedia-matches'!$A:$AD,AF$2,0)</f>
        <v>#N/A</v>
      </c>
      <c r="AG322" t="e">
        <f>VLOOKUP($Z322,'oddspedia-matches'!$A:$AD,AG$2,0)</f>
        <v>#N/A</v>
      </c>
      <c r="AH322" t="e">
        <f>VLOOKUP($Z322,'oddspedia-matches'!$A:$AD,AH$2,0)</f>
        <v>#N/A</v>
      </c>
      <c r="AI322" t="e">
        <f>VLOOKUP($Z322,'oddspedia-matches'!$A:$AD,AI$2,0)</f>
        <v>#N/A</v>
      </c>
      <c r="AJ322" t="e">
        <f>VLOOKUP($Z322,'oddspedia-matches'!$A:$AD,AJ$2,0)</f>
        <v>#N/A</v>
      </c>
      <c r="AK322" t="e">
        <f>VLOOKUP($Z322,'oddspedia-matches'!$A:$AD,AK$2,0)</f>
        <v>#N/A</v>
      </c>
      <c r="AL322" t="e">
        <f>VLOOKUP($Z322,'oddspedia-matches'!$A:$AD,AL$2,0)</f>
        <v>#N/A</v>
      </c>
      <c r="AM322" t="e">
        <f>VLOOKUP($Z322,'oddspedia-matches'!$A:$AD,AM$2,0)</f>
        <v>#N/A</v>
      </c>
      <c r="AN322" t="e">
        <f>VLOOKUP($Z322,'oddspedia-matches'!$A:$AD,AN$2,0)</f>
        <v>#N/A</v>
      </c>
      <c r="AO322" t="e">
        <f>VLOOKUP($Z322,'oddspedia-matches'!$A:$AD,AO$2,0)</f>
        <v>#N/A</v>
      </c>
      <c r="AP322" t="e">
        <f>VLOOKUP($Z322,'oddspedia-matches'!$A:$AD,AP$2,0)</f>
        <v>#N/A</v>
      </c>
      <c r="AQ322" t="e">
        <f>VLOOKUP($Z322,'oddspedia-matches'!$A:$AD,AQ$2,0)</f>
        <v>#N/A</v>
      </c>
    </row>
    <row r="323" spans="2:43" x14ac:dyDescent="0.2">
      <c r="B323" t="s">
        <v>463</v>
      </c>
      <c r="C323" t="s">
        <v>930</v>
      </c>
      <c r="D323" s="25">
        <v>8.3333333333333329E-2</v>
      </c>
      <c r="E323" t="s">
        <v>939</v>
      </c>
      <c r="F323" t="s">
        <v>19</v>
      </c>
      <c r="H323">
        <v>37.6</v>
      </c>
      <c r="I323">
        <v>25.5</v>
      </c>
      <c r="J323">
        <v>36.9</v>
      </c>
      <c r="K323">
        <v>63.1</v>
      </c>
      <c r="L323">
        <v>62.4</v>
      </c>
      <c r="M323">
        <v>74.5</v>
      </c>
      <c r="N323">
        <v>33.299999999999997</v>
      </c>
      <c r="O323">
        <v>34.1</v>
      </c>
      <c r="P323">
        <v>32.6</v>
      </c>
      <c r="Q323">
        <v>84.5</v>
      </c>
      <c r="R323">
        <v>92.7</v>
      </c>
      <c r="S323">
        <v>78.599999999999994</v>
      </c>
      <c r="T323">
        <v>21.4</v>
      </c>
      <c r="U323">
        <v>26</v>
      </c>
      <c r="V323">
        <v>77.900000000000006</v>
      </c>
      <c r="W323">
        <v>22.1</v>
      </c>
      <c r="X323" t="str">
        <f>VLOOKUP(E323,'Transform table'!A:B,2,0)</f>
        <v>Kahibah FC Reserves</v>
      </c>
      <c r="Y323" t="str">
        <f>VLOOKUP(F323,'Transform table'!A:B,2,0)</f>
        <v>Belmont Swansea United SC</v>
      </c>
      <c r="Z323" t="str">
        <f t="shared" si="4"/>
        <v>26/07/2026Kahibah FC ReservesBelmont Swansea United SC</v>
      </c>
      <c r="AA323" t="e">
        <f>VLOOKUP($Z323,'oddspedia-matches'!$A:$AD,AA$2,0)</f>
        <v>#N/A</v>
      </c>
      <c r="AB323" t="e">
        <f>VLOOKUP($Z323,'oddspedia-matches'!$A:$AD,AB$2,0)</f>
        <v>#N/A</v>
      </c>
      <c r="AC323" t="e">
        <f>VLOOKUP($Z323,'oddspedia-matches'!$A:$AD,AC$2,0)</f>
        <v>#N/A</v>
      </c>
      <c r="AD323" t="e">
        <f>VLOOKUP($Z323,'oddspedia-matches'!$A:$AD,AD$2,0)</f>
        <v>#N/A</v>
      </c>
      <c r="AE323" t="e">
        <f>VLOOKUP($Z323,'oddspedia-matches'!$A:$AD,AE$2,0)</f>
        <v>#N/A</v>
      </c>
      <c r="AF323" t="e">
        <f>VLOOKUP($Z323,'oddspedia-matches'!$A:$AD,AF$2,0)</f>
        <v>#N/A</v>
      </c>
      <c r="AG323" t="e">
        <f>VLOOKUP($Z323,'oddspedia-matches'!$A:$AD,AG$2,0)</f>
        <v>#N/A</v>
      </c>
      <c r="AH323" t="e">
        <f>VLOOKUP($Z323,'oddspedia-matches'!$A:$AD,AH$2,0)</f>
        <v>#N/A</v>
      </c>
      <c r="AI323" t="e">
        <f>VLOOKUP($Z323,'oddspedia-matches'!$A:$AD,AI$2,0)</f>
        <v>#N/A</v>
      </c>
      <c r="AJ323" t="e">
        <f>VLOOKUP($Z323,'oddspedia-matches'!$A:$AD,AJ$2,0)</f>
        <v>#N/A</v>
      </c>
      <c r="AK323" t="e">
        <f>VLOOKUP($Z323,'oddspedia-matches'!$A:$AD,AK$2,0)</f>
        <v>#N/A</v>
      </c>
      <c r="AL323" t="e">
        <f>VLOOKUP($Z323,'oddspedia-matches'!$A:$AD,AL$2,0)</f>
        <v>#N/A</v>
      </c>
      <c r="AM323" t="e">
        <f>VLOOKUP($Z323,'oddspedia-matches'!$A:$AD,AM$2,0)</f>
        <v>#N/A</v>
      </c>
      <c r="AN323" t="e">
        <f>VLOOKUP($Z323,'oddspedia-matches'!$A:$AD,AN$2,0)</f>
        <v>#N/A</v>
      </c>
      <c r="AO323" t="e">
        <f>VLOOKUP($Z323,'oddspedia-matches'!$A:$AD,AO$2,0)</f>
        <v>#N/A</v>
      </c>
      <c r="AP323" t="e">
        <f>VLOOKUP($Z323,'oddspedia-matches'!$A:$AD,AP$2,0)</f>
        <v>#N/A</v>
      </c>
      <c r="AQ323" t="e">
        <f>VLOOKUP($Z323,'oddspedia-matches'!$A:$AD,AQ$2,0)</f>
        <v>#N/A</v>
      </c>
    </row>
    <row r="324" spans="2:43" x14ac:dyDescent="0.2">
      <c r="B324" t="s">
        <v>445</v>
      </c>
      <c r="C324" t="s">
        <v>930</v>
      </c>
      <c r="D324" s="25">
        <v>0.14583333333333334</v>
      </c>
      <c r="E324" t="s">
        <v>214</v>
      </c>
      <c r="F324" t="s">
        <v>940</v>
      </c>
      <c r="H324">
        <v>33.6</v>
      </c>
      <c r="I324">
        <v>25.8</v>
      </c>
      <c r="J324">
        <v>40.6</v>
      </c>
      <c r="K324">
        <v>59.4</v>
      </c>
      <c r="L324">
        <v>66.400000000000006</v>
      </c>
      <c r="M324">
        <v>74.2</v>
      </c>
      <c r="N324">
        <v>32.6</v>
      </c>
      <c r="O324">
        <v>35.9</v>
      </c>
      <c r="P324">
        <v>31.5</v>
      </c>
      <c r="Q324">
        <v>81.8</v>
      </c>
      <c r="R324">
        <v>94.1</v>
      </c>
      <c r="S324">
        <v>81.8</v>
      </c>
      <c r="T324">
        <v>18.2</v>
      </c>
      <c r="U324">
        <v>22.5</v>
      </c>
      <c r="V324">
        <v>80.400000000000006</v>
      </c>
      <c r="W324">
        <v>19.600000000000001</v>
      </c>
      <c r="X324" t="str">
        <f>VLOOKUP(E324,'Transform table'!A:B,2,0)</f>
        <v>Gungahlin Juventus U23</v>
      </c>
      <c r="Y324" t="e">
        <f>VLOOKUP(F324,'Transform table'!A:B,2,0)</f>
        <v>#N/A</v>
      </c>
      <c r="Z324" t="e">
        <f t="shared" ref="Z324:Z387" si="5">C324&amp;X324&amp;Y324</f>
        <v>#N/A</v>
      </c>
      <c r="AA324" t="e">
        <f>VLOOKUP($Z324,'oddspedia-matches'!$A:$AD,AA$2,0)</f>
        <v>#N/A</v>
      </c>
      <c r="AB324" t="e">
        <f>VLOOKUP($Z324,'oddspedia-matches'!$A:$AD,AB$2,0)</f>
        <v>#N/A</v>
      </c>
      <c r="AC324" t="e">
        <f>VLOOKUP($Z324,'oddspedia-matches'!$A:$AD,AC$2,0)</f>
        <v>#N/A</v>
      </c>
      <c r="AD324" t="e">
        <f>VLOOKUP($Z324,'oddspedia-matches'!$A:$AD,AD$2,0)</f>
        <v>#N/A</v>
      </c>
      <c r="AE324" t="e">
        <f>VLOOKUP($Z324,'oddspedia-matches'!$A:$AD,AE$2,0)</f>
        <v>#N/A</v>
      </c>
      <c r="AF324" t="e">
        <f>VLOOKUP($Z324,'oddspedia-matches'!$A:$AD,AF$2,0)</f>
        <v>#N/A</v>
      </c>
      <c r="AG324" t="e">
        <f>VLOOKUP($Z324,'oddspedia-matches'!$A:$AD,AG$2,0)</f>
        <v>#N/A</v>
      </c>
      <c r="AH324" t="e">
        <f>VLOOKUP($Z324,'oddspedia-matches'!$A:$AD,AH$2,0)</f>
        <v>#N/A</v>
      </c>
      <c r="AI324" t="e">
        <f>VLOOKUP($Z324,'oddspedia-matches'!$A:$AD,AI$2,0)</f>
        <v>#N/A</v>
      </c>
      <c r="AJ324" t="e">
        <f>VLOOKUP($Z324,'oddspedia-matches'!$A:$AD,AJ$2,0)</f>
        <v>#N/A</v>
      </c>
      <c r="AK324" t="e">
        <f>VLOOKUP($Z324,'oddspedia-matches'!$A:$AD,AK$2,0)</f>
        <v>#N/A</v>
      </c>
      <c r="AL324" t="e">
        <f>VLOOKUP($Z324,'oddspedia-matches'!$A:$AD,AL$2,0)</f>
        <v>#N/A</v>
      </c>
      <c r="AM324" t="e">
        <f>VLOOKUP($Z324,'oddspedia-matches'!$A:$AD,AM$2,0)</f>
        <v>#N/A</v>
      </c>
      <c r="AN324" t="e">
        <f>VLOOKUP($Z324,'oddspedia-matches'!$A:$AD,AN$2,0)</f>
        <v>#N/A</v>
      </c>
      <c r="AO324" t="e">
        <f>VLOOKUP($Z324,'oddspedia-matches'!$A:$AD,AO$2,0)</f>
        <v>#N/A</v>
      </c>
      <c r="AP324" t="e">
        <f>VLOOKUP($Z324,'oddspedia-matches'!$A:$AD,AP$2,0)</f>
        <v>#N/A</v>
      </c>
      <c r="AQ324" t="e">
        <f>VLOOKUP($Z324,'oddspedia-matches'!$A:$AD,AQ$2,0)</f>
        <v>#N/A</v>
      </c>
    </row>
    <row r="325" spans="2:43" x14ac:dyDescent="0.2">
      <c r="B325" t="s">
        <v>546</v>
      </c>
      <c r="C325" t="s">
        <v>930</v>
      </c>
      <c r="D325" s="25">
        <v>0.20833333333333334</v>
      </c>
      <c r="E325" t="s">
        <v>941</v>
      </c>
      <c r="F325" t="s">
        <v>942</v>
      </c>
      <c r="H325">
        <v>47.8</v>
      </c>
      <c r="I325">
        <v>29.8</v>
      </c>
      <c r="J325">
        <v>22.4</v>
      </c>
      <c r="K325">
        <v>77.599999999999994</v>
      </c>
      <c r="L325">
        <v>52.2</v>
      </c>
      <c r="M325">
        <v>70.2</v>
      </c>
      <c r="N325">
        <v>31.5</v>
      </c>
      <c r="O325">
        <v>46.9</v>
      </c>
      <c r="P325">
        <v>21.6</v>
      </c>
      <c r="Q325">
        <v>64.099999999999994</v>
      </c>
      <c r="R325">
        <v>67</v>
      </c>
      <c r="S325">
        <v>39.1</v>
      </c>
      <c r="T325">
        <v>60.9</v>
      </c>
      <c r="U325">
        <v>66.8</v>
      </c>
      <c r="V325">
        <v>44.7</v>
      </c>
      <c r="W325">
        <v>55.3</v>
      </c>
      <c r="X325">
        <f>VLOOKUP(E325,'Transform table'!A:B,2,0)</f>
        <v>0</v>
      </c>
      <c r="Y325" t="e">
        <f>VLOOKUP(F325,'Transform table'!A:B,2,0)</f>
        <v>#N/A</v>
      </c>
      <c r="Z325" t="e">
        <f t="shared" si="5"/>
        <v>#N/A</v>
      </c>
      <c r="AA325" t="e">
        <f>VLOOKUP($Z325,'oddspedia-matches'!$A:$AD,AA$2,0)</f>
        <v>#N/A</v>
      </c>
      <c r="AB325" t="e">
        <f>VLOOKUP($Z325,'oddspedia-matches'!$A:$AD,AB$2,0)</f>
        <v>#N/A</v>
      </c>
      <c r="AC325" t="e">
        <f>VLOOKUP($Z325,'oddspedia-matches'!$A:$AD,AC$2,0)</f>
        <v>#N/A</v>
      </c>
      <c r="AD325" t="e">
        <f>VLOOKUP($Z325,'oddspedia-matches'!$A:$AD,AD$2,0)</f>
        <v>#N/A</v>
      </c>
      <c r="AE325" t="e">
        <f>VLOOKUP($Z325,'oddspedia-matches'!$A:$AD,AE$2,0)</f>
        <v>#N/A</v>
      </c>
      <c r="AF325" t="e">
        <f>VLOOKUP($Z325,'oddspedia-matches'!$A:$AD,AF$2,0)</f>
        <v>#N/A</v>
      </c>
      <c r="AG325" t="e">
        <f>VLOOKUP($Z325,'oddspedia-matches'!$A:$AD,AG$2,0)</f>
        <v>#N/A</v>
      </c>
      <c r="AH325" t="e">
        <f>VLOOKUP($Z325,'oddspedia-matches'!$A:$AD,AH$2,0)</f>
        <v>#N/A</v>
      </c>
      <c r="AI325" t="e">
        <f>VLOOKUP($Z325,'oddspedia-matches'!$A:$AD,AI$2,0)</f>
        <v>#N/A</v>
      </c>
      <c r="AJ325" t="e">
        <f>VLOOKUP($Z325,'oddspedia-matches'!$A:$AD,AJ$2,0)</f>
        <v>#N/A</v>
      </c>
      <c r="AK325" t="e">
        <f>VLOOKUP($Z325,'oddspedia-matches'!$A:$AD,AK$2,0)</f>
        <v>#N/A</v>
      </c>
      <c r="AL325" t="e">
        <f>VLOOKUP($Z325,'oddspedia-matches'!$A:$AD,AL$2,0)</f>
        <v>#N/A</v>
      </c>
      <c r="AM325" t="e">
        <f>VLOOKUP($Z325,'oddspedia-matches'!$A:$AD,AM$2,0)</f>
        <v>#N/A</v>
      </c>
      <c r="AN325" t="e">
        <f>VLOOKUP($Z325,'oddspedia-matches'!$A:$AD,AN$2,0)</f>
        <v>#N/A</v>
      </c>
      <c r="AO325" t="e">
        <f>VLOOKUP($Z325,'oddspedia-matches'!$A:$AD,AO$2,0)</f>
        <v>#N/A</v>
      </c>
      <c r="AP325" t="e">
        <f>VLOOKUP($Z325,'oddspedia-matches'!$A:$AD,AP$2,0)</f>
        <v>#N/A</v>
      </c>
      <c r="AQ325" t="e">
        <f>VLOOKUP($Z325,'oddspedia-matches'!$A:$AD,AQ$2,0)</f>
        <v>#N/A</v>
      </c>
    </row>
    <row r="326" spans="2:43" x14ac:dyDescent="0.2">
      <c r="B326" t="s">
        <v>546</v>
      </c>
      <c r="C326" t="s">
        <v>930</v>
      </c>
      <c r="D326" s="25">
        <v>0.20833333333333334</v>
      </c>
      <c r="E326" t="s">
        <v>943</v>
      </c>
      <c r="F326" t="s">
        <v>944</v>
      </c>
      <c r="H326">
        <v>53.8</v>
      </c>
      <c r="I326">
        <v>27.1</v>
      </c>
      <c r="J326">
        <v>19</v>
      </c>
      <c r="K326">
        <v>81</v>
      </c>
      <c r="L326">
        <v>46.2</v>
      </c>
      <c r="M326">
        <v>72.900000000000006</v>
      </c>
      <c r="N326">
        <v>35.1</v>
      </c>
      <c r="O326">
        <v>44.4</v>
      </c>
      <c r="P326">
        <v>20.5</v>
      </c>
      <c r="Q326">
        <v>67.400000000000006</v>
      </c>
      <c r="R326">
        <v>72.2</v>
      </c>
      <c r="S326">
        <v>45.3</v>
      </c>
      <c r="T326">
        <v>54.7</v>
      </c>
      <c r="U326">
        <v>61.6</v>
      </c>
      <c r="V326">
        <v>47.8</v>
      </c>
      <c r="W326">
        <v>52.2</v>
      </c>
      <c r="X326">
        <f>VLOOKUP(E326,'Transform table'!A:B,2,0)</f>
        <v>0</v>
      </c>
      <c r="Y326" t="e">
        <f>VLOOKUP(F326,'Transform table'!A:B,2,0)</f>
        <v>#N/A</v>
      </c>
      <c r="Z326" t="e">
        <f t="shared" si="5"/>
        <v>#N/A</v>
      </c>
      <c r="AA326" t="e">
        <f>VLOOKUP($Z326,'oddspedia-matches'!$A:$AD,AA$2,0)</f>
        <v>#N/A</v>
      </c>
      <c r="AB326" t="e">
        <f>VLOOKUP($Z326,'oddspedia-matches'!$A:$AD,AB$2,0)</f>
        <v>#N/A</v>
      </c>
      <c r="AC326" t="e">
        <f>VLOOKUP($Z326,'oddspedia-matches'!$A:$AD,AC$2,0)</f>
        <v>#N/A</v>
      </c>
      <c r="AD326" t="e">
        <f>VLOOKUP($Z326,'oddspedia-matches'!$A:$AD,AD$2,0)</f>
        <v>#N/A</v>
      </c>
      <c r="AE326" t="e">
        <f>VLOOKUP($Z326,'oddspedia-matches'!$A:$AD,AE$2,0)</f>
        <v>#N/A</v>
      </c>
      <c r="AF326" t="e">
        <f>VLOOKUP($Z326,'oddspedia-matches'!$A:$AD,AF$2,0)</f>
        <v>#N/A</v>
      </c>
      <c r="AG326" t="e">
        <f>VLOOKUP($Z326,'oddspedia-matches'!$A:$AD,AG$2,0)</f>
        <v>#N/A</v>
      </c>
      <c r="AH326" t="e">
        <f>VLOOKUP($Z326,'oddspedia-matches'!$A:$AD,AH$2,0)</f>
        <v>#N/A</v>
      </c>
      <c r="AI326" t="e">
        <f>VLOOKUP($Z326,'oddspedia-matches'!$A:$AD,AI$2,0)</f>
        <v>#N/A</v>
      </c>
      <c r="AJ326" t="e">
        <f>VLOOKUP($Z326,'oddspedia-matches'!$A:$AD,AJ$2,0)</f>
        <v>#N/A</v>
      </c>
      <c r="AK326" t="e">
        <f>VLOOKUP($Z326,'oddspedia-matches'!$A:$AD,AK$2,0)</f>
        <v>#N/A</v>
      </c>
      <c r="AL326" t="e">
        <f>VLOOKUP($Z326,'oddspedia-matches'!$A:$AD,AL$2,0)</f>
        <v>#N/A</v>
      </c>
      <c r="AM326" t="e">
        <f>VLOOKUP($Z326,'oddspedia-matches'!$A:$AD,AM$2,0)</f>
        <v>#N/A</v>
      </c>
      <c r="AN326" t="e">
        <f>VLOOKUP($Z326,'oddspedia-matches'!$A:$AD,AN$2,0)</f>
        <v>#N/A</v>
      </c>
      <c r="AO326" t="e">
        <f>VLOOKUP($Z326,'oddspedia-matches'!$A:$AD,AO$2,0)</f>
        <v>#N/A</v>
      </c>
      <c r="AP326" t="e">
        <f>VLOOKUP($Z326,'oddspedia-matches'!$A:$AD,AP$2,0)</f>
        <v>#N/A</v>
      </c>
      <c r="AQ326" t="e">
        <f>VLOOKUP($Z326,'oddspedia-matches'!$A:$AD,AQ$2,0)</f>
        <v>#N/A</v>
      </c>
    </row>
    <row r="327" spans="2:43" x14ac:dyDescent="0.2">
      <c r="B327" t="s">
        <v>546</v>
      </c>
      <c r="C327" t="s">
        <v>930</v>
      </c>
      <c r="D327" s="25">
        <v>0.22916666666666666</v>
      </c>
      <c r="E327" t="s">
        <v>945</v>
      </c>
      <c r="F327" t="s">
        <v>946</v>
      </c>
      <c r="H327">
        <v>54.7</v>
      </c>
      <c r="I327">
        <v>27.8</v>
      </c>
      <c r="J327">
        <v>17.5</v>
      </c>
      <c r="K327">
        <v>82.5</v>
      </c>
      <c r="L327">
        <v>45.3</v>
      </c>
      <c r="M327">
        <v>72.2</v>
      </c>
      <c r="N327">
        <v>47.3</v>
      </c>
      <c r="O327">
        <v>38.799999999999997</v>
      </c>
      <c r="P327">
        <v>13.9</v>
      </c>
      <c r="Q327">
        <v>72.400000000000006</v>
      </c>
      <c r="R327">
        <v>68</v>
      </c>
      <c r="S327">
        <v>40.299999999999997</v>
      </c>
      <c r="T327">
        <v>59.7</v>
      </c>
      <c r="U327">
        <v>66.7</v>
      </c>
      <c r="V327">
        <v>42.9</v>
      </c>
      <c r="W327">
        <v>57.1</v>
      </c>
      <c r="X327" t="str">
        <f>VLOOKUP(E327,'Transform table'!A:B,2,0)</f>
        <v>Shanghai Greenland Shenhua</v>
      </c>
      <c r="Y327" t="e">
        <f>VLOOKUP(F327,'Transform table'!A:B,2,0)</f>
        <v>#N/A</v>
      </c>
      <c r="Z327" t="e">
        <f t="shared" si="5"/>
        <v>#N/A</v>
      </c>
      <c r="AA327" t="e">
        <f>VLOOKUP($Z327,'oddspedia-matches'!$A:$AD,AA$2,0)</f>
        <v>#N/A</v>
      </c>
      <c r="AB327" t="e">
        <f>VLOOKUP($Z327,'oddspedia-matches'!$A:$AD,AB$2,0)</f>
        <v>#N/A</v>
      </c>
      <c r="AC327" t="e">
        <f>VLOOKUP($Z327,'oddspedia-matches'!$A:$AD,AC$2,0)</f>
        <v>#N/A</v>
      </c>
      <c r="AD327" t="e">
        <f>VLOOKUP($Z327,'oddspedia-matches'!$A:$AD,AD$2,0)</f>
        <v>#N/A</v>
      </c>
      <c r="AE327" t="e">
        <f>VLOOKUP($Z327,'oddspedia-matches'!$A:$AD,AE$2,0)</f>
        <v>#N/A</v>
      </c>
      <c r="AF327" t="e">
        <f>VLOOKUP($Z327,'oddspedia-matches'!$A:$AD,AF$2,0)</f>
        <v>#N/A</v>
      </c>
      <c r="AG327" t="e">
        <f>VLOOKUP($Z327,'oddspedia-matches'!$A:$AD,AG$2,0)</f>
        <v>#N/A</v>
      </c>
      <c r="AH327" t="e">
        <f>VLOOKUP($Z327,'oddspedia-matches'!$A:$AD,AH$2,0)</f>
        <v>#N/A</v>
      </c>
      <c r="AI327" t="e">
        <f>VLOOKUP($Z327,'oddspedia-matches'!$A:$AD,AI$2,0)</f>
        <v>#N/A</v>
      </c>
      <c r="AJ327" t="e">
        <f>VLOOKUP($Z327,'oddspedia-matches'!$A:$AD,AJ$2,0)</f>
        <v>#N/A</v>
      </c>
      <c r="AK327" t="e">
        <f>VLOOKUP($Z327,'oddspedia-matches'!$A:$AD,AK$2,0)</f>
        <v>#N/A</v>
      </c>
      <c r="AL327" t="e">
        <f>VLOOKUP($Z327,'oddspedia-matches'!$A:$AD,AL$2,0)</f>
        <v>#N/A</v>
      </c>
      <c r="AM327" t="e">
        <f>VLOOKUP($Z327,'oddspedia-matches'!$A:$AD,AM$2,0)</f>
        <v>#N/A</v>
      </c>
      <c r="AN327" t="e">
        <f>VLOOKUP($Z327,'oddspedia-matches'!$A:$AD,AN$2,0)</f>
        <v>#N/A</v>
      </c>
      <c r="AO327" t="e">
        <f>VLOOKUP($Z327,'oddspedia-matches'!$A:$AD,AO$2,0)</f>
        <v>#N/A</v>
      </c>
      <c r="AP327" t="e">
        <f>VLOOKUP($Z327,'oddspedia-matches'!$A:$AD,AP$2,0)</f>
        <v>#N/A</v>
      </c>
      <c r="AQ327" t="e">
        <f>VLOOKUP($Z327,'oddspedia-matches'!$A:$AD,AQ$2,0)</f>
        <v>#N/A</v>
      </c>
    </row>
    <row r="328" spans="2:43" x14ac:dyDescent="0.2">
      <c r="B328" t="s">
        <v>947</v>
      </c>
      <c r="C328" t="s">
        <v>930</v>
      </c>
      <c r="D328" s="25">
        <v>0.25</v>
      </c>
      <c r="E328" t="s">
        <v>948</v>
      </c>
      <c r="F328" t="s">
        <v>949</v>
      </c>
      <c r="H328">
        <v>12.9</v>
      </c>
      <c r="I328">
        <v>43.7</v>
      </c>
      <c r="J328">
        <v>43.4</v>
      </c>
      <c r="K328">
        <v>56.6</v>
      </c>
      <c r="L328">
        <v>87.1</v>
      </c>
      <c r="M328">
        <v>56.3</v>
      </c>
      <c r="N328">
        <v>25.4</v>
      </c>
      <c r="O328">
        <v>68</v>
      </c>
      <c r="P328">
        <v>6.7</v>
      </c>
      <c r="Q328">
        <v>34.299999999999997</v>
      </c>
      <c r="R328">
        <v>32.799999999999997</v>
      </c>
      <c r="S328">
        <v>11</v>
      </c>
      <c r="T328">
        <v>89</v>
      </c>
      <c r="U328">
        <v>92.1</v>
      </c>
      <c r="V328">
        <v>16.5</v>
      </c>
      <c r="W328">
        <v>83.5</v>
      </c>
      <c r="X328">
        <f>VLOOKUP(E328,'Transform table'!A:B,2,0)</f>
        <v>0</v>
      </c>
      <c r="Y328" t="e">
        <f>VLOOKUP(F328,'Transform table'!A:B,2,0)</f>
        <v>#N/A</v>
      </c>
      <c r="Z328" t="e">
        <f t="shared" si="5"/>
        <v>#N/A</v>
      </c>
      <c r="AA328" t="e">
        <f>VLOOKUP($Z328,'oddspedia-matches'!$A:$AD,AA$2,0)</f>
        <v>#N/A</v>
      </c>
      <c r="AB328" t="e">
        <f>VLOOKUP($Z328,'oddspedia-matches'!$A:$AD,AB$2,0)</f>
        <v>#N/A</v>
      </c>
      <c r="AC328" t="e">
        <f>VLOOKUP($Z328,'oddspedia-matches'!$A:$AD,AC$2,0)</f>
        <v>#N/A</v>
      </c>
      <c r="AD328" t="e">
        <f>VLOOKUP($Z328,'oddspedia-matches'!$A:$AD,AD$2,0)</f>
        <v>#N/A</v>
      </c>
      <c r="AE328" t="e">
        <f>VLOOKUP($Z328,'oddspedia-matches'!$A:$AD,AE$2,0)</f>
        <v>#N/A</v>
      </c>
      <c r="AF328" t="e">
        <f>VLOOKUP($Z328,'oddspedia-matches'!$A:$AD,AF$2,0)</f>
        <v>#N/A</v>
      </c>
      <c r="AG328" t="e">
        <f>VLOOKUP($Z328,'oddspedia-matches'!$A:$AD,AG$2,0)</f>
        <v>#N/A</v>
      </c>
      <c r="AH328" t="e">
        <f>VLOOKUP($Z328,'oddspedia-matches'!$A:$AD,AH$2,0)</f>
        <v>#N/A</v>
      </c>
      <c r="AI328" t="e">
        <f>VLOOKUP($Z328,'oddspedia-matches'!$A:$AD,AI$2,0)</f>
        <v>#N/A</v>
      </c>
      <c r="AJ328" t="e">
        <f>VLOOKUP($Z328,'oddspedia-matches'!$A:$AD,AJ$2,0)</f>
        <v>#N/A</v>
      </c>
      <c r="AK328" t="e">
        <f>VLOOKUP($Z328,'oddspedia-matches'!$A:$AD,AK$2,0)</f>
        <v>#N/A</v>
      </c>
      <c r="AL328" t="e">
        <f>VLOOKUP($Z328,'oddspedia-matches'!$A:$AD,AL$2,0)</f>
        <v>#N/A</v>
      </c>
      <c r="AM328" t="e">
        <f>VLOOKUP($Z328,'oddspedia-matches'!$A:$AD,AM$2,0)</f>
        <v>#N/A</v>
      </c>
      <c r="AN328" t="e">
        <f>VLOOKUP($Z328,'oddspedia-matches'!$A:$AD,AN$2,0)</f>
        <v>#N/A</v>
      </c>
      <c r="AO328" t="e">
        <f>VLOOKUP($Z328,'oddspedia-matches'!$A:$AD,AO$2,0)</f>
        <v>#N/A</v>
      </c>
      <c r="AP328" t="e">
        <f>VLOOKUP($Z328,'oddspedia-matches'!$A:$AD,AP$2,0)</f>
        <v>#N/A</v>
      </c>
      <c r="AQ328" t="e">
        <f>VLOOKUP($Z328,'oddspedia-matches'!$A:$AD,AQ$2,0)</f>
        <v>#N/A</v>
      </c>
    </row>
    <row r="329" spans="2:43" x14ac:dyDescent="0.2">
      <c r="B329" t="s">
        <v>558</v>
      </c>
      <c r="C329" t="s">
        <v>930</v>
      </c>
      <c r="D329" s="25">
        <v>0.29166666666666669</v>
      </c>
      <c r="E329" t="s">
        <v>950</v>
      </c>
      <c r="F329" t="s">
        <v>951</v>
      </c>
      <c r="H329">
        <v>62.1</v>
      </c>
      <c r="I329">
        <v>24</v>
      </c>
      <c r="J329">
        <v>13.9</v>
      </c>
      <c r="K329">
        <v>86.1</v>
      </c>
      <c r="L329">
        <v>37.9</v>
      </c>
      <c r="M329">
        <v>76</v>
      </c>
      <c r="N329">
        <v>50.2</v>
      </c>
      <c r="O329">
        <v>36.5</v>
      </c>
      <c r="P329">
        <v>13.3</v>
      </c>
      <c r="Q329">
        <v>75.099999999999994</v>
      </c>
      <c r="R329">
        <v>76.3</v>
      </c>
      <c r="S329">
        <v>50.8</v>
      </c>
      <c r="T329">
        <v>49.2</v>
      </c>
      <c r="U329">
        <v>57.7</v>
      </c>
      <c r="V329">
        <v>47.8</v>
      </c>
      <c r="W329">
        <v>52.2</v>
      </c>
      <c r="X329">
        <f>VLOOKUP(E329,'Transform table'!A:B,2,0)</f>
        <v>0</v>
      </c>
      <c r="Y329" t="e">
        <f>VLOOKUP(F329,'Transform table'!A:B,2,0)</f>
        <v>#N/A</v>
      </c>
      <c r="Z329" t="e">
        <f t="shared" si="5"/>
        <v>#N/A</v>
      </c>
      <c r="AA329" t="e">
        <f>VLOOKUP($Z329,'oddspedia-matches'!$A:$AD,AA$2,0)</f>
        <v>#N/A</v>
      </c>
      <c r="AB329" t="e">
        <f>VLOOKUP($Z329,'oddspedia-matches'!$A:$AD,AB$2,0)</f>
        <v>#N/A</v>
      </c>
      <c r="AC329" t="e">
        <f>VLOOKUP($Z329,'oddspedia-matches'!$A:$AD,AC$2,0)</f>
        <v>#N/A</v>
      </c>
      <c r="AD329" t="e">
        <f>VLOOKUP($Z329,'oddspedia-matches'!$A:$AD,AD$2,0)</f>
        <v>#N/A</v>
      </c>
      <c r="AE329" t="e">
        <f>VLOOKUP($Z329,'oddspedia-matches'!$A:$AD,AE$2,0)</f>
        <v>#N/A</v>
      </c>
      <c r="AF329" t="e">
        <f>VLOOKUP($Z329,'oddspedia-matches'!$A:$AD,AF$2,0)</f>
        <v>#N/A</v>
      </c>
      <c r="AG329" t="e">
        <f>VLOOKUP($Z329,'oddspedia-matches'!$A:$AD,AG$2,0)</f>
        <v>#N/A</v>
      </c>
      <c r="AH329" t="e">
        <f>VLOOKUP($Z329,'oddspedia-matches'!$A:$AD,AH$2,0)</f>
        <v>#N/A</v>
      </c>
      <c r="AI329" t="e">
        <f>VLOOKUP($Z329,'oddspedia-matches'!$A:$AD,AI$2,0)</f>
        <v>#N/A</v>
      </c>
      <c r="AJ329" t="e">
        <f>VLOOKUP($Z329,'oddspedia-matches'!$A:$AD,AJ$2,0)</f>
        <v>#N/A</v>
      </c>
      <c r="AK329" t="e">
        <f>VLOOKUP($Z329,'oddspedia-matches'!$A:$AD,AK$2,0)</f>
        <v>#N/A</v>
      </c>
      <c r="AL329" t="e">
        <f>VLOOKUP($Z329,'oddspedia-matches'!$A:$AD,AL$2,0)</f>
        <v>#N/A</v>
      </c>
      <c r="AM329" t="e">
        <f>VLOOKUP($Z329,'oddspedia-matches'!$A:$AD,AM$2,0)</f>
        <v>#N/A</v>
      </c>
      <c r="AN329" t="e">
        <f>VLOOKUP($Z329,'oddspedia-matches'!$A:$AD,AN$2,0)</f>
        <v>#N/A</v>
      </c>
      <c r="AO329" t="e">
        <f>VLOOKUP($Z329,'oddspedia-matches'!$A:$AD,AO$2,0)</f>
        <v>#N/A</v>
      </c>
      <c r="AP329" t="e">
        <f>VLOOKUP($Z329,'oddspedia-matches'!$A:$AD,AP$2,0)</f>
        <v>#N/A</v>
      </c>
      <c r="AQ329" t="e">
        <f>VLOOKUP($Z329,'oddspedia-matches'!$A:$AD,AQ$2,0)</f>
        <v>#N/A</v>
      </c>
    </row>
    <row r="330" spans="2:43" x14ac:dyDescent="0.2">
      <c r="B330" t="s">
        <v>446</v>
      </c>
      <c r="C330" t="s">
        <v>930</v>
      </c>
      <c r="D330" s="25">
        <v>0.3125</v>
      </c>
      <c r="E330" t="s">
        <v>26</v>
      </c>
      <c r="F330" t="s">
        <v>217</v>
      </c>
      <c r="H330">
        <v>34.5</v>
      </c>
      <c r="I330">
        <v>32.200000000000003</v>
      </c>
      <c r="J330">
        <v>33.299999999999997</v>
      </c>
      <c r="K330">
        <v>66.7</v>
      </c>
      <c r="L330">
        <v>65.5</v>
      </c>
      <c r="M330">
        <v>67.8</v>
      </c>
      <c r="N330">
        <v>28</v>
      </c>
      <c r="O330">
        <v>49.6</v>
      </c>
      <c r="P330">
        <v>22.4</v>
      </c>
      <c r="Q330">
        <v>60.3</v>
      </c>
      <c r="R330">
        <v>65.2</v>
      </c>
      <c r="S330">
        <v>37</v>
      </c>
      <c r="T330">
        <v>63</v>
      </c>
      <c r="U330">
        <v>67.900000000000006</v>
      </c>
      <c r="V330">
        <v>45.3</v>
      </c>
      <c r="W330">
        <v>54.7</v>
      </c>
      <c r="X330" t="str">
        <f>VLOOKUP(E330,'Transform table'!A:B,2,0)</f>
        <v>Anyang</v>
      </c>
      <c r="Y330" t="str">
        <f>VLOOKUP(F330,'Transform table'!A:B,2,0)</f>
        <v>Gangwon</v>
      </c>
      <c r="Z330" t="str">
        <f t="shared" si="5"/>
        <v>26/07/2026AnyangGangwon</v>
      </c>
      <c r="AA330" t="e">
        <f>VLOOKUP($Z330,'oddspedia-matches'!$A:$AD,AA$2,0)</f>
        <v>#N/A</v>
      </c>
      <c r="AB330" t="e">
        <f>VLOOKUP($Z330,'oddspedia-matches'!$A:$AD,AB$2,0)</f>
        <v>#N/A</v>
      </c>
      <c r="AC330" t="e">
        <f>VLOOKUP($Z330,'oddspedia-matches'!$A:$AD,AC$2,0)</f>
        <v>#N/A</v>
      </c>
      <c r="AD330" t="e">
        <f>VLOOKUP($Z330,'oddspedia-matches'!$A:$AD,AD$2,0)</f>
        <v>#N/A</v>
      </c>
      <c r="AE330" t="e">
        <f>VLOOKUP($Z330,'oddspedia-matches'!$A:$AD,AE$2,0)</f>
        <v>#N/A</v>
      </c>
      <c r="AF330" t="e">
        <f>VLOOKUP($Z330,'oddspedia-matches'!$A:$AD,AF$2,0)</f>
        <v>#N/A</v>
      </c>
      <c r="AG330" t="e">
        <f>VLOOKUP($Z330,'oddspedia-matches'!$A:$AD,AG$2,0)</f>
        <v>#N/A</v>
      </c>
      <c r="AH330" t="e">
        <f>VLOOKUP($Z330,'oddspedia-matches'!$A:$AD,AH$2,0)</f>
        <v>#N/A</v>
      </c>
      <c r="AI330" t="e">
        <f>VLOOKUP($Z330,'oddspedia-matches'!$A:$AD,AI$2,0)</f>
        <v>#N/A</v>
      </c>
      <c r="AJ330" t="e">
        <f>VLOOKUP($Z330,'oddspedia-matches'!$A:$AD,AJ$2,0)</f>
        <v>#N/A</v>
      </c>
      <c r="AK330" t="e">
        <f>VLOOKUP($Z330,'oddspedia-matches'!$A:$AD,AK$2,0)</f>
        <v>#N/A</v>
      </c>
      <c r="AL330" t="e">
        <f>VLOOKUP($Z330,'oddspedia-matches'!$A:$AD,AL$2,0)</f>
        <v>#N/A</v>
      </c>
      <c r="AM330" t="e">
        <f>VLOOKUP($Z330,'oddspedia-matches'!$A:$AD,AM$2,0)</f>
        <v>#N/A</v>
      </c>
      <c r="AN330" t="e">
        <f>VLOOKUP($Z330,'oddspedia-matches'!$A:$AD,AN$2,0)</f>
        <v>#N/A</v>
      </c>
      <c r="AO330" t="e">
        <f>VLOOKUP($Z330,'oddspedia-matches'!$A:$AD,AO$2,0)</f>
        <v>#N/A</v>
      </c>
      <c r="AP330" t="e">
        <f>VLOOKUP($Z330,'oddspedia-matches'!$A:$AD,AP$2,0)</f>
        <v>#N/A</v>
      </c>
      <c r="AQ330" t="e">
        <f>VLOOKUP($Z330,'oddspedia-matches'!$A:$AD,AQ$2,0)</f>
        <v>#N/A</v>
      </c>
    </row>
    <row r="331" spans="2:43" x14ac:dyDescent="0.2">
      <c r="B331" t="s">
        <v>446</v>
      </c>
      <c r="C331" t="s">
        <v>930</v>
      </c>
      <c r="D331" s="25">
        <v>0.3125</v>
      </c>
      <c r="E331" t="s">
        <v>27</v>
      </c>
      <c r="F331" t="s">
        <v>220</v>
      </c>
      <c r="H331">
        <v>58.8</v>
      </c>
      <c r="I331">
        <v>24.6</v>
      </c>
      <c r="J331">
        <v>16.600000000000001</v>
      </c>
      <c r="K331">
        <v>83.4</v>
      </c>
      <c r="L331">
        <v>41.2</v>
      </c>
      <c r="M331">
        <v>75.400000000000006</v>
      </c>
      <c r="N331">
        <v>49.8</v>
      </c>
      <c r="O331">
        <v>38.5</v>
      </c>
      <c r="P331">
        <v>11.7</v>
      </c>
      <c r="Q331">
        <v>71.5</v>
      </c>
      <c r="R331">
        <v>78.2</v>
      </c>
      <c r="S331">
        <v>53.4</v>
      </c>
      <c r="T331">
        <v>46.6</v>
      </c>
      <c r="U331">
        <v>54.3</v>
      </c>
      <c r="V331">
        <v>52.2</v>
      </c>
      <c r="W331">
        <v>47.8</v>
      </c>
      <c r="X331" t="str">
        <f>VLOOKUP(E331,'Transform table'!A:B,2,0)</f>
        <v>FC Seoul</v>
      </c>
      <c r="Y331" t="str">
        <f>VLOOKUP(F331,'Transform table'!A:B,2,0)</f>
        <v>Ulsan Hyundai</v>
      </c>
      <c r="Z331" t="str">
        <f t="shared" si="5"/>
        <v>26/07/2026FC SeoulUlsan Hyundai</v>
      </c>
      <c r="AA331" t="e">
        <f>VLOOKUP($Z331,'oddspedia-matches'!$A:$AD,AA$2,0)</f>
        <v>#N/A</v>
      </c>
      <c r="AB331" t="e">
        <f>VLOOKUP($Z331,'oddspedia-matches'!$A:$AD,AB$2,0)</f>
        <v>#N/A</v>
      </c>
      <c r="AC331" t="e">
        <f>VLOOKUP($Z331,'oddspedia-matches'!$A:$AD,AC$2,0)</f>
        <v>#N/A</v>
      </c>
      <c r="AD331" t="e">
        <f>VLOOKUP($Z331,'oddspedia-matches'!$A:$AD,AD$2,0)</f>
        <v>#N/A</v>
      </c>
      <c r="AE331" t="e">
        <f>VLOOKUP($Z331,'oddspedia-matches'!$A:$AD,AE$2,0)</f>
        <v>#N/A</v>
      </c>
      <c r="AF331" t="e">
        <f>VLOOKUP($Z331,'oddspedia-matches'!$A:$AD,AF$2,0)</f>
        <v>#N/A</v>
      </c>
      <c r="AG331" t="e">
        <f>VLOOKUP($Z331,'oddspedia-matches'!$A:$AD,AG$2,0)</f>
        <v>#N/A</v>
      </c>
      <c r="AH331" t="e">
        <f>VLOOKUP($Z331,'oddspedia-matches'!$A:$AD,AH$2,0)</f>
        <v>#N/A</v>
      </c>
      <c r="AI331" t="e">
        <f>VLOOKUP($Z331,'oddspedia-matches'!$A:$AD,AI$2,0)</f>
        <v>#N/A</v>
      </c>
      <c r="AJ331" t="e">
        <f>VLOOKUP($Z331,'oddspedia-matches'!$A:$AD,AJ$2,0)</f>
        <v>#N/A</v>
      </c>
      <c r="AK331" t="e">
        <f>VLOOKUP($Z331,'oddspedia-matches'!$A:$AD,AK$2,0)</f>
        <v>#N/A</v>
      </c>
      <c r="AL331" t="e">
        <f>VLOOKUP($Z331,'oddspedia-matches'!$A:$AD,AL$2,0)</f>
        <v>#N/A</v>
      </c>
      <c r="AM331" t="e">
        <f>VLOOKUP($Z331,'oddspedia-matches'!$A:$AD,AM$2,0)</f>
        <v>#N/A</v>
      </c>
      <c r="AN331" t="e">
        <f>VLOOKUP($Z331,'oddspedia-matches'!$A:$AD,AN$2,0)</f>
        <v>#N/A</v>
      </c>
      <c r="AO331" t="e">
        <f>VLOOKUP($Z331,'oddspedia-matches'!$A:$AD,AO$2,0)</f>
        <v>#N/A</v>
      </c>
      <c r="AP331" t="e">
        <f>VLOOKUP($Z331,'oddspedia-matches'!$A:$AD,AP$2,0)</f>
        <v>#N/A</v>
      </c>
      <c r="AQ331" t="e">
        <f>VLOOKUP($Z331,'oddspedia-matches'!$A:$AD,AQ$2,0)</f>
        <v>#N/A</v>
      </c>
    </row>
    <row r="332" spans="2:43" x14ac:dyDescent="0.2">
      <c r="B332" t="s">
        <v>446</v>
      </c>
      <c r="C332" t="s">
        <v>930</v>
      </c>
      <c r="D332" s="25">
        <v>0.3125</v>
      </c>
      <c r="E332" t="s">
        <v>29</v>
      </c>
      <c r="F332" t="s">
        <v>216</v>
      </c>
      <c r="H332">
        <v>21.8</v>
      </c>
      <c r="I332">
        <v>31</v>
      </c>
      <c r="J332">
        <v>47.2</v>
      </c>
      <c r="K332">
        <v>52.8</v>
      </c>
      <c r="L332">
        <v>78.2</v>
      </c>
      <c r="M332">
        <v>69</v>
      </c>
      <c r="N332">
        <v>14.9</v>
      </c>
      <c r="O332">
        <v>51.6</v>
      </c>
      <c r="P332">
        <v>33.5</v>
      </c>
      <c r="Q332">
        <v>56.5</v>
      </c>
      <c r="R332">
        <v>67.099999999999994</v>
      </c>
      <c r="S332">
        <v>39.1</v>
      </c>
      <c r="T332">
        <v>60.9</v>
      </c>
      <c r="U332">
        <v>66.7</v>
      </c>
      <c r="V332">
        <v>44.7</v>
      </c>
      <c r="W332">
        <v>55.3</v>
      </c>
      <c r="X332" t="str">
        <f>VLOOKUP(E332,'Transform table'!A:B,2,0)</f>
        <v>Gwangju</v>
      </c>
      <c r="Y332" t="str">
        <f>VLOOKUP(F332,'Transform table'!A:B,2,0)</f>
        <v>Jeju United</v>
      </c>
      <c r="Z332" t="str">
        <f t="shared" si="5"/>
        <v>26/07/2026GwangjuJeju United</v>
      </c>
      <c r="AA332" t="e">
        <f>VLOOKUP($Z332,'oddspedia-matches'!$A:$AD,AA$2,0)</f>
        <v>#N/A</v>
      </c>
      <c r="AB332" t="e">
        <f>VLOOKUP($Z332,'oddspedia-matches'!$A:$AD,AB$2,0)</f>
        <v>#N/A</v>
      </c>
      <c r="AC332" t="e">
        <f>VLOOKUP($Z332,'oddspedia-matches'!$A:$AD,AC$2,0)</f>
        <v>#N/A</v>
      </c>
      <c r="AD332" t="e">
        <f>VLOOKUP($Z332,'oddspedia-matches'!$A:$AD,AD$2,0)</f>
        <v>#N/A</v>
      </c>
      <c r="AE332" t="e">
        <f>VLOOKUP($Z332,'oddspedia-matches'!$A:$AD,AE$2,0)</f>
        <v>#N/A</v>
      </c>
      <c r="AF332" t="e">
        <f>VLOOKUP($Z332,'oddspedia-matches'!$A:$AD,AF$2,0)</f>
        <v>#N/A</v>
      </c>
      <c r="AG332" t="e">
        <f>VLOOKUP($Z332,'oddspedia-matches'!$A:$AD,AG$2,0)</f>
        <v>#N/A</v>
      </c>
      <c r="AH332" t="e">
        <f>VLOOKUP($Z332,'oddspedia-matches'!$A:$AD,AH$2,0)</f>
        <v>#N/A</v>
      </c>
      <c r="AI332" t="e">
        <f>VLOOKUP($Z332,'oddspedia-matches'!$A:$AD,AI$2,0)</f>
        <v>#N/A</v>
      </c>
      <c r="AJ332" t="e">
        <f>VLOOKUP($Z332,'oddspedia-matches'!$A:$AD,AJ$2,0)</f>
        <v>#N/A</v>
      </c>
      <c r="AK332" t="e">
        <f>VLOOKUP($Z332,'oddspedia-matches'!$A:$AD,AK$2,0)</f>
        <v>#N/A</v>
      </c>
      <c r="AL332" t="e">
        <f>VLOOKUP($Z332,'oddspedia-matches'!$A:$AD,AL$2,0)</f>
        <v>#N/A</v>
      </c>
      <c r="AM332" t="e">
        <f>VLOOKUP($Z332,'oddspedia-matches'!$A:$AD,AM$2,0)</f>
        <v>#N/A</v>
      </c>
      <c r="AN332" t="e">
        <f>VLOOKUP($Z332,'oddspedia-matches'!$A:$AD,AN$2,0)</f>
        <v>#N/A</v>
      </c>
      <c r="AO332" t="e">
        <f>VLOOKUP($Z332,'oddspedia-matches'!$A:$AD,AO$2,0)</f>
        <v>#N/A</v>
      </c>
      <c r="AP332" t="e">
        <f>VLOOKUP($Z332,'oddspedia-matches'!$A:$AD,AP$2,0)</f>
        <v>#N/A</v>
      </c>
      <c r="AQ332" t="e">
        <f>VLOOKUP($Z332,'oddspedia-matches'!$A:$AD,AQ$2,0)</f>
        <v>#N/A</v>
      </c>
    </row>
    <row r="333" spans="2:43" x14ac:dyDescent="0.2">
      <c r="B333" t="s">
        <v>446</v>
      </c>
      <c r="C333" t="s">
        <v>930</v>
      </c>
      <c r="D333" s="25">
        <v>0.3125</v>
      </c>
      <c r="E333" t="s">
        <v>221</v>
      </c>
      <c r="F333" t="s">
        <v>25</v>
      </c>
      <c r="H333">
        <v>50.6</v>
      </c>
      <c r="I333">
        <v>28.8</v>
      </c>
      <c r="J333">
        <v>20.6</v>
      </c>
      <c r="K333">
        <v>79.400000000000006</v>
      </c>
      <c r="L333">
        <v>49.4</v>
      </c>
      <c r="M333">
        <v>71.2</v>
      </c>
      <c r="N333">
        <v>45.3</v>
      </c>
      <c r="O333">
        <v>42.3</v>
      </c>
      <c r="P333">
        <v>12.4</v>
      </c>
      <c r="Q333">
        <v>67</v>
      </c>
      <c r="R333">
        <v>68.5</v>
      </c>
      <c r="S333">
        <v>40.799999999999997</v>
      </c>
      <c r="T333">
        <v>59.2</v>
      </c>
      <c r="U333">
        <v>65.5</v>
      </c>
      <c r="V333">
        <v>45.2</v>
      </c>
      <c r="W333">
        <v>54.8</v>
      </c>
      <c r="X333" t="str">
        <f>VLOOKUP(E333,'Transform table'!A:B,2,0)</f>
        <v>Incheon United</v>
      </c>
      <c r="Y333" t="str">
        <f>VLOOKUP(F333,'Transform table'!A:B,2,0)</f>
        <v>Bucheon 1995</v>
      </c>
      <c r="Z333" t="str">
        <f t="shared" si="5"/>
        <v>26/07/2026Incheon UnitedBucheon 1995</v>
      </c>
      <c r="AA333" t="e">
        <f>VLOOKUP($Z333,'oddspedia-matches'!$A:$AD,AA$2,0)</f>
        <v>#N/A</v>
      </c>
      <c r="AB333" t="e">
        <f>VLOOKUP($Z333,'oddspedia-matches'!$A:$AD,AB$2,0)</f>
        <v>#N/A</v>
      </c>
      <c r="AC333" t="e">
        <f>VLOOKUP($Z333,'oddspedia-matches'!$A:$AD,AC$2,0)</f>
        <v>#N/A</v>
      </c>
      <c r="AD333" t="e">
        <f>VLOOKUP($Z333,'oddspedia-matches'!$A:$AD,AD$2,0)</f>
        <v>#N/A</v>
      </c>
      <c r="AE333" t="e">
        <f>VLOOKUP($Z333,'oddspedia-matches'!$A:$AD,AE$2,0)</f>
        <v>#N/A</v>
      </c>
      <c r="AF333" t="e">
        <f>VLOOKUP($Z333,'oddspedia-matches'!$A:$AD,AF$2,0)</f>
        <v>#N/A</v>
      </c>
      <c r="AG333" t="e">
        <f>VLOOKUP($Z333,'oddspedia-matches'!$A:$AD,AG$2,0)</f>
        <v>#N/A</v>
      </c>
      <c r="AH333" t="e">
        <f>VLOOKUP($Z333,'oddspedia-matches'!$A:$AD,AH$2,0)</f>
        <v>#N/A</v>
      </c>
      <c r="AI333" t="e">
        <f>VLOOKUP($Z333,'oddspedia-matches'!$A:$AD,AI$2,0)</f>
        <v>#N/A</v>
      </c>
      <c r="AJ333" t="e">
        <f>VLOOKUP($Z333,'oddspedia-matches'!$A:$AD,AJ$2,0)</f>
        <v>#N/A</v>
      </c>
      <c r="AK333" t="e">
        <f>VLOOKUP($Z333,'oddspedia-matches'!$A:$AD,AK$2,0)</f>
        <v>#N/A</v>
      </c>
      <c r="AL333" t="e">
        <f>VLOOKUP($Z333,'oddspedia-matches'!$A:$AD,AL$2,0)</f>
        <v>#N/A</v>
      </c>
      <c r="AM333" t="e">
        <f>VLOOKUP($Z333,'oddspedia-matches'!$A:$AD,AM$2,0)</f>
        <v>#N/A</v>
      </c>
      <c r="AN333" t="e">
        <f>VLOOKUP($Z333,'oddspedia-matches'!$A:$AD,AN$2,0)</f>
        <v>#N/A</v>
      </c>
      <c r="AO333" t="e">
        <f>VLOOKUP($Z333,'oddspedia-matches'!$A:$AD,AO$2,0)</f>
        <v>#N/A</v>
      </c>
      <c r="AP333" t="e">
        <f>VLOOKUP($Z333,'oddspedia-matches'!$A:$AD,AP$2,0)</f>
        <v>#N/A</v>
      </c>
      <c r="AQ333" t="e">
        <f>VLOOKUP($Z333,'oddspedia-matches'!$A:$AD,AQ$2,0)</f>
        <v>#N/A</v>
      </c>
    </row>
    <row r="334" spans="2:43" x14ac:dyDescent="0.2">
      <c r="B334" t="s">
        <v>473</v>
      </c>
      <c r="C334" t="s">
        <v>930</v>
      </c>
      <c r="D334" s="25">
        <v>0.3125</v>
      </c>
      <c r="E334" t="s">
        <v>952</v>
      </c>
      <c r="F334" t="s">
        <v>953</v>
      </c>
      <c r="H334">
        <v>44.7</v>
      </c>
      <c r="I334">
        <v>28.2</v>
      </c>
      <c r="J334">
        <v>27.1</v>
      </c>
      <c r="K334">
        <v>72.900000000000006</v>
      </c>
      <c r="L334">
        <v>55.3</v>
      </c>
      <c r="M334">
        <v>71.8</v>
      </c>
      <c r="N334">
        <v>32.799999999999997</v>
      </c>
      <c r="O334">
        <v>45.9</v>
      </c>
      <c r="P334">
        <v>21.3</v>
      </c>
      <c r="Q334">
        <v>65.400000000000006</v>
      </c>
      <c r="R334">
        <v>75.400000000000006</v>
      </c>
      <c r="S334">
        <v>49.3</v>
      </c>
      <c r="T334">
        <v>50.7</v>
      </c>
      <c r="U334">
        <v>56.5</v>
      </c>
      <c r="V334">
        <v>54.2</v>
      </c>
      <c r="W334">
        <v>45.8</v>
      </c>
      <c r="X334" t="str">
        <f>VLOOKUP(E334,'Transform table'!A:B,2,0)</f>
        <v>Gil Vicente</v>
      </c>
      <c r="Y334" t="e">
        <f>VLOOKUP(F334,'Transform table'!A:B,2,0)</f>
        <v>#N/A</v>
      </c>
      <c r="Z334" t="e">
        <f t="shared" si="5"/>
        <v>#N/A</v>
      </c>
      <c r="AA334" t="e">
        <f>VLOOKUP($Z334,'oddspedia-matches'!$A:$AD,AA$2,0)</f>
        <v>#N/A</v>
      </c>
      <c r="AB334" t="e">
        <f>VLOOKUP($Z334,'oddspedia-matches'!$A:$AD,AB$2,0)</f>
        <v>#N/A</v>
      </c>
      <c r="AC334" t="e">
        <f>VLOOKUP($Z334,'oddspedia-matches'!$A:$AD,AC$2,0)</f>
        <v>#N/A</v>
      </c>
      <c r="AD334" t="e">
        <f>VLOOKUP($Z334,'oddspedia-matches'!$A:$AD,AD$2,0)</f>
        <v>#N/A</v>
      </c>
      <c r="AE334" t="e">
        <f>VLOOKUP($Z334,'oddspedia-matches'!$A:$AD,AE$2,0)</f>
        <v>#N/A</v>
      </c>
      <c r="AF334" t="e">
        <f>VLOOKUP($Z334,'oddspedia-matches'!$A:$AD,AF$2,0)</f>
        <v>#N/A</v>
      </c>
      <c r="AG334" t="e">
        <f>VLOOKUP($Z334,'oddspedia-matches'!$A:$AD,AG$2,0)</f>
        <v>#N/A</v>
      </c>
      <c r="AH334" t="e">
        <f>VLOOKUP($Z334,'oddspedia-matches'!$A:$AD,AH$2,0)</f>
        <v>#N/A</v>
      </c>
      <c r="AI334" t="e">
        <f>VLOOKUP($Z334,'oddspedia-matches'!$A:$AD,AI$2,0)</f>
        <v>#N/A</v>
      </c>
      <c r="AJ334" t="e">
        <f>VLOOKUP($Z334,'oddspedia-matches'!$A:$AD,AJ$2,0)</f>
        <v>#N/A</v>
      </c>
      <c r="AK334" t="e">
        <f>VLOOKUP($Z334,'oddspedia-matches'!$A:$AD,AK$2,0)</f>
        <v>#N/A</v>
      </c>
      <c r="AL334" t="e">
        <f>VLOOKUP($Z334,'oddspedia-matches'!$A:$AD,AL$2,0)</f>
        <v>#N/A</v>
      </c>
      <c r="AM334" t="e">
        <f>VLOOKUP($Z334,'oddspedia-matches'!$A:$AD,AM$2,0)</f>
        <v>#N/A</v>
      </c>
      <c r="AN334" t="e">
        <f>VLOOKUP($Z334,'oddspedia-matches'!$A:$AD,AN$2,0)</f>
        <v>#N/A</v>
      </c>
      <c r="AO334" t="e">
        <f>VLOOKUP($Z334,'oddspedia-matches'!$A:$AD,AO$2,0)</f>
        <v>#N/A</v>
      </c>
      <c r="AP334" t="e">
        <f>VLOOKUP($Z334,'oddspedia-matches'!$A:$AD,AP$2,0)</f>
        <v>#N/A</v>
      </c>
      <c r="AQ334" t="e">
        <f>VLOOKUP($Z334,'oddspedia-matches'!$A:$AD,AQ$2,0)</f>
        <v>#N/A</v>
      </c>
    </row>
    <row r="335" spans="2:43" x14ac:dyDescent="0.2">
      <c r="B335" t="s">
        <v>473</v>
      </c>
      <c r="C335" t="s">
        <v>930</v>
      </c>
      <c r="D335" s="25">
        <v>0.3125</v>
      </c>
      <c r="E335" t="s">
        <v>954</v>
      </c>
      <c r="F335" t="s">
        <v>955</v>
      </c>
      <c r="H335">
        <v>52.2</v>
      </c>
      <c r="I335">
        <v>26.5</v>
      </c>
      <c r="J335">
        <v>21.4</v>
      </c>
      <c r="K335">
        <v>78.599999999999994</v>
      </c>
      <c r="L335">
        <v>47.8</v>
      </c>
      <c r="M335">
        <v>73.5</v>
      </c>
      <c r="N335">
        <v>43</v>
      </c>
      <c r="O335">
        <v>42.1</v>
      </c>
      <c r="P335">
        <v>14.9</v>
      </c>
      <c r="Q335">
        <v>68.5</v>
      </c>
      <c r="R335">
        <v>76.900000000000006</v>
      </c>
      <c r="S335">
        <v>51.5</v>
      </c>
      <c r="T335">
        <v>48.5</v>
      </c>
      <c r="U335">
        <v>55.2</v>
      </c>
      <c r="V335">
        <v>53.7</v>
      </c>
      <c r="W335">
        <v>46.3</v>
      </c>
      <c r="X335">
        <f>VLOOKUP(E335,'Transform table'!A:B,2,0)</f>
        <v>0</v>
      </c>
      <c r="Y335" t="e">
        <f>VLOOKUP(F335,'Transform table'!A:B,2,0)</f>
        <v>#N/A</v>
      </c>
      <c r="Z335" t="e">
        <f t="shared" si="5"/>
        <v>#N/A</v>
      </c>
      <c r="AA335" t="e">
        <f>VLOOKUP($Z335,'oddspedia-matches'!$A:$AD,AA$2,0)</f>
        <v>#N/A</v>
      </c>
      <c r="AB335" t="e">
        <f>VLOOKUP($Z335,'oddspedia-matches'!$A:$AD,AB$2,0)</f>
        <v>#N/A</v>
      </c>
      <c r="AC335" t="e">
        <f>VLOOKUP($Z335,'oddspedia-matches'!$A:$AD,AC$2,0)</f>
        <v>#N/A</v>
      </c>
      <c r="AD335" t="e">
        <f>VLOOKUP($Z335,'oddspedia-matches'!$A:$AD,AD$2,0)</f>
        <v>#N/A</v>
      </c>
      <c r="AE335" t="e">
        <f>VLOOKUP($Z335,'oddspedia-matches'!$A:$AD,AE$2,0)</f>
        <v>#N/A</v>
      </c>
      <c r="AF335" t="e">
        <f>VLOOKUP($Z335,'oddspedia-matches'!$A:$AD,AF$2,0)</f>
        <v>#N/A</v>
      </c>
      <c r="AG335" t="e">
        <f>VLOOKUP($Z335,'oddspedia-matches'!$A:$AD,AG$2,0)</f>
        <v>#N/A</v>
      </c>
      <c r="AH335" t="e">
        <f>VLOOKUP($Z335,'oddspedia-matches'!$A:$AD,AH$2,0)</f>
        <v>#N/A</v>
      </c>
      <c r="AI335" t="e">
        <f>VLOOKUP($Z335,'oddspedia-matches'!$A:$AD,AI$2,0)</f>
        <v>#N/A</v>
      </c>
      <c r="AJ335" t="e">
        <f>VLOOKUP($Z335,'oddspedia-matches'!$A:$AD,AJ$2,0)</f>
        <v>#N/A</v>
      </c>
      <c r="AK335" t="e">
        <f>VLOOKUP($Z335,'oddspedia-matches'!$A:$AD,AK$2,0)</f>
        <v>#N/A</v>
      </c>
      <c r="AL335" t="e">
        <f>VLOOKUP($Z335,'oddspedia-matches'!$A:$AD,AL$2,0)</f>
        <v>#N/A</v>
      </c>
      <c r="AM335" t="e">
        <f>VLOOKUP($Z335,'oddspedia-matches'!$A:$AD,AM$2,0)</f>
        <v>#N/A</v>
      </c>
      <c r="AN335" t="e">
        <f>VLOOKUP($Z335,'oddspedia-matches'!$A:$AD,AN$2,0)</f>
        <v>#N/A</v>
      </c>
      <c r="AO335" t="e">
        <f>VLOOKUP($Z335,'oddspedia-matches'!$A:$AD,AO$2,0)</f>
        <v>#N/A</v>
      </c>
      <c r="AP335" t="e">
        <f>VLOOKUP($Z335,'oddspedia-matches'!$A:$AD,AP$2,0)</f>
        <v>#N/A</v>
      </c>
      <c r="AQ335" t="e">
        <f>VLOOKUP($Z335,'oddspedia-matches'!$A:$AD,AQ$2,0)</f>
        <v>#N/A</v>
      </c>
    </row>
    <row r="336" spans="2:43" x14ac:dyDescent="0.2">
      <c r="B336" t="s">
        <v>543</v>
      </c>
      <c r="C336" t="s">
        <v>930</v>
      </c>
      <c r="D336" s="25">
        <v>0.33333333333333331</v>
      </c>
      <c r="E336" t="s">
        <v>414</v>
      </c>
      <c r="F336" t="s">
        <v>956</v>
      </c>
      <c r="H336">
        <v>51.8</v>
      </c>
      <c r="I336">
        <v>24.8</v>
      </c>
      <c r="J336">
        <v>23.4</v>
      </c>
      <c r="K336">
        <v>76.599999999999994</v>
      </c>
      <c r="L336">
        <v>48.2</v>
      </c>
      <c r="M336">
        <v>75.2</v>
      </c>
      <c r="N336">
        <v>41.6</v>
      </c>
      <c r="O336">
        <v>35.4</v>
      </c>
      <c r="P336">
        <v>23</v>
      </c>
      <c r="Q336">
        <v>81</v>
      </c>
      <c r="R336">
        <v>86.2</v>
      </c>
      <c r="S336">
        <v>66</v>
      </c>
      <c r="T336">
        <v>34</v>
      </c>
      <c r="U336">
        <v>40.200000000000003</v>
      </c>
      <c r="V336">
        <v>65.7</v>
      </c>
      <c r="W336">
        <v>34.299999999999997</v>
      </c>
      <c r="X336" t="str">
        <f>VLOOKUP(E336,'Transform table'!A:B,2,0)</f>
        <v>Yunnan Yukun</v>
      </c>
      <c r="Y336" t="e">
        <f>VLOOKUP(F336,'Transform table'!A:B,2,0)</f>
        <v>#N/A</v>
      </c>
      <c r="Z336" t="e">
        <f t="shared" si="5"/>
        <v>#N/A</v>
      </c>
      <c r="AA336" t="e">
        <f>VLOOKUP($Z336,'oddspedia-matches'!$A:$AD,AA$2,0)</f>
        <v>#N/A</v>
      </c>
      <c r="AB336" t="e">
        <f>VLOOKUP($Z336,'oddspedia-matches'!$A:$AD,AB$2,0)</f>
        <v>#N/A</v>
      </c>
      <c r="AC336" t="e">
        <f>VLOOKUP($Z336,'oddspedia-matches'!$A:$AD,AC$2,0)</f>
        <v>#N/A</v>
      </c>
      <c r="AD336" t="e">
        <f>VLOOKUP($Z336,'oddspedia-matches'!$A:$AD,AD$2,0)</f>
        <v>#N/A</v>
      </c>
      <c r="AE336" t="e">
        <f>VLOOKUP($Z336,'oddspedia-matches'!$A:$AD,AE$2,0)</f>
        <v>#N/A</v>
      </c>
      <c r="AF336" t="e">
        <f>VLOOKUP($Z336,'oddspedia-matches'!$A:$AD,AF$2,0)</f>
        <v>#N/A</v>
      </c>
      <c r="AG336" t="e">
        <f>VLOOKUP($Z336,'oddspedia-matches'!$A:$AD,AG$2,0)</f>
        <v>#N/A</v>
      </c>
      <c r="AH336" t="e">
        <f>VLOOKUP($Z336,'oddspedia-matches'!$A:$AD,AH$2,0)</f>
        <v>#N/A</v>
      </c>
      <c r="AI336" t="e">
        <f>VLOOKUP($Z336,'oddspedia-matches'!$A:$AD,AI$2,0)</f>
        <v>#N/A</v>
      </c>
      <c r="AJ336" t="e">
        <f>VLOOKUP($Z336,'oddspedia-matches'!$A:$AD,AJ$2,0)</f>
        <v>#N/A</v>
      </c>
      <c r="AK336" t="e">
        <f>VLOOKUP($Z336,'oddspedia-matches'!$A:$AD,AK$2,0)</f>
        <v>#N/A</v>
      </c>
      <c r="AL336" t="e">
        <f>VLOOKUP($Z336,'oddspedia-matches'!$A:$AD,AL$2,0)</f>
        <v>#N/A</v>
      </c>
      <c r="AM336" t="e">
        <f>VLOOKUP($Z336,'oddspedia-matches'!$A:$AD,AM$2,0)</f>
        <v>#N/A</v>
      </c>
      <c r="AN336" t="e">
        <f>VLOOKUP($Z336,'oddspedia-matches'!$A:$AD,AN$2,0)</f>
        <v>#N/A</v>
      </c>
      <c r="AO336" t="e">
        <f>VLOOKUP($Z336,'oddspedia-matches'!$A:$AD,AO$2,0)</f>
        <v>#N/A</v>
      </c>
      <c r="AP336" t="e">
        <f>VLOOKUP($Z336,'oddspedia-matches'!$A:$AD,AP$2,0)</f>
        <v>#N/A</v>
      </c>
      <c r="AQ336" t="e">
        <f>VLOOKUP($Z336,'oddspedia-matches'!$A:$AD,AQ$2,0)</f>
        <v>#N/A</v>
      </c>
    </row>
    <row r="337" spans="2:43" x14ac:dyDescent="0.2">
      <c r="B337" t="s">
        <v>558</v>
      </c>
      <c r="C337" t="s">
        <v>930</v>
      </c>
      <c r="D337" s="25">
        <v>0.33333333333333331</v>
      </c>
      <c r="E337" t="s">
        <v>957</v>
      </c>
      <c r="F337" t="s">
        <v>958</v>
      </c>
      <c r="H337">
        <v>49.3</v>
      </c>
      <c r="I337">
        <v>27.9</v>
      </c>
      <c r="J337">
        <v>22.7</v>
      </c>
      <c r="K337">
        <v>77.3</v>
      </c>
      <c r="L337">
        <v>50.7</v>
      </c>
      <c r="M337">
        <v>72.099999999999994</v>
      </c>
      <c r="N337">
        <v>37.4</v>
      </c>
      <c r="O337">
        <v>40.1</v>
      </c>
      <c r="P337">
        <v>22.5</v>
      </c>
      <c r="Q337">
        <v>74</v>
      </c>
      <c r="R337">
        <v>73.2</v>
      </c>
      <c r="S337">
        <v>46.6</v>
      </c>
      <c r="T337">
        <v>53.4</v>
      </c>
      <c r="U337">
        <v>59.7</v>
      </c>
      <c r="V337">
        <v>50.6</v>
      </c>
      <c r="W337">
        <v>49.4</v>
      </c>
      <c r="X337">
        <f>VLOOKUP(E337,'Transform table'!A:B,2,0)</f>
        <v>0</v>
      </c>
      <c r="Y337" t="e">
        <f>VLOOKUP(F337,'Transform table'!A:B,2,0)</f>
        <v>#N/A</v>
      </c>
      <c r="Z337" t="e">
        <f t="shared" si="5"/>
        <v>#N/A</v>
      </c>
      <c r="AA337" t="e">
        <f>VLOOKUP($Z337,'oddspedia-matches'!$A:$AD,AA$2,0)</f>
        <v>#N/A</v>
      </c>
      <c r="AB337" t="e">
        <f>VLOOKUP($Z337,'oddspedia-matches'!$A:$AD,AB$2,0)</f>
        <v>#N/A</v>
      </c>
      <c r="AC337" t="e">
        <f>VLOOKUP($Z337,'oddspedia-matches'!$A:$AD,AC$2,0)</f>
        <v>#N/A</v>
      </c>
      <c r="AD337" t="e">
        <f>VLOOKUP($Z337,'oddspedia-matches'!$A:$AD,AD$2,0)</f>
        <v>#N/A</v>
      </c>
      <c r="AE337" t="e">
        <f>VLOOKUP($Z337,'oddspedia-matches'!$A:$AD,AE$2,0)</f>
        <v>#N/A</v>
      </c>
      <c r="AF337" t="e">
        <f>VLOOKUP($Z337,'oddspedia-matches'!$A:$AD,AF$2,0)</f>
        <v>#N/A</v>
      </c>
      <c r="AG337" t="e">
        <f>VLOOKUP($Z337,'oddspedia-matches'!$A:$AD,AG$2,0)</f>
        <v>#N/A</v>
      </c>
      <c r="AH337" t="e">
        <f>VLOOKUP($Z337,'oddspedia-matches'!$A:$AD,AH$2,0)</f>
        <v>#N/A</v>
      </c>
      <c r="AI337" t="e">
        <f>VLOOKUP($Z337,'oddspedia-matches'!$A:$AD,AI$2,0)</f>
        <v>#N/A</v>
      </c>
      <c r="AJ337" t="e">
        <f>VLOOKUP($Z337,'oddspedia-matches'!$A:$AD,AJ$2,0)</f>
        <v>#N/A</v>
      </c>
      <c r="AK337" t="e">
        <f>VLOOKUP($Z337,'oddspedia-matches'!$A:$AD,AK$2,0)</f>
        <v>#N/A</v>
      </c>
      <c r="AL337" t="e">
        <f>VLOOKUP($Z337,'oddspedia-matches'!$A:$AD,AL$2,0)</f>
        <v>#N/A</v>
      </c>
      <c r="AM337" t="e">
        <f>VLOOKUP($Z337,'oddspedia-matches'!$A:$AD,AM$2,0)</f>
        <v>#N/A</v>
      </c>
      <c r="AN337" t="e">
        <f>VLOOKUP($Z337,'oddspedia-matches'!$A:$AD,AN$2,0)</f>
        <v>#N/A</v>
      </c>
      <c r="AO337" t="e">
        <f>VLOOKUP($Z337,'oddspedia-matches'!$A:$AD,AO$2,0)</f>
        <v>#N/A</v>
      </c>
      <c r="AP337" t="e">
        <f>VLOOKUP($Z337,'oddspedia-matches'!$A:$AD,AP$2,0)</f>
        <v>#N/A</v>
      </c>
      <c r="AQ337" t="e">
        <f>VLOOKUP($Z337,'oddspedia-matches'!$A:$AD,AQ$2,0)</f>
        <v>#N/A</v>
      </c>
    </row>
    <row r="338" spans="2:43" x14ac:dyDescent="0.2">
      <c r="B338" t="s">
        <v>451</v>
      </c>
      <c r="C338" t="s">
        <v>930</v>
      </c>
      <c r="D338" s="25">
        <v>0.33333333333333331</v>
      </c>
      <c r="E338" t="s">
        <v>260</v>
      </c>
      <c r="F338" t="s">
        <v>226</v>
      </c>
      <c r="H338">
        <v>24.3</v>
      </c>
      <c r="I338">
        <v>26.1</v>
      </c>
      <c r="J338">
        <v>49.5</v>
      </c>
      <c r="K338">
        <v>50.5</v>
      </c>
      <c r="L338">
        <v>75.7</v>
      </c>
      <c r="M338">
        <v>73.900000000000006</v>
      </c>
      <c r="N338">
        <v>22</v>
      </c>
      <c r="O338">
        <v>41</v>
      </c>
      <c r="P338">
        <v>37</v>
      </c>
      <c r="Q338">
        <v>73.099999999999994</v>
      </c>
      <c r="R338">
        <v>84.6</v>
      </c>
      <c r="S338">
        <v>63.2</v>
      </c>
      <c r="T338">
        <v>36.799999999999997</v>
      </c>
      <c r="U338">
        <v>43</v>
      </c>
      <c r="V338">
        <v>64</v>
      </c>
      <c r="W338">
        <v>36</v>
      </c>
      <c r="X338" t="str">
        <f>VLOOKUP(E338,'Transform table'!A:B,2,0)</f>
        <v>Sundsvall</v>
      </c>
      <c r="Y338" t="str">
        <f>VLOOKUP(F338,'Transform table'!A:B,2,0)</f>
        <v>Falkenberg</v>
      </c>
      <c r="Z338" t="str">
        <f t="shared" si="5"/>
        <v>26/07/2026SundsvallFalkenberg</v>
      </c>
      <c r="AA338" t="e">
        <f>VLOOKUP($Z338,'oddspedia-matches'!$A:$AD,AA$2,0)</f>
        <v>#N/A</v>
      </c>
      <c r="AB338" t="e">
        <f>VLOOKUP($Z338,'oddspedia-matches'!$A:$AD,AB$2,0)</f>
        <v>#N/A</v>
      </c>
      <c r="AC338" t="e">
        <f>VLOOKUP($Z338,'oddspedia-matches'!$A:$AD,AC$2,0)</f>
        <v>#N/A</v>
      </c>
      <c r="AD338" t="e">
        <f>VLOOKUP($Z338,'oddspedia-matches'!$A:$AD,AD$2,0)</f>
        <v>#N/A</v>
      </c>
      <c r="AE338" t="e">
        <f>VLOOKUP($Z338,'oddspedia-matches'!$A:$AD,AE$2,0)</f>
        <v>#N/A</v>
      </c>
      <c r="AF338" t="e">
        <f>VLOOKUP($Z338,'oddspedia-matches'!$A:$AD,AF$2,0)</f>
        <v>#N/A</v>
      </c>
      <c r="AG338" t="e">
        <f>VLOOKUP($Z338,'oddspedia-matches'!$A:$AD,AG$2,0)</f>
        <v>#N/A</v>
      </c>
      <c r="AH338" t="e">
        <f>VLOOKUP($Z338,'oddspedia-matches'!$A:$AD,AH$2,0)</f>
        <v>#N/A</v>
      </c>
      <c r="AI338" t="e">
        <f>VLOOKUP($Z338,'oddspedia-matches'!$A:$AD,AI$2,0)</f>
        <v>#N/A</v>
      </c>
      <c r="AJ338" t="e">
        <f>VLOOKUP($Z338,'oddspedia-matches'!$A:$AD,AJ$2,0)</f>
        <v>#N/A</v>
      </c>
      <c r="AK338" t="e">
        <f>VLOOKUP($Z338,'oddspedia-matches'!$A:$AD,AK$2,0)</f>
        <v>#N/A</v>
      </c>
      <c r="AL338" t="e">
        <f>VLOOKUP($Z338,'oddspedia-matches'!$A:$AD,AL$2,0)</f>
        <v>#N/A</v>
      </c>
      <c r="AM338" t="e">
        <f>VLOOKUP($Z338,'oddspedia-matches'!$A:$AD,AM$2,0)</f>
        <v>#N/A</v>
      </c>
      <c r="AN338" t="e">
        <f>VLOOKUP($Z338,'oddspedia-matches'!$A:$AD,AN$2,0)</f>
        <v>#N/A</v>
      </c>
      <c r="AO338" t="e">
        <f>VLOOKUP($Z338,'oddspedia-matches'!$A:$AD,AO$2,0)</f>
        <v>#N/A</v>
      </c>
      <c r="AP338" t="e">
        <f>VLOOKUP($Z338,'oddspedia-matches'!$A:$AD,AP$2,0)</f>
        <v>#N/A</v>
      </c>
      <c r="AQ338" t="e">
        <f>VLOOKUP($Z338,'oddspedia-matches'!$A:$AD,AQ$2,0)</f>
        <v>#N/A</v>
      </c>
    </row>
    <row r="339" spans="2:43" x14ac:dyDescent="0.2">
      <c r="B339" t="s">
        <v>558</v>
      </c>
      <c r="C339" t="s">
        <v>930</v>
      </c>
      <c r="D339" s="25">
        <v>0.35416666666666669</v>
      </c>
      <c r="E339" t="s">
        <v>959</v>
      </c>
      <c r="F339" t="s">
        <v>960</v>
      </c>
      <c r="H339">
        <v>61.1</v>
      </c>
      <c r="I339">
        <v>23.1</v>
      </c>
      <c r="J339">
        <v>15.8</v>
      </c>
      <c r="K339">
        <v>84.2</v>
      </c>
      <c r="L339">
        <v>38.9</v>
      </c>
      <c r="M339">
        <v>76.900000000000006</v>
      </c>
      <c r="N339">
        <v>33.299999999999997</v>
      </c>
      <c r="O339">
        <v>41.5</v>
      </c>
      <c r="P339">
        <v>25.2</v>
      </c>
      <c r="Q339">
        <v>72.599999999999994</v>
      </c>
      <c r="R339">
        <v>85.5</v>
      </c>
      <c r="S339">
        <v>64.900000000000006</v>
      </c>
      <c r="T339">
        <v>35.1</v>
      </c>
      <c r="U339">
        <v>42.8</v>
      </c>
      <c r="V339">
        <v>60.6</v>
      </c>
      <c r="W339">
        <v>39.4</v>
      </c>
      <c r="X339">
        <f>VLOOKUP(E339,'Transform table'!A:B,2,0)</f>
        <v>0</v>
      </c>
      <c r="Y339" t="e">
        <f>VLOOKUP(F339,'Transform table'!A:B,2,0)</f>
        <v>#N/A</v>
      </c>
      <c r="Z339" t="e">
        <f t="shared" si="5"/>
        <v>#N/A</v>
      </c>
      <c r="AA339" t="e">
        <f>VLOOKUP($Z339,'oddspedia-matches'!$A:$AD,AA$2,0)</f>
        <v>#N/A</v>
      </c>
      <c r="AB339" t="e">
        <f>VLOOKUP($Z339,'oddspedia-matches'!$A:$AD,AB$2,0)</f>
        <v>#N/A</v>
      </c>
      <c r="AC339" t="e">
        <f>VLOOKUP($Z339,'oddspedia-matches'!$A:$AD,AC$2,0)</f>
        <v>#N/A</v>
      </c>
      <c r="AD339" t="e">
        <f>VLOOKUP($Z339,'oddspedia-matches'!$A:$AD,AD$2,0)</f>
        <v>#N/A</v>
      </c>
      <c r="AE339" t="e">
        <f>VLOOKUP($Z339,'oddspedia-matches'!$A:$AD,AE$2,0)</f>
        <v>#N/A</v>
      </c>
      <c r="AF339" t="e">
        <f>VLOOKUP($Z339,'oddspedia-matches'!$A:$AD,AF$2,0)</f>
        <v>#N/A</v>
      </c>
      <c r="AG339" t="e">
        <f>VLOOKUP($Z339,'oddspedia-matches'!$A:$AD,AG$2,0)</f>
        <v>#N/A</v>
      </c>
      <c r="AH339" t="e">
        <f>VLOOKUP($Z339,'oddspedia-matches'!$A:$AD,AH$2,0)</f>
        <v>#N/A</v>
      </c>
      <c r="AI339" t="e">
        <f>VLOOKUP($Z339,'oddspedia-matches'!$A:$AD,AI$2,0)</f>
        <v>#N/A</v>
      </c>
      <c r="AJ339" t="e">
        <f>VLOOKUP($Z339,'oddspedia-matches'!$A:$AD,AJ$2,0)</f>
        <v>#N/A</v>
      </c>
      <c r="AK339" t="e">
        <f>VLOOKUP($Z339,'oddspedia-matches'!$A:$AD,AK$2,0)</f>
        <v>#N/A</v>
      </c>
      <c r="AL339" t="e">
        <f>VLOOKUP($Z339,'oddspedia-matches'!$A:$AD,AL$2,0)</f>
        <v>#N/A</v>
      </c>
      <c r="AM339" t="e">
        <f>VLOOKUP($Z339,'oddspedia-matches'!$A:$AD,AM$2,0)</f>
        <v>#N/A</v>
      </c>
      <c r="AN339" t="e">
        <f>VLOOKUP($Z339,'oddspedia-matches'!$A:$AD,AN$2,0)</f>
        <v>#N/A</v>
      </c>
      <c r="AO339" t="e">
        <f>VLOOKUP($Z339,'oddspedia-matches'!$A:$AD,AO$2,0)</f>
        <v>#N/A</v>
      </c>
      <c r="AP339" t="e">
        <f>VLOOKUP($Z339,'oddspedia-matches'!$A:$AD,AP$2,0)</f>
        <v>#N/A</v>
      </c>
      <c r="AQ339" t="e">
        <f>VLOOKUP($Z339,'oddspedia-matches'!$A:$AD,AQ$2,0)</f>
        <v>#N/A</v>
      </c>
    </row>
    <row r="340" spans="2:43" x14ac:dyDescent="0.2">
      <c r="B340" t="s">
        <v>546</v>
      </c>
      <c r="C340" t="s">
        <v>930</v>
      </c>
      <c r="D340" s="25">
        <v>0.35416666666666669</v>
      </c>
      <c r="E340" t="s">
        <v>961</v>
      </c>
      <c r="F340" t="s">
        <v>962</v>
      </c>
      <c r="H340">
        <v>45</v>
      </c>
      <c r="I340">
        <v>32.700000000000003</v>
      </c>
      <c r="J340">
        <v>22.4</v>
      </c>
      <c r="K340">
        <v>77.599999999999994</v>
      </c>
      <c r="L340">
        <v>55</v>
      </c>
      <c r="M340">
        <v>67.3</v>
      </c>
      <c r="N340">
        <v>36.1</v>
      </c>
      <c r="O340">
        <v>47.7</v>
      </c>
      <c r="P340">
        <v>16.2</v>
      </c>
      <c r="Q340">
        <v>61.6</v>
      </c>
      <c r="R340">
        <v>58.8</v>
      </c>
      <c r="S340">
        <v>30.5</v>
      </c>
      <c r="T340">
        <v>69.5</v>
      </c>
      <c r="U340">
        <v>74.5</v>
      </c>
      <c r="V340">
        <v>37.799999999999997</v>
      </c>
      <c r="W340">
        <v>62.2</v>
      </c>
      <c r="X340">
        <f>VLOOKUP(E340,'Transform table'!A:B,2,0)</f>
        <v>0</v>
      </c>
      <c r="Y340" t="e">
        <f>VLOOKUP(F340,'Transform table'!A:B,2,0)</f>
        <v>#N/A</v>
      </c>
      <c r="Z340" t="e">
        <f t="shared" si="5"/>
        <v>#N/A</v>
      </c>
      <c r="AA340" t="e">
        <f>VLOOKUP($Z340,'oddspedia-matches'!$A:$AD,AA$2,0)</f>
        <v>#N/A</v>
      </c>
      <c r="AB340" t="e">
        <f>VLOOKUP($Z340,'oddspedia-matches'!$A:$AD,AB$2,0)</f>
        <v>#N/A</v>
      </c>
      <c r="AC340" t="e">
        <f>VLOOKUP($Z340,'oddspedia-matches'!$A:$AD,AC$2,0)</f>
        <v>#N/A</v>
      </c>
      <c r="AD340" t="e">
        <f>VLOOKUP($Z340,'oddspedia-matches'!$A:$AD,AD$2,0)</f>
        <v>#N/A</v>
      </c>
      <c r="AE340" t="e">
        <f>VLOOKUP($Z340,'oddspedia-matches'!$A:$AD,AE$2,0)</f>
        <v>#N/A</v>
      </c>
      <c r="AF340" t="e">
        <f>VLOOKUP($Z340,'oddspedia-matches'!$A:$AD,AF$2,0)</f>
        <v>#N/A</v>
      </c>
      <c r="AG340" t="e">
        <f>VLOOKUP($Z340,'oddspedia-matches'!$A:$AD,AG$2,0)</f>
        <v>#N/A</v>
      </c>
      <c r="AH340" t="e">
        <f>VLOOKUP($Z340,'oddspedia-matches'!$A:$AD,AH$2,0)</f>
        <v>#N/A</v>
      </c>
      <c r="AI340" t="e">
        <f>VLOOKUP($Z340,'oddspedia-matches'!$A:$AD,AI$2,0)</f>
        <v>#N/A</v>
      </c>
      <c r="AJ340" t="e">
        <f>VLOOKUP($Z340,'oddspedia-matches'!$A:$AD,AJ$2,0)</f>
        <v>#N/A</v>
      </c>
      <c r="AK340" t="e">
        <f>VLOOKUP($Z340,'oddspedia-matches'!$A:$AD,AK$2,0)</f>
        <v>#N/A</v>
      </c>
      <c r="AL340" t="e">
        <f>VLOOKUP($Z340,'oddspedia-matches'!$A:$AD,AL$2,0)</f>
        <v>#N/A</v>
      </c>
      <c r="AM340" t="e">
        <f>VLOOKUP($Z340,'oddspedia-matches'!$A:$AD,AM$2,0)</f>
        <v>#N/A</v>
      </c>
      <c r="AN340" t="e">
        <f>VLOOKUP($Z340,'oddspedia-matches'!$A:$AD,AN$2,0)</f>
        <v>#N/A</v>
      </c>
      <c r="AO340" t="e">
        <f>VLOOKUP($Z340,'oddspedia-matches'!$A:$AD,AO$2,0)</f>
        <v>#N/A</v>
      </c>
      <c r="AP340" t="e">
        <f>VLOOKUP($Z340,'oddspedia-matches'!$A:$AD,AP$2,0)</f>
        <v>#N/A</v>
      </c>
      <c r="AQ340" t="e">
        <f>VLOOKUP($Z340,'oddspedia-matches'!$A:$AD,AQ$2,0)</f>
        <v>#N/A</v>
      </c>
    </row>
    <row r="341" spans="2:43" x14ac:dyDescent="0.2">
      <c r="B341" t="s">
        <v>546</v>
      </c>
      <c r="C341" t="s">
        <v>930</v>
      </c>
      <c r="D341" s="25">
        <v>0.35416666666666669</v>
      </c>
      <c r="E341" t="s">
        <v>963</v>
      </c>
      <c r="F341" t="s">
        <v>964</v>
      </c>
      <c r="H341">
        <v>54.7</v>
      </c>
      <c r="I341">
        <v>28.2</v>
      </c>
      <c r="J341">
        <v>17.100000000000001</v>
      </c>
      <c r="K341">
        <v>82.9</v>
      </c>
      <c r="L341">
        <v>45.3</v>
      </c>
      <c r="M341">
        <v>71.8</v>
      </c>
      <c r="N341">
        <v>43.3</v>
      </c>
      <c r="O341">
        <v>45.9</v>
      </c>
      <c r="P341">
        <v>10.8</v>
      </c>
      <c r="Q341">
        <v>61.6</v>
      </c>
      <c r="R341">
        <v>66.5</v>
      </c>
      <c r="S341">
        <v>38.6</v>
      </c>
      <c r="T341">
        <v>61.4</v>
      </c>
      <c r="U341">
        <v>68.3</v>
      </c>
      <c r="V341">
        <v>41.3</v>
      </c>
      <c r="W341">
        <v>58.7</v>
      </c>
      <c r="X341">
        <f>VLOOKUP(E341,'Transform table'!A:B,2,0)</f>
        <v>0</v>
      </c>
      <c r="Y341" t="e">
        <f>VLOOKUP(F341,'Transform table'!A:B,2,0)</f>
        <v>#N/A</v>
      </c>
      <c r="Z341" t="e">
        <f t="shared" si="5"/>
        <v>#N/A</v>
      </c>
      <c r="AA341" t="e">
        <f>VLOOKUP($Z341,'oddspedia-matches'!$A:$AD,AA$2,0)</f>
        <v>#N/A</v>
      </c>
      <c r="AB341" t="e">
        <f>VLOOKUP($Z341,'oddspedia-matches'!$A:$AD,AB$2,0)</f>
        <v>#N/A</v>
      </c>
      <c r="AC341" t="e">
        <f>VLOOKUP($Z341,'oddspedia-matches'!$A:$AD,AC$2,0)</f>
        <v>#N/A</v>
      </c>
      <c r="AD341" t="e">
        <f>VLOOKUP($Z341,'oddspedia-matches'!$A:$AD,AD$2,0)</f>
        <v>#N/A</v>
      </c>
      <c r="AE341" t="e">
        <f>VLOOKUP($Z341,'oddspedia-matches'!$A:$AD,AE$2,0)</f>
        <v>#N/A</v>
      </c>
      <c r="AF341" t="e">
        <f>VLOOKUP($Z341,'oddspedia-matches'!$A:$AD,AF$2,0)</f>
        <v>#N/A</v>
      </c>
      <c r="AG341" t="e">
        <f>VLOOKUP($Z341,'oddspedia-matches'!$A:$AD,AG$2,0)</f>
        <v>#N/A</v>
      </c>
      <c r="AH341" t="e">
        <f>VLOOKUP($Z341,'oddspedia-matches'!$A:$AD,AH$2,0)</f>
        <v>#N/A</v>
      </c>
      <c r="AI341" t="e">
        <f>VLOOKUP($Z341,'oddspedia-matches'!$A:$AD,AI$2,0)</f>
        <v>#N/A</v>
      </c>
      <c r="AJ341" t="e">
        <f>VLOOKUP($Z341,'oddspedia-matches'!$A:$AD,AJ$2,0)</f>
        <v>#N/A</v>
      </c>
      <c r="AK341" t="e">
        <f>VLOOKUP($Z341,'oddspedia-matches'!$A:$AD,AK$2,0)</f>
        <v>#N/A</v>
      </c>
      <c r="AL341" t="e">
        <f>VLOOKUP($Z341,'oddspedia-matches'!$A:$AD,AL$2,0)</f>
        <v>#N/A</v>
      </c>
      <c r="AM341" t="e">
        <f>VLOOKUP($Z341,'oddspedia-matches'!$A:$AD,AM$2,0)</f>
        <v>#N/A</v>
      </c>
      <c r="AN341" t="e">
        <f>VLOOKUP($Z341,'oddspedia-matches'!$A:$AD,AN$2,0)</f>
        <v>#N/A</v>
      </c>
      <c r="AO341" t="e">
        <f>VLOOKUP($Z341,'oddspedia-matches'!$A:$AD,AO$2,0)</f>
        <v>#N/A</v>
      </c>
      <c r="AP341" t="e">
        <f>VLOOKUP($Z341,'oddspedia-matches'!$A:$AD,AP$2,0)</f>
        <v>#N/A</v>
      </c>
      <c r="AQ341" t="e">
        <f>VLOOKUP($Z341,'oddspedia-matches'!$A:$AD,AQ$2,0)</f>
        <v>#N/A</v>
      </c>
    </row>
    <row r="342" spans="2:43" x14ac:dyDescent="0.2">
      <c r="B342" t="s">
        <v>965</v>
      </c>
      <c r="C342" t="s">
        <v>930</v>
      </c>
      <c r="D342" s="25">
        <v>0.35416666666666669</v>
      </c>
      <c r="E342" t="s">
        <v>966</v>
      </c>
      <c r="F342" t="s">
        <v>967</v>
      </c>
      <c r="H342">
        <v>0</v>
      </c>
      <c r="I342">
        <v>100</v>
      </c>
      <c r="J342">
        <v>0</v>
      </c>
      <c r="K342">
        <v>100</v>
      </c>
      <c r="L342">
        <v>100</v>
      </c>
      <c r="M342">
        <v>0</v>
      </c>
      <c r="N342">
        <v>0</v>
      </c>
      <c r="O342">
        <v>100</v>
      </c>
      <c r="P342">
        <v>0</v>
      </c>
      <c r="Q342">
        <v>0</v>
      </c>
      <c r="R342">
        <v>0</v>
      </c>
      <c r="S342">
        <v>0</v>
      </c>
      <c r="T342">
        <v>100</v>
      </c>
      <c r="U342">
        <v>100</v>
      </c>
      <c r="V342">
        <v>0</v>
      </c>
      <c r="W342">
        <v>100</v>
      </c>
      <c r="X342" t="str">
        <f>VLOOKUP(E342,'Transform table'!A:B,2,0)</f>
        <v>Gazovik Orenburg</v>
      </c>
      <c r="Y342" t="e">
        <f>VLOOKUP(F342,'Transform table'!A:B,2,0)</f>
        <v>#N/A</v>
      </c>
      <c r="Z342" t="e">
        <f t="shared" si="5"/>
        <v>#N/A</v>
      </c>
      <c r="AA342" t="e">
        <f>VLOOKUP($Z342,'oddspedia-matches'!$A:$AD,AA$2,0)</f>
        <v>#N/A</v>
      </c>
      <c r="AB342" t="e">
        <f>VLOOKUP($Z342,'oddspedia-matches'!$A:$AD,AB$2,0)</f>
        <v>#N/A</v>
      </c>
      <c r="AC342" t="e">
        <f>VLOOKUP($Z342,'oddspedia-matches'!$A:$AD,AC$2,0)</f>
        <v>#N/A</v>
      </c>
      <c r="AD342" t="e">
        <f>VLOOKUP($Z342,'oddspedia-matches'!$A:$AD,AD$2,0)</f>
        <v>#N/A</v>
      </c>
      <c r="AE342" t="e">
        <f>VLOOKUP($Z342,'oddspedia-matches'!$A:$AD,AE$2,0)</f>
        <v>#N/A</v>
      </c>
      <c r="AF342" t="e">
        <f>VLOOKUP($Z342,'oddspedia-matches'!$A:$AD,AF$2,0)</f>
        <v>#N/A</v>
      </c>
      <c r="AG342" t="e">
        <f>VLOOKUP($Z342,'oddspedia-matches'!$A:$AD,AG$2,0)</f>
        <v>#N/A</v>
      </c>
      <c r="AH342" t="e">
        <f>VLOOKUP($Z342,'oddspedia-matches'!$A:$AD,AH$2,0)</f>
        <v>#N/A</v>
      </c>
      <c r="AI342" t="e">
        <f>VLOOKUP($Z342,'oddspedia-matches'!$A:$AD,AI$2,0)</f>
        <v>#N/A</v>
      </c>
      <c r="AJ342" t="e">
        <f>VLOOKUP($Z342,'oddspedia-matches'!$A:$AD,AJ$2,0)</f>
        <v>#N/A</v>
      </c>
      <c r="AK342" t="e">
        <f>VLOOKUP($Z342,'oddspedia-matches'!$A:$AD,AK$2,0)</f>
        <v>#N/A</v>
      </c>
      <c r="AL342" t="e">
        <f>VLOOKUP($Z342,'oddspedia-matches'!$A:$AD,AL$2,0)</f>
        <v>#N/A</v>
      </c>
      <c r="AM342" t="e">
        <f>VLOOKUP($Z342,'oddspedia-matches'!$A:$AD,AM$2,0)</f>
        <v>#N/A</v>
      </c>
      <c r="AN342" t="e">
        <f>VLOOKUP($Z342,'oddspedia-matches'!$A:$AD,AN$2,0)</f>
        <v>#N/A</v>
      </c>
      <c r="AO342" t="e">
        <f>VLOOKUP($Z342,'oddspedia-matches'!$A:$AD,AO$2,0)</f>
        <v>#N/A</v>
      </c>
      <c r="AP342" t="e">
        <f>VLOOKUP($Z342,'oddspedia-matches'!$A:$AD,AP$2,0)</f>
        <v>#N/A</v>
      </c>
      <c r="AQ342" t="e">
        <f>VLOOKUP($Z342,'oddspedia-matches'!$A:$AD,AQ$2,0)</f>
        <v>#N/A</v>
      </c>
    </row>
    <row r="343" spans="2:43" x14ac:dyDescent="0.2">
      <c r="B343" t="s">
        <v>543</v>
      </c>
      <c r="C343" t="s">
        <v>930</v>
      </c>
      <c r="D343" s="25">
        <v>0.3576388888888889</v>
      </c>
      <c r="E343" t="s">
        <v>968</v>
      </c>
      <c r="F343" t="s">
        <v>969</v>
      </c>
      <c r="H343">
        <v>54</v>
      </c>
      <c r="I343">
        <v>25.1</v>
      </c>
      <c r="J343">
        <v>20.9</v>
      </c>
      <c r="K343">
        <v>79.099999999999994</v>
      </c>
      <c r="L343">
        <v>46</v>
      </c>
      <c r="M343">
        <v>74.900000000000006</v>
      </c>
      <c r="N343">
        <v>37.1</v>
      </c>
      <c r="O343">
        <v>46.7</v>
      </c>
      <c r="P343">
        <v>16.2</v>
      </c>
      <c r="Q343">
        <v>62.9</v>
      </c>
      <c r="R343">
        <v>81.7</v>
      </c>
      <c r="S343">
        <v>58.6</v>
      </c>
      <c r="T343">
        <v>41.4</v>
      </c>
      <c r="U343">
        <v>48.2</v>
      </c>
      <c r="V343">
        <v>58.9</v>
      </c>
      <c r="W343">
        <v>41.1</v>
      </c>
      <c r="X343" t="str">
        <f>VLOOKUP(E343,'Transform table'!A:B,2,0)</f>
        <v>Chengdu Qianbao</v>
      </c>
      <c r="Y343" t="e">
        <f>VLOOKUP(F343,'Transform table'!A:B,2,0)</f>
        <v>#N/A</v>
      </c>
      <c r="Z343" t="e">
        <f t="shared" si="5"/>
        <v>#N/A</v>
      </c>
      <c r="AA343" t="e">
        <f>VLOOKUP($Z343,'oddspedia-matches'!$A:$AD,AA$2,0)</f>
        <v>#N/A</v>
      </c>
      <c r="AB343" t="e">
        <f>VLOOKUP($Z343,'oddspedia-matches'!$A:$AD,AB$2,0)</f>
        <v>#N/A</v>
      </c>
      <c r="AC343" t="e">
        <f>VLOOKUP($Z343,'oddspedia-matches'!$A:$AD,AC$2,0)</f>
        <v>#N/A</v>
      </c>
      <c r="AD343" t="e">
        <f>VLOOKUP($Z343,'oddspedia-matches'!$A:$AD,AD$2,0)</f>
        <v>#N/A</v>
      </c>
      <c r="AE343" t="e">
        <f>VLOOKUP($Z343,'oddspedia-matches'!$A:$AD,AE$2,0)</f>
        <v>#N/A</v>
      </c>
      <c r="AF343" t="e">
        <f>VLOOKUP($Z343,'oddspedia-matches'!$A:$AD,AF$2,0)</f>
        <v>#N/A</v>
      </c>
      <c r="AG343" t="e">
        <f>VLOOKUP($Z343,'oddspedia-matches'!$A:$AD,AG$2,0)</f>
        <v>#N/A</v>
      </c>
      <c r="AH343" t="e">
        <f>VLOOKUP($Z343,'oddspedia-matches'!$A:$AD,AH$2,0)</f>
        <v>#N/A</v>
      </c>
      <c r="AI343" t="e">
        <f>VLOOKUP($Z343,'oddspedia-matches'!$A:$AD,AI$2,0)</f>
        <v>#N/A</v>
      </c>
      <c r="AJ343" t="e">
        <f>VLOOKUP($Z343,'oddspedia-matches'!$A:$AD,AJ$2,0)</f>
        <v>#N/A</v>
      </c>
      <c r="AK343" t="e">
        <f>VLOOKUP($Z343,'oddspedia-matches'!$A:$AD,AK$2,0)</f>
        <v>#N/A</v>
      </c>
      <c r="AL343" t="e">
        <f>VLOOKUP($Z343,'oddspedia-matches'!$A:$AD,AL$2,0)</f>
        <v>#N/A</v>
      </c>
      <c r="AM343" t="e">
        <f>VLOOKUP($Z343,'oddspedia-matches'!$A:$AD,AM$2,0)</f>
        <v>#N/A</v>
      </c>
      <c r="AN343" t="e">
        <f>VLOOKUP($Z343,'oddspedia-matches'!$A:$AD,AN$2,0)</f>
        <v>#N/A</v>
      </c>
      <c r="AO343" t="e">
        <f>VLOOKUP($Z343,'oddspedia-matches'!$A:$AD,AO$2,0)</f>
        <v>#N/A</v>
      </c>
      <c r="AP343" t="e">
        <f>VLOOKUP($Z343,'oddspedia-matches'!$A:$AD,AP$2,0)</f>
        <v>#N/A</v>
      </c>
      <c r="AQ343" t="e">
        <f>VLOOKUP($Z343,'oddspedia-matches'!$A:$AD,AQ$2,0)</f>
        <v>#N/A</v>
      </c>
    </row>
    <row r="344" spans="2:43" x14ac:dyDescent="0.2">
      <c r="B344" t="s">
        <v>543</v>
      </c>
      <c r="C344" t="s">
        <v>930</v>
      </c>
      <c r="D344" s="25">
        <v>0.3576388888888889</v>
      </c>
      <c r="E344" t="s">
        <v>970</v>
      </c>
      <c r="F344" t="s">
        <v>971</v>
      </c>
      <c r="H344">
        <v>46</v>
      </c>
      <c r="I344">
        <v>26.4</v>
      </c>
      <c r="J344">
        <v>27.6</v>
      </c>
      <c r="K344">
        <v>72.400000000000006</v>
      </c>
      <c r="L344">
        <v>54</v>
      </c>
      <c r="M344">
        <v>73.599999999999994</v>
      </c>
      <c r="N344">
        <v>32.700000000000003</v>
      </c>
      <c r="O344">
        <v>41.5</v>
      </c>
      <c r="P344">
        <v>25.8</v>
      </c>
      <c r="Q344">
        <v>72.7</v>
      </c>
      <c r="R344">
        <v>82.3</v>
      </c>
      <c r="S344">
        <v>59.3</v>
      </c>
      <c r="T344">
        <v>40.700000000000003</v>
      </c>
      <c r="U344">
        <v>46.6</v>
      </c>
      <c r="V344">
        <v>61.9</v>
      </c>
      <c r="W344">
        <v>38.1</v>
      </c>
      <c r="X344" t="str">
        <f>VLOOKUP(E344,'Transform table'!A:B,2,0)</f>
        <v>Shandong Luneng Taishan</v>
      </c>
      <c r="Y344" t="e">
        <f>VLOOKUP(F344,'Transform table'!A:B,2,0)</f>
        <v>#N/A</v>
      </c>
      <c r="Z344" t="e">
        <f t="shared" si="5"/>
        <v>#N/A</v>
      </c>
      <c r="AA344" t="e">
        <f>VLOOKUP($Z344,'oddspedia-matches'!$A:$AD,AA$2,0)</f>
        <v>#N/A</v>
      </c>
      <c r="AB344" t="e">
        <f>VLOOKUP($Z344,'oddspedia-matches'!$A:$AD,AB$2,0)</f>
        <v>#N/A</v>
      </c>
      <c r="AC344" t="e">
        <f>VLOOKUP($Z344,'oddspedia-matches'!$A:$AD,AC$2,0)</f>
        <v>#N/A</v>
      </c>
      <c r="AD344" t="e">
        <f>VLOOKUP($Z344,'oddspedia-matches'!$A:$AD,AD$2,0)</f>
        <v>#N/A</v>
      </c>
      <c r="AE344" t="e">
        <f>VLOOKUP($Z344,'oddspedia-matches'!$A:$AD,AE$2,0)</f>
        <v>#N/A</v>
      </c>
      <c r="AF344" t="e">
        <f>VLOOKUP($Z344,'oddspedia-matches'!$A:$AD,AF$2,0)</f>
        <v>#N/A</v>
      </c>
      <c r="AG344" t="e">
        <f>VLOOKUP($Z344,'oddspedia-matches'!$A:$AD,AG$2,0)</f>
        <v>#N/A</v>
      </c>
      <c r="AH344" t="e">
        <f>VLOOKUP($Z344,'oddspedia-matches'!$A:$AD,AH$2,0)</f>
        <v>#N/A</v>
      </c>
      <c r="AI344" t="e">
        <f>VLOOKUP($Z344,'oddspedia-matches'!$A:$AD,AI$2,0)</f>
        <v>#N/A</v>
      </c>
      <c r="AJ344" t="e">
        <f>VLOOKUP($Z344,'oddspedia-matches'!$A:$AD,AJ$2,0)</f>
        <v>#N/A</v>
      </c>
      <c r="AK344" t="e">
        <f>VLOOKUP($Z344,'oddspedia-matches'!$A:$AD,AK$2,0)</f>
        <v>#N/A</v>
      </c>
      <c r="AL344" t="e">
        <f>VLOOKUP($Z344,'oddspedia-matches'!$A:$AD,AL$2,0)</f>
        <v>#N/A</v>
      </c>
      <c r="AM344" t="e">
        <f>VLOOKUP($Z344,'oddspedia-matches'!$A:$AD,AM$2,0)</f>
        <v>#N/A</v>
      </c>
      <c r="AN344" t="e">
        <f>VLOOKUP($Z344,'oddspedia-matches'!$A:$AD,AN$2,0)</f>
        <v>#N/A</v>
      </c>
      <c r="AO344" t="e">
        <f>VLOOKUP($Z344,'oddspedia-matches'!$A:$AD,AO$2,0)</f>
        <v>#N/A</v>
      </c>
      <c r="AP344" t="e">
        <f>VLOOKUP($Z344,'oddspedia-matches'!$A:$AD,AP$2,0)</f>
        <v>#N/A</v>
      </c>
      <c r="AQ344" t="e">
        <f>VLOOKUP($Z344,'oddspedia-matches'!$A:$AD,AQ$2,0)</f>
        <v>#N/A</v>
      </c>
    </row>
    <row r="345" spans="2:43" x14ac:dyDescent="0.2">
      <c r="B345" t="s">
        <v>972</v>
      </c>
      <c r="C345" t="s">
        <v>930</v>
      </c>
      <c r="D345" s="25">
        <v>0.375</v>
      </c>
      <c r="E345" t="s">
        <v>973</v>
      </c>
      <c r="F345" t="s">
        <v>974</v>
      </c>
      <c r="H345">
        <v>0</v>
      </c>
      <c r="I345">
        <v>100</v>
      </c>
      <c r="J345">
        <v>0</v>
      </c>
      <c r="K345">
        <v>100</v>
      </c>
      <c r="L345">
        <v>100</v>
      </c>
      <c r="M345">
        <v>0</v>
      </c>
      <c r="N345">
        <v>0</v>
      </c>
      <c r="O345">
        <v>100</v>
      </c>
      <c r="P345">
        <v>0</v>
      </c>
      <c r="Q345">
        <v>0</v>
      </c>
      <c r="R345">
        <v>0</v>
      </c>
      <c r="S345">
        <v>0</v>
      </c>
      <c r="T345">
        <v>100</v>
      </c>
      <c r="U345">
        <v>100</v>
      </c>
      <c r="V345">
        <v>0</v>
      </c>
      <c r="W345">
        <v>100</v>
      </c>
      <c r="X345">
        <f>VLOOKUP(E345,'Transform table'!A:B,2,0)</f>
        <v>0</v>
      </c>
      <c r="Y345" t="e">
        <f>VLOOKUP(F345,'Transform table'!A:B,2,0)</f>
        <v>#N/A</v>
      </c>
      <c r="Z345" t="e">
        <f t="shared" si="5"/>
        <v>#N/A</v>
      </c>
      <c r="AA345" t="e">
        <f>VLOOKUP($Z345,'oddspedia-matches'!$A:$AD,AA$2,0)</f>
        <v>#N/A</v>
      </c>
      <c r="AB345" t="e">
        <f>VLOOKUP($Z345,'oddspedia-matches'!$A:$AD,AB$2,0)</f>
        <v>#N/A</v>
      </c>
      <c r="AC345" t="e">
        <f>VLOOKUP($Z345,'oddspedia-matches'!$A:$AD,AC$2,0)</f>
        <v>#N/A</v>
      </c>
      <c r="AD345" t="e">
        <f>VLOOKUP($Z345,'oddspedia-matches'!$A:$AD,AD$2,0)</f>
        <v>#N/A</v>
      </c>
      <c r="AE345" t="e">
        <f>VLOOKUP($Z345,'oddspedia-matches'!$A:$AD,AE$2,0)</f>
        <v>#N/A</v>
      </c>
      <c r="AF345" t="e">
        <f>VLOOKUP($Z345,'oddspedia-matches'!$A:$AD,AF$2,0)</f>
        <v>#N/A</v>
      </c>
      <c r="AG345" t="e">
        <f>VLOOKUP($Z345,'oddspedia-matches'!$A:$AD,AG$2,0)</f>
        <v>#N/A</v>
      </c>
      <c r="AH345" t="e">
        <f>VLOOKUP($Z345,'oddspedia-matches'!$A:$AD,AH$2,0)</f>
        <v>#N/A</v>
      </c>
      <c r="AI345" t="e">
        <f>VLOOKUP($Z345,'oddspedia-matches'!$A:$AD,AI$2,0)</f>
        <v>#N/A</v>
      </c>
      <c r="AJ345" t="e">
        <f>VLOOKUP($Z345,'oddspedia-matches'!$A:$AD,AJ$2,0)</f>
        <v>#N/A</v>
      </c>
      <c r="AK345" t="e">
        <f>VLOOKUP($Z345,'oddspedia-matches'!$A:$AD,AK$2,0)</f>
        <v>#N/A</v>
      </c>
      <c r="AL345" t="e">
        <f>VLOOKUP($Z345,'oddspedia-matches'!$A:$AD,AL$2,0)</f>
        <v>#N/A</v>
      </c>
      <c r="AM345" t="e">
        <f>VLOOKUP($Z345,'oddspedia-matches'!$A:$AD,AM$2,0)</f>
        <v>#N/A</v>
      </c>
      <c r="AN345" t="e">
        <f>VLOOKUP($Z345,'oddspedia-matches'!$A:$AD,AN$2,0)</f>
        <v>#N/A</v>
      </c>
      <c r="AO345" t="e">
        <f>VLOOKUP($Z345,'oddspedia-matches'!$A:$AD,AO$2,0)</f>
        <v>#N/A</v>
      </c>
      <c r="AP345" t="e">
        <f>VLOOKUP($Z345,'oddspedia-matches'!$A:$AD,AP$2,0)</f>
        <v>#N/A</v>
      </c>
      <c r="AQ345" t="e">
        <f>VLOOKUP($Z345,'oddspedia-matches'!$A:$AD,AQ$2,0)</f>
        <v>#N/A</v>
      </c>
    </row>
    <row r="346" spans="2:43" x14ac:dyDescent="0.2">
      <c r="B346" t="s">
        <v>972</v>
      </c>
      <c r="C346" t="s">
        <v>930</v>
      </c>
      <c r="D346" s="25">
        <v>0.375</v>
      </c>
      <c r="E346" t="s">
        <v>975</v>
      </c>
      <c r="F346" t="s">
        <v>976</v>
      </c>
      <c r="H346">
        <v>0</v>
      </c>
      <c r="I346">
        <v>100</v>
      </c>
      <c r="J346">
        <v>0</v>
      </c>
      <c r="K346">
        <v>100</v>
      </c>
      <c r="L346">
        <v>100</v>
      </c>
      <c r="M346">
        <v>0</v>
      </c>
      <c r="N346">
        <v>0</v>
      </c>
      <c r="O346">
        <v>100</v>
      </c>
      <c r="P346">
        <v>0</v>
      </c>
      <c r="Q346">
        <v>0</v>
      </c>
      <c r="R346">
        <v>0</v>
      </c>
      <c r="S346">
        <v>0</v>
      </c>
      <c r="T346">
        <v>100</v>
      </c>
      <c r="U346">
        <v>100</v>
      </c>
      <c r="V346">
        <v>0</v>
      </c>
      <c r="W346">
        <v>100</v>
      </c>
      <c r="X346" t="str">
        <f>VLOOKUP(E346,'Transform table'!A:B,2,0)</f>
        <v>Carlisle United</v>
      </c>
      <c r="Y346" t="e">
        <f>VLOOKUP(F346,'Transform table'!A:B,2,0)</f>
        <v>#N/A</v>
      </c>
      <c r="Z346" t="e">
        <f t="shared" si="5"/>
        <v>#N/A</v>
      </c>
      <c r="AA346" t="e">
        <f>VLOOKUP($Z346,'oddspedia-matches'!$A:$AD,AA$2,0)</f>
        <v>#N/A</v>
      </c>
      <c r="AB346" t="e">
        <f>VLOOKUP($Z346,'oddspedia-matches'!$A:$AD,AB$2,0)</f>
        <v>#N/A</v>
      </c>
      <c r="AC346" t="e">
        <f>VLOOKUP($Z346,'oddspedia-matches'!$A:$AD,AC$2,0)</f>
        <v>#N/A</v>
      </c>
      <c r="AD346" t="e">
        <f>VLOOKUP($Z346,'oddspedia-matches'!$A:$AD,AD$2,0)</f>
        <v>#N/A</v>
      </c>
      <c r="AE346" t="e">
        <f>VLOOKUP($Z346,'oddspedia-matches'!$A:$AD,AE$2,0)</f>
        <v>#N/A</v>
      </c>
      <c r="AF346" t="e">
        <f>VLOOKUP($Z346,'oddspedia-matches'!$A:$AD,AF$2,0)</f>
        <v>#N/A</v>
      </c>
      <c r="AG346" t="e">
        <f>VLOOKUP($Z346,'oddspedia-matches'!$A:$AD,AG$2,0)</f>
        <v>#N/A</v>
      </c>
      <c r="AH346" t="e">
        <f>VLOOKUP($Z346,'oddspedia-matches'!$A:$AD,AH$2,0)</f>
        <v>#N/A</v>
      </c>
      <c r="AI346" t="e">
        <f>VLOOKUP($Z346,'oddspedia-matches'!$A:$AD,AI$2,0)</f>
        <v>#N/A</v>
      </c>
      <c r="AJ346" t="e">
        <f>VLOOKUP($Z346,'oddspedia-matches'!$A:$AD,AJ$2,0)</f>
        <v>#N/A</v>
      </c>
      <c r="AK346" t="e">
        <f>VLOOKUP($Z346,'oddspedia-matches'!$A:$AD,AK$2,0)</f>
        <v>#N/A</v>
      </c>
      <c r="AL346" t="e">
        <f>VLOOKUP($Z346,'oddspedia-matches'!$A:$AD,AL$2,0)</f>
        <v>#N/A</v>
      </c>
      <c r="AM346" t="e">
        <f>VLOOKUP($Z346,'oddspedia-matches'!$A:$AD,AM$2,0)</f>
        <v>#N/A</v>
      </c>
      <c r="AN346" t="e">
        <f>VLOOKUP($Z346,'oddspedia-matches'!$A:$AD,AN$2,0)</f>
        <v>#N/A</v>
      </c>
      <c r="AO346" t="e">
        <f>VLOOKUP($Z346,'oddspedia-matches'!$A:$AD,AO$2,0)</f>
        <v>#N/A</v>
      </c>
      <c r="AP346" t="e">
        <f>VLOOKUP($Z346,'oddspedia-matches'!$A:$AD,AP$2,0)</f>
        <v>#N/A</v>
      </c>
      <c r="AQ346" t="e">
        <f>VLOOKUP($Z346,'oddspedia-matches'!$A:$AD,AQ$2,0)</f>
        <v>#N/A</v>
      </c>
    </row>
    <row r="347" spans="2:43" x14ac:dyDescent="0.2">
      <c r="B347" t="s">
        <v>972</v>
      </c>
      <c r="C347" t="s">
        <v>930</v>
      </c>
      <c r="D347" s="25">
        <v>0.375</v>
      </c>
      <c r="E347" t="s">
        <v>977</v>
      </c>
      <c r="F347" t="s">
        <v>978</v>
      </c>
      <c r="H347">
        <v>0</v>
      </c>
      <c r="I347">
        <v>100</v>
      </c>
      <c r="J347">
        <v>0</v>
      </c>
      <c r="K347">
        <v>100</v>
      </c>
      <c r="L347">
        <v>100</v>
      </c>
      <c r="M347">
        <v>0</v>
      </c>
      <c r="N347">
        <v>0</v>
      </c>
      <c r="O347">
        <v>100</v>
      </c>
      <c r="P347">
        <v>0</v>
      </c>
      <c r="Q347">
        <v>0</v>
      </c>
      <c r="R347">
        <v>0</v>
      </c>
      <c r="S347">
        <v>0</v>
      </c>
      <c r="T347">
        <v>100</v>
      </c>
      <c r="U347">
        <v>100</v>
      </c>
      <c r="V347">
        <v>0</v>
      </c>
      <c r="W347">
        <v>100</v>
      </c>
      <c r="X347">
        <f>VLOOKUP(E347,'Transform table'!A:B,2,0)</f>
        <v>0</v>
      </c>
      <c r="Y347" t="e">
        <f>VLOOKUP(F347,'Transform table'!A:B,2,0)</f>
        <v>#N/A</v>
      </c>
      <c r="Z347" t="e">
        <f t="shared" si="5"/>
        <v>#N/A</v>
      </c>
      <c r="AA347" t="e">
        <f>VLOOKUP($Z347,'oddspedia-matches'!$A:$AD,AA$2,0)</f>
        <v>#N/A</v>
      </c>
      <c r="AB347" t="e">
        <f>VLOOKUP($Z347,'oddspedia-matches'!$A:$AD,AB$2,0)</f>
        <v>#N/A</v>
      </c>
      <c r="AC347" t="e">
        <f>VLOOKUP($Z347,'oddspedia-matches'!$A:$AD,AC$2,0)</f>
        <v>#N/A</v>
      </c>
      <c r="AD347" t="e">
        <f>VLOOKUP($Z347,'oddspedia-matches'!$A:$AD,AD$2,0)</f>
        <v>#N/A</v>
      </c>
      <c r="AE347" t="e">
        <f>VLOOKUP($Z347,'oddspedia-matches'!$A:$AD,AE$2,0)</f>
        <v>#N/A</v>
      </c>
      <c r="AF347" t="e">
        <f>VLOOKUP($Z347,'oddspedia-matches'!$A:$AD,AF$2,0)</f>
        <v>#N/A</v>
      </c>
      <c r="AG347" t="e">
        <f>VLOOKUP($Z347,'oddspedia-matches'!$A:$AD,AG$2,0)</f>
        <v>#N/A</v>
      </c>
      <c r="AH347" t="e">
        <f>VLOOKUP($Z347,'oddspedia-matches'!$A:$AD,AH$2,0)</f>
        <v>#N/A</v>
      </c>
      <c r="AI347" t="e">
        <f>VLOOKUP($Z347,'oddspedia-matches'!$A:$AD,AI$2,0)</f>
        <v>#N/A</v>
      </c>
      <c r="AJ347" t="e">
        <f>VLOOKUP($Z347,'oddspedia-matches'!$A:$AD,AJ$2,0)</f>
        <v>#N/A</v>
      </c>
      <c r="AK347" t="e">
        <f>VLOOKUP($Z347,'oddspedia-matches'!$A:$AD,AK$2,0)</f>
        <v>#N/A</v>
      </c>
      <c r="AL347" t="e">
        <f>VLOOKUP($Z347,'oddspedia-matches'!$A:$AD,AL$2,0)</f>
        <v>#N/A</v>
      </c>
      <c r="AM347" t="e">
        <f>VLOOKUP($Z347,'oddspedia-matches'!$A:$AD,AM$2,0)</f>
        <v>#N/A</v>
      </c>
      <c r="AN347" t="e">
        <f>VLOOKUP($Z347,'oddspedia-matches'!$A:$AD,AN$2,0)</f>
        <v>#N/A</v>
      </c>
      <c r="AO347" t="e">
        <f>VLOOKUP($Z347,'oddspedia-matches'!$A:$AD,AO$2,0)</f>
        <v>#N/A</v>
      </c>
      <c r="AP347" t="e">
        <f>VLOOKUP($Z347,'oddspedia-matches'!$A:$AD,AP$2,0)</f>
        <v>#N/A</v>
      </c>
      <c r="AQ347" t="e">
        <f>VLOOKUP($Z347,'oddspedia-matches'!$A:$AD,AQ$2,0)</f>
        <v>#N/A</v>
      </c>
    </row>
    <row r="348" spans="2:43" x14ac:dyDescent="0.2">
      <c r="B348" t="s">
        <v>584</v>
      </c>
      <c r="C348" t="s">
        <v>930</v>
      </c>
      <c r="D348" s="25">
        <v>0.375</v>
      </c>
      <c r="E348" t="s">
        <v>979</v>
      </c>
      <c r="F348" t="s">
        <v>980</v>
      </c>
      <c r="H348">
        <v>39.4</v>
      </c>
      <c r="I348">
        <v>32.200000000000003</v>
      </c>
      <c r="J348">
        <v>28.4</v>
      </c>
      <c r="K348">
        <v>71.599999999999994</v>
      </c>
      <c r="L348">
        <v>60.6</v>
      </c>
      <c r="M348">
        <v>67.8</v>
      </c>
      <c r="N348">
        <v>38.700000000000003</v>
      </c>
      <c r="O348">
        <v>44.8</v>
      </c>
      <c r="P348">
        <v>16.600000000000001</v>
      </c>
      <c r="Q348">
        <v>65.7</v>
      </c>
      <c r="R348">
        <v>63.7</v>
      </c>
      <c r="S348">
        <v>35.4</v>
      </c>
      <c r="T348">
        <v>64.599999999999994</v>
      </c>
      <c r="U348">
        <v>69.5</v>
      </c>
      <c r="V348">
        <v>43.6</v>
      </c>
      <c r="W348">
        <v>56.4</v>
      </c>
      <c r="X348">
        <f>VLOOKUP(E348,'Transform table'!A:B,2,0)</f>
        <v>0</v>
      </c>
      <c r="Y348" t="e">
        <f>VLOOKUP(F348,'Transform table'!A:B,2,0)</f>
        <v>#N/A</v>
      </c>
      <c r="Z348" t="e">
        <f t="shared" si="5"/>
        <v>#N/A</v>
      </c>
      <c r="AA348" t="e">
        <f>VLOOKUP($Z348,'oddspedia-matches'!$A:$AD,AA$2,0)</f>
        <v>#N/A</v>
      </c>
      <c r="AB348" t="e">
        <f>VLOOKUP($Z348,'oddspedia-matches'!$A:$AD,AB$2,0)</f>
        <v>#N/A</v>
      </c>
      <c r="AC348" t="e">
        <f>VLOOKUP($Z348,'oddspedia-matches'!$A:$AD,AC$2,0)</f>
        <v>#N/A</v>
      </c>
      <c r="AD348" t="e">
        <f>VLOOKUP($Z348,'oddspedia-matches'!$A:$AD,AD$2,0)</f>
        <v>#N/A</v>
      </c>
      <c r="AE348" t="e">
        <f>VLOOKUP($Z348,'oddspedia-matches'!$A:$AD,AE$2,0)</f>
        <v>#N/A</v>
      </c>
      <c r="AF348" t="e">
        <f>VLOOKUP($Z348,'oddspedia-matches'!$A:$AD,AF$2,0)</f>
        <v>#N/A</v>
      </c>
      <c r="AG348" t="e">
        <f>VLOOKUP($Z348,'oddspedia-matches'!$A:$AD,AG$2,0)</f>
        <v>#N/A</v>
      </c>
      <c r="AH348" t="e">
        <f>VLOOKUP($Z348,'oddspedia-matches'!$A:$AD,AH$2,0)</f>
        <v>#N/A</v>
      </c>
      <c r="AI348" t="e">
        <f>VLOOKUP($Z348,'oddspedia-matches'!$A:$AD,AI$2,0)</f>
        <v>#N/A</v>
      </c>
      <c r="AJ348" t="e">
        <f>VLOOKUP($Z348,'oddspedia-matches'!$A:$AD,AJ$2,0)</f>
        <v>#N/A</v>
      </c>
      <c r="AK348" t="e">
        <f>VLOOKUP($Z348,'oddspedia-matches'!$A:$AD,AK$2,0)</f>
        <v>#N/A</v>
      </c>
      <c r="AL348" t="e">
        <f>VLOOKUP($Z348,'oddspedia-matches'!$A:$AD,AL$2,0)</f>
        <v>#N/A</v>
      </c>
      <c r="AM348" t="e">
        <f>VLOOKUP($Z348,'oddspedia-matches'!$A:$AD,AM$2,0)</f>
        <v>#N/A</v>
      </c>
      <c r="AN348" t="e">
        <f>VLOOKUP($Z348,'oddspedia-matches'!$A:$AD,AN$2,0)</f>
        <v>#N/A</v>
      </c>
      <c r="AO348" t="e">
        <f>VLOOKUP($Z348,'oddspedia-matches'!$A:$AD,AO$2,0)</f>
        <v>#N/A</v>
      </c>
      <c r="AP348" t="e">
        <f>VLOOKUP($Z348,'oddspedia-matches'!$A:$AD,AP$2,0)</f>
        <v>#N/A</v>
      </c>
      <c r="AQ348" t="e">
        <f>VLOOKUP($Z348,'oddspedia-matches'!$A:$AD,AQ$2,0)</f>
        <v>#N/A</v>
      </c>
    </row>
    <row r="349" spans="2:43" x14ac:dyDescent="0.2">
      <c r="B349" t="s">
        <v>543</v>
      </c>
      <c r="C349" t="s">
        <v>930</v>
      </c>
      <c r="D349" s="25">
        <v>0.375</v>
      </c>
      <c r="E349" t="s">
        <v>981</v>
      </c>
      <c r="F349" t="s">
        <v>413</v>
      </c>
      <c r="H349">
        <v>46.4</v>
      </c>
      <c r="I349">
        <v>26</v>
      </c>
      <c r="J349">
        <v>27.6</v>
      </c>
      <c r="K349">
        <v>72.400000000000006</v>
      </c>
      <c r="L349">
        <v>53.6</v>
      </c>
      <c r="M349">
        <v>74</v>
      </c>
      <c r="N349">
        <v>38.700000000000003</v>
      </c>
      <c r="O349">
        <v>39.6</v>
      </c>
      <c r="P349">
        <v>21.7</v>
      </c>
      <c r="Q349">
        <v>74.5</v>
      </c>
      <c r="R349">
        <v>83.8</v>
      </c>
      <c r="S349">
        <v>61.9</v>
      </c>
      <c r="T349">
        <v>38.1</v>
      </c>
      <c r="U349">
        <v>44</v>
      </c>
      <c r="V349">
        <v>63.8</v>
      </c>
      <c r="W349">
        <v>36.200000000000003</v>
      </c>
      <c r="X349" t="str">
        <f>VLOOKUP(E349,'Transform table'!A:B,2,0)</f>
        <v>Zira IK</v>
      </c>
      <c r="Y349" t="e">
        <f>VLOOKUP(F349,'Transform table'!A:B,2,0)</f>
        <v>#N/A</v>
      </c>
      <c r="Z349" t="e">
        <f t="shared" si="5"/>
        <v>#N/A</v>
      </c>
      <c r="AA349" t="e">
        <f>VLOOKUP($Z349,'oddspedia-matches'!$A:$AD,AA$2,0)</f>
        <v>#N/A</v>
      </c>
      <c r="AB349" t="e">
        <f>VLOOKUP($Z349,'oddspedia-matches'!$A:$AD,AB$2,0)</f>
        <v>#N/A</v>
      </c>
      <c r="AC349" t="e">
        <f>VLOOKUP($Z349,'oddspedia-matches'!$A:$AD,AC$2,0)</f>
        <v>#N/A</v>
      </c>
      <c r="AD349" t="e">
        <f>VLOOKUP($Z349,'oddspedia-matches'!$A:$AD,AD$2,0)</f>
        <v>#N/A</v>
      </c>
      <c r="AE349" t="e">
        <f>VLOOKUP($Z349,'oddspedia-matches'!$A:$AD,AE$2,0)</f>
        <v>#N/A</v>
      </c>
      <c r="AF349" t="e">
        <f>VLOOKUP($Z349,'oddspedia-matches'!$A:$AD,AF$2,0)</f>
        <v>#N/A</v>
      </c>
      <c r="AG349" t="e">
        <f>VLOOKUP($Z349,'oddspedia-matches'!$A:$AD,AG$2,0)</f>
        <v>#N/A</v>
      </c>
      <c r="AH349" t="e">
        <f>VLOOKUP($Z349,'oddspedia-matches'!$A:$AD,AH$2,0)</f>
        <v>#N/A</v>
      </c>
      <c r="AI349" t="e">
        <f>VLOOKUP($Z349,'oddspedia-matches'!$A:$AD,AI$2,0)</f>
        <v>#N/A</v>
      </c>
      <c r="AJ349" t="e">
        <f>VLOOKUP($Z349,'oddspedia-matches'!$A:$AD,AJ$2,0)</f>
        <v>#N/A</v>
      </c>
      <c r="AK349" t="e">
        <f>VLOOKUP($Z349,'oddspedia-matches'!$A:$AD,AK$2,0)</f>
        <v>#N/A</v>
      </c>
      <c r="AL349" t="e">
        <f>VLOOKUP($Z349,'oddspedia-matches'!$A:$AD,AL$2,0)</f>
        <v>#N/A</v>
      </c>
      <c r="AM349" t="e">
        <f>VLOOKUP($Z349,'oddspedia-matches'!$A:$AD,AM$2,0)</f>
        <v>#N/A</v>
      </c>
      <c r="AN349" t="e">
        <f>VLOOKUP($Z349,'oddspedia-matches'!$A:$AD,AN$2,0)</f>
        <v>#N/A</v>
      </c>
      <c r="AO349" t="e">
        <f>VLOOKUP($Z349,'oddspedia-matches'!$A:$AD,AO$2,0)</f>
        <v>#N/A</v>
      </c>
      <c r="AP349" t="e">
        <f>VLOOKUP($Z349,'oddspedia-matches'!$A:$AD,AP$2,0)</f>
        <v>#N/A</v>
      </c>
      <c r="AQ349" t="e">
        <f>VLOOKUP($Z349,'oddspedia-matches'!$A:$AD,AQ$2,0)</f>
        <v>#N/A</v>
      </c>
    </row>
    <row r="350" spans="2:43" x14ac:dyDescent="0.2">
      <c r="B350" t="s">
        <v>982</v>
      </c>
      <c r="C350" t="s">
        <v>930</v>
      </c>
      <c r="D350" s="25">
        <v>0.375</v>
      </c>
      <c r="E350" t="s">
        <v>983</v>
      </c>
      <c r="F350" t="s">
        <v>984</v>
      </c>
      <c r="H350">
        <v>0</v>
      </c>
      <c r="I350">
        <v>100</v>
      </c>
      <c r="J350">
        <v>0</v>
      </c>
      <c r="K350">
        <v>100</v>
      </c>
      <c r="L350">
        <v>100</v>
      </c>
      <c r="M350">
        <v>0</v>
      </c>
      <c r="N350">
        <v>0</v>
      </c>
      <c r="O350">
        <v>100</v>
      </c>
      <c r="P350">
        <v>0</v>
      </c>
      <c r="Q350">
        <v>0</v>
      </c>
      <c r="R350">
        <v>0</v>
      </c>
      <c r="S350">
        <v>0</v>
      </c>
      <c r="T350">
        <v>100</v>
      </c>
      <c r="U350">
        <v>100</v>
      </c>
      <c r="V350">
        <v>0</v>
      </c>
      <c r="W350">
        <v>100</v>
      </c>
      <c r="X350" t="str">
        <f>VLOOKUP(E350,'Transform table'!A:B,2,0)</f>
        <v>Sonderjyske</v>
      </c>
      <c r="Y350" t="e">
        <f>VLOOKUP(F350,'Transform table'!A:B,2,0)</f>
        <v>#N/A</v>
      </c>
      <c r="Z350" t="e">
        <f t="shared" si="5"/>
        <v>#N/A</v>
      </c>
      <c r="AA350" t="e">
        <f>VLOOKUP($Z350,'oddspedia-matches'!$A:$AD,AA$2,0)</f>
        <v>#N/A</v>
      </c>
      <c r="AB350" t="e">
        <f>VLOOKUP($Z350,'oddspedia-matches'!$A:$AD,AB$2,0)</f>
        <v>#N/A</v>
      </c>
      <c r="AC350" t="e">
        <f>VLOOKUP($Z350,'oddspedia-matches'!$A:$AD,AC$2,0)</f>
        <v>#N/A</v>
      </c>
      <c r="AD350" t="e">
        <f>VLOOKUP($Z350,'oddspedia-matches'!$A:$AD,AD$2,0)</f>
        <v>#N/A</v>
      </c>
      <c r="AE350" t="e">
        <f>VLOOKUP($Z350,'oddspedia-matches'!$A:$AD,AE$2,0)</f>
        <v>#N/A</v>
      </c>
      <c r="AF350" t="e">
        <f>VLOOKUP($Z350,'oddspedia-matches'!$A:$AD,AF$2,0)</f>
        <v>#N/A</v>
      </c>
      <c r="AG350" t="e">
        <f>VLOOKUP($Z350,'oddspedia-matches'!$A:$AD,AG$2,0)</f>
        <v>#N/A</v>
      </c>
      <c r="AH350" t="e">
        <f>VLOOKUP($Z350,'oddspedia-matches'!$A:$AD,AH$2,0)</f>
        <v>#N/A</v>
      </c>
      <c r="AI350" t="e">
        <f>VLOOKUP($Z350,'oddspedia-matches'!$A:$AD,AI$2,0)</f>
        <v>#N/A</v>
      </c>
      <c r="AJ350" t="e">
        <f>VLOOKUP($Z350,'oddspedia-matches'!$A:$AD,AJ$2,0)</f>
        <v>#N/A</v>
      </c>
      <c r="AK350" t="e">
        <f>VLOOKUP($Z350,'oddspedia-matches'!$A:$AD,AK$2,0)</f>
        <v>#N/A</v>
      </c>
      <c r="AL350" t="e">
        <f>VLOOKUP($Z350,'oddspedia-matches'!$A:$AD,AL$2,0)</f>
        <v>#N/A</v>
      </c>
      <c r="AM350" t="e">
        <f>VLOOKUP($Z350,'oddspedia-matches'!$A:$AD,AM$2,0)</f>
        <v>#N/A</v>
      </c>
      <c r="AN350" t="e">
        <f>VLOOKUP($Z350,'oddspedia-matches'!$A:$AD,AN$2,0)</f>
        <v>#N/A</v>
      </c>
      <c r="AO350" t="e">
        <f>VLOOKUP($Z350,'oddspedia-matches'!$A:$AD,AO$2,0)</f>
        <v>#N/A</v>
      </c>
      <c r="AP350" t="e">
        <f>VLOOKUP($Z350,'oddspedia-matches'!$A:$AD,AP$2,0)</f>
        <v>#N/A</v>
      </c>
      <c r="AQ350" t="e">
        <f>VLOOKUP($Z350,'oddspedia-matches'!$A:$AD,AQ$2,0)</f>
        <v>#N/A</v>
      </c>
    </row>
    <row r="351" spans="2:43" x14ac:dyDescent="0.2">
      <c r="B351" t="s">
        <v>985</v>
      </c>
      <c r="C351" t="s">
        <v>930</v>
      </c>
      <c r="D351" s="25">
        <v>0.375</v>
      </c>
      <c r="E351" t="s">
        <v>986</v>
      </c>
      <c r="F351" t="s">
        <v>987</v>
      </c>
      <c r="H351">
        <v>0</v>
      </c>
      <c r="I351">
        <v>100</v>
      </c>
      <c r="J351">
        <v>0</v>
      </c>
      <c r="K351">
        <v>100</v>
      </c>
      <c r="L351">
        <v>100</v>
      </c>
      <c r="M351">
        <v>0</v>
      </c>
      <c r="N351">
        <v>0</v>
      </c>
      <c r="O351">
        <v>100</v>
      </c>
      <c r="P351">
        <v>0</v>
      </c>
      <c r="Q351">
        <v>0</v>
      </c>
      <c r="R351">
        <v>0</v>
      </c>
      <c r="S351">
        <v>0</v>
      </c>
      <c r="T351">
        <v>100</v>
      </c>
      <c r="U351">
        <v>100</v>
      </c>
      <c r="V351">
        <v>0</v>
      </c>
      <c r="W351">
        <v>100</v>
      </c>
      <c r="X351">
        <f>VLOOKUP(E351,'Transform table'!A:B,2,0)</f>
        <v>0</v>
      </c>
      <c r="Y351" t="e">
        <f>VLOOKUP(F351,'Transform table'!A:B,2,0)</f>
        <v>#N/A</v>
      </c>
      <c r="Z351" t="e">
        <f t="shared" si="5"/>
        <v>#N/A</v>
      </c>
      <c r="AA351" t="e">
        <f>VLOOKUP($Z351,'oddspedia-matches'!$A:$AD,AA$2,0)</f>
        <v>#N/A</v>
      </c>
      <c r="AB351" t="e">
        <f>VLOOKUP($Z351,'oddspedia-matches'!$A:$AD,AB$2,0)</f>
        <v>#N/A</v>
      </c>
      <c r="AC351" t="e">
        <f>VLOOKUP($Z351,'oddspedia-matches'!$A:$AD,AC$2,0)</f>
        <v>#N/A</v>
      </c>
      <c r="AD351" t="e">
        <f>VLOOKUP($Z351,'oddspedia-matches'!$A:$AD,AD$2,0)</f>
        <v>#N/A</v>
      </c>
      <c r="AE351" t="e">
        <f>VLOOKUP($Z351,'oddspedia-matches'!$A:$AD,AE$2,0)</f>
        <v>#N/A</v>
      </c>
      <c r="AF351" t="e">
        <f>VLOOKUP($Z351,'oddspedia-matches'!$A:$AD,AF$2,0)</f>
        <v>#N/A</v>
      </c>
      <c r="AG351" t="e">
        <f>VLOOKUP($Z351,'oddspedia-matches'!$A:$AD,AG$2,0)</f>
        <v>#N/A</v>
      </c>
      <c r="AH351" t="e">
        <f>VLOOKUP($Z351,'oddspedia-matches'!$A:$AD,AH$2,0)</f>
        <v>#N/A</v>
      </c>
      <c r="AI351" t="e">
        <f>VLOOKUP($Z351,'oddspedia-matches'!$A:$AD,AI$2,0)</f>
        <v>#N/A</v>
      </c>
      <c r="AJ351" t="e">
        <f>VLOOKUP($Z351,'oddspedia-matches'!$A:$AD,AJ$2,0)</f>
        <v>#N/A</v>
      </c>
      <c r="AK351" t="e">
        <f>VLOOKUP($Z351,'oddspedia-matches'!$A:$AD,AK$2,0)</f>
        <v>#N/A</v>
      </c>
      <c r="AL351" t="e">
        <f>VLOOKUP($Z351,'oddspedia-matches'!$A:$AD,AL$2,0)</f>
        <v>#N/A</v>
      </c>
      <c r="AM351" t="e">
        <f>VLOOKUP($Z351,'oddspedia-matches'!$A:$AD,AM$2,0)</f>
        <v>#N/A</v>
      </c>
      <c r="AN351" t="e">
        <f>VLOOKUP($Z351,'oddspedia-matches'!$A:$AD,AN$2,0)</f>
        <v>#N/A</v>
      </c>
      <c r="AO351" t="e">
        <f>VLOOKUP($Z351,'oddspedia-matches'!$A:$AD,AO$2,0)</f>
        <v>#N/A</v>
      </c>
      <c r="AP351" t="e">
        <f>VLOOKUP($Z351,'oddspedia-matches'!$A:$AD,AP$2,0)</f>
        <v>#N/A</v>
      </c>
      <c r="AQ351" t="e">
        <f>VLOOKUP($Z351,'oddspedia-matches'!$A:$AD,AQ$2,0)</f>
        <v>#N/A</v>
      </c>
    </row>
    <row r="352" spans="2:43" x14ac:dyDescent="0.2">
      <c r="B352" t="s">
        <v>474</v>
      </c>
      <c r="C352" t="s">
        <v>930</v>
      </c>
      <c r="D352" s="25">
        <v>0.375</v>
      </c>
      <c r="E352" t="s">
        <v>244</v>
      </c>
      <c r="F352" t="s">
        <v>251</v>
      </c>
      <c r="H352">
        <v>42.1</v>
      </c>
      <c r="I352">
        <v>27.8</v>
      </c>
      <c r="J352">
        <v>30.1</v>
      </c>
      <c r="K352">
        <v>69.900000000000006</v>
      </c>
      <c r="L352">
        <v>57.9</v>
      </c>
      <c r="M352">
        <v>72.2</v>
      </c>
      <c r="N352">
        <v>28.9</v>
      </c>
      <c r="O352">
        <v>39.6</v>
      </c>
      <c r="P352">
        <v>31.5</v>
      </c>
      <c r="Q352">
        <v>75.900000000000006</v>
      </c>
      <c r="R352">
        <v>78.3</v>
      </c>
      <c r="S352">
        <v>53.4</v>
      </c>
      <c r="T352">
        <v>46.6</v>
      </c>
      <c r="U352">
        <v>52.3</v>
      </c>
      <c r="V352">
        <v>58</v>
      </c>
      <c r="W352">
        <v>42</v>
      </c>
      <c r="X352" t="str">
        <f>VLOOKUP(E352,'Transform table'!A:B,2,0)</f>
        <v>Ilves</v>
      </c>
      <c r="Y352" t="str">
        <f>VLOOKUP(F352,'Transform table'!A:B,2,0)</f>
        <v>FC Lahti</v>
      </c>
      <c r="Z352" t="str">
        <f t="shared" si="5"/>
        <v>26/07/2026IlvesFC Lahti</v>
      </c>
      <c r="AA352" t="e">
        <f>VLOOKUP($Z352,'oddspedia-matches'!$A:$AD,AA$2,0)</f>
        <v>#N/A</v>
      </c>
      <c r="AB352" t="e">
        <f>VLOOKUP($Z352,'oddspedia-matches'!$A:$AD,AB$2,0)</f>
        <v>#N/A</v>
      </c>
      <c r="AC352" t="e">
        <f>VLOOKUP($Z352,'oddspedia-matches'!$A:$AD,AC$2,0)</f>
        <v>#N/A</v>
      </c>
      <c r="AD352" t="e">
        <f>VLOOKUP($Z352,'oddspedia-matches'!$A:$AD,AD$2,0)</f>
        <v>#N/A</v>
      </c>
      <c r="AE352" t="e">
        <f>VLOOKUP($Z352,'oddspedia-matches'!$A:$AD,AE$2,0)</f>
        <v>#N/A</v>
      </c>
      <c r="AF352" t="e">
        <f>VLOOKUP($Z352,'oddspedia-matches'!$A:$AD,AF$2,0)</f>
        <v>#N/A</v>
      </c>
      <c r="AG352" t="e">
        <f>VLOOKUP($Z352,'oddspedia-matches'!$A:$AD,AG$2,0)</f>
        <v>#N/A</v>
      </c>
      <c r="AH352" t="e">
        <f>VLOOKUP($Z352,'oddspedia-matches'!$A:$AD,AH$2,0)</f>
        <v>#N/A</v>
      </c>
      <c r="AI352" t="e">
        <f>VLOOKUP($Z352,'oddspedia-matches'!$A:$AD,AI$2,0)</f>
        <v>#N/A</v>
      </c>
      <c r="AJ352" t="e">
        <f>VLOOKUP($Z352,'oddspedia-matches'!$A:$AD,AJ$2,0)</f>
        <v>#N/A</v>
      </c>
      <c r="AK352" t="e">
        <f>VLOOKUP($Z352,'oddspedia-matches'!$A:$AD,AK$2,0)</f>
        <v>#N/A</v>
      </c>
      <c r="AL352" t="e">
        <f>VLOOKUP($Z352,'oddspedia-matches'!$A:$AD,AL$2,0)</f>
        <v>#N/A</v>
      </c>
      <c r="AM352" t="e">
        <f>VLOOKUP($Z352,'oddspedia-matches'!$A:$AD,AM$2,0)</f>
        <v>#N/A</v>
      </c>
      <c r="AN352" t="e">
        <f>VLOOKUP($Z352,'oddspedia-matches'!$A:$AD,AN$2,0)</f>
        <v>#N/A</v>
      </c>
      <c r="AO352" t="e">
        <f>VLOOKUP($Z352,'oddspedia-matches'!$A:$AD,AO$2,0)</f>
        <v>#N/A</v>
      </c>
      <c r="AP352" t="e">
        <f>VLOOKUP($Z352,'oddspedia-matches'!$A:$AD,AP$2,0)</f>
        <v>#N/A</v>
      </c>
      <c r="AQ352" t="e">
        <f>VLOOKUP($Z352,'oddspedia-matches'!$A:$AD,AQ$2,0)</f>
        <v>#N/A</v>
      </c>
    </row>
    <row r="353" spans="2:43" x14ac:dyDescent="0.2">
      <c r="B353" t="s">
        <v>474</v>
      </c>
      <c r="C353" t="s">
        <v>930</v>
      </c>
      <c r="D353" s="25">
        <v>0.375</v>
      </c>
      <c r="E353" t="s">
        <v>988</v>
      </c>
      <c r="F353" t="s">
        <v>989</v>
      </c>
      <c r="H353">
        <v>50</v>
      </c>
      <c r="I353">
        <v>27.6</v>
      </c>
      <c r="J353">
        <v>22.3</v>
      </c>
      <c r="K353">
        <v>77.7</v>
      </c>
      <c r="L353">
        <v>50</v>
      </c>
      <c r="M353">
        <v>72.400000000000006</v>
      </c>
      <c r="N353">
        <v>35.5</v>
      </c>
      <c r="O353">
        <v>43.7</v>
      </c>
      <c r="P353">
        <v>20.7</v>
      </c>
      <c r="Q353">
        <v>68.400000000000006</v>
      </c>
      <c r="R353">
        <v>73.900000000000006</v>
      </c>
      <c r="S353">
        <v>47.4</v>
      </c>
      <c r="T353">
        <v>52.6</v>
      </c>
      <c r="U353">
        <v>59</v>
      </c>
      <c r="V353">
        <v>51.1</v>
      </c>
      <c r="W353">
        <v>48.9</v>
      </c>
      <c r="X353" t="str">
        <f>VLOOKUP(E353,'Transform table'!A:B,2,0)</f>
        <v>Inter Turku</v>
      </c>
      <c r="Y353" t="e">
        <f>VLOOKUP(F353,'Transform table'!A:B,2,0)</f>
        <v>#N/A</v>
      </c>
      <c r="Z353" t="e">
        <f t="shared" si="5"/>
        <v>#N/A</v>
      </c>
      <c r="AA353" t="e">
        <f>VLOOKUP($Z353,'oddspedia-matches'!$A:$AD,AA$2,0)</f>
        <v>#N/A</v>
      </c>
      <c r="AB353" t="e">
        <f>VLOOKUP($Z353,'oddspedia-matches'!$A:$AD,AB$2,0)</f>
        <v>#N/A</v>
      </c>
      <c r="AC353" t="e">
        <f>VLOOKUP($Z353,'oddspedia-matches'!$A:$AD,AC$2,0)</f>
        <v>#N/A</v>
      </c>
      <c r="AD353" t="e">
        <f>VLOOKUP($Z353,'oddspedia-matches'!$A:$AD,AD$2,0)</f>
        <v>#N/A</v>
      </c>
      <c r="AE353" t="e">
        <f>VLOOKUP($Z353,'oddspedia-matches'!$A:$AD,AE$2,0)</f>
        <v>#N/A</v>
      </c>
      <c r="AF353" t="e">
        <f>VLOOKUP($Z353,'oddspedia-matches'!$A:$AD,AF$2,0)</f>
        <v>#N/A</v>
      </c>
      <c r="AG353" t="e">
        <f>VLOOKUP($Z353,'oddspedia-matches'!$A:$AD,AG$2,0)</f>
        <v>#N/A</v>
      </c>
      <c r="AH353" t="e">
        <f>VLOOKUP($Z353,'oddspedia-matches'!$A:$AD,AH$2,0)</f>
        <v>#N/A</v>
      </c>
      <c r="AI353" t="e">
        <f>VLOOKUP($Z353,'oddspedia-matches'!$A:$AD,AI$2,0)</f>
        <v>#N/A</v>
      </c>
      <c r="AJ353" t="e">
        <f>VLOOKUP($Z353,'oddspedia-matches'!$A:$AD,AJ$2,0)</f>
        <v>#N/A</v>
      </c>
      <c r="AK353" t="e">
        <f>VLOOKUP($Z353,'oddspedia-matches'!$A:$AD,AK$2,0)</f>
        <v>#N/A</v>
      </c>
      <c r="AL353" t="e">
        <f>VLOOKUP($Z353,'oddspedia-matches'!$A:$AD,AL$2,0)</f>
        <v>#N/A</v>
      </c>
      <c r="AM353" t="e">
        <f>VLOOKUP($Z353,'oddspedia-matches'!$A:$AD,AM$2,0)</f>
        <v>#N/A</v>
      </c>
      <c r="AN353" t="e">
        <f>VLOOKUP($Z353,'oddspedia-matches'!$A:$AD,AN$2,0)</f>
        <v>#N/A</v>
      </c>
      <c r="AO353" t="e">
        <f>VLOOKUP($Z353,'oddspedia-matches'!$A:$AD,AO$2,0)</f>
        <v>#N/A</v>
      </c>
      <c r="AP353" t="e">
        <f>VLOOKUP($Z353,'oddspedia-matches'!$A:$AD,AP$2,0)</f>
        <v>#N/A</v>
      </c>
      <c r="AQ353" t="e">
        <f>VLOOKUP($Z353,'oddspedia-matches'!$A:$AD,AQ$2,0)</f>
        <v>#N/A</v>
      </c>
    </row>
    <row r="354" spans="2:43" x14ac:dyDescent="0.2">
      <c r="B354" t="s">
        <v>990</v>
      </c>
      <c r="C354" t="s">
        <v>930</v>
      </c>
      <c r="D354" s="25">
        <v>0.375</v>
      </c>
      <c r="E354" t="s">
        <v>252</v>
      </c>
      <c r="F354" t="s">
        <v>991</v>
      </c>
      <c r="H354">
        <v>19.399999999999999</v>
      </c>
      <c r="I354">
        <v>25.8</v>
      </c>
      <c r="J354">
        <v>54.7</v>
      </c>
      <c r="K354">
        <v>45.3</v>
      </c>
      <c r="L354">
        <v>80.599999999999994</v>
      </c>
      <c r="M354">
        <v>74.2</v>
      </c>
      <c r="N354">
        <v>19.3</v>
      </c>
      <c r="O354">
        <v>36.6</v>
      </c>
      <c r="P354">
        <v>44.1</v>
      </c>
      <c r="Q354">
        <v>78.8</v>
      </c>
      <c r="R354">
        <v>83</v>
      </c>
      <c r="S354">
        <v>60.7</v>
      </c>
      <c r="T354">
        <v>39.299999999999997</v>
      </c>
      <c r="U354">
        <v>46.3</v>
      </c>
      <c r="V354">
        <v>59.9</v>
      </c>
      <c r="W354">
        <v>40.1</v>
      </c>
      <c r="X354" t="str">
        <f>VLOOKUP(E354,'Transform table'!A:B,2,0)</f>
        <v>SK Super Nova</v>
      </c>
      <c r="Y354" t="e">
        <f>VLOOKUP(F354,'Transform table'!A:B,2,0)</f>
        <v>#N/A</v>
      </c>
      <c r="Z354" t="e">
        <f t="shared" si="5"/>
        <v>#N/A</v>
      </c>
      <c r="AA354" t="e">
        <f>VLOOKUP($Z354,'oddspedia-matches'!$A:$AD,AA$2,0)</f>
        <v>#N/A</v>
      </c>
      <c r="AB354" t="e">
        <f>VLOOKUP($Z354,'oddspedia-matches'!$A:$AD,AB$2,0)</f>
        <v>#N/A</v>
      </c>
      <c r="AC354" t="e">
        <f>VLOOKUP($Z354,'oddspedia-matches'!$A:$AD,AC$2,0)</f>
        <v>#N/A</v>
      </c>
      <c r="AD354" t="e">
        <f>VLOOKUP($Z354,'oddspedia-matches'!$A:$AD,AD$2,0)</f>
        <v>#N/A</v>
      </c>
      <c r="AE354" t="e">
        <f>VLOOKUP($Z354,'oddspedia-matches'!$A:$AD,AE$2,0)</f>
        <v>#N/A</v>
      </c>
      <c r="AF354" t="e">
        <f>VLOOKUP($Z354,'oddspedia-matches'!$A:$AD,AF$2,0)</f>
        <v>#N/A</v>
      </c>
      <c r="AG354" t="e">
        <f>VLOOKUP($Z354,'oddspedia-matches'!$A:$AD,AG$2,0)</f>
        <v>#N/A</v>
      </c>
      <c r="AH354" t="e">
        <f>VLOOKUP($Z354,'oddspedia-matches'!$A:$AD,AH$2,0)</f>
        <v>#N/A</v>
      </c>
      <c r="AI354" t="e">
        <f>VLOOKUP($Z354,'oddspedia-matches'!$A:$AD,AI$2,0)</f>
        <v>#N/A</v>
      </c>
      <c r="AJ354" t="e">
        <f>VLOOKUP($Z354,'oddspedia-matches'!$A:$AD,AJ$2,0)</f>
        <v>#N/A</v>
      </c>
      <c r="AK354" t="e">
        <f>VLOOKUP($Z354,'oddspedia-matches'!$A:$AD,AK$2,0)</f>
        <v>#N/A</v>
      </c>
      <c r="AL354" t="e">
        <f>VLOOKUP($Z354,'oddspedia-matches'!$A:$AD,AL$2,0)</f>
        <v>#N/A</v>
      </c>
      <c r="AM354" t="e">
        <f>VLOOKUP($Z354,'oddspedia-matches'!$A:$AD,AM$2,0)</f>
        <v>#N/A</v>
      </c>
      <c r="AN354" t="e">
        <f>VLOOKUP($Z354,'oddspedia-matches'!$A:$AD,AN$2,0)</f>
        <v>#N/A</v>
      </c>
      <c r="AO354" t="e">
        <f>VLOOKUP($Z354,'oddspedia-matches'!$A:$AD,AO$2,0)</f>
        <v>#N/A</v>
      </c>
      <c r="AP354" t="e">
        <f>VLOOKUP($Z354,'oddspedia-matches'!$A:$AD,AP$2,0)</f>
        <v>#N/A</v>
      </c>
      <c r="AQ354" t="e">
        <f>VLOOKUP($Z354,'oddspedia-matches'!$A:$AD,AQ$2,0)</f>
        <v>#N/A</v>
      </c>
    </row>
    <row r="355" spans="2:43" x14ac:dyDescent="0.2">
      <c r="B355" t="s">
        <v>450</v>
      </c>
      <c r="C355" t="s">
        <v>930</v>
      </c>
      <c r="D355" s="25">
        <v>0.375</v>
      </c>
      <c r="E355" t="s">
        <v>992</v>
      </c>
      <c r="F355" t="s">
        <v>993</v>
      </c>
      <c r="H355">
        <v>34.6</v>
      </c>
      <c r="I355">
        <v>27.7</v>
      </c>
      <c r="J355">
        <v>37.700000000000003</v>
      </c>
      <c r="K355">
        <v>62.3</v>
      </c>
      <c r="L355">
        <v>65.400000000000006</v>
      </c>
      <c r="M355">
        <v>72.3</v>
      </c>
      <c r="N355">
        <v>24.3</v>
      </c>
      <c r="O355">
        <v>47.8</v>
      </c>
      <c r="P355">
        <v>27.9</v>
      </c>
      <c r="Q355">
        <v>63.2</v>
      </c>
      <c r="R355">
        <v>80.3</v>
      </c>
      <c r="S355">
        <v>56.3</v>
      </c>
      <c r="T355">
        <v>43.7</v>
      </c>
      <c r="U355">
        <v>49.3</v>
      </c>
      <c r="V355">
        <v>60.6</v>
      </c>
      <c r="W355">
        <v>39.4</v>
      </c>
      <c r="X355" t="str">
        <f>VLOOKUP(E355,'Transform table'!A:B,2,0)</f>
        <v>VMFD Zalgiris</v>
      </c>
      <c r="Y355" t="e">
        <f>VLOOKUP(F355,'Transform table'!A:B,2,0)</f>
        <v>#N/A</v>
      </c>
      <c r="Z355" t="e">
        <f t="shared" si="5"/>
        <v>#N/A</v>
      </c>
      <c r="AA355" t="e">
        <f>VLOOKUP($Z355,'oddspedia-matches'!$A:$AD,AA$2,0)</f>
        <v>#N/A</v>
      </c>
      <c r="AB355" t="e">
        <f>VLOOKUP($Z355,'oddspedia-matches'!$A:$AD,AB$2,0)</f>
        <v>#N/A</v>
      </c>
      <c r="AC355" t="e">
        <f>VLOOKUP($Z355,'oddspedia-matches'!$A:$AD,AC$2,0)</f>
        <v>#N/A</v>
      </c>
      <c r="AD355" t="e">
        <f>VLOOKUP($Z355,'oddspedia-matches'!$A:$AD,AD$2,0)</f>
        <v>#N/A</v>
      </c>
      <c r="AE355" t="e">
        <f>VLOOKUP($Z355,'oddspedia-matches'!$A:$AD,AE$2,0)</f>
        <v>#N/A</v>
      </c>
      <c r="AF355" t="e">
        <f>VLOOKUP($Z355,'oddspedia-matches'!$A:$AD,AF$2,0)</f>
        <v>#N/A</v>
      </c>
      <c r="AG355" t="e">
        <f>VLOOKUP($Z355,'oddspedia-matches'!$A:$AD,AG$2,0)</f>
        <v>#N/A</v>
      </c>
      <c r="AH355" t="e">
        <f>VLOOKUP($Z355,'oddspedia-matches'!$A:$AD,AH$2,0)</f>
        <v>#N/A</v>
      </c>
      <c r="AI355" t="e">
        <f>VLOOKUP($Z355,'oddspedia-matches'!$A:$AD,AI$2,0)</f>
        <v>#N/A</v>
      </c>
      <c r="AJ355" t="e">
        <f>VLOOKUP($Z355,'oddspedia-matches'!$A:$AD,AJ$2,0)</f>
        <v>#N/A</v>
      </c>
      <c r="AK355" t="e">
        <f>VLOOKUP($Z355,'oddspedia-matches'!$A:$AD,AK$2,0)</f>
        <v>#N/A</v>
      </c>
      <c r="AL355" t="e">
        <f>VLOOKUP($Z355,'oddspedia-matches'!$A:$AD,AL$2,0)</f>
        <v>#N/A</v>
      </c>
      <c r="AM355" t="e">
        <f>VLOOKUP($Z355,'oddspedia-matches'!$A:$AD,AM$2,0)</f>
        <v>#N/A</v>
      </c>
      <c r="AN355" t="e">
        <f>VLOOKUP($Z355,'oddspedia-matches'!$A:$AD,AN$2,0)</f>
        <v>#N/A</v>
      </c>
      <c r="AO355" t="e">
        <f>VLOOKUP($Z355,'oddspedia-matches'!$A:$AD,AO$2,0)</f>
        <v>#N/A</v>
      </c>
      <c r="AP355" t="e">
        <f>VLOOKUP($Z355,'oddspedia-matches'!$A:$AD,AP$2,0)</f>
        <v>#N/A</v>
      </c>
      <c r="AQ355" t="e">
        <f>VLOOKUP($Z355,'oddspedia-matches'!$A:$AD,AQ$2,0)</f>
        <v>#N/A</v>
      </c>
    </row>
    <row r="356" spans="2:43" x14ac:dyDescent="0.2">
      <c r="B356" t="s">
        <v>947</v>
      </c>
      <c r="C356" t="s">
        <v>930</v>
      </c>
      <c r="D356" s="25">
        <v>0.375</v>
      </c>
      <c r="E356" t="s">
        <v>994</v>
      </c>
      <c r="F356" t="s">
        <v>995</v>
      </c>
      <c r="H356">
        <v>68.7</v>
      </c>
      <c r="I356">
        <v>22.5</v>
      </c>
      <c r="J356">
        <v>8.8000000000000007</v>
      </c>
      <c r="K356">
        <v>91.2</v>
      </c>
      <c r="L356">
        <v>31.3</v>
      </c>
      <c r="M356">
        <v>77.5</v>
      </c>
      <c r="N356">
        <v>43.8</v>
      </c>
      <c r="O356">
        <v>37.700000000000003</v>
      </c>
      <c r="P356">
        <v>18.5</v>
      </c>
      <c r="Q356">
        <v>76.2</v>
      </c>
      <c r="R356">
        <v>70.2</v>
      </c>
      <c r="S356">
        <v>43.3</v>
      </c>
      <c r="T356">
        <v>56.7</v>
      </c>
      <c r="U356">
        <v>67.2</v>
      </c>
      <c r="V356">
        <v>35.6</v>
      </c>
      <c r="W356">
        <v>64.400000000000006</v>
      </c>
      <c r="X356" t="str">
        <f>VLOOKUP(E356,'Transform table'!A:B,2,0)</f>
        <v>FC Ufa</v>
      </c>
      <c r="Y356" t="e">
        <f>VLOOKUP(F356,'Transform table'!A:B,2,0)</f>
        <v>#N/A</v>
      </c>
      <c r="Z356" t="e">
        <f t="shared" si="5"/>
        <v>#N/A</v>
      </c>
      <c r="AA356" t="e">
        <f>VLOOKUP($Z356,'oddspedia-matches'!$A:$AD,AA$2,0)</f>
        <v>#N/A</v>
      </c>
      <c r="AB356" t="e">
        <f>VLOOKUP($Z356,'oddspedia-matches'!$A:$AD,AB$2,0)</f>
        <v>#N/A</v>
      </c>
      <c r="AC356" t="e">
        <f>VLOOKUP($Z356,'oddspedia-matches'!$A:$AD,AC$2,0)</f>
        <v>#N/A</v>
      </c>
      <c r="AD356" t="e">
        <f>VLOOKUP($Z356,'oddspedia-matches'!$A:$AD,AD$2,0)</f>
        <v>#N/A</v>
      </c>
      <c r="AE356" t="e">
        <f>VLOOKUP($Z356,'oddspedia-matches'!$A:$AD,AE$2,0)</f>
        <v>#N/A</v>
      </c>
      <c r="AF356" t="e">
        <f>VLOOKUP($Z356,'oddspedia-matches'!$A:$AD,AF$2,0)</f>
        <v>#N/A</v>
      </c>
      <c r="AG356" t="e">
        <f>VLOOKUP($Z356,'oddspedia-matches'!$A:$AD,AG$2,0)</f>
        <v>#N/A</v>
      </c>
      <c r="AH356" t="e">
        <f>VLOOKUP($Z356,'oddspedia-matches'!$A:$AD,AH$2,0)</f>
        <v>#N/A</v>
      </c>
      <c r="AI356" t="e">
        <f>VLOOKUP($Z356,'oddspedia-matches'!$A:$AD,AI$2,0)</f>
        <v>#N/A</v>
      </c>
      <c r="AJ356" t="e">
        <f>VLOOKUP($Z356,'oddspedia-matches'!$A:$AD,AJ$2,0)</f>
        <v>#N/A</v>
      </c>
      <c r="AK356" t="e">
        <f>VLOOKUP($Z356,'oddspedia-matches'!$A:$AD,AK$2,0)</f>
        <v>#N/A</v>
      </c>
      <c r="AL356" t="e">
        <f>VLOOKUP($Z356,'oddspedia-matches'!$A:$AD,AL$2,0)</f>
        <v>#N/A</v>
      </c>
      <c r="AM356" t="e">
        <f>VLOOKUP($Z356,'oddspedia-matches'!$A:$AD,AM$2,0)</f>
        <v>#N/A</v>
      </c>
      <c r="AN356" t="e">
        <f>VLOOKUP($Z356,'oddspedia-matches'!$A:$AD,AN$2,0)</f>
        <v>#N/A</v>
      </c>
      <c r="AO356" t="e">
        <f>VLOOKUP($Z356,'oddspedia-matches'!$A:$AD,AO$2,0)</f>
        <v>#N/A</v>
      </c>
      <c r="AP356" t="e">
        <f>VLOOKUP($Z356,'oddspedia-matches'!$A:$AD,AP$2,0)</f>
        <v>#N/A</v>
      </c>
      <c r="AQ356" t="e">
        <f>VLOOKUP($Z356,'oddspedia-matches'!$A:$AD,AQ$2,0)</f>
        <v>#N/A</v>
      </c>
    </row>
    <row r="357" spans="2:43" x14ac:dyDescent="0.2">
      <c r="B357" t="s">
        <v>476</v>
      </c>
      <c r="C357" t="s">
        <v>930</v>
      </c>
      <c r="D357" s="25">
        <v>0.375</v>
      </c>
      <c r="E357" t="s">
        <v>996</v>
      </c>
      <c r="F357" t="s">
        <v>997</v>
      </c>
      <c r="H357">
        <v>31.9</v>
      </c>
      <c r="I357">
        <v>27.8</v>
      </c>
      <c r="J357">
        <v>40.299999999999997</v>
      </c>
      <c r="K357">
        <v>59.7</v>
      </c>
      <c r="L357">
        <v>68.099999999999994</v>
      </c>
      <c r="M357">
        <v>72.2</v>
      </c>
      <c r="N357">
        <v>25.4</v>
      </c>
      <c r="O357">
        <v>44.1</v>
      </c>
      <c r="P357">
        <v>30.5</v>
      </c>
      <c r="Q357">
        <v>68.8</v>
      </c>
      <c r="R357">
        <v>80.099999999999994</v>
      </c>
      <c r="S357">
        <v>56</v>
      </c>
      <c r="T357">
        <v>44</v>
      </c>
      <c r="U357">
        <v>49.7</v>
      </c>
      <c r="V357">
        <v>60.2</v>
      </c>
      <c r="W357">
        <v>39.799999999999997</v>
      </c>
      <c r="X357" t="str">
        <f>VLOOKUP(E357,'Transform table'!A:B,2,0)</f>
        <v>Brommapojkarna U19</v>
      </c>
      <c r="Y357" t="e">
        <f>VLOOKUP(F357,'Transform table'!A:B,2,0)</f>
        <v>#N/A</v>
      </c>
      <c r="Z357" t="e">
        <f t="shared" si="5"/>
        <v>#N/A</v>
      </c>
      <c r="AA357" t="e">
        <f>VLOOKUP($Z357,'oddspedia-matches'!$A:$AD,AA$2,0)</f>
        <v>#N/A</v>
      </c>
      <c r="AB357" t="e">
        <f>VLOOKUP($Z357,'oddspedia-matches'!$A:$AD,AB$2,0)</f>
        <v>#N/A</v>
      </c>
      <c r="AC357" t="e">
        <f>VLOOKUP($Z357,'oddspedia-matches'!$A:$AD,AC$2,0)</f>
        <v>#N/A</v>
      </c>
      <c r="AD357" t="e">
        <f>VLOOKUP($Z357,'oddspedia-matches'!$A:$AD,AD$2,0)</f>
        <v>#N/A</v>
      </c>
      <c r="AE357" t="e">
        <f>VLOOKUP($Z357,'oddspedia-matches'!$A:$AD,AE$2,0)</f>
        <v>#N/A</v>
      </c>
      <c r="AF357" t="e">
        <f>VLOOKUP($Z357,'oddspedia-matches'!$A:$AD,AF$2,0)</f>
        <v>#N/A</v>
      </c>
      <c r="AG357" t="e">
        <f>VLOOKUP($Z357,'oddspedia-matches'!$A:$AD,AG$2,0)</f>
        <v>#N/A</v>
      </c>
      <c r="AH357" t="e">
        <f>VLOOKUP($Z357,'oddspedia-matches'!$A:$AD,AH$2,0)</f>
        <v>#N/A</v>
      </c>
      <c r="AI357" t="e">
        <f>VLOOKUP($Z357,'oddspedia-matches'!$A:$AD,AI$2,0)</f>
        <v>#N/A</v>
      </c>
      <c r="AJ357" t="e">
        <f>VLOOKUP($Z357,'oddspedia-matches'!$A:$AD,AJ$2,0)</f>
        <v>#N/A</v>
      </c>
      <c r="AK357" t="e">
        <f>VLOOKUP($Z357,'oddspedia-matches'!$A:$AD,AK$2,0)</f>
        <v>#N/A</v>
      </c>
      <c r="AL357" t="e">
        <f>VLOOKUP($Z357,'oddspedia-matches'!$A:$AD,AL$2,0)</f>
        <v>#N/A</v>
      </c>
      <c r="AM357" t="e">
        <f>VLOOKUP($Z357,'oddspedia-matches'!$A:$AD,AM$2,0)</f>
        <v>#N/A</v>
      </c>
      <c r="AN357" t="e">
        <f>VLOOKUP($Z357,'oddspedia-matches'!$A:$AD,AN$2,0)</f>
        <v>#N/A</v>
      </c>
      <c r="AO357" t="e">
        <f>VLOOKUP($Z357,'oddspedia-matches'!$A:$AD,AO$2,0)</f>
        <v>#N/A</v>
      </c>
      <c r="AP357" t="e">
        <f>VLOOKUP($Z357,'oddspedia-matches'!$A:$AD,AP$2,0)</f>
        <v>#N/A</v>
      </c>
      <c r="AQ357" t="e">
        <f>VLOOKUP($Z357,'oddspedia-matches'!$A:$AD,AQ$2,0)</f>
        <v>#N/A</v>
      </c>
    </row>
    <row r="358" spans="2:43" x14ac:dyDescent="0.2">
      <c r="B358" t="s">
        <v>476</v>
      </c>
      <c r="C358" t="s">
        <v>930</v>
      </c>
      <c r="D358" s="25">
        <v>0.375</v>
      </c>
      <c r="E358" t="s">
        <v>998</v>
      </c>
      <c r="F358" t="s">
        <v>999</v>
      </c>
      <c r="H358">
        <v>65.5</v>
      </c>
      <c r="I358">
        <v>22.5</v>
      </c>
      <c r="J358">
        <v>12</v>
      </c>
      <c r="K358">
        <v>88</v>
      </c>
      <c r="L358">
        <v>34.5</v>
      </c>
      <c r="M358">
        <v>77.5</v>
      </c>
      <c r="N358">
        <v>50.7</v>
      </c>
      <c r="O358">
        <v>33.299999999999997</v>
      </c>
      <c r="P358">
        <v>16</v>
      </c>
      <c r="Q358">
        <v>81</v>
      </c>
      <c r="R358">
        <v>90.6</v>
      </c>
      <c r="S358">
        <v>74.599999999999994</v>
      </c>
      <c r="T358">
        <v>25.4</v>
      </c>
      <c r="U358">
        <v>33.299999999999997</v>
      </c>
      <c r="V358">
        <v>65.400000000000006</v>
      </c>
      <c r="W358">
        <v>34.6</v>
      </c>
      <c r="X358" t="str">
        <f>VLOOKUP(E358,'Transform table'!A:B,2,0)</f>
        <v>Sirnitz</v>
      </c>
      <c r="Y358" t="e">
        <f>VLOOKUP(F358,'Transform table'!A:B,2,0)</f>
        <v>#N/A</v>
      </c>
      <c r="Z358" t="e">
        <f t="shared" si="5"/>
        <v>#N/A</v>
      </c>
      <c r="AA358" t="e">
        <f>VLOOKUP($Z358,'oddspedia-matches'!$A:$AD,AA$2,0)</f>
        <v>#N/A</v>
      </c>
      <c r="AB358" t="e">
        <f>VLOOKUP($Z358,'oddspedia-matches'!$A:$AD,AB$2,0)</f>
        <v>#N/A</v>
      </c>
      <c r="AC358" t="e">
        <f>VLOOKUP($Z358,'oddspedia-matches'!$A:$AD,AC$2,0)</f>
        <v>#N/A</v>
      </c>
      <c r="AD358" t="e">
        <f>VLOOKUP($Z358,'oddspedia-matches'!$A:$AD,AD$2,0)</f>
        <v>#N/A</v>
      </c>
      <c r="AE358" t="e">
        <f>VLOOKUP($Z358,'oddspedia-matches'!$A:$AD,AE$2,0)</f>
        <v>#N/A</v>
      </c>
      <c r="AF358" t="e">
        <f>VLOOKUP($Z358,'oddspedia-matches'!$A:$AD,AF$2,0)</f>
        <v>#N/A</v>
      </c>
      <c r="AG358" t="e">
        <f>VLOOKUP($Z358,'oddspedia-matches'!$A:$AD,AG$2,0)</f>
        <v>#N/A</v>
      </c>
      <c r="AH358" t="e">
        <f>VLOOKUP($Z358,'oddspedia-matches'!$A:$AD,AH$2,0)</f>
        <v>#N/A</v>
      </c>
      <c r="AI358" t="e">
        <f>VLOOKUP($Z358,'oddspedia-matches'!$A:$AD,AI$2,0)</f>
        <v>#N/A</v>
      </c>
      <c r="AJ358" t="e">
        <f>VLOOKUP($Z358,'oddspedia-matches'!$A:$AD,AJ$2,0)</f>
        <v>#N/A</v>
      </c>
      <c r="AK358" t="e">
        <f>VLOOKUP($Z358,'oddspedia-matches'!$A:$AD,AK$2,0)</f>
        <v>#N/A</v>
      </c>
      <c r="AL358" t="e">
        <f>VLOOKUP($Z358,'oddspedia-matches'!$A:$AD,AL$2,0)</f>
        <v>#N/A</v>
      </c>
      <c r="AM358" t="e">
        <f>VLOOKUP($Z358,'oddspedia-matches'!$A:$AD,AM$2,0)</f>
        <v>#N/A</v>
      </c>
      <c r="AN358" t="e">
        <f>VLOOKUP($Z358,'oddspedia-matches'!$A:$AD,AN$2,0)</f>
        <v>#N/A</v>
      </c>
      <c r="AO358" t="e">
        <f>VLOOKUP($Z358,'oddspedia-matches'!$A:$AD,AO$2,0)</f>
        <v>#N/A</v>
      </c>
      <c r="AP358" t="e">
        <f>VLOOKUP($Z358,'oddspedia-matches'!$A:$AD,AP$2,0)</f>
        <v>#N/A</v>
      </c>
      <c r="AQ358" t="e">
        <f>VLOOKUP($Z358,'oddspedia-matches'!$A:$AD,AQ$2,0)</f>
        <v>#N/A</v>
      </c>
    </row>
    <row r="359" spans="2:43" x14ac:dyDescent="0.2">
      <c r="B359" t="s">
        <v>1000</v>
      </c>
      <c r="C359" t="s">
        <v>930</v>
      </c>
      <c r="D359" s="25">
        <v>0.375</v>
      </c>
      <c r="E359" t="s">
        <v>1001</v>
      </c>
      <c r="F359" t="s">
        <v>1002</v>
      </c>
      <c r="H359">
        <v>0</v>
      </c>
      <c r="I359">
        <v>100</v>
      </c>
      <c r="J359">
        <v>0</v>
      </c>
      <c r="K359">
        <v>100</v>
      </c>
      <c r="L359">
        <v>100</v>
      </c>
      <c r="M359">
        <v>0</v>
      </c>
      <c r="N359">
        <v>0</v>
      </c>
      <c r="O359">
        <v>100</v>
      </c>
      <c r="P359">
        <v>0</v>
      </c>
      <c r="Q359">
        <v>0</v>
      </c>
      <c r="R359">
        <v>0</v>
      </c>
      <c r="S359">
        <v>0</v>
      </c>
      <c r="T359">
        <v>100</v>
      </c>
      <c r="U359">
        <v>100</v>
      </c>
      <c r="V359">
        <v>0</v>
      </c>
      <c r="W359">
        <v>100</v>
      </c>
      <c r="X359">
        <f>VLOOKUP(E359,'Transform table'!A:B,2,0)</f>
        <v>0</v>
      </c>
      <c r="Y359" t="e">
        <f>VLOOKUP(F359,'Transform table'!A:B,2,0)</f>
        <v>#N/A</v>
      </c>
      <c r="Z359" t="e">
        <f t="shared" si="5"/>
        <v>#N/A</v>
      </c>
      <c r="AA359" t="e">
        <f>VLOOKUP($Z359,'oddspedia-matches'!$A:$AD,AA$2,0)</f>
        <v>#N/A</v>
      </c>
      <c r="AB359" t="e">
        <f>VLOOKUP($Z359,'oddspedia-matches'!$A:$AD,AB$2,0)</f>
        <v>#N/A</v>
      </c>
      <c r="AC359" t="e">
        <f>VLOOKUP($Z359,'oddspedia-matches'!$A:$AD,AC$2,0)</f>
        <v>#N/A</v>
      </c>
      <c r="AD359" t="e">
        <f>VLOOKUP($Z359,'oddspedia-matches'!$A:$AD,AD$2,0)</f>
        <v>#N/A</v>
      </c>
      <c r="AE359" t="e">
        <f>VLOOKUP($Z359,'oddspedia-matches'!$A:$AD,AE$2,0)</f>
        <v>#N/A</v>
      </c>
      <c r="AF359" t="e">
        <f>VLOOKUP($Z359,'oddspedia-matches'!$A:$AD,AF$2,0)</f>
        <v>#N/A</v>
      </c>
      <c r="AG359" t="e">
        <f>VLOOKUP($Z359,'oddspedia-matches'!$A:$AD,AG$2,0)</f>
        <v>#N/A</v>
      </c>
      <c r="AH359" t="e">
        <f>VLOOKUP($Z359,'oddspedia-matches'!$A:$AD,AH$2,0)</f>
        <v>#N/A</v>
      </c>
      <c r="AI359" t="e">
        <f>VLOOKUP($Z359,'oddspedia-matches'!$A:$AD,AI$2,0)</f>
        <v>#N/A</v>
      </c>
      <c r="AJ359" t="e">
        <f>VLOOKUP($Z359,'oddspedia-matches'!$A:$AD,AJ$2,0)</f>
        <v>#N/A</v>
      </c>
      <c r="AK359" t="e">
        <f>VLOOKUP($Z359,'oddspedia-matches'!$A:$AD,AK$2,0)</f>
        <v>#N/A</v>
      </c>
      <c r="AL359" t="e">
        <f>VLOOKUP($Z359,'oddspedia-matches'!$A:$AD,AL$2,0)</f>
        <v>#N/A</v>
      </c>
      <c r="AM359" t="e">
        <f>VLOOKUP($Z359,'oddspedia-matches'!$A:$AD,AM$2,0)</f>
        <v>#N/A</v>
      </c>
      <c r="AN359" t="e">
        <f>VLOOKUP($Z359,'oddspedia-matches'!$A:$AD,AN$2,0)</f>
        <v>#N/A</v>
      </c>
      <c r="AO359" t="e">
        <f>VLOOKUP($Z359,'oddspedia-matches'!$A:$AD,AO$2,0)</f>
        <v>#N/A</v>
      </c>
      <c r="AP359" t="e">
        <f>VLOOKUP($Z359,'oddspedia-matches'!$A:$AD,AP$2,0)</f>
        <v>#N/A</v>
      </c>
      <c r="AQ359" t="e">
        <f>VLOOKUP($Z359,'oddspedia-matches'!$A:$AD,AQ$2,0)</f>
        <v>#N/A</v>
      </c>
    </row>
    <row r="360" spans="2:43" x14ac:dyDescent="0.2">
      <c r="B360" t="s">
        <v>1000</v>
      </c>
      <c r="C360" t="s">
        <v>930</v>
      </c>
      <c r="D360" s="25">
        <v>0.375</v>
      </c>
      <c r="E360" t="s">
        <v>1003</v>
      </c>
      <c r="F360" t="s">
        <v>1004</v>
      </c>
      <c r="H360">
        <v>0</v>
      </c>
      <c r="I360">
        <v>100</v>
      </c>
      <c r="J360">
        <v>0</v>
      </c>
      <c r="K360">
        <v>100</v>
      </c>
      <c r="L360">
        <v>100</v>
      </c>
      <c r="M360">
        <v>0</v>
      </c>
      <c r="N360">
        <v>0</v>
      </c>
      <c r="O360">
        <v>100</v>
      </c>
      <c r="P360">
        <v>0</v>
      </c>
      <c r="Q360">
        <v>0</v>
      </c>
      <c r="R360">
        <v>0</v>
      </c>
      <c r="S360">
        <v>0</v>
      </c>
      <c r="T360">
        <v>100</v>
      </c>
      <c r="U360">
        <v>100</v>
      </c>
      <c r="V360">
        <v>0</v>
      </c>
      <c r="W360">
        <v>100</v>
      </c>
      <c r="X360">
        <f>VLOOKUP(E360,'Transform table'!A:B,2,0)</f>
        <v>0</v>
      </c>
      <c r="Y360" t="e">
        <f>VLOOKUP(F360,'Transform table'!A:B,2,0)</f>
        <v>#N/A</v>
      </c>
      <c r="Z360" t="e">
        <f t="shared" si="5"/>
        <v>#N/A</v>
      </c>
      <c r="AA360" t="e">
        <f>VLOOKUP($Z360,'oddspedia-matches'!$A:$AD,AA$2,0)</f>
        <v>#N/A</v>
      </c>
      <c r="AB360" t="e">
        <f>VLOOKUP($Z360,'oddspedia-matches'!$A:$AD,AB$2,0)</f>
        <v>#N/A</v>
      </c>
      <c r="AC360" t="e">
        <f>VLOOKUP($Z360,'oddspedia-matches'!$A:$AD,AC$2,0)</f>
        <v>#N/A</v>
      </c>
      <c r="AD360" t="e">
        <f>VLOOKUP($Z360,'oddspedia-matches'!$A:$AD,AD$2,0)</f>
        <v>#N/A</v>
      </c>
      <c r="AE360" t="e">
        <f>VLOOKUP($Z360,'oddspedia-matches'!$A:$AD,AE$2,0)</f>
        <v>#N/A</v>
      </c>
      <c r="AF360" t="e">
        <f>VLOOKUP($Z360,'oddspedia-matches'!$A:$AD,AF$2,0)</f>
        <v>#N/A</v>
      </c>
      <c r="AG360" t="e">
        <f>VLOOKUP($Z360,'oddspedia-matches'!$A:$AD,AG$2,0)</f>
        <v>#N/A</v>
      </c>
      <c r="AH360" t="e">
        <f>VLOOKUP($Z360,'oddspedia-matches'!$A:$AD,AH$2,0)</f>
        <v>#N/A</v>
      </c>
      <c r="AI360" t="e">
        <f>VLOOKUP($Z360,'oddspedia-matches'!$A:$AD,AI$2,0)</f>
        <v>#N/A</v>
      </c>
      <c r="AJ360" t="e">
        <f>VLOOKUP($Z360,'oddspedia-matches'!$A:$AD,AJ$2,0)</f>
        <v>#N/A</v>
      </c>
      <c r="AK360" t="e">
        <f>VLOOKUP($Z360,'oddspedia-matches'!$A:$AD,AK$2,0)</f>
        <v>#N/A</v>
      </c>
      <c r="AL360" t="e">
        <f>VLOOKUP($Z360,'oddspedia-matches'!$A:$AD,AL$2,0)</f>
        <v>#N/A</v>
      </c>
      <c r="AM360" t="e">
        <f>VLOOKUP($Z360,'oddspedia-matches'!$A:$AD,AM$2,0)</f>
        <v>#N/A</v>
      </c>
      <c r="AN360" t="e">
        <f>VLOOKUP($Z360,'oddspedia-matches'!$A:$AD,AN$2,0)</f>
        <v>#N/A</v>
      </c>
      <c r="AO360" t="e">
        <f>VLOOKUP($Z360,'oddspedia-matches'!$A:$AD,AO$2,0)</f>
        <v>#N/A</v>
      </c>
      <c r="AP360" t="e">
        <f>VLOOKUP($Z360,'oddspedia-matches'!$A:$AD,AP$2,0)</f>
        <v>#N/A</v>
      </c>
      <c r="AQ360" t="e">
        <f>VLOOKUP($Z360,'oddspedia-matches'!$A:$AD,AQ$2,0)</f>
        <v>#N/A</v>
      </c>
    </row>
    <row r="361" spans="2:43" x14ac:dyDescent="0.2">
      <c r="B361" t="s">
        <v>1000</v>
      </c>
      <c r="C361" t="s">
        <v>930</v>
      </c>
      <c r="D361" s="25">
        <v>0.375</v>
      </c>
      <c r="E361" t="s">
        <v>1005</v>
      </c>
      <c r="F361" t="s">
        <v>1006</v>
      </c>
      <c r="H361">
        <v>0</v>
      </c>
      <c r="I361">
        <v>100</v>
      </c>
      <c r="J361">
        <v>0</v>
      </c>
      <c r="K361">
        <v>100</v>
      </c>
      <c r="L361">
        <v>100</v>
      </c>
      <c r="M361">
        <v>0</v>
      </c>
      <c r="N361">
        <v>0</v>
      </c>
      <c r="O361">
        <v>100</v>
      </c>
      <c r="P361">
        <v>0</v>
      </c>
      <c r="Q361">
        <v>0</v>
      </c>
      <c r="R361">
        <v>0</v>
      </c>
      <c r="S361">
        <v>0</v>
      </c>
      <c r="T361">
        <v>100</v>
      </c>
      <c r="U361">
        <v>100</v>
      </c>
      <c r="V361">
        <v>0</v>
      </c>
      <c r="W361">
        <v>100</v>
      </c>
      <c r="X361">
        <f>VLOOKUP(E361,'Transform table'!A:B,2,0)</f>
        <v>0</v>
      </c>
      <c r="Y361" t="e">
        <f>VLOOKUP(F361,'Transform table'!A:B,2,0)</f>
        <v>#N/A</v>
      </c>
      <c r="Z361" t="e">
        <f t="shared" si="5"/>
        <v>#N/A</v>
      </c>
      <c r="AA361" t="e">
        <f>VLOOKUP($Z361,'oddspedia-matches'!$A:$AD,AA$2,0)</f>
        <v>#N/A</v>
      </c>
      <c r="AB361" t="e">
        <f>VLOOKUP($Z361,'oddspedia-matches'!$A:$AD,AB$2,0)</f>
        <v>#N/A</v>
      </c>
      <c r="AC361" t="e">
        <f>VLOOKUP($Z361,'oddspedia-matches'!$A:$AD,AC$2,0)</f>
        <v>#N/A</v>
      </c>
      <c r="AD361" t="e">
        <f>VLOOKUP($Z361,'oddspedia-matches'!$A:$AD,AD$2,0)</f>
        <v>#N/A</v>
      </c>
      <c r="AE361" t="e">
        <f>VLOOKUP($Z361,'oddspedia-matches'!$A:$AD,AE$2,0)</f>
        <v>#N/A</v>
      </c>
      <c r="AF361" t="e">
        <f>VLOOKUP($Z361,'oddspedia-matches'!$A:$AD,AF$2,0)</f>
        <v>#N/A</v>
      </c>
      <c r="AG361" t="e">
        <f>VLOOKUP($Z361,'oddspedia-matches'!$A:$AD,AG$2,0)</f>
        <v>#N/A</v>
      </c>
      <c r="AH361" t="e">
        <f>VLOOKUP($Z361,'oddspedia-matches'!$A:$AD,AH$2,0)</f>
        <v>#N/A</v>
      </c>
      <c r="AI361" t="e">
        <f>VLOOKUP($Z361,'oddspedia-matches'!$A:$AD,AI$2,0)</f>
        <v>#N/A</v>
      </c>
      <c r="AJ361" t="e">
        <f>VLOOKUP($Z361,'oddspedia-matches'!$A:$AD,AJ$2,0)</f>
        <v>#N/A</v>
      </c>
      <c r="AK361" t="e">
        <f>VLOOKUP($Z361,'oddspedia-matches'!$A:$AD,AK$2,0)</f>
        <v>#N/A</v>
      </c>
      <c r="AL361" t="e">
        <f>VLOOKUP($Z361,'oddspedia-matches'!$A:$AD,AL$2,0)</f>
        <v>#N/A</v>
      </c>
      <c r="AM361" t="e">
        <f>VLOOKUP($Z361,'oddspedia-matches'!$A:$AD,AM$2,0)</f>
        <v>#N/A</v>
      </c>
      <c r="AN361" t="e">
        <f>VLOOKUP($Z361,'oddspedia-matches'!$A:$AD,AN$2,0)</f>
        <v>#N/A</v>
      </c>
      <c r="AO361" t="e">
        <f>VLOOKUP($Z361,'oddspedia-matches'!$A:$AD,AO$2,0)</f>
        <v>#N/A</v>
      </c>
      <c r="AP361" t="e">
        <f>VLOOKUP($Z361,'oddspedia-matches'!$A:$AD,AP$2,0)</f>
        <v>#N/A</v>
      </c>
      <c r="AQ361" t="e">
        <f>VLOOKUP($Z361,'oddspedia-matches'!$A:$AD,AQ$2,0)</f>
        <v>#N/A</v>
      </c>
    </row>
    <row r="362" spans="2:43" x14ac:dyDescent="0.2">
      <c r="B362" t="s">
        <v>1007</v>
      </c>
      <c r="C362" t="s">
        <v>930</v>
      </c>
      <c r="D362" s="25">
        <v>0.375</v>
      </c>
      <c r="E362" t="s">
        <v>1008</v>
      </c>
      <c r="F362" t="s">
        <v>1009</v>
      </c>
      <c r="H362">
        <v>43.1</v>
      </c>
      <c r="I362">
        <v>31</v>
      </c>
      <c r="J362">
        <v>25.9</v>
      </c>
      <c r="K362">
        <v>74.099999999999994</v>
      </c>
      <c r="L362">
        <v>56.9</v>
      </c>
      <c r="M362">
        <v>69</v>
      </c>
      <c r="N362">
        <v>30</v>
      </c>
      <c r="O362">
        <v>47.9</v>
      </c>
      <c r="P362">
        <v>22.1</v>
      </c>
      <c r="Q362">
        <v>62.7</v>
      </c>
      <c r="R362">
        <v>66</v>
      </c>
      <c r="S362">
        <v>37.9</v>
      </c>
      <c r="T362">
        <v>62.1</v>
      </c>
      <c r="U362">
        <v>67.400000000000006</v>
      </c>
      <c r="V362">
        <v>45</v>
      </c>
      <c r="W362">
        <v>55</v>
      </c>
      <c r="X362" t="str">
        <f>VLOOKUP(E362,'Transform table'!A:B,2,0)</f>
        <v>Huracan DPA</v>
      </c>
      <c r="Y362" t="e">
        <f>VLOOKUP(F362,'Transform table'!A:B,2,0)</f>
        <v>#N/A</v>
      </c>
      <c r="Z362" t="e">
        <f t="shared" si="5"/>
        <v>#N/A</v>
      </c>
      <c r="AA362" t="e">
        <f>VLOOKUP($Z362,'oddspedia-matches'!$A:$AD,AA$2,0)</f>
        <v>#N/A</v>
      </c>
      <c r="AB362" t="e">
        <f>VLOOKUP($Z362,'oddspedia-matches'!$A:$AD,AB$2,0)</f>
        <v>#N/A</v>
      </c>
      <c r="AC362" t="e">
        <f>VLOOKUP($Z362,'oddspedia-matches'!$A:$AD,AC$2,0)</f>
        <v>#N/A</v>
      </c>
      <c r="AD362" t="e">
        <f>VLOOKUP($Z362,'oddspedia-matches'!$A:$AD,AD$2,0)</f>
        <v>#N/A</v>
      </c>
      <c r="AE362" t="e">
        <f>VLOOKUP($Z362,'oddspedia-matches'!$A:$AD,AE$2,0)</f>
        <v>#N/A</v>
      </c>
      <c r="AF362" t="e">
        <f>VLOOKUP($Z362,'oddspedia-matches'!$A:$AD,AF$2,0)</f>
        <v>#N/A</v>
      </c>
      <c r="AG362" t="e">
        <f>VLOOKUP($Z362,'oddspedia-matches'!$A:$AD,AG$2,0)</f>
        <v>#N/A</v>
      </c>
      <c r="AH362" t="e">
        <f>VLOOKUP($Z362,'oddspedia-matches'!$A:$AD,AH$2,0)</f>
        <v>#N/A</v>
      </c>
      <c r="AI362" t="e">
        <f>VLOOKUP($Z362,'oddspedia-matches'!$A:$AD,AI$2,0)</f>
        <v>#N/A</v>
      </c>
      <c r="AJ362" t="e">
        <f>VLOOKUP($Z362,'oddspedia-matches'!$A:$AD,AJ$2,0)</f>
        <v>#N/A</v>
      </c>
      <c r="AK362" t="e">
        <f>VLOOKUP($Z362,'oddspedia-matches'!$A:$AD,AK$2,0)</f>
        <v>#N/A</v>
      </c>
      <c r="AL362" t="e">
        <f>VLOOKUP($Z362,'oddspedia-matches'!$A:$AD,AL$2,0)</f>
        <v>#N/A</v>
      </c>
      <c r="AM362" t="e">
        <f>VLOOKUP($Z362,'oddspedia-matches'!$A:$AD,AM$2,0)</f>
        <v>#N/A</v>
      </c>
      <c r="AN362" t="e">
        <f>VLOOKUP($Z362,'oddspedia-matches'!$A:$AD,AN$2,0)</f>
        <v>#N/A</v>
      </c>
      <c r="AO362" t="e">
        <f>VLOOKUP($Z362,'oddspedia-matches'!$A:$AD,AO$2,0)</f>
        <v>#N/A</v>
      </c>
      <c r="AP362" t="e">
        <f>VLOOKUP($Z362,'oddspedia-matches'!$A:$AD,AP$2,0)</f>
        <v>#N/A</v>
      </c>
      <c r="AQ362" t="e">
        <f>VLOOKUP($Z362,'oddspedia-matches'!$A:$AD,AQ$2,0)</f>
        <v>#N/A</v>
      </c>
    </row>
    <row r="363" spans="2:43" x14ac:dyDescent="0.2">
      <c r="B363" t="s">
        <v>465</v>
      </c>
      <c r="C363" t="s">
        <v>930</v>
      </c>
      <c r="D363" s="25">
        <v>0.39583333333333331</v>
      </c>
      <c r="E363" t="s">
        <v>1010</v>
      </c>
      <c r="F363" t="s">
        <v>1011</v>
      </c>
      <c r="H363">
        <v>54.2</v>
      </c>
      <c r="I363">
        <v>24.5</v>
      </c>
      <c r="J363">
        <v>21.4</v>
      </c>
      <c r="K363">
        <v>78.599999999999994</v>
      </c>
      <c r="L363">
        <v>45.8</v>
      </c>
      <c r="M363">
        <v>75.5</v>
      </c>
      <c r="N363">
        <v>44.9</v>
      </c>
      <c r="O363">
        <v>34.5</v>
      </c>
      <c r="P363">
        <v>20.6</v>
      </c>
      <c r="Q363">
        <v>81.5</v>
      </c>
      <c r="R363">
        <v>85.8</v>
      </c>
      <c r="S363">
        <v>65.2</v>
      </c>
      <c r="T363">
        <v>34.799999999999997</v>
      </c>
      <c r="U363">
        <v>41.4</v>
      </c>
      <c r="V363">
        <v>64.2</v>
      </c>
      <c r="W363">
        <v>35.799999999999997</v>
      </c>
      <c r="X363" t="str">
        <f>VLOOKUP(E363,'Transform table'!A:B,2,0)</f>
        <v>Brann</v>
      </c>
      <c r="Y363" t="e">
        <f>VLOOKUP(F363,'Transform table'!A:B,2,0)</f>
        <v>#N/A</v>
      </c>
      <c r="Z363" t="e">
        <f t="shared" si="5"/>
        <v>#N/A</v>
      </c>
      <c r="AA363" t="e">
        <f>VLOOKUP($Z363,'oddspedia-matches'!$A:$AD,AA$2,0)</f>
        <v>#N/A</v>
      </c>
      <c r="AB363" t="e">
        <f>VLOOKUP($Z363,'oddspedia-matches'!$A:$AD,AB$2,0)</f>
        <v>#N/A</v>
      </c>
      <c r="AC363" t="e">
        <f>VLOOKUP($Z363,'oddspedia-matches'!$A:$AD,AC$2,0)</f>
        <v>#N/A</v>
      </c>
      <c r="AD363" t="e">
        <f>VLOOKUP($Z363,'oddspedia-matches'!$A:$AD,AD$2,0)</f>
        <v>#N/A</v>
      </c>
      <c r="AE363" t="e">
        <f>VLOOKUP($Z363,'oddspedia-matches'!$A:$AD,AE$2,0)</f>
        <v>#N/A</v>
      </c>
      <c r="AF363" t="e">
        <f>VLOOKUP($Z363,'oddspedia-matches'!$A:$AD,AF$2,0)</f>
        <v>#N/A</v>
      </c>
      <c r="AG363" t="e">
        <f>VLOOKUP($Z363,'oddspedia-matches'!$A:$AD,AG$2,0)</f>
        <v>#N/A</v>
      </c>
      <c r="AH363" t="e">
        <f>VLOOKUP($Z363,'oddspedia-matches'!$A:$AD,AH$2,0)</f>
        <v>#N/A</v>
      </c>
      <c r="AI363" t="e">
        <f>VLOOKUP($Z363,'oddspedia-matches'!$A:$AD,AI$2,0)</f>
        <v>#N/A</v>
      </c>
      <c r="AJ363" t="e">
        <f>VLOOKUP($Z363,'oddspedia-matches'!$A:$AD,AJ$2,0)</f>
        <v>#N/A</v>
      </c>
      <c r="AK363" t="e">
        <f>VLOOKUP($Z363,'oddspedia-matches'!$A:$AD,AK$2,0)</f>
        <v>#N/A</v>
      </c>
      <c r="AL363" t="e">
        <f>VLOOKUP($Z363,'oddspedia-matches'!$A:$AD,AL$2,0)</f>
        <v>#N/A</v>
      </c>
      <c r="AM363" t="e">
        <f>VLOOKUP($Z363,'oddspedia-matches'!$A:$AD,AM$2,0)</f>
        <v>#N/A</v>
      </c>
      <c r="AN363" t="e">
        <f>VLOOKUP($Z363,'oddspedia-matches'!$A:$AD,AN$2,0)</f>
        <v>#N/A</v>
      </c>
      <c r="AO363" t="e">
        <f>VLOOKUP($Z363,'oddspedia-matches'!$A:$AD,AO$2,0)</f>
        <v>#N/A</v>
      </c>
      <c r="AP363" t="e">
        <f>VLOOKUP($Z363,'oddspedia-matches'!$A:$AD,AP$2,0)</f>
        <v>#N/A</v>
      </c>
      <c r="AQ363" t="e">
        <f>VLOOKUP($Z363,'oddspedia-matches'!$A:$AD,AQ$2,0)</f>
        <v>#N/A</v>
      </c>
    </row>
    <row r="364" spans="2:43" x14ac:dyDescent="0.2">
      <c r="B364" t="s">
        <v>1012</v>
      </c>
      <c r="C364" t="s">
        <v>930</v>
      </c>
      <c r="D364" s="25">
        <v>0.39583333333333331</v>
      </c>
      <c r="E364" t="s">
        <v>1013</v>
      </c>
      <c r="F364" t="s">
        <v>1014</v>
      </c>
      <c r="H364">
        <v>0</v>
      </c>
      <c r="I364">
        <v>100</v>
      </c>
      <c r="J364">
        <v>0</v>
      </c>
      <c r="K364">
        <v>100</v>
      </c>
      <c r="L364">
        <v>100</v>
      </c>
      <c r="M364">
        <v>0</v>
      </c>
      <c r="N364">
        <v>0</v>
      </c>
      <c r="O364">
        <v>100</v>
      </c>
      <c r="P364">
        <v>0</v>
      </c>
      <c r="Q364">
        <v>0</v>
      </c>
      <c r="R364">
        <v>0</v>
      </c>
      <c r="S364">
        <v>0</v>
      </c>
      <c r="T364">
        <v>100</v>
      </c>
      <c r="U364">
        <v>100</v>
      </c>
      <c r="V364">
        <v>0</v>
      </c>
      <c r="W364">
        <v>100</v>
      </c>
      <c r="X364">
        <f>VLOOKUP(E364,'Transform table'!A:B,2,0)</f>
        <v>0</v>
      </c>
      <c r="Y364" t="e">
        <f>VLOOKUP(F364,'Transform table'!A:B,2,0)</f>
        <v>#N/A</v>
      </c>
      <c r="Z364" t="e">
        <f t="shared" si="5"/>
        <v>#N/A</v>
      </c>
      <c r="AA364" t="e">
        <f>VLOOKUP($Z364,'oddspedia-matches'!$A:$AD,AA$2,0)</f>
        <v>#N/A</v>
      </c>
      <c r="AB364" t="e">
        <f>VLOOKUP($Z364,'oddspedia-matches'!$A:$AD,AB$2,0)</f>
        <v>#N/A</v>
      </c>
      <c r="AC364" t="e">
        <f>VLOOKUP($Z364,'oddspedia-matches'!$A:$AD,AC$2,0)</f>
        <v>#N/A</v>
      </c>
      <c r="AD364" t="e">
        <f>VLOOKUP($Z364,'oddspedia-matches'!$A:$AD,AD$2,0)</f>
        <v>#N/A</v>
      </c>
      <c r="AE364" t="e">
        <f>VLOOKUP($Z364,'oddspedia-matches'!$A:$AD,AE$2,0)</f>
        <v>#N/A</v>
      </c>
      <c r="AF364" t="e">
        <f>VLOOKUP($Z364,'oddspedia-matches'!$A:$AD,AF$2,0)</f>
        <v>#N/A</v>
      </c>
      <c r="AG364" t="e">
        <f>VLOOKUP($Z364,'oddspedia-matches'!$A:$AD,AG$2,0)</f>
        <v>#N/A</v>
      </c>
      <c r="AH364" t="e">
        <f>VLOOKUP($Z364,'oddspedia-matches'!$A:$AD,AH$2,0)</f>
        <v>#N/A</v>
      </c>
      <c r="AI364" t="e">
        <f>VLOOKUP($Z364,'oddspedia-matches'!$A:$AD,AI$2,0)</f>
        <v>#N/A</v>
      </c>
      <c r="AJ364" t="e">
        <f>VLOOKUP($Z364,'oddspedia-matches'!$A:$AD,AJ$2,0)</f>
        <v>#N/A</v>
      </c>
      <c r="AK364" t="e">
        <f>VLOOKUP($Z364,'oddspedia-matches'!$A:$AD,AK$2,0)</f>
        <v>#N/A</v>
      </c>
      <c r="AL364" t="e">
        <f>VLOOKUP($Z364,'oddspedia-matches'!$A:$AD,AL$2,0)</f>
        <v>#N/A</v>
      </c>
      <c r="AM364" t="e">
        <f>VLOOKUP($Z364,'oddspedia-matches'!$A:$AD,AM$2,0)</f>
        <v>#N/A</v>
      </c>
      <c r="AN364" t="e">
        <f>VLOOKUP($Z364,'oddspedia-matches'!$A:$AD,AN$2,0)</f>
        <v>#N/A</v>
      </c>
      <c r="AO364" t="e">
        <f>VLOOKUP($Z364,'oddspedia-matches'!$A:$AD,AO$2,0)</f>
        <v>#N/A</v>
      </c>
      <c r="AP364" t="e">
        <f>VLOOKUP($Z364,'oddspedia-matches'!$A:$AD,AP$2,0)</f>
        <v>#N/A</v>
      </c>
      <c r="AQ364" t="e">
        <f>VLOOKUP($Z364,'oddspedia-matches'!$A:$AD,AQ$2,0)</f>
        <v>#N/A</v>
      </c>
    </row>
    <row r="365" spans="2:43" x14ac:dyDescent="0.2">
      <c r="B365" t="s">
        <v>1015</v>
      </c>
      <c r="C365" t="s">
        <v>930</v>
      </c>
      <c r="D365" s="25">
        <v>0.40625</v>
      </c>
      <c r="E365" t="s">
        <v>1016</v>
      </c>
      <c r="F365" t="s">
        <v>1017</v>
      </c>
      <c r="H365">
        <v>0</v>
      </c>
      <c r="I365">
        <v>100</v>
      </c>
      <c r="J365">
        <v>0</v>
      </c>
      <c r="K365">
        <v>100</v>
      </c>
      <c r="L365">
        <v>100</v>
      </c>
      <c r="M365">
        <v>0</v>
      </c>
      <c r="N365">
        <v>0</v>
      </c>
      <c r="O365">
        <v>100</v>
      </c>
      <c r="P365">
        <v>0</v>
      </c>
      <c r="Q365">
        <v>0</v>
      </c>
      <c r="R365">
        <v>0</v>
      </c>
      <c r="S365">
        <v>0</v>
      </c>
      <c r="T365">
        <v>100</v>
      </c>
      <c r="U365">
        <v>100</v>
      </c>
      <c r="V365">
        <v>0</v>
      </c>
      <c r="W365">
        <v>100</v>
      </c>
      <c r="X365" t="str">
        <f>VLOOKUP(E365,'Transform table'!A:B,2,0)</f>
        <v>Rakow Czestochowa</v>
      </c>
      <c r="Y365" t="e">
        <f>VLOOKUP(F365,'Transform table'!A:B,2,0)</f>
        <v>#N/A</v>
      </c>
      <c r="Z365" t="e">
        <f t="shared" si="5"/>
        <v>#N/A</v>
      </c>
      <c r="AA365" t="e">
        <f>VLOOKUP($Z365,'oddspedia-matches'!$A:$AD,AA$2,0)</f>
        <v>#N/A</v>
      </c>
      <c r="AB365" t="e">
        <f>VLOOKUP($Z365,'oddspedia-matches'!$A:$AD,AB$2,0)</f>
        <v>#N/A</v>
      </c>
      <c r="AC365" t="e">
        <f>VLOOKUP($Z365,'oddspedia-matches'!$A:$AD,AC$2,0)</f>
        <v>#N/A</v>
      </c>
      <c r="AD365" t="e">
        <f>VLOOKUP($Z365,'oddspedia-matches'!$A:$AD,AD$2,0)</f>
        <v>#N/A</v>
      </c>
      <c r="AE365" t="e">
        <f>VLOOKUP($Z365,'oddspedia-matches'!$A:$AD,AE$2,0)</f>
        <v>#N/A</v>
      </c>
      <c r="AF365" t="e">
        <f>VLOOKUP($Z365,'oddspedia-matches'!$A:$AD,AF$2,0)</f>
        <v>#N/A</v>
      </c>
      <c r="AG365" t="e">
        <f>VLOOKUP($Z365,'oddspedia-matches'!$A:$AD,AG$2,0)</f>
        <v>#N/A</v>
      </c>
      <c r="AH365" t="e">
        <f>VLOOKUP($Z365,'oddspedia-matches'!$A:$AD,AH$2,0)</f>
        <v>#N/A</v>
      </c>
      <c r="AI365" t="e">
        <f>VLOOKUP($Z365,'oddspedia-matches'!$A:$AD,AI$2,0)</f>
        <v>#N/A</v>
      </c>
      <c r="AJ365" t="e">
        <f>VLOOKUP($Z365,'oddspedia-matches'!$A:$AD,AJ$2,0)</f>
        <v>#N/A</v>
      </c>
      <c r="AK365" t="e">
        <f>VLOOKUP($Z365,'oddspedia-matches'!$A:$AD,AK$2,0)</f>
        <v>#N/A</v>
      </c>
      <c r="AL365" t="e">
        <f>VLOOKUP($Z365,'oddspedia-matches'!$A:$AD,AL$2,0)</f>
        <v>#N/A</v>
      </c>
      <c r="AM365" t="e">
        <f>VLOOKUP($Z365,'oddspedia-matches'!$A:$AD,AM$2,0)</f>
        <v>#N/A</v>
      </c>
      <c r="AN365" t="e">
        <f>VLOOKUP($Z365,'oddspedia-matches'!$A:$AD,AN$2,0)</f>
        <v>#N/A</v>
      </c>
      <c r="AO365" t="e">
        <f>VLOOKUP($Z365,'oddspedia-matches'!$A:$AD,AO$2,0)</f>
        <v>#N/A</v>
      </c>
      <c r="AP365" t="e">
        <f>VLOOKUP($Z365,'oddspedia-matches'!$A:$AD,AP$2,0)</f>
        <v>#N/A</v>
      </c>
      <c r="AQ365" t="e">
        <f>VLOOKUP($Z365,'oddspedia-matches'!$A:$AD,AQ$2,0)</f>
        <v>#N/A</v>
      </c>
    </row>
    <row r="366" spans="2:43" x14ac:dyDescent="0.2">
      <c r="B366" t="s">
        <v>584</v>
      </c>
      <c r="C366" t="s">
        <v>930</v>
      </c>
      <c r="D366" s="25">
        <v>0.41666666666666669</v>
      </c>
      <c r="E366" t="s">
        <v>1018</v>
      </c>
      <c r="F366" t="s">
        <v>1019</v>
      </c>
      <c r="H366">
        <v>50</v>
      </c>
      <c r="I366">
        <v>28.6</v>
      </c>
      <c r="J366">
        <v>21.4</v>
      </c>
      <c r="K366">
        <v>78.599999999999994</v>
      </c>
      <c r="L366">
        <v>50</v>
      </c>
      <c r="M366">
        <v>71.400000000000006</v>
      </c>
      <c r="N366">
        <v>27.6</v>
      </c>
      <c r="O366">
        <v>47.4</v>
      </c>
      <c r="P366">
        <v>25.1</v>
      </c>
      <c r="Q366">
        <v>63.8</v>
      </c>
      <c r="R366">
        <v>69.900000000000006</v>
      </c>
      <c r="S366">
        <v>42.4</v>
      </c>
      <c r="T366">
        <v>57.6</v>
      </c>
      <c r="U366">
        <v>63.8</v>
      </c>
      <c r="V366">
        <v>46.9</v>
      </c>
      <c r="W366">
        <v>53.1</v>
      </c>
      <c r="X366" t="str">
        <f>VLOOKUP(E366,'Transform table'!A:B,2,0)</f>
        <v>FC Helios Tartu</v>
      </c>
      <c r="Y366" t="e">
        <f>VLOOKUP(F366,'Transform table'!A:B,2,0)</f>
        <v>#N/A</v>
      </c>
      <c r="Z366" t="e">
        <f t="shared" si="5"/>
        <v>#N/A</v>
      </c>
      <c r="AA366" t="e">
        <f>VLOOKUP($Z366,'oddspedia-matches'!$A:$AD,AA$2,0)</f>
        <v>#N/A</v>
      </c>
      <c r="AB366" t="e">
        <f>VLOOKUP($Z366,'oddspedia-matches'!$A:$AD,AB$2,0)</f>
        <v>#N/A</v>
      </c>
      <c r="AC366" t="e">
        <f>VLOOKUP($Z366,'oddspedia-matches'!$A:$AD,AC$2,0)</f>
        <v>#N/A</v>
      </c>
      <c r="AD366" t="e">
        <f>VLOOKUP($Z366,'oddspedia-matches'!$A:$AD,AD$2,0)</f>
        <v>#N/A</v>
      </c>
      <c r="AE366" t="e">
        <f>VLOOKUP($Z366,'oddspedia-matches'!$A:$AD,AE$2,0)</f>
        <v>#N/A</v>
      </c>
      <c r="AF366" t="e">
        <f>VLOOKUP($Z366,'oddspedia-matches'!$A:$AD,AF$2,0)</f>
        <v>#N/A</v>
      </c>
      <c r="AG366" t="e">
        <f>VLOOKUP($Z366,'oddspedia-matches'!$A:$AD,AG$2,0)</f>
        <v>#N/A</v>
      </c>
      <c r="AH366" t="e">
        <f>VLOOKUP($Z366,'oddspedia-matches'!$A:$AD,AH$2,0)</f>
        <v>#N/A</v>
      </c>
      <c r="AI366" t="e">
        <f>VLOOKUP($Z366,'oddspedia-matches'!$A:$AD,AI$2,0)</f>
        <v>#N/A</v>
      </c>
      <c r="AJ366" t="e">
        <f>VLOOKUP($Z366,'oddspedia-matches'!$A:$AD,AJ$2,0)</f>
        <v>#N/A</v>
      </c>
      <c r="AK366" t="e">
        <f>VLOOKUP($Z366,'oddspedia-matches'!$A:$AD,AK$2,0)</f>
        <v>#N/A</v>
      </c>
      <c r="AL366" t="e">
        <f>VLOOKUP($Z366,'oddspedia-matches'!$A:$AD,AL$2,0)</f>
        <v>#N/A</v>
      </c>
      <c r="AM366" t="e">
        <f>VLOOKUP($Z366,'oddspedia-matches'!$A:$AD,AM$2,0)</f>
        <v>#N/A</v>
      </c>
      <c r="AN366" t="e">
        <f>VLOOKUP($Z366,'oddspedia-matches'!$A:$AD,AN$2,0)</f>
        <v>#N/A</v>
      </c>
      <c r="AO366" t="e">
        <f>VLOOKUP($Z366,'oddspedia-matches'!$A:$AD,AO$2,0)</f>
        <v>#N/A</v>
      </c>
      <c r="AP366" t="e">
        <f>VLOOKUP($Z366,'oddspedia-matches'!$A:$AD,AP$2,0)</f>
        <v>#N/A</v>
      </c>
      <c r="AQ366" t="e">
        <f>VLOOKUP($Z366,'oddspedia-matches'!$A:$AD,AQ$2,0)</f>
        <v>#N/A</v>
      </c>
    </row>
    <row r="367" spans="2:43" x14ac:dyDescent="0.2">
      <c r="B367" t="s">
        <v>947</v>
      </c>
      <c r="C367" t="s">
        <v>930</v>
      </c>
      <c r="D367" s="25">
        <v>0.41666666666666669</v>
      </c>
      <c r="E367" t="s">
        <v>1020</v>
      </c>
      <c r="F367" t="s">
        <v>1021</v>
      </c>
      <c r="H367">
        <v>6.9</v>
      </c>
      <c r="I367">
        <v>47.3</v>
      </c>
      <c r="J367">
        <v>45.8</v>
      </c>
      <c r="K367">
        <v>54.2</v>
      </c>
      <c r="L367">
        <v>93.1</v>
      </c>
      <c r="M367">
        <v>52.7</v>
      </c>
      <c r="N367">
        <v>0</v>
      </c>
      <c r="O367">
        <v>82.8</v>
      </c>
      <c r="P367">
        <v>17.2</v>
      </c>
      <c r="Q367">
        <v>17.2</v>
      </c>
      <c r="R367">
        <v>24.4</v>
      </c>
      <c r="S367">
        <v>6.8</v>
      </c>
      <c r="T367">
        <v>93.2</v>
      </c>
      <c r="U367">
        <v>96.2</v>
      </c>
      <c r="V367">
        <v>8.6</v>
      </c>
      <c r="W367">
        <v>91.4</v>
      </c>
      <c r="X367">
        <f>VLOOKUP(E367,'Transform table'!A:B,2,0)</f>
        <v>0</v>
      </c>
      <c r="Y367" t="e">
        <f>VLOOKUP(F367,'Transform table'!A:B,2,0)</f>
        <v>#N/A</v>
      </c>
      <c r="Z367" t="e">
        <f t="shared" si="5"/>
        <v>#N/A</v>
      </c>
      <c r="AA367" t="e">
        <f>VLOOKUP($Z367,'oddspedia-matches'!$A:$AD,AA$2,0)</f>
        <v>#N/A</v>
      </c>
      <c r="AB367" t="e">
        <f>VLOOKUP($Z367,'oddspedia-matches'!$A:$AD,AB$2,0)</f>
        <v>#N/A</v>
      </c>
      <c r="AC367" t="e">
        <f>VLOOKUP($Z367,'oddspedia-matches'!$A:$AD,AC$2,0)</f>
        <v>#N/A</v>
      </c>
      <c r="AD367" t="e">
        <f>VLOOKUP($Z367,'oddspedia-matches'!$A:$AD,AD$2,0)</f>
        <v>#N/A</v>
      </c>
      <c r="AE367" t="e">
        <f>VLOOKUP($Z367,'oddspedia-matches'!$A:$AD,AE$2,0)</f>
        <v>#N/A</v>
      </c>
      <c r="AF367" t="e">
        <f>VLOOKUP($Z367,'oddspedia-matches'!$A:$AD,AF$2,0)</f>
        <v>#N/A</v>
      </c>
      <c r="AG367" t="e">
        <f>VLOOKUP($Z367,'oddspedia-matches'!$A:$AD,AG$2,0)</f>
        <v>#N/A</v>
      </c>
      <c r="AH367" t="e">
        <f>VLOOKUP($Z367,'oddspedia-matches'!$A:$AD,AH$2,0)</f>
        <v>#N/A</v>
      </c>
      <c r="AI367" t="e">
        <f>VLOOKUP($Z367,'oddspedia-matches'!$A:$AD,AI$2,0)</f>
        <v>#N/A</v>
      </c>
      <c r="AJ367" t="e">
        <f>VLOOKUP($Z367,'oddspedia-matches'!$A:$AD,AJ$2,0)</f>
        <v>#N/A</v>
      </c>
      <c r="AK367" t="e">
        <f>VLOOKUP($Z367,'oddspedia-matches'!$A:$AD,AK$2,0)</f>
        <v>#N/A</v>
      </c>
      <c r="AL367" t="e">
        <f>VLOOKUP($Z367,'oddspedia-matches'!$A:$AD,AL$2,0)</f>
        <v>#N/A</v>
      </c>
      <c r="AM367" t="e">
        <f>VLOOKUP($Z367,'oddspedia-matches'!$A:$AD,AM$2,0)</f>
        <v>#N/A</v>
      </c>
      <c r="AN367" t="e">
        <f>VLOOKUP($Z367,'oddspedia-matches'!$A:$AD,AN$2,0)</f>
        <v>#N/A</v>
      </c>
      <c r="AO367" t="e">
        <f>VLOOKUP($Z367,'oddspedia-matches'!$A:$AD,AO$2,0)</f>
        <v>#N/A</v>
      </c>
      <c r="AP367" t="e">
        <f>VLOOKUP($Z367,'oddspedia-matches'!$A:$AD,AP$2,0)</f>
        <v>#N/A</v>
      </c>
      <c r="AQ367" t="e">
        <f>VLOOKUP($Z367,'oddspedia-matches'!$A:$AD,AQ$2,0)</f>
        <v>#N/A</v>
      </c>
    </row>
    <row r="368" spans="2:43" x14ac:dyDescent="0.2">
      <c r="B368" t="s">
        <v>451</v>
      </c>
      <c r="C368" t="s">
        <v>930</v>
      </c>
      <c r="D368" s="25">
        <v>0.41666666666666669</v>
      </c>
      <c r="E368" t="s">
        <v>1022</v>
      </c>
      <c r="F368" t="s">
        <v>1023</v>
      </c>
      <c r="H368">
        <v>45.4</v>
      </c>
      <c r="I368">
        <v>26.9</v>
      </c>
      <c r="J368">
        <v>27.8</v>
      </c>
      <c r="K368">
        <v>72.2</v>
      </c>
      <c r="L368">
        <v>54.6</v>
      </c>
      <c r="M368">
        <v>73.099999999999994</v>
      </c>
      <c r="N368">
        <v>31.6</v>
      </c>
      <c r="O368">
        <v>42</v>
      </c>
      <c r="P368">
        <v>26.4</v>
      </c>
      <c r="Q368">
        <v>72</v>
      </c>
      <c r="R368">
        <v>80.5</v>
      </c>
      <c r="S368">
        <v>56.6</v>
      </c>
      <c r="T368">
        <v>43.4</v>
      </c>
      <c r="U368">
        <v>49.3</v>
      </c>
      <c r="V368">
        <v>59.9</v>
      </c>
      <c r="W368">
        <v>40.1</v>
      </c>
      <c r="X368" t="str">
        <f>VLOOKUP(E368,'Transform table'!A:B,2,0)</f>
        <v>Liversedge</v>
      </c>
      <c r="Y368" t="e">
        <f>VLOOKUP(F368,'Transform table'!A:B,2,0)</f>
        <v>#N/A</v>
      </c>
      <c r="Z368" t="e">
        <f t="shared" si="5"/>
        <v>#N/A</v>
      </c>
      <c r="AA368" t="e">
        <f>VLOOKUP($Z368,'oddspedia-matches'!$A:$AD,AA$2,0)</f>
        <v>#N/A</v>
      </c>
      <c r="AB368" t="e">
        <f>VLOOKUP($Z368,'oddspedia-matches'!$A:$AD,AB$2,0)</f>
        <v>#N/A</v>
      </c>
      <c r="AC368" t="e">
        <f>VLOOKUP($Z368,'oddspedia-matches'!$A:$AD,AC$2,0)</f>
        <v>#N/A</v>
      </c>
      <c r="AD368" t="e">
        <f>VLOOKUP($Z368,'oddspedia-matches'!$A:$AD,AD$2,0)</f>
        <v>#N/A</v>
      </c>
      <c r="AE368" t="e">
        <f>VLOOKUP($Z368,'oddspedia-matches'!$A:$AD,AE$2,0)</f>
        <v>#N/A</v>
      </c>
      <c r="AF368" t="e">
        <f>VLOOKUP($Z368,'oddspedia-matches'!$A:$AD,AF$2,0)</f>
        <v>#N/A</v>
      </c>
      <c r="AG368" t="e">
        <f>VLOOKUP($Z368,'oddspedia-matches'!$A:$AD,AG$2,0)</f>
        <v>#N/A</v>
      </c>
      <c r="AH368" t="e">
        <f>VLOOKUP($Z368,'oddspedia-matches'!$A:$AD,AH$2,0)</f>
        <v>#N/A</v>
      </c>
      <c r="AI368" t="e">
        <f>VLOOKUP($Z368,'oddspedia-matches'!$A:$AD,AI$2,0)</f>
        <v>#N/A</v>
      </c>
      <c r="AJ368" t="e">
        <f>VLOOKUP($Z368,'oddspedia-matches'!$A:$AD,AJ$2,0)</f>
        <v>#N/A</v>
      </c>
      <c r="AK368" t="e">
        <f>VLOOKUP($Z368,'oddspedia-matches'!$A:$AD,AK$2,0)</f>
        <v>#N/A</v>
      </c>
      <c r="AL368" t="e">
        <f>VLOOKUP($Z368,'oddspedia-matches'!$A:$AD,AL$2,0)</f>
        <v>#N/A</v>
      </c>
      <c r="AM368" t="e">
        <f>VLOOKUP($Z368,'oddspedia-matches'!$A:$AD,AM$2,0)</f>
        <v>#N/A</v>
      </c>
      <c r="AN368" t="e">
        <f>VLOOKUP($Z368,'oddspedia-matches'!$A:$AD,AN$2,0)</f>
        <v>#N/A</v>
      </c>
      <c r="AO368" t="e">
        <f>VLOOKUP($Z368,'oddspedia-matches'!$A:$AD,AO$2,0)</f>
        <v>#N/A</v>
      </c>
      <c r="AP368" t="e">
        <f>VLOOKUP($Z368,'oddspedia-matches'!$A:$AD,AP$2,0)</f>
        <v>#N/A</v>
      </c>
      <c r="AQ368" t="e">
        <f>VLOOKUP($Z368,'oddspedia-matches'!$A:$AD,AQ$2,0)</f>
        <v>#N/A</v>
      </c>
    </row>
    <row r="369" spans="2:43" x14ac:dyDescent="0.2">
      <c r="B369" t="s">
        <v>1024</v>
      </c>
      <c r="C369" t="s">
        <v>930</v>
      </c>
      <c r="D369" s="25">
        <v>0.44791666666666669</v>
      </c>
      <c r="E369" t="s">
        <v>1025</v>
      </c>
      <c r="F369" t="s">
        <v>1026</v>
      </c>
      <c r="H369">
        <v>0</v>
      </c>
      <c r="I369">
        <v>100</v>
      </c>
      <c r="J369">
        <v>0</v>
      </c>
      <c r="K369">
        <v>100</v>
      </c>
      <c r="L369">
        <v>100</v>
      </c>
      <c r="M369">
        <v>0</v>
      </c>
      <c r="N369">
        <v>0</v>
      </c>
      <c r="O369">
        <v>100</v>
      </c>
      <c r="P369">
        <v>0</v>
      </c>
      <c r="Q369">
        <v>0</v>
      </c>
      <c r="R369">
        <v>0</v>
      </c>
      <c r="S369">
        <v>0</v>
      </c>
      <c r="T369">
        <v>100</v>
      </c>
      <c r="U369">
        <v>100</v>
      </c>
      <c r="V369">
        <v>0</v>
      </c>
      <c r="W369">
        <v>100</v>
      </c>
      <c r="X369" t="str">
        <f>VLOOKUP(E369,'Transform table'!A:B,2,0)</f>
        <v>Vasco Da Gama RJ</v>
      </c>
      <c r="Y369" t="e">
        <f>VLOOKUP(F369,'Transform table'!A:B,2,0)</f>
        <v>#N/A</v>
      </c>
      <c r="Z369" t="e">
        <f t="shared" si="5"/>
        <v>#N/A</v>
      </c>
      <c r="AA369" t="e">
        <f>VLOOKUP($Z369,'oddspedia-matches'!$A:$AD,AA$2,0)</f>
        <v>#N/A</v>
      </c>
      <c r="AB369" t="e">
        <f>VLOOKUP($Z369,'oddspedia-matches'!$A:$AD,AB$2,0)</f>
        <v>#N/A</v>
      </c>
      <c r="AC369" t="e">
        <f>VLOOKUP($Z369,'oddspedia-matches'!$A:$AD,AC$2,0)</f>
        <v>#N/A</v>
      </c>
      <c r="AD369" t="e">
        <f>VLOOKUP($Z369,'oddspedia-matches'!$A:$AD,AD$2,0)</f>
        <v>#N/A</v>
      </c>
      <c r="AE369" t="e">
        <f>VLOOKUP($Z369,'oddspedia-matches'!$A:$AD,AE$2,0)</f>
        <v>#N/A</v>
      </c>
      <c r="AF369" t="e">
        <f>VLOOKUP($Z369,'oddspedia-matches'!$A:$AD,AF$2,0)</f>
        <v>#N/A</v>
      </c>
      <c r="AG369" t="e">
        <f>VLOOKUP($Z369,'oddspedia-matches'!$A:$AD,AG$2,0)</f>
        <v>#N/A</v>
      </c>
      <c r="AH369" t="e">
        <f>VLOOKUP($Z369,'oddspedia-matches'!$A:$AD,AH$2,0)</f>
        <v>#N/A</v>
      </c>
      <c r="AI369" t="e">
        <f>VLOOKUP($Z369,'oddspedia-matches'!$A:$AD,AI$2,0)</f>
        <v>#N/A</v>
      </c>
      <c r="AJ369" t="e">
        <f>VLOOKUP($Z369,'oddspedia-matches'!$A:$AD,AJ$2,0)</f>
        <v>#N/A</v>
      </c>
      <c r="AK369" t="e">
        <f>VLOOKUP($Z369,'oddspedia-matches'!$A:$AD,AK$2,0)</f>
        <v>#N/A</v>
      </c>
      <c r="AL369" t="e">
        <f>VLOOKUP($Z369,'oddspedia-matches'!$A:$AD,AL$2,0)</f>
        <v>#N/A</v>
      </c>
      <c r="AM369" t="e">
        <f>VLOOKUP($Z369,'oddspedia-matches'!$A:$AD,AM$2,0)</f>
        <v>#N/A</v>
      </c>
      <c r="AN369" t="e">
        <f>VLOOKUP($Z369,'oddspedia-matches'!$A:$AD,AN$2,0)</f>
        <v>#N/A</v>
      </c>
      <c r="AO369" t="e">
        <f>VLOOKUP($Z369,'oddspedia-matches'!$A:$AD,AO$2,0)</f>
        <v>#N/A</v>
      </c>
      <c r="AP369" t="e">
        <f>VLOOKUP($Z369,'oddspedia-matches'!$A:$AD,AP$2,0)</f>
        <v>#N/A</v>
      </c>
      <c r="AQ369" t="e">
        <f>VLOOKUP($Z369,'oddspedia-matches'!$A:$AD,AQ$2,0)</f>
        <v>#N/A</v>
      </c>
    </row>
    <row r="370" spans="2:43" x14ac:dyDescent="0.2">
      <c r="B370" t="s">
        <v>584</v>
      </c>
      <c r="C370" t="s">
        <v>930</v>
      </c>
      <c r="D370" s="25">
        <v>0.45833333333333331</v>
      </c>
      <c r="E370" t="s">
        <v>1027</v>
      </c>
      <c r="F370" t="s">
        <v>1028</v>
      </c>
      <c r="H370">
        <v>51.1</v>
      </c>
      <c r="I370">
        <v>28.2</v>
      </c>
      <c r="J370">
        <v>20.8</v>
      </c>
      <c r="K370">
        <v>79.2</v>
      </c>
      <c r="L370">
        <v>48.9</v>
      </c>
      <c r="M370">
        <v>71.8</v>
      </c>
      <c r="N370">
        <v>41.7</v>
      </c>
      <c r="O370">
        <v>44</v>
      </c>
      <c r="P370">
        <v>14.3</v>
      </c>
      <c r="Q370">
        <v>65.7</v>
      </c>
      <c r="R370">
        <v>70.7</v>
      </c>
      <c r="S370">
        <v>43.5</v>
      </c>
      <c r="T370">
        <v>56.5</v>
      </c>
      <c r="U370">
        <v>63</v>
      </c>
      <c r="V370">
        <v>47.3</v>
      </c>
      <c r="W370">
        <v>52.7</v>
      </c>
      <c r="X370" t="str">
        <f>VLOOKUP(E370,'Transform table'!A:B,2,0)</f>
        <v>Astana U21</v>
      </c>
      <c r="Y370" t="e">
        <f>VLOOKUP(F370,'Transform table'!A:B,2,0)</f>
        <v>#N/A</v>
      </c>
      <c r="Z370" t="e">
        <f t="shared" si="5"/>
        <v>#N/A</v>
      </c>
      <c r="AA370" t="e">
        <f>VLOOKUP($Z370,'oddspedia-matches'!$A:$AD,AA$2,0)</f>
        <v>#N/A</v>
      </c>
      <c r="AB370" t="e">
        <f>VLOOKUP($Z370,'oddspedia-matches'!$A:$AD,AB$2,0)</f>
        <v>#N/A</v>
      </c>
      <c r="AC370" t="e">
        <f>VLOOKUP($Z370,'oddspedia-matches'!$A:$AD,AC$2,0)</f>
        <v>#N/A</v>
      </c>
      <c r="AD370" t="e">
        <f>VLOOKUP($Z370,'oddspedia-matches'!$A:$AD,AD$2,0)</f>
        <v>#N/A</v>
      </c>
      <c r="AE370" t="e">
        <f>VLOOKUP($Z370,'oddspedia-matches'!$A:$AD,AE$2,0)</f>
        <v>#N/A</v>
      </c>
      <c r="AF370" t="e">
        <f>VLOOKUP($Z370,'oddspedia-matches'!$A:$AD,AF$2,0)</f>
        <v>#N/A</v>
      </c>
      <c r="AG370" t="e">
        <f>VLOOKUP($Z370,'oddspedia-matches'!$A:$AD,AG$2,0)</f>
        <v>#N/A</v>
      </c>
      <c r="AH370" t="e">
        <f>VLOOKUP($Z370,'oddspedia-matches'!$A:$AD,AH$2,0)</f>
        <v>#N/A</v>
      </c>
      <c r="AI370" t="e">
        <f>VLOOKUP($Z370,'oddspedia-matches'!$A:$AD,AI$2,0)</f>
        <v>#N/A</v>
      </c>
      <c r="AJ370" t="e">
        <f>VLOOKUP($Z370,'oddspedia-matches'!$A:$AD,AJ$2,0)</f>
        <v>#N/A</v>
      </c>
      <c r="AK370" t="e">
        <f>VLOOKUP($Z370,'oddspedia-matches'!$A:$AD,AK$2,0)</f>
        <v>#N/A</v>
      </c>
      <c r="AL370" t="e">
        <f>VLOOKUP($Z370,'oddspedia-matches'!$A:$AD,AL$2,0)</f>
        <v>#N/A</v>
      </c>
      <c r="AM370" t="e">
        <f>VLOOKUP($Z370,'oddspedia-matches'!$A:$AD,AM$2,0)</f>
        <v>#N/A</v>
      </c>
      <c r="AN370" t="e">
        <f>VLOOKUP($Z370,'oddspedia-matches'!$A:$AD,AN$2,0)</f>
        <v>#N/A</v>
      </c>
      <c r="AO370" t="e">
        <f>VLOOKUP($Z370,'oddspedia-matches'!$A:$AD,AO$2,0)</f>
        <v>#N/A</v>
      </c>
      <c r="AP370" t="e">
        <f>VLOOKUP($Z370,'oddspedia-matches'!$A:$AD,AP$2,0)</f>
        <v>#N/A</v>
      </c>
      <c r="AQ370" t="e">
        <f>VLOOKUP($Z370,'oddspedia-matches'!$A:$AD,AQ$2,0)</f>
        <v>#N/A</v>
      </c>
    </row>
    <row r="371" spans="2:43" x14ac:dyDescent="0.2">
      <c r="B371" t="s">
        <v>584</v>
      </c>
      <c r="C371" t="s">
        <v>930</v>
      </c>
      <c r="D371" s="25">
        <v>0.45833333333333331</v>
      </c>
      <c r="E371" t="s">
        <v>1029</v>
      </c>
      <c r="F371" t="s">
        <v>1030</v>
      </c>
      <c r="H371">
        <v>46.4</v>
      </c>
      <c r="I371">
        <v>28.1</v>
      </c>
      <c r="J371">
        <v>25.5</v>
      </c>
      <c r="K371">
        <v>74.5</v>
      </c>
      <c r="L371">
        <v>53.6</v>
      </c>
      <c r="M371">
        <v>71.900000000000006</v>
      </c>
      <c r="N371">
        <v>39.6</v>
      </c>
      <c r="O371">
        <v>42.7</v>
      </c>
      <c r="P371">
        <v>17.7</v>
      </c>
      <c r="Q371">
        <v>68.8</v>
      </c>
      <c r="R371">
        <v>74.7</v>
      </c>
      <c r="S371">
        <v>48.5</v>
      </c>
      <c r="T371">
        <v>51.5</v>
      </c>
      <c r="U371">
        <v>57.5</v>
      </c>
      <c r="V371">
        <v>53.1</v>
      </c>
      <c r="W371">
        <v>46.9</v>
      </c>
      <c r="X371" t="str">
        <f>VLOOKUP(E371,'Transform table'!A:B,2,0)</f>
        <v>Kairat</v>
      </c>
      <c r="Y371" t="e">
        <f>VLOOKUP(F371,'Transform table'!A:B,2,0)</f>
        <v>#N/A</v>
      </c>
      <c r="Z371" t="e">
        <f t="shared" si="5"/>
        <v>#N/A</v>
      </c>
      <c r="AA371" t="e">
        <f>VLOOKUP($Z371,'oddspedia-matches'!$A:$AD,AA$2,0)</f>
        <v>#N/A</v>
      </c>
      <c r="AB371" t="e">
        <f>VLOOKUP($Z371,'oddspedia-matches'!$A:$AD,AB$2,0)</f>
        <v>#N/A</v>
      </c>
      <c r="AC371" t="e">
        <f>VLOOKUP($Z371,'oddspedia-matches'!$A:$AD,AC$2,0)</f>
        <v>#N/A</v>
      </c>
      <c r="AD371" t="e">
        <f>VLOOKUP($Z371,'oddspedia-matches'!$A:$AD,AD$2,0)</f>
        <v>#N/A</v>
      </c>
      <c r="AE371" t="e">
        <f>VLOOKUP($Z371,'oddspedia-matches'!$A:$AD,AE$2,0)</f>
        <v>#N/A</v>
      </c>
      <c r="AF371" t="e">
        <f>VLOOKUP($Z371,'oddspedia-matches'!$A:$AD,AF$2,0)</f>
        <v>#N/A</v>
      </c>
      <c r="AG371" t="e">
        <f>VLOOKUP($Z371,'oddspedia-matches'!$A:$AD,AG$2,0)</f>
        <v>#N/A</v>
      </c>
      <c r="AH371" t="e">
        <f>VLOOKUP($Z371,'oddspedia-matches'!$A:$AD,AH$2,0)</f>
        <v>#N/A</v>
      </c>
      <c r="AI371" t="e">
        <f>VLOOKUP($Z371,'oddspedia-matches'!$A:$AD,AI$2,0)</f>
        <v>#N/A</v>
      </c>
      <c r="AJ371" t="e">
        <f>VLOOKUP($Z371,'oddspedia-matches'!$A:$AD,AJ$2,0)</f>
        <v>#N/A</v>
      </c>
      <c r="AK371" t="e">
        <f>VLOOKUP($Z371,'oddspedia-matches'!$A:$AD,AK$2,0)</f>
        <v>#N/A</v>
      </c>
      <c r="AL371" t="e">
        <f>VLOOKUP($Z371,'oddspedia-matches'!$A:$AD,AL$2,0)</f>
        <v>#N/A</v>
      </c>
      <c r="AM371" t="e">
        <f>VLOOKUP($Z371,'oddspedia-matches'!$A:$AD,AM$2,0)</f>
        <v>#N/A</v>
      </c>
      <c r="AN371" t="e">
        <f>VLOOKUP($Z371,'oddspedia-matches'!$A:$AD,AN$2,0)</f>
        <v>#N/A</v>
      </c>
      <c r="AO371" t="e">
        <f>VLOOKUP($Z371,'oddspedia-matches'!$A:$AD,AO$2,0)</f>
        <v>#N/A</v>
      </c>
      <c r="AP371" t="e">
        <f>VLOOKUP($Z371,'oddspedia-matches'!$A:$AD,AP$2,0)</f>
        <v>#N/A</v>
      </c>
      <c r="AQ371" t="e">
        <f>VLOOKUP($Z371,'oddspedia-matches'!$A:$AD,AQ$2,0)</f>
        <v>#N/A</v>
      </c>
    </row>
    <row r="372" spans="2:43" x14ac:dyDescent="0.2">
      <c r="B372" t="s">
        <v>982</v>
      </c>
      <c r="C372" t="s">
        <v>930</v>
      </c>
      <c r="D372" s="25">
        <v>0.45833333333333331</v>
      </c>
      <c r="E372" t="s">
        <v>1031</v>
      </c>
      <c r="F372" t="s">
        <v>1032</v>
      </c>
      <c r="H372">
        <v>0</v>
      </c>
      <c r="I372">
        <v>100</v>
      </c>
      <c r="J372">
        <v>0</v>
      </c>
      <c r="K372">
        <v>100</v>
      </c>
      <c r="L372">
        <v>100</v>
      </c>
      <c r="M372">
        <v>0</v>
      </c>
      <c r="N372">
        <v>0</v>
      </c>
      <c r="O372">
        <v>100</v>
      </c>
      <c r="P372">
        <v>0</v>
      </c>
      <c r="Q372">
        <v>0</v>
      </c>
      <c r="R372">
        <v>0</v>
      </c>
      <c r="S372">
        <v>0</v>
      </c>
      <c r="T372">
        <v>100</v>
      </c>
      <c r="U372">
        <v>100</v>
      </c>
      <c r="V372">
        <v>0</v>
      </c>
      <c r="W372">
        <v>100</v>
      </c>
      <c r="X372" t="str">
        <f>VLOOKUP(E372,'Transform table'!A:B,2,0)</f>
        <v>Copenhagen</v>
      </c>
      <c r="Y372" t="e">
        <f>VLOOKUP(F372,'Transform table'!A:B,2,0)</f>
        <v>#N/A</v>
      </c>
      <c r="Z372" t="e">
        <f t="shared" si="5"/>
        <v>#N/A</v>
      </c>
      <c r="AA372" t="e">
        <f>VLOOKUP($Z372,'oddspedia-matches'!$A:$AD,AA$2,0)</f>
        <v>#N/A</v>
      </c>
      <c r="AB372" t="e">
        <f>VLOOKUP($Z372,'oddspedia-matches'!$A:$AD,AB$2,0)</f>
        <v>#N/A</v>
      </c>
      <c r="AC372" t="e">
        <f>VLOOKUP($Z372,'oddspedia-matches'!$A:$AD,AC$2,0)</f>
        <v>#N/A</v>
      </c>
      <c r="AD372" t="e">
        <f>VLOOKUP($Z372,'oddspedia-matches'!$A:$AD,AD$2,0)</f>
        <v>#N/A</v>
      </c>
      <c r="AE372" t="e">
        <f>VLOOKUP($Z372,'oddspedia-matches'!$A:$AD,AE$2,0)</f>
        <v>#N/A</v>
      </c>
      <c r="AF372" t="e">
        <f>VLOOKUP($Z372,'oddspedia-matches'!$A:$AD,AF$2,0)</f>
        <v>#N/A</v>
      </c>
      <c r="AG372" t="e">
        <f>VLOOKUP($Z372,'oddspedia-matches'!$A:$AD,AG$2,0)</f>
        <v>#N/A</v>
      </c>
      <c r="AH372" t="e">
        <f>VLOOKUP($Z372,'oddspedia-matches'!$A:$AD,AH$2,0)</f>
        <v>#N/A</v>
      </c>
      <c r="AI372" t="e">
        <f>VLOOKUP($Z372,'oddspedia-matches'!$A:$AD,AI$2,0)</f>
        <v>#N/A</v>
      </c>
      <c r="AJ372" t="e">
        <f>VLOOKUP($Z372,'oddspedia-matches'!$A:$AD,AJ$2,0)</f>
        <v>#N/A</v>
      </c>
      <c r="AK372" t="e">
        <f>VLOOKUP($Z372,'oddspedia-matches'!$A:$AD,AK$2,0)</f>
        <v>#N/A</v>
      </c>
      <c r="AL372" t="e">
        <f>VLOOKUP($Z372,'oddspedia-matches'!$A:$AD,AL$2,0)</f>
        <v>#N/A</v>
      </c>
      <c r="AM372" t="e">
        <f>VLOOKUP($Z372,'oddspedia-matches'!$A:$AD,AM$2,0)</f>
        <v>#N/A</v>
      </c>
      <c r="AN372" t="e">
        <f>VLOOKUP($Z372,'oddspedia-matches'!$A:$AD,AN$2,0)</f>
        <v>#N/A</v>
      </c>
      <c r="AO372" t="e">
        <f>VLOOKUP($Z372,'oddspedia-matches'!$A:$AD,AO$2,0)</f>
        <v>#N/A</v>
      </c>
      <c r="AP372" t="e">
        <f>VLOOKUP($Z372,'oddspedia-matches'!$A:$AD,AP$2,0)</f>
        <v>#N/A</v>
      </c>
      <c r="AQ372" t="e">
        <f>VLOOKUP($Z372,'oddspedia-matches'!$A:$AD,AQ$2,0)</f>
        <v>#N/A</v>
      </c>
    </row>
    <row r="373" spans="2:43" x14ac:dyDescent="0.2">
      <c r="B373" t="s">
        <v>1033</v>
      </c>
      <c r="C373" t="s">
        <v>930</v>
      </c>
      <c r="D373" s="25">
        <v>0.45833333333333331</v>
      </c>
      <c r="E373" t="s">
        <v>1034</v>
      </c>
      <c r="F373" t="s">
        <v>1035</v>
      </c>
      <c r="H373">
        <v>57.9</v>
      </c>
      <c r="I373">
        <v>26.5</v>
      </c>
      <c r="J373">
        <v>15.6</v>
      </c>
      <c r="K373">
        <v>84.4</v>
      </c>
      <c r="L373">
        <v>42.1</v>
      </c>
      <c r="M373">
        <v>73.5</v>
      </c>
      <c r="N373">
        <v>30.5</v>
      </c>
      <c r="O373">
        <v>34.9</v>
      </c>
      <c r="P373">
        <v>34.700000000000003</v>
      </c>
      <c r="Q373">
        <v>83.3</v>
      </c>
      <c r="R373">
        <v>95.8</v>
      </c>
      <c r="S373">
        <v>86</v>
      </c>
      <c r="T373">
        <v>14</v>
      </c>
      <c r="U373">
        <v>19</v>
      </c>
      <c r="V373">
        <v>79.5</v>
      </c>
      <c r="W373">
        <v>20.5</v>
      </c>
      <c r="X373" t="str">
        <f>VLOOKUP(E373,'Transform table'!A:B,2,0)</f>
        <v>St. Mirren</v>
      </c>
      <c r="Y373" t="e">
        <f>VLOOKUP(F373,'Transform table'!A:B,2,0)</f>
        <v>#N/A</v>
      </c>
      <c r="Z373" t="e">
        <f t="shared" si="5"/>
        <v>#N/A</v>
      </c>
      <c r="AA373" t="e">
        <f>VLOOKUP($Z373,'oddspedia-matches'!$A:$AD,AA$2,0)</f>
        <v>#N/A</v>
      </c>
      <c r="AB373" t="e">
        <f>VLOOKUP($Z373,'oddspedia-matches'!$A:$AD,AB$2,0)</f>
        <v>#N/A</v>
      </c>
      <c r="AC373" t="e">
        <f>VLOOKUP($Z373,'oddspedia-matches'!$A:$AD,AC$2,0)</f>
        <v>#N/A</v>
      </c>
      <c r="AD373" t="e">
        <f>VLOOKUP($Z373,'oddspedia-matches'!$A:$AD,AD$2,0)</f>
        <v>#N/A</v>
      </c>
      <c r="AE373" t="e">
        <f>VLOOKUP($Z373,'oddspedia-matches'!$A:$AD,AE$2,0)</f>
        <v>#N/A</v>
      </c>
      <c r="AF373" t="e">
        <f>VLOOKUP($Z373,'oddspedia-matches'!$A:$AD,AF$2,0)</f>
        <v>#N/A</v>
      </c>
      <c r="AG373" t="e">
        <f>VLOOKUP($Z373,'oddspedia-matches'!$A:$AD,AG$2,0)</f>
        <v>#N/A</v>
      </c>
      <c r="AH373" t="e">
        <f>VLOOKUP($Z373,'oddspedia-matches'!$A:$AD,AH$2,0)</f>
        <v>#N/A</v>
      </c>
      <c r="AI373" t="e">
        <f>VLOOKUP($Z373,'oddspedia-matches'!$A:$AD,AI$2,0)</f>
        <v>#N/A</v>
      </c>
      <c r="AJ373" t="e">
        <f>VLOOKUP($Z373,'oddspedia-matches'!$A:$AD,AJ$2,0)</f>
        <v>#N/A</v>
      </c>
      <c r="AK373" t="e">
        <f>VLOOKUP($Z373,'oddspedia-matches'!$A:$AD,AK$2,0)</f>
        <v>#N/A</v>
      </c>
      <c r="AL373" t="e">
        <f>VLOOKUP($Z373,'oddspedia-matches'!$A:$AD,AL$2,0)</f>
        <v>#N/A</v>
      </c>
      <c r="AM373" t="e">
        <f>VLOOKUP($Z373,'oddspedia-matches'!$A:$AD,AM$2,0)</f>
        <v>#N/A</v>
      </c>
      <c r="AN373" t="e">
        <f>VLOOKUP($Z373,'oddspedia-matches'!$A:$AD,AN$2,0)</f>
        <v>#N/A</v>
      </c>
      <c r="AO373" t="e">
        <f>VLOOKUP($Z373,'oddspedia-matches'!$A:$AD,AO$2,0)</f>
        <v>#N/A</v>
      </c>
      <c r="AP373" t="e">
        <f>VLOOKUP($Z373,'oddspedia-matches'!$A:$AD,AP$2,0)</f>
        <v>#N/A</v>
      </c>
      <c r="AQ373" t="e">
        <f>VLOOKUP($Z373,'oddspedia-matches'!$A:$AD,AQ$2,0)</f>
        <v>#N/A</v>
      </c>
    </row>
    <row r="374" spans="2:43" x14ac:dyDescent="0.2">
      <c r="B374" t="s">
        <v>474</v>
      </c>
      <c r="C374" t="s">
        <v>930</v>
      </c>
      <c r="D374" s="25">
        <v>0.45833333333333331</v>
      </c>
      <c r="E374" t="s">
        <v>1036</v>
      </c>
      <c r="F374" t="s">
        <v>243</v>
      </c>
      <c r="H374">
        <v>49.7</v>
      </c>
      <c r="I374">
        <v>27</v>
      </c>
      <c r="J374">
        <v>23.3</v>
      </c>
      <c r="K374">
        <v>76.7</v>
      </c>
      <c r="L374">
        <v>50.3</v>
      </c>
      <c r="M374">
        <v>73</v>
      </c>
      <c r="N374">
        <v>35.200000000000003</v>
      </c>
      <c r="O374">
        <v>43.1</v>
      </c>
      <c r="P374">
        <v>21.7</v>
      </c>
      <c r="Q374">
        <v>69.5</v>
      </c>
      <c r="R374">
        <v>76.8</v>
      </c>
      <c r="S374">
        <v>51.3</v>
      </c>
      <c r="T374">
        <v>48.7</v>
      </c>
      <c r="U374">
        <v>55</v>
      </c>
      <c r="V374">
        <v>54.4</v>
      </c>
      <c r="W374">
        <v>45.6</v>
      </c>
      <c r="X374" t="str">
        <f>VLOOKUP(E374,'Transform table'!A:B,2,0)</f>
        <v>HJK Helsinki</v>
      </c>
      <c r="Y374" t="str">
        <f>VLOOKUP(F374,'Transform table'!A:B,2,0)</f>
        <v>Turku PS</v>
      </c>
      <c r="Z374" t="str">
        <f t="shared" si="5"/>
        <v>26/07/2026HJK HelsinkiTurku PS</v>
      </c>
      <c r="AA374" t="e">
        <f>VLOOKUP($Z374,'oddspedia-matches'!$A:$AD,AA$2,0)</f>
        <v>#N/A</v>
      </c>
      <c r="AB374" t="e">
        <f>VLOOKUP($Z374,'oddspedia-matches'!$A:$AD,AB$2,0)</f>
        <v>#N/A</v>
      </c>
      <c r="AC374" t="e">
        <f>VLOOKUP($Z374,'oddspedia-matches'!$A:$AD,AC$2,0)</f>
        <v>#N/A</v>
      </c>
      <c r="AD374" t="e">
        <f>VLOOKUP($Z374,'oddspedia-matches'!$A:$AD,AD$2,0)</f>
        <v>#N/A</v>
      </c>
      <c r="AE374" t="e">
        <f>VLOOKUP($Z374,'oddspedia-matches'!$A:$AD,AE$2,0)</f>
        <v>#N/A</v>
      </c>
      <c r="AF374" t="e">
        <f>VLOOKUP($Z374,'oddspedia-matches'!$A:$AD,AF$2,0)</f>
        <v>#N/A</v>
      </c>
      <c r="AG374" t="e">
        <f>VLOOKUP($Z374,'oddspedia-matches'!$A:$AD,AG$2,0)</f>
        <v>#N/A</v>
      </c>
      <c r="AH374" t="e">
        <f>VLOOKUP($Z374,'oddspedia-matches'!$A:$AD,AH$2,0)</f>
        <v>#N/A</v>
      </c>
      <c r="AI374" t="e">
        <f>VLOOKUP($Z374,'oddspedia-matches'!$A:$AD,AI$2,0)</f>
        <v>#N/A</v>
      </c>
      <c r="AJ374" t="e">
        <f>VLOOKUP($Z374,'oddspedia-matches'!$A:$AD,AJ$2,0)</f>
        <v>#N/A</v>
      </c>
      <c r="AK374" t="e">
        <f>VLOOKUP($Z374,'oddspedia-matches'!$A:$AD,AK$2,0)</f>
        <v>#N/A</v>
      </c>
      <c r="AL374" t="e">
        <f>VLOOKUP($Z374,'oddspedia-matches'!$A:$AD,AL$2,0)</f>
        <v>#N/A</v>
      </c>
      <c r="AM374" t="e">
        <f>VLOOKUP($Z374,'oddspedia-matches'!$A:$AD,AM$2,0)</f>
        <v>#N/A</v>
      </c>
      <c r="AN374" t="e">
        <f>VLOOKUP($Z374,'oddspedia-matches'!$A:$AD,AN$2,0)</f>
        <v>#N/A</v>
      </c>
      <c r="AO374" t="e">
        <f>VLOOKUP($Z374,'oddspedia-matches'!$A:$AD,AO$2,0)</f>
        <v>#N/A</v>
      </c>
      <c r="AP374" t="e">
        <f>VLOOKUP($Z374,'oddspedia-matches'!$A:$AD,AP$2,0)</f>
        <v>#N/A</v>
      </c>
      <c r="AQ374" t="e">
        <f>VLOOKUP($Z374,'oddspedia-matches'!$A:$AD,AQ$2,0)</f>
        <v>#N/A</v>
      </c>
    </row>
    <row r="375" spans="2:43" x14ac:dyDescent="0.2">
      <c r="B375" t="s">
        <v>965</v>
      </c>
      <c r="C375" t="s">
        <v>930</v>
      </c>
      <c r="D375" s="25">
        <v>0.45833333333333331</v>
      </c>
      <c r="E375" t="s">
        <v>1037</v>
      </c>
      <c r="F375" t="s">
        <v>1038</v>
      </c>
      <c r="H375">
        <v>0</v>
      </c>
      <c r="I375">
        <v>100</v>
      </c>
      <c r="J375">
        <v>0</v>
      </c>
      <c r="K375">
        <v>100</v>
      </c>
      <c r="L375">
        <v>100</v>
      </c>
      <c r="M375">
        <v>0</v>
      </c>
      <c r="N375">
        <v>0</v>
      </c>
      <c r="O375">
        <v>100</v>
      </c>
      <c r="P375">
        <v>0</v>
      </c>
      <c r="Q375">
        <v>0</v>
      </c>
      <c r="R375">
        <v>0</v>
      </c>
      <c r="S375">
        <v>0</v>
      </c>
      <c r="T375">
        <v>100</v>
      </c>
      <c r="U375">
        <v>100</v>
      </c>
      <c r="V375">
        <v>0</v>
      </c>
      <c r="W375">
        <v>100</v>
      </c>
      <c r="X375" t="str">
        <f>VLOOKUP(E375,'Transform table'!A:B,2,0)</f>
        <v>Lokomotiv Sofia</v>
      </c>
      <c r="Y375" t="e">
        <f>VLOOKUP(F375,'Transform table'!A:B,2,0)</f>
        <v>#N/A</v>
      </c>
      <c r="Z375" t="e">
        <f t="shared" si="5"/>
        <v>#N/A</v>
      </c>
      <c r="AA375" t="e">
        <f>VLOOKUP($Z375,'oddspedia-matches'!$A:$AD,AA$2,0)</f>
        <v>#N/A</v>
      </c>
      <c r="AB375" t="e">
        <f>VLOOKUP($Z375,'oddspedia-matches'!$A:$AD,AB$2,0)</f>
        <v>#N/A</v>
      </c>
      <c r="AC375" t="e">
        <f>VLOOKUP($Z375,'oddspedia-matches'!$A:$AD,AC$2,0)</f>
        <v>#N/A</v>
      </c>
      <c r="AD375" t="e">
        <f>VLOOKUP($Z375,'oddspedia-matches'!$A:$AD,AD$2,0)</f>
        <v>#N/A</v>
      </c>
      <c r="AE375" t="e">
        <f>VLOOKUP($Z375,'oddspedia-matches'!$A:$AD,AE$2,0)</f>
        <v>#N/A</v>
      </c>
      <c r="AF375" t="e">
        <f>VLOOKUP($Z375,'oddspedia-matches'!$A:$AD,AF$2,0)</f>
        <v>#N/A</v>
      </c>
      <c r="AG375" t="e">
        <f>VLOOKUP($Z375,'oddspedia-matches'!$A:$AD,AG$2,0)</f>
        <v>#N/A</v>
      </c>
      <c r="AH375" t="e">
        <f>VLOOKUP($Z375,'oddspedia-matches'!$A:$AD,AH$2,0)</f>
        <v>#N/A</v>
      </c>
      <c r="AI375" t="e">
        <f>VLOOKUP($Z375,'oddspedia-matches'!$A:$AD,AI$2,0)</f>
        <v>#N/A</v>
      </c>
      <c r="AJ375" t="e">
        <f>VLOOKUP($Z375,'oddspedia-matches'!$A:$AD,AJ$2,0)</f>
        <v>#N/A</v>
      </c>
      <c r="AK375" t="e">
        <f>VLOOKUP($Z375,'oddspedia-matches'!$A:$AD,AK$2,0)</f>
        <v>#N/A</v>
      </c>
      <c r="AL375" t="e">
        <f>VLOOKUP($Z375,'oddspedia-matches'!$A:$AD,AL$2,0)</f>
        <v>#N/A</v>
      </c>
      <c r="AM375" t="e">
        <f>VLOOKUP($Z375,'oddspedia-matches'!$A:$AD,AM$2,0)</f>
        <v>#N/A</v>
      </c>
      <c r="AN375" t="e">
        <f>VLOOKUP($Z375,'oddspedia-matches'!$A:$AD,AN$2,0)</f>
        <v>#N/A</v>
      </c>
      <c r="AO375" t="e">
        <f>VLOOKUP($Z375,'oddspedia-matches'!$A:$AD,AO$2,0)</f>
        <v>#N/A</v>
      </c>
      <c r="AP375" t="e">
        <f>VLOOKUP($Z375,'oddspedia-matches'!$A:$AD,AP$2,0)</f>
        <v>#N/A</v>
      </c>
      <c r="AQ375" t="e">
        <f>VLOOKUP($Z375,'oddspedia-matches'!$A:$AD,AQ$2,0)</f>
        <v>#N/A</v>
      </c>
    </row>
    <row r="376" spans="2:43" x14ac:dyDescent="0.2">
      <c r="B376" t="s">
        <v>947</v>
      </c>
      <c r="C376" t="s">
        <v>930</v>
      </c>
      <c r="D376" s="25">
        <v>0.45833333333333331</v>
      </c>
      <c r="E376" t="s">
        <v>1039</v>
      </c>
      <c r="F376" t="s">
        <v>1040</v>
      </c>
      <c r="H376">
        <v>54.1</v>
      </c>
      <c r="I376">
        <v>29.6</v>
      </c>
      <c r="J376">
        <v>16.399999999999999</v>
      </c>
      <c r="K376">
        <v>83.6</v>
      </c>
      <c r="L376">
        <v>45.9</v>
      </c>
      <c r="M376">
        <v>70.400000000000006</v>
      </c>
      <c r="N376">
        <v>36.299999999999997</v>
      </c>
      <c r="O376">
        <v>58.1</v>
      </c>
      <c r="P376">
        <v>5.6</v>
      </c>
      <c r="Q376">
        <v>44.9</v>
      </c>
      <c r="R376">
        <v>61.5</v>
      </c>
      <c r="S376">
        <v>33.299999999999997</v>
      </c>
      <c r="T376">
        <v>66.7</v>
      </c>
      <c r="U376">
        <v>73.3</v>
      </c>
      <c r="V376">
        <v>36.700000000000003</v>
      </c>
      <c r="W376">
        <v>63.3</v>
      </c>
      <c r="X376" t="str">
        <f>VLOOKUP(E376,'Transform table'!A:B,2,0)</f>
        <v>Tottenham</v>
      </c>
      <c r="Y376" t="e">
        <f>VLOOKUP(F376,'Transform table'!A:B,2,0)</f>
        <v>#N/A</v>
      </c>
      <c r="Z376" t="e">
        <f t="shared" si="5"/>
        <v>#N/A</v>
      </c>
      <c r="AA376" t="e">
        <f>VLOOKUP($Z376,'oddspedia-matches'!$A:$AD,AA$2,0)</f>
        <v>#N/A</v>
      </c>
      <c r="AB376" t="e">
        <f>VLOOKUP($Z376,'oddspedia-matches'!$A:$AD,AB$2,0)</f>
        <v>#N/A</v>
      </c>
      <c r="AC376" t="e">
        <f>VLOOKUP($Z376,'oddspedia-matches'!$A:$AD,AC$2,0)</f>
        <v>#N/A</v>
      </c>
      <c r="AD376" t="e">
        <f>VLOOKUP($Z376,'oddspedia-matches'!$A:$AD,AD$2,0)</f>
        <v>#N/A</v>
      </c>
      <c r="AE376" t="e">
        <f>VLOOKUP($Z376,'oddspedia-matches'!$A:$AD,AE$2,0)</f>
        <v>#N/A</v>
      </c>
      <c r="AF376" t="e">
        <f>VLOOKUP($Z376,'oddspedia-matches'!$A:$AD,AF$2,0)</f>
        <v>#N/A</v>
      </c>
      <c r="AG376" t="e">
        <f>VLOOKUP($Z376,'oddspedia-matches'!$A:$AD,AG$2,0)</f>
        <v>#N/A</v>
      </c>
      <c r="AH376" t="e">
        <f>VLOOKUP($Z376,'oddspedia-matches'!$A:$AD,AH$2,0)</f>
        <v>#N/A</v>
      </c>
      <c r="AI376" t="e">
        <f>VLOOKUP($Z376,'oddspedia-matches'!$A:$AD,AI$2,0)</f>
        <v>#N/A</v>
      </c>
      <c r="AJ376" t="e">
        <f>VLOOKUP($Z376,'oddspedia-matches'!$A:$AD,AJ$2,0)</f>
        <v>#N/A</v>
      </c>
      <c r="AK376" t="e">
        <f>VLOOKUP($Z376,'oddspedia-matches'!$A:$AD,AK$2,0)</f>
        <v>#N/A</v>
      </c>
      <c r="AL376" t="e">
        <f>VLOOKUP($Z376,'oddspedia-matches'!$A:$AD,AL$2,0)</f>
        <v>#N/A</v>
      </c>
      <c r="AM376" t="e">
        <f>VLOOKUP($Z376,'oddspedia-matches'!$A:$AD,AM$2,0)</f>
        <v>#N/A</v>
      </c>
      <c r="AN376" t="e">
        <f>VLOOKUP($Z376,'oddspedia-matches'!$A:$AD,AN$2,0)</f>
        <v>#N/A</v>
      </c>
      <c r="AO376" t="e">
        <f>VLOOKUP($Z376,'oddspedia-matches'!$A:$AD,AO$2,0)</f>
        <v>#N/A</v>
      </c>
      <c r="AP376" t="e">
        <f>VLOOKUP($Z376,'oddspedia-matches'!$A:$AD,AP$2,0)</f>
        <v>#N/A</v>
      </c>
      <c r="AQ376" t="e">
        <f>VLOOKUP($Z376,'oddspedia-matches'!$A:$AD,AQ$2,0)</f>
        <v>#N/A</v>
      </c>
    </row>
    <row r="377" spans="2:43" x14ac:dyDescent="0.2">
      <c r="B377" t="s">
        <v>486</v>
      </c>
      <c r="C377" t="s">
        <v>930</v>
      </c>
      <c r="D377" s="25">
        <v>0.45833333333333331</v>
      </c>
      <c r="E377" t="s">
        <v>1041</v>
      </c>
      <c r="F377" t="s">
        <v>1042</v>
      </c>
      <c r="H377">
        <v>54</v>
      </c>
      <c r="I377">
        <v>28.3</v>
      </c>
      <c r="J377">
        <v>17.7</v>
      </c>
      <c r="K377">
        <v>82.3</v>
      </c>
      <c r="L377">
        <v>46</v>
      </c>
      <c r="M377">
        <v>71.7</v>
      </c>
      <c r="N377">
        <v>38.200000000000003</v>
      </c>
      <c r="O377">
        <v>48.5</v>
      </c>
      <c r="P377">
        <v>13.4</v>
      </c>
      <c r="Q377">
        <v>59.6</v>
      </c>
      <c r="R377">
        <v>66.8</v>
      </c>
      <c r="S377">
        <v>39</v>
      </c>
      <c r="T377">
        <v>61</v>
      </c>
      <c r="U377">
        <v>67.8</v>
      </c>
      <c r="V377">
        <v>42.1</v>
      </c>
      <c r="W377">
        <v>57.9</v>
      </c>
      <c r="X377">
        <f>VLOOKUP(E377,'Transform table'!A:B,2,0)</f>
        <v>0</v>
      </c>
      <c r="Y377" t="e">
        <f>VLOOKUP(F377,'Transform table'!A:B,2,0)</f>
        <v>#N/A</v>
      </c>
      <c r="Z377" t="e">
        <f t="shared" si="5"/>
        <v>#N/A</v>
      </c>
      <c r="AA377" t="e">
        <f>VLOOKUP($Z377,'oddspedia-matches'!$A:$AD,AA$2,0)</f>
        <v>#N/A</v>
      </c>
      <c r="AB377" t="e">
        <f>VLOOKUP($Z377,'oddspedia-matches'!$A:$AD,AB$2,0)</f>
        <v>#N/A</v>
      </c>
      <c r="AC377" t="e">
        <f>VLOOKUP($Z377,'oddspedia-matches'!$A:$AD,AC$2,0)</f>
        <v>#N/A</v>
      </c>
      <c r="AD377" t="e">
        <f>VLOOKUP($Z377,'oddspedia-matches'!$A:$AD,AD$2,0)</f>
        <v>#N/A</v>
      </c>
      <c r="AE377" t="e">
        <f>VLOOKUP($Z377,'oddspedia-matches'!$A:$AD,AE$2,0)</f>
        <v>#N/A</v>
      </c>
      <c r="AF377" t="e">
        <f>VLOOKUP($Z377,'oddspedia-matches'!$A:$AD,AF$2,0)</f>
        <v>#N/A</v>
      </c>
      <c r="AG377" t="e">
        <f>VLOOKUP($Z377,'oddspedia-matches'!$A:$AD,AG$2,0)</f>
        <v>#N/A</v>
      </c>
      <c r="AH377" t="e">
        <f>VLOOKUP($Z377,'oddspedia-matches'!$A:$AD,AH$2,0)</f>
        <v>#N/A</v>
      </c>
      <c r="AI377" t="e">
        <f>VLOOKUP($Z377,'oddspedia-matches'!$A:$AD,AI$2,0)</f>
        <v>#N/A</v>
      </c>
      <c r="AJ377" t="e">
        <f>VLOOKUP($Z377,'oddspedia-matches'!$A:$AD,AJ$2,0)</f>
        <v>#N/A</v>
      </c>
      <c r="AK377" t="e">
        <f>VLOOKUP($Z377,'oddspedia-matches'!$A:$AD,AK$2,0)</f>
        <v>#N/A</v>
      </c>
      <c r="AL377" t="e">
        <f>VLOOKUP($Z377,'oddspedia-matches'!$A:$AD,AL$2,0)</f>
        <v>#N/A</v>
      </c>
      <c r="AM377" t="e">
        <f>VLOOKUP($Z377,'oddspedia-matches'!$A:$AD,AM$2,0)</f>
        <v>#N/A</v>
      </c>
      <c r="AN377" t="e">
        <f>VLOOKUP($Z377,'oddspedia-matches'!$A:$AD,AN$2,0)</f>
        <v>#N/A</v>
      </c>
      <c r="AO377" t="e">
        <f>VLOOKUP($Z377,'oddspedia-matches'!$A:$AD,AO$2,0)</f>
        <v>#N/A</v>
      </c>
      <c r="AP377" t="e">
        <f>VLOOKUP($Z377,'oddspedia-matches'!$A:$AD,AP$2,0)</f>
        <v>#N/A</v>
      </c>
      <c r="AQ377" t="e">
        <f>VLOOKUP($Z377,'oddspedia-matches'!$A:$AD,AQ$2,0)</f>
        <v>#N/A</v>
      </c>
    </row>
    <row r="378" spans="2:43" x14ac:dyDescent="0.2">
      <c r="B378" t="s">
        <v>1043</v>
      </c>
      <c r="C378" t="s">
        <v>930</v>
      </c>
      <c r="D378" s="25">
        <v>0.47916666666666669</v>
      </c>
      <c r="E378" t="s">
        <v>1044</v>
      </c>
      <c r="F378" t="s">
        <v>1045</v>
      </c>
      <c r="H378">
        <v>16.2</v>
      </c>
      <c r="I378">
        <v>50.7</v>
      </c>
      <c r="J378">
        <v>33.1</v>
      </c>
      <c r="K378">
        <v>66.900000000000006</v>
      </c>
      <c r="L378">
        <v>83.8</v>
      </c>
      <c r="M378">
        <v>49.3</v>
      </c>
      <c r="N378">
        <v>0</v>
      </c>
      <c r="O378">
        <v>82.8</v>
      </c>
      <c r="P378">
        <v>17.2</v>
      </c>
      <c r="Q378">
        <v>17.2</v>
      </c>
      <c r="R378">
        <v>23.6</v>
      </c>
      <c r="S378">
        <v>6.3</v>
      </c>
      <c r="T378">
        <v>93.7</v>
      </c>
      <c r="U378">
        <v>95.2</v>
      </c>
      <c r="V378">
        <v>12.9</v>
      </c>
      <c r="W378">
        <v>87.1</v>
      </c>
      <c r="X378" t="str">
        <f>VLOOKUP(E378,'Transform table'!A:B,2,0)</f>
        <v>Sepsi OSK</v>
      </c>
      <c r="Y378" t="e">
        <f>VLOOKUP(F378,'Transform table'!A:B,2,0)</f>
        <v>#N/A</v>
      </c>
      <c r="Z378" t="e">
        <f t="shared" si="5"/>
        <v>#N/A</v>
      </c>
      <c r="AA378" t="e">
        <f>VLOOKUP($Z378,'oddspedia-matches'!$A:$AD,AA$2,0)</f>
        <v>#N/A</v>
      </c>
      <c r="AB378" t="e">
        <f>VLOOKUP($Z378,'oddspedia-matches'!$A:$AD,AB$2,0)</f>
        <v>#N/A</v>
      </c>
      <c r="AC378" t="e">
        <f>VLOOKUP($Z378,'oddspedia-matches'!$A:$AD,AC$2,0)</f>
        <v>#N/A</v>
      </c>
      <c r="AD378" t="e">
        <f>VLOOKUP($Z378,'oddspedia-matches'!$A:$AD,AD$2,0)</f>
        <v>#N/A</v>
      </c>
      <c r="AE378" t="e">
        <f>VLOOKUP($Z378,'oddspedia-matches'!$A:$AD,AE$2,0)</f>
        <v>#N/A</v>
      </c>
      <c r="AF378" t="e">
        <f>VLOOKUP($Z378,'oddspedia-matches'!$A:$AD,AF$2,0)</f>
        <v>#N/A</v>
      </c>
      <c r="AG378" t="e">
        <f>VLOOKUP($Z378,'oddspedia-matches'!$A:$AD,AG$2,0)</f>
        <v>#N/A</v>
      </c>
      <c r="AH378" t="e">
        <f>VLOOKUP($Z378,'oddspedia-matches'!$A:$AD,AH$2,0)</f>
        <v>#N/A</v>
      </c>
      <c r="AI378" t="e">
        <f>VLOOKUP($Z378,'oddspedia-matches'!$A:$AD,AI$2,0)</f>
        <v>#N/A</v>
      </c>
      <c r="AJ378" t="e">
        <f>VLOOKUP($Z378,'oddspedia-matches'!$A:$AD,AJ$2,0)</f>
        <v>#N/A</v>
      </c>
      <c r="AK378" t="e">
        <f>VLOOKUP($Z378,'oddspedia-matches'!$A:$AD,AK$2,0)</f>
        <v>#N/A</v>
      </c>
      <c r="AL378" t="e">
        <f>VLOOKUP($Z378,'oddspedia-matches'!$A:$AD,AL$2,0)</f>
        <v>#N/A</v>
      </c>
      <c r="AM378" t="e">
        <f>VLOOKUP($Z378,'oddspedia-matches'!$A:$AD,AM$2,0)</f>
        <v>#N/A</v>
      </c>
      <c r="AN378" t="e">
        <f>VLOOKUP($Z378,'oddspedia-matches'!$A:$AD,AN$2,0)</f>
        <v>#N/A</v>
      </c>
      <c r="AO378" t="e">
        <f>VLOOKUP($Z378,'oddspedia-matches'!$A:$AD,AO$2,0)</f>
        <v>#N/A</v>
      </c>
      <c r="AP378" t="e">
        <f>VLOOKUP($Z378,'oddspedia-matches'!$A:$AD,AP$2,0)</f>
        <v>#N/A</v>
      </c>
      <c r="AQ378" t="e">
        <f>VLOOKUP($Z378,'oddspedia-matches'!$A:$AD,AQ$2,0)</f>
        <v>#N/A</v>
      </c>
    </row>
    <row r="379" spans="2:43" x14ac:dyDescent="0.2">
      <c r="B379" t="s">
        <v>476</v>
      </c>
      <c r="C379" t="s">
        <v>930</v>
      </c>
      <c r="D379" s="25">
        <v>0.47916666666666669</v>
      </c>
      <c r="E379" t="s">
        <v>1046</v>
      </c>
      <c r="F379" t="s">
        <v>1047</v>
      </c>
      <c r="H379">
        <v>63.6</v>
      </c>
      <c r="I379">
        <v>23.6</v>
      </c>
      <c r="J379">
        <v>12.9</v>
      </c>
      <c r="K379">
        <v>87.1</v>
      </c>
      <c r="L379">
        <v>36.4</v>
      </c>
      <c r="M379">
        <v>76.400000000000006</v>
      </c>
      <c r="N379">
        <v>32</v>
      </c>
      <c r="O379">
        <v>48.1</v>
      </c>
      <c r="P379">
        <v>19.899999999999999</v>
      </c>
      <c r="Q379">
        <v>62</v>
      </c>
      <c r="R379">
        <v>75.8</v>
      </c>
      <c r="S379">
        <v>50.2</v>
      </c>
      <c r="T379">
        <v>49.8</v>
      </c>
      <c r="U379">
        <v>58.7</v>
      </c>
      <c r="V379">
        <v>46.3</v>
      </c>
      <c r="W379">
        <v>53.7</v>
      </c>
      <c r="X379" t="str">
        <f>VLOOKUP(E379,'Transform table'!A:B,2,0)</f>
        <v>GAIS Gothenburg</v>
      </c>
      <c r="Y379" t="e">
        <f>VLOOKUP(F379,'Transform table'!A:B,2,0)</f>
        <v>#N/A</v>
      </c>
      <c r="Z379" t="e">
        <f t="shared" si="5"/>
        <v>#N/A</v>
      </c>
      <c r="AA379" t="e">
        <f>VLOOKUP($Z379,'oddspedia-matches'!$A:$AD,AA$2,0)</f>
        <v>#N/A</v>
      </c>
      <c r="AB379" t="e">
        <f>VLOOKUP($Z379,'oddspedia-matches'!$A:$AD,AB$2,0)</f>
        <v>#N/A</v>
      </c>
      <c r="AC379" t="e">
        <f>VLOOKUP($Z379,'oddspedia-matches'!$A:$AD,AC$2,0)</f>
        <v>#N/A</v>
      </c>
      <c r="AD379" t="e">
        <f>VLOOKUP($Z379,'oddspedia-matches'!$A:$AD,AD$2,0)</f>
        <v>#N/A</v>
      </c>
      <c r="AE379" t="e">
        <f>VLOOKUP($Z379,'oddspedia-matches'!$A:$AD,AE$2,0)</f>
        <v>#N/A</v>
      </c>
      <c r="AF379" t="e">
        <f>VLOOKUP($Z379,'oddspedia-matches'!$A:$AD,AF$2,0)</f>
        <v>#N/A</v>
      </c>
      <c r="AG379" t="e">
        <f>VLOOKUP($Z379,'oddspedia-matches'!$A:$AD,AG$2,0)</f>
        <v>#N/A</v>
      </c>
      <c r="AH379" t="e">
        <f>VLOOKUP($Z379,'oddspedia-matches'!$A:$AD,AH$2,0)</f>
        <v>#N/A</v>
      </c>
      <c r="AI379" t="e">
        <f>VLOOKUP($Z379,'oddspedia-matches'!$A:$AD,AI$2,0)</f>
        <v>#N/A</v>
      </c>
      <c r="AJ379" t="e">
        <f>VLOOKUP($Z379,'oddspedia-matches'!$A:$AD,AJ$2,0)</f>
        <v>#N/A</v>
      </c>
      <c r="AK379" t="e">
        <f>VLOOKUP($Z379,'oddspedia-matches'!$A:$AD,AK$2,0)</f>
        <v>#N/A</v>
      </c>
      <c r="AL379" t="e">
        <f>VLOOKUP($Z379,'oddspedia-matches'!$A:$AD,AL$2,0)</f>
        <v>#N/A</v>
      </c>
      <c r="AM379" t="e">
        <f>VLOOKUP($Z379,'oddspedia-matches'!$A:$AD,AM$2,0)</f>
        <v>#N/A</v>
      </c>
      <c r="AN379" t="e">
        <f>VLOOKUP($Z379,'oddspedia-matches'!$A:$AD,AN$2,0)</f>
        <v>#N/A</v>
      </c>
      <c r="AO379" t="e">
        <f>VLOOKUP($Z379,'oddspedia-matches'!$A:$AD,AO$2,0)</f>
        <v>#N/A</v>
      </c>
      <c r="AP379" t="e">
        <f>VLOOKUP($Z379,'oddspedia-matches'!$A:$AD,AP$2,0)</f>
        <v>#N/A</v>
      </c>
      <c r="AQ379" t="e">
        <f>VLOOKUP($Z379,'oddspedia-matches'!$A:$AD,AQ$2,0)</f>
        <v>#N/A</v>
      </c>
    </row>
    <row r="380" spans="2:43" x14ac:dyDescent="0.2">
      <c r="B380" t="s">
        <v>476</v>
      </c>
      <c r="C380" t="s">
        <v>930</v>
      </c>
      <c r="D380" s="25">
        <v>0.47916666666666669</v>
      </c>
      <c r="E380" t="s">
        <v>257</v>
      </c>
      <c r="F380" t="s">
        <v>1048</v>
      </c>
      <c r="H380">
        <v>48.2</v>
      </c>
      <c r="I380">
        <v>25.4</v>
      </c>
      <c r="J380">
        <v>26.4</v>
      </c>
      <c r="K380">
        <v>73.599999999999994</v>
      </c>
      <c r="L380">
        <v>51.8</v>
      </c>
      <c r="M380">
        <v>74.599999999999994</v>
      </c>
      <c r="N380">
        <v>36.299999999999997</v>
      </c>
      <c r="O380">
        <v>38.1</v>
      </c>
      <c r="P380">
        <v>25.6</v>
      </c>
      <c r="Q380">
        <v>77.7</v>
      </c>
      <c r="R380">
        <v>85.5</v>
      </c>
      <c r="S380">
        <v>64.7</v>
      </c>
      <c r="T380">
        <v>35.299999999999997</v>
      </c>
      <c r="U380">
        <v>41.3</v>
      </c>
      <c r="V380">
        <v>65.7</v>
      </c>
      <c r="W380">
        <v>34.299999999999997</v>
      </c>
      <c r="X380" t="str">
        <f>VLOOKUP(E380,'Transform table'!A:B,2,0)</f>
        <v>Malmo</v>
      </c>
      <c r="Y380" t="e">
        <f>VLOOKUP(F380,'Transform table'!A:B,2,0)</f>
        <v>#N/A</v>
      </c>
      <c r="Z380" t="e">
        <f t="shared" si="5"/>
        <v>#N/A</v>
      </c>
      <c r="AA380" t="e">
        <f>VLOOKUP($Z380,'oddspedia-matches'!$A:$AD,AA$2,0)</f>
        <v>#N/A</v>
      </c>
      <c r="AB380" t="e">
        <f>VLOOKUP($Z380,'oddspedia-matches'!$A:$AD,AB$2,0)</f>
        <v>#N/A</v>
      </c>
      <c r="AC380" t="e">
        <f>VLOOKUP($Z380,'oddspedia-matches'!$A:$AD,AC$2,0)</f>
        <v>#N/A</v>
      </c>
      <c r="AD380" t="e">
        <f>VLOOKUP($Z380,'oddspedia-matches'!$A:$AD,AD$2,0)</f>
        <v>#N/A</v>
      </c>
      <c r="AE380" t="e">
        <f>VLOOKUP($Z380,'oddspedia-matches'!$A:$AD,AE$2,0)</f>
        <v>#N/A</v>
      </c>
      <c r="AF380" t="e">
        <f>VLOOKUP($Z380,'oddspedia-matches'!$A:$AD,AF$2,0)</f>
        <v>#N/A</v>
      </c>
      <c r="AG380" t="e">
        <f>VLOOKUP($Z380,'oddspedia-matches'!$A:$AD,AG$2,0)</f>
        <v>#N/A</v>
      </c>
      <c r="AH380" t="e">
        <f>VLOOKUP($Z380,'oddspedia-matches'!$A:$AD,AH$2,0)</f>
        <v>#N/A</v>
      </c>
      <c r="AI380" t="e">
        <f>VLOOKUP($Z380,'oddspedia-matches'!$A:$AD,AI$2,0)</f>
        <v>#N/A</v>
      </c>
      <c r="AJ380" t="e">
        <f>VLOOKUP($Z380,'oddspedia-matches'!$A:$AD,AJ$2,0)</f>
        <v>#N/A</v>
      </c>
      <c r="AK380" t="e">
        <f>VLOOKUP($Z380,'oddspedia-matches'!$A:$AD,AK$2,0)</f>
        <v>#N/A</v>
      </c>
      <c r="AL380" t="e">
        <f>VLOOKUP($Z380,'oddspedia-matches'!$A:$AD,AL$2,0)</f>
        <v>#N/A</v>
      </c>
      <c r="AM380" t="e">
        <f>VLOOKUP($Z380,'oddspedia-matches'!$A:$AD,AM$2,0)</f>
        <v>#N/A</v>
      </c>
      <c r="AN380" t="e">
        <f>VLOOKUP($Z380,'oddspedia-matches'!$A:$AD,AN$2,0)</f>
        <v>#N/A</v>
      </c>
      <c r="AO380" t="e">
        <f>VLOOKUP($Z380,'oddspedia-matches'!$A:$AD,AO$2,0)</f>
        <v>#N/A</v>
      </c>
      <c r="AP380" t="e">
        <f>VLOOKUP($Z380,'oddspedia-matches'!$A:$AD,AP$2,0)</f>
        <v>#N/A</v>
      </c>
      <c r="AQ380" t="e">
        <f>VLOOKUP($Z380,'oddspedia-matches'!$A:$AD,AQ$2,0)</f>
        <v>#N/A</v>
      </c>
    </row>
    <row r="381" spans="2:43" x14ac:dyDescent="0.2">
      <c r="B381" t="s">
        <v>584</v>
      </c>
      <c r="C381" t="s">
        <v>930</v>
      </c>
      <c r="D381" s="25">
        <v>0.5</v>
      </c>
      <c r="E381" t="s">
        <v>1049</v>
      </c>
      <c r="F381" t="s">
        <v>1050</v>
      </c>
      <c r="H381">
        <v>39</v>
      </c>
      <c r="I381">
        <v>32.299999999999997</v>
      </c>
      <c r="J381">
        <v>28.7</v>
      </c>
      <c r="K381">
        <v>71.3</v>
      </c>
      <c r="L381">
        <v>61</v>
      </c>
      <c r="M381">
        <v>67.7</v>
      </c>
      <c r="N381">
        <v>24</v>
      </c>
      <c r="O381">
        <v>51.8</v>
      </c>
      <c r="P381">
        <v>24.2</v>
      </c>
      <c r="Q381">
        <v>57.3</v>
      </c>
      <c r="R381">
        <v>63.6</v>
      </c>
      <c r="S381">
        <v>35.299999999999997</v>
      </c>
      <c r="T381">
        <v>64.7</v>
      </c>
      <c r="U381">
        <v>69.599999999999994</v>
      </c>
      <c r="V381">
        <v>43.5</v>
      </c>
      <c r="W381">
        <v>56.5</v>
      </c>
      <c r="X381" t="str">
        <f>VLOOKUP(E381,'Transform table'!A:B,2,0)</f>
        <v>FK Kaspyi Aktau U21</v>
      </c>
      <c r="Y381" t="e">
        <f>VLOOKUP(F381,'Transform table'!A:B,2,0)</f>
        <v>#N/A</v>
      </c>
      <c r="Z381" t="e">
        <f t="shared" si="5"/>
        <v>#N/A</v>
      </c>
      <c r="AA381" t="e">
        <f>VLOOKUP($Z381,'oddspedia-matches'!$A:$AD,AA$2,0)</f>
        <v>#N/A</v>
      </c>
      <c r="AB381" t="e">
        <f>VLOOKUP($Z381,'oddspedia-matches'!$A:$AD,AB$2,0)</f>
        <v>#N/A</v>
      </c>
      <c r="AC381" t="e">
        <f>VLOOKUP($Z381,'oddspedia-matches'!$A:$AD,AC$2,0)</f>
        <v>#N/A</v>
      </c>
      <c r="AD381" t="e">
        <f>VLOOKUP($Z381,'oddspedia-matches'!$A:$AD,AD$2,0)</f>
        <v>#N/A</v>
      </c>
      <c r="AE381" t="e">
        <f>VLOOKUP($Z381,'oddspedia-matches'!$A:$AD,AE$2,0)</f>
        <v>#N/A</v>
      </c>
      <c r="AF381" t="e">
        <f>VLOOKUP($Z381,'oddspedia-matches'!$A:$AD,AF$2,0)</f>
        <v>#N/A</v>
      </c>
      <c r="AG381" t="e">
        <f>VLOOKUP($Z381,'oddspedia-matches'!$A:$AD,AG$2,0)</f>
        <v>#N/A</v>
      </c>
      <c r="AH381" t="e">
        <f>VLOOKUP($Z381,'oddspedia-matches'!$A:$AD,AH$2,0)</f>
        <v>#N/A</v>
      </c>
      <c r="AI381" t="e">
        <f>VLOOKUP($Z381,'oddspedia-matches'!$A:$AD,AI$2,0)</f>
        <v>#N/A</v>
      </c>
      <c r="AJ381" t="e">
        <f>VLOOKUP($Z381,'oddspedia-matches'!$A:$AD,AJ$2,0)</f>
        <v>#N/A</v>
      </c>
      <c r="AK381" t="e">
        <f>VLOOKUP($Z381,'oddspedia-matches'!$A:$AD,AK$2,0)</f>
        <v>#N/A</v>
      </c>
      <c r="AL381" t="e">
        <f>VLOOKUP($Z381,'oddspedia-matches'!$A:$AD,AL$2,0)</f>
        <v>#N/A</v>
      </c>
      <c r="AM381" t="e">
        <f>VLOOKUP($Z381,'oddspedia-matches'!$A:$AD,AM$2,0)</f>
        <v>#N/A</v>
      </c>
      <c r="AN381" t="e">
        <f>VLOOKUP($Z381,'oddspedia-matches'!$A:$AD,AN$2,0)</f>
        <v>#N/A</v>
      </c>
      <c r="AO381" t="e">
        <f>VLOOKUP($Z381,'oddspedia-matches'!$A:$AD,AO$2,0)</f>
        <v>#N/A</v>
      </c>
      <c r="AP381" t="e">
        <f>VLOOKUP($Z381,'oddspedia-matches'!$A:$AD,AP$2,0)</f>
        <v>#N/A</v>
      </c>
      <c r="AQ381" t="e">
        <f>VLOOKUP($Z381,'oddspedia-matches'!$A:$AD,AQ$2,0)</f>
        <v>#N/A</v>
      </c>
    </row>
    <row r="382" spans="2:43" x14ac:dyDescent="0.2">
      <c r="B382" t="s">
        <v>466</v>
      </c>
      <c r="C382" t="s">
        <v>930</v>
      </c>
      <c r="D382" s="25">
        <v>0.5</v>
      </c>
      <c r="E382" t="s">
        <v>1051</v>
      </c>
      <c r="F382" t="s">
        <v>97</v>
      </c>
      <c r="H382">
        <v>51.2</v>
      </c>
      <c r="I382">
        <v>24.8</v>
      </c>
      <c r="J382">
        <v>24.1</v>
      </c>
      <c r="K382">
        <v>75.900000000000006</v>
      </c>
      <c r="L382">
        <v>48.8</v>
      </c>
      <c r="M382">
        <v>75.2</v>
      </c>
      <c r="N382">
        <v>34.9</v>
      </c>
      <c r="O382">
        <v>40.1</v>
      </c>
      <c r="P382">
        <v>25</v>
      </c>
      <c r="Q382">
        <v>74.599999999999994</v>
      </c>
      <c r="R382">
        <v>87.2</v>
      </c>
      <c r="S382">
        <v>67.8</v>
      </c>
      <c r="T382">
        <v>32.200000000000003</v>
      </c>
      <c r="U382">
        <v>38.299999999999997</v>
      </c>
      <c r="V382">
        <v>67.3</v>
      </c>
      <c r="W382">
        <v>32.700000000000003</v>
      </c>
      <c r="X382" t="str">
        <f>VLOOKUP(E382,'Transform table'!A:B,2,0)</f>
        <v>Atlanta United</v>
      </c>
      <c r="Y382" t="str">
        <f>VLOOKUP(F382,'Transform table'!A:B,2,0)</f>
        <v>New York City II</v>
      </c>
      <c r="Z382" t="str">
        <f t="shared" si="5"/>
        <v>26/07/2026Atlanta UnitedNew York City II</v>
      </c>
      <c r="AA382" t="e">
        <f>VLOOKUP($Z382,'oddspedia-matches'!$A:$AD,AA$2,0)</f>
        <v>#N/A</v>
      </c>
      <c r="AB382" t="e">
        <f>VLOOKUP($Z382,'oddspedia-matches'!$A:$AD,AB$2,0)</f>
        <v>#N/A</v>
      </c>
      <c r="AC382" t="e">
        <f>VLOOKUP($Z382,'oddspedia-matches'!$A:$AD,AC$2,0)</f>
        <v>#N/A</v>
      </c>
      <c r="AD382" t="e">
        <f>VLOOKUP($Z382,'oddspedia-matches'!$A:$AD,AD$2,0)</f>
        <v>#N/A</v>
      </c>
      <c r="AE382" t="e">
        <f>VLOOKUP($Z382,'oddspedia-matches'!$A:$AD,AE$2,0)</f>
        <v>#N/A</v>
      </c>
      <c r="AF382" t="e">
        <f>VLOOKUP($Z382,'oddspedia-matches'!$A:$AD,AF$2,0)</f>
        <v>#N/A</v>
      </c>
      <c r="AG382" t="e">
        <f>VLOOKUP($Z382,'oddspedia-matches'!$A:$AD,AG$2,0)</f>
        <v>#N/A</v>
      </c>
      <c r="AH382" t="e">
        <f>VLOOKUP($Z382,'oddspedia-matches'!$A:$AD,AH$2,0)</f>
        <v>#N/A</v>
      </c>
      <c r="AI382" t="e">
        <f>VLOOKUP($Z382,'oddspedia-matches'!$A:$AD,AI$2,0)</f>
        <v>#N/A</v>
      </c>
      <c r="AJ382" t="e">
        <f>VLOOKUP($Z382,'oddspedia-matches'!$A:$AD,AJ$2,0)</f>
        <v>#N/A</v>
      </c>
      <c r="AK382" t="e">
        <f>VLOOKUP($Z382,'oddspedia-matches'!$A:$AD,AK$2,0)</f>
        <v>#N/A</v>
      </c>
      <c r="AL382" t="e">
        <f>VLOOKUP($Z382,'oddspedia-matches'!$A:$AD,AL$2,0)</f>
        <v>#N/A</v>
      </c>
      <c r="AM382" t="e">
        <f>VLOOKUP($Z382,'oddspedia-matches'!$A:$AD,AM$2,0)</f>
        <v>#N/A</v>
      </c>
      <c r="AN382" t="e">
        <f>VLOOKUP($Z382,'oddspedia-matches'!$A:$AD,AN$2,0)</f>
        <v>#N/A</v>
      </c>
      <c r="AO382" t="e">
        <f>VLOOKUP($Z382,'oddspedia-matches'!$A:$AD,AO$2,0)</f>
        <v>#N/A</v>
      </c>
      <c r="AP382" t="e">
        <f>VLOOKUP($Z382,'oddspedia-matches'!$A:$AD,AP$2,0)</f>
        <v>#N/A</v>
      </c>
      <c r="AQ382" t="e">
        <f>VLOOKUP($Z382,'oddspedia-matches'!$A:$AD,AQ$2,0)</f>
        <v>#N/A</v>
      </c>
    </row>
    <row r="383" spans="2:43" x14ac:dyDescent="0.2">
      <c r="B383" t="s">
        <v>1052</v>
      </c>
      <c r="C383" t="s">
        <v>930</v>
      </c>
      <c r="D383" s="25">
        <v>0.5</v>
      </c>
      <c r="E383" t="s">
        <v>1053</v>
      </c>
      <c r="F383" t="s">
        <v>1054</v>
      </c>
      <c r="H383">
        <v>46.1</v>
      </c>
      <c r="I383">
        <v>29.4</v>
      </c>
      <c r="J383">
        <v>24.5</v>
      </c>
      <c r="K383">
        <v>75.5</v>
      </c>
      <c r="L383">
        <v>53.9</v>
      </c>
      <c r="M383">
        <v>70.599999999999994</v>
      </c>
      <c r="N383">
        <v>31.3</v>
      </c>
      <c r="O383">
        <v>48.1</v>
      </c>
      <c r="P383">
        <v>20.6</v>
      </c>
      <c r="Q383">
        <v>62.1</v>
      </c>
      <c r="R383">
        <v>69.900000000000006</v>
      </c>
      <c r="S383">
        <v>42.4</v>
      </c>
      <c r="T383">
        <v>57.6</v>
      </c>
      <c r="U383">
        <v>63.4</v>
      </c>
      <c r="V383">
        <v>48.1</v>
      </c>
      <c r="W383">
        <v>51.9</v>
      </c>
      <c r="X383" t="str">
        <f>VLOOKUP(E383,'Transform table'!A:B,2,0)</f>
        <v>ACS ASU Politehnica Timisoara</v>
      </c>
      <c r="Y383" t="e">
        <f>VLOOKUP(F383,'Transform table'!A:B,2,0)</f>
        <v>#N/A</v>
      </c>
      <c r="Z383" t="e">
        <f t="shared" si="5"/>
        <v>#N/A</v>
      </c>
      <c r="AA383" t="e">
        <f>VLOOKUP($Z383,'oddspedia-matches'!$A:$AD,AA$2,0)</f>
        <v>#N/A</v>
      </c>
      <c r="AB383" t="e">
        <f>VLOOKUP($Z383,'oddspedia-matches'!$A:$AD,AB$2,0)</f>
        <v>#N/A</v>
      </c>
      <c r="AC383" t="e">
        <f>VLOOKUP($Z383,'oddspedia-matches'!$A:$AD,AC$2,0)</f>
        <v>#N/A</v>
      </c>
      <c r="AD383" t="e">
        <f>VLOOKUP($Z383,'oddspedia-matches'!$A:$AD,AD$2,0)</f>
        <v>#N/A</v>
      </c>
      <c r="AE383" t="e">
        <f>VLOOKUP($Z383,'oddspedia-matches'!$A:$AD,AE$2,0)</f>
        <v>#N/A</v>
      </c>
      <c r="AF383" t="e">
        <f>VLOOKUP($Z383,'oddspedia-matches'!$A:$AD,AF$2,0)</f>
        <v>#N/A</v>
      </c>
      <c r="AG383" t="e">
        <f>VLOOKUP($Z383,'oddspedia-matches'!$A:$AD,AG$2,0)</f>
        <v>#N/A</v>
      </c>
      <c r="AH383" t="e">
        <f>VLOOKUP($Z383,'oddspedia-matches'!$A:$AD,AH$2,0)</f>
        <v>#N/A</v>
      </c>
      <c r="AI383" t="e">
        <f>VLOOKUP($Z383,'oddspedia-matches'!$A:$AD,AI$2,0)</f>
        <v>#N/A</v>
      </c>
      <c r="AJ383" t="e">
        <f>VLOOKUP($Z383,'oddspedia-matches'!$A:$AD,AJ$2,0)</f>
        <v>#N/A</v>
      </c>
      <c r="AK383" t="e">
        <f>VLOOKUP($Z383,'oddspedia-matches'!$A:$AD,AK$2,0)</f>
        <v>#N/A</v>
      </c>
      <c r="AL383" t="e">
        <f>VLOOKUP($Z383,'oddspedia-matches'!$A:$AD,AL$2,0)</f>
        <v>#N/A</v>
      </c>
      <c r="AM383" t="e">
        <f>VLOOKUP($Z383,'oddspedia-matches'!$A:$AD,AM$2,0)</f>
        <v>#N/A</v>
      </c>
      <c r="AN383" t="e">
        <f>VLOOKUP($Z383,'oddspedia-matches'!$A:$AD,AN$2,0)</f>
        <v>#N/A</v>
      </c>
      <c r="AO383" t="e">
        <f>VLOOKUP($Z383,'oddspedia-matches'!$A:$AD,AO$2,0)</f>
        <v>#N/A</v>
      </c>
      <c r="AP383" t="e">
        <f>VLOOKUP($Z383,'oddspedia-matches'!$A:$AD,AP$2,0)</f>
        <v>#N/A</v>
      </c>
      <c r="AQ383" t="e">
        <f>VLOOKUP($Z383,'oddspedia-matches'!$A:$AD,AQ$2,0)</f>
        <v>#N/A</v>
      </c>
    </row>
    <row r="384" spans="2:43" x14ac:dyDescent="0.2">
      <c r="B384" t="s">
        <v>465</v>
      </c>
      <c r="C384" t="s">
        <v>930</v>
      </c>
      <c r="D384" s="25">
        <v>0.5</v>
      </c>
      <c r="E384" t="s">
        <v>1055</v>
      </c>
      <c r="F384" t="s">
        <v>1056</v>
      </c>
      <c r="H384">
        <v>35</v>
      </c>
      <c r="I384">
        <v>28.9</v>
      </c>
      <c r="J384">
        <v>36.1</v>
      </c>
      <c r="K384">
        <v>63.9</v>
      </c>
      <c r="L384">
        <v>65</v>
      </c>
      <c r="M384">
        <v>71.099999999999994</v>
      </c>
      <c r="N384">
        <v>27.9</v>
      </c>
      <c r="O384">
        <v>37.9</v>
      </c>
      <c r="P384">
        <v>34.200000000000003</v>
      </c>
      <c r="Q384">
        <v>78.599999999999994</v>
      </c>
      <c r="R384">
        <v>76.2</v>
      </c>
      <c r="S384">
        <v>50.4</v>
      </c>
      <c r="T384">
        <v>49.6</v>
      </c>
      <c r="U384">
        <v>55.1</v>
      </c>
      <c r="V384">
        <v>56</v>
      </c>
      <c r="W384">
        <v>44</v>
      </c>
      <c r="X384">
        <f>VLOOKUP(E384,'Transform table'!A:B,2,0)</f>
        <v>0</v>
      </c>
      <c r="Y384" t="e">
        <f>VLOOKUP(F384,'Transform table'!A:B,2,0)</f>
        <v>#N/A</v>
      </c>
      <c r="Z384" t="e">
        <f t="shared" si="5"/>
        <v>#N/A</v>
      </c>
      <c r="AA384" t="e">
        <f>VLOOKUP($Z384,'oddspedia-matches'!$A:$AD,AA$2,0)</f>
        <v>#N/A</v>
      </c>
      <c r="AB384" t="e">
        <f>VLOOKUP($Z384,'oddspedia-matches'!$A:$AD,AB$2,0)</f>
        <v>#N/A</v>
      </c>
      <c r="AC384" t="e">
        <f>VLOOKUP($Z384,'oddspedia-matches'!$A:$AD,AC$2,0)</f>
        <v>#N/A</v>
      </c>
      <c r="AD384" t="e">
        <f>VLOOKUP($Z384,'oddspedia-matches'!$A:$AD,AD$2,0)</f>
        <v>#N/A</v>
      </c>
      <c r="AE384" t="e">
        <f>VLOOKUP($Z384,'oddspedia-matches'!$A:$AD,AE$2,0)</f>
        <v>#N/A</v>
      </c>
      <c r="AF384" t="e">
        <f>VLOOKUP($Z384,'oddspedia-matches'!$A:$AD,AF$2,0)</f>
        <v>#N/A</v>
      </c>
      <c r="AG384" t="e">
        <f>VLOOKUP($Z384,'oddspedia-matches'!$A:$AD,AG$2,0)</f>
        <v>#N/A</v>
      </c>
      <c r="AH384" t="e">
        <f>VLOOKUP($Z384,'oddspedia-matches'!$A:$AD,AH$2,0)</f>
        <v>#N/A</v>
      </c>
      <c r="AI384" t="e">
        <f>VLOOKUP($Z384,'oddspedia-matches'!$A:$AD,AI$2,0)</f>
        <v>#N/A</v>
      </c>
      <c r="AJ384" t="e">
        <f>VLOOKUP($Z384,'oddspedia-matches'!$A:$AD,AJ$2,0)</f>
        <v>#N/A</v>
      </c>
      <c r="AK384" t="e">
        <f>VLOOKUP($Z384,'oddspedia-matches'!$A:$AD,AK$2,0)</f>
        <v>#N/A</v>
      </c>
      <c r="AL384" t="e">
        <f>VLOOKUP($Z384,'oddspedia-matches'!$A:$AD,AL$2,0)</f>
        <v>#N/A</v>
      </c>
      <c r="AM384" t="e">
        <f>VLOOKUP($Z384,'oddspedia-matches'!$A:$AD,AM$2,0)</f>
        <v>#N/A</v>
      </c>
      <c r="AN384" t="e">
        <f>VLOOKUP($Z384,'oddspedia-matches'!$A:$AD,AN$2,0)</f>
        <v>#N/A</v>
      </c>
      <c r="AO384" t="e">
        <f>VLOOKUP($Z384,'oddspedia-matches'!$A:$AD,AO$2,0)</f>
        <v>#N/A</v>
      </c>
      <c r="AP384" t="e">
        <f>VLOOKUP($Z384,'oddspedia-matches'!$A:$AD,AP$2,0)</f>
        <v>#N/A</v>
      </c>
      <c r="AQ384" t="e">
        <f>VLOOKUP($Z384,'oddspedia-matches'!$A:$AD,AQ$2,0)</f>
        <v>#N/A</v>
      </c>
    </row>
    <row r="385" spans="2:43" x14ac:dyDescent="0.2">
      <c r="B385" t="s">
        <v>465</v>
      </c>
      <c r="C385" t="s">
        <v>930</v>
      </c>
      <c r="D385" s="25">
        <v>0.5</v>
      </c>
      <c r="E385" t="s">
        <v>1057</v>
      </c>
      <c r="F385" t="s">
        <v>31</v>
      </c>
      <c r="H385">
        <v>22.4</v>
      </c>
      <c r="I385">
        <v>28.9</v>
      </c>
      <c r="J385">
        <v>48.7</v>
      </c>
      <c r="K385">
        <v>51.3</v>
      </c>
      <c r="L385">
        <v>77.599999999999994</v>
      </c>
      <c r="M385">
        <v>71.099999999999994</v>
      </c>
      <c r="N385">
        <v>20.3</v>
      </c>
      <c r="O385">
        <v>43.5</v>
      </c>
      <c r="P385">
        <v>36.1</v>
      </c>
      <c r="Q385">
        <v>69.099999999999994</v>
      </c>
      <c r="R385">
        <v>74</v>
      </c>
      <c r="S385">
        <v>47.6</v>
      </c>
      <c r="T385">
        <v>52.4</v>
      </c>
      <c r="U385">
        <v>58.7</v>
      </c>
      <c r="V385">
        <v>51.5</v>
      </c>
      <c r="W385">
        <v>48.5</v>
      </c>
      <c r="X385" t="str">
        <f>VLOOKUP(E385,'Transform table'!A:B,2,0)</f>
        <v>Sandefjord</v>
      </c>
      <c r="Y385" t="str">
        <f>VLOOKUP(F385,'Transform table'!A:B,2,0)</f>
        <v>Bodo/Glimt</v>
      </c>
      <c r="Z385" t="str">
        <f t="shared" si="5"/>
        <v>26/07/2026SandefjordBodo/Glimt</v>
      </c>
      <c r="AA385" t="e">
        <f>VLOOKUP($Z385,'oddspedia-matches'!$A:$AD,AA$2,0)</f>
        <v>#N/A</v>
      </c>
      <c r="AB385" t="e">
        <f>VLOOKUP($Z385,'oddspedia-matches'!$A:$AD,AB$2,0)</f>
        <v>#N/A</v>
      </c>
      <c r="AC385" t="e">
        <f>VLOOKUP($Z385,'oddspedia-matches'!$A:$AD,AC$2,0)</f>
        <v>#N/A</v>
      </c>
      <c r="AD385" t="e">
        <f>VLOOKUP($Z385,'oddspedia-matches'!$A:$AD,AD$2,0)</f>
        <v>#N/A</v>
      </c>
      <c r="AE385" t="e">
        <f>VLOOKUP($Z385,'oddspedia-matches'!$A:$AD,AE$2,0)</f>
        <v>#N/A</v>
      </c>
      <c r="AF385" t="e">
        <f>VLOOKUP($Z385,'oddspedia-matches'!$A:$AD,AF$2,0)</f>
        <v>#N/A</v>
      </c>
      <c r="AG385" t="e">
        <f>VLOOKUP($Z385,'oddspedia-matches'!$A:$AD,AG$2,0)</f>
        <v>#N/A</v>
      </c>
      <c r="AH385" t="e">
        <f>VLOOKUP($Z385,'oddspedia-matches'!$A:$AD,AH$2,0)</f>
        <v>#N/A</v>
      </c>
      <c r="AI385" t="e">
        <f>VLOOKUP($Z385,'oddspedia-matches'!$A:$AD,AI$2,0)</f>
        <v>#N/A</v>
      </c>
      <c r="AJ385" t="e">
        <f>VLOOKUP($Z385,'oddspedia-matches'!$A:$AD,AJ$2,0)</f>
        <v>#N/A</v>
      </c>
      <c r="AK385" t="e">
        <f>VLOOKUP($Z385,'oddspedia-matches'!$A:$AD,AK$2,0)</f>
        <v>#N/A</v>
      </c>
      <c r="AL385" t="e">
        <f>VLOOKUP($Z385,'oddspedia-matches'!$A:$AD,AL$2,0)</f>
        <v>#N/A</v>
      </c>
      <c r="AM385" t="e">
        <f>VLOOKUP($Z385,'oddspedia-matches'!$A:$AD,AM$2,0)</f>
        <v>#N/A</v>
      </c>
      <c r="AN385" t="e">
        <f>VLOOKUP($Z385,'oddspedia-matches'!$A:$AD,AN$2,0)</f>
        <v>#N/A</v>
      </c>
      <c r="AO385" t="e">
        <f>VLOOKUP($Z385,'oddspedia-matches'!$A:$AD,AO$2,0)</f>
        <v>#N/A</v>
      </c>
      <c r="AP385" t="e">
        <f>VLOOKUP($Z385,'oddspedia-matches'!$A:$AD,AP$2,0)</f>
        <v>#N/A</v>
      </c>
      <c r="AQ385" t="e">
        <f>VLOOKUP($Z385,'oddspedia-matches'!$A:$AD,AQ$2,0)</f>
        <v>#N/A</v>
      </c>
    </row>
    <row r="386" spans="2:43" x14ac:dyDescent="0.2">
      <c r="B386" t="s">
        <v>465</v>
      </c>
      <c r="C386" t="s">
        <v>930</v>
      </c>
      <c r="D386" s="25">
        <v>0.5</v>
      </c>
      <c r="E386" t="s">
        <v>1058</v>
      </c>
      <c r="F386" t="s">
        <v>32</v>
      </c>
      <c r="H386">
        <v>48.3</v>
      </c>
      <c r="I386">
        <v>26.7</v>
      </c>
      <c r="J386">
        <v>25</v>
      </c>
      <c r="K386">
        <v>75</v>
      </c>
      <c r="L386">
        <v>51.7</v>
      </c>
      <c r="M386">
        <v>73.3</v>
      </c>
      <c r="N386">
        <v>46.8</v>
      </c>
      <c r="O386">
        <v>35.6</v>
      </c>
      <c r="P386">
        <v>17.600000000000001</v>
      </c>
      <c r="Q386">
        <v>78.7</v>
      </c>
      <c r="R386">
        <v>79.2</v>
      </c>
      <c r="S386">
        <v>54.7</v>
      </c>
      <c r="T386">
        <v>45.3</v>
      </c>
      <c r="U386">
        <v>51.5</v>
      </c>
      <c r="V386">
        <v>57.6</v>
      </c>
      <c r="W386">
        <v>42.4</v>
      </c>
      <c r="X386">
        <f>VLOOKUP(E386,'Transform table'!A:B,2,0)</f>
        <v>0</v>
      </c>
      <c r="Y386" t="str">
        <f>VLOOKUP(F386,'Transform table'!A:B,2,0)</f>
        <v>HamKam</v>
      </c>
      <c r="Z386" t="str">
        <f t="shared" si="5"/>
        <v>26/07/20260HamKam</v>
      </c>
      <c r="AA386" t="e">
        <f>VLOOKUP($Z386,'oddspedia-matches'!$A:$AD,AA$2,0)</f>
        <v>#N/A</v>
      </c>
      <c r="AB386" t="e">
        <f>VLOOKUP($Z386,'oddspedia-matches'!$A:$AD,AB$2,0)</f>
        <v>#N/A</v>
      </c>
      <c r="AC386" t="e">
        <f>VLOOKUP($Z386,'oddspedia-matches'!$A:$AD,AC$2,0)</f>
        <v>#N/A</v>
      </c>
      <c r="AD386" t="e">
        <f>VLOOKUP($Z386,'oddspedia-matches'!$A:$AD,AD$2,0)</f>
        <v>#N/A</v>
      </c>
      <c r="AE386" t="e">
        <f>VLOOKUP($Z386,'oddspedia-matches'!$A:$AD,AE$2,0)</f>
        <v>#N/A</v>
      </c>
      <c r="AF386" t="e">
        <f>VLOOKUP($Z386,'oddspedia-matches'!$A:$AD,AF$2,0)</f>
        <v>#N/A</v>
      </c>
      <c r="AG386" t="e">
        <f>VLOOKUP($Z386,'oddspedia-matches'!$A:$AD,AG$2,0)</f>
        <v>#N/A</v>
      </c>
      <c r="AH386" t="e">
        <f>VLOOKUP($Z386,'oddspedia-matches'!$A:$AD,AH$2,0)</f>
        <v>#N/A</v>
      </c>
      <c r="AI386" t="e">
        <f>VLOOKUP($Z386,'oddspedia-matches'!$A:$AD,AI$2,0)</f>
        <v>#N/A</v>
      </c>
      <c r="AJ386" t="e">
        <f>VLOOKUP($Z386,'oddspedia-matches'!$A:$AD,AJ$2,0)</f>
        <v>#N/A</v>
      </c>
      <c r="AK386" t="e">
        <f>VLOOKUP($Z386,'oddspedia-matches'!$A:$AD,AK$2,0)</f>
        <v>#N/A</v>
      </c>
      <c r="AL386" t="e">
        <f>VLOOKUP($Z386,'oddspedia-matches'!$A:$AD,AL$2,0)</f>
        <v>#N/A</v>
      </c>
      <c r="AM386" t="e">
        <f>VLOOKUP($Z386,'oddspedia-matches'!$A:$AD,AM$2,0)</f>
        <v>#N/A</v>
      </c>
      <c r="AN386" t="e">
        <f>VLOOKUP($Z386,'oddspedia-matches'!$A:$AD,AN$2,0)</f>
        <v>#N/A</v>
      </c>
      <c r="AO386" t="e">
        <f>VLOOKUP($Z386,'oddspedia-matches'!$A:$AD,AO$2,0)</f>
        <v>#N/A</v>
      </c>
      <c r="AP386" t="e">
        <f>VLOOKUP($Z386,'oddspedia-matches'!$A:$AD,AP$2,0)</f>
        <v>#N/A</v>
      </c>
      <c r="AQ386" t="e">
        <f>VLOOKUP($Z386,'oddspedia-matches'!$A:$AD,AQ$2,0)</f>
        <v>#N/A</v>
      </c>
    </row>
    <row r="387" spans="2:43" x14ac:dyDescent="0.2">
      <c r="B387" t="s">
        <v>638</v>
      </c>
      <c r="C387" t="s">
        <v>930</v>
      </c>
      <c r="D387" s="25">
        <v>0.5</v>
      </c>
      <c r="E387" t="s">
        <v>1059</v>
      </c>
      <c r="F387" t="s">
        <v>1060</v>
      </c>
      <c r="H387">
        <v>39.200000000000003</v>
      </c>
      <c r="I387">
        <v>25.9</v>
      </c>
      <c r="J387">
        <v>34.9</v>
      </c>
      <c r="K387">
        <v>65.099999999999994</v>
      </c>
      <c r="L387">
        <v>60.8</v>
      </c>
      <c r="M387">
        <v>74.099999999999994</v>
      </c>
      <c r="N387">
        <v>27.7</v>
      </c>
      <c r="O387">
        <v>39.799999999999997</v>
      </c>
      <c r="P387">
        <v>32.4</v>
      </c>
      <c r="Q387">
        <v>75.599999999999994</v>
      </c>
      <c r="R387">
        <v>87</v>
      </c>
      <c r="S387">
        <v>67.3</v>
      </c>
      <c r="T387">
        <v>32.700000000000003</v>
      </c>
      <c r="U387">
        <v>38.200000000000003</v>
      </c>
      <c r="V387">
        <v>69</v>
      </c>
      <c r="W387">
        <v>31</v>
      </c>
      <c r="X387" t="str">
        <f>VLOOKUP(E387,'Transform table'!A:B,2,0)</f>
        <v>Asane</v>
      </c>
      <c r="Y387" t="e">
        <f>VLOOKUP(F387,'Transform table'!A:B,2,0)</f>
        <v>#N/A</v>
      </c>
      <c r="Z387" t="e">
        <f t="shared" si="5"/>
        <v>#N/A</v>
      </c>
      <c r="AA387" t="e">
        <f>VLOOKUP($Z387,'oddspedia-matches'!$A:$AD,AA$2,0)</f>
        <v>#N/A</v>
      </c>
      <c r="AB387" t="e">
        <f>VLOOKUP($Z387,'oddspedia-matches'!$A:$AD,AB$2,0)</f>
        <v>#N/A</v>
      </c>
      <c r="AC387" t="e">
        <f>VLOOKUP($Z387,'oddspedia-matches'!$A:$AD,AC$2,0)</f>
        <v>#N/A</v>
      </c>
      <c r="AD387" t="e">
        <f>VLOOKUP($Z387,'oddspedia-matches'!$A:$AD,AD$2,0)</f>
        <v>#N/A</v>
      </c>
      <c r="AE387" t="e">
        <f>VLOOKUP($Z387,'oddspedia-matches'!$A:$AD,AE$2,0)</f>
        <v>#N/A</v>
      </c>
      <c r="AF387" t="e">
        <f>VLOOKUP($Z387,'oddspedia-matches'!$A:$AD,AF$2,0)</f>
        <v>#N/A</v>
      </c>
      <c r="AG387" t="e">
        <f>VLOOKUP($Z387,'oddspedia-matches'!$A:$AD,AG$2,0)</f>
        <v>#N/A</v>
      </c>
      <c r="AH387" t="e">
        <f>VLOOKUP($Z387,'oddspedia-matches'!$A:$AD,AH$2,0)</f>
        <v>#N/A</v>
      </c>
      <c r="AI387" t="e">
        <f>VLOOKUP($Z387,'oddspedia-matches'!$A:$AD,AI$2,0)</f>
        <v>#N/A</v>
      </c>
      <c r="AJ387" t="e">
        <f>VLOOKUP($Z387,'oddspedia-matches'!$A:$AD,AJ$2,0)</f>
        <v>#N/A</v>
      </c>
      <c r="AK387" t="e">
        <f>VLOOKUP($Z387,'oddspedia-matches'!$A:$AD,AK$2,0)</f>
        <v>#N/A</v>
      </c>
      <c r="AL387" t="e">
        <f>VLOOKUP($Z387,'oddspedia-matches'!$A:$AD,AL$2,0)</f>
        <v>#N/A</v>
      </c>
      <c r="AM387" t="e">
        <f>VLOOKUP($Z387,'oddspedia-matches'!$A:$AD,AM$2,0)</f>
        <v>#N/A</v>
      </c>
      <c r="AN387" t="e">
        <f>VLOOKUP($Z387,'oddspedia-matches'!$A:$AD,AN$2,0)</f>
        <v>#N/A</v>
      </c>
      <c r="AO387" t="e">
        <f>VLOOKUP($Z387,'oddspedia-matches'!$A:$AD,AO$2,0)</f>
        <v>#N/A</v>
      </c>
      <c r="AP387" t="e">
        <f>VLOOKUP($Z387,'oddspedia-matches'!$A:$AD,AP$2,0)</f>
        <v>#N/A</v>
      </c>
      <c r="AQ387" t="e">
        <f>VLOOKUP($Z387,'oddspedia-matches'!$A:$AD,AQ$2,0)</f>
        <v>#N/A</v>
      </c>
    </row>
    <row r="388" spans="2:43" x14ac:dyDescent="0.2">
      <c r="B388" t="s">
        <v>638</v>
      </c>
      <c r="C388" t="s">
        <v>930</v>
      </c>
      <c r="D388" s="25">
        <v>0.5</v>
      </c>
      <c r="E388" t="s">
        <v>1061</v>
      </c>
      <c r="F388" t="s">
        <v>1062</v>
      </c>
      <c r="H388">
        <v>50.3</v>
      </c>
      <c r="I388">
        <v>24.8</v>
      </c>
      <c r="J388">
        <v>25</v>
      </c>
      <c r="K388">
        <v>75</v>
      </c>
      <c r="L388">
        <v>49.7</v>
      </c>
      <c r="M388">
        <v>75.2</v>
      </c>
      <c r="N388">
        <v>39.5</v>
      </c>
      <c r="O388">
        <v>35.799999999999997</v>
      </c>
      <c r="P388">
        <v>24.7</v>
      </c>
      <c r="Q388">
        <v>80.900000000000006</v>
      </c>
      <c r="R388">
        <v>88.5</v>
      </c>
      <c r="S388">
        <v>70.2</v>
      </c>
      <c r="T388">
        <v>29.8</v>
      </c>
      <c r="U388">
        <v>35.700000000000003</v>
      </c>
      <c r="V388">
        <v>69.5</v>
      </c>
      <c r="W388">
        <v>30.5</v>
      </c>
      <c r="X388" t="str">
        <f>VLOOKUP(E388,'Transform table'!A:B,2,0)</f>
        <v>MSV Duisburg</v>
      </c>
      <c r="Y388" t="e">
        <f>VLOOKUP(F388,'Transform table'!A:B,2,0)</f>
        <v>#N/A</v>
      </c>
      <c r="Z388" t="e">
        <f t="shared" ref="Z388:Z451" si="6">C388&amp;X388&amp;Y388</f>
        <v>#N/A</v>
      </c>
      <c r="AA388" t="e">
        <f>VLOOKUP($Z388,'oddspedia-matches'!$A:$AD,AA$2,0)</f>
        <v>#N/A</v>
      </c>
      <c r="AB388" t="e">
        <f>VLOOKUP($Z388,'oddspedia-matches'!$A:$AD,AB$2,0)</f>
        <v>#N/A</v>
      </c>
      <c r="AC388" t="e">
        <f>VLOOKUP($Z388,'oddspedia-matches'!$A:$AD,AC$2,0)</f>
        <v>#N/A</v>
      </c>
      <c r="AD388" t="e">
        <f>VLOOKUP($Z388,'oddspedia-matches'!$A:$AD,AD$2,0)</f>
        <v>#N/A</v>
      </c>
      <c r="AE388" t="e">
        <f>VLOOKUP($Z388,'oddspedia-matches'!$A:$AD,AE$2,0)</f>
        <v>#N/A</v>
      </c>
      <c r="AF388" t="e">
        <f>VLOOKUP($Z388,'oddspedia-matches'!$A:$AD,AF$2,0)</f>
        <v>#N/A</v>
      </c>
      <c r="AG388" t="e">
        <f>VLOOKUP($Z388,'oddspedia-matches'!$A:$AD,AG$2,0)</f>
        <v>#N/A</v>
      </c>
      <c r="AH388" t="e">
        <f>VLOOKUP($Z388,'oddspedia-matches'!$A:$AD,AH$2,0)</f>
        <v>#N/A</v>
      </c>
      <c r="AI388" t="e">
        <f>VLOOKUP($Z388,'oddspedia-matches'!$A:$AD,AI$2,0)</f>
        <v>#N/A</v>
      </c>
      <c r="AJ388" t="e">
        <f>VLOOKUP($Z388,'oddspedia-matches'!$A:$AD,AJ$2,0)</f>
        <v>#N/A</v>
      </c>
      <c r="AK388" t="e">
        <f>VLOOKUP($Z388,'oddspedia-matches'!$A:$AD,AK$2,0)</f>
        <v>#N/A</v>
      </c>
      <c r="AL388" t="e">
        <f>VLOOKUP($Z388,'oddspedia-matches'!$A:$AD,AL$2,0)</f>
        <v>#N/A</v>
      </c>
      <c r="AM388" t="e">
        <f>VLOOKUP($Z388,'oddspedia-matches'!$A:$AD,AM$2,0)</f>
        <v>#N/A</v>
      </c>
      <c r="AN388" t="e">
        <f>VLOOKUP($Z388,'oddspedia-matches'!$A:$AD,AN$2,0)</f>
        <v>#N/A</v>
      </c>
      <c r="AO388" t="e">
        <f>VLOOKUP($Z388,'oddspedia-matches'!$A:$AD,AO$2,0)</f>
        <v>#N/A</v>
      </c>
      <c r="AP388" t="e">
        <f>VLOOKUP($Z388,'oddspedia-matches'!$A:$AD,AP$2,0)</f>
        <v>#N/A</v>
      </c>
      <c r="AQ388" t="e">
        <f>VLOOKUP($Z388,'oddspedia-matches'!$A:$AD,AQ$2,0)</f>
        <v>#N/A</v>
      </c>
    </row>
    <row r="389" spans="2:43" x14ac:dyDescent="0.2">
      <c r="B389" t="s">
        <v>638</v>
      </c>
      <c r="C389" t="s">
        <v>930</v>
      </c>
      <c r="D389" s="25">
        <v>0.5</v>
      </c>
      <c r="E389" t="s">
        <v>1063</v>
      </c>
      <c r="F389" t="s">
        <v>1064</v>
      </c>
      <c r="H389">
        <v>37.700000000000003</v>
      </c>
      <c r="I389">
        <v>26</v>
      </c>
      <c r="J389">
        <v>36.299999999999997</v>
      </c>
      <c r="K389">
        <v>63.7</v>
      </c>
      <c r="L389">
        <v>62.3</v>
      </c>
      <c r="M389">
        <v>74</v>
      </c>
      <c r="N389">
        <v>28.1</v>
      </c>
      <c r="O389">
        <v>41.1</v>
      </c>
      <c r="P389">
        <v>30.8</v>
      </c>
      <c r="Q389">
        <v>73.7</v>
      </c>
      <c r="R389">
        <v>86.8</v>
      </c>
      <c r="S389">
        <v>66.900000000000006</v>
      </c>
      <c r="T389">
        <v>33.1</v>
      </c>
      <c r="U389">
        <v>38.5</v>
      </c>
      <c r="V389">
        <v>68.7</v>
      </c>
      <c r="W389">
        <v>31.3</v>
      </c>
      <c r="X389" t="str">
        <f>VLOOKUP(E389,'Transform table'!A:B,2,0)</f>
        <v>Sandnes Ulf</v>
      </c>
      <c r="Y389" t="e">
        <f>VLOOKUP(F389,'Transform table'!A:B,2,0)</f>
        <v>#N/A</v>
      </c>
      <c r="Z389" t="e">
        <f t="shared" si="6"/>
        <v>#N/A</v>
      </c>
      <c r="AA389" t="e">
        <f>VLOOKUP($Z389,'oddspedia-matches'!$A:$AD,AA$2,0)</f>
        <v>#N/A</v>
      </c>
      <c r="AB389" t="e">
        <f>VLOOKUP($Z389,'oddspedia-matches'!$A:$AD,AB$2,0)</f>
        <v>#N/A</v>
      </c>
      <c r="AC389" t="e">
        <f>VLOOKUP($Z389,'oddspedia-matches'!$A:$AD,AC$2,0)</f>
        <v>#N/A</v>
      </c>
      <c r="AD389" t="e">
        <f>VLOOKUP($Z389,'oddspedia-matches'!$A:$AD,AD$2,0)</f>
        <v>#N/A</v>
      </c>
      <c r="AE389" t="e">
        <f>VLOOKUP($Z389,'oddspedia-matches'!$A:$AD,AE$2,0)</f>
        <v>#N/A</v>
      </c>
      <c r="AF389" t="e">
        <f>VLOOKUP($Z389,'oddspedia-matches'!$A:$AD,AF$2,0)</f>
        <v>#N/A</v>
      </c>
      <c r="AG389" t="e">
        <f>VLOOKUP($Z389,'oddspedia-matches'!$A:$AD,AG$2,0)</f>
        <v>#N/A</v>
      </c>
      <c r="AH389" t="e">
        <f>VLOOKUP($Z389,'oddspedia-matches'!$A:$AD,AH$2,0)</f>
        <v>#N/A</v>
      </c>
      <c r="AI389" t="e">
        <f>VLOOKUP($Z389,'oddspedia-matches'!$A:$AD,AI$2,0)</f>
        <v>#N/A</v>
      </c>
      <c r="AJ389" t="e">
        <f>VLOOKUP($Z389,'oddspedia-matches'!$A:$AD,AJ$2,0)</f>
        <v>#N/A</v>
      </c>
      <c r="AK389" t="e">
        <f>VLOOKUP($Z389,'oddspedia-matches'!$A:$AD,AK$2,0)</f>
        <v>#N/A</v>
      </c>
      <c r="AL389" t="e">
        <f>VLOOKUP($Z389,'oddspedia-matches'!$A:$AD,AL$2,0)</f>
        <v>#N/A</v>
      </c>
      <c r="AM389" t="e">
        <f>VLOOKUP($Z389,'oddspedia-matches'!$A:$AD,AM$2,0)</f>
        <v>#N/A</v>
      </c>
      <c r="AN389" t="e">
        <f>VLOOKUP($Z389,'oddspedia-matches'!$A:$AD,AN$2,0)</f>
        <v>#N/A</v>
      </c>
      <c r="AO389" t="e">
        <f>VLOOKUP($Z389,'oddspedia-matches'!$A:$AD,AO$2,0)</f>
        <v>#N/A</v>
      </c>
      <c r="AP389" t="e">
        <f>VLOOKUP($Z389,'oddspedia-matches'!$A:$AD,AP$2,0)</f>
        <v>#N/A</v>
      </c>
      <c r="AQ389" t="e">
        <f>VLOOKUP($Z389,'oddspedia-matches'!$A:$AD,AQ$2,0)</f>
        <v>#N/A</v>
      </c>
    </row>
    <row r="390" spans="2:43" x14ac:dyDescent="0.2">
      <c r="B390" t="s">
        <v>638</v>
      </c>
      <c r="C390" t="s">
        <v>930</v>
      </c>
      <c r="D390" s="25">
        <v>0.5</v>
      </c>
      <c r="E390" t="s">
        <v>1065</v>
      </c>
      <c r="F390" t="s">
        <v>1066</v>
      </c>
      <c r="H390">
        <v>43.1</v>
      </c>
      <c r="I390">
        <v>25.7</v>
      </c>
      <c r="J390">
        <v>31.2</v>
      </c>
      <c r="K390">
        <v>68.8</v>
      </c>
      <c r="L390">
        <v>56.9</v>
      </c>
      <c r="M390">
        <v>74.3</v>
      </c>
      <c r="N390">
        <v>32.700000000000003</v>
      </c>
      <c r="O390">
        <v>32.799999999999997</v>
      </c>
      <c r="P390">
        <v>34.4</v>
      </c>
      <c r="Q390">
        <v>86.4</v>
      </c>
      <c r="R390">
        <v>94.4</v>
      </c>
      <c r="S390">
        <v>82.5</v>
      </c>
      <c r="T390">
        <v>17.5</v>
      </c>
      <c r="U390">
        <v>21.9</v>
      </c>
      <c r="V390">
        <v>80.7</v>
      </c>
      <c r="W390">
        <v>19.3</v>
      </c>
      <c r="X390" t="str">
        <f>VLOOKUP(E390,'Transform table'!A:B,2,0)</f>
        <v>Sogdiana Jizzakh</v>
      </c>
      <c r="Y390" t="e">
        <f>VLOOKUP(F390,'Transform table'!A:B,2,0)</f>
        <v>#N/A</v>
      </c>
      <c r="Z390" t="e">
        <f t="shared" si="6"/>
        <v>#N/A</v>
      </c>
      <c r="AA390" t="e">
        <f>VLOOKUP($Z390,'oddspedia-matches'!$A:$AD,AA$2,0)</f>
        <v>#N/A</v>
      </c>
      <c r="AB390" t="e">
        <f>VLOOKUP($Z390,'oddspedia-matches'!$A:$AD,AB$2,0)</f>
        <v>#N/A</v>
      </c>
      <c r="AC390" t="e">
        <f>VLOOKUP($Z390,'oddspedia-matches'!$A:$AD,AC$2,0)</f>
        <v>#N/A</v>
      </c>
      <c r="AD390" t="e">
        <f>VLOOKUP($Z390,'oddspedia-matches'!$A:$AD,AD$2,0)</f>
        <v>#N/A</v>
      </c>
      <c r="AE390" t="e">
        <f>VLOOKUP($Z390,'oddspedia-matches'!$A:$AD,AE$2,0)</f>
        <v>#N/A</v>
      </c>
      <c r="AF390" t="e">
        <f>VLOOKUP($Z390,'oddspedia-matches'!$A:$AD,AF$2,0)</f>
        <v>#N/A</v>
      </c>
      <c r="AG390" t="e">
        <f>VLOOKUP($Z390,'oddspedia-matches'!$A:$AD,AG$2,0)</f>
        <v>#N/A</v>
      </c>
      <c r="AH390" t="e">
        <f>VLOOKUP($Z390,'oddspedia-matches'!$A:$AD,AH$2,0)</f>
        <v>#N/A</v>
      </c>
      <c r="AI390" t="e">
        <f>VLOOKUP($Z390,'oddspedia-matches'!$A:$AD,AI$2,0)</f>
        <v>#N/A</v>
      </c>
      <c r="AJ390" t="e">
        <f>VLOOKUP($Z390,'oddspedia-matches'!$A:$AD,AJ$2,0)</f>
        <v>#N/A</v>
      </c>
      <c r="AK390" t="e">
        <f>VLOOKUP($Z390,'oddspedia-matches'!$A:$AD,AK$2,0)</f>
        <v>#N/A</v>
      </c>
      <c r="AL390" t="e">
        <f>VLOOKUP($Z390,'oddspedia-matches'!$A:$AD,AL$2,0)</f>
        <v>#N/A</v>
      </c>
      <c r="AM390" t="e">
        <f>VLOOKUP($Z390,'oddspedia-matches'!$A:$AD,AM$2,0)</f>
        <v>#N/A</v>
      </c>
      <c r="AN390" t="e">
        <f>VLOOKUP($Z390,'oddspedia-matches'!$A:$AD,AN$2,0)</f>
        <v>#N/A</v>
      </c>
      <c r="AO390" t="e">
        <f>VLOOKUP($Z390,'oddspedia-matches'!$A:$AD,AO$2,0)</f>
        <v>#N/A</v>
      </c>
      <c r="AP390" t="e">
        <f>VLOOKUP($Z390,'oddspedia-matches'!$A:$AD,AP$2,0)</f>
        <v>#N/A</v>
      </c>
      <c r="AQ390" t="e">
        <f>VLOOKUP($Z390,'oddspedia-matches'!$A:$AD,AQ$2,0)</f>
        <v>#N/A</v>
      </c>
    </row>
    <row r="391" spans="2:43" x14ac:dyDescent="0.2">
      <c r="B391" t="s">
        <v>638</v>
      </c>
      <c r="C391" t="s">
        <v>930</v>
      </c>
      <c r="D391" s="25">
        <v>0.5</v>
      </c>
      <c r="E391" t="s">
        <v>1067</v>
      </c>
      <c r="F391" t="s">
        <v>1068</v>
      </c>
      <c r="H391">
        <v>28.4</v>
      </c>
      <c r="I391">
        <v>25.8</v>
      </c>
      <c r="J391">
        <v>45.8</v>
      </c>
      <c r="K391">
        <v>54.2</v>
      </c>
      <c r="L391">
        <v>71.599999999999994</v>
      </c>
      <c r="M391">
        <v>74.2</v>
      </c>
      <c r="N391">
        <v>21.3</v>
      </c>
      <c r="O391">
        <v>40.9</v>
      </c>
      <c r="P391">
        <v>37.799999999999997</v>
      </c>
      <c r="Q391">
        <v>73.099999999999994</v>
      </c>
      <c r="R391">
        <v>87.4</v>
      </c>
      <c r="S391">
        <v>68.099999999999994</v>
      </c>
      <c r="T391">
        <v>31.9</v>
      </c>
      <c r="U391">
        <v>37.6</v>
      </c>
      <c r="V391">
        <v>68.8</v>
      </c>
      <c r="W391">
        <v>31.2</v>
      </c>
      <c r="X391" t="str">
        <f>VLOOKUP(E391,'Transform table'!A:B,2,0)</f>
        <v>Strommen</v>
      </c>
      <c r="Y391" t="e">
        <f>VLOOKUP(F391,'Transform table'!A:B,2,0)</f>
        <v>#N/A</v>
      </c>
      <c r="Z391" t="e">
        <f t="shared" si="6"/>
        <v>#N/A</v>
      </c>
      <c r="AA391" t="e">
        <f>VLOOKUP($Z391,'oddspedia-matches'!$A:$AD,AA$2,0)</f>
        <v>#N/A</v>
      </c>
      <c r="AB391" t="e">
        <f>VLOOKUP($Z391,'oddspedia-matches'!$A:$AD,AB$2,0)</f>
        <v>#N/A</v>
      </c>
      <c r="AC391" t="e">
        <f>VLOOKUP($Z391,'oddspedia-matches'!$A:$AD,AC$2,0)</f>
        <v>#N/A</v>
      </c>
      <c r="AD391" t="e">
        <f>VLOOKUP($Z391,'oddspedia-matches'!$A:$AD,AD$2,0)</f>
        <v>#N/A</v>
      </c>
      <c r="AE391" t="e">
        <f>VLOOKUP($Z391,'oddspedia-matches'!$A:$AD,AE$2,0)</f>
        <v>#N/A</v>
      </c>
      <c r="AF391" t="e">
        <f>VLOOKUP($Z391,'oddspedia-matches'!$A:$AD,AF$2,0)</f>
        <v>#N/A</v>
      </c>
      <c r="AG391" t="e">
        <f>VLOOKUP($Z391,'oddspedia-matches'!$A:$AD,AG$2,0)</f>
        <v>#N/A</v>
      </c>
      <c r="AH391" t="e">
        <f>VLOOKUP($Z391,'oddspedia-matches'!$A:$AD,AH$2,0)</f>
        <v>#N/A</v>
      </c>
      <c r="AI391" t="e">
        <f>VLOOKUP($Z391,'oddspedia-matches'!$A:$AD,AI$2,0)</f>
        <v>#N/A</v>
      </c>
      <c r="AJ391" t="e">
        <f>VLOOKUP($Z391,'oddspedia-matches'!$A:$AD,AJ$2,0)</f>
        <v>#N/A</v>
      </c>
      <c r="AK391" t="e">
        <f>VLOOKUP($Z391,'oddspedia-matches'!$A:$AD,AK$2,0)</f>
        <v>#N/A</v>
      </c>
      <c r="AL391" t="e">
        <f>VLOOKUP($Z391,'oddspedia-matches'!$A:$AD,AL$2,0)</f>
        <v>#N/A</v>
      </c>
      <c r="AM391" t="e">
        <f>VLOOKUP($Z391,'oddspedia-matches'!$A:$AD,AM$2,0)</f>
        <v>#N/A</v>
      </c>
      <c r="AN391" t="e">
        <f>VLOOKUP($Z391,'oddspedia-matches'!$A:$AD,AN$2,0)</f>
        <v>#N/A</v>
      </c>
      <c r="AO391" t="e">
        <f>VLOOKUP($Z391,'oddspedia-matches'!$A:$AD,AO$2,0)</f>
        <v>#N/A</v>
      </c>
      <c r="AP391" t="e">
        <f>VLOOKUP($Z391,'oddspedia-matches'!$A:$AD,AP$2,0)</f>
        <v>#N/A</v>
      </c>
      <c r="AQ391" t="e">
        <f>VLOOKUP($Z391,'oddspedia-matches'!$A:$AD,AQ$2,0)</f>
        <v>#N/A</v>
      </c>
    </row>
    <row r="392" spans="2:43" x14ac:dyDescent="0.2">
      <c r="B392" t="s">
        <v>1012</v>
      </c>
      <c r="C392" t="s">
        <v>930</v>
      </c>
      <c r="D392" s="25">
        <v>0.5</v>
      </c>
      <c r="E392" t="s">
        <v>1069</v>
      </c>
      <c r="F392" t="s">
        <v>1070</v>
      </c>
      <c r="H392">
        <v>0</v>
      </c>
      <c r="I392">
        <v>100</v>
      </c>
      <c r="J392">
        <v>0</v>
      </c>
      <c r="K392">
        <v>100</v>
      </c>
      <c r="L392">
        <v>100</v>
      </c>
      <c r="M392">
        <v>0</v>
      </c>
      <c r="N392">
        <v>0</v>
      </c>
      <c r="O392">
        <v>100</v>
      </c>
      <c r="P392">
        <v>0</v>
      </c>
      <c r="Q392">
        <v>0</v>
      </c>
      <c r="R392">
        <v>0</v>
      </c>
      <c r="S392">
        <v>0</v>
      </c>
      <c r="T392">
        <v>100</v>
      </c>
      <c r="U392">
        <v>100</v>
      </c>
      <c r="V392">
        <v>0</v>
      </c>
      <c r="W392">
        <v>100</v>
      </c>
      <c r="X392">
        <f>VLOOKUP(E392,'Transform table'!A:B,2,0)</f>
        <v>0</v>
      </c>
      <c r="Y392" t="e">
        <f>VLOOKUP(F392,'Transform table'!A:B,2,0)</f>
        <v>#N/A</v>
      </c>
      <c r="Z392" t="e">
        <f t="shared" si="6"/>
        <v>#N/A</v>
      </c>
      <c r="AA392" t="e">
        <f>VLOOKUP($Z392,'oddspedia-matches'!$A:$AD,AA$2,0)</f>
        <v>#N/A</v>
      </c>
      <c r="AB392" t="e">
        <f>VLOOKUP($Z392,'oddspedia-matches'!$A:$AD,AB$2,0)</f>
        <v>#N/A</v>
      </c>
      <c r="AC392" t="e">
        <f>VLOOKUP($Z392,'oddspedia-matches'!$A:$AD,AC$2,0)</f>
        <v>#N/A</v>
      </c>
      <c r="AD392" t="e">
        <f>VLOOKUP($Z392,'oddspedia-matches'!$A:$AD,AD$2,0)</f>
        <v>#N/A</v>
      </c>
      <c r="AE392" t="e">
        <f>VLOOKUP($Z392,'oddspedia-matches'!$A:$AD,AE$2,0)</f>
        <v>#N/A</v>
      </c>
      <c r="AF392" t="e">
        <f>VLOOKUP($Z392,'oddspedia-matches'!$A:$AD,AF$2,0)</f>
        <v>#N/A</v>
      </c>
      <c r="AG392" t="e">
        <f>VLOOKUP($Z392,'oddspedia-matches'!$A:$AD,AG$2,0)</f>
        <v>#N/A</v>
      </c>
      <c r="AH392" t="e">
        <f>VLOOKUP($Z392,'oddspedia-matches'!$A:$AD,AH$2,0)</f>
        <v>#N/A</v>
      </c>
      <c r="AI392" t="e">
        <f>VLOOKUP($Z392,'oddspedia-matches'!$A:$AD,AI$2,0)</f>
        <v>#N/A</v>
      </c>
      <c r="AJ392" t="e">
        <f>VLOOKUP($Z392,'oddspedia-matches'!$A:$AD,AJ$2,0)</f>
        <v>#N/A</v>
      </c>
      <c r="AK392" t="e">
        <f>VLOOKUP($Z392,'oddspedia-matches'!$A:$AD,AK$2,0)</f>
        <v>#N/A</v>
      </c>
      <c r="AL392" t="e">
        <f>VLOOKUP($Z392,'oddspedia-matches'!$A:$AD,AL$2,0)</f>
        <v>#N/A</v>
      </c>
      <c r="AM392" t="e">
        <f>VLOOKUP($Z392,'oddspedia-matches'!$A:$AD,AM$2,0)</f>
        <v>#N/A</v>
      </c>
      <c r="AN392" t="e">
        <f>VLOOKUP($Z392,'oddspedia-matches'!$A:$AD,AN$2,0)</f>
        <v>#N/A</v>
      </c>
      <c r="AO392" t="e">
        <f>VLOOKUP($Z392,'oddspedia-matches'!$A:$AD,AO$2,0)</f>
        <v>#N/A</v>
      </c>
      <c r="AP392" t="e">
        <f>VLOOKUP($Z392,'oddspedia-matches'!$A:$AD,AP$2,0)</f>
        <v>#N/A</v>
      </c>
      <c r="AQ392" t="e">
        <f>VLOOKUP($Z392,'oddspedia-matches'!$A:$AD,AQ$2,0)</f>
        <v>#N/A</v>
      </c>
    </row>
    <row r="393" spans="2:43" x14ac:dyDescent="0.2">
      <c r="B393" t="s">
        <v>947</v>
      </c>
      <c r="C393" t="s">
        <v>930</v>
      </c>
      <c r="D393" s="25">
        <v>0.5</v>
      </c>
      <c r="E393" t="s">
        <v>1071</v>
      </c>
      <c r="F393" t="s">
        <v>1072</v>
      </c>
      <c r="H393">
        <v>30.8</v>
      </c>
      <c r="I393">
        <v>33.299999999999997</v>
      </c>
      <c r="J393">
        <v>35.9</v>
      </c>
      <c r="K393">
        <v>64.099999999999994</v>
      </c>
      <c r="L393">
        <v>69.2</v>
      </c>
      <c r="M393">
        <v>66.7</v>
      </c>
      <c r="N393">
        <v>7.4</v>
      </c>
      <c r="O393">
        <v>50</v>
      </c>
      <c r="P393">
        <v>42.6</v>
      </c>
      <c r="Q393">
        <v>55.4</v>
      </c>
      <c r="R393">
        <v>62.1</v>
      </c>
      <c r="S393">
        <v>33.700000000000003</v>
      </c>
      <c r="T393">
        <v>66.3</v>
      </c>
      <c r="U393">
        <v>70.900000000000006</v>
      </c>
      <c r="V393">
        <v>42.5</v>
      </c>
      <c r="W393">
        <v>57.5</v>
      </c>
      <c r="X393" t="str">
        <f>VLOOKUP(E393,'Transform table'!A:B,2,0)</f>
        <v>PFC Sochi</v>
      </c>
      <c r="Y393" t="e">
        <f>VLOOKUP(F393,'Transform table'!A:B,2,0)</f>
        <v>#N/A</v>
      </c>
      <c r="Z393" t="e">
        <f t="shared" si="6"/>
        <v>#N/A</v>
      </c>
      <c r="AA393" t="e">
        <f>VLOOKUP($Z393,'oddspedia-matches'!$A:$AD,AA$2,0)</f>
        <v>#N/A</v>
      </c>
      <c r="AB393" t="e">
        <f>VLOOKUP($Z393,'oddspedia-matches'!$A:$AD,AB$2,0)</f>
        <v>#N/A</v>
      </c>
      <c r="AC393" t="e">
        <f>VLOOKUP($Z393,'oddspedia-matches'!$A:$AD,AC$2,0)</f>
        <v>#N/A</v>
      </c>
      <c r="AD393" t="e">
        <f>VLOOKUP($Z393,'oddspedia-matches'!$A:$AD,AD$2,0)</f>
        <v>#N/A</v>
      </c>
      <c r="AE393" t="e">
        <f>VLOOKUP($Z393,'oddspedia-matches'!$A:$AD,AE$2,0)</f>
        <v>#N/A</v>
      </c>
      <c r="AF393" t="e">
        <f>VLOOKUP($Z393,'oddspedia-matches'!$A:$AD,AF$2,0)</f>
        <v>#N/A</v>
      </c>
      <c r="AG393" t="e">
        <f>VLOOKUP($Z393,'oddspedia-matches'!$A:$AD,AG$2,0)</f>
        <v>#N/A</v>
      </c>
      <c r="AH393" t="e">
        <f>VLOOKUP($Z393,'oddspedia-matches'!$A:$AD,AH$2,0)</f>
        <v>#N/A</v>
      </c>
      <c r="AI393" t="e">
        <f>VLOOKUP($Z393,'oddspedia-matches'!$A:$AD,AI$2,0)</f>
        <v>#N/A</v>
      </c>
      <c r="AJ393" t="e">
        <f>VLOOKUP($Z393,'oddspedia-matches'!$A:$AD,AJ$2,0)</f>
        <v>#N/A</v>
      </c>
      <c r="AK393" t="e">
        <f>VLOOKUP($Z393,'oddspedia-matches'!$A:$AD,AK$2,0)</f>
        <v>#N/A</v>
      </c>
      <c r="AL393" t="e">
        <f>VLOOKUP($Z393,'oddspedia-matches'!$A:$AD,AL$2,0)</f>
        <v>#N/A</v>
      </c>
      <c r="AM393" t="e">
        <f>VLOOKUP($Z393,'oddspedia-matches'!$A:$AD,AM$2,0)</f>
        <v>#N/A</v>
      </c>
      <c r="AN393" t="e">
        <f>VLOOKUP($Z393,'oddspedia-matches'!$A:$AD,AN$2,0)</f>
        <v>#N/A</v>
      </c>
      <c r="AO393" t="e">
        <f>VLOOKUP($Z393,'oddspedia-matches'!$A:$AD,AO$2,0)</f>
        <v>#N/A</v>
      </c>
      <c r="AP393" t="e">
        <f>VLOOKUP($Z393,'oddspedia-matches'!$A:$AD,AP$2,0)</f>
        <v>#N/A</v>
      </c>
      <c r="AQ393" t="e">
        <f>VLOOKUP($Z393,'oddspedia-matches'!$A:$AD,AQ$2,0)</f>
        <v>#N/A</v>
      </c>
    </row>
    <row r="394" spans="2:43" x14ac:dyDescent="0.2">
      <c r="B394" t="s">
        <v>451</v>
      </c>
      <c r="C394" t="s">
        <v>930</v>
      </c>
      <c r="D394" s="25">
        <v>0.5</v>
      </c>
      <c r="E394" t="s">
        <v>259</v>
      </c>
      <c r="F394" t="s">
        <v>1073</v>
      </c>
      <c r="H394">
        <v>39</v>
      </c>
      <c r="I394">
        <v>28.2</v>
      </c>
      <c r="J394">
        <v>32.9</v>
      </c>
      <c r="K394">
        <v>67.099999999999994</v>
      </c>
      <c r="L394">
        <v>61</v>
      </c>
      <c r="M394">
        <v>71.8</v>
      </c>
      <c r="N394">
        <v>31.1</v>
      </c>
      <c r="O394">
        <v>46</v>
      </c>
      <c r="P394">
        <v>23</v>
      </c>
      <c r="Q394">
        <v>65.599999999999994</v>
      </c>
      <c r="R394">
        <v>77.900000000000006</v>
      </c>
      <c r="S394">
        <v>52.9</v>
      </c>
      <c r="T394">
        <v>47.1</v>
      </c>
      <c r="U394">
        <v>52.7</v>
      </c>
      <c r="V394">
        <v>57.8</v>
      </c>
      <c r="W394">
        <v>42.2</v>
      </c>
      <c r="X394" t="str">
        <f>VLOOKUP(E394,'Transform table'!A:B,2,0)</f>
        <v>Norrby</v>
      </c>
      <c r="Y394" t="e">
        <f>VLOOKUP(F394,'Transform table'!A:B,2,0)</f>
        <v>#N/A</v>
      </c>
      <c r="Z394" t="e">
        <f t="shared" si="6"/>
        <v>#N/A</v>
      </c>
      <c r="AA394" t="e">
        <f>VLOOKUP($Z394,'oddspedia-matches'!$A:$AD,AA$2,0)</f>
        <v>#N/A</v>
      </c>
      <c r="AB394" t="e">
        <f>VLOOKUP($Z394,'oddspedia-matches'!$A:$AD,AB$2,0)</f>
        <v>#N/A</v>
      </c>
      <c r="AC394" t="e">
        <f>VLOOKUP($Z394,'oddspedia-matches'!$A:$AD,AC$2,0)</f>
        <v>#N/A</v>
      </c>
      <c r="AD394" t="e">
        <f>VLOOKUP($Z394,'oddspedia-matches'!$A:$AD,AD$2,0)</f>
        <v>#N/A</v>
      </c>
      <c r="AE394" t="e">
        <f>VLOOKUP($Z394,'oddspedia-matches'!$A:$AD,AE$2,0)</f>
        <v>#N/A</v>
      </c>
      <c r="AF394" t="e">
        <f>VLOOKUP($Z394,'oddspedia-matches'!$A:$AD,AF$2,0)</f>
        <v>#N/A</v>
      </c>
      <c r="AG394" t="e">
        <f>VLOOKUP($Z394,'oddspedia-matches'!$A:$AD,AG$2,0)</f>
        <v>#N/A</v>
      </c>
      <c r="AH394" t="e">
        <f>VLOOKUP($Z394,'oddspedia-matches'!$A:$AD,AH$2,0)</f>
        <v>#N/A</v>
      </c>
      <c r="AI394" t="e">
        <f>VLOOKUP($Z394,'oddspedia-matches'!$A:$AD,AI$2,0)</f>
        <v>#N/A</v>
      </c>
      <c r="AJ394" t="e">
        <f>VLOOKUP($Z394,'oddspedia-matches'!$A:$AD,AJ$2,0)</f>
        <v>#N/A</v>
      </c>
      <c r="AK394" t="e">
        <f>VLOOKUP($Z394,'oddspedia-matches'!$A:$AD,AK$2,0)</f>
        <v>#N/A</v>
      </c>
      <c r="AL394" t="e">
        <f>VLOOKUP($Z394,'oddspedia-matches'!$A:$AD,AL$2,0)</f>
        <v>#N/A</v>
      </c>
      <c r="AM394" t="e">
        <f>VLOOKUP($Z394,'oddspedia-matches'!$A:$AD,AM$2,0)</f>
        <v>#N/A</v>
      </c>
      <c r="AN394" t="e">
        <f>VLOOKUP($Z394,'oddspedia-matches'!$A:$AD,AN$2,0)</f>
        <v>#N/A</v>
      </c>
      <c r="AO394" t="e">
        <f>VLOOKUP($Z394,'oddspedia-matches'!$A:$AD,AO$2,0)</f>
        <v>#N/A</v>
      </c>
      <c r="AP394" t="e">
        <f>VLOOKUP($Z394,'oddspedia-matches'!$A:$AD,AP$2,0)</f>
        <v>#N/A</v>
      </c>
      <c r="AQ394" t="e">
        <f>VLOOKUP($Z394,'oddspedia-matches'!$A:$AD,AQ$2,0)</f>
        <v>#N/A</v>
      </c>
    </row>
    <row r="395" spans="2:43" x14ac:dyDescent="0.2">
      <c r="B395" t="s">
        <v>1007</v>
      </c>
      <c r="C395" t="s">
        <v>930</v>
      </c>
      <c r="D395" s="25">
        <v>0.5</v>
      </c>
      <c r="E395" t="s">
        <v>1074</v>
      </c>
      <c r="F395" t="s">
        <v>1075</v>
      </c>
      <c r="H395">
        <v>40.5</v>
      </c>
      <c r="I395">
        <v>29.4</v>
      </c>
      <c r="J395">
        <v>30</v>
      </c>
      <c r="K395">
        <v>70</v>
      </c>
      <c r="L395">
        <v>59.5</v>
      </c>
      <c r="M395">
        <v>70.599999999999994</v>
      </c>
      <c r="N395" t="s">
        <v>20</v>
      </c>
      <c r="O395" t="s">
        <v>20</v>
      </c>
      <c r="P395" t="s">
        <v>20</v>
      </c>
      <c r="Q395" t="s">
        <v>20</v>
      </c>
      <c r="R395">
        <v>72.900000000000006</v>
      </c>
      <c r="S395">
        <v>46</v>
      </c>
      <c r="T395">
        <v>54</v>
      </c>
      <c r="U395">
        <v>59.5</v>
      </c>
      <c r="V395">
        <v>52.2</v>
      </c>
      <c r="W395">
        <v>47.8</v>
      </c>
      <c r="X395" t="str">
        <f>VLOOKUP(E395,'Transform table'!A:B,2,0)</f>
        <v>CA Atenas</v>
      </c>
      <c r="Y395" t="e">
        <f>VLOOKUP(F395,'Transform table'!A:B,2,0)</f>
        <v>#N/A</v>
      </c>
      <c r="Z395" t="e">
        <f t="shared" si="6"/>
        <v>#N/A</v>
      </c>
      <c r="AA395" t="e">
        <f>VLOOKUP($Z395,'oddspedia-matches'!$A:$AD,AA$2,0)</f>
        <v>#N/A</v>
      </c>
      <c r="AB395" t="e">
        <f>VLOOKUP($Z395,'oddspedia-matches'!$A:$AD,AB$2,0)</f>
        <v>#N/A</v>
      </c>
      <c r="AC395" t="e">
        <f>VLOOKUP($Z395,'oddspedia-matches'!$A:$AD,AC$2,0)</f>
        <v>#N/A</v>
      </c>
      <c r="AD395" t="e">
        <f>VLOOKUP($Z395,'oddspedia-matches'!$A:$AD,AD$2,0)</f>
        <v>#N/A</v>
      </c>
      <c r="AE395" t="e">
        <f>VLOOKUP($Z395,'oddspedia-matches'!$A:$AD,AE$2,0)</f>
        <v>#N/A</v>
      </c>
      <c r="AF395" t="e">
        <f>VLOOKUP($Z395,'oddspedia-matches'!$A:$AD,AF$2,0)</f>
        <v>#N/A</v>
      </c>
      <c r="AG395" t="e">
        <f>VLOOKUP($Z395,'oddspedia-matches'!$A:$AD,AG$2,0)</f>
        <v>#N/A</v>
      </c>
      <c r="AH395" t="e">
        <f>VLOOKUP($Z395,'oddspedia-matches'!$A:$AD,AH$2,0)</f>
        <v>#N/A</v>
      </c>
      <c r="AI395" t="e">
        <f>VLOOKUP($Z395,'oddspedia-matches'!$A:$AD,AI$2,0)</f>
        <v>#N/A</v>
      </c>
      <c r="AJ395" t="e">
        <f>VLOOKUP($Z395,'oddspedia-matches'!$A:$AD,AJ$2,0)</f>
        <v>#N/A</v>
      </c>
      <c r="AK395" t="e">
        <f>VLOOKUP($Z395,'oddspedia-matches'!$A:$AD,AK$2,0)</f>
        <v>#N/A</v>
      </c>
      <c r="AL395" t="e">
        <f>VLOOKUP($Z395,'oddspedia-matches'!$A:$AD,AL$2,0)</f>
        <v>#N/A</v>
      </c>
      <c r="AM395" t="e">
        <f>VLOOKUP($Z395,'oddspedia-matches'!$A:$AD,AM$2,0)</f>
        <v>#N/A</v>
      </c>
      <c r="AN395" t="e">
        <f>VLOOKUP($Z395,'oddspedia-matches'!$A:$AD,AN$2,0)</f>
        <v>#N/A</v>
      </c>
      <c r="AO395" t="e">
        <f>VLOOKUP($Z395,'oddspedia-matches'!$A:$AD,AO$2,0)</f>
        <v>#N/A</v>
      </c>
      <c r="AP395" t="e">
        <f>VLOOKUP($Z395,'oddspedia-matches'!$A:$AD,AP$2,0)</f>
        <v>#N/A</v>
      </c>
      <c r="AQ395" t="e">
        <f>VLOOKUP($Z395,'oddspedia-matches'!$A:$AD,AQ$2,0)</f>
        <v>#N/A</v>
      </c>
    </row>
    <row r="396" spans="2:43" x14ac:dyDescent="0.2">
      <c r="B396" t="s">
        <v>1007</v>
      </c>
      <c r="C396" t="s">
        <v>930</v>
      </c>
      <c r="D396" s="25">
        <v>0.5</v>
      </c>
      <c r="E396" t="s">
        <v>661</v>
      </c>
      <c r="F396" t="s">
        <v>1074</v>
      </c>
      <c r="H396">
        <v>50.5</v>
      </c>
      <c r="I396">
        <v>26.2</v>
      </c>
      <c r="J396">
        <v>23.3</v>
      </c>
      <c r="K396">
        <v>76.7</v>
      </c>
      <c r="L396">
        <v>49.5</v>
      </c>
      <c r="M396">
        <v>73.8</v>
      </c>
      <c r="N396">
        <v>42.5</v>
      </c>
      <c r="O396">
        <v>39.5</v>
      </c>
      <c r="P396">
        <v>18.100000000000001</v>
      </c>
      <c r="Q396">
        <v>73.5</v>
      </c>
      <c r="R396">
        <v>79.7</v>
      </c>
      <c r="S396">
        <v>55.5</v>
      </c>
      <c r="T396">
        <v>44.5</v>
      </c>
      <c r="U396">
        <v>50.9</v>
      </c>
      <c r="V396">
        <v>57.6</v>
      </c>
      <c r="W396">
        <v>42.4</v>
      </c>
      <c r="X396">
        <f>VLOOKUP(E396,'Transform table'!A:B,2,0)</f>
        <v>0</v>
      </c>
      <c r="Y396" t="str">
        <f>VLOOKUP(F396,'Transform table'!A:B,2,0)</f>
        <v>CA Atenas</v>
      </c>
      <c r="Z396" t="str">
        <f t="shared" si="6"/>
        <v>26/07/20260CA Atenas</v>
      </c>
      <c r="AA396" t="e">
        <f>VLOOKUP($Z396,'oddspedia-matches'!$A:$AD,AA$2,0)</f>
        <v>#N/A</v>
      </c>
      <c r="AB396" t="e">
        <f>VLOOKUP($Z396,'oddspedia-matches'!$A:$AD,AB$2,0)</f>
        <v>#N/A</v>
      </c>
      <c r="AC396" t="e">
        <f>VLOOKUP($Z396,'oddspedia-matches'!$A:$AD,AC$2,0)</f>
        <v>#N/A</v>
      </c>
      <c r="AD396" t="e">
        <f>VLOOKUP($Z396,'oddspedia-matches'!$A:$AD,AD$2,0)</f>
        <v>#N/A</v>
      </c>
      <c r="AE396" t="e">
        <f>VLOOKUP($Z396,'oddspedia-matches'!$A:$AD,AE$2,0)</f>
        <v>#N/A</v>
      </c>
      <c r="AF396" t="e">
        <f>VLOOKUP($Z396,'oddspedia-matches'!$A:$AD,AF$2,0)</f>
        <v>#N/A</v>
      </c>
      <c r="AG396" t="e">
        <f>VLOOKUP($Z396,'oddspedia-matches'!$A:$AD,AG$2,0)</f>
        <v>#N/A</v>
      </c>
      <c r="AH396" t="e">
        <f>VLOOKUP($Z396,'oddspedia-matches'!$A:$AD,AH$2,0)</f>
        <v>#N/A</v>
      </c>
      <c r="AI396" t="e">
        <f>VLOOKUP($Z396,'oddspedia-matches'!$A:$AD,AI$2,0)</f>
        <v>#N/A</v>
      </c>
      <c r="AJ396" t="e">
        <f>VLOOKUP($Z396,'oddspedia-matches'!$A:$AD,AJ$2,0)</f>
        <v>#N/A</v>
      </c>
      <c r="AK396" t="e">
        <f>VLOOKUP($Z396,'oddspedia-matches'!$A:$AD,AK$2,0)</f>
        <v>#N/A</v>
      </c>
      <c r="AL396" t="e">
        <f>VLOOKUP($Z396,'oddspedia-matches'!$A:$AD,AL$2,0)</f>
        <v>#N/A</v>
      </c>
      <c r="AM396" t="e">
        <f>VLOOKUP($Z396,'oddspedia-matches'!$A:$AD,AM$2,0)</f>
        <v>#N/A</v>
      </c>
      <c r="AN396" t="e">
        <f>VLOOKUP($Z396,'oddspedia-matches'!$A:$AD,AN$2,0)</f>
        <v>#N/A</v>
      </c>
      <c r="AO396" t="e">
        <f>VLOOKUP($Z396,'oddspedia-matches'!$A:$AD,AO$2,0)</f>
        <v>#N/A</v>
      </c>
      <c r="AP396" t="e">
        <f>VLOOKUP($Z396,'oddspedia-matches'!$A:$AD,AP$2,0)</f>
        <v>#N/A</v>
      </c>
      <c r="AQ396" t="e">
        <f>VLOOKUP($Z396,'oddspedia-matches'!$A:$AD,AQ$2,0)</f>
        <v>#N/A</v>
      </c>
    </row>
    <row r="397" spans="2:43" x14ac:dyDescent="0.2">
      <c r="B397" t="s">
        <v>990</v>
      </c>
      <c r="C397" t="s">
        <v>930</v>
      </c>
      <c r="D397" s="25">
        <v>0.52083333333333337</v>
      </c>
      <c r="E397" t="s">
        <v>245</v>
      </c>
      <c r="F397" t="s">
        <v>1076</v>
      </c>
      <c r="H397">
        <v>39.299999999999997</v>
      </c>
      <c r="I397">
        <v>28.5</v>
      </c>
      <c r="J397">
        <v>32.299999999999997</v>
      </c>
      <c r="K397">
        <v>67.7</v>
      </c>
      <c r="L397">
        <v>60.7</v>
      </c>
      <c r="M397">
        <v>71.5</v>
      </c>
      <c r="N397">
        <v>37.200000000000003</v>
      </c>
      <c r="O397">
        <v>41.6</v>
      </c>
      <c r="P397">
        <v>21.3</v>
      </c>
      <c r="Q397">
        <v>71.599999999999994</v>
      </c>
      <c r="R397">
        <v>76.8</v>
      </c>
      <c r="S397">
        <v>51.3</v>
      </c>
      <c r="T397">
        <v>48.7</v>
      </c>
      <c r="U397">
        <v>54.3</v>
      </c>
      <c r="V397">
        <v>56.6</v>
      </c>
      <c r="W397">
        <v>43.4</v>
      </c>
      <c r="X397" t="str">
        <f>VLOOKUP(E397,'Transform table'!A:B,2,0)</f>
        <v>Jelgava</v>
      </c>
      <c r="Y397" t="e">
        <f>VLOOKUP(F397,'Transform table'!A:B,2,0)</f>
        <v>#N/A</v>
      </c>
      <c r="Z397" t="e">
        <f t="shared" si="6"/>
        <v>#N/A</v>
      </c>
      <c r="AA397" t="e">
        <f>VLOOKUP($Z397,'oddspedia-matches'!$A:$AD,AA$2,0)</f>
        <v>#N/A</v>
      </c>
      <c r="AB397" t="e">
        <f>VLOOKUP($Z397,'oddspedia-matches'!$A:$AD,AB$2,0)</f>
        <v>#N/A</v>
      </c>
      <c r="AC397" t="e">
        <f>VLOOKUP($Z397,'oddspedia-matches'!$A:$AD,AC$2,0)</f>
        <v>#N/A</v>
      </c>
      <c r="AD397" t="e">
        <f>VLOOKUP($Z397,'oddspedia-matches'!$A:$AD,AD$2,0)</f>
        <v>#N/A</v>
      </c>
      <c r="AE397" t="e">
        <f>VLOOKUP($Z397,'oddspedia-matches'!$A:$AD,AE$2,0)</f>
        <v>#N/A</v>
      </c>
      <c r="AF397" t="e">
        <f>VLOOKUP($Z397,'oddspedia-matches'!$A:$AD,AF$2,0)</f>
        <v>#N/A</v>
      </c>
      <c r="AG397" t="e">
        <f>VLOOKUP($Z397,'oddspedia-matches'!$A:$AD,AG$2,0)</f>
        <v>#N/A</v>
      </c>
      <c r="AH397" t="e">
        <f>VLOOKUP($Z397,'oddspedia-matches'!$A:$AD,AH$2,0)</f>
        <v>#N/A</v>
      </c>
      <c r="AI397" t="e">
        <f>VLOOKUP($Z397,'oddspedia-matches'!$A:$AD,AI$2,0)</f>
        <v>#N/A</v>
      </c>
      <c r="AJ397" t="e">
        <f>VLOOKUP($Z397,'oddspedia-matches'!$A:$AD,AJ$2,0)</f>
        <v>#N/A</v>
      </c>
      <c r="AK397" t="e">
        <f>VLOOKUP($Z397,'oddspedia-matches'!$A:$AD,AK$2,0)</f>
        <v>#N/A</v>
      </c>
      <c r="AL397" t="e">
        <f>VLOOKUP($Z397,'oddspedia-matches'!$A:$AD,AL$2,0)</f>
        <v>#N/A</v>
      </c>
      <c r="AM397" t="e">
        <f>VLOOKUP($Z397,'oddspedia-matches'!$A:$AD,AM$2,0)</f>
        <v>#N/A</v>
      </c>
      <c r="AN397" t="e">
        <f>VLOOKUP($Z397,'oddspedia-matches'!$A:$AD,AN$2,0)</f>
        <v>#N/A</v>
      </c>
      <c r="AO397" t="e">
        <f>VLOOKUP($Z397,'oddspedia-matches'!$A:$AD,AO$2,0)</f>
        <v>#N/A</v>
      </c>
      <c r="AP397" t="e">
        <f>VLOOKUP($Z397,'oddspedia-matches'!$A:$AD,AP$2,0)</f>
        <v>#N/A</v>
      </c>
      <c r="AQ397" t="e">
        <f>VLOOKUP($Z397,'oddspedia-matches'!$A:$AD,AQ$2,0)</f>
        <v>#N/A</v>
      </c>
    </row>
    <row r="398" spans="2:43" x14ac:dyDescent="0.2">
      <c r="B398" t="s">
        <v>1015</v>
      </c>
      <c r="C398" t="s">
        <v>930</v>
      </c>
      <c r="D398" s="25">
        <v>0.52083333333333337</v>
      </c>
      <c r="E398" t="s">
        <v>1077</v>
      </c>
      <c r="F398" t="s">
        <v>1078</v>
      </c>
      <c r="H398">
        <v>0</v>
      </c>
      <c r="I398">
        <v>100</v>
      </c>
      <c r="J398">
        <v>0</v>
      </c>
      <c r="K398">
        <v>100</v>
      </c>
      <c r="L398">
        <v>100</v>
      </c>
      <c r="M398">
        <v>0</v>
      </c>
      <c r="N398">
        <v>0</v>
      </c>
      <c r="O398">
        <v>100</v>
      </c>
      <c r="P398">
        <v>0</v>
      </c>
      <c r="Q398">
        <v>0</v>
      </c>
      <c r="R398">
        <v>0</v>
      </c>
      <c r="S398">
        <v>0</v>
      </c>
      <c r="T398">
        <v>100</v>
      </c>
      <c r="U398">
        <v>100</v>
      </c>
      <c r="V398">
        <v>0</v>
      </c>
      <c r="W398">
        <v>100</v>
      </c>
      <c r="X398" t="str">
        <f>VLOOKUP(E398,'Transform table'!A:B,2,0)</f>
        <v>Woking</v>
      </c>
      <c r="Y398" t="e">
        <f>VLOOKUP(F398,'Transform table'!A:B,2,0)</f>
        <v>#N/A</v>
      </c>
      <c r="Z398" t="e">
        <f t="shared" si="6"/>
        <v>#N/A</v>
      </c>
      <c r="AA398" t="e">
        <f>VLOOKUP($Z398,'oddspedia-matches'!$A:$AD,AA$2,0)</f>
        <v>#N/A</v>
      </c>
      <c r="AB398" t="e">
        <f>VLOOKUP($Z398,'oddspedia-matches'!$A:$AD,AB$2,0)</f>
        <v>#N/A</v>
      </c>
      <c r="AC398" t="e">
        <f>VLOOKUP($Z398,'oddspedia-matches'!$A:$AD,AC$2,0)</f>
        <v>#N/A</v>
      </c>
      <c r="AD398" t="e">
        <f>VLOOKUP($Z398,'oddspedia-matches'!$A:$AD,AD$2,0)</f>
        <v>#N/A</v>
      </c>
      <c r="AE398" t="e">
        <f>VLOOKUP($Z398,'oddspedia-matches'!$A:$AD,AE$2,0)</f>
        <v>#N/A</v>
      </c>
      <c r="AF398" t="e">
        <f>VLOOKUP($Z398,'oddspedia-matches'!$A:$AD,AF$2,0)</f>
        <v>#N/A</v>
      </c>
      <c r="AG398" t="e">
        <f>VLOOKUP($Z398,'oddspedia-matches'!$A:$AD,AG$2,0)</f>
        <v>#N/A</v>
      </c>
      <c r="AH398" t="e">
        <f>VLOOKUP($Z398,'oddspedia-matches'!$A:$AD,AH$2,0)</f>
        <v>#N/A</v>
      </c>
      <c r="AI398" t="e">
        <f>VLOOKUP($Z398,'oddspedia-matches'!$A:$AD,AI$2,0)</f>
        <v>#N/A</v>
      </c>
      <c r="AJ398" t="e">
        <f>VLOOKUP($Z398,'oddspedia-matches'!$A:$AD,AJ$2,0)</f>
        <v>#N/A</v>
      </c>
      <c r="AK398" t="e">
        <f>VLOOKUP($Z398,'oddspedia-matches'!$A:$AD,AK$2,0)</f>
        <v>#N/A</v>
      </c>
      <c r="AL398" t="e">
        <f>VLOOKUP($Z398,'oddspedia-matches'!$A:$AD,AL$2,0)</f>
        <v>#N/A</v>
      </c>
      <c r="AM398" t="e">
        <f>VLOOKUP($Z398,'oddspedia-matches'!$A:$AD,AM$2,0)</f>
        <v>#N/A</v>
      </c>
      <c r="AN398" t="e">
        <f>VLOOKUP($Z398,'oddspedia-matches'!$A:$AD,AN$2,0)</f>
        <v>#N/A</v>
      </c>
      <c r="AO398" t="e">
        <f>VLOOKUP($Z398,'oddspedia-matches'!$A:$AD,AO$2,0)</f>
        <v>#N/A</v>
      </c>
      <c r="AP398" t="e">
        <f>VLOOKUP($Z398,'oddspedia-matches'!$A:$AD,AP$2,0)</f>
        <v>#N/A</v>
      </c>
      <c r="AQ398" t="e">
        <f>VLOOKUP($Z398,'oddspedia-matches'!$A:$AD,AQ$2,0)</f>
        <v>#N/A</v>
      </c>
    </row>
    <row r="399" spans="2:43" x14ac:dyDescent="0.2">
      <c r="B399" t="s">
        <v>475</v>
      </c>
      <c r="C399" t="s">
        <v>930</v>
      </c>
      <c r="D399" s="25">
        <v>0.53125</v>
      </c>
      <c r="E399" t="s">
        <v>1079</v>
      </c>
      <c r="F399" t="s">
        <v>1080</v>
      </c>
      <c r="H399">
        <v>44</v>
      </c>
      <c r="I399">
        <v>27.9</v>
      </c>
      <c r="J399">
        <v>28.2</v>
      </c>
      <c r="K399">
        <v>71.8</v>
      </c>
      <c r="L399">
        <v>56</v>
      </c>
      <c r="M399">
        <v>72.099999999999994</v>
      </c>
      <c r="N399">
        <v>39.1</v>
      </c>
      <c r="O399">
        <v>43.7</v>
      </c>
      <c r="P399">
        <v>17.2</v>
      </c>
      <c r="Q399">
        <v>67.2</v>
      </c>
      <c r="R399">
        <v>77</v>
      </c>
      <c r="S399">
        <v>51.6</v>
      </c>
      <c r="T399">
        <v>48.4</v>
      </c>
      <c r="U399">
        <v>54.2</v>
      </c>
      <c r="V399">
        <v>56.2</v>
      </c>
      <c r="W399">
        <v>43.8</v>
      </c>
      <c r="X399">
        <f>VLOOKUP(E399,'Transform table'!A:B,2,0)</f>
        <v>0</v>
      </c>
      <c r="Y399" t="e">
        <f>VLOOKUP(F399,'Transform table'!A:B,2,0)</f>
        <v>#N/A</v>
      </c>
      <c r="Z399" t="e">
        <f t="shared" si="6"/>
        <v>#N/A</v>
      </c>
      <c r="AA399" t="e">
        <f>VLOOKUP($Z399,'oddspedia-matches'!$A:$AD,AA$2,0)</f>
        <v>#N/A</v>
      </c>
      <c r="AB399" t="e">
        <f>VLOOKUP($Z399,'oddspedia-matches'!$A:$AD,AB$2,0)</f>
        <v>#N/A</v>
      </c>
      <c r="AC399" t="e">
        <f>VLOOKUP($Z399,'oddspedia-matches'!$A:$AD,AC$2,0)</f>
        <v>#N/A</v>
      </c>
      <c r="AD399" t="e">
        <f>VLOOKUP($Z399,'oddspedia-matches'!$A:$AD,AD$2,0)</f>
        <v>#N/A</v>
      </c>
      <c r="AE399" t="e">
        <f>VLOOKUP($Z399,'oddspedia-matches'!$A:$AD,AE$2,0)</f>
        <v>#N/A</v>
      </c>
      <c r="AF399" t="e">
        <f>VLOOKUP($Z399,'oddspedia-matches'!$A:$AD,AF$2,0)</f>
        <v>#N/A</v>
      </c>
      <c r="AG399" t="e">
        <f>VLOOKUP($Z399,'oddspedia-matches'!$A:$AD,AG$2,0)</f>
        <v>#N/A</v>
      </c>
      <c r="AH399" t="e">
        <f>VLOOKUP($Z399,'oddspedia-matches'!$A:$AD,AH$2,0)</f>
        <v>#N/A</v>
      </c>
      <c r="AI399" t="e">
        <f>VLOOKUP($Z399,'oddspedia-matches'!$A:$AD,AI$2,0)</f>
        <v>#N/A</v>
      </c>
      <c r="AJ399" t="e">
        <f>VLOOKUP($Z399,'oddspedia-matches'!$A:$AD,AJ$2,0)</f>
        <v>#N/A</v>
      </c>
      <c r="AK399" t="e">
        <f>VLOOKUP($Z399,'oddspedia-matches'!$A:$AD,AK$2,0)</f>
        <v>#N/A</v>
      </c>
      <c r="AL399" t="e">
        <f>VLOOKUP($Z399,'oddspedia-matches'!$A:$AD,AL$2,0)</f>
        <v>#N/A</v>
      </c>
      <c r="AM399" t="e">
        <f>VLOOKUP($Z399,'oddspedia-matches'!$A:$AD,AM$2,0)</f>
        <v>#N/A</v>
      </c>
      <c r="AN399" t="e">
        <f>VLOOKUP($Z399,'oddspedia-matches'!$A:$AD,AN$2,0)</f>
        <v>#N/A</v>
      </c>
      <c r="AO399" t="e">
        <f>VLOOKUP($Z399,'oddspedia-matches'!$A:$AD,AO$2,0)</f>
        <v>#N/A</v>
      </c>
      <c r="AP399" t="e">
        <f>VLOOKUP($Z399,'oddspedia-matches'!$A:$AD,AP$2,0)</f>
        <v>#N/A</v>
      </c>
      <c r="AQ399" t="e">
        <f>VLOOKUP($Z399,'oddspedia-matches'!$A:$AD,AQ$2,0)</f>
        <v>#N/A</v>
      </c>
    </row>
    <row r="400" spans="2:43" x14ac:dyDescent="0.2">
      <c r="B400" t="s">
        <v>1081</v>
      </c>
      <c r="C400" t="s">
        <v>930</v>
      </c>
      <c r="D400" s="25">
        <v>0.54166666666666663</v>
      </c>
      <c r="E400" t="s">
        <v>1082</v>
      </c>
      <c r="F400" t="s">
        <v>1083</v>
      </c>
      <c r="H400">
        <v>42.7</v>
      </c>
      <c r="I400">
        <v>36.799999999999997</v>
      </c>
      <c r="J400">
        <v>20.399999999999999</v>
      </c>
      <c r="K400">
        <v>79.599999999999994</v>
      </c>
      <c r="L400">
        <v>57.3</v>
      </c>
      <c r="M400">
        <v>63.2</v>
      </c>
      <c r="N400">
        <v>0</v>
      </c>
      <c r="O400">
        <v>69.099999999999994</v>
      </c>
      <c r="P400">
        <v>30.9</v>
      </c>
      <c r="Q400">
        <v>30.9</v>
      </c>
      <c r="R400">
        <v>47.1</v>
      </c>
      <c r="S400">
        <v>20.399999999999999</v>
      </c>
      <c r="T400">
        <v>79.599999999999994</v>
      </c>
      <c r="U400">
        <v>83.5</v>
      </c>
      <c r="V400">
        <v>28.5</v>
      </c>
      <c r="W400">
        <v>71.5</v>
      </c>
      <c r="X400">
        <f>VLOOKUP(E400,'Transform table'!A:B,2,0)</f>
        <v>0</v>
      </c>
      <c r="Y400" t="e">
        <f>VLOOKUP(F400,'Transform table'!A:B,2,0)</f>
        <v>#N/A</v>
      </c>
      <c r="Z400" t="e">
        <f t="shared" si="6"/>
        <v>#N/A</v>
      </c>
      <c r="AA400" t="e">
        <f>VLOOKUP($Z400,'oddspedia-matches'!$A:$AD,AA$2,0)</f>
        <v>#N/A</v>
      </c>
      <c r="AB400" t="e">
        <f>VLOOKUP($Z400,'oddspedia-matches'!$A:$AD,AB$2,0)</f>
        <v>#N/A</v>
      </c>
      <c r="AC400" t="e">
        <f>VLOOKUP($Z400,'oddspedia-matches'!$A:$AD,AC$2,0)</f>
        <v>#N/A</v>
      </c>
      <c r="AD400" t="e">
        <f>VLOOKUP($Z400,'oddspedia-matches'!$A:$AD,AD$2,0)</f>
        <v>#N/A</v>
      </c>
      <c r="AE400" t="e">
        <f>VLOOKUP($Z400,'oddspedia-matches'!$A:$AD,AE$2,0)</f>
        <v>#N/A</v>
      </c>
      <c r="AF400" t="e">
        <f>VLOOKUP($Z400,'oddspedia-matches'!$A:$AD,AF$2,0)</f>
        <v>#N/A</v>
      </c>
      <c r="AG400" t="e">
        <f>VLOOKUP($Z400,'oddspedia-matches'!$A:$AD,AG$2,0)</f>
        <v>#N/A</v>
      </c>
      <c r="AH400" t="e">
        <f>VLOOKUP($Z400,'oddspedia-matches'!$A:$AD,AH$2,0)</f>
        <v>#N/A</v>
      </c>
      <c r="AI400" t="e">
        <f>VLOOKUP($Z400,'oddspedia-matches'!$A:$AD,AI$2,0)</f>
        <v>#N/A</v>
      </c>
      <c r="AJ400" t="e">
        <f>VLOOKUP($Z400,'oddspedia-matches'!$A:$AD,AJ$2,0)</f>
        <v>#N/A</v>
      </c>
      <c r="AK400" t="e">
        <f>VLOOKUP($Z400,'oddspedia-matches'!$A:$AD,AK$2,0)</f>
        <v>#N/A</v>
      </c>
      <c r="AL400" t="e">
        <f>VLOOKUP($Z400,'oddspedia-matches'!$A:$AD,AL$2,0)</f>
        <v>#N/A</v>
      </c>
      <c r="AM400" t="e">
        <f>VLOOKUP($Z400,'oddspedia-matches'!$A:$AD,AM$2,0)</f>
        <v>#N/A</v>
      </c>
      <c r="AN400" t="e">
        <f>VLOOKUP($Z400,'oddspedia-matches'!$A:$AD,AN$2,0)</f>
        <v>#N/A</v>
      </c>
      <c r="AO400" t="e">
        <f>VLOOKUP($Z400,'oddspedia-matches'!$A:$AD,AO$2,0)</f>
        <v>#N/A</v>
      </c>
      <c r="AP400" t="e">
        <f>VLOOKUP($Z400,'oddspedia-matches'!$A:$AD,AP$2,0)</f>
        <v>#N/A</v>
      </c>
      <c r="AQ400" t="e">
        <f>VLOOKUP($Z400,'oddspedia-matches'!$A:$AD,AQ$2,0)</f>
        <v>#N/A</v>
      </c>
    </row>
    <row r="401" spans="2:43" x14ac:dyDescent="0.2">
      <c r="B401" t="s">
        <v>982</v>
      </c>
      <c r="C401" t="s">
        <v>930</v>
      </c>
      <c r="D401" s="25">
        <v>0.54166666666666663</v>
      </c>
      <c r="E401" t="s">
        <v>1084</v>
      </c>
      <c r="F401" t="s">
        <v>1085</v>
      </c>
      <c r="H401">
        <v>0</v>
      </c>
      <c r="I401">
        <v>100</v>
      </c>
      <c r="J401">
        <v>0</v>
      </c>
      <c r="K401">
        <v>100</v>
      </c>
      <c r="L401">
        <v>100</v>
      </c>
      <c r="M401">
        <v>0</v>
      </c>
      <c r="N401">
        <v>0</v>
      </c>
      <c r="O401">
        <v>100</v>
      </c>
      <c r="P401">
        <v>0</v>
      </c>
      <c r="Q401">
        <v>0</v>
      </c>
      <c r="R401">
        <v>0</v>
      </c>
      <c r="S401">
        <v>0</v>
      </c>
      <c r="T401">
        <v>100</v>
      </c>
      <c r="U401">
        <v>100</v>
      </c>
      <c r="V401">
        <v>0</v>
      </c>
      <c r="W401">
        <v>100</v>
      </c>
      <c r="X401">
        <f>VLOOKUP(E401,'Transform table'!A:B,2,0)</f>
        <v>0</v>
      </c>
      <c r="Y401" t="e">
        <f>VLOOKUP(F401,'Transform table'!A:B,2,0)</f>
        <v>#N/A</v>
      </c>
      <c r="Z401" t="e">
        <f t="shared" si="6"/>
        <v>#N/A</v>
      </c>
      <c r="AA401" t="e">
        <f>VLOOKUP($Z401,'oddspedia-matches'!$A:$AD,AA$2,0)</f>
        <v>#N/A</v>
      </c>
      <c r="AB401" t="e">
        <f>VLOOKUP($Z401,'oddspedia-matches'!$A:$AD,AB$2,0)</f>
        <v>#N/A</v>
      </c>
      <c r="AC401" t="e">
        <f>VLOOKUP($Z401,'oddspedia-matches'!$A:$AD,AC$2,0)</f>
        <v>#N/A</v>
      </c>
      <c r="AD401" t="e">
        <f>VLOOKUP($Z401,'oddspedia-matches'!$A:$AD,AD$2,0)</f>
        <v>#N/A</v>
      </c>
      <c r="AE401" t="e">
        <f>VLOOKUP($Z401,'oddspedia-matches'!$A:$AD,AE$2,0)</f>
        <v>#N/A</v>
      </c>
      <c r="AF401" t="e">
        <f>VLOOKUP($Z401,'oddspedia-matches'!$A:$AD,AF$2,0)</f>
        <v>#N/A</v>
      </c>
      <c r="AG401" t="e">
        <f>VLOOKUP($Z401,'oddspedia-matches'!$A:$AD,AG$2,0)</f>
        <v>#N/A</v>
      </c>
      <c r="AH401" t="e">
        <f>VLOOKUP($Z401,'oddspedia-matches'!$A:$AD,AH$2,0)</f>
        <v>#N/A</v>
      </c>
      <c r="AI401" t="e">
        <f>VLOOKUP($Z401,'oddspedia-matches'!$A:$AD,AI$2,0)</f>
        <v>#N/A</v>
      </c>
      <c r="AJ401" t="e">
        <f>VLOOKUP($Z401,'oddspedia-matches'!$A:$AD,AJ$2,0)</f>
        <v>#N/A</v>
      </c>
      <c r="AK401" t="e">
        <f>VLOOKUP($Z401,'oddspedia-matches'!$A:$AD,AK$2,0)</f>
        <v>#N/A</v>
      </c>
      <c r="AL401" t="e">
        <f>VLOOKUP($Z401,'oddspedia-matches'!$A:$AD,AL$2,0)</f>
        <v>#N/A</v>
      </c>
      <c r="AM401" t="e">
        <f>VLOOKUP($Z401,'oddspedia-matches'!$A:$AD,AM$2,0)</f>
        <v>#N/A</v>
      </c>
      <c r="AN401" t="e">
        <f>VLOOKUP($Z401,'oddspedia-matches'!$A:$AD,AN$2,0)</f>
        <v>#N/A</v>
      </c>
      <c r="AO401" t="e">
        <f>VLOOKUP($Z401,'oddspedia-matches'!$A:$AD,AO$2,0)</f>
        <v>#N/A</v>
      </c>
      <c r="AP401" t="e">
        <f>VLOOKUP($Z401,'oddspedia-matches'!$A:$AD,AP$2,0)</f>
        <v>#N/A</v>
      </c>
      <c r="AQ401" t="e">
        <f>VLOOKUP($Z401,'oddspedia-matches'!$A:$AD,AQ$2,0)</f>
        <v>#N/A</v>
      </c>
    </row>
    <row r="402" spans="2:43" x14ac:dyDescent="0.2">
      <c r="B402" t="s">
        <v>1086</v>
      </c>
      <c r="C402" t="s">
        <v>930</v>
      </c>
      <c r="D402" s="25">
        <v>0.54166666666666663</v>
      </c>
      <c r="E402" t="s">
        <v>1087</v>
      </c>
      <c r="F402" t="s">
        <v>1088</v>
      </c>
      <c r="H402">
        <v>72.5</v>
      </c>
      <c r="I402">
        <v>27.5</v>
      </c>
      <c r="J402">
        <v>0</v>
      </c>
      <c r="K402">
        <v>100</v>
      </c>
      <c r="L402">
        <v>27.5</v>
      </c>
      <c r="M402">
        <v>72.5</v>
      </c>
      <c r="N402">
        <v>47.8</v>
      </c>
      <c r="O402">
        <v>52.2</v>
      </c>
      <c r="P402">
        <v>0</v>
      </c>
      <c r="Q402">
        <v>47.8</v>
      </c>
      <c r="R402">
        <v>37.299999999999997</v>
      </c>
      <c r="S402">
        <v>14.3</v>
      </c>
      <c r="T402">
        <v>85.7</v>
      </c>
      <c r="U402">
        <v>95.7</v>
      </c>
      <c r="V402">
        <v>0.2</v>
      </c>
      <c r="W402">
        <v>99.8</v>
      </c>
      <c r="X402" t="str">
        <f>VLOOKUP(E402,'Transform table'!A:B,2,0)</f>
        <v>NK Bravo</v>
      </c>
      <c r="Y402" t="e">
        <f>VLOOKUP(F402,'Transform table'!A:B,2,0)</f>
        <v>#N/A</v>
      </c>
      <c r="Z402" t="e">
        <f t="shared" si="6"/>
        <v>#N/A</v>
      </c>
      <c r="AA402" t="e">
        <f>VLOOKUP($Z402,'oddspedia-matches'!$A:$AD,AA$2,0)</f>
        <v>#N/A</v>
      </c>
      <c r="AB402" t="e">
        <f>VLOOKUP($Z402,'oddspedia-matches'!$A:$AD,AB$2,0)</f>
        <v>#N/A</v>
      </c>
      <c r="AC402" t="e">
        <f>VLOOKUP($Z402,'oddspedia-matches'!$A:$AD,AC$2,0)</f>
        <v>#N/A</v>
      </c>
      <c r="AD402" t="e">
        <f>VLOOKUP($Z402,'oddspedia-matches'!$A:$AD,AD$2,0)</f>
        <v>#N/A</v>
      </c>
      <c r="AE402" t="e">
        <f>VLOOKUP($Z402,'oddspedia-matches'!$A:$AD,AE$2,0)</f>
        <v>#N/A</v>
      </c>
      <c r="AF402" t="e">
        <f>VLOOKUP($Z402,'oddspedia-matches'!$A:$AD,AF$2,0)</f>
        <v>#N/A</v>
      </c>
      <c r="AG402" t="e">
        <f>VLOOKUP($Z402,'oddspedia-matches'!$A:$AD,AG$2,0)</f>
        <v>#N/A</v>
      </c>
      <c r="AH402" t="e">
        <f>VLOOKUP($Z402,'oddspedia-matches'!$A:$AD,AH$2,0)</f>
        <v>#N/A</v>
      </c>
      <c r="AI402" t="e">
        <f>VLOOKUP($Z402,'oddspedia-matches'!$A:$AD,AI$2,0)</f>
        <v>#N/A</v>
      </c>
      <c r="AJ402" t="e">
        <f>VLOOKUP($Z402,'oddspedia-matches'!$A:$AD,AJ$2,0)</f>
        <v>#N/A</v>
      </c>
      <c r="AK402" t="e">
        <f>VLOOKUP($Z402,'oddspedia-matches'!$A:$AD,AK$2,0)</f>
        <v>#N/A</v>
      </c>
      <c r="AL402" t="e">
        <f>VLOOKUP($Z402,'oddspedia-matches'!$A:$AD,AL$2,0)</f>
        <v>#N/A</v>
      </c>
      <c r="AM402" t="e">
        <f>VLOOKUP($Z402,'oddspedia-matches'!$A:$AD,AM$2,0)</f>
        <v>#N/A</v>
      </c>
      <c r="AN402" t="e">
        <f>VLOOKUP($Z402,'oddspedia-matches'!$A:$AD,AN$2,0)</f>
        <v>#N/A</v>
      </c>
      <c r="AO402" t="e">
        <f>VLOOKUP($Z402,'oddspedia-matches'!$A:$AD,AO$2,0)</f>
        <v>#N/A</v>
      </c>
      <c r="AP402" t="e">
        <f>VLOOKUP($Z402,'oddspedia-matches'!$A:$AD,AP$2,0)</f>
        <v>#N/A</v>
      </c>
      <c r="AQ402" t="e">
        <f>VLOOKUP($Z402,'oddspedia-matches'!$A:$AD,AQ$2,0)</f>
        <v>#N/A</v>
      </c>
    </row>
    <row r="403" spans="2:43" x14ac:dyDescent="0.2">
      <c r="B403" t="s">
        <v>1024</v>
      </c>
      <c r="C403" t="s">
        <v>930</v>
      </c>
      <c r="D403" s="25">
        <v>0.54166666666666663</v>
      </c>
      <c r="E403" t="s">
        <v>1089</v>
      </c>
      <c r="F403" t="s">
        <v>1090</v>
      </c>
      <c r="H403">
        <v>0</v>
      </c>
      <c r="I403">
        <v>100</v>
      </c>
      <c r="J403">
        <v>0</v>
      </c>
      <c r="K403">
        <v>100</v>
      </c>
      <c r="L403">
        <v>100</v>
      </c>
      <c r="M403">
        <v>0</v>
      </c>
      <c r="N403">
        <v>0</v>
      </c>
      <c r="O403">
        <v>100</v>
      </c>
      <c r="P403">
        <v>0</v>
      </c>
      <c r="Q403">
        <v>0</v>
      </c>
      <c r="R403">
        <v>0</v>
      </c>
      <c r="S403">
        <v>0</v>
      </c>
      <c r="T403">
        <v>100</v>
      </c>
      <c r="U403">
        <v>100</v>
      </c>
      <c r="V403">
        <v>0</v>
      </c>
      <c r="W403">
        <v>100</v>
      </c>
      <c r="X403" t="str">
        <f>VLOOKUP(E403,'Transform table'!A:B,2,0)</f>
        <v>Debreceni VSC</v>
      </c>
      <c r="Y403" t="e">
        <f>VLOOKUP(F403,'Transform table'!A:B,2,0)</f>
        <v>#N/A</v>
      </c>
      <c r="Z403" t="e">
        <f t="shared" si="6"/>
        <v>#N/A</v>
      </c>
      <c r="AA403" t="e">
        <f>VLOOKUP($Z403,'oddspedia-matches'!$A:$AD,AA$2,0)</f>
        <v>#N/A</v>
      </c>
      <c r="AB403" t="e">
        <f>VLOOKUP($Z403,'oddspedia-matches'!$A:$AD,AB$2,0)</f>
        <v>#N/A</v>
      </c>
      <c r="AC403" t="e">
        <f>VLOOKUP($Z403,'oddspedia-matches'!$A:$AD,AC$2,0)</f>
        <v>#N/A</v>
      </c>
      <c r="AD403" t="e">
        <f>VLOOKUP($Z403,'oddspedia-matches'!$A:$AD,AD$2,0)</f>
        <v>#N/A</v>
      </c>
      <c r="AE403" t="e">
        <f>VLOOKUP($Z403,'oddspedia-matches'!$A:$AD,AE$2,0)</f>
        <v>#N/A</v>
      </c>
      <c r="AF403" t="e">
        <f>VLOOKUP($Z403,'oddspedia-matches'!$A:$AD,AF$2,0)</f>
        <v>#N/A</v>
      </c>
      <c r="AG403" t="e">
        <f>VLOOKUP($Z403,'oddspedia-matches'!$A:$AD,AG$2,0)</f>
        <v>#N/A</v>
      </c>
      <c r="AH403" t="e">
        <f>VLOOKUP($Z403,'oddspedia-matches'!$A:$AD,AH$2,0)</f>
        <v>#N/A</v>
      </c>
      <c r="AI403" t="e">
        <f>VLOOKUP($Z403,'oddspedia-matches'!$A:$AD,AI$2,0)</f>
        <v>#N/A</v>
      </c>
      <c r="AJ403" t="e">
        <f>VLOOKUP($Z403,'oddspedia-matches'!$A:$AD,AJ$2,0)</f>
        <v>#N/A</v>
      </c>
      <c r="AK403" t="e">
        <f>VLOOKUP($Z403,'oddspedia-matches'!$A:$AD,AK$2,0)</f>
        <v>#N/A</v>
      </c>
      <c r="AL403" t="e">
        <f>VLOOKUP($Z403,'oddspedia-matches'!$A:$AD,AL$2,0)</f>
        <v>#N/A</v>
      </c>
      <c r="AM403" t="e">
        <f>VLOOKUP($Z403,'oddspedia-matches'!$A:$AD,AM$2,0)</f>
        <v>#N/A</v>
      </c>
      <c r="AN403" t="e">
        <f>VLOOKUP($Z403,'oddspedia-matches'!$A:$AD,AN$2,0)</f>
        <v>#N/A</v>
      </c>
      <c r="AO403" t="e">
        <f>VLOOKUP($Z403,'oddspedia-matches'!$A:$AD,AO$2,0)</f>
        <v>#N/A</v>
      </c>
      <c r="AP403" t="e">
        <f>VLOOKUP($Z403,'oddspedia-matches'!$A:$AD,AP$2,0)</f>
        <v>#N/A</v>
      </c>
      <c r="AQ403" t="e">
        <f>VLOOKUP($Z403,'oddspedia-matches'!$A:$AD,AQ$2,0)</f>
        <v>#N/A</v>
      </c>
    </row>
    <row r="404" spans="2:43" x14ac:dyDescent="0.2">
      <c r="B404" t="s">
        <v>990</v>
      </c>
      <c r="C404" t="s">
        <v>930</v>
      </c>
      <c r="D404" s="25">
        <v>0.54166666666666663</v>
      </c>
      <c r="E404" t="s">
        <v>1091</v>
      </c>
      <c r="F404" t="s">
        <v>1092</v>
      </c>
      <c r="H404">
        <v>48.4</v>
      </c>
      <c r="I404">
        <v>26.9</v>
      </c>
      <c r="J404">
        <v>24.7</v>
      </c>
      <c r="K404">
        <v>75.3</v>
      </c>
      <c r="L404">
        <v>51.6</v>
      </c>
      <c r="M404">
        <v>73.099999999999994</v>
      </c>
      <c r="N404">
        <v>31.8</v>
      </c>
      <c r="O404">
        <v>46.3</v>
      </c>
      <c r="P404">
        <v>22</v>
      </c>
      <c r="Q404">
        <v>65</v>
      </c>
      <c r="R404">
        <v>78.400000000000006</v>
      </c>
      <c r="S404">
        <v>53.6</v>
      </c>
      <c r="T404">
        <v>46.4</v>
      </c>
      <c r="U404">
        <v>52.6</v>
      </c>
      <c r="V404">
        <v>56.7</v>
      </c>
      <c r="W404">
        <v>43.3</v>
      </c>
      <c r="X404" t="str">
        <f>VLOOKUP(E404,'Transform table'!A:B,2,0)</f>
        <v>FK Auda</v>
      </c>
      <c r="Y404" t="e">
        <f>VLOOKUP(F404,'Transform table'!A:B,2,0)</f>
        <v>#N/A</v>
      </c>
      <c r="Z404" t="e">
        <f t="shared" si="6"/>
        <v>#N/A</v>
      </c>
      <c r="AA404" t="e">
        <f>VLOOKUP($Z404,'oddspedia-matches'!$A:$AD,AA$2,0)</f>
        <v>#N/A</v>
      </c>
      <c r="AB404" t="e">
        <f>VLOOKUP($Z404,'oddspedia-matches'!$A:$AD,AB$2,0)</f>
        <v>#N/A</v>
      </c>
      <c r="AC404" t="e">
        <f>VLOOKUP($Z404,'oddspedia-matches'!$A:$AD,AC$2,0)</f>
        <v>#N/A</v>
      </c>
      <c r="AD404" t="e">
        <f>VLOOKUP($Z404,'oddspedia-matches'!$A:$AD,AD$2,0)</f>
        <v>#N/A</v>
      </c>
      <c r="AE404" t="e">
        <f>VLOOKUP($Z404,'oddspedia-matches'!$A:$AD,AE$2,0)</f>
        <v>#N/A</v>
      </c>
      <c r="AF404" t="e">
        <f>VLOOKUP($Z404,'oddspedia-matches'!$A:$AD,AF$2,0)</f>
        <v>#N/A</v>
      </c>
      <c r="AG404" t="e">
        <f>VLOOKUP($Z404,'oddspedia-matches'!$A:$AD,AG$2,0)</f>
        <v>#N/A</v>
      </c>
      <c r="AH404" t="e">
        <f>VLOOKUP($Z404,'oddspedia-matches'!$A:$AD,AH$2,0)</f>
        <v>#N/A</v>
      </c>
      <c r="AI404" t="e">
        <f>VLOOKUP($Z404,'oddspedia-matches'!$A:$AD,AI$2,0)</f>
        <v>#N/A</v>
      </c>
      <c r="AJ404" t="e">
        <f>VLOOKUP($Z404,'oddspedia-matches'!$A:$AD,AJ$2,0)</f>
        <v>#N/A</v>
      </c>
      <c r="AK404" t="e">
        <f>VLOOKUP($Z404,'oddspedia-matches'!$A:$AD,AK$2,0)</f>
        <v>#N/A</v>
      </c>
      <c r="AL404" t="e">
        <f>VLOOKUP($Z404,'oddspedia-matches'!$A:$AD,AL$2,0)</f>
        <v>#N/A</v>
      </c>
      <c r="AM404" t="e">
        <f>VLOOKUP($Z404,'oddspedia-matches'!$A:$AD,AM$2,0)</f>
        <v>#N/A</v>
      </c>
      <c r="AN404" t="e">
        <f>VLOOKUP($Z404,'oddspedia-matches'!$A:$AD,AN$2,0)</f>
        <v>#N/A</v>
      </c>
      <c r="AO404" t="e">
        <f>VLOOKUP($Z404,'oddspedia-matches'!$A:$AD,AO$2,0)</f>
        <v>#N/A</v>
      </c>
      <c r="AP404" t="e">
        <f>VLOOKUP($Z404,'oddspedia-matches'!$A:$AD,AP$2,0)</f>
        <v>#N/A</v>
      </c>
      <c r="AQ404" t="e">
        <f>VLOOKUP($Z404,'oddspedia-matches'!$A:$AD,AQ$2,0)</f>
        <v>#N/A</v>
      </c>
    </row>
    <row r="405" spans="2:43" x14ac:dyDescent="0.2">
      <c r="B405" t="s">
        <v>475</v>
      </c>
      <c r="C405" t="s">
        <v>930</v>
      </c>
      <c r="D405" s="25">
        <v>0.54166666666666663</v>
      </c>
      <c r="E405" t="s">
        <v>1093</v>
      </c>
      <c r="F405" t="s">
        <v>1094</v>
      </c>
      <c r="H405">
        <v>61.1</v>
      </c>
      <c r="I405">
        <v>24.9</v>
      </c>
      <c r="J405">
        <v>14</v>
      </c>
      <c r="K405">
        <v>86</v>
      </c>
      <c r="L405">
        <v>38.9</v>
      </c>
      <c r="M405">
        <v>75.099999999999994</v>
      </c>
      <c r="N405">
        <v>43.4</v>
      </c>
      <c r="O405">
        <v>40.299999999999997</v>
      </c>
      <c r="P405">
        <v>16.3</v>
      </c>
      <c r="Q405">
        <v>71.5</v>
      </c>
      <c r="R405">
        <v>72.900000000000006</v>
      </c>
      <c r="S405">
        <v>46.3</v>
      </c>
      <c r="T405">
        <v>53.7</v>
      </c>
      <c r="U405">
        <v>62</v>
      </c>
      <c r="V405">
        <v>44.6</v>
      </c>
      <c r="W405">
        <v>55.4</v>
      </c>
      <c r="X405">
        <f>VLOOKUP(E405,'Transform table'!A:B,2,0)</f>
        <v>0</v>
      </c>
      <c r="Y405" t="e">
        <f>VLOOKUP(F405,'Transform table'!A:B,2,0)</f>
        <v>#N/A</v>
      </c>
      <c r="Z405" t="e">
        <f t="shared" si="6"/>
        <v>#N/A</v>
      </c>
      <c r="AA405" t="e">
        <f>VLOOKUP($Z405,'oddspedia-matches'!$A:$AD,AA$2,0)</f>
        <v>#N/A</v>
      </c>
      <c r="AB405" t="e">
        <f>VLOOKUP($Z405,'oddspedia-matches'!$A:$AD,AB$2,0)</f>
        <v>#N/A</v>
      </c>
      <c r="AC405" t="e">
        <f>VLOOKUP($Z405,'oddspedia-matches'!$A:$AD,AC$2,0)</f>
        <v>#N/A</v>
      </c>
      <c r="AD405" t="e">
        <f>VLOOKUP($Z405,'oddspedia-matches'!$A:$AD,AD$2,0)</f>
        <v>#N/A</v>
      </c>
      <c r="AE405" t="e">
        <f>VLOOKUP($Z405,'oddspedia-matches'!$A:$AD,AE$2,0)</f>
        <v>#N/A</v>
      </c>
      <c r="AF405" t="e">
        <f>VLOOKUP($Z405,'oddspedia-matches'!$A:$AD,AF$2,0)</f>
        <v>#N/A</v>
      </c>
      <c r="AG405" t="e">
        <f>VLOOKUP($Z405,'oddspedia-matches'!$A:$AD,AG$2,0)</f>
        <v>#N/A</v>
      </c>
      <c r="AH405" t="e">
        <f>VLOOKUP($Z405,'oddspedia-matches'!$A:$AD,AH$2,0)</f>
        <v>#N/A</v>
      </c>
      <c r="AI405" t="e">
        <f>VLOOKUP($Z405,'oddspedia-matches'!$A:$AD,AI$2,0)</f>
        <v>#N/A</v>
      </c>
      <c r="AJ405" t="e">
        <f>VLOOKUP($Z405,'oddspedia-matches'!$A:$AD,AJ$2,0)</f>
        <v>#N/A</v>
      </c>
      <c r="AK405" t="e">
        <f>VLOOKUP($Z405,'oddspedia-matches'!$A:$AD,AK$2,0)</f>
        <v>#N/A</v>
      </c>
      <c r="AL405" t="e">
        <f>VLOOKUP($Z405,'oddspedia-matches'!$A:$AD,AL$2,0)</f>
        <v>#N/A</v>
      </c>
      <c r="AM405" t="e">
        <f>VLOOKUP($Z405,'oddspedia-matches'!$A:$AD,AM$2,0)</f>
        <v>#N/A</v>
      </c>
      <c r="AN405" t="e">
        <f>VLOOKUP($Z405,'oddspedia-matches'!$A:$AD,AN$2,0)</f>
        <v>#N/A</v>
      </c>
      <c r="AO405" t="e">
        <f>VLOOKUP($Z405,'oddspedia-matches'!$A:$AD,AO$2,0)</f>
        <v>#N/A</v>
      </c>
      <c r="AP405" t="e">
        <f>VLOOKUP($Z405,'oddspedia-matches'!$A:$AD,AP$2,0)</f>
        <v>#N/A</v>
      </c>
      <c r="AQ405" t="e">
        <f>VLOOKUP($Z405,'oddspedia-matches'!$A:$AD,AQ$2,0)</f>
        <v>#N/A</v>
      </c>
    </row>
    <row r="406" spans="2:43" x14ac:dyDescent="0.2">
      <c r="B406" t="s">
        <v>488</v>
      </c>
      <c r="C406" t="s">
        <v>930</v>
      </c>
      <c r="D406" s="25">
        <v>0.5625</v>
      </c>
      <c r="E406" t="s">
        <v>1095</v>
      </c>
      <c r="F406" t="s">
        <v>1096</v>
      </c>
      <c r="H406">
        <v>36.799999999999997</v>
      </c>
      <c r="I406">
        <v>31.1</v>
      </c>
      <c r="J406">
        <v>32.200000000000003</v>
      </c>
      <c r="K406">
        <v>67.8</v>
      </c>
      <c r="L406">
        <v>63.2</v>
      </c>
      <c r="M406">
        <v>68.900000000000006</v>
      </c>
      <c r="N406">
        <v>26.9</v>
      </c>
      <c r="O406">
        <v>46.3</v>
      </c>
      <c r="P406">
        <v>26.8</v>
      </c>
      <c r="Q406">
        <v>65.5</v>
      </c>
      <c r="R406">
        <v>68.3</v>
      </c>
      <c r="S406">
        <v>40.5</v>
      </c>
      <c r="T406">
        <v>59.5</v>
      </c>
      <c r="U406">
        <v>64.599999999999994</v>
      </c>
      <c r="V406">
        <v>48.1</v>
      </c>
      <c r="W406">
        <v>51.9</v>
      </c>
      <c r="X406" t="str">
        <f>VLOOKUP(E406,'Transform table'!A:B,2,0)</f>
        <v>Puerto Nuevo</v>
      </c>
      <c r="Y406" t="e">
        <f>VLOOKUP(F406,'Transform table'!A:B,2,0)</f>
        <v>#N/A</v>
      </c>
      <c r="Z406" t="e">
        <f t="shared" si="6"/>
        <v>#N/A</v>
      </c>
      <c r="AA406" t="e">
        <f>VLOOKUP($Z406,'oddspedia-matches'!$A:$AD,AA$2,0)</f>
        <v>#N/A</v>
      </c>
      <c r="AB406" t="e">
        <f>VLOOKUP($Z406,'oddspedia-matches'!$A:$AD,AB$2,0)</f>
        <v>#N/A</v>
      </c>
      <c r="AC406" t="e">
        <f>VLOOKUP($Z406,'oddspedia-matches'!$A:$AD,AC$2,0)</f>
        <v>#N/A</v>
      </c>
      <c r="AD406" t="e">
        <f>VLOOKUP($Z406,'oddspedia-matches'!$A:$AD,AD$2,0)</f>
        <v>#N/A</v>
      </c>
      <c r="AE406" t="e">
        <f>VLOOKUP($Z406,'oddspedia-matches'!$A:$AD,AE$2,0)</f>
        <v>#N/A</v>
      </c>
      <c r="AF406" t="e">
        <f>VLOOKUP($Z406,'oddspedia-matches'!$A:$AD,AF$2,0)</f>
        <v>#N/A</v>
      </c>
      <c r="AG406" t="e">
        <f>VLOOKUP($Z406,'oddspedia-matches'!$A:$AD,AG$2,0)</f>
        <v>#N/A</v>
      </c>
      <c r="AH406" t="e">
        <f>VLOOKUP($Z406,'oddspedia-matches'!$A:$AD,AH$2,0)</f>
        <v>#N/A</v>
      </c>
      <c r="AI406" t="e">
        <f>VLOOKUP($Z406,'oddspedia-matches'!$A:$AD,AI$2,0)</f>
        <v>#N/A</v>
      </c>
      <c r="AJ406" t="e">
        <f>VLOOKUP($Z406,'oddspedia-matches'!$A:$AD,AJ$2,0)</f>
        <v>#N/A</v>
      </c>
      <c r="AK406" t="e">
        <f>VLOOKUP($Z406,'oddspedia-matches'!$A:$AD,AK$2,0)</f>
        <v>#N/A</v>
      </c>
      <c r="AL406" t="e">
        <f>VLOOKUP($Z406,'oddspedia-matches'!$A:$AD,AL$2,0)</f>
        <v>#N/A</v>
      </c>
      <c r="AM406" t="e">
        <f>VLOOKUP($Z406,'oddspedia-matches'!$A:$AD,AM$2,0)</f>
        <v>#N/A</v>
      </c>
      <c r="AN406" t="e">
        <f>VLOOKUP($Z406,'oddspedia-matches'!$A:$AD,AN$2,0)</f>
        <v>#N/A</v>
      </c>
      <c r="AO406" t="e">
        <f>VLOOKUP($Z406,'oddspedia-matches'!$A:$AD,AO$2,0)</f>
        <v>#N/A</v>
      </c>
      <c r="AP406" t="e">
        <f>VLOOKUP($Z406,'oddspedia-matches'!$A:$AD,AP$2,0)</f>
        <v>#N/A</v>
      </c>
      <c r="AQ406" t="e">
        <f>VLOOKUP($Z406,'oddspedia-matches'!$A:$AD,AQ$2,0)</f>
        <v>#N/A</v>
      </c>
    </row>
    <row r="407" spans="2:43" x14ac:dyDescent="0.2">
      <c r="B407" t="s">
        <v>488</v>
      </c>
      <c r="C407" t="s">
        <v>930</v>
      </c>
      <c r="D407" s="25">
        <v>0.5625</v>
      </c>
      <c r="E407" t="s">
        <v>1097</v>
      </c>
      <c r="F407" t="s">
        <v>1098</v>
      </c>
      <c r="H407">
        <v>32.6</v>
      </c>
      <c r="I407">
        <v>28.8</v>
      </c>
      <c r="J407">
        <v>38.6</v>
      </c>
      <c r="K407">
        <v>61.4</v>
      </c>
      <c r="L407">
        <v>67.400000000000006</v>
      </c>
      <c r="M407">
        <v>71.2</v>
      </c>
      <c r="N407">
        <v>21.8</v>
      </c>
      <c r="O407">
        <v>42.7</v>
      </c>
      <c r="P407">
        <v>35.5</v>
      </c>
      <c r="Q407">
        <v>70.599999999999994</v>
      </c>
      <c r="R407">
        <v>76.599999999999994</v>
      </c>
      <c r="S407">
        <v>51</v>
      </c>
      <c r="T407">
        <v>49</v>
      </c>
      <c r="U407">
        <v>54.6</v>
      </c>
      <c r="V407">
        <v>56.4</v>
      </c>
      <c r="W407">
        <v>43.6</v>
      </c>
      <c r="X407">
        <f>VLOOKUP(E407,'Transform table'!A:B,2,0)</f>
        <v>0</v>
      </c>
      <c r="Y407" t="e">
        <f>VLOOKUP(F407,'Transform table'!A:B,2,0)</f>
        <v>#N/A</v>
      </c>
      <c r="Z407" t="e">
        <f t="shared" si="6"/>
        <v>#N/A</v>
      </c>
      <c r="AA407" t="e">
        <f>VLOOKUP($Z407,'oddspedia-matches'!$A:$AD,AA$2,0)</f>
        <v>#N/A</v>
      </c>
      <c r="AB407" t="e">
        <f>VLOOKUP($Z407,'oddspedia-matches'!$A:$AD,AB$2,0)</f>
        <v>#N/A</v>
      </c>
      <c r="AC407" t="e">
        <f>VLOOKUP($Z407,'oddspedia-matches'!$A:$AD,AC$2,0)</f>
        <v>#N/A</v>
      </c>
      <c r="AD407" t="e">
        <f>VLOOKUP($Z407,'oddspedia-matches'!$A:$AD,AD$2,0)</f>
        <v>#N/A</v>
      </c>
      <c r="AE407" t="e">
        <f>VLOOKUP($Z407,'oddspedia-matches'!$A:$AD,AE$2,0)</f>
        <v>#N/A</v>
      </c>
      <c r="AF407" t="e">
        <f>VLOOKUP($Z407,'oddspedia-matches'!$A:$AD,AF$2,0)</f>
        <v>#N/A</v>
      </c>
      <c r="AG407" t="e">
        <f>VLOOKUP($Z407,'oddspedia-matches'!$A:$AD,AG$2,0)</f>
        <v>#N/A</v>
      </c>
      <c r="AH407" t="e">
        <f>VLOOKUP($Z407,'oddspedia-matches'!$A:$AD,AH$2,0)</f>
        <v>#N/A</v>
      </c>
      <c r="AI407" t="e">
        <f>VLOOKUP($Z407,'oddspedia-matches'!$A:$AD,AI$2,0)</f>
        <v>#N/A</v>
      </c>
      <c r="AJ407" t="e">
        <f>VLOOKUP($Z407,'oddspedia-matches'!$A:$AD,AJ$2,0)</f>
        <v>#N/A</v>
      </c>
      <c r="AK407" t="e">
        <f>VLOOKUP($Z407,'oddspedia-matches'!$A:$AD,AK$2,0)</f>
        <v>#N/A</v>
      </c>
      <c r="AL407" t="e">
        <f>VLOOKUP($Z407,'oddspedia-matches'!$A:$AD,AL$2,0)</f>
        <v>#N/A</v>
      </c>
      <c r="AM407" t="e">
        <f>VLOOKUP($Z407,'oddspedia-matches'!$A:$AD,AM$2,0)</f>
        <v>#N/A</v>
      </c>
      <c r="AN407" t="e">
        <f>VLOOKUP($Z407,'oddspedia-matches'!$A:$AD,AN$2,0)</f>
        <v>#N/A</v>
      </c>
      <c r="AO407" t="e">
        <f>VLOOKUP($Z407,'oddspedia-matches'!$A:$AD,AO$2,0)</f>
        <v>#N/A</v>
      </c>
      <c r="AP407" t="e">
        <f>VLOOKUP($Z407,'oddspedia-matches'!$A:$AD,AP$2,0)</f>
        <v>#N/A</v>
      </c>
      <c r="AQ407" t="e">
        <f>VLOOKUP($Z407,'oddspedia-matches'!$A:$AD,AQ$2,0)</f>
        <v>#N/A</v>
      </c>
    </row>
    <row r="408" spans="2:43" x14ac:dyDescent="0.2">
      <c r="B408" t="s">
        <v>965</v>
      </c>
      <c r="C408" t="s">
        <v>930</v>
      </c>
      <c r="D408" s="25">
        <v>0.5625</v>
      </c>
      <c r="E408" t="s">
        <v>1099</v>
      </c>
      <c r="F408" t="s">
        <v>1100</v>
      </c>
      <c r="H408">
        <v>0</v>
      </c>
      <c r="I408">
        <v>100</v>
      </c>
      <c r="J408">
        <v>0</v>
      </c>
      <c r="K408">
        <v>100</v>
      </c>
      <c r="L408">
        <v>100</v>
      </c>
      <c r="M408">
        <v>0</v>
      </c>
      <c r="N408">
        <v>0</v>
      </c>
      <c r="O408">
        <v>100</v>
      </c>
      <c r="P408">
        <v>0</v>
      </c>
      <c r="Q408">
        <v>0</v>
      </c>
      <c r="R408">
        <v>0</v>
      </c>
      <c r="S408">
        <v>0</v>
      </c>
      <c r="T408">
        <v>100</v>
      </c>
      <c r="U408">
        <v>100</v>
      </c>
      <c r="V408">
        <v>0</v>
      </c>
      <c r="W408">
        <v>100</v>
      </c>
      <c r="X408">
        <f>VLOOKUP(E408,'Transform table'!A:B,2,0)</f>
        <v>0</v>
      </c>
      <c r="Y408" t="e">
        <f>VLOOKUP(F408,'Transform table'!A:B,2,0)</f>
        <v>#N/A</v>
      </c>
      <c r="Z408" t="e">
        <f t="shared" si="6"/>
        <v>#N/A</v>
      </c>
      <c r="AA408" t="e">
        <f>VLOOKUP($Z408,'oddspedia-matches'!$A:$AD,AA$2,0)</f>
        <v>#N/A</v>
      </c>
      <c r="AB408" t="e">
        <f>VLOOKUP($Z408,'oddspedia-matches'!$A:$AD,AB$2,0)</f>
        <v>#N/A</v>
      </c>
      <c r="AC408" t="e">
        <f>VLOOKUP($Z408,'oddspedia-matches'!$A:$AD,AC$2,0)</f>
        <v>#N/A</v>
      </c>
      <c r="AD408" t="e">
        <f>VLOOKUP($Z408,'oddspedia-matches'!$A:$AD,AD$2,0)</f>
        <v>#N/A</v>
      </c>
      <c r="AE408" t="e">
        <f>VLOOKUP($Z408,'oddspedia-matches'!$A:$AD,AE$2,0)</f>
        <v>#N/A</v>
      </c>
      <c r="AF408" t="e">
        <f>VLOOKUP($Z408,'oddspedia-matches'!$A:$AD,AF$2,0)</f>
        <v>#N/A</v>
      </c>
      <c r="AG408" t="e">
        <f>VLOOKUP($Z408,'oddspedia-matches'!$A:$AD,AG$2,0)</f>
        <v>#N/A</v>
      </c>
      <c r="AH408" t="e">
        <f>VLOOKUP($Z408,'oddspedia-matches'!$A:$AD,AH$2,0)</f>
        <v>#N/A</v>
      </c>
      <c r="AI408" t="e">
        <f>VLOOKUP($Z408,'oddspedia-matches'!$A:$AD,AI$2,0)</f>
        <v>#N/A</v>
      </c>
      <c r="AJ408" t="e">
        <f>VLOOKUP($Z408,'oddspedia-matches'!$A:$AD,AJ$2,0)</f>
        <v>#N/A</v>
      </c>
      <c r="AK408" t="e">
        <f>VLOOKUP($Z408,'oddspedia-matches'!$A:$AD,AK$2,0)</f>
        <v>#N/A</v>
      </c>
      <c r="AL408" t="e">
        <f>VLOOKUP($Z408,'oddspedia-matches'!$A:$AD,AL$2,0)</f>
        <v>#N/A</v>
      </c>
      <c r="AM408" t="e">
        <f>VLOOKUP($Z408,'oddspedia-matches'!$A:$AD,AM$2,0)</f>
        <v>#N/A</v>
      </c>
      <c r="AN408" t="e">
        <f>VLOOKUP($Z408,'oddspedia-matches'!$A:$AD,AN$2,0)</f>
        <v>#N/A</v>
      </c>
      <c r="AO408" t="e">
        <f>VLOOKUP($Z408,'oddspedia-matches'!$A:$AD,AO$2,0)</f>
        <v>#N/A</v>
      </c>
      <c r="AP408" t="e">
        <f>VLOOKUP($Z408,'oddspedia-matches'!$A:$AD,AP$2,0)</f>
        <v>#N/A</v>
      </c>
      <c r="AQ408" t="e">
        <f>VLOOKUP($Z408,'oddspedia-matches'!$A:$AD,AQ$2,0)</f>
        <v>#N/A</v>
      </c>
    </row>
    <row r="409" spans="2:43" x14ac:dyDescent="0.2">
      <c r="B409" t="s">
        <v>1052</v>
      </c>
      <c r="C409" t="s">
        <v>930</v>
      </c>
      <c r="D409" s="25">
        <v>0.58333333333333337</v>
      </c>
      <c r="E409" t="s">
        <v>1101</v>
      </c>
      <c r="F409" t="s">
        <v>1102</v>
      </c>
      <c r="H409">
        <v>20.9</v>
      </c>
      <c r="I409">
        <v>27.4</v>
      </c>
      <c r="J409">
        <v>51.8</v>
      </c>
      <c r="K409">
        <v>48.2</v>
      </c>
      <c r="L409">
        <v>79.099999999999994</v>
      </c>
      <c r="M409">
        <v>72.599999999999994</v>
      </c>
      <c r="N409">
        <v>5.6</v>
      </c>
      <c r="O409">
        <v>55.9</v>
      </c>
      <c r="P409">
        <v>38.5</v>
      </c>
      <c r="Q409">
        <v>47.6</v>
      </c>
      <c r="R409">
        <v>78.2</v>
      </c>
      <c r="S409">
        <v>53.4</v>
      </c>
      <c r="T409">
        <v>46.6</v>
      </c>
      <c r="U409">
        <v>53.3</v>
      </c>
      <c r="V409">
        <v>55.1</v>
      </c>
      <c r="W409">
        <v>44.9</v>
      </c>
      <c r="X409">
        <f>VLOOKUP(E409,'Transform table'!A:B,2,0)</f>
        <v>0</v>
      </c>
      <c r="Y409" t="e">
        <f>VLOOKUP(F409,'Transform table'!A:B,2,0)</f>
        <v>#N/A</v>
      </c>
      <c r="Z409" t="e">
        <f t="shared" si="6"/>
        <v>#N/A</v>
      </c>
      <c r="AA409" t="e">
        <f>VLOOKUP($Z409,'oddspedia-matches'!$A:$AD,AA$2,0)</f>
        <v>#N/A</v>
      </c>
      <c r="AB409" t="e">
        <f>VLOOKUP($Z409,'oddspedia-matches'!$A:$AD,AB$2,0)</f>
        <v>#N/A</v>
      </c>
      <c r="AC409" t="e">
        <f>VLOOKUP($Z409,'oddspedia-matches'!$A:$AD,AC$2,0)</f>
        <v>#N/A</v>
      </c>
      <c r="AD409" t="e">
        <f>VLOOKUP($Z409,'oddspedia-matches'!$A:$AD,AD$2,0)</f>
        <v>#N/A</v>
      </c>
      <c r="AE409" t="e">
        <f>VLOOKUP($Z409,'oddspedia-matches'!$A:$AD,AE$2,0)</f>
        <v>#N/A</v>
      </c>
      <c r="AF409" t="e">
        <f>VLOOKUP($Z409,'oddspedia-matches'!$A:$AD,AF$2,0)</f>
        <v>#N/A</v>
      </c>
      <c r="AG409" t="e">
        <f>VLOOKUP($Z409,'oddspedia-matches'!$A:$AD,AG$2,0)</f>
        <v>#N/A</v>
      </c>
      <c r="AH409" t="e">
        <f>VLOOKUP($Z409,'oddspedia-matches'!$A:$AD,AH$2,0)</f>
        <v>#N/A</v>
      </c>
      <c r="AI409" t="e">
        <f>VLOOKUP($Z409,'oddspedia-matches'!$A:$AD,AI$2,0)</f>
        <v>#N/A</v>
      </c>
      <c r="AJ409" t="e">
        <f>VLOOKUP($Z409,'oddspedia-matches'!$A:$AD,AJ$2,0)</f>
        <v>#N/A</v>
      </c>
      <c r="AK409" t="e">
        <f>VLOOKUP($Z409,'oddspedia-matches'!$A:$AD,AK$2,0)</f>
        <v>#N/A</v>
      </c>
      <c r="AL409" t="e">
        <f>VLOOKUP($Z409,'oddspedia-matches'!$A:$AD,AL$2,0)</f>
        <v>#N/A</v>
      </c>
      <c r="AM409" t="e">
        <f>VLOOKUP($Z409,'oddspedia-matches'!$A:$AD,AM$2,0)</f>
        <v>#N/A</v>
      </c>
      <c r="AN409" t="e">
        <f>VLOOKUP($Z409,'oddspedia-matches'!$A:$AD,AN$2,0)</f>
        <v>#N/A</v>
      </c>
      <c r="AO409" t="e">
        <f>VLOOKUP($Z409,'oddspedia-matches'!$A:$AD,AO$2,0)</f>
        <v>#N/A</v>
      </c>
      <c r="AP409" t="e">
        <f>VLOOKUP($Z409,'oddspedia-matches'!$A:$AD,AP$2,0)</f>
        <v>#N/A</v>
      </c>
      <c r="AQ409" t="e">
        <f>VLOOKUP($Z409,'oddspedia-matches'!$A:$AD,AQ$2,0)</f>
        <v>#N/A</v>
      </c>
    </row>
    <row r="410" spans="2:43" x14ac:dyDescent="0.2">
      <c r="B410" t="s">
        <v>1052</v>
      </c>
      <c r="C410" t="s">
        <v>930</v>
      </c>
      <c r="D410" s="25">
        <v>0.58333333333333337</v>
      </c>
      <c r="E410" t="s">
        <v>1103</v>
      </c>
      <c r="F410" t="s">
        <v>1104</v>
      </c>
      <c r="H410">
        <v>76.400000000000006</v>
      </c>
      <c r="I410">
        <v>18.8</v>
      </c>
      <c r="J410">
        <v>4.9000000000000004</v>
      </c>
      <c r="K410">
        <v>95.1</v>
      </c>
      <c r="L410">
        <v>23.6</v>
      </c>
      <c r="M410">
        <v>81.2</v>
      </c>
      <c r="N410">
        <v>59.6</v>
      </c>
      <c r="O410">
        <v>36</v>
      </c>
      <c r="P410">
        <v>4.4000000000000004</v>
      </c>
      <c r="Q410">
        <v>68.7</v>
      </c>
      <c r="R410">
        <v>85.9</v>
      </c>
      <c r="S410">
        <v>66.099999999999994</v>
      </c>
      <c r="T410">
        <v>33.9</v>
      </c>
      <c r="U410">
        <v>46.6</v>
      </c>
      <c r="V410">
        <v>45.3</v>
      </c>
      <c r="W410">
        <v>54.7</v>
      </c>
      <c r="X410">
        <f>VLOOKUP(E410,'Transform table'!A:B,2,0)</f>
        <v>0</v>
      </c>
      <c r="Y410" t="e">
        <f>VLOOKUP(F410,'Transform table'!A:B,2,0)</f>
        <v>#N/A</v>
      </c>
      <c r="Z410" t="e">
        <f t="shared" si="6"/>
        <v>#N/A</v>
      </c>
      <c r="AA410" t="e">
        <f>VLOOKUP($Z410,'oddspedia-matches'!$A:$AD,AA$2,0)</f>
        <v>#N/A</v>
      </c>
      <c r="AB410" t="e">
        <f>VLOOKUP($Z410,'oddspedia-matches'!$A:$AD,AB$2,0)</f>
        <v>#N/A</v>
      </c>
      <c r="AC410" t="e">
        <f>VLOOKUP($Z410,'oddspedia-matches'!$A:$AD,AC$2,0)</f>
        <v>#N/A</v>
      </c>
      <c r="AD410" t="e">
        <f>VLOOKUP($Z410,'oddspedia-matches'!$A:$AD,AD$2,0)</f>
        <v>#N/A</v>
      </c>
      <c r="AE410" t="e">
        <f>VLOOKUP($Z410,'oddspedia-matches'!$A:$AD,AE$2,0)</f>
        <v>#N/A</v>
      </c>
      <c r="AF410" t="e">
        <f>VLOOKUP($Z410,'oddspedia-matches'!$A:$AD,AF$2,0)</f>
        <v>#N/A</v>
      </c>
      <c r="AG410" t="e">
        <f>VLOOKUP($Z410,'oddspedia-matches'!$A:$AD,AG$2,0)</f>
        <v>#N/A</v>
      </c>
      <c r="AH410" t="e">
        <f>VLOOKUP($Z410,'oddspedia-matches'!$A:$AD,AH$2,0)</f>
        <v>#N/A</v>
      </c>
      <c r="AI410" t="e">
        <f>VLOOKUP($Z410,'oddspedia-matches'!$A:$AD,AI$2,0)</f>
        <v>#N/A</v>
      </c>
      <c r="AJ410" t="e">
        <f>VLOOKUP($Z410,'oddspedia-matches'!$A:$AD,AJ$2,0)</f>
        <v>#N/A</v>
      </c>
      <c r="AK410" t="e">
        <f>VLOOKUP($Z410,'oddspedia-matches'!$A:$AD,AK$2,0)</f>
        <v>#N/A</v>
      </c>
      <c r="AL410" t="e">
        <f>VLOOKUP($Z410,'oddspedia-matches'!$A:$AD,AL$2,0)</f>
        <v>#N/A</v>
      </c>
      <c r="AM410" t="e">
        <f>VLOOKUP($Z410,'oddspedia-matches'!$A:$AD,AM$2,0)</f>
        <v>#N/A</v>
      </c>
      <c r="AN410" t="e">
        <f>VLOOKUP($Z410,'oddspedia-matches'!$A:$AD,AN$2,0)</f>
        <v>#N/A</v>
      </c>
      <c r="AO410" t="e">
        <f>VLOOKUP($Z410,'oddspedia-matches'!$A:$AD,AO$2,0)</f>
        <v>#N/A</v>
      </c>
      <c r="AP410" t="e">
        <f>VLOOKUP($Z410,'oddspedia-matches'!$A:$AD,AP$2,0)</f>
        <v>#N/A</v>
      </c>
      <c r="AQ410" t="e">
        <f>VLOOKUP($Z410,'oddspedia-matches'!$A:$AD,AQ$2,0)</f>
        <v>#N/A</v>
      </c>
    </row>
    <row r="411" spans="2:43" x14ac:dyDescent="0.2">
      <c r="B411" t="s">
        <v>1105</v>
      </c>
      <c r="C411" t="s">
        <v>930</v>
      </c>
      <c r="D411" s="25">
        <v>0.58333333333333337</v>
      </c>
      <c r="E411" t="s">
        <v>371</v>
      </c>
      <c r="F411" t="s">
        <v>1106</v>
      </c>
      <c r="H411">
        <v>46.2</v>
      </c>
      <c r="I411">
        <v>31.7</v>
      </c>
      <c r="J411">
        <v>22.1</v>
      </c>
      <c r="K411">
        <v>77.900000000000006</v>
      </c>
      <c r="L411">
        <v>53.8</v>
      </c>
      <c r="M411">
        <v>68.3</v>
      </c>
      <c r="N411">
        <v>52.8</v>
      </c>
      <c r="O411">
        <v>47.2</v>
      </c>
      <c r="P411">
        <v>0</v>
      </c>
      <c r="Q411">
        <v>52.8</v>
      </c>
      <c r="R411">
        <v>61.2</v>
      </c>
      <c r="S411">
        <v>32.9</v>
      </c>
      <c r="T411">
        <v>67.099999999999994</v>
      </c>
      <c r="U411">
        <v>72.5</v>
      </c>
      <c r="V411">
        <v>39.700000000000003</v>
      </c>
      <c r="W411">
        <v>60.3</v>
      </c>
      <c r="X411" t="str">
        <f>VLOOKUP(E411,'Transform table'!A:B,2,0)</f>
        <v>Red Star Belgrade</v>
      </c>
      <c r="Y411" t="e">
        <f>VLOOKUP(F411,'Transform table'!A:B,2,0)</f>
        <v>#N/A</v>
      </c>
      <c r="Z411" t="e">
        <f t="shared" si="6"/>
        <v>#N/A</v>
      </c>
      <c r="AA411" t="e">
        <f>VLOOKUP($Z411,'oddspedia-matches'!$A:$AD,AA$2,0)</f>
        <v>#N/A</v>
      </c>
      <c r="AB411" t="e">
        <f>VLOOKUP($Z411,'oddspedia-matches'!$A:$AD,AB$2,0)</f>
        <v>#N/A</v>
      </c>
      <c r="AC411" t="e">
        <f>VLOOKUP($Z411,'oddspedia-matches'!$A:$AD,AC$2,0)</f>
        <v>#N/A</v>
      </c>
      <c r="AD411" t="e">
        <f>VLOOKUP($Z411,'oddspedia-matches'!$A:$AD,AD$2,0)</f>
        <v>#N/A</v>
      </c>
      <c r="AE411" t="e">
        <f>VLOOKUP($Z411,'oddspedia-matches'!$A:$AD,AE$2,0)</f>
        <v>#N/A</v>
      </c>
      <c r="AF411" t="e">
        <f>VLOOKUP($Z411,'oddspedia-matches'!$A:$AD,AF$2,0)</f>
        <v>#N/A</v>
      </c>
      <c r="AG411" t="e">
        <f>VLOOKUP($Z411,'oddspedia-matches'!$A:$AD,AG$2,0)</f>
        <v>#N/A</v>
      </c>
      <c r="AH411" t="e">
        <f>VLOOKUP($Z411,'oddspedia-matches'!$A:$AD,AH$2,0)</f>
        <v>#N/A</v>
      </c>
      <c r="AI411" t="e">
        <f>VLOOKUP($Z411,'oddspedia-matches'!$A:$AD,AI$2,0)</f>
        <v>#N/A</v>
      </c>
      <c r="AJ411" t="e">
        <f>VLOOKUP($Z411,'oddspedia-matches'!$A:$AD,AJ$2,0)</f>
        <v>#N/A</v>
      </c>
      <c r="AK411" t="e">
        <f>VLOOKUP($Z411,'oddspedia-matches'!$A:$AD,AK$2,0)</f>
        <v>#N/A</v>
      </c>
      <c r="AL411" t="e">
        <f>VLOOKUP($Z411,'oddspedia-matches'!$A:$AD,AL$2,0)</f>
        <v>#N/A</v>
      </c>
      <c r="AM411" t="e">
        <f>VLOOKUP($Z411,'oddspedia-matches'!$A:$AD,AM$2,0)</f>
        <v>#N/A</v>
      </c>
      <c r="AN411" t="e">
        <f>VLOOKUP($Z411,'oddspedia-matches'!$A:$AD,AN$2,0)</f>
        <v>#N/A</v>
      </c>
      <c r="AO411" t="e">
        <f>VLOOKUP($Z411,'oddspedia-matches'!$A:$AD,AO$2,0)</f>
        <v>#N/A</v>
      </c>
      <c r="AP411" t="e">
        <f>VLOOKUP($Z411,'oddspedia-matches'!$A:$AD,AP$2,0)</f>
        <v>#N/A</v>
      </c>
      <c r="AQ411" t="e">
        <f>VLOOKUP($Z411,'oddspedia-matches'!$A:$AD,AQ$2,0)</f>
        <v>#N/A</v>
      </c>
    </row>
    <row r="412" spans="2:43" x14ac:dyDescent="0.2">
      <c r="B412" t="s">
        <v>465</v>
      </c>
      <c r="C412" t="s">
        <v>930</v>
      </c>
      <c r="D412" s="25">
        <v>0.59375</v>
      </c>
      <c r="E412" t="s">
        <v>1107</v>
      </c>
      <c r="F412" t="s">
        <v>34</v>
      </c>
      <c r="H412">
        <v>23.9</v>
      </c>
      <c r="I412">
        <v>25.8</v>
      </c>
      <c r="J412">
        <v>50.3</v>
      </c>
      <c r="K412">
        <v>49.7</v>
      </c>
      <c r="L412">
        <v>76.099999999999994</v>
      </c>
      <c r="M412">
        <v>74.2</v>
      </c>
      <c r="N412">
        <v>23.5</v>
      </c>
      <c r="O412">
        <v>36.6</v>
      </c>
      <c r="P412">
        <v>40</v>
      </c>
      <c r="Q412">
        <v>80</v>
      </c>
      <c r="R412">
        <v>86.1</v>
      </c>
      <c r="S412">
        <v>65.8</v>
      </c>
      <c r="T412">
        <v>34.200000000000003</v>
      </c>
      <c r="U412">
        <v>40.299999999999997</v>
      </c>
      <c r="V412">
        <v>65.8</v>
      </c>
      <c r="W412">
        <v>34.200000000000003</v>
      </c>
      <c r="X412">
        <f>VLOOKUP(E412,'Transform table'!A:B,2,0)</f>
        <v>0</v>
      </c>
      <c r="Y412" t="str">
        <f>VLOOKUP(F412,'Transform table'!A:B,2,0)</f>
        <v>Viking</v>
      </c>
      <c r="Z412" t="str">
        <f t="shared" si="6"/>
        <v>26/07/20260Viking</v>
      </c>
      <c r="AA412" t="e">
        <f>VLOOKUP($Z412,'oddspedia-matches'!$A:$AD,AA$2,0)</f>
        <v>#N/A</v>
      </c>
      <c r="AB412" t="e">
        <f>VLOOKUP($Z412,'oddspedia-matches'!$A:$AD,AB$2,0)</f>
        <v>#N/A</v>
      </c>
      <c r="AC412" t="e">
        <f>VLOOKUP($Z412,'oddspedia-matches'!$A:$AD,AC$2,0)</f>
        <v>#N/A</v>
      </c>
      <c r="AD412" t="e">
        <f>VLOOKUP($Z412,'oddspedia-matches'!$A:$AD,AD$2,0)</f>
        <v>#N/A</v>
      </c>
      <c r="AE412" t="e">
        <f>VLOOKUP($Z412,'oddspedia-matches'!$A:$AD,AE$2,0)</f>
        <v>#N/A</v>
      </c>
      <c r="AF412" t="e">
        <f>VLOOKUP($Z412,'oddspedia-matches'!$A:$AD,AF$2,0)</f>
        <v>#N/A</v>
      </c>
      <c r="AG412" t="e">
        <f>VLOOKUP($Z412,'oddspedia-matches'!$A:$AD,AG$2,0)</f>
        <v>#N/A</v>
      </c>
      <c r="AH412" t="e">
        <f>VLOOKUP($Z412,'oddspedia-matches'!$A:$AD,AH$2,0)</f>
        <v>#N/A</v>
      </c>
      <c r="AI412" t="e">
        <f>VLOOKUP($Z412,'oddspedia-matches'!$A:$AD,AI$2,0)</f>
        <v>#N/A</v>
      </c>
      <c r="AJ412" t="e">
        <f>VLOOKUP($Z412,'oddspedia-matches'!$A:$AD,AJ$2,0)</f>
        <v>#N/A</v>
      </c>
      <c r="AK412" t="e">
        <f>VLOOKUP($Z412,'oddspedia-matches'!$A:$AD,AK$2,0)</f>
        <v>#N/A</v>
      </c>
      <c r="AL412" t="e">
        <f>VLOOKUP($Z412,'oddspedia-matches'!$A:$AD,AL$2,0)</f>
        <v>#N/A</v>
      </c>
      <c r="AM412" t="e">
        <f>VLOOKUP($Z412,'oddspedia-matches'!$A:$AD,AM$2,0)</f>
        <v>#N/A</v>
      </c>
      <c r="AN412" t="e">
        <f>VLOOKUP($Z412,'oddspedia-matches'!$A:$AD,AN$2,0)</f>
        <v>#N/A</v>
      </c>
      <c r="AO412" t="e">
        <f>VLOOKUP($Z412,'oddspedia-matches'!$A:$AD,AO$2,0)</f>
        <v>#N/A</v>
      </c>
      <c r="AP412" t="e">
        <f>VLOOKUP($Z412,'oddspedia-matches'!$A:$AD,AP$2,0)</f>
        <v>#N/A</v>
      </c>
      <c r="AQ412" t="e">
        <f>VLOOKUP($Z412,'oddspedia-matches'!$A:$AD,AQ$2,0)</f>
        <v>#N/A</v>
      </c>
    </row>
    <row r="413" spans="2:43" x14ac:dyDescent="0.2">
      <c r="B413" t="s">
        <v>1012</v>
      </c>
      <c r="C413" t="s">
        <v>930</v>
      </c>
      <c r="D413" s="25">
        <v>0.60416666666666663</v>
      </c>
      <c r="E413" t="s">
        <v>1108</v>
      </c>
      <c r="F413" t="s">
        <v>1109</v>
      </c>
      <c r="H413">
        <v>0</v>
      </c>
      <c r="I413">
        <v>100</v>
      </c>
      <c r="J413">
        <v>0</v>
      </c>
      <c r="K413">
        <v>100</v>
      </c>
      <c r="L413">
        <v>100</v>
      </c>
      <c r="M413">
        <v>0</v>
      </c>
      <c r="N413">
        <v>0</v>
      </c>
      <c r="O413">
        <v>100</v>
      </c>
      <c r="P413">
        <v>0</v>
      </c>
      <c r="Q413">
        <v>0</v>
      </c>
      <c r="R413">
        <v>0</v>
      </c>
      <c r="S413">
        <v>0</v>
      </c>
      <c r="T413">
        <v>100</v>
      </c>
      <c r="U413">
        <v>100</v>
      </c>
      <c r="V413">
        <v>0</v>
      </c>
      <c r="W413">
        <v>100</v>
      </c>
      <c r="X413">
        <f>VLOOKUP(E413,'Transform table'!A:B,2,0)</f>
        <v>0</v>
      </c>
      <c r="Y413" t="e">
        <f>VLOOKUP(F413,'Transform table'!A:B,2,0)</f>
        <v>#N/A</v>
      </c>
      <c r="Z413" t="e">
        <f t="shared" si="6"/>
        <v>#N/A</v>
      </c>
      <c r="AA413" t="e">
        <f>VLOOKUP($Z413,'oddspedia-matches'!$A:$AD,AA$2,0)</f>
        <v>#N/A</v>
      </c>
      <c r="AB413" t="e">
        <f>VLOOKUP($Z413,'oddspedia-matches'!$A:$AD,AB$2,0)</f>
        <v>#N/A</v>
      </c>
      <c r="AC413" t="e">
        <f>VLOOKUP($Z413,'oddspedia-matches'!$A:$AD,AC$2,0)</f>
        <v>#N/A</v>
      </c>
      <c r="AD413" t="e">
        <f>VLOOKUP($Z413,'oddspedia-matches'!$A:$AD,AD$2,0)</f>
        <v>#N/A</v>
      </c>
      <c r="AE413" t="e">
        <f>VLOOKUP($Z413,'oddspedia-matches'!$A:$AD,AE$2,0)</f>
        <v>#N/A</v>
      </c>
      <c r="AF413" t="e">
        <f>VLOOKUP($Z413,'oddspedia-matches'!$A:$AD,AF$2,0)</f>
        <v>#N/A</v>
      </c>
      <c r="AG413" t="e">
        <f>VLOOKUP($Z413,'oddspedia-matches'!$A:$AD,AG$2,0)</f>
        <v>#N/A</v>
      </c>
      <c r="AH413" t="e">
        <f>VLOOKUP($Z413,'oddspedia-matches'!$A:$AD,AH$2,0)</f>
        <v>#N/A</v>
      </c>
      <c r="AI413" t="e">
        <f>VLOOKUP($Z413,'oddspedia-matches'!$A:$AD,AI$2,0)</f>
        <v>#N/A</v>
      </c>
      <c r="AJ413" t="e">
        <f>VLOOKUP($Z413,'oddspedia-matches'!$A:$AD,AJ$2,0)</f>
        <v>#N/A</v>
      </c>
      <c r="AK413" t="e">
        <f>VLOOKUP($Z413,'oddspedia-matches'!$A:$AD,AK$2,0)</f>
        <v>#N/A</v>
      </c>
      <c r="AL413" t="e">
        <f>VLOOKUP($Z413,'oddspedia-matches'!$A:$AD,AL$2,0)</f>
        <v>#N/A</v>
      </c>
      <c r="AM413" t="e">
        <f>VLOOKUP($Z413,'oddspedia-matches'!$A:$AD,AM$2,0)</f>
        <v>#N/A</v>
      </c>
      <c r="AN413" t="e">
        <f>VLOOKUP($Z413,'oddspedia-matches'!$A:$AD,AN$2,0)</f>
        <v>#N/A</v>
      </c>
      <c r="AO413" t="e">
        <f>VLOOKUP($Z413,'oddspedia-matches'!$A:$AD,AO$2,0)</f>
        <v>#N/A</v>
      </c>
      <c r="AP413" t="e">
        <f>VLOOKUP($Z413,'oddspedia-matches'!$A:$AD,AP$2,0)</f>
        <v>#N/A</v>
      </c>
      <c r="AQ413" t="e">
        <f>VLOOKUP($Z413,'oddspedia-matches'!$A:$AD,AQ$2,0)</f>
        <v>#N/A</v>
      </c>
    </row>
    <row r="414" spans="2:43" x14ac:dyDescent="0.2">
      <c r="B414" t="s">
        <v>1043</v>
      </c>
      <c r="C414" t="s">
        <v>930</v>
      </c>
      <c r="D414" s="25">
        <v>0.60416666666666663</v>
      </c>
      <c r="E414" t="s">
        <v>1110</v>
      </c>
      <c r="F414" t="s">
        <v>1111</v>
      </c>
      <c r="H414">
        <v>0</v>
      </c>
      <c r="I414">
        <v>41.8</v>
      </c>
      <c r="J414">
        <v>58.2</v>
      </c>
      <c r="K414">
        <v>41.8</v>
      </c>
      <c r="L414">
        <v>100</v>
      </c>
      <c r="M414">
        <v>58.2</v>
      </c>
      <c r="N414">
        <v>0</v>
      </c>
      <c r="O414">
        <v>69.099999999999994</v>
      </c>
      <c r="P414">
        <v>30.9</v>
      </c>
      <c r="Q414">
        <v>30.9</v>
      </c>
      <c r="R414">
        <v>25</v>
      </c>
      <c r="S414">
        <v>7.3</v>
      </c>
      <c r="T414">
        <v>92.7</v>
      </c>
      <c r="U414">
        <v>98.3</v>
      </c>
      <c r="V414">
        <v>0</v>
      </c>
      <c r="W414">
        <v>100</v>
      </c>
      <c r="X414" t="str">
        <f>VLOOKUP(E414,'Transform table'!A:B,2,0)</f>
        <v>Csikszereda Miercurea Ciuc</v>
      </c>
      <c r="Y414" t="e">
        <f>VLOOKUP(F414,'Transform table'!A:B,2,0)</f>
        <v>#N/A</v>
      </c>
      <c r="Z414" t="e">
        <f t="shared" si="6"/>
        <v>#N/A</v>
      </c>
      <c r="AA414" t="e">
        <f>VLOOKUP($Z414,'oddspedia-matches'!$A:$AD,AA$2,0)</f>
        <v>#N/A</v>
      </c>
      <c r="AB414" t="e">
        <f>VLOOKUP($Z414,'oddspedia-matches'!$A:$AD,AB$2,0)</f>
        <v>#N/A</v>
      </c>
      <c r="AC414" t="e">
        <f>VLOOKUP($Z414,'oddspedia-matches'!$A:$AD,AC$2,0)</f>
        <v>#N/A</v>
      </c>
      <c r="AD414" t="e">
        <f>VLOOKUP($Z414,'oddspedia-matches'!$A:$AD,AD$2,0)</f>
        <v>#N/A</v>
      </c>
      <c r="AE414" t="e">
        <f>VLOOKUP($Z414,'oddspedia-matches'!$A:$AD,AE$2,0)</f>
        <v>#N/A</v>
      </c>
      <c r="AF414" t="e">
        <f>VLOOKUP($Z414,'oddspedia-matches'!$A:$AD,AF$2,0)</f>
        <v>#N/A</v>
      </c>
      <c r="AG414" t="e">
        <f>VLOOKUP($Z414,'oddspedia-matches'!$A:$AD,AG$2,0)</f>
        <v>#N/A</v>
      </c>
      <c r="AH414" t="e">
        <f>VLOOKUP($Z414,'oddspedia-matches'!$A:$AD,AH$2,0)</f>
        <v>#N/A</v>
      </c>
      <c r="AI414" t="e">
        <f>VLOOKUP($Z414,'oddspedia-matches'!$A:$AD,AI$2,0)</f>
        <v>#N/A</v>
      </c>
      <c r="AJ414" t="e">
        <f>VLOOKUP($Z414,'oddspedia-matches'!$A:$AD,AJ$2,0)</f>
        <v>#N/A</v>
      </c>
      <c r="AK414" t="e">
        <f>VLOOKUP($Z414,'oddspedia-matches'!$A:$AD,AK$2,0)</f>
        <v>#N/A</v>
      </c>
      <c r="AL414" t="e">
        <f>VLOOKUP($Z414,'oddspedia-matches'!$A:$AD,AL$2,0)</f>
        <v>#N/A</v>
      </c>
      <c r="AM414" t="e">
        <f>VLOOKUP($Z414,'oddspedia-matches'!$A:$AD,AM$2,0)</f>
        <v>#N/A</v>
      </c>
      <c r="AN414" t="e">
        <f>VLOOKUP($Z414,'oddspedia-matches'!$A:$AD,AN$2,0)</f>
        <v>#N/A</v>
      </c>
      <c r="AO414" t="e">
        <f>VLOOKUP($Z414,'oddspedia-matches'!$A:$AD,AO$2,0)</f>
        <v>#N/A</v>
      </c>
      <c r="AP414" t="e">
        <f>VLOOKUP($Z414,'oddspedia-matches'!$A:$AD,AP$2,0)</f>
        <v>#N/A</v>
      </c>
      <c r="AQ414" t="e">
        <f>VLOOKUP($Z414,'oddspedia-matches'!$A:$AD,AQ$2,0)</f>
        <v>#N/A</v>
      </c>
    </row>
    <row r="415" spans="2:43" x14ac:dyDescent="0.2">
      <c r="B415" t="s">
        <v>470</v>
      </c>
      <c r="C415" t="s">
        <v>930</v>
      </c>
      <c r="D415" s="25">
        <v>0.625</v>
      </c>
      <c r="E415" t="s">
        <v>1112</v>
      </c>
      <c r="F415" t="s">
        <v>381</v>
      </c>
      <c r="H415">
        <v>30.8</v>
      </c>
      <c r="I415">
        <v>30.9</v>
      </c>
      <c r="J415">
        <v>38.4</v>
      </c>
      <c r="K415">
        <v>61.6</v>
      </c>
      <c r="L415">
        <v>69.2</v>
      </c>
      <c r="M415">
        <v>69.099999999999994</v>
      </c>
      <c r="N415">
        <v>31.3</v>
      </c>
      <c r="O415">
        <v>43.9</v>
      </c>
      <c r="P415">
        <v>24.8</v>
      </c>
      <c r="Q415">
        <v>68.900000000000006</v>
      </c>
      <c r="R415">
        <v>69.8</v>
      </c>
      <c r="S415">
        <v>42.2</v>
      </c>
      <c r="T415">
        <v>57.8</v>
      </c>
      <c r="U415">
        <v>63</v>
      </c>
      <c r="V415">
        <v>49.4</v>
      </c>
      <c r="W415">
        <v>50.6</v>
      </c>
      <c r="X415">
        <f>VLOOKUP(E415,'Transform table'!A:B,2,0)</f>
        <v>0</v>
      </c>
      <c r="Y415" t="e">
        <f>VLOOKUP(F415,'Transform table'!A:B,2,0)</f>
        <v>#N/A</v>
      </c>
      <c r="Z415" t="e">
        <f t="shared" si="6"/>
        <v>#N/A</v>
      </c>
      <c r="AA415" t="e">
        <f>VLOOKUP($Z415,'oddspedia-matches'!$A:$AD,AA$2,0)</f>
        <v>#N/A</v>
      </c>
      <c r="AB415" t="e">
        <f>VLOOKUP($Z415,'oddspedia-matches'!$A:$AD,AB$2,0)</f>
        <v>#N/A</v>
      </c>
      <c r="AC415" t="e">
        <f>VLOOKUP($Z415,'oddspedia-matches'!$A:$AD,AC$2,0)</f>
        <v>#N/A</v>
      </c>
      <c r="AD415" t="e">
        <f>VLOOKUP($Z415,'oddspedia-matches'!$A:$AD,AD$2,0)</f>
        <v>#N/A</v>
      </c>
      <c r="AE415" t="e">
        <f>VLOOKUP($Z415,'oddspedia-matches'!$A:$AD,AE$2,0)</f>
        <v>#N/A</v>
      </c>
      <c r="AF415" t="e">
        <f>VLOOKUP($Z415,'oddspedia-matches'!$A:$AD,AF$2,0)</f>
        <v>#N/A</v>
      </c>
      <c r="AG415" t="e">
        <f>VLOOKUP($Z415,'oddspedia-matches'!$A:$AD,AG$2,0)</f>
        <v>#N/A</v>
      </c>
      <c r="AH415" t="e">
        <f>VLOOKUP($Z415,'oddspedia-matches'!$A:$AD,AH$2,0)</f>
        <v>#N/A</v>
      </c>
      <c r="AI415" t="e">
        <f>VLOOKUP($Z415,'oddspedia-matches'!$A:$AD,AI$2,0)</f>
        <v>#N/A</v>
      </c>
      <c r="AJ415" t="e">
        <f>VLOOKUP($Z415,'oddspedia-matches'!$A:$AD,AJ$2,0)</f>
        <v>#N/A</v>
      </c>
      <c r="AK415" t="e">
        <f>VLOOKUP($Z415,'oddspedia-matches'!$A:$AD,AK$2,0)</f>
        <v>#N/A</v>
      </c>
      <c r="AL415" t="e">
        <f>VLOOKUP($Z415,'oddspedia-matches'!$A:$AD,AL$2,0)</f>
        <v>#N/A</v>
      </c>
      <c r="AM415" t="e">
        <f>VLOOKUP($Z415,'oddspedia-matches'!$A:$AD,AM$2,0)</f>
        <v>#N/A</v>
      </c>
      <c r="AN415" t="e">
        <f>VLOOKUP($Z415,'oddspedia-matches'!$A:$AD,AN$2,0)</f>
        <v>#N/A</v>
      </c>
      <c r="AO415" t="e">
        <f>VLOOKUP($Z415,'oddspedia-matches'!$A:$AD,AO$2,0)</f>
        <v>#N/A</v>
      </c>
      <c r="AP415" t="e">
        <f>VLOOKUP($Z415,'oddspedia-matches'!$A:$AD,AP$2,0)</f>
        <v>#N/A</v>
      </c>
      <c r="AQ415" t="e">
        <f>VLOOKUP($Z415,'oddspedia-matches'!$A:$AD,AQ$2,0)</f>
        <v>#N/A</v>
      </c>
    </row>
    <row r="416" spans="2:43" x14ac:dyDescent="0.2">
      <c r="B416" t="s">
        <v>647</v>
      </c>
      <c r="C416" t="s">
        <v>930</v>
      </c>
      <c r="D416" s="25">
        <v>0.625</v>
      </c>
      <c r="E416" t="s">
        <v>1113</v>
      </c>
      <c r="F416" t="s">
        <v>704</v>
      </c>
      <c r="H416">
        <v>32.799999999999997</v>
      </c>
      <c r="I416">
        <v>34.4</v>
      </c>
      <c r="J416">
        <v>32.799999999999997</v>
      </c>
      <c r="K416">
        <v>67.2</v>
      </c>
      <c r="L416">
        <v>67.2</v>
      </c>
      <c r="M416">
        <v>65.599999999999994</v>
      </c>
      <c r="N416">
        <v>15.8</v>
      </c>
      <c r="O416">
        <v>54.2</v>
      </c>
      <c r="P416">
        <v>30</v>
      </c>
      <c r="Q416">
        <v>53.2</v>
      </c>
      <c r="R416">
        <v>58.6</v>
      </c>
      <c r="S416">
        <v>30.3</v>
      </c>
      <c r="T416">
        <v>69.7</v>
      </c>
      <c r="U416">
        <v>74.099999999999994</v>
      </c>
      <c r="V416">
        <v>39.5</v>
      </c>
      <c r="W416">
        <v>60.5</v>
      </c>
      <c r="X416">
        <f>VLOOKUP(E416,'Transform table'!A:B,2,0)</f>
        <v>0</v>
      </c>
      <c r="Y416" t="str">
        <f>VLOOKUP(F416,'Transform table'!A:B,2,0)</f>
        <v>San Martin de San Juan</v>
      </c>
      <c r="Z416" t="str">
        <f t="shared" si="6"/>
        <v>26/07/20260San Martin de San Juan</v>
      </c>
      <c r="AA416" t="e">
        <f>VLOOKUP($Z416,'oddspedia-matches'!$A:$AD,AA$2,0)</f>
        <v>#N/A</v>
      </c>
      <c r="AB416" t="e">
        <f>VLOOKUP($Z416,'oddspedia-matches'!$A:$AD,AB$2,0)</f>
        <v>#N/A</v>
      </c>
      <c r="AC416" t="e">
        <f>VLOOKUP($Z416,'oddspedia-matches'!$A:$AD,AC$2,0)</f>
        <v>#N/A</v>
      </c>
      <c r="AD416" t="e">
        <f>VLOOKUP($Z416,'oddspedia-matches'!$A:$AD,AD$2,0)</f>
        <v>#N/A</v>
      </c>
      <c r="AE416" t="e">
        <f>VLOOKUP($Z416,'oddspedia-matches'!$A:$AD,AE$2,0)</f>
        <v>#N/A</v>
      </c>
      <c r="AF416" t="e">
        <f>VLOOKUP($Z416,'oddspedia-matches'!$A:$AD,AF$2,0)</f>
        <v>#N/A</v>
      </c>
      <c r="AG416" t="e">
        <f>VLOOKUP($Z416,'oddspedia-matches'!$A:$AD,AG$2,0)</f>
        <v>#N/A</v>
      </c>
      <c r="AH416" t="e">
        <f>VLOOKUP($Z416,'oddspedia-matches'!$A:$AD,AH$2,0)</f>
        <v>#N/A</v>
      </c>
      <c r="AI416" t="e">
        <f>VLOOKUP($Z416,'oddspedia-matches'!$A:$AD,AI$2,0)</f>
        <v>#N/A</v>
      </c>
      <c r="AJ416" t="e">
        <f>VLOOKUP($Z416,'oddspedia-matches'!$A:$AD,AJ$2,0)</f>
        <v>#N/A</v>
      </c>
      <c r="AK416" t="e">
        <f>VLOOKUP($Z416,'oddspedia-matches'!$A:$AD,AK$2,0)</f>
        <v>#N/A</v>
      </c>
      <c r="AL416" t="e">
        <f>VLOOKUP($Z416,'oddspedia-matches'!$A:$AD,AL$2,0)</f>
        <v>#N/A</v>
      </c>
      <c r="AM416" t="e">
        <f>VLOOKUP($Z416,'oddspedia-matches'!$A:$AD,AM$2,0)</f>
        <v>#N/A</v>
      </c>
      <c r="AN416" t="e">
        <f>VLOOKUP($Z416,'oddspedia-matches'!$A:$AD,AN$2,0)</f>
        <v>#N/A</v>
      </c>
      <c r="AO416" t="e">
        <f>VLOOKUP($Z416,'oddspedia-matches'!$A:$AD,AO$2,0)</f>
        <v>#N/A</v>
      </c>
      <c r="AP416" t="e">
        <f>VLOOKUP($Z416,'oddspedia-matches'!$A:$AD,AP$2,0)</f>
        <v>#N/A</v>
      </c>
      <c r="AQ416" t="e">
        <f>VLOOKUP($Z416,'oddspedia-matches'!$A:$AD,AQ$2,0)</f>
        <v>#N/A</v>
      </c>
    </row>
    <row r="417" spans="2:43" x14ac:dyDescent="0.2">
      <c r="B417" t="s">
        <v>647</v>
      </c>
      <c r="C417" t="s">
        <v>930</v>
      </c>
      <c r="D417" s="25">
        <v>0.625</v>
      </c>
      <c r="E417" t="s">
        <v>1114</v>
      </c>
      <c r="F417" t="s">
        <v>335</v>
      </c>
      <c r="H417">
        <v>35.700000000000003</v>
      </c>
      <c r="I417">
        <v>38</v>
      </c>
      <c r="J417">
        <v>26.2</v>
      </c>
      <c r="K417">
        <v>73.8</v>
      </c>
      <c r="L417">
        <v>64.3</v>
      </c>
      <c r="M417">
        <v>62</v>
      </c>
      <c r="N417">
        <v>21.4</v>
      </c>
      <c r="O417">
        <v>57.7</v>
      </c>
      <c r="P417">
        <v>20.9</v>
      </c>
      <c r="Q417">
        <v>49</v>
      </c>
      <c r="R417">
        <v>47.4</v>
      </c>
      <c r="S417">
        <v>20.6</v>
      </c>
      <c r="T417">
        <v>79.400000000000006</v>
      </c>
      <c r="U417">
        <v>82.9</v>
      </c>
      <c r="V417">
        <v>30.2</v>
      </c>
      <c r="W417">
        <v>69.8</v>
      </c>
      <c r="X417">
        <f>VLOOKUP(E417,'Transform table'!A:B,2,0)</f>
        <v>0</v>
      </c>
      <c r="Y417" t="e">
        <f>VLOOKUP(F417,'Transform table'!A:B,2,0)</f>
        <v>#N/A</v>
      </c>
      <c r="Z417" t="e">
        <f t="shared" si="6"/>
        <v>#N/A</v>
      </c>
      <c r="AA417" t="e">
        <f>VLOOKUP($Z417,'oddspedia-matches'!$A:$AD,AA$2,0)</f>
        <v>#N/A</v>
      </c>
      <c r="AB417" t="e">
        <f>VLOOKUP($Z417,'oddspedia-matches'!$A:$AD,AB$2,0)</f>
        <v>#N/A</v>
      </c>
      <c r="AC417" t="e">
        <f>VLOOKUP($Z417,'oddspedia-matches'!$A:$AD,AC$2,0)</f>
        <v>#N/A</v>
      </c>
      <c r="AD417" t="e">
        <f>VLOOKUP($Z417,'oddspedia-matches'!$A:$AD,AD$2,0)</f>
        <v>#N/A</v>
      </c>
      <c r="AE417" t="e">
        <f>VLOOKUP($Z417,'oddspedia-matches'!$A:$AD,AE$2,0)</f>
        <v>#N/A</v>
      </c>
      <c r="AF417" t="e">
        <f>VLOOKUP($Z417,'oddspedia-matches'!$A:$AD,AF$2,0)</f>
        <v>#N/A</v>
      </c>
      <c r="AG417" t="e">
        <f>VLOOKUP($Z417,'oddspedia-matches'!$A:$AD,AG$2,0)</f>
        <v>#N/A</v>
      </c>
      <c r="AH417" t="e">
        <f>VLOOKUP($Z417,'oddspedia-matches'!$A:$AD,AH$2,0)</f>
        <v>#N/A</v>
      </c>
      <c r="AI417" t="e">
        <f>VLOOKUP($Z417,'oddspedia-matches'!$A:$AD,AI$2,0)</f>
        <v>#N/A</v>
      </c>
      <c r="AJ417" t="e">
        <f>VLOOKUP($Z417,'oddspedia-matches'!$A:$AD,AJ$2,0)</f>
        <v>#N/A</v>
      </c>
      <c r="AK417" t="e">
        <f>VLOOKUP($Z417,'oddspedia-matches'!$A:$AD,AK$2,0)</f>
        <v>#N/A</v>
      </c>
      <c r="AL417" t="e">
        <f>VLOOKUP($Z417,'oddspedia-matches'!$A:$AD,AL$2,0)</f>
        <v>#N/A</v>
      </c>
      <c r="AM417" t="e">
        <f>VLOOKUP($Z417,'oddspedia-matches'!$A:$AD,AM$2,0)</f>
        <v>#N/A</v>
      </c>
      <c r="AN417" t="e">
        <f>VLOOKUP($Z417,'oddspedia-matches'!$A:$AD,AN$2,0)</f>
        <v>#N/A</v>
      </c>
      <c r="AO417" t="e">
        <f>VLOOKUP($Z417,'oddspedia-matches'!$A:$AD,AO$2,0)</f>
        <v>#N/A</v>
      </c>
      <c r="AP417" t="e">
        <f>VLOOKUP($Z417,'oddspedia-matches'!$A:$AD,AP$2,0)</f>
        <v>#N/A</v>
      </c>
      <c r="AQ417" t="e">
        <f>VLOOKUP($Z417,'oddspedia-matches'!$A:$AD,AQ$2,0)</f>
        <v>#N/A</v>
      </c>
    </row>
    <row r="418" spans="2:43" x14ac:dyDescent="0.2">
      <c r="B418" t="s">
        <v>647</v>
      </c>
      <c r="C418" t="s">
        <v>930</v>
      </c>
      <c r="D418" s="25">
        <v>0.625</v>
      </c>
      <c r="E418" t="s">
        <v>1115</v>
      </c>
      <c r="F418" t="s">
        <v>1116</v>
      </c>
      <c r="H418">
        <v>41.3</v>
      </c>
      <c r="I418">
        <v>31.7</v>
      </c>
      <c r="J418">
        <v>27</v>
      </c>
      <c r="K418">
        <v>73</v>
      </c>
      <c r="L418">
        <v>58.7</v>
      </c>
      <c r="M418">
        <v>68.3</v>
      </c>
      <c r="N418">
        <v>32.799999999999997</v>
      </c>
      <c r="O418">
        <v>51</v>
      </c>
      <c r="P418">
        <v>16.2</v>
      </c>
      <c r="Q418">
        <v>57.3</v>
      </c>
      <c r="R418">
        <v>64.599999999999994</v>
      </c>
      <c r="S418">
        <v>36.4</v>
      </c>
      <c r="T418">
        <v>63.6</v>
      </c>
      <c r="U418">
        <v>68.7</v>
      </c>
      <c r="V418">
        <v>44</v>
      </c>
      <c r="W418">
        <v>56</v>
      </c>
      <c r="X418">
        <f>VLOOKUP(E418,'Transform table'!A:B,2,0)</f>
        <v>0</v>
      </c>
      <c r="Y418" t="e">
        <f>VLOOKUP(F418,'Transform table'!A:B,2,0)</f>
        <v>#N/A</v>
      </c>
      <c r="Z418" t="e">
        <f t="shared" si="6"/>
        <v>#N/A</v>
      </c>
      <c r="AA418" t="e">
        <f>VLOOKUP($Z418,'oddspedia-matches'!$A:$AD,AA$2,0)</f>
        <v>#N/A</v>
      </c>
      <c r="AB418" t="e">
        <f>VLOOKUP($Z418,'oddspedia-matches'!$A:$AD,AB$2,0)</f>
        <v>#N/A</v>
      </c>
      <c r="AC418" t="e">
        <f>VLOOKUP($Z418,'oddspedia-matches'!$A:$AD,AC$2,0)</f>
        <v>#N/A</v>
      </c>
      <c r="AD418" t="e">
        <f>VLOOKUP($Z418,'oddspedia-matches'!$A:$AD,AD$2,0)</f>
        <v>#N/A</v>
      </c>
      <c r="AE418" t="e">
        <f>VLOOKUP($Z418,'oddspedia-matches'!$A:$AD,AE$2,0)</f>
        <v>#N/A</v>
      </c>
      <c r="AF418" t="e">
        <f>VLOOKUP($Z418,'oddspedia-matches'!$A:$AD,AF$2,0)</f>
        <v>#N/A</v>
      </c>
      <c r="AG418" t="e">
        <f>VLOOKUP($Z418,'oddspedia-matches'!$A:$AD,AG$2,0)</f>
        <v>#N/A</v>
      </c>
      <c r="AH418" t="e">
        <f>VLOOKUP($Z418,'oddspedia-matches'!$A:$AD,AH$2,0)</f>
        <v>#N/A</v>
      </c>
      <c r="AI418" t="e">
        <f>VLOOKUP($Z418,'oddspedia-matches'!$A:$AD,AI$2,0)</f>
        <v>#N/A</v>
      </c>
      <c r="AJ418" t="e">
        <f>VLOOKUP($Z418,'oddspedia-matches'!$A:$AD,AJ$2,0)</f>
        <v>#N/A</v>
      </c>
      <c r="AK418" t="e">
        <f>VLOOKUP($Z418,'oddspedia-matches'!$A:$AD,AK$2,0)</f>
        <v>#N/A</v>
      </c>
      <c r="AL418" t="e">
        <f>VLOOKUP($Z418,'oddspedia-matches'!$A:$AD,AL$2,0)</f>
        <v>#N/A</v>
      </c>
      <c r="AM418" t="e">
        <f>VLOOKUP($Z418,'oddspedia-matches'!$A:$AD,AM$2,0)</f>
        <v>#N/A</v>
      </c>
      <c r="AN418" t="e">
        <f>VLOOKUP($Z418,'oddspedia-matches'!$A:$AD,AN$2,0)</f>
        <v>#N/A</v>
      </c>
      <c r="AO418" t="e">
        <f>VLOOKUP($Z418,'oddspedia-matches'!$A:$AD,AO$2,0)</f>
        <v>#N/A</v>
      </c>
      <c r="AP418" t="e">
        <f>VLOOKUP($Z418,'oddspedia-matches'!$A:$AD,AP$2,0)</f>
        <v>#N/A</v>
      </c>
      <c r="AQ418" t="e">
        <f>VLOOKUP($Z418,'oddspedia-matches'!$A:$AD,AQ$2,0)</f>
        <v>#N/A</v>
      </c>
    </row>
    <row r="419" spans="2:43" x14ac:dyDescent="0.2">
      <c r="B419" t="s">
        <v>647</v>
      </c>
      <c r="C419" t="s">
        <v>930</v>
      </c>
      <c r="D419" s="25">
        <v>0.625</v>
      </c>
      <c r="E419" t="s">
        <v>334</v>
      </c>
      <c r="F419" t="s">
        <v>376</v>
      </c>
      <c r="H419">
        <v>44.5</v>
      </c>
      <c r="I419">
        <v>32.5</v>
      </c>
      <c r="J419">
        <v>23</v>
      </c>
      <c r="K419">
        <v>77</v>
      </c>
      <c r="L419">
        <v>55.5</v>
      </c>
      <c r="M419">
        <v>67.5</v>
      </c>
      <c r="N419">
        <v>26.1</v>
      </c>
      <c r="O419">
        <v>52.2</v>
      </c>
      <c r="P419">
        <v>21.7</v>
      </c>
      <c r="Q419">
        <v>56.7</v>
      </c>
      <c r="R419">
        <v>59.6</v>
      </c>
      <c r="S419">
        <v>31.2</v>
      </c>
      <c r="T419">
        <v>68.8</v>
      </c>
      <c r="U419">
        <v>73.8</v>
      </c>
      <c r="V419">
        <v>38.700000000000003</v>
      </c>
      <c r="W419">
        <v>61.3</v>
      </c>
      <c r="X419" t="str">
        <f>VLOOKUP(E419,'Transform table'!A:B,2,0)</f>
        <v>Los Andes</v>
      </c>
      <c r="Y419" t="e">
        <f>VLOOKUP(F419,'Transform table'!A:B,2,0)</f>
        <v>#N/A</v>
      </c>
      <c r="Z419" t="e">
        <f t="shared" si="6"/>
        <v>#N/A</v>
      </c>
      <c r="AA419" t="e">
        <f>VLOOKUP($Z419,'oddspedia-matches'!$A:$AD,AA$2,0)</f>
        <v>#N/A</v>
      </c>
      <c r="AB419" t="e">
        <f>VLOOKUP($Z419,'oddspedia-matches'!$A:$AD,AB$2,0)</f>
        <v>#N/A</v>
      </c>
      <c r="AC419" t="e">
        <f>VLOOKUP($Z419,'oddspedia-matches'!$A:$AD,AC$2,0)</f>
        <v>#N/A</v>
      </c>
      <c r="AD419" t="e">
        <f>VLOOKUP($Z419,'oddspedia-matches'!$A:$AD,AD$2,0)</f>
        <v>#N/A</v>
      </c>
      <c r="AE419" t="e">
        <f>VLOOKUP($Z419,'oddspedia-matches'!$A:$AD,AE$2,0)</f>
        <v>#N/A</v>
      </c>
      <c r="AF419" t="e">
        <f>VLOOKUP($Z419,'oddspedia-matches'!$A:$AD,AF$2,0)</f>
        <v>#N/A</v>
      </c>
      <c r="AG419" t="e">
        <f>VLOOKUP($Z419,'oddspedia-matches'!$A:$AD,AG$2,0)</f>
        <v>#N/A</v>
      </c>
      <c r="AH419" t="e">
        <f>VLOOKUP($Z419,'oddspedia-matches'!$A:$AD,AH$2,0)</f>
        <v>#N/A</v>
      </c>
      <c r="AI419" t="e">
        <f>VLOOKUP($Z419,'oddspedia-matches'!$A:$AD,AI$2,0)</f>
        <v>#N/A</v>
      </c>
      <c r="AJ419" t="e">
        <f>VLOOKUP($Z419,'oddspedia-matches'!$A:$AD,AJ$2,0)</f>
        <v>#N/A</v>
      </c>
      <c r="AK419" t="e">
        <f>VLOOKUP($Z419,'oddspedia-matches'!$A:$AD,AK$2,0)</f>
        <v>#N/A</v>
      </c>
      <c r="AL419" t="e">
        <f>VLOOKUP($Z419,'oddspedia-matches'!$A:$AD,AL$2,0)</f>
        <v>#N/A</v>
      </c>
      <c r="AM419" t="e">
        <f>VLOOKUP($Z419,'oddspedia-matches'!$A:$AD,AM$2,0)</f>
        <v>#N/A</v>
      </c>
      <c r="AN419" t="e">
        <f>VLOOKUP($Z419,'oddspedia-matches'!$A:$AD,AN$2,0)</f>
        <v>#N/A</v>
      </c>
      <c r="AO419" t="e">
        <f>VLOOKUP($Z419,'oddspedia-matches'!$A:$AD,AO$2,0)</f>
        <v>#N/A</v>
      </c>
      <c r="AP419" t="e">
        <f>VLOOKUP($Z419,'oddspedia-matches'!$A:$AD,AP$2,0)</f>
        <v>#N/A</v>
      </c>
      <c r="AQ419" t="e">
        <f>VLOOKUP($Z419,'oddspedia-matches'!$A:$AD,AQ$2,0)</f>
        <v>#N/A</v>
      </c>
    </row>
    <row r="420" spans="2:43" x14ac:dyDescent="0.2">
      <c r="B420" t="s">
        <v>705</v>
      </c>
      <c r="C420" t="s">
        <v>930</v>
      </c>
      <c r="D420" s="25">
        <v>0.625</v>
      </c>
      <c r="E420" t="s">
        <v>718</v>
      </c>
      <c r="F420" t="s">
        <v>719</v>
      </c>
      <c r="H420">
        <v>31.1</v>
      </c>
      <c r="I420">
        <v>34.200000000000003</v>
      </c>
      <c r="J420">
        <v>34.700000000000003</v>
      </c>
      <c r="K420">
        <v>65.3</v>
      </c>
      <c r="L420">
        <v>68.900000000000006</v>
      </c>
      <c r="M420">
        <v>65.8</v>
      </c>
      <c r="N420">
        <v>28.6</v>
      </c>
      <c r="O420">
        <v>45.7</v>
      </c>
      <c r="P420">
        <v>25.7</v>
      </c>
      <c r="Q420">
        <v>66.3</v>
      </c>
      <c r="R420">
        <v>59.4</v>
      </c>
      <c r="S420">
        <v>31</v>
      </c>
      <c r="T420">
        <v>69</v>
      </c>
      <c r="U420">
        <v>73.400000000000006</v>
      </c>
      <c r="V420">
        <v>40.1</v>
      </c>
      <c r="W420">
        <v>59.9</v>
      </c>
      <c r="X420">
        <f>VLOOKUP(E420,'Transform table'!A:B,2,0)</f>
        <v>0</v>
      </c>
      <c r="Y420">
        <f>VLOOKUP(F420,'Transform table'!A:B,2,0)</f>
        <v>0</v>
      </c>
      <c r="Z420" t="str">
        <f t="shared" si="6"/>
        <v>26/07/202600</v>
      </c>
      <c r="AA420" t="e">
        <f>VLOOKUP($Z420,'oddspedia-matches'!$A:$AD,AA$2,0)</f>
        <v>#N/A</v>
      </c>
      <c r="AB420" t="e">
        <f>VLOOKUP($Z420,'oddspedia-matches'!$A:$AD,AB$2,0)</f>
        <v>#N/A</v>
      </c>
      <c r="AC420" t="e">
        <f>VLOOKUP($Z420,'oddspedia-matches'!$A:$AD,AC$2,0)</f>
        <v>#N/A</v>
      </c>
      <c r="AD420" t="e">
        <f>VLOOKUP($Z420,'oddspedia-matches'!$A:$AD,AD$2,0)</f>
        <v>#N/A</v>
      </c>
      <c r="AE420" t="e">
        <f>VLOOKUP($Z420,'oddspedia-matches'!$A:$AD,AE$2,0)</f>
        <v>#N/A</v>
      </c>
      <c r="AF420" t="e">
        <f>VLOOKUP($Z420,'oddspedia-matches'!$A:$AD,AF$2,0)</f>
        <v>#N/A</v>
      </c>
      <c r="AG420" t="e">
        <f>VLOOKUP($Z420,'oddspedia-matches'!$A:$AD,AG$2,0)</f>
        <v>#N/A</v>
      </c>
      <c r="AH420" t="e">
        <f>VLOOKUP($Z420,'oddspedia-matches'!$A:$AD,AH$2,0)</f>
        <v>#N/A</v>
      </c>
      <c r="AI420" t="e">
        <f>VLOOKUP($Z420,'oddspedia-matches'!$A:$AD,AI$2,0)</f>
        <v>#N/A</v>
      </c>
      <c r="AJ420" t="e">
        <f>VLOOKUP($Z420,'oddspedia-matches'!$A:$AD,AJ$2,0)</f>
        <v>#N/A</v>
      </c>
      <c r="AK420" t="e">
        <f>VLOOKUP($Z420,'oddspedia-matches'!$A:$AD,AK$2,0)</f>
        <v>#N/A</v>
      </c>
      <c r="AL420" t="e">
        <f>VLOOKUP($Z420,'oddspedia-matches'!$A:$AD,AL$2,0)</f>
        <v>#N/A</v>
      </c>
      <c r="AM420" t="e">
        <f>VLOOKUP($Z420,'oddspedia-matches'!$A:$AD,AM$2,0)</f>
        <v>#N/A</v>
      </c>
      <c r="AN420" t="e">
        <f>VLOOKUP($Z420,'oddspedia-matches'!$A:$AD,AN$2,0)</f>
        <v>#N/A</v>
      </c>
      <c r="AO420" t="e">
        <f>VLOOKUP($Z420,'oddspedia-matches'!$A:$AD,AO$2,0)</f>
        <v>#N/A</v>
      </c>
      <c r="AP420" t="e">
        <f>VLOOKUP($Z420,'oddspedia-matches'!$A:$AD,AP$2,0)</f>
        <v>#N/A</v>
      </c>
      <c r="AQ420" t="e">
        <f>VLOOKUP($Z420,'oddspedia-matches'!$A:$AD,AQ$2,0)</f>
        <v>#N/A</v>
      </c>
    </row>
    <row r="421" spans="2:43" x14ac:dyDescent="0.2">
      <c r="B421" t="s">
        <v>650</v>
      </c>
      <c r="C421" t="s">
        <v>930</v>
      </c>
      <c r="D421" s="25">
        <v>0.625</v>
      </c>
      <c r="E421" t="s">
        <v>379</v>
      </c>
      <c r="F421" t="s">
        <v>665</v>
      </c>
      <c r="H421">
        <v>43.8</v>
      </c>
      <c r="I421">
        <v>32.9</v>
      </c>
      <c r="J421">
        <v>23.2</v>
      </c>
      <c r="K421">
        <v>76.8</v>
      </c>
      <c r="L421">
        <v>56.2</v>
      </c>
      <c r="M421">
        <v>67.099999999999994</v>
      </c>
      <c r="N421">
        <v>31.6</v>
      </c>
      <c r="O421">
        <v>52.3</v>
      </c>
      <c r="P421">
        <v>16.100000000000001</v>
      </c>
      <c r="Q421">
        <v>55.5</v>
      </c>
      <c r="R421">
        <v>58.7</v>
      </c>
      <c r="S421">
        <v>30.4</v>
      </c>
      <c r="T421">
        <v>69.599999999999994</v>
      </c>
      <c r="U421">
        <v>74.5</v>
      </c>
      <c r="V421">
        <v>38.1</v>
      </c>
      <c r="W421">
        <v>61.9</v>
      </c>
      <c r="X421">
        <f>VLOOKUP(E421,'Transform table'!A:B,2,0)</f>
        <v>0</v>
      </c>
      <c r="Y421">
        <f>VLOOKUP(F421,'Transform table'!A:B,2,0)</f>
        <v>0</v>
      </c>
      <c r="Z421" t="str">
        <f t="shared" si="6"/>
        <v>26/07/202600</v>
      </c>
      <c r="AA421" t="e">
        <f>VLOOKUP($Z421,'oddspedia-matches'!$A:$AD,AA$2,0)</f>
        <v>#N/A</v>
      </c>
      <c r="AB421" t="e">
        <f>VLOOKUP($Z421,'oddspedia-matches'!$A:$AD,AB$2,0)</f>
        <v>#N/A</v>
      </c>
      <c r="AC421" t="e">
        <f>VLOOKUP($Z421,'oddspedia-matches'!$A:$AD,AC$2,0)</f>
        <v>#N/A</v>
      </c>
      <c r="AD421" t="e">
        <f>VLOOKUP($Z421,'oddspedia-matches'!$A:$AD,AD$2,0)</f>
        <v>#N/A</v>
      </c>
      <c r="AE421" t="e">
        <f>VLOOKUP($Z421,'oddspedia-matches'!$A:$AD,AE$2,0)</f>
        <v>#N/A</v>
      </c>
      <c r="AF421" t="e">
        <f>VLOOKUP($Z421,'oddspedia-matches'!$A:$AD,AF$2,0)</f>
        <v>#N/A</v>
      </c>
      <c r="AG421" t="e">
        <f>VLOOKUP($Z421,'oddspedia-matches'!$A:$AD,AG$2,0)</f>
        <v>#N/A</v>
      </c>
      <c r="AH421" t="e">
        <f>VLOOKUP($Z421,'oddspedia-matches'!$A:$AD,AH$2,0)</f>
        <v>#N/A</v>
      </c>
      <c r="AI421" t="e">
        <f>VLOOKUP($Z421,'oddspedia-matches'!$A:$AD,AI$2,0)</f>
        <v>#N/A</v>
      </c>
      <c r="AJ421" t="e">
        <f>VLOOKUP($Z421,'oddspedia-matches'!$A:$AD,AJ$2,0)</f>
        <v>#N/A</v>
      </c>
      <c r="AK421" t="e">
        <f>VLOOKUP($Z421,'oddspedia-matches'!$A:$AD,AK$2,0)</f>
        <v>#N/A</v>
      </c>
      <c r="AL421" t="e">
        <f>VLOOKUP($Z421,'oddspedia-matches'!$A:$AD,AL$2,0)</f>
        <v>#N/A</v>
      </c>
      <c r="AM421" t="e">
        <f>VLOOKUP($Z421,'oddspedia-matches'!$A:$AD,AM$2,0)</f>
        <v>#N/A</v>
      </c>
      <c r="AN421" t="e">
        <f>VLOOKUP($Z421,'oddspedia-matches'!$A:$AD,AN$2,0)</f>
        <v>#N/A</v>
      </c>
      <c r="AO421" t="e">
        <f>VLOOKUP($Z421,'oddspedia-matches'!$A:$AD,AO$2,0)</f>
        <v>#N/A</v>
      </c>
      <c r="AP421" t="e">
        <f>VLOOKUP($Z421,'oddspedia-matches'!$A:$AD,AP$2,0)</f>
        <v>#N/A</v>
      </c>
      <c r="AQ421" t="e">
        <f>VLOOKUP($Z421,'oddspedia-matches'!$A:$AD,AQ$2,0)</f>
        <v>#N/A</v>
      </c>
    </row>
    <row r="422" spans="2:43" x14ac:dyDescent="0.2">
      <c r="B422" t="s">
        <v>484</v>
      </c>
      <c r="C422" t="s">
        <v>930</v>
      </c>
      <c r="D422" s="25">
        <v>0.625</v>
      </c>
      <c r="E422" t="s">
        <v>1117</v>
      </c>
      <c r="F422" t="s">
        <v>1118</v>
      </c>
      <c r="H422">
        <v>55.6</v>
      </c>
      <c r="I422">
        <v>24.1</v>
      </c>
      <c r="J422">
        <v>20.3</v>
      </c>
      <c r="K422">
        <v>79.7</v>
      </c>
      <c r="L422">
        <v>44.4</v>
      </c>
      <c r="M422">
        <v>75.900000000000006</v>
      </c>
      <c r="N422">
        <v>23.2</v>
      </c>
      <c r="O422">
        <v>45.2</v>
      </c>
      <c r="P422">
        <v>31.6</v>
      </c>
      <c r="Q422">
        <v>67</v>
      </c>
      <c r="R422">
        <v>86.8</v>
      </c>
      <c r="S422">
        <v>67.099999999999994</v>
      </c>
      <c r="T422">
        <v>32.9</v>
      </c>
      <c r="U422">
        <v>39.6</v>
      </c>
      <c r="V422">
        <v>65.099999999999994</v>
      </c>
      <c r="W422">
        <v>34.9</v>
      </c>
      <c r="X422">
        <f>VLOOKUP(E422,'Transform table'!A:B,2,0)</f>
        <v>0</v>
      </c>
      <c r="Y422" t="e">
        <f>VLOOKUP(F422,'Transform table'!A:B,2,0)</f>
        <v>#N/A</v>
      </c>
      <c r="Z422" t="e">
        <f t="shared" si="6"/>
        <v>#N/A</v>
      </c>
      <c r="AA422" t="e">
        <f>VLOOKUP($Z422,'oddspedia-matches'!$A:$AD,AA$2,0)</f>
        <v>#N/A</v>
      </c>
      <c r="AB422" t="e">
        <f>VLOOKUP($Z422,'oddspedia-matches'!$A:$AD,AB$2,0)</f>
        <v>#N/A</v>
      </c>
      <c r="AC422" t="e">
        <f>VLOOKUP($Z422,'oddspedia-matches'!$A:$AD,AC$2,0)</f>
        <v>#N/A</v>
      </c>
      <c r="AD422" t="e">
        <f>VLOOKUP($Z422,'oddspedia-matches'!$A:$AD,AD$2,0)</f>
        <v>#N/A</v>
      </c>
      <c r="AE422" t="e">
        <f>VLOOKUP($Z422,'oddspedia-matches'!$A:$AD,AE$2,0)</f>
        <v>#N/A</v>
      </c>
      <c r="AF422" t="e">
        <f>VLOOKUP($Z422,'oddspedia-matches'!$A:$AD,AF$2,0)</f>
        <v>#N/A</v>
      </c>
      <c r="AG422" t="e">
        <f>VLOOKUP($Z422,'oddspedia-matches'!$A:$AD,AG$2,0)</f>
        <v>#N/A</v>
      </c>
      <c r="AH422" t="e">
        <f>VLOOKUP($Z422,'oddspedia-matches'!$A:$AD,AH$2,0)</f>
        <v>#N/A</v>
      </c>
      <c r="AI422" t="e">
        <f>VLOOKUP($Z422,'oddspedia-matches'!$A:$AD,AI$2,0)</f>
        <v>#N/A</v>
      </c>
      <c r="AJ422" t="e">
        <f>VLOOKUP($Z422,'oddspedia-matches'!$A:$AD,AJ$2,0)</f>
        <v>#N/A</v>
      </c>
      <c r="AK422" t="e">
        <f>VLOOKUP($Z422,'oddspedia-matches'!$A:$AD,AK$2,0)</f>
        <v>#N/A</v>
      </c>
      <c r="AL422" t="e">
        <f>VLOOKUP($Z422,'oddspedia-matches'!$A:$AD,AL$2,0)</f>
        <v>#N/A</v>
      </c>
      <c r="AM422" t="e">
        <f>VLOOKUP($Z422,'oddspedia-matches'!$A:$AD,AM$2,0)</f>
        <v>#N/A</v>
      </c>
      <c r="AN422" t="e">
        <f>VLOOKUP($Z422,'oddspedia-matches'!$A:$AD,AN$2,0)</f>
        <v>#N/A</v>
      </c>
      <c r="AO422" t="e">
        <f>VLOOKUP($Z422,'oddspedia-matches'!$A:$AD,AO$2,0)</f>
        <v>#N/A</v>
      </c>
      <c r="AP422" t="e">
        <f>VLOOKUP($Z422,'oddspedia-matches'!$A:$AD,AP$2,0)</f>
        <v>#N/A</v>
      </c>
      <c r="AQ422" t="e">
        <f>VLOOKUP($Z422,'oddspedia-matches'!$A:$AD,AQ$2,0)</f>
        <v>#N/A</v>
      </c>
    </row>
    <row r="423" spans="2:43" x14ac:dyDescent="0.2">
      <c r="B423" t="s">
        <v>1024</v>
      </c>
      <c r="C423" t="s">
        <v>930</v>
      </c>
      <c r="D423" s="25">
        <v>0.625</v>
      </c>
      <c r="E423" t="s">
        <v>1119</v>
      </c>
      <c r="F423" t="s">
        <v>1120</v>
      </c>
      <c r="H423">
        <v>0</v>
      </c>
      <c r="I423">
        <v>100</v>
      </c>
      <c r="J423">
        <v>0</v>
      </c>
      <c r="K423">
        <v>100</v>
      </c>
      <c r="L423">
        <v>100</v>
      </c>
      <c r="M423">
        <v>0</v>
      </c>
      <c r="N423">
        <v>0</v>
      </c>
      <c r="O423">
        <v>100</v>
      </c>
      <c r="P423">
        <v>0</v>
      </c>
      <c r="Q423">
        <v>0</v>
      </c>
      <c r="R423">
        <v>0</v>
      </c>
      <c r="S423">
        <v>0</v>
      </c>
      <c r="T423">
        <v>100</v>
      </c>
      <c r="U423">
        <v>100</v>
      </c>
      <c r="V423">
        <v>0</v>
      </c>
      <c r="W423">
        <v>100</v>
      </c>
      <c r="X423" t="str">
        <f>VLOOKUP(E423,'Transform table'!A:B,2,0)</f>
        <v>Paksi SE</v>
      </c>
      <c r="Y423" t="e">
        <f>VLOOKUP(F423,'Transform table'!A:B,2,0)</f>
        <v>#N/A</v>
      </c>
      <c r="Z423" t="e">
        <f t="shared" si="6"/>
        <v>#N/A</v>
      </c>
      <c r="AA423" t="e">
        <f>VLOOKUP($Z423,'oddspedia-matches'!$A:$AD,AA$2,0)</f>
        <v>#N/A</v>
      </c>
      <c r="AB423" t="e">
        <f>VLOOKUP($Z423,'oddspedia-matches'!$A:$AD,AB$2,0)</f>
        <v>#N/A</v>
      </c>
      <c r="AC423" t="e">
        <f>VLOOKUP($Z423,'oddspedia-matches'!$A:$AD,AC$2,0)</f>
        <v>#N/A</v>
      </c>
      <c r="AD423" t="e">
        <f>VLOOKUP($Z423,'oddspedia-matches'!$A:$AD,AD$2,0)</f>
        <v>#N/A</v>
      </c>
      <c r="AE423" t="e">
        <f>VLOOKUP($Z423,'oddspedia-matches'!$A:$AD,AE$2,0)</f>
        <v>#N/A</v>
      </c>
      <c r="AF423" t="e">
        <f>VLOOKUP($Z423,'oddspedia-matches'!$A:$AD,AF$2,0)</f>
        <v>#N/A</v>
      </c>
      <c r="AG423" t="e">
        <f>VLOOKUP($Z423,'oddspedia-matches'!$A:$AD,AG$2,0)</f>
        <v>#N/A</v>
      </c>
      <c r="AH423" t="e">
        <f>VLOOKUP($Z423,'oddspedia-matches'!$A:$AD,AH$2,0)</f>
        <v>#N/A</v>
      </c>
      <c r="AI423" t="e">
        <f>VLOOKUP($Z423,'oddspedia-matches'!$A:$AD,AI$2,0)</f>
        <v>#N/A</v>
      </c>
      <c r="AJ423" t="e">
        <f>VLOOKUP($Z423,'oddspedia-matches'!$A:$AD,AJ$2,0)</f>
        <v>#N/A</v>
      </c>
      <c r="AK423" t="e">
        <f>VLOOKUP($Z423,'oddspedia-matches'!$A:$AD,AK$2,0)</f>
        <v>#N/A</v>
      </c>
      <c r="AL423" t="e">
        <f>VLOOKUP($Z423,'oddspedia-matches'!$A:$AD,AL$2,0)</f>
        <v>#N/A</v>
      </c>
      <c r="AM423" t="e">
        <f>VLOOKUP($Z423,'oddspedia-matches'!$A:$AD,AM$2,0)</f>
        <v>#N/A</v>
      </c>
      <c r="AN423" t="e">
        <f>VLOOKUP($Z423,'oddspedia-matches'!$A:$AD,AN$2,0)</f>
        <v>#N/A</v>
      </c>
      <c r="AO423" t="e">
        <f>VLOOKUP($Z423,'oddspedia-matches'!$A:$AD,AO$2,0)</f>
        <v>#N/A</v>
      </c>
      <c r="AP423" t="e">
        <f>VLOOKUP($Z423,'oddspedia-matches'!$A:$AD,AP$2,0)</f>
        <v>#N/A</v>
      </c>
      <c r="AQ423" t="e">
        <f>VLOOKUP($Z423,'oddspedia-matches'!$A:$AD,AQ$2,0)</f>
        <v>#N/A</v>
      </c>
    </row>
    <row r="424" spans="2:43" x14ac:dyDescent="0.2">
      <c r="B424" t="s">
        <v>482</v>
      </c>
      <c r="C424" t="s">
        <v>930</v>
      </c>
      <c r="D424" s="25">
        <v>0.625</v>
      </c>
      <c r="E424" t="s">
        <v>1121</v>
      </c>
      <c r="F424" t="s">
        <v>1122</v>
      </c>
      <c r="H424">
        <v>45.5</v>
      </c>
      <c r="I424">
        <v>28.3</v>
      </c>
      <c r="J424">
        <v>26.2</v>
      </c>
      <c r="K424">
        <v>73.8</v>
      </c>
      <c r="L424">
        <v>54.5</v>
      </c>
      <c r="M424">
        <v>71.7</v>
      </c>
      <c r="N424">
        <v>26.3</v>
      </c>
      <c r="O424">
        <v>51.1</v>
      </c>
      <c r="P424">
        <v>22.6</v>
      </c>
      <c r="Q424">
        <v>58.2</v>
      </c>
      <c r="R424">
        <v>74.5</v>
      </c>
      <c r="S424">
        <v>48.2</v>
      </c>
      <c r="T424">
        <v>51.8</v>
      </c>
      <c r="U424">
        <v>57.7</v>
      </c>
      <c r="V424">
        <v>53.1</v>
      </c>
      <c r="W424">
        <v>46.9</v>
      </c>
      <c r="X424">
        <f>VLOOKUP(E424,'Transform table'!A:B,2,0)</f>
        <v>0</v>
      </c>
      <c r="Y424" t="e">
        <f>VLOOKUP(F424,'Transform table'!A:B,2,0)</f>
        <v>#N/A</v>
      </c>
      <c r="Z424" t="e">
        <f t="shared" si="6"/>
        <v>#N/A</v>
      </c>
      <c r="AA424" t="e">
        <f>VLOOKUP($Z424,'oddspedia-matches'!$A:$AD,AA$2,0)</f>
        <v>#N/A</v>
      </c>
      <c r="AB424" t="e">
        <f>VLOOKUP($Z424,'oddspedia-matches'!$A:$AD,AB$2,0)</f>
        <v>#N/A</v>
      </c>
      <c r="AC424" t="e">
        <f>VLOOKUP($Z424,'oddspedia-matches'!$A:$AD,AC$2,0)</f>
        <v>#N/A</v>
      </c>
      <c r="AD424" t="e">
        <f>VLOOKUP($Z424,'oddspedia-matches'!$A:$AD,AD$2,0)</f>
        <v>#N/A</v>
      </c>
      <c r="AE424" t="e">
        <f>VLOOKUP($Z424,'oddspedia-matches'!$A:$AD,AE$2,0)</f>
        <v>#N/A</v>
      </c>
      <c r="AF424" t="e">
        <f>VLOOKUP($Z424,'oddspedia-matches'!$A:$AD,AF$2,0)</f>
        <v>#N/A</v>
      </c>
      <c r="AG424" t="e">
        <f>VLOOKUP($Z424,'oddspedia-matches'!$A:$AD,AG$2,0)</f>
        <v>#N/A</v>
      </c>
      <c r="AH424" t="e">
        <f>VLOOKUP($Z424,'oddspedia-matches'!$A:$AD,AH$2,0)</f>
        <v>#N/A</v>
      </c>
      <c r="AI424" t="e">
        <f>VLOOKUP($Z424,'oddspedia-matches'!$A:$AD,AI$2,0)</f>
        <v>#N/A</v>
      </c>
      <c r="AJ424" t="e">
        <f>VLOOKUP($Z424,'oddspedia-matches'!$A:$AD,AJ$2,0)</f>
        <v>#N/A</v>
      </c>
      <c r="AK424" t="e">
        <f>VLOOKUP($Z424,'oddspedia-matches'!$A:$AD,AK$2,0)</f>
        <v>#N/A</v>
      </c>
      <c r="AL424" t="e">
        <f>VLOOKUP($Z424,'oddspedia-matches'!$A:$AD,AL$2,0)</f>
        <v>#N/A</v>
      </c>
      <c r="AM424" t="e">
        <f>VLOOKUP($Z424,'oddspedia-matches'!$A:$AD,AM$2,0)</f>
        <v>#N/A</v>
      </c>
      <c r="AN424" t="e">
        <f>VLOOKUP($Z424,'oddspedia-matches'!$A:$AD,AN$2,0)</f>
        <v>#N/A</v>
      </c>
      <c r="AO424" t="e">
        <f>VLOOKUP($Z424,'oddspedia-matches'!$A:$AD,AO$2,0)</f>
        <v>#N/A</v>
      </c>
      <c r="AP424" t="e">
        <f>VLOOKUP($Z424,'oddspedia-matches'!$A:$AD,AP$2,0)</f>
        <v>#N/A</v>
      </c>
      <c r="AQ424" t="e">
        <f>VLOOKUP($Z424,'oddspedia-matches'!$A:$AD,AQ$2,0)</f>
        <v>#N/A</v>
      </c>
    </row>
    <row r="425" spans="2:43" x14ac:dyDescent="0.2">
      <c r="B425" t="s">
        <v>486</v>
      </c>
      <c r="C425" t="s">
        <v>930</v>
      </c>
      <c r="D425" s="25">
        <v>0.625</v>
      </c>
      <c r="E425" t="s">
        <v>1123</v>
      </c>
      <c r="F425" t="s">
        <v>1124</v>
      </c>
      <c r="H425">
        <v>50.3</v>
      </c>
      <c r="I425">
        <v>28.2</v>
      </c>
      <c r="J425">
        <v>21.5</v>
      </c>
      <c r="K425">
        <v>78.5</v>
      </c>
      <c r="L425">
        <v>49.7</v>
      </c>
      <c r="M425">
        <v>71.8</v>
      </c>
      <c r="N425">
        <v>32.799999999999997</v>
      </c>
      <c r="O425">
        <v>44.7</v>
      </c>
      <c r="P425">
        <v>22.5</v>
      </c>
      <c r="Q425">
        <v>67.5</v>
      </c>
      <c r="R425">
        <v>71.2</v>
      </c>
      <c r="S425">
        <v>44</v>
      </c>
      <c r="T425">
        <v>56</v>
      </c>
      <c r="U425">
        <v>62.3</v>
      </c>
      <c r="V425">
        <v>48.1</v>
      </c>
      <c r="W425">
        <v>51.9</v>
      </c>
      <c r="X425" t="str">
        <f>VLOOKUP(E425,'Transform table'!A:B,2,0)</f>
        <v>Alftanes</v>
      </c>
      <c r="Y425" t="e">
        <f>VLOOKUP(F425,'Transform table'!A:B,2,0)</f>
        <v>#N/A</v>
      </c>
      <c r="Z425" t="e">
        <f t="shared" si="6"/>
        <v>#N/A</v>
      </c>
      <c r="AA425" t="e">
        <f>VLOOKUP($Z425,'oddspedia-matches'!$A:$AD,AA$2,0)</f>
        <v>#N/A</v>
      </c>
      <c r="AB425" t="e">
        <f>VLOOKUP($Z425,'oddspedia-matches'!$A:$AD,AB$2,0)</f>
        <v>#N/A</v>
      </c>
      <c r="AC425" t="e">
        <f>VLOOKUP($Z425,'oddspedia-matches'!$A:$AD,AC$2,0)</f>
        <v>#N/A</v>
      </c>
      <c r="AD425" t="e">
        <f>VLOOKUP($Z425,'oddspedia-matches'!$A:$AD,AD$2,0)</f>
        <v>#N/A</v>
      </c>
      <c r="AE425" t="e">
        <f>VLOOKUP($Z425,'oddspedia-matches'!$A:$AD,AE$2,0)</f>
        <v>#N/A</v>
      </c>
      <c r="AF425" t="e">
        <f>VLOOKUP($Z425,'oddspedia-matches'!$A:$AD,AF$2,0)</f>
        <v>#N/A</v>
      </c>
      <c r="AG425" t="e">
        <f>VLOOKUP($Z425,'oddspedia-matches'!$A:$AD,AG$2,0)</f>
        <v>#N/A</v>
      </c>
      <c r="AH425" t="e">
        <f>VLOOKUP($Z425,'oddspedia-matches'!$A:$AD,AH$2,0)</f>
        <v>#N/A</v>
      </c>
      <c r="AI425" t="e">
        <f>VLOOKUP($Z425,'oddspedia-matches'!$A:$AD,AI$2,0)</f>
        <v>#N/A</v>
      </c>
      <c r="AJ425" t="e">
        <f>VLOOKUP($Z425,'oddspedia-matches'!$A:$AD,AJ$2,0)</f>
        <v>#N/A</v>
      </c>
      <c r="AK425" t="e">
        <f>VLOOKUP($Z425,'oddspedia-matches'!$A:$AD,AK$2,0)</f>
        <v>#N/A</v>
      </c>
      <c r="AL425" t="e">
        <f>VLOOKUP($Z425,'oddspedia-matches'!$A:$AD,AL$2,0)</f>
        <v>#N/A</v>
      </c>
      <c r="AM425" t="e">
        <f>VLOOKUP($Z425,'oddspedia-matches'!$A:$AD,AM$2,0)</f>
        <v>#N/A</v>
      </c>
      <c r="AN425" t="e">
        <f>VLOOKUP($Z425,'oddspedia-matches'!$A:$AD,AN$2,0)</f>
        <v>#N/A</v>
      </c>
      <c r="AO425" t="e">
        <f>VLOOKUP($Z425,'oddspedia-matches'!$A:$AD,AO$2,0)</f>
        <v>#N/A</v>
      </c>
      <c r="AP425" t="e">
        <f>VLOOKUP($Z425,'oddspedia-matches'!$A:$AD,AP$2,0)</f>
        <v>#N/A</v>
      </c>
      <c r="AQ425" t="e">
        <f>VLOOKUP($Z425,'oddspedia-matches'!$A:$AD,AQ$2,0)</f>
        <v>#N/A</v>
      </c>
    </row>
    <row r="426" spans="2:43" x14ac:dyDescent="0.2">
      <c r="B426" t="s">
        <v>486</v>
      </c>
      <c r="C426" t="s">
        <v>930</v>
      </c>
      <c r="D426" s="25">
        <v>0.625</v>
      </c>
      <c r="E426" t="s">
        <v>677</v>
      </c>
      <c r="F426" t="s">
        <v>1041</v>
      </c>
      <c r="H426">
        <v>23.1</v>
      </c>
      <c r="I426">
        <v>33.1</v>
      </c>
      <c r="J426">
        <v>43.8</v>
      </c>
      <c r="K426">
        <v>56.2</v>
      </c>
      <c r="L426">
        <v>76.900000000000006</v>
      </c>
      <c r="M426">
        <v>66.900000000000006</v>
      </c>
      <c r="N426">
        <v>19.7</v>
      </c>
      <c r="O426">
        <v>50.9</v>
      </c>
      <c r="P426">
        <v>29.4</v>
      </c>
      <c r="Q426">
        <v>58.4</v>
      </c>
      <c r="R426">
        <v>61.5</v>
      </c>
      <c r="S426">
        <v>33.1</v>
      </c>
      <c r="T426">
        <v>66.900000000000006</v>
      </c>
      <c r="U426">
        <v>72</v>
      </c>
      <c r="V426">
        <v>40.4</v>
      </c>
      <c r="W426">
        <v>59.6</v>
      </c>
      <c r="X426" t="str">
        <f>VLOOKUP(E426,'Transform table'!A:B,2,0)</f>
        <v>CA Cerro</v>
      </c>
      <c r="Y426">
        <f>VLOOKUP(F426,'Transform table'!A:B,2,0)</f>
        <v>0</v>
      </c>
      <c r="Z426" t="str">
        <f t="shared" si="6"/>
        <v>26/07/2026CA Cerro0</v>
      </c>
      <c r="AA426" t="e">
        <f>VLOOKUP($Z426,'oddspedia-matches'!$A:$AD,AA$2,0)</f>
        <v>#N/A</v>
      </c>
      <c r="AB426" t="e">
        <f>VLOOKUP($Z426,'oddspedia-matches'!$A:$AD,AB$2,0)</f>
        <v>#N/A</v>
      </c>
      <c r="AC426" t="e">
        <f>VLOOKUP($Z426,'oddspedia-matches'!$A:$AD,AC$2,0)</f>
        <v>#N/A</v>
      </c>
      <c r="AD426" t="e">
        <f>VLOOKUP($Z426,'oddspedia-matches'!$A:$AD,AD$2,0)</f>
        <v>#N/A</v>
      </c>
      <c r="AE426" t="e">
        <f>VLOOKUP($Z426,'oddspedia-matches'!$A:$AD,AE$2,0)</f>
        <v>#N/A</v>
      </c>
      <c r="AF426" t="e">
        <f>VLOOKUP($Z426,'oddspedia-matches'!$A:$AD,AF$2,0)</f>
        <v>#N/A</v>
      </c>
      <c r="AG426" t="e">
        <f>VLOOKUP($Z426,'oddspedia-matches'!$A:$AD,AG$2,0)</f>
        <v>#N/A</v>
      </c>
      <c r="AH426" t="e">
        <f>VLOOKUP($Z426,'oddspedia-matches'!$A:$AD,AH$2,0)</f>
        <v>#N/A</v>
      </c>
      <c r="AI426" t="e">
        <f>VLOOKUP($Z426,'oddspedia-matches'!$A:$AD,AI$2,0)</f>
        <v>#N/A</v>
      </c>
      <c r="AJ426" t="e">
        <f>VLOOKUP($Z426,'oddspedia-matches'!$A:$AD,AJ$2,0)</f>
        <v>#N/A</v>
      </c>
      <c r="AK426" t="e">
        <f>VLOOKUP($Z426,'oddspedia-matches'!$A:$AD,AK$2,0)</f>
        <v>#N/A</v>
      </c>
      <c r="AL426" t="e">
        <f>VLOOKUP($Z426,'oddspedia-matches'!$A:$AD,AL$2,0)</f>
        <v>#N/A</v>
      </c>
      <c r="AM426" t="e">
        <f>VLOOKUP($Z426,'oddspedia-matches'!$A:$AD,AM$2,0)</f>
        <v>#N/A</v>
      </c>
      <c r="AN426" t="e">
        <f>VLOOKUP($Z426,'oddspedia-matches'!$A:$AD,AN$2,0)</f>
        <v>#N/A</v>
      </c>
      <c r="AO426" t="e">
        <f>VLOOKUP($Z426,'oddspedia-matches'!$A:$AD,AO$2,0)</f>
        <v>#N/A</v>
      </c>
      <c r="AP426" t="e">
        <f>VLOOKUP($Z426,'oddspedia-matches'!$A:$AD,AP$2,0)</f>
        <v>#N/A</v>
      </c>
      <c r="AQ426" t="e">
        <f>VLOOKUP($Z426,'oddspedia-matches'!$A:$AD,AQ$2,0)</f>
        <v>#N/A</v>
      </c>
    </row>
    <row r="427" spans="2:43" x14ac:dyDescent="0.2">
      <c r="B427" t="s">
        <v>1007</v>
      </c>
      <c r="C427" t="s">
        <v>930</v>
      </c>
      <c r="D427" s="25">
        <v>0.625</v>
      </c>
      <c r="E427" t="s">
        <v>1125</v>
      </c>
      <c r="F427" t="s">
        <v>661</v>
      </c>
      <c r="H427">
        <v>41.3</v>
      </c>
      <c r="I427">
        <v>29</v>
      </c>
      <c r="J427">
        <v>29.7</v>
      </c>
      <c r="K427">
        <v>70.3</v>
      </c>
      <c r="L427">
        <v>58.7</v>
      </c>
      <c r="M427">
        <v>71</v>
      </c>
      <c r="N427" t="s">
        <v>20</v>
      </c>
      <c r="O427" t="s">
        <v>20</v>
      </c>
      <c r="P427" t="s">
        <v>20</v>
      </c>
      <c r="Q427" t="s">
        <v>20</v>
      </c>
      <c r="R427">
        <v>74.2</v>
      </c>
      <c r="S427">
        <v>47.7</v>
      </c>
      <c r="T427">
        <v>52.3</v>
      </c>
      <c r="U427">
        <v>57.9</v>
      </c>
      <c r="V427">
        <v>53.5</v>
      </c>
      <c r="W427">
        <v>46.5</v>
      </c>
      <c r="X427" t="str">
        <f>VLOOKUP(E427,'Transform table'!A:B,2,0)</f>
        <v>Cordoba</v>
      </c>
      <c r="Y427">
        <f>VLOOKUP(F427,'Transform table'!A:B,2,0)</f>
        <v>0</v>
      </c>
      <c r="Z427" t="str">
        <f t="shared" si="6"/>
        <v>26/07/2026Cordoba0</v>
      </c>
      <c r="AA427" t="e">
        <f>VLOOKUP($Z427,'oddspedia-matches'!$A:$AD,AA$2,0)</f>
        <v>#N/A</v>
      </c>
      <c r="AB427" t="e">
        <f>VLOOKUP($Z427,'oddspedia-matches'!$A:$AD,AB$2,0)</f>
        <v>#N/A</v>
      </c>
      <c r="AC427" t="e">
        <f>VLOOKUP($Z427,'oddspedia-matches'!$A:$AD,AC$2,0)</f>
        <v>#N/A</v>
      </c>
      <c r="AD427" t="e">
        <f>VLOOKUP($Z427,'oddspedia-matches'!$A:$AD,AD$2,0)</f>
        <v>#N/A</v>
      </c>
      <c r="AE427" t="e">
        <f>VLOOKUP($Z427,'oddspedia-matches'!$A:$AD,AE$2,0)</f>
        <v>#N/A</v>
      </c>
      <c r="AF427" t="e">
        <f>VLOOKUP($Z427,'oddspedia-matches'!$A:$AD,AF$2,0)</f>
        <v>#N/A</v>
      </c>
      <c r="AG427" t="e">
        <f>VLOOKUP($Z427,'oddspedia-matches'!$A:$AD,AG$2,0)</f>
        <v>#N/A</v>
      </c>
      <c r="AH427" t="e">
        <f>VLOOKUP($Z427,'oddspedia-matches'!$A:$AD,AH$2,0)</f>
        <v>#N/A</v>
      </c>
      <c r="AI427" t="e">
        <f>VLOOKUP($Z427,'oddspedia-matches'!$A:$AD,AI$2,0)</f>
        <v>#N/A</v>
      </c>
      <c r="AJ427" t="e">
        <f>VLOOKUP($Z427,'oddspedia-matches'!$A:$AD,AJ$2,0)</f>
        <v>#N/A</v>
      </c>
      <c r="AK427" t="e">
        <f>VLOOKUP($Z427,'oddspedia-matches'!$A:$AD,AK$2,0)</f>
        <v>#N/A</v>
      </c>
      <c r="AL427" t="e">
        <f>VLOOKUP($Z427,'oddspedia-matches'!$A:$AD,AL$2,0)</f>
        <v>#N/A</v>
      </c>
      <c r="AM427" t="e">
        <f>VLOOKUP($Z427,'oddspedia-matches'!$A:$AD,AM$2,0)</f>
        <v>#N/A</v>
      </c>
      <c r="AN427" t="e">
        <f>VLOOKUP($Z427,'oddspedia-matches'!$A:$AD,AN$2,0)</f>
        <v>#N/A</v>
      </c>
      <c r="AO427" t="e">
        <f>VLOOKUP($Z427,'oddspedia-matches'!$A:$AD,AO$2,0)</f>
        <v>#N/A</v>
      </c>
      <c r="AP427" t="e">
        <f>VLOOKUP($Z427,'oddspedia-matches'!$A:$AD,AP$2,0)</f>
        <v>#N/A</v>
      </c>
      <c r="AQ427" t="e">
        <f>VLOOKUP($Z427,'oddspedia-matches'!$A:$AD,AQ$2,0)</f>
        <v>#N/A</v>
      </c>
    </row>
    <row r="428" spans="2:43" x14ac:dyDescent="0.2">
      <c r="B428" t="s">
        <v>1081</v>
      </c>
      <c r="C428" t="s">
        <v>930</v>
      </c>
      <c r="D428" s="25">
        <v>0.63541666666666663</v>
      </c>
      <c r="E428" t="s">
        <v>1126</v>
      </c>
      <c r="F428" t="s">
        <v>1127</v>
      </c>
      <c r="H428">
        <v>19.399999999999999</v>
      </c>
      <c r="I428">
        <v>56.9</v>
      </c>
      <c r="J428">
        <v>23.7</v>
      </c>
      <c r="K428">
        <v>76.3</v>
      </c>
      <c r="L428">
        <v>80.599999999999994</v>
      </c>
      <c r="M428">
        <v>43.1</v>
      </c>
      <c r="N428">
        <v>23.2</v>
      </c>
      <c r="O428">
        <v>64</v>
      </c>
      <c r="P428">
        <v>12.8</v>
      </c>
      <c r="Q428">
        <v>40.200000000000003</v>
      </c>
      <c r="R428">
        <v>16.5</v>
      </c>
      <c r="S428">
        <v>3.5</v>
      </c>
      <c r="T428">
        <v>96.5</v>
      </c>
      <c r="U428">
        <v>97.2</v>
      </c>
      <c r="V428">
        <v>9.5</v>
      </c>
      <c r="W428">
        <v>90.5</v>
      </c>
      <c r="X428" t="str">
        <f>VLOOKUP(E428,'Transform table'!A:B,2,0)</f>
        <v>Lokomotiv Sofia</v>
      </c>
      <c r="Y428" t="e">
        <f>VLOOKUP(F428,'Transform table'!A:B,2,0)</f>
        <v>#N/A</v>
      </c>
      <c r="Z428" t="e">
        <f t="shared" si="6"/>
        <v>#N/A</v>
      </c>
      <c r="AA428" t="e">
        <f>VLOOKUP($Z428,'oddspedia-matches'!$A:$AD,AA$2,0)</f>
        <v>#N/A</v>
      </c>
      <c r="AB428" t="e">
        <f>VLOOKUP($Z428,'oddspedia-matches'!$A:$AD,AB$2,0)</f>
        <v>#N/A</v>
      </c>
      <c r="AC428" t="e">
        <f>VLOOKUP($Z428,'oddspedia-matches'!$A:$AD,AC$2,0)</f>
        <v>#N/A</v>
      </c>
      <c r="AD428" t="e">
        <f>VLOOKUP($Z428,'oddspedia-matches'!$A:$AD,AD$2,0)</f>
        <v>#N/A</v>
      </c>
      <c r="AE428" t="e">
        <f>VLOOKUP($Z428,'oddspedia-matches'!$A:$AD,AE$2,0)</f>
        <v>#N/A</v>
      </c>
      <c r="AF428" t="e">
        <f>VLOOKUP($Z428,'oddspedia-matches'!$A:$AD,AF$2,0)</f>
        <v>#N/A</v>
      </c>
      <c r="AG428" t="e">
        <f>VLOOKUP($Z428,'oddspedia-matches'!$A:$AD,AG$2,0)</f>
        <v>#N/A</v>
      </c>
      <c r="AH428" t="e">
        <f>VLOOKUP($Z428,'oddspedia-matches'!$A:$AD,AH$2,0)</f>
        <v>#N/A</v>
      </c>
      <c r="AI428" t="e">
        <f>VLOOKUP($Z428,'oddspedia-matches'!$A:$AD,AI$2,0)</f>
        <v>#N/A</v>
      </c>
      <c r="AJ428" t="e">
        <f>VLOOKUP($Z428,'oddspedia-matches'!$A:$AD,AJ$2,0)</f>
        <v>#N/A</v>
      </c>
      <c r="AK428" t="e">
        <f>VLOOKUP($Z428,'oddspedia-matches'!$A:$AD,AK$2,0)</f>
        <v>#N/A</v>
      </c>
      <c r="AL428" t="e">
        <f>VLOOKUP($Z428,'oddspedia-matches'!$A:$AD,AL$2,0)</f>
        <v>#N/A</v>
      </c>
      <c r="AM428" t="e">
        <f>VLOOKUP($Z428,'oddspedia-matches'!$A:$AD,AM$2,0)</f>
        <v>#N/A</v>
      </c>
      <c r="AN428" t="e">
        <f>VLOOKUP($Z428,'oddspedia-matches'!$A:$AD,AN$2,0)</f>
        <v>#N/A</v>
      </c>
      <c r="AO428" t="e">
        <f>VLOOKUP($Z428,'oddspedia-matches'!$A:$AD,AO$2,0)</f>
        <v>#N/A</v>
      </c>
      <c r="AP428" t="e">
        <f>VLOOKUP($Z428,'oddspedia-matches'!$A:$AD,AP$2,0)</f>
        <v>#N/A</v>
      </c>
      <c r="AQ428" t="e">
        <f>VLOOKUP($Z428,'oddspedia-matches'!$A:$AD,AQ$2,0)</f>
        <v>#N/A</v>
      </c>
    </row>
    <row r="429" spans="2:43" x14ac:dyDescent="0.2">
      <c r="B429" t="s">
        <v>452</v>
      </c>
      <c r="C429" t="s">
        <v>930</v>
      </c>
      <c r="D429" s="25">
        <v>0.63541666666666663</v>
      </c>
      <c r="E429" t="s">
        <v>103</v>
      </c>
      <c r="F429" t="s">
        <v>35</v>
      </c>
      <c r="H429">
        <v>41.4</v>
      </c>
      <c r="I429">
        <v>31.6</v>
      </c>
      <c r="J429">
        <v>27</v>
      </c>
      <c r="K429">
        <v>73</v>
      </c>
      <c r="L429">
        <v>58.6</v>
      </c>
      <c r="M429">
        <v>68.400000000000006</v>
      </c>
      <c r="N429">
        <v>27.7</v>
      </c>
      <c r="O429">
        <v>50.1</v>
      </c>
      <c r="P429">
        <v>22.2</v>
      </c>
      <c r="Q429">
        <v>59.7</v>
      </c>
      <c r="R429">
        <v>64.7</v>
      </c>
      <c r="S429">
        <v>36.4</v>
      </c>
      <c r="T429">
        <v>63.6</v>
      </c>
      <c r="U429">
        <v>68.7</v>
      </c>
      <c r="V429">
        <v>44.1</v>
      </c>
      <c r="W429">
        <v>55.9</v>
      </c>
      <c r="X429" t="str">
        <f>VLOOKUP(E429,'Transform table'!A:B,2,0)</f>
        <v>SD Aucas</v>
      </c>
      <c r="Y429" t="str">
        <f>VLOOKUP(F429,'Transform table'!A:B,2,0)</f>
        <v>CSD Macara</v>
      </c>
      <c r="Z429" t="str">
        <f t="shared" si="6"/>
        <v>26/07/2026SD AucasCSD Macara</v>
      </c>
      <c r="AA429" t="e">
        <f>VLOOKUP($Z429,'oddspedia-matches'!$A:$AD,AA$2,0)</f>
        <v>#N/A</v>
      </c>
      <c r="AB429" t="e">
        <f>VLOOKUP($Z429,'oddspedia-matches'!$A:$AD,AB$2,0)</f>
        <v>#N/A</v>
      </c>
      <c r="AC429" t="e">
        <f>VLOOKUP($Z429,'oddspedia-matches'!$A:$AD,AC$2,0)</f>
        <v>#N/A</v>
      </c>
      <c r="AD429" t="e">
        <f>VLOOKUP($Z429,'oddspedia-matches'!$A:$AD,AD$2,0)</f>
        <v>#N/A</v>
      </c>
      <c r="AE429" t="e">
        <f>VLOOKUP($Z429,'oddspedia-matches'!$A:$AD,AE$2,0)</f>
        <v>#N/A</v>
      </c>
      <c r="AF429" t="e">
        <f>VLOOKUP($Z429,'oddspedia-matches'!$A:$AD,AF$2,0)</f>
        <v>#N/A</v>
      </c>
      <c r="AG429" t="e">
        <f>VLOOKUP($Z429,'oddspedia-matches'!$A:$AD,AG$2,0)</f>
        <v>#N/A</v>
      </c>
      <c r="AH429" t="e">
        <f>VLOOKUP($Z429,'oddspedia-matches'!$A:$AD,AH$2,0)</f>
        <v>#N/A</v>
      </c>
      <c r="AI429" t="e">
        <f>VLOOKUP($Z429,'oddspedia-matches'!$A:$AD,AI$2,0)</f>
        <v>#N/A</v>
      </c>
      <c r="AJ429" t="e">
        <f>VLOOKUP($Z429,'oddspedia-matches'!$A:$AD,AJ$2,0)</f>
        <v>#N/A</v>
      </c>
      <c r="AK429" t="e">
        <f>VLOOKUP($Z429,'oddspedia-matches'!$A:$AD,AK$2,0)</f>
        <v>#N/A</v>
      </c>
      <c r="AL429" t="e">
        <f>VLOOKUP($Z429,'oddspedia-matches'!$A:$AD,AL$2,0)</f>
        <v>#N/A</v>
      </c>
      <c r="AM429" t="e">
        <f>VLOOKUP($Z429,'oddspedia-matches'!$A:$AD,AM$2,0)</f>
        <v>#N/A</v>
      </c>
      <c r="AN429" t="e">
        <f>VLOOKUP($Z429,'oddspedia-matches'!$A:$AD,AN$2,0)</f>
        <v>#N/A</v>
      </c>
      <c r="AO429" t="e">
        <f>VLOOKUP($Z429,'oddspedia-matches'!$A:$AD,AO$2,0)</f>
        <v>#N/A</v>
      </c>
      <c r="AP429" t="e">
        <f>VLOOKUP($Z429,'oddspedia-matches'!$A:$AD,AP$2,0)</f>
        <v>#N/A</v>
      </c>
      <c r="AQ429" t="e">
        <f>VLOOKUP($Z429,'oddspedia-matches'!$A:$AD,AQ$2,0)</f>
        <v>#N/A</v>
      </c>
    </row>
    <row r="430" spans="2:43" x14ac:dyDescent="0.2">
      <c r="B430" t="s">
        <v>452</v>
      </c>
      <c r="C430" t="s">
        <v>930</v>
      </c>
      <c r="D430" s="25">
        <v>0.63541666666666663</v>
      </c>
      <c r="E430" t="s">
        <v>229</v>
      </c>
      <c r="F430" t="s">
        <v>100</v>
      </c>
      <c r="H430">
        <v>34.5</v>
      </c>
      <c r="I430">
        <v>35.4</v>
      </c>
      <c r="J430">
        <v>30.1</v>
      </c>
      <c r="K430">
        <v>69.900000000000006</v>
      </c>
      <c r="L430">
        <v>65.5</v>
      </c>
      <c r="M430">
        <v>64.599999999999994</v>
      </c>
      <c r="N430">
        <v>24.5</v>
      </c>
      <c r="O430">
        <v>54.2</v>
      </c>
      <c r="P430">
        <v>21.3</v>
      </c>
      <c r="Q430">
        <v>53.8</v>
      </c>
      <c r="R430">
        <v>55.2</v>
      </c>
      <c r="S430">
        <v>27.1</v>
      </c>
      <c r="T430">
        <v>72.900000000000006</v>
      </c>
      <c r="U430">
        <v>77</v>
      </c>
      <c r="V430">
        <v>36.6</v>
      </c>
      <c r="W430">
        <v>63.4</v>
      </c>
      <c r="X430" t="str">
        <f>VLOOKUP(E430,'Transform table'!A:B,2,0)</f>
        <v>Delfin SC</v>
      </c>
      <c r="Y430" t="str">
        <f>VLOOKUP(F430,'Transform table'!A:B,2,0)</f>
        <v>CD Leones Del Norte</v>
      </c>
      <c r="Z430" t="str">
        <f t="shared" si="6"/>
        <v>26/07/2026Delfin SCCD Leones Del Norte</v>
      </c>
      <c r="AA430" t="e">
        <f>VLOOKUP($Z430,'oddspedia-matches'!$A:$AD,AA$2,0)</f>
        <v>#N/A</v>
      </c>
      <c r="AB430" t="e">
        <f>VLOOKUP($Z430,'oddspedia-matches'!$A:$AD,AB$2,0)</f>
        <v>#N/A</v>
      </c>
      <c r="AC430" t="e">
        <f>VLOOKUP($Z430,'oddspedia-matches'!$A:$AD,AC$2,0)</f>
        <v>#N/A</v>
      </c>
      <c r="AD430" t="e">
        <f>VLOOKUP($Z430,'oddspedia-matches'!$A:$AD,AD$2,0)</f>
        <v>#N/A</v>
      </c>
      <c r="AE430" t="e">
        <f>VLOOKUP($Z430,'oddspedia-matches'!$A:$AD,AE$2,0)</f>
        <v>#N/A</v>
      </c>
      <c r="AF430" t="e">
        <f>VLOOKUP($Z430,'oddspedia-matches'!$A:$AD,AF$2,0)</f>
        <v>#N/A</v>
      </c>
      <c r="AG430" t="e">
        <f>VLOOKUP($Z430,'oddspedia-matches'!$A:$AD,AG$2,0)</f>
        <v>#N/A</v>
      </c>
      <c r="AH430" t="e">
        <f>VLOOKUP($Z430,'oddspedia-matches'!$A:$AD,AH$2,0)</f>
        <v>#N/A</v>
      </c>
      <c r="AI430" t="e">
        <f>VLOOKUP($Z430,'oddspedia-matches'!$A:$AD,AI$2,0)</f>
        <v>#N/A</v>
      </c>
      <c r="AJ430" t="e">
        <f>VLOOKUP($Z430,'oddspedia-matches'!$A:$AD,AJ$2,0)</f>
        <v>#N/A</v>
      </c>
      <c r="AK430" t="e">
        <f>VLOOKUP($Z430,'oddspedia-matches'!$A:$AD,AK$2,0)</f>
        <v>#N/A</v>
      </c>
      <c r="AL430" t="e">
        <f>VLOOKUP($Z430,'oddspedia-matches'!$A:$AD,AL$2,0)</f>
        <v>#N/A</v>
      </c>
      <c r="AM430" t="e">
        <f>VLOOKUP($Z430,'oddspedia-matches'!$A:$AD,AM$2,0)</f>
        <v>#N/A</v>
      </c>
      <c r="AN430" t="e">
        <f>VLOOKUP($Z430,'oddspedia-matches'!$A:$AD,AN$2,0)</f>
        <v>#N/A</v>
      </c>
      <c r="AO430" t="e">
        <f>VLOOKUP($Z430,'oddspedia-matches'!$A:$AD,AO$2,0)</f>
        <v>#N/A</v>
      </c>
      <c r="AP430" t="e">
        <f>VLOOKUP($Z430,'oddspedia-matches'!$A:$AD,AP$2,0)</f>
        <v>#N/A</v>
      </c>
      <c r="AQ430" t="e">
        <f>VLOOKUP($Z430,'oddspedia-matches'!$A:$AD,AQ$2,0)</f>
        <v>#N/A</v>
      </c>
    </row>
    <row r="431" spans="2:43" x14ac:dyDescent="0.2">
      <c r="B431" t="s">
        <v>1086</v>
      </c>
      <c r="C431" t="s">
        <v>930</v>
      </c>
      <c r="D431" s="25">
        <v>0.63541666666666663</v>
      </c>
      <c r="E431" t="s">
        <v>1128</v>
      </c>
      <c r="F431" t="s">
        <v>1129</v>
      </c>
      <c r="H431">
        <v>72.5</v>
      </c>
      <c r="I431">
        <v>27.5</v>
      </c>
      <c r="J431">
        <v>0</v>
      </c>
      <c r="K431">
        <v>100</v>
      </c>
      <c r="L431">
        <v>27.5</v>
      </c>
      <c r="M431">
        <v>72.5</v>
      </c>
      <c r="N431">
        <v>47.8</v>
      </c>
      <c r="O431">
        <v>52.2</v>
      </c>
      <c r="P431">
        <v>0</v>
      </c>
      <c r="Q431">
        <v>47.8</v>
      </c>
      <c r="R431">
        <v>37.299999999999997</v>
      </c>
      <c r="S431">
        <v>14.3</v>
      </c>
      <c r="T431">
        <v>85.7</v>
      </c>
      <c r="U431">
        <v>95.7</v>
      </c>
      <c r="V431">
        <v>0.2</v>
      </c>
      <c r="W431">
        <v>99.8</v>
      </c>
      <c r="X431" t="str">
        <f>VLOOKUP(E431,'Transform table'!A:B,2,0)</f>
        <v>Koper</v>
      </c>
      <c r="Y431" t="e">
        <f>VLOOKUP(F431,'Transform table'!A:B,2,0)</f>
        <v>#N/A</v>
      </c>
      <c r="Z431" t="e">
        <f t="shared" si="6"/>
        <v>#N/A</v>
      </c>
      <c r="AA431" t="e">
        <f>VLOOKUP($Z431,'oddspedia-matches'!$A:$AD,AA$2,0)</f>
        <v>#N/A</v>
      </c>
      <c r="AB431" t="e">
        <f>VLOOKUP($Z431,'oddspedia-matches'!$A:$AD,AB$2,0)</f>
        <v>#N/A</v>
      </c>
      <c r="AC431" t="e">
        <f>VLOOKUP($Z431,'oddspedia-matches'!$A:$AD,AC$2,0)</f>
        <v>#N/A</v>
      </c>
      <c r="AD431" t="e">
        <f>VLOOKUP($Z431,'oddspedia-matches'!$A:$AD,AD$2,0)</f>
        <v>#N/A</v>
      </c>
      <c r="AE431" t="e">
        <f>VLOOKUP($Z431,'oddspedia-matches'!$A:$AD,AE$2,0)</f>
        <v>#N/A</v>
      </c>
      <c r="AF431" t="e">
        <f>VLOOKUP($Z431,'oddspedia-matches'!$A:$AD,AF$2,0)</f>
        <v>#N/A</v>
      </c>
      <c r="AG431" t="e">
        <f>VLOOKUP($Z431,'oddspedia-matches'!$A:$AD,AG$2,0)</f>
        <v>#N/A</v>
      </c>
      <c r="AH431" t="e">
        <f>VLOOKUP($Z431,'oddspedia-matches'!$A:$AD,AH$2,0)</f>
        <v>#N/A</v>
      </c>
      <c r="AI431" t="e">
        <f>VLOOKUP($Z431,'oddspedia-matches'!$A:$AD,AI$2,0)</f>
        <v>#N/A</v>
      </c>
      <c r="AJ431" t="e">
        <f>VLOOKUP($Z431,'oddspedia-matches'!$A:$AD,AJ$2,0)</f>
        <v>#N/A</v>
      </c>
      <c r="AK431" t="e">
        <f>VLOOKUP($Z431,'oddspedia-matches'!$A:$AD,AK$2,0)</f>
        <v>#N/A</v>
      </c>
      <c r="AL431" t="e">
        <f>VLOOKUP($Z431,'oddspedia-matches'!$A:$AD,AL$2,0)</f>
        <v>#N/A</v>
      </c>
      <c r="AM431" t="e">
        <f>VLOOKUP($Z431,'oddspedia-matches'!$A:$AD,AM$2,0)</f>
        <v>#N/A</v>
      </c>
      <c r="AN431" t="e">
        <f>VLOOKUP($Z431,'oddspedia-matches'!$A:$AD,AN$2,0)</f>
        <v>#N/A</v>
      </c>
      <c r="AO431" t="e">
        <f>VLOOKUP($Z431,'oddspedia-matches'!$A:$AD,AO$2,0)</f>
        <v>#N/A</v>
      </c>
      <c r="AP431" t="e">
        <f>VLOOKUP($Z431,'oddspedia-matches'!$A:$AD,AP$2,0)</f>
        <v>#N/A</v>
      </c>
      <c r="AQ431" t="e">
        <f>VLOOKUP($Z431,'oddspedia-matches'!$A:$AD,AQ$2,0)</f>
        <v>#N/A</v>
      </c>
    </row>
    <row r="432" spans="2:43" x14ac:dyDescent="0.2">
      <c r="B432" t="s">
        <v>1015</v>
      </c>
      <c r="C432" t="s">
        <v>930</v>
      </c>
      <c r="D432" s="25">
        <v>0.63541666666666663</v>
      </c>
      <c r="E432" t="s">
        <v>1130</v>
      </c>
      <c r="F432" t="s">
        <v>1131</v>
      </c>
      <c r="H432">
        <v>0</v>
      </c>
      <c r="I432">
        <v>100</v>
      </c>
      <c r="J432">
        <v>0</v>
      </c>
      <c r="K432">
        <v>100</v>
      </c>
      <c r="L432">
        <v>100</v>
      </c>
      <c r="M432">
        <v>0</v>
      </c>
      <c r="N432">
        <v>0</v>
      </c>
      <c r="O432">
        <v>100</v>
      </c>
      <c r="P432">
        <v>0</v>
      </c>
      <c r="Q432">
        <v>0</v>
      </c>
      <c r="R432">
        <v>0</v>
      </c>
      <c r="S432">
        <v>0</v>
      </c>
      <c r="T432">
        <v>100</v>
      </c>
      <c r="U432">
        <v>100</v>
      </c>
      <c r="V432">
        <v>0</v>
      </c>
      <c r="W432">
        <v>100</v>
      </c>
      <c r="X432" t="str">
        <f>VLOOKUP(E432,'Transform table'!A:B,2,0)</f>
        <v>Walsall</v>
      </c>
      <c r="Y432" t="e">
        <f>VLOOKUP(F432,'Transform table'!A:B,2,0)</f>
        <v>#N/A</v>
      </c>
      <c r="Z432" t="e">
        <f t="shared" si="6"/>
        <v>#N/A</v>
      </c>
      <c r="AA432" t="e">
        <f>VLOOKUP($Z432,'oddspedia-matches'!$A:$AD,AA$2,0)</f>
        <v>#N/A</v>
      </c>
      <c r="AB432" t="e">
        <f>VLOOKUP($Z432,'oddspedia-matches'!$A:$AD,AB$2,0)</f>
        <v>#N/A</v>
      </c>
      <c r="AC432" t="e">
        <f>VLOOKUP($Z432,'oddspedia-matches'!$A:$AD,AC$2,0)</f>
        <v>#N/A</v>
      </c>
      <c r="AD432" t="e">
        <f>VLOOKUP($Z432,'oddspedia-matches'!$A:$AD,AD$2,0)</f>
        <v>#N/A</v>
      </c>
      <c r="AE432" t="e">
        <f>VLOOKUP($Z432,'oddspedia-matches'!$A:$AD,AE$2,0)</f>
        <v>#N/A</v>
      </c>
      <c r="AF432" t="e">
        <f>VLOOKUP($Z432,'oddspedia-matches'!$A:$AD,AF$2,0)</f>
        <v>#N/A</v>
      </c>
      <c r="AG432" t="e">
        <f>VLOOKUP($Z432,'oddspedia-matches'!$A:$AD,AG$2,0)</f>
        <v>#N/A</v>
      </c>
      <c r="AH432" t="e">
        <f>VLOOKUP($Z432,'oddspedia-matches'!$A:$AD,AH$2,0)</f>
        <v>#N/A</v>
      </c>
      <c r="AI432" t="e">
        <f>VLOOKUP($Z432,'oddspedia-matches'!$A:$AD,AI$2,0)</f>
        <v>#N/A</v>
      </c>
      <c r="AJ432" t="e">
        <f>VLOOKUP($Z432,'oddspedia-matches'!$A:$AD,AJ$2,0)</f>
        <v>#N/A</v>
      </c>
      <c r="AK432" t="e">
        <f>VLOOKUP($Z432,'oddspedia-matches'!$A:$AD,AK$2,0)</f>
        <v>#N/A</v>
      </c>
      <c r="AL432" t="e">
        <f>VLOOKUP($Z432,'oddspedia-matches'!$A:$AD,AL$2,0)</f>
        <v>#N/A</v>
      </c>
      <c r="AM432" t="e">
        <f>VLOOKUP($Z432,'oddspedia-matches'!$A:$AD,AM$2,0)</f>
        <v>#N/A</v>
      </c>
      <c r="AN432" t="e">
        <f>VLOOKUP($Z432,'oddspedia-matches'!$A:$AD,AN$2,0)</f>
        <v>#N/A</v>
      </c>
      <c r="AO432" t="e">
        <f>VLOOKUP($Z432,'oddspedia-matches'!$A:$AD,AO$2,0)</f>
        <v>#N/A</v>
      </c>
      <c r="AP432" t="e">
        <f>VLOOKUP($Z432,'oddspedia-matches'!$A:$AD,AP$2,0)</f>
        <v>#N/A</v>
      </c>
      <c r="AQ432" t="e">
        <f>VLOOKUP($Z432,'oddspedia-matches'!$A:$AD,AQ$2,0)</f>
        <v>#N/A</v>
      </c>
    </row>
    <row r="433" spans="2:43" x14ac:dyDescent="0.2">
      <c r="B433" t="s">
        <v>647</v>
      </c>
      <c r="C433" t="s">
        <v>930</v>
      </c>
      <c r="D433" s="25">
        <v>0.64583333333333337</v>
      </c>
      <c r="E433" t="s">
        <v>699</v>
      </c>
      <c r="F433" t="s">
        <v>325</v>
      </c>
      <c r="H433">
        <v>54.1</v>
      </c>
      <c r="I433">
        <v>28.8</v>
      </c>
      <c r="J433">
        <v>17.2</v>
      </c>
      <c r="K433">
        <v>82.8</v>
      </c>
      <c r="L433">
        <v>45.9</v>
      </c>
      <c r="M433">
        <v>71.2</v>
      </c>
      <c r="N433">
        <v>40.799999999999997</v>
      </c>
      <c r="O433">
        <v>48.5</v>
      </c>
      <c r="P433">
        <v>10.7</v>
      </c>
      <c r="Q433">
        <v>58.4</v>
      </c>
      <c r="R433">
        <v>64.8</v>
      </c>
      <c r="S433">
        <v>36.700000000000003</v>
      </c>
      <c r="T433">
        <v>63.3</v>
      </c>
      <c r="U433">
        <v>70</v>
      </c>
      <c r="V433">
        <v>39.9</v>
      </c>
      <c r="W433">
        <v>60.1</v>
      </c>
      <c r="X433" t="str">
        <f>VLOOKUP(E433,'Transform table'!A:B,2,0)</f>
        <v>Club Atletico Colon</v>
      </c>
      <c r="Y433" t="e">
        <f>VLOOKUP(F433,'Transform table'!A:B,2,0)</f>
        <v>#N/A</v>
      </c>
      <c r="Z433" t="e">
        <f t="shared" si="6"/>
        <v>#N/A</v>
      </c>
      <c r="AA433" t="e">
        <f>VLOOKUP($Z433,'oddspedia-matches'!$A:$AD,AA$2,0)</f>
        <v>#N/A</v>
      </c>
      <c r="AB433" t="e">
        <f>VLOOKUP($Z433,'oddspedia-matches'!$A:$AD,AB$2,0)</f>
        <v>#N/A</v>
      </c>
      <c r="AC433" t="e">
        <f>VLOOKUP($Z433,'oddspedia-matches'!$A:$AD,AC$2,0)</f>
        <v>#N/A</v>
      </c>
      <c r="AD433" t="e">
        <f>VLOOKUP($Z433,'oddspedia-matches'!$A:$AD,AD$2,0)</f>
        <v>#N/A</v>
      </c>
      <c r="AE433" t="e">
        <f>VLOOKUP($Z433,'oddspedia-matches'!$A:$AD,AE$2,0)</f>
        <v>#N/A</v>
      </c>
      <c r="AF433" t="e">
        <f>VLOOKUP($Z433,'oddspedia-matches'!$A:$AD,AF$2,0)</f>
        <v>#N/A</v>
      </c>
      <c r="AG433" t="e">
        <f>VLOOKUP($Z433,'oddspedia-matches'!$A:$AD,AG$2,0)</f>
        <v>#N/A</v>
      </c>
      <c r="AH433" t="e">
        <f>VLOOKUP($Z433,'oddspedia-matches'!$A:$AD,AH$2,0)</f>
        <v>#N/A</v>
      </c>
      <c r="AI433" t="e">
        <f>VLOOKUP($Z433,'oddspedia-matches'!$A:$AD,AI$2,0)</f>
        <v>#N/A</v>
      </c>
      <c r="AJ433" t="e">
        <f>VLOOKUP($Z433,'oddspedia-matches'!$A:$AD,AJ$2,0)</f>
        <v>#N/A</v>
      </c>
      <c r="AK433" t="e">
        <f>VLOOKUP($Z433,'oddspedia-matches'!$A:$AD,AK$2,0)</f>
        <v>#N/A</v>
      </c>
      <c r="AL433" t="e">
        <f>VLOOKUP($Z433,'oddspedia-matches'!$A:$AD,AL$2,0)</f>
        <v>#N/A</v>
      </c>
      <c r="AM433" t="e">
        <f>VLOOKUP($Z433,'oddspedia-matches'!$A:$AD,AM$2,0)</f>
        <v>#N/A</v>
      </c>
      <c r="AN433" t="e">
        <f>VLOOKUP($Z433,'oddspedia-matches'!$A:$AD,AN$2,0)</f>
        <v>#N/A</v>
      </c>
      <c r="AO433" t="e">
        <f>VLOOKUP($Z433,'oddspedia-matches'!$A:$AD,AO$2,0)</f>
        <v>#N/A</v>
      </c>
      <c r="AP433" t="e">
        <f>VLOOKUP($Z433,'oddspedia-matches'!$A:$AD,AP$2,0)</f>
        <v>#N/A</v>
      </c>
      <c r="AQ433" t="e">
        <f>VLOOKUP($Z433,'oddspedia-matches'!$A:$AD,AQ$2,0)</f>
        <v>#N/A</v>
      </c>
    </row>
    <row r="434" spans="2:43" x14ac:dyDescent="0.2">
      <c r="B434" t="s">
        <v>647</v>
      </c>
      <c r="C434" t="s">
        <v>930</v>
      </c>
      <c r="D434" s="25">
        <v>0.64583333333333337</v>
      </c>
      <c r="E434" t="s">
        <v>1132</v>
      </c>
      <c r="F434" t="s">
        <v>698</v>
      </c>
      <c r="H434">
        <v>41.8</v>
      </c>
      <c r="I434">
        <v>33.6</v>
      </c>
      <c r="J434">
        <v>24.6</v>
      </c>
      <c r="K434">
        <v>75.400000000000006</v>
      </c>
      <c r="L434">
        <v>58.2</v>
      </c>
      <c r="M434">
        <v>66.400000000000006</v>
      </c>
      <c r="N434">
        <v>25</v>
      </c>
      <c r="O434">
        <v>53.9</v>
      </c>
      <c r="P434">
        <v>21</v>
      </c>
      <c r="Q434">
        <v>54.1</v>
      </c>
      <c r="R434">
        <v>57.8</v>
      </c>
      <c r="S434">
        <v>29.5</v>
      </c>
      <c r="T434">
        <v>70.5</v>
      </c>
      <c r="U434">
        <v>75.2</v>
      </c>
      <c r="V434">
        <v>37.799999999999997</v>
      </c>
      <c r="W434">
        <v>62.2</v>
      </c>
      <c r="X434" t="str">
        <f>VLOOKUP(E434,'Transform table'!A:B,2,0)</f>
        <v>CA San Miguel</v>
      </c>
      <c r="Y434" t="str">
        <f>VLOOKUP(F434,'Transform table'!A:B,2,0)</f>
        <v>Club Atletico Acassuso</v>
      </c>
      <c r="Z434" t="str">
        <f t="shared" si="6"/>
        <v>26/07/2026CA San MiguelClub Atletico Acassuso</v>
      </c>
      <c r="AA434" t="e">
        <f>VLOOKUP($Z434,'oddspedia-matches'!$A:$AD,AA$2,0)</f>
        <v>#N/A</v>
      </c>
      <c r="AB434" t="e">
        <f>VLOOKUP($Z434,'oddspedia-matches'!$A:$AD,AB$2,0)</f>
        <v>#N/A</v>
      </c>
      <c r="AC434" t="e">
        <f>VLOOKUP($Z434,'oddspedia-matches'!$A:$AD,AC$2,0)</f>
        <v>#N/A</v>
      </c>
      <c r="AD434" t="e">
        <f>VLOOKUP($Z434,'oddspedia-matches'!$A:$AD,AD$2,0)</f>
        <v>#N/A</v>
      </c>
      <c r="AE434" t="e">
        <f>VLOOKUP($Z434,'oddspedia-matches'!$A:$AD,AE$2,0)</f>
        <v>#N/A</v>
      </c>
      <c r="AF434" t="e">
        <f>VLOOKUP($Z434,'oddspedia-matches'!$A:$AD,AF$2,0)</f>
        <v>#N/A</v>
      </c>
      <c r="AG434" t="e">
        <f>VLOOKUP($Z434,'oddspedia-matches'!$A:$AD,AG$2,0)</f>
        <v>#N/A</v>
      </c>
      <c r="AH434" t="e">
        <f>VLOOKUP($Z434,'oddspedia-matches'!$A:$AD,AH$2,0)</f>
        <v>#N/A</v>
      </c>
      <c r="AI434" t="e">
        <f>VLOOKUP($Z434,'oddspedia-matches'!$A:$AD,AI$2,0)</f>
        <v>#N/A</v>
      </c>
      <c r="AJ434" t="e">
        <f>VLOOKUP($Z434,'oddspedia-matches'!$A:$AD,AJ$2,0)</f>
        <v>#N/A</v>
      </c>
      <c r="AK434" t="e">
        <f>VLOOKUP($Z434,'oddspedia-matches'!$A:$AD,AK$2,0)</f>
        <v>#N/A</v>
      </c>
      <c r="AL434" t="e">
        <f>VLOOKUP($Z434,'oddspedia-matches'!$A:$AD,AL$2,0)</f>
        <v>#N/A</v>
      </c>
      <c r="AM434" t="e">
        <f>VLOOKUP($Z434,'oddspedia-matches'!$A:$AD,AM$2,0)</f>
        <v>#N/A</v>
      </c>
      <c r="AN434" t="e">
        <f>VLOOKUP($Z434,'oddspedia-matches'!$A:$AD,AN$2,0)</f>
        <v>#N/A</v>
      </c>
      <c r="AO434" t="e">
        <f>VLOOKUP($Z434,'oddspedia-matches'!$A:$AD,AO$2,0)</f>
        <v>#N/A</v>
      </c>
      <c r="AP434" t="e">
        <f>VLOOKUP($Z434,'oddspedia-matches'!$A:$AD,AP$2,0)</f>
        <v>#N/A</v>
      </c>
      <c r="AQ434" t="e">
        <f>VLOOKUP($Z434,'oddspedia-matches'!$A:$AD,AQ$2,0)</f>
        <v>#N/A</v>
      </c>
    </row>
    <row r="435" spans="2:43" x14ac:dyDescent="0.2">
      <c r="B435" t="s">
        <v>1105</v>
      </c>
      <c r="C435" t="s">
        <v>930</v>
      </c>
      <c r="D435" s="25">
        <v>0.64583333333333337</v>
      </c>
      <c r="E435" t="s">
        <v>1133</v>
      </c>
      <c r="F435" t="s">
        <v>1134</v>
      </c>
      <c r="H435">
        <v>16.2</v>
      </c>
      <c r="I435">
        <v>50.7</v>
      </c>
      <c r="J435">
        <v>33.1</v>
      </c>
      <c r="K435">
        <v>66.900000000000006</v>
      </c>
      <c r="L435">
        <v>83.8</v>
      </c>
      <c r="M435">
        <v>49.3</v>
      </c>
      <c r="N435">
        <v>19.399999999999999</v>
      </c>
      <c r="O435">
        <v>56.9</v>
      </c>
      <c r="P435">
        <v>23.7</v>
      </c>
      <c r="Q435">
        <v>50.1</v>
      </c>
      <c r="R435">
        <v>23.6</v>
      </c>
      <c r="S435">
        <v>6.3</v>
      </c>
      <c r="T435">
        <v>93.7</v>
      </c>
      <c r="U435">
        <v>95.2</v>
      </c>
      <c r="V435">
        <v>12.9</v>
      </c>
      <c r="W435">
        <v>87.1</v>
      </c>
      <c r="X435">
        <f>VLOOKUP(E435,'Transform table'!A:B,2,0)</f>
        <v>0</v>
      </c>
      <c r="Y435" t="e">
        <f>VLOOKUP(F435,'Transform table'!A:B,2,0)</f>
        <v>#N/A</v>
      </c>
      <c r="Z435" t="e">
        <f t="shared" si="6"/>
        <v>#N/A</v>
      </c>
      <c r="AA435" t="e">
        <f>VLOOKUP($Z435,'oddspedia-matches'!$A:$AD,AA$2,0)</f>
        <v>#N/A</v>
      </c>
      <c r="AB435" t="e">
        <f>VLOOKUP($Z435,'oddspedia-matches'!$A:$AD,AB$2,0)</f>
        <v>#N/A</v>
      </c>
      <c r="AC435" t="e">
        <f>VLOOKUP($Z435,'oddspedia-matches'!$A:$AD,AC$2,0)</f>
        <v>#N/A</v>
      </c>
      <c r="AD435" t="e">
        <f>VLOOKUP($Z435,'oddspedia-matches'!$A:$AD,AD$2,0)</f>
        <v>#N/A</v>
      </c>
      <c r="AE435" t="e">
        <f>VLOOKUP($Z435,'oddspedia-matches'!$A:$AD,AE$2,0)</f>
        <v>#N/A</v>
      </c>
      <c r="AF435" t="e">
        <f>VLOOKUP($Z435,'oddspedia-matches'!$A:$AD,AF$2,0)</f>
        <v>#N/A</v>
      </c>
      <c r="AG435" t="e">
        <f>VLOOKUP($Z435,'oddspedia-matches'!$A:$AD,AG$2,0)</f>
        <v>#N/A</v>
      </c>
      <c r="AH435" t="e">
        <f>VLOOKUP($Z435,'oddspedia-matches'!$A:$AD,AH$2,0)</f>
        <v>#N/A</v>
      </c>
      <c r="AI435" t="e">
        <f>VLOOKUP($Z435,'oddspedia-matches'!$A:$AD,AI$2,0)</f>
        <v>#N/A</v>
      </c>
      <c r="AJ435" t="e">
        <f>VLOOKUP($Z435,'oddspedia-matches'!$A:$AD,AJ$2,0)</f>
        <v>#N/A</v>
      </c>
      <c r="AK435" t="e">
        <f>VLOOKUP($Z435,'oddspedia-matches'!$A:$AD,AK$2,0)</f>
        <v>#N/A</v>
      </c>
      <c r="AL435" t="e">
        <f>VLOOKUP($Z435,'oddspedia-matches'!$A:$AD,AL$2,0)</f>
        <v>#N/A</v>
      </c>
      <c r="AM435" t="e">
        <f>VLOOKUP($Z435,'oddspedia-matches'!$A:$AD,AM$2,0)</f>
        <v>#N/A</v>
      </c>
      <c r="AN435" t="e">
        <f>VLOOKUP($Z435,'oddspedia-matches'!$A:$AD,AN$2,0)</f>
        <v>#N/A</v>
      </c>
      <c r="AO435" t="e">
        <f>VLOOKUP($Z435,'oddspedia-matches'!$A:$AD,AO$2,0)</f>
        <v>#N/A</v>
      </c>
      <c r="AP435" t="e">
        <f>VLOOKUP($Z435,'oddspedia-matches'!$A:$AD,AP$2,0)</f>
        <v>#N/A</v>
      </c>
      <c r="AQ435" t="e">
        <f>VLOOKUP($Z435,'oddspedia-matches'!$A:$AD,AQ$2,0)</f>
        <v>#N/A</v>
      </c>
    </row>
    <row r="436" spans="2:43" x14ac:dyDescent="0.2">
      <c r="B436" t="s">
        <v>1105</v>
      </c>
      <c r="C436" t="s">
        <v>930</v>
      </c>
      <c r="D436" s="25">
        <v>0.64583333333333337</v>
      </c>
      <c r="E436" t="s">
        <v>1135</v>
      </c>
      <c r="F436" t="s">
        <v>1136</v>
      </c>
      <c r="H436">
        <v>19.399999999999999</v>
      </c>
      <c r="I436">
        <v>56.9</v>
      </c>
      <c r="J436">
        <v>23.7</v>
      </c>
      <c r="K436">
        <v>76.3</v>
      </c>
      <c r="L436">
        <v>80.599999999999994</v>
      </c>
      <c r="M436">
        <v>43.1</v>
      </c>
      <c r="N436">
        <v>0</v>
      </c>
      <c r="O436">
        <v>82.8</v>
      </c>
      <c r="P436">
        <v>17.2</v>
      </c>
      <c r="Q436">
        <v>17.2</v>
      </c>
      <c r="R436">
        <v>16.5</v>
      </c>
      <c r="S436">
        <v>3.5</v>
      </c>
      <c r="T436">
        <v>96.5</v>
      </c>
      <c r="U436">
        <v>97.2</v>
      </c>
      <c r="V436">
        <v>9.5</v>
      </c>
      <c r="W436">
        <v>90.5</v>
      </c>
      <c r="X436">
        <f>VLOOKUP(E436,'Transform table'!A:B,2,0)</f>
        <v>0</v>
      </c>
      <c r="Y436" t="e">
        <f>VLOOKUP(F436,'Transform table'!A:B,2,0)</f>
        <v>#N/A</v>
      </c>
      <c r="Z436" t="e">
        <f t="shared" si="6"/>
        <v>#N/A</v>
      </c>
      <c r="AA436" t="e">
        <f>VLOOKUP($Z436,'oddspedia-matches'!$A:$AD,AA$2,0)</f>
        <v>#N/A</v>
      </c>
      <c r="AB436" t="e">
        <f>VLOOKUP($Z436,'oddspedia-matches'!$A:$AD,AB$2,0)</f>
        <v>#N/A</v>
      </c>
      <c r="AC436" t="e">
        <f>VLOOKUP($Z436,'oddspedia-matches'!$A:$AD,AC$2,0)</f>
        <v>#N/A</v>
      </c>
      <c r="AD436" t="e">
        <f>VLOOKUP($Z436,'oddspedia-matches'!$A:$AD,AD$2,0)</f>
        <v>#N/A</v>
      </c>
      <c r="AE436" t="e">
        <f>VLOOKUP($Z436,'oddspedia-matches'!$A:$AD,AE$2,0)</f>
        <v>#N/A</v>
      </c>
      <c r="AF436" t="e">
        <f>VLOOKUP($Z436,'oddspedia-matches'!$A:$AD,AF$2,0)</f>
        <v>#N/A</v>
      </c>
      <c r="AG436" t="e">
        <f>VLOOKUP($Z436,'oddspedia-matches'!$A:$AD,AG$2,0)</f>
        <v>#N/A</v>
      </c>
      <c r="AH436" t="e">
        <f>VLOOKUP($Z436,'oddspedia-matches'!$A:$AD,AH$2,0)</f>
        <v>#N/A</v>
      </c>
      <c r="AI436" t="e">
        <f>VLOOKUP($Z436,'oddspedia-matches'!$A:$AD,AI$2,0)</f>
        <v>#N/A</v>
      </c>
      <c r="AJ436" t="e">
        <f>VLOOKUP($Z436,'oddspedia-matches'!$A:$AD,AJ$2,0)</f>
        <v>#N/A</v>
      </c>
      <c r="AK436" t="e">
        <f>VLOOKUP($Z436,'oddspedia-matches'!$A:$AD,AK$2,0)</f>
        <v>#N/A</v>
      </c>
      <c r="AL436" t="e">
        <f>VLOOKUP($Z436,'oddspedia-matches'!$A:$AD,AL$2,0)</f>
        <v>#N/A</v>
      </c>
      <c r="AM436" t="e">
        <f>VLOOKUP($Z436,'oddspedia-matches'!$A:$AD,AM$2,0)</f>
        <v>#N/A</v>
      </c>
      <c r="AN436" t="e">
        <f>VLOOKUP($Z436,'oddspedia-matches'!$A:$AD,AN$2,0)</f>
        <v>#N/A</v>
      </c>
      <c r="AO436" t="e">
        <f>VLOOKUP($Z436,'oddspedia-matches'!$A:$AD,AO$2,0)</f>
        <v>#N/A</v>
      </c>
      <c r="AP436" t="e">
        <f>VLOOKUP($Z436,'oddspedia-matches'!$A:$AD,AP$2,0)</f>
        <v>#N/A</v>
      </c>
      <c r="AQ436" t="e">
        <f>VLOOKUP($Z436,'oddspedia-matches'!$A:$AD,AQ$2,0)</f>
        <v>#N/A</v>
      </c>
    </row>
    <row r="437" spans="2:43" x14ac:dyDescent="0.2">
      <c r="B437" t="s">
        <v>647</v>
      </c>
      <c r="C437" t="s">
        <v>930</v>
      </c>
      <c r="D437" s="25">
        <v>0.66666666666666663</v>
      </c>
      <c r="E437" t="s">
        <v>1137</v>
      </c>
      <c r="F437" t="s">
        <v>338</v>
      </c>
      <c r="H437">
        <v>58.5</v>
      </c>
      <c r="I437">
        <v>25.1</v>
      </c>
      <c r="J437">
        <v>16.399999999999999</v>
      </c>
      <c r="K437">
        <v>83.6</v>
      </c>
      <c r="L437">
        <v>41.5</v>
      </c>
      <c r="M437">
        <v>74.900000000000006</v>
      </c>
      <c r="N437">
        <v>40.1</v>
      </c>
      <c r="O437">
        <v>45.9</v>
      </c>
      <c r="P437">
        <v>14</v>
      </c>
      <c r="Q437">
        <v>63.1</v>
      </c>
      <c r="R437">
        <v>76.2</v>
      </c>
      <c r="S437">
        <v>50.6</v>
      </c>
      <c r="T437">
        <v>49.4</v>
      </c>
      <c r="U437">
        <v>57.1</v>
      </c>
      <c r="V437">
        <v>49.9</v>
      </c>
      <c r="W437">
        <v>50.1</v>
      </c>
      <c r="X437" t="str">
        <f>VLOOKUP(E437,'Transform table'!A:B,2,0)</f>
        <v>Gimnasia Jujuy</v>
      </c>
      <c r="Y437" t="e">
        <f>VLOOKUP(F437,'Transform table'!A:B,2,0)</f>
        <v>#N/A</v>
      </c>
      <c r="Z437" t="e">
        <f t="shared" si="6"/>
        <v>#N/A</v>
      </c>
      <c r="AA437" t="e">
        <f>VLOOKUP($Z437,'oddspedia-matches'!$A:$AD,AA$2,0)</f>
        <v>#N/A</v>
      </c>
      <c r="AB437" t="e">
        <f>VLOOKUP($Z437,'oddspedia-matches'!$A:$AD,AB$2,0)</f>
        <v>#N/A</v>
      </c>
      <c r="AC437" t="e">
        <f>VLOOKUP($Z437,'oddspedia-matches'!$A:$AD,AC$2,0)</f>
        <v>#N/A</v>
      </c>
      <c r="AD437" t="e">
        <f>VLOOKUP($Z437,'oddspedia-matches'!$A:$AD,AD$2,0)</f>
        <v>#N/A</v>
      </c>
      <c r="AE437" t="e">
        <f>VLOOKUP($Z437,'oddspedia-matches'!$A:$AD,AE$2,0)</f>
        <v>#N/A</v>
      </c>
      <c r="AF437" t="e">
        <f>VLOOKUP($Z437,'oddspedia-matches'!$A:$AD,AF$2,0)</f>
        <v>#N/A</v>
      </c>
      <c r="AG437" t="e">
        <f>VLOOKUP($Z437,'oddspedia-matches'!$A:$AD,AG$2,0)</f>
        <v>#N/A</v>
      </c>
      <c r="AH437" t="e">
        <f>VLOOKUP($Z437,'oddspedia-matches'!$A:$AD,AH$2,0)</f>
        <v>#N/A</v>
      </c>
      <c r="AI437" t="e">
        <f>VLOOKUP($Z437,'oddspedia-matches'!$A:$AD,AI$2,0)</f>
        <v>#N/A</v>
      </c>
      <c r="AJ437" t="e">
        <f>VLOOKUP($Z437,'oddspedia-matches'!$A:$AD,AJ$2,0)</f>
        <v>#N/A</v>
      </c>
      <c r="AK437" t="e">
        <f>VLOOKUP($Z437,'oddspedia-matches'!$A:$AD,AK$2,0)</f>
        <v>#N/A</v>
      </c>
      <c r="AL437" t="e">
        <f>VLOOKUP($Z437,'oddspedia-matches'!$A:$AD,AL$2,0)</f>
        <v>#N/A</v>
      </c>
      <c r="AM437" t="e">
        <f>VLOOKUP($Z437,'oddspedia-matches'!$A:$AD,AM$2,0)</f>
        <v>#N/A</v>
      </c>
      <c r="AN437" t="e">
        <f>VLOOKUP($Z437,'oddspedia-matches'!$A:$AD,AN$2,0)</f>
        <v>#N/A</v>
      </c>
      <c r="AO437" t="e">
        <f>VLOOKUP($Z437,'oddspedia-matches'!$A:$AD,AO$2,0)</f>
        <v>#N/A</v>
      </c>
      <c r="AP437" t="e">
        <f>VLOOKUP($Z437,'oddspedia-matches'!$A:$AD,AP$2,0)</f>
        <v>#N/A</v>
      </c>
      <c r="AQ437" t="e">
        <f>VLOOKUP($Z437,'oddspedia-matches'!$A:$AD,AQ$2,0)</f>
        <v>#N/A</v>
      </c>
    </row>
    <row r="438" spans="2:43" x14ac:dyDescent="0.2">
      <c r="B438" t="s">
        <v>647</v>
      </c>
      <c r="C438" t="s">
        <v>930</v>
      </c>
      <c r="D438" s="25">
        <v>0.66666666666666663</v>
      </c>
      <c r="E438" t="s">
        <v>701</v>
      </c>
      <c r="F438" t="s">
        <v>1138</v>
      </c>
      <c r="H438">
        <v>45.2</v>
      </c>
      <c r="I438">
        <v>35</v>
      </c>
      <c r="J438">
        <v>19.8</v>
      </c>
      <c r="K438">
        <v>80.2</v>
      </c>
      <c r="L438">
        <v>54.8</v>
      </c>
      <c r="M438">
        <v>65</v>
      </c>
      <c r="N438">
        <v>26.3</v>
      </c>
      <c r="O438">
        <v>56.3</v>
      </c>
      <c r="P438">
        <v>17.399999999999999</v>
      </c>
      <c r="Q438">
        <v>50.5</v>
      </c>
      <c r="R438">
        <v>51</v>
      </c>
      <c r="S438">
        <v>23.5</v>
      </c>
      <c r="T438">
        <v>76.5</v>
      </c>
      <c r="U438">
        <v>81</v>
      </c>
      <c r="V438">
        <v>31</v>
      </c>
      <c r="W438">
        <v>69</v>
      </c>
      <c r="X438" t="str">
        <f>VLOOKUP(E438,'Transform table'!A:B,2,0)</f>
        <v>Ferrocarril Midland</v>
      </c>
      <c r="Y438" t="e">
        <f>VLOOKUP(F438,'Transform table'!A:B,2,0)</f>
        <v>#N/A</v>
      </c>
      <c r="Z438" t="e">
        <f t="shared" si="6"/>
        <v>#N/A</v>
      </c>
      <c r="AA438" t="e">
        <f>VLOOKUP($Z438,'oddspedia-matches'!$A:$AD,AA$2,0)</f>
        <v>#N/A</v>
      </c>
      <c r="AB438" t="e">
        <f>VLOOKUP($Z438,'oddspedia-matches'!$A:$AD,AB$2,0)</f>
        <v>#N/A</v>
      </c>
      <c r="AC438" t="e">
        <f>VLOOKUP($Z438,'oddspedia-matches'!$A:$AD,AC$2,0)</f>
        <v>#N/A</v>
      </c>
      <c r="AD438" t="e">
        <f>VLOOKUP($Z438,'oddspedia-matches'!$A:$AD,AD$2,0)</f>
        <v>#N/A</v>
      </c>
      <c r="AE438" t="e">
        <f>VLOOKUP($Z438,'oddspedia-matches'!$A:$AD,AE$2,0)</f>
        <v>#N/A</v>
      </c>
      <c r="AF438" t="e">
        <f>VLOOKUP($Z438,'oddspedia-matches'!$A:$AD,AF$2,0)</f>
        <v>#N/A</v>
      </c>
      <c r="AG438" t="e">
        <f>VLOOKUP($Z438,'oddspedia-matches'!$A:$AD,AG$2,0)</f>
        <v>#N/A</v>
      </c>
      <c r="AH438" t="e">
        <f>VLOOKUP($Z438,'oddspedia-matches'!$A:$AD,AH$2,0)</f>
        <v>#N/A</v>
      </c>
      <c r="AI438" t="e">
        <f>VLOOKUP($Z438,'oddspedia-matches'!$A:$AD,AI$2,0)</f>
        <v>#N/A</v>
      </c>
      <c r="AJ438" t="e">
        <f>VLOOKUP($Z438,'oddspedia-matches'!$A:$AD,AJ$2,0)</f>
        <v>#N/A</v>
      </c>
      <c r="AK438" t="e">
        <f>VLOOKUP($Z438,'oddspedia-matches'!$A:$AD,AK$2,0)</f>
        <v>#N/A</v>
      </c>
      <c r="AL438" t="e">
        <f>VLOOKUP($Z438,'oddspedia-matches'!$A:$AD,AL$2,0)</f>
        <v>#N/A</v>
      </c>
      <c r="AM438" t="e">
        <f>VLOOKUP($Z438,'oddspedia-matches'!$A:$AD,AM$2,0)</f>
        <v>#N/A</v>
      </c>
      <c r="AN438" t="e">
        <f>VLOOKUP($Z438,'oddspedia-matches'!$A:$AD,AN$2,0)</f>
        <v>#N/A</v>
      </c>
      <c r="AO438" t="e">
        <f>VLOOKUP($Z438,'oddspedia-matches'!$A:$AD,AO$2,0)</f>
        <v>#N/A</v>
      </c>
      <c r="AP438" t="e">
        <f>VLOOKUP($Z438,'oddspedia-matches'!$A:$AD,AP$2,0)</f>
        <v>#N/A</v>
      </c>
      <c r="AQ438" t="e">
        <f>VLOOKUP($Z438,'oddspedia-matches'!$A:$AD,AQ$2,0)</f>
        <v>#N/A</v>
      </c>
    </row>
    <row r="439" spans="2:43" x14ac:dyDescent="0.2">
      <c r="B439" t="s">
        <v>647</v>
      </c>
      <c r="C439" t="s">
        <v>930</v>
      </c>
      <c r="D439" s="25">
        <v>0.66666666666666663</v>
      </c>
      <c r="E439" t="s">
        <v>1139</v>
      </c>
      <c r="F439" t="s">
        <v>1140</v>
      </c>
      <c r="H439">
        <v>32.700000000000003</v>
      </c>
      <c r="I439">
        <v>36.1</v>
      </c>
      <c r="J439">
        <v>31.2</v>
      </c>
      <c r="K439">
        <v>68.8</v>
      </c>
      <c r="L439">
        <v>67.3</v>
      </c>
      <c r="M439">
        <v>63.9</v>
      </c>
      <c r="N439">
        <v>13.8</v>
      </c>
      <c r="O439">
        <v>55.4</v>
      </c>
      <c r="P439">
        <v>30.9</v>
      </c>
      <c r="Q439">
        <v>51.3</v>
      </c>
      <c r="R439">
        <v>53.6</v>
      </c>
      <c r="S439">
        <v>25.7</v>
      </c>
      <c r="T439">
        <v>74.3</v>
      </c>
      <c r="U439">
        <v>78.2</v>
      </c>
      <c r="V439">
        <v>35.4</v>
      </c>
      <c r="W439">
        <v>64.599999999999994</v>
      </c>
      <c r="X439">
        <f>VLOOKUP(E439,'Transform table'!A:B,2,0)</f>
        <v>0</v>
      </c>
      <c r="Y439" t="e">
        <f>VLOOKUP(F439,'Transform table'!A:B,2,0)</f>
        <v>#N/A</v>
      </c>
      <c r="Z439" t="e">
        <f t="shared" si="6"/>
        <v>#N/A</v>
      </c>
      <c r="AA439" t="e">
        <f>VLOOKUP($Z439,'oddspedia-matches'!$A:$AD,AA$2,0)</f>
        <v>#N/A</v>
      </c>
      <c r="AB439" t="e">
        <f>VLOOKUP($Z439,'oddspedia-matches'!$A:$AD,AB$2,0)</f>
        <v>#N/A</v>
      </c>
      <c r="AC439" t="e">
        <f>VLOOKUP($Z439,'oddspedia-matches'!$A:$AD,AC$2,0)</f>
        <v>#N/A</v>
      </c>
      <c r="AD439" t="e">
        <f>VLOOKUP($Z439,'oddspedia-matches'!$A:$AD,AD$2,0)</f>
        <v>#N/A</v>
      </c>
      <c r="AE439" t="e">
        <f>VLOOKUP($Z439,'oddspedia-matches'!$A:$AD,AE$2,0)</f>
        <v>#N/A</v>
      </c>
      <c r="AF439" t="e">
        <f>VLOOKUP($Z439,'oddspedia-matches'!$A:$AD,AF$2,0)</f>
        <v>#N/A</v>
      </c>
      <c r="AG439" t="e">
        <f>VLOOKUP($Z439,'oddspedia-matches'!$A:$AD,AG$2,0)</f>
        <v>#N/A</v>
      </c>
      <c r="AH439" t="e">
        <f>VLOOKUP($Z439,'oddspedia-matches'!$A:$AD,AH$2,0)</f>
        <v>#N/A</v>
      </c>
      <c r="AI439" t="e">
        <f>VLOOKUP($Z439,'oddspedia-matches'!$A:$AD,AI$2,0)</f>
        <v>#N/A</v>
      </c>
      <c r="AJ439" t="e">
        <f>VLOOKUP($Z439,'oddspedia-matches'!$A:$AD,AJ$2,0)</f>
        <v>#N/A</v>
      </c>
      <c r="AK439" t="e">
        <f>VLOOKUP($Z439,'oddspedia-matches'!$A:$AD,AK$2,0)</f>
        <v>#N/A</v>
      </c>
      <c r="AL439" t="e">
        <f>VLOOKUP($Z439,'oddspedia-matches'!$A:$AD,AL$2,0)</f>
        <v>#N/A</v>
      </c>
      <c r="AM439" t="e">
        <f>VLOOKUP($Z439,'oddspedia-matches'!$A:$AD,AM$2,0)</f>
        <v>#N/A</v>
      </c>
      <c r="AN439" t="e">
        <f>VLOOKUP($Z439,'oddspedia-matches'!$A:$AD,AN$2,0)</f>
        <v>#N/A</v>
      </c>
      <c r="AO439" t="e">
        <f>VLOOKUP($Z439,'oddspedia-matches'!$A:$AD,AO$2,0)</f>
        <v>#N/A</v>
      </c>
      <c r="AP439" t="e">
        <f>VLOOKUP($Z439,'oddspedia-matches'!$A:$AD,AP$2,0)</f>
        <v>#N/A</v>
      </c>
      <c r="AQ439" t="e">
        <f>VLOOKUP($Z439,'oddspedia-matches'!$A:$AD,AQ$2,0)</f>
        <v>#N/A</v>
      </c>
    </row>
    <row r="440" spans="2:43" x14ac:dyDescent="0.2">
      <c r="B440" t="s">
        <v>647</v>
      </c>
      <c r="C440" t="s">
        <v>930</v>
      </c>
      <c r="D440" s="25">
        <v>0.66666666666666663</v>
      </c>
      <c r="E440" t="s">
        <v>327</v>
      </c>
      <c r="F440" t="s">
        <v>1141</v>
      </c>
      <c r="H440">
        <v>42.7</v>
      </c>
      <c r="I440">
        <v>35</v>
      </c>
      <c r="J440">
        <v>22.3</v>
      </c>
      <c r="K440">
        <v>77.7</v>
      </c>
      <c r="L440">
        <v>57.3</v>
      </c>
      <c r="M440">
        <v>65</v>
      </c>
      <c r="N440">
        <v>29.1</v>
      </c>
      <c r="O440">
        <v>57</v>
      </c>
      <c r="P440">
        <v>13.9</v>
      </c>
      <c r="Q440">
        <v>49</v>
      </c>
      <c r="R440">
        <v>52.7</v>
      </c>
      <c r="S440">
        <v>24.9</v>
      </c>
      <c r="T440">
        <v>75.099999999999994</v>
      </c>
      <c r="U440">
        <v>79.400000000000006</v>
      </c>
      <c r="V440">
        <v>33.200000000000003</v>
      </c>
      <c r="W440">
        <v>66.8</v>
      </c>
      <c r="X440" t="str">
        <f>VLOOKUP(E440,'Transform table'!A:B,2,0)</f>
        <v>Quilmes</v>
      </c>
      <c r="Y440" t="e">
        <f>VLOOKUP(F440,'Transform table'!A:B,2,0)</f>
        <v>#N/A</v>
      </c>
      <c r="Z440" t="e">
        <f t="shared" si="6"/>
        <v>#N/A</v>
      </c>
      <c r="AA440" t="e">
        <f>VLOOKUP($Z440,'oddspedia-matches'!$A:$AD,AA$2,0)</f>
        <v>#N/A</v>
      </c>
      <c r="AB440" t="e">
        <f>VLOOKUP($Z440,'oddspedia-matches'!$A:$AD,AB$2,0)</f>
        <v>#N/A</v>
      </c>
      <c r="AC440" t="e">
        <f>VLOOKUP($Z440,'oddspedia-matches'!$A:$AD,AC$2,0)</f>
        <v>#N/A</v>
      </c>
      <c r="AD440" t="e">
        <f>VLOOKUP($Z440,'oddspedia-matches'!$A:$AD,AD$2,0)</f>
        <v>#N/A</v>
      </c>
      <c r="AE440" t="e">
        <f>VLOOKUP($Z440,'oddspedia-matches'!$A:$AD,AE$2,0)</f>
        <v>#N/A</v>
      </c>
      <c r="AF440" t="e">
        <f>VLOOKUP($Z440,'oddspedia-matches'!$A:$AD,AF$2,0)</f>
        <v>#N/A</v>
      </c>
      <c r="AG440" t="e">
        <f>VLOOKUP($Z440,'oddspedia-matches'!$A:$AD,AG$2,0)</f>
        <v>#N/A</v>
      </c>
      <c r="AH440" t="e">
        <f>VLOOKUP($Z440,'oddspedia-matches'!$A:$AD,AH$2,0)</f>
        <v>#N/A</v>
      </c>
      <c r="AI440" t="e">
        <f>VLOOKUP($Z440,'oddspedia-matches'!$A:$AD,AI$2,0)</f>
        <v>#N/A</v>
      </c>
      <c r="AJ440" t="e">
        <f>VLOOKUP($Z440,'oddspedia-matches'!$A:$AD,AJ$2,0)</f>
        <v>#N/A</v>
      </c>
      <c r="AK440" t="e">
        <f>VLOOKUP($Z440,'oddspedia-matches'!$A:$AD,AK$2,0)</f>
        <v>#N/A</v>
      </c>
      <c r="AL440" t="e">
        <f>VLOOKUP($Z440,'oddspedia-matches'!$A:$AD,AL$2,0)</f>
        <v>#N/A</v>
      </c>
      <c r="AM440" t="e">
        <f>VLOOKUP($Z440,'oddspedia-matches'!$A:$AD,AM$2,0)</f>
        <v>#N/A</v>
      </c>
      <c r="AN440" t="e">
        <f>VLOOKUP($Z440,'oddspedia-matches'!$A:$AD,AN$2,0)</f>
        <v>#N/A</v>
      </c>
      <c r="AO440" t="e">
        <f>VLOOKUP($Z440,'oddspedia-matches'!$A:$AD,AO$2,0)</f>
        <v>#N/A</v>
      </c>
      <c r="AP440" t="e">
        <f>VLOOKUP($Z440,'oddspedia-matches'!$A:$AD,AP$2,0)</f>
        <v>#N/A</v>
      </c>
      <c r="AQ440" t="e">
        <f>VLOOKUP($Z440,'oddspedia-matches'!$A:$AD,AQ$2,0)</f>
        <v>#N/A</v>
      </c>
    </row>
    <row r="441" spans="2:43" x14ac:dyDescent="0.2">
      <c r="B441" t="s">
        <v>647</v>
      </c>
      <c r="C441" t="s">
        <v>930</v>
      </c>
      <c r="D441" s="25">
        <v>0.66666666666666663</v>
      </c>
      <c r="E441" t="s">
        <v>1142</v>
      </c>
      <c r="F441" t="s">
        <v>336</v>
      </c>
      <c r="H441">
        <v>41.1</v>
      </c>
      <c r="I441">
        <v>33.1</v>
      </c>
      <c r="J441">
        <v>25.9</v>
      </c>
      <c r="K441">
        <v>74.099999999999994</v>
      </c>
      <c r="L441">
        <v>58.9</v>
      </c>
      <c r="M441">
        <v>66.900000000000006</v>
      </c>
      <c r="N441">
        <v>31.2</v>
      </c>
      <c r="O441">
        <v>48.9</v>
      </c>
      <c r="P441">
        <v>19.899999999999999</v>
      </c>
      <c r="Q441">
        <v>61</v>
      </c>
      <c r="R441">
        <v>59.9</v>
      </c>
      <c r="S441">
        <v>31.5</v>
      </c>
      <c r="T441">
        <v>68.5</v>
      </c>
      <c r="U441">
        <v>73.2</v>
      </c>
      <c r="V441">
        <v>39.799999999999997</v>
      </c>
      <c r="W441">
        <v>60.2</v>
      </c>
      <c r="X441">
        <f>VLOOKUP(E441,'Transform table'!A:B,2,0)</f>
        <v>0</v>
      </c>
      <c r="Y441" t="e">
        <f>VLOOKUP(F441,'Transform table'!A:B,2,0)</f>
        <v>#N/A</v>
      </c>
      <c r="Z441" t="e">
        <f t="shared" si="6"/>
        <v>#N/A</v>
      </c>
      <c r="AA441" t="e">
        <f>VLOOKUP($Z441,'oddspedia-matches'!$A:$AD,AA$2,0)</f>
        <v>#N/A</v>
      </c>
      <c r="AB441" t="e">
        <f>VLOOKUP($Z441,'oddspedia-matches'!$A:$AD,AB$2,0)</f>
        <v>#N/A</v>
      </c>
      <c r="AC441" t="e">
        <f>VLOOKUP($Z441,'oddspedia-matches'!$A:$AD,AC$2,0)</f>
        <v>#N/A</v>
      </c>
      <c r="AD441" t="e">
        <f>VLOOKUP($Z441,'oddspedia-matches'!$A:$AD,AD$2,0)</f>
        <v>#N/A</v>
      </c>
      <c r="AE441" t="e">
        <f>VLOOKUP($Z441,'oddspedia-matches'!$A:$AD,AE$2,0)</f>
        <v>#N/A</v>
      </c>
      <c r="AF441" t="e">
        <f>VLOOKUP($Z441,'oddspedia-matches'!$A:$AD,AF$2,0)</f>
        <v>#N/A</v>
      </c>
      <c r="AG441" t="e">
        <f>VLOOKUP($Z441,'oddspedia-matches'!$A:$AD,AG$2,0)</f>
        <v>#N/A</v>
      </c>
      <c r="AH441" t="e">
        <f>VLOOKUP($Z441,'oddspedia-matches'!$A:$AD,AH$2,0)</f>
        <v>#N/A</v>
      </c>
      <c r="AI441" t="e">
        <f>VLOOKUP($Z441,'oddspedia-matches'!$A:$AD,AI$2,0)</f>
        <v>#N/A</v>
      </c>
      <c r="AJ441" t="e">
        <f>VLOOKUP($Z441,'oddspedia-matches'!$A:$AD,AJ$2,0)</f>
        <v>#N/A</v>
      </c>
      <c r="AK441" t="e">
        <f>VLOOKUP($Z441,'oddspedia-matches'!$A:$AD,AK$2,0)</f>
        <v>#N/A</v>
      </c>
      <c r="AL441" t="e">
        <f>VLOOKUP($Z441,'oddspedia-matches'!$A:$AD,AL$2,0)</f>
        <v>#N/A</v>
      </c>
      <c r="AM441" t="e">
        <f>VLOOKUP($Z441,'oddspedia-matches'!$A:$AD,AM$2,0)</f>
        <v>#N/A</v>
      </c>
      <c r="AN441" t="e">
        <f>VLOOKUP($Z441,'oddspedia-matches'!$A:$AD,AN$2,0)</f>
        <v>#N/A</v>
      </c>
      <c r="AO441" t="e">
        <f>VLOOKUP($Z441,'oddspedia-matches'!$A:$AD,AO$2,0)</f>
        <v>#N/A</v>
      </c>
      <c r="AP441" t="e">
        <f>VLOOKUP($Z441,'oddspedia-matches'!$A:$AD,AP$2,0)</f>
        <v>#N/A</v>
      </c>
      <c r="AQ441" t="e">
        <f>VLOOKUP($Z441,'oddspedia-matches'!$A:$AD,AQ$2,0)</f>
        <v>#N/A</v>
      </c>
    </row>
    <row r="442" spans="2:43" x14ac:dyDescent="0.2">
      <c r="B442" t="s">
        <v>457</v>
      </c>
      <c r="C442" t="s">
        <v>930</v>
      </c>
      <c r="D442" s="25">
        <v>0.66666666666666663</v>
      </c>
      <c r="E442" t="s">
        <v>266</v>
      </c>
      <c r="F442" t="s">
        <v>1143</v>
      </c>
      <c r="H442">
        <v>57.5</v>
      </c>
      <c r="I442">
        <v>25.1</v>
      </c>
      <c r="J442">
        <v>17.399999999999999</v>
      </c>
      <c r="K442">
        <v>82.6</v>
      </c>
      <c r="L442">
        <v>42.5</v>
      </c>
      <c r="M442">
        <v>74.900000000000006</v>
      </c>
      <c r="N442">
        <v>32.799999999999997</v>
      </c>
      <c r="O442">
        <v>54</v>
      </c>
      <c r="P442">
        <v>13.2</v>
      </c>
      <c r="Q442">
        <v>52.5</v>
      </c>
      <c r="R442">
        <v>77.3</v>
      </c>
      <c r="S442">
        <v>52.1</v>
      </c>
      <c r="T442">
        <v>47.9</v>
      </c>
      <c r="U442">
        <v>55.4</v>
      </c>
      <c r="V442">
        <v>51.8</v>
      </c>
      <c r="W442">
        <v>48.2</v>
      </c>
      <c r="X442" t="str">
        <f>VLOOKUP(E442,'Transform table'!A:B,2,0)</f>
        <v>Nacional Potosi</v>
      </c>
      <c r="Y442" t="e">
        <f>VLOOKUP(F442,'Transform table'!A:B,2,0)</f>
        <v>#N/A</v>
      </c>
      <c r="Z442" t="e">
        <f t="shared" si="6"/>
        <v>#N/A</v>
      </c>
      <c r="AA442" t="e">
        <f>VLOOKUP($Z442,'oddspedia-matches'!$A:$AD,AA$2,0)</f>
        <v>#N/A</v>
      </c>
      <c r="AB442" t="e">
        <f>VLOOKUP($Z442,'oddspedia-matches'!$A:$AD,AB$2,0)</f>
        <v>#N/A</v>
      </c>
      <c r="AC442" t="e">
        <f>VLOOKUP($Z442,'oddspedia-matches'!$A:$AD,AC$2,0)</f>
        <v>#N/A</v>
      </c>
      <c r="AD442" t="e">
        <f>VLOOKUP($Z442,'oddspedia-matches'!$A:$AD,AD$2,0)</f>
        <v>#N/A</v>
      </c>
      <c r="AE442" t="e">
        <f>VLOOKUP($Z442,'oddspedia-matches'!$A:$AD,AE$2,0)</f>
        <v>#N/A</v>
      </c>
      <c r="AF442" t="e">
        <f>VLOOKUP($Z442,'oddspedia-matches'!$A:$AD,AF$2,0)</f>
        <v>#N/A</v>
      </c>
      <c r="AG442" t="e">
        <f>VLOOKUP($Z442,'oddspedia-matches'!$A:$AD,AG$2,0)</f>
        <v>#N/A</v>
      </c>
      <c r="AH442" t="e">
        <f>VLOOKUP($Z442,'oddspedia-matches'!$A:$AD,AH$2,0)</f>
        <v>#N/A</v>
      </c>
      <c r="AI442" t="e">
        <f>VLOOKUP($Z442,'oddspedia-matches'!$A:$AD,AI$2,0)</f>
        <v>#N/A</v>
      </c>
      <c r="AJ442" t="e">
        <f>VLOOKUP($Z442,'oddspedia-matches'!$A:$AD,AJ$2,0)</f>
        <v>#N/A</v>
      </c>
      <c r="AK442" t="e">
        <f>VLOOKUP($Z442,'oddspedia-matches'!$A:$AD,AK$2,0)</f>
        <v>#N/A</v>
      </c>
      <c r="AL442" t="e">
        <f>VLOOKUP($Z442,'oddspedia-matches'!$A:$AD,AL$2,0)</f>
        <v>#N/A</v>
      </c>
      <c r="AM442" t="e">
        <f>VLOOKUP($Z442,'oddspedia-matches'!$A:$AD,AM$2,0)</f>
        <v>#N/A</v>
      </c>
      <c r="AN442" t="e">
        <f>VLOOKUP($Z442,'oddspedia-matches'!$A:$AD,AN$2,0)</f>
        <v>#N/A</v>
      </c>
      <c r="AO442" t="e">
        <f>VLOOKUP($Z442,'oddspedia-matches'!$A:$AD,AO$2,0)</f>
        <v>#N/A</v>
      </c>
      <c r="AP442" t="e">
        <f>VLOOKUP($Z442,'oddspedia-matches'!$A:$AD,AP$2,0)</f>
        <v>#N/A</v>
      </c>
      <c r="AQ442" t="e">
        <f>VLOOKUP($Z442,'oddspedia-matches'!$A:$AD,AQ$2,0)</f>
        <v>#N/A</v>
      </c>
    </row>
    <row r="443" spans="2:43" x14ac:dyDescent="0.2">
      <c r="B443" t="s">
        <v>454</v>
      </c>
      <c r="C443" t="s">
        <v>930</v>
      </c>
      <c r="D443" s="25">
        <v>0.66666666666666663</v>
      </c>
      <c r="E443" t="s">
        <v>231</v>
      </c>
      <c r="F443" t="s">
        <v>110</v>
      </c>
      <c r="H443">
        <v>43.8</v>
      </c>
      <c r="I443">
        <v>29.5</v>
      </c>
      <c r="J443">
        <v>26.8</v>
      </c>
      <c r="K443">
        <v>73.2</v>
      </c>
      <c r="L443">
        <v>56.2</v>
      </c>
      <c r="M443">
        <v>70.5</v>
      </c>
      <c r="N443">
        <v>38.299999999999997</v>
      </c>
      <c r="O443">
        <v>40</v>
      </c>
      <c r="P443">
        <v>21.7</v>
      </c>
      <c r="Q443">
        <v>74.099999999999994</v>
      </c>
      <c r="R443">
        <v>71</v>
      </c>
      <c r="S443">
        <v>43.8</v>
      </c>
      <c r="T443">
        <v>56.2</v>
      </c>
      <c r="U443">
        <v>61.9</v>
      </c>
      <c r="V443">
        <v>49.8</v>
      </c>
      <c r="W443">
        <v>50.2</v>
      </c>
      <c r="X443" t="str">
        <f>VLOOKUP(E443,'Transform table'!A:B,2,0)</f>
        <v>Bahia</v>
      </c>
      <c r="Y443" t="str">
        <f>VLOOKUP(F443,'Transform table'!A:B,2,0)</f>
        <v>Corinthians</v>
      </c>
      <c r="Z443" t="str">
        <f t="shared" si="6"/>
        <v>26/07/2026BahiaCorinthians</v>
      </c>
      <c r="AA443" t="e">
        <f>VLOOKUP($Z443,'oddspedia-matches'!$A:$AD,AA$2,0)</f>
        <v>#N/A</v>
      </c>
      <c r="AB443" t="e">
        <f>VLOOKUP($Z443,'oddspedia-matches'!$A:$AD,AB$2,0)</f>
        <v>#N/A</v>
      </c>
      <c r="AC443" t="e">
        <f>VLOOKUP($Z443,'oddspedia-matches'!$A:$AD,AC$2,0)</f>
        <v>#N/A</v>
      </c>
      <c r="AD443" t="e">
        <f>VLOOKUP($Z443,'oddspedia-matches'!$A:$AD,AD$2,0)</f>
        <v>#N/A</v>
      </c>
      <c r="AE443" t="e">
        <f>VLOOKUP($Z443,'oddspedia-matches'!$A:$AD,AE$2,0)</f>
        <v>#N/A</v>
      </c>
      <c r="AF443" t="e">
        <f>VLOOKUP($Z443,'oddspedia-matches'!$A:$AD,AF$2,0)</f>
        <v>#N/A</v>
      </c>
      <c r="AG443" t="e">
        <f>VLOOKUP($Z443,'oddspedia-matches'!$A:$AD,AG$2,0)</f>
        <v>#N/A</v>
      </c>
      <c r="AH443" t="e">
        <f>VLOOKUP($Z443,'oddspedia-matches'!$A:$AD,AH$2,0)</f>
        <v>#N/A</v>
      </c>
      <c r="AI443" t="e">
        <f>VLOOKUP($Z443,'oddspedia-matches'!$A:$AD,AI$2,0)</f>
        <v>#N/A</v>
      </c>
      <c r="AJ443" t="e">
        <f>VLOOKUP($Z443,'oddspedia-matches'!$A:$AD,AJ$2,0)</f>
        <v>#N/A</v>
      </c>
      <c r="AK443" t="e">
        <f>VLOOKUP($Z443,'oddspedia-matches'!$A:$AD,AK$2,0)</f>
        <v>#N/A</v>
      </c>
      <c r="AL443" t="e">
        <f>VLOOKUP($Z443,'oddspedia-matches'!$A:$AD,AL$2,0)</f>
        <v>#N/A</v>
      </c>
      <c r="AM443" t="e">
        <f>VLOOKUP($Z443,'oddspedia-matches'!$A:$AD,AM$2,0)</f>
        <v>#N/A</v>
      </c>
      <c r="AN443" t="e">
        <f>VLOOKUP($Z443,'oddspedia-matches'!$A:$AD,AN$2,0)</f>
        <v>#N/A</v>
      </c>
      <c r="AO443" t="e">
        <f>VLOOKUP($Z443,'oddspedia-matches'!$A:$AD,AO$2,0)</f>
        <v>#N/A</v>
      </c>
      <c r="AP443" t="e">
        <f>VLOOKUP($Z443,'oddspedia-matches'!$A:$AD,AP$2,0)</f>
        <v>#N/A</v>
      </c>
      <c r="AQ443" t="e">
        <f>VLOOKUP($Z443,'oddspedia-matches'!$A:$AD,AQ$2,0)</f>
        <v>#N/A</v>
      </c>
    </row>
    <row r="444" spans="2:43" x14ac:dyDescent="0.2">
      <c r="B444" t="s">
        <v>454</v>
      </c>
      <c r="C444" t="s">
        <v>930</v>
      </c>
      <c r="D444" s="25">
        <v>0.66666666666666663</v>
      </c>
      <c r="E444" t="s">
        <v>68</v>
      </c>
      <c r="F444" t="s">
        <v>108</v>
      </c>
      <c r="H444">
        <v>42.3</v>
      </c>
      <c r="I444">
        <v>26.6</v>
      </c>
      <c r="J444">
        <v>31.1</v>
      </c>
      <c r="K444">
        <v>68.900000000000006</v>
      </c>
      <c r="L444">
        <v>57.7</v>
      </c>
      <c r="M444">
        <v>73.400000000000006</v>
      </c>
      <c r="N444">
        <v>33.799999999999997</v>
      </c>
      <c r="O444">
        <v>40.5</v>
      </c>
      <c r="P444">
        <v>25.7</v>
      </c>
      <c r="Q444">
        <v>74.099999999999994</v>
      </c>
      <c r="R444">
        <v>83</v>
      </c>
      <c r="S444">
        <v>60.5</v>
      </c>
      <c r="T444">
        <v>39.5</v>
      </c>
      <c r="U444">
        <v>45.2</v>
      </c>
      <c r="V444">
        <v>63.5</v>
      </c>
      <c r="W444">
        <v>36.5</v>
      </c>
      <c r="X444" t="str">
        <f>VLOOKUP(E444,'Transform table'!A:B,2,0)</f>
        <v>Cruzeiro</v>
      </c>
      <c r="Y444" t="str">
        <f>VLOOKUP(F444,'Transform table'!A:B,2,0)</f>
        <v>Botafogo RJ</v>
      </c>
      <c r="Z444" t="str">
        <f t="shared" si="6"/>
        <v>26/07/2026CruzeiroBotafogo RJ</v>
      </c>
      <c r="AA444" t="e">
        <f>VLOOKUP($Z444,'oddspedia-matches'!$A:$AD,AA$2,0)</f>
        <v>#N/A</v>
      </c>
      <c r="AB444" t="e">
        <f>VLOOKUP($Z444,'oddspedia-matches'!$A:$AD,AB$2,0)</f>
        <v>#N/A</v>
      </c>
      <c r="AC444" t="e">
        <f>VLOOKUP($Z444,'oddspedia-matches'!$A:$AD,AC$2,0)</f>
        <v>#N/A</v>
      </c>
      <c r="AD444" t="e">
        <f>VLOOKUP($Z444,'oddspedia-matches'!$A:$AD,AD$2,0)</f>
        <v>#N/A</v>
      </c>
      <c r="AE444" t="e">
        <f>VLOOKUP($Z444,'oddspedia-matches'!$A:$AD,AE$2,0)</f>
        <v>#N/A</v>
      </c>
      <c r="AF444" t="e">
        <f>VLOOKUP($Z444,'oddspedia-matches'!$A:$AD,AF$2,0)</f>
        <v>#N/A</v>
      </c>
      <c r="AG444" t="e">
        <f>VLOOKUP($Z444,'oddspedia-matches'!$A:$AD,AG$2,0)</f>
        <v>#N/A</v>
      </c>
      <c r="AH444" t="e">
        <f>VLOOKUP($Z444,'oddspedia-matches'!$A:$AD,AH$2,0)</f>
        <v>#N/A</v>
      </c>
      <c r="AI444" t="e">
        <f>VLOOKUP($Z444,'oddspedia-matches'!$A:$AD,AI$2,0)</f>
        <v>#N/A</v>
      </c>
      <c r="AJ444" t="e">
        <f>VLOOKUP($Z444,'oddspedia-matches'!$A:$AD,AJ$2,0)</f>
        <v>#N/A</v>
      </c>
      <c r="AK444" t="e">
        <f>VLOOKUP($Z444,'oddspedia-matches'!$A:$AD,AK$2,0)</f>
        <v>#N/A</v>
      </c>
      <c r="AL444" t="e">
        <f>VLOOKUP($Z444,'oddspedia-matches'!$A:$AD,AL$2,0)</f>
        <v>#N/A</v>
      </c>
      <c r="AM444" t="e">
        <f>VLOOKUP($Z444,'oddspedia-matches'!$A:$AD,AM$2,0)</f>
        <v>#N/A</v>
      </c>
      <c r="AN444" t="e">
        <f>VLOOKUP($Z444,'oddspedia-matches'!$A:$AD,AN$2,0)</f>
        <v>#N/A</v>
      </c>
      <c r="AO444" t="e">
        <f>VLOOKUP($Z444,'oddspedia-matches'!$A:$AD,AO$2,0)</f>
        <v>#N/A</v>
      </c>
      <c r="AP444" t="e">
        <f>VLOOKUP($Z444,'oddspedia-matches'!$A:$AD,AP$2,0)</f>
        <v>#N/A</v>
      </c>
      <c r="AQ444" t="e">
        <f>VLOOKUP($Z444,'oddspedia-matches'!$A:$AD,AQ$2,0)</f>
        <v>#N/A</v>
      </c>
    </row>
    <row r="445" spans="2:43" x14ac:dyDescent="0.2">
      <c r="B445" t="s">
        <v>455</v>
      </c>
      <c r="C445" t="s">
        <v>930</v>
      </c>
      <c r="D445" s="25">
        <v>0.66666666666666663</v>
      </c>
      <c r="E445" t="s">
        <v>235</v>
      </c>
      <c r="F445" t="s">
        <v>71</v>
      </c>
      <c r="H445">
        <v>47.8</v>
      </c>
      <c r="I445">
        <v>30.1</v>
      </c>
      <c r="J445">
        <v>22.1</v>
      </c>
      <c r="K445">
        <v>77.900000000000006</v>
      </c>
      <c r="L445">
        <v>52.2</v>
      </c>
      <c r="M445">
        <v>69.900000000000006</v>
      </c>
      <c r="N445">
        <v>42.3</v>
      </c>
      <c r="O445">
        <v>46.2</v>
      </c>
      <c r="P445">
        <v>11.5</v>
      </c>
      <c r="Q445">
        <v>61.6</v>
      </c>
      <c r="R445">
        <v>65.900000000000006</v>
      </c>
      <c r="S445">
        <v>37.799999999999997</v>
      </c>
      <c r="T445">
        <v>62.2</v>
      </c>
      <c r="U445">
        <v>68</v>
      </c>
      <c r="V445">
        <v>43.6</v>
      </c>
      <c r="W445">
        <v>56.4</v>
      </c>
      <c r="X445" t="str">
        <f>VLOOKUP(E445,'Transform table'!A:B,2,0)</f>
        <v>Criciuma</v>
      </c>
      <c r="Y445" t="str">
        <f>VLOOKUP(F445,'Transform table'!A:B,2,0)</f>
        <v>Nautico</v>
      </c>
      <c r="Z445" t="str">
        <f t="shared" si="6"/>
        <v>26/07/2026CriciumaNautico</v>
      </c>
      <c r="AA445" t="e">
        <f>VLOOKUP($Z445,'oddspedia-matches'!$A:$AD,AA$2,0)</f>
        <v>#N/A</v>
      </c>
      <c r="AB445" t="e">
        <f>VLOOKUP($Z445,'oddspedia-matches'!$A:$AD,AB$2,0)</f>
        <v>#N/A</v>
      </c>
      <c r="AC445" t="e">
        <f>VLOOKUP($Z445,'oddspedia-matches'!$A:$AD,AC$2,0)</f>
        <v>#N/A</v>
      </c>
      <c r="AD445" t="e">
        <f>VLOOKUP($Z445,'oddspedia-matches'!$A:$AD,AD$2,0)</f>
        <v>#N/A</v>
      </c>
      <c r="AE445" t="e">
        <f>VLOOKUP($Z445,'oddspedia-matches'!$A:$AD,AE$2,0)</f>
        <v>#N/A</v>
      </c>
      <c r="AF445" t="e">
        <f>VLOOKUP($Z445,'oddspedia-matches'!$A:$AD,AF$2,0)</f>
        <v>#N/A</v>
      </c>
      <c r="AG445" t="e">
        <f>VLOOKUP($Z445,'oddspedia-matches'!$A:$AD,AG$2,0)</f>
        <v>#N/A</v>
      </c>
      <c r="AH445" t="e">
        <f>VLOOKUP($Z445,'oddspedia-matches'!$A:$AD,AH$2,0)</f>
        <v>#N/A</v>
      </c>
      <c r="AI445" t="e">
        <f>VLOOKUP($Z445,'oddspedia-matches'!$A:$AD,AI$2,0)</f>
        <v>#N/A</v>
      </c>
      <c r="AJ445" t="e">
        <f>VLOOKUP($Z445,'oddspedia-matches'!$A:$AD,AJ$2,0)</f>
        <v>#N/A</v>
      </c>
      <c r="AK445" t="e">
        <f>VLOOKUP($Z445,'oddspedia-matches'!$A:$AD,AK$2,0)</f>
        <v>#N/A</v>
      </c>
      <c r="AL445" t="e">
        <f>VLOOKUP($Z445,'oddspedia-matches'!$A:$AD,AL$2,0)</f>
        <v>#N/A</v>
      </c>
      <c r="AM445" t="e">
        <f>VLOOKUP($Z445,'oddspedia-matches'!$A:$AD,AM$2,0)</f>
        <v>#N/A</v>
      </c>
      <c r="AN445" t="e">
        <f>VLOOKUP($Z445,'oddspedia-matches'!$A:$AD,AN$2,0)</f>
        <v>#N/A</v>
      </c>
      <c r="AO445" t="e">
        <f>VLOOKUP($Z445,'oddspedia-matches'!$A:$AD,AO$2,0)</f>
        <v>#N/A</v>
      </c>
      <c r="AP445" t="e">
        <f>VLOOKUP($Z445,'oddspedia-matches'!$A:$AD,AP$2,0)</f>
        <v>#N/A</v>
      </c>
      <c r="AQ445" t="e">
        <f>VLOOKUP($Z445,'oddspedia-matches'!$A:$AD,AQ$2,0)</f>
        <v>#N/A</v>
      </c>
    </row>
    <row r="446" spans="2:43" x14ac:dyDescent="0.2">
      <c r="B446" t="s">
        <v>455</v>
      </c>
      <c r="C446" t="s">
        <v>930</v>
      </c>
      <c r="D446" s="25">
        <v>0.66666666666666663</v>
      </c>
      <c r="E446" t="s">
        <v>113</v>
      </c>
      <c r="F446" t="s">
        <v>41</v>
      </c>
      <c r="H446">
        <v>51.1</v>
      </c>
      <c r="I446">
        <v>29</v>
      </c>
      <c r="J446">
        <v>19.899999999999999</v>
      </c>
      <c r="K446">
        <v>80.099999999999994</v>
      </c>
      <c r="L446">
        <v>48.9</v>
      </c>
      <c r="M446">
        <v>71</v>
      </c>
      <c r="N446">
        <v>30.6</v>
      </c>
      <c r="O446">
        <v>48.4</v>
      </c>
      <c r="P446">
        <v>20.9</v>
      </c>
      <c r="Q446">
        <v>61.8</v>
      </c>
      <c r="R446">
        <v>67</v>
      </c>
      <c r="S446">
        <v>39.200000000000003</v>
      </c>
      <c r="T446">
        <v>60.8</v>
      </c>
      <c r="U446">
        <v>67.099999999999994</v>
      </c>
      <c r="V446">
        <v>43.6</v>
      </c>
      <c r="W446">
        <v>56.4</v>
      </c>
      <c r="X446" t="str">
        <f>VLOOKUP(E446,'Transform table'!A:B,2,0)</f>
        <v>Sao Bernardo FC SP</v>
      </c>
      <c r="Y446" t="str">
        <f>VLOOKUP(F446,'Transform table'!A:B,2,0)</f>
        <v>Ceara</v>
      </c>
      <c r="Z446" t="str">
        <f t="shared" si="6"/>
        <v>26/07/2026Sao Bernardo FC SPCeara</v>
      </c>
      <c r="AA446" t="e">
        <f>VLOOKUP($Z446,'oddspedia-matches'!$A:$AD,AA$2,0)</f>
        <v>#N/A</v>
      </c>
      <c r="AB446" t="e">
        <f>VLOOKUP($Z446,'oddspedia-matches'!$A:$AD,AB$2,0)</f>
        <v>#N/A</v>
      </c>
      <c r="AC446" t="e">
        <f>VLOOKUP($Z446,'oddspedia-matches'!$A:$AD,AC$2,0)</f>
        <v>#N/A</v>
      </c>
      <c r="AD446" t="e">
        <f>VLOOKUP($Z446,'oddspedia-matches'!$A:$AD,AD$2,0)</f>
        <v>#N/A</v>
      </c>
      <c r="AE446" t="e">
        <f>VLOOKUP($Z446,'oddspedia-matches'!$A:$AD,AE$2,0)</f>
        <v>#N/A</v>
      </c>
      <c r="AF446" t="e">
        <f>VLOOKUP($Z446,'oddspedia-matches'!$A:$AD,AF$2,0)</f>
        <v>#N/A</v>
      </c>
      <c r="AG446" t="e">
        <f>VLOOKUP($Z446,'oddspedia-matches'!$A:$AD,AG$2,0)</f>
        <v>#N/A</v>
      </c>
      <c r="AH446" t="e">
        <f>VLOOKUP($Z446,'oddspedia-matches'!$A:$AD,AH$2,0)</f>
        <v>#N/A</v>
      </c>
      <c r="AI446" t="e">
        <f>VLOOKUP($Z446,'oddspedia-matches'!$A:$AD,AI$2,0)</f>
        <v>#N/A</v>
      </c>
      <c r="AJ446" t="e">
        <f>VLOOKUP($Z446,'oddspedia-matches'!$A:$AD,AJ$2,0)</f>
        <v>#N/A</v>
      </c>
      <c r="AK446" t="e">
        <f>VLOOKUP($Z446,'oddspedia-matches'!$A:$AD,AK$2,0)</f>
        <v>#N/A</v>
      </c>
      <c r="AL446" t="e">
        <f>VLOOKUP($Z446,'oddspedia-matches'!$A:$AD,AL$2,0)</f>
        <v>#N/A</v>
      </c>
      <c r="AM446" t="e">
        <f>VLOOKUP($Z446,'oddspedia-matches'!$A:$AD,AM$2,0)</f>
        <v>#N/A</v>
      </c>
      <c r="AN446" t="e">
        <f>VLOOKUP($Z446,'oddspedia-matches'!$A:$AD,AN$2,0)</f>
        <v>#N/A</v>
      </c>
      <c r="AO446" t="e">
        <f>VLOOKUP($Z446,'oddspedia-matches'!$A:$AD,AO$2,0)</f>
        <v>#N/A</v>
      </c>
      <c r="AP446" t="e">
        <f>VLOOKUP($Z446,'oddspedia-matches'!$A:$AD,AP$2,0)</f>
        <v>#N/A</v>
      </c>
      <c r="AQ446" t="e">
        <f>VLOOKUP($Z446,'oddspedia-matches'!$A:$AD,AQ$2,0)</f>
        <v>#N/A</v>
      </c>
    </row>
    <row r="447" spans="2:43" x14ac:dyDescent="0.2">
      <c r="B447" t="s">
        <v>728</v>
      </c>
      <c r="C447" t="s">
        <v>930</v>
      </c>
      <c r="D447" s="25">
        <v>0.66666666666666663</v>
      </c>
      <c r="E447" t="s">
        <v>1144</v>
      </c>
      <c r="F447" t="s">
        <v>1145</v>
      </c>
      <c r="H447">
        <v>45.8</v>
      </c>
      <c r="I447">
        <v>29.6</v>
      </c>
      <c r="J447">
        <v>24.6</v>
      </c>
      <c r="K447">
        <v>75.400000000000006</v>
      </c>
      <c r="L447">
        <v>54.2</v>
      </c>
      <c r="M447">
        <v>70.400000000000006</v>
      </c>
      <c r="N447">
        <v>27.5</v>
      </c>
      <c r="O447">
        <v>53.5</v>
      </c>
      <c r="P447">
        <v>18.899999999999999</v>
      </c>
      <c r="Q447">
        <v>54.4</v>
      </c>
      <c r="R447">
        <v>69.400000000000006</v>
      </c>
      <c r="S447">
        <v>41.8</v>
      </c>
      <c r="T447">
        <v>58.2</v>
      </c>
      <c r="U447">
        <v>63.9</v>
      </c>
      <c r="V447">
        <v>47.7</v>
      </c>
      <c r="W447">
        <v>52.3</v>
      </c>
      <c r="X447" t="str">
        <f>VLOOKUP(E447,'Transform table'!A:B,2,0)</f>
        <v>Brest</v>
      </c>
      <c r="Y447" t="e">
        <f>VLOOKUP(F447,'Transform table'!A:B,2,0)</f>
        <v>#N/A</v>
      </c>
      <c r="Z447" t="e">
        <f t="shared" si="6"/>
        <v>#N/A</v>
      </c>
      <c r="AA447" t="e">
        <f>VLOOKUP($Z447,'oddspedia-matches'!$A:$AD,AA$2,0)</f>
        <v>#N/A</v>
      </c>
      <c r="AB447" t="e">
        <f>VLOOKUP($Z447,'oddspedia-matches'!$A:$AD,AB$2,0)</f>
        <v>#N/A</v>
      </c>
      <c r="AC447" t="e">
        <f>VLOOKUP($Z447,'oddspedia-matches'!$A:$AD,AC$2,0)</f>
        <v>#N/A</v>
      </c>
      <c r="AD447" t="e">
        <f>VLOOKUP($Z447,'oddspedia-matches'!$A:$AD,AD$2,0)</f>
        <v>#N/A</v>
      </c>
      <c r="AE447" t="e">
        <f>VLOOKUP($Z447,'oddspedia-matches'!$A:$AD,AE$2,0)</f>
        <v>#N/A</v>
      </c>
      <c r="AF447" t="e">
        <f>VLOOKUP($Z447,'oddspedia-matches'!$A:$AD,AF$2,0)</f>
        <v>#N/A</v>
      </c>
      <c r="AG447" t="e">
        <f>VLOOKUP($Z447,'oddspedia-matches'!$A:$AD,AG$2,0)</f>
        <v>#N/A</v>
      </c>
      <c r="AH447" t="e">
        <f>VLOOKUP($Z447,'oddspedia-matches'!$A:$AD,AH$2,0)</f>
        <v>#N/A</v>
      </c>
      <c r="AI447" t="e">
        <f>VLOOKUP($Z447,'oddspedia-matches'!$A:$AD,AI$2,0)</f>
        <v>#N/A</v>
      </c>
      <c r="AJ447" t="e">
        <f>VLOOKUP($Z447,'oddspedia-matches'!$A:$AD,AJ$2,0)</f>
        <v>#N/A</v>
      </c>
      <c r="AK447" t="e">
        <f>VLOOKUP($Z447,'oddspedia-matches'!$A:$AD,AK$2,0)</f>
        <v>#N/A</v>
      </c>
      <c r="AL447" t="e">
        <f>VLOOKUP($Z447,'oddspedia-matches'!$A:$AD,AL$2,0)</f>
        <v>#N/A</v>
      </c>
      <c r="AM447" t="e">
        <f>VLOOKUP($Z447,'oddspedia-matches'!$A:$AD,AM$2,0)</f>
        <v>#N/A</v>
      </c>
      <c r="AN447" t="e">
        <f>VLOOKUP($Z447,'oddspedia-matches'!$A:$AD,AN$2,0)</f>
        <v>#N/A</v>
      </c>
      <c r="AO447" t="e">
        <f>VLOOKUP($Z447,'oddspedia-matches'!$A:$AD,AO$2,0)</f>
        <v>#N/A</v>
      </c>
      <c r="AP447" t="e">
        <f>VLOOKUP($Z447,'oddspedia-matches'!$A:$AD,AP$2,0)</f>
        <v>#N/A</v>
      </c>
      <c r="AQ447" t="e">
        <f>VLOOKUP($Z447,'oddspedia-matches'!$A:$AD,AQ$2,0)</f>
        <v>#N/A</v>
      </c>
    </row>
    <row r="448" spans="2:43" x14ac:dyDescent="0.2">
      <c r="B448" t="s">
        <v>728</v>
      </c>
      <c r="C448" t="s">
        <v>930</v>
      </c>
      <c r="D448" s="25">
        <v>0.66666666666666663</v>
      </c>
      <c r="E448" t="s">
        <v>1146</v>
      </c>
      <c r="F448" t="s">
        <v>1147</v>
      </c>
      <c r="H448">
        <v>39.6</v>
      </c>
      <c r="I448">
        <v>29.5</v>
      </c>
      <c r="J448">
        <v>30.8</v>
      </c>
      <c r="K448">
        <v>69.2</v>
      </c>
      <c r="L448">
        <v>60.4</v>
      </c>
      <c r="M448">
        <v>70.5</v>
      </c>
      <c r="N448">
        <v>37.5</v>
      </c>
      <c r="O448">
        <v>43</v>
      </c>
      <c r="P448">
        <v>19.5</v>
      </c>
      <c r="Q448">
        <v>69.099999999999994</v>
      </c>
      <c r="R448">
        <v>72.8</v>
      </c>
      <c r="S448">
        <v>45.9</v>
      </c>
      <c r="T448">
        <v>54.1</v>
      </c>
      <c r="U448">
        <v>59.5</v>
      </c>
      <c r="V448">
        <v>52.3</v>
      </c>
      <c r="W448">
        <v>47.7</v>
      </c>
      <c r="X448" t="str">
        <f>VLOOKUP(E448,'Transform table'!A:B,2,0)</f>
        <v>YPA</v>
      </c>
      <c r="Y448" t="e">
        <f>VLOOKUP(F448,'Transform table'!A:B,2,0)</f>
        <v>#N/A</v>
      </c>
      <c r="Z448" t="e">
        <f t="shared" si="6"/>
        <v>#N/A</v>
      </c>
      <c r="AA448" t="e">
        <f>VLOOKUP($Z448,'oddspedia-matches'!$A:$AD,AA$2,0)</f>
        <v>#N/A</v>
      </c>
      <c r="AB448" t="e">
        <f>VLOOKUP($Z448,'oddspedia-matches'!$A:$AD,AB$2,0)</f>
        <v>#N/A</v>
      </c>
      <c r="AC448" t="e">
        <f>VLOOKUP($Z448,'oddspedia-matches'!$A:$AD,AC$2,0)</f>
        <v>#N/A</v>
      </c>
      <c r="AD448" t="e">
        <f>VLOOKUP($Z448,'oddspedia-matches'!$A:$AD,AD$2,0)</f>
        <v>#N/A</v>
      </c>
      <c r="AE448" t="e">
        <f>VLOOKUP($Z448,'oddspedia-matches'!$A:$AD,AE$2,0)</f>
        <v>#N/A</v>
      </c>
      <c r="AF448" t="e">
        <f>VLOOKUP($Z448,'oddspedia-matches'!$A:$AD,AF$2,0)</f>
        <v>#N/A</v>
      </c>
      <c r="AG448" t="e">
        <f>VLOOKUP($Z448,'oddspedia-matches'!$A:$AD,AG$2,0)</f>
        <v>#N/A</v>
      </c>
      <c r="AH448" t="e">
        <f>VLOOKUP($Z448,'oddspedia-matches'!$A:$AD,AH$2,0)</f>
        <v>#N/A</v>
      </c>
      <c r="AI448" t="e">
        <f>VLOOKUP($Z448,'oddspedia-matches'!$A:$AD,AI$2,0)</f>
        <v>#N/A</v>
      </c>
      <c r="AJ448" t="e">
        <f>VLOOKUP($Z448,'oddspedia-matches'!$A:$AD,AJ$2,0)</f>
        <v>#N/A</v>
      </c>
      <c r="AK448" t="e">
        <f>VLOOKUP($Z448,'oddspedia-matches'!$A:$AD,AK$2,0)</f>
        <v>#N/A</v>
      </c>
      <c r="AL448" t="e">
        <f>VLOOKUP($Z448,'oddspedia-matches'!$A:$AD,AL$2,0)</f>
        <v>#N/A</v>
      </c>
      <c r="AM448" t="e">
        <f>VLOOKUP($Z448,'oddspedia-matches'!$A:$AD,AM$2,0)</f>
        <v>#N/A</v>
      </c>
      <c r="AN448" t="e">
        <f>VLOOKUP($Z448,'oddspedia-matches'!$A:$AD,AN$2,0)</f>
        <v>#N/A</v>
      </c>
      <c r="AO448" t="e">
        <f>VLOOKUP($Z448,'oddspedia-matches'!$A:$AD,AO$2,0)</f>
        <v>#N/A</v>
      </c>
      <c r="AP448" t="e">
        <f>VLOOKUP($Z448,'oddspedia-matches'!$A:$AD,AP$2,0)</f>
        <v>#N/A</v>
      </c>
      <c r="AQ448" t="e">
        <f>VLOOKUP($Z448,'oddspedia-matches'!$A:$AD,AQ$2,0)</f>
        <v>#N/A</v>
      </c>
    </row>
    <row r="449" spans="2:43" x14ac:dyDescent="0.2">
      <c r="B449" t="s">
        <v>685</v>
      </c>
      <c r="C449" t="s">
        <v>930</v>
      </c>
      <c r="D449" s="25">
        <v>0.66666666666666663</v>
      </c>
      <c r="E449" t="s">
        <v>1148</v>
      </c>
      <c r="F449" t="s">
        <v>1149</v>
      </c>
      <c r="H449">
        <v>60.9</v>
      </c>
      <c r="I449">
        <v>25.1</v>
      </c>
      <c r="J449">
        <v>14</v>
      </c>
      <c r="K449">
        <v>86</v>
      </c>
      <c r="L449">
        <v>39.1</v>
      </c>
      <c r="M449">
        <v>74.900000000000006</v>
      </c>
      <c r="N449">
        <v>33.1</v>
      </c>
      <c r="O449">
        <v>52.1</v>
      </c>
      <c r="P449">
        <v>14.8</v>
      </c>
      <c r="Q449">
        <v>55.4</v>
      </c>
      <c r="R449">
        <v>71.900000000000006</v>
      </c>
      <c r="S449">
        <v>45.1</v>
      </c>
      <c r="T449">
        <v>54.9</v>
      </c>
      <c r="U449">
        <v>63.2</v>
      </c>
      <c r="V449">
        <v>43.6</v>
      </c>
      <c r="W449">
        <v>56.4</v>
      </c>
      <c r="X449" t="str">
        <f>VLOOKUP(E449,'Transform table'!A:B,2,0)</f>
        <v>CSKA</v>
      </c>
      <c r="Y449" t="e">
        <f>VLOOKUP(F449,'Transform table'!A:B,2,0)</f>
        <v>#N/A</v>
      </c>
      <c r="Z449" t="e">
        <f t="shared" si="6"/>
        <v>#N/A</v>
      </c>
      <c r="AA449" t="e">
        <f>VLOOKUP($Z449,'oddspedia-matches'!$A:$AD,AA$2,0)</f>
        <v>#N/A</v>
      </c>
      <c r="AB449" t="e">
        <f>VLOOKUP($Z449,'oddspedia-matches'!$A:$AD,AB$2,0)</f>
        <v>#N/A</v>
      </c>
      <c r="AC449" t="e">
        <f>VLOOKUP($Z449,'oddspedia-matches'!$A:$AD,AC$2,0)</f>
        <v>#N/A</v>
      </c>
      <c r="AD449" t="e">
        <f>VLOOKUP($Z449,'oddspedia-matches'!$A:$AD,AD$2,0)</f>
        <v>#N/A</v>
      </c>
      <c r="AE449" t="e">
        <f>VLOOKUP($Z449,'oddspedia-matches'!$A:$AD,AE$2,0)</f>
        <v>#N/A</v>
      </c>
      <c r="AF449" t="e">
        <f>VLOOKUP($Z449,'oddspedia-matches'!$A:$AD,AF$2,0)</f>
        <v>#N/A</v>
      </c>
      <c r="AG449" t="e">
        <f>VLOOKUP($Z449,'oddspedia-matches'!$A:$AD,AG$2,0)</f>
        <v>#N/A</v>
      </c>
      <c r="AH449" t="e">
        <f>VLOOKUP($Z449,'oddspedia-matches'!$A:$AD,AH$2,0)</f>
        <v>#N/A</v>
      </c>
      <c r="AI449" t="e">
        <f>VLOOKUP($Z449,'oddspedia-matches'!$A:$AD,AI$2,0)</f>
        <v>#N/A</v>
      </c>
      <c r="AJ449" t="e">
        <f>VLOOKUP($Z449,'oddspedia-matches'!$A:$AD,AJ$2,0)</f>
        <v>#N/A</v>
      </c>
      <c r="AK449" t="e">
        <f>VLOOKUP($Z449,'oddspedia-matches'!$A:$AD,AK$2,0)</f>
        <v>#N/A</v>
      </c>
      <c r="AL449" t="e">
        <f>VLOOKUP($Z449,'oddspedia-matches'!$A:$AD,AL$2,0)</f>
        <v>#N/A</v>
      </c>
      <c r="AM449" t="e">
        <f>VLOOKUP($Z449,'oddspedia-matches'!$A:$AD,AM$2,0)</f>
        <v>#N/A</v>
      </c>
      <c r="AN449" t="e">
        <f>VLOOKUP($Z449,'oddspedia-matches'!$A:$AD,AN$2,0)</f>
        <v>#N/A</v>
      </c>
      <c r="AO449" t="e">
        <f>VLOOKUP($Z449,'oddspedia-matches'!$A:$AD,AO$2,0)</f>
        <v>#N/A</v>
      </c>
      <c r="AP449" t="e">
        <f>VLOOKUP($Z449,'oddspedia-matches'!$A:$AD,AP$2,0)</f>
        <v>#N/A</v>
      </c>
      <c r="AQ449" t="e">
        <f>VLOOKUP($Z449,'oddspedia-matches'!$A:$AD,AQ$2,0)</f>
        <v>#N/A</v>
      </c>
    </row>
    <row r="450" spans="2:43" x14ac:dyDescent="0.2">
      <c r="B450" t="s">
        <v>685</v>
      </c>
      <c r="C450" t="s">
        <v>930</v>
      </c>
      <c r="D450" s="25">
        <v>0.66666666666666663</v>
      </c>
      <c r="E450" t="s">
        <v>1150</v>
      </c>
      <c r="F450" t="s">
        <v>1151</v>
      </c>
      <c r="H450">
        <v>40.4</v>
      </c>
      <c r="I450">
        <v>30.9</v>
      </c>
      <c r="J450">
        <v>28.7</v>
      </c>
      <c r="K450">
        <v>71.3</v>
      </c>
      <c r="L450">
        <v>59.6</v>
      </c>
      <c r="M450">
        <v>69.099999999999994</v>
      </c>
      <c r="N450">
        <v>32.4</v>
      </c>
      <c r="O450">
        <v>44.5</v>
      </c>
      <c r="P450">
        <v>23.1</v>
      </c>
      <c r="Q450">
        <v>67.8</v>
      </c>
      <c r="R450">
        <v>67.7</v>
      </c>
      <c r="S450">
        <v>39.799999999999997</v>
      </c>
      <c r="T450">
        <v>60.2</v>
      </c>
      <c r="U450">
        <v>65.400000000000006</v>
      </c>
      <c r="V450">
        <v>47.1</v>
      </c>
      <c r="W450">
        <v>52.9</v>
      </c>
      <c r="X450">
        <f>VLOOKUP(E450,'Transform table'!A:B,2,0)</f>
        <v>0</v>
      </c>
      <c r="Y450" t="e">
        <f>VLOOKUP(F450,'Transform table'!A:B,2,0)</f>
        <v>#N/A</v>
      </c>
      <c r="Z450" t="e">
        <f t="shared" si="6"/>
        <v>#N/A</v>
      </c>
      <c r="AA450" t="e">
        <f>VLOOKUP($Z450,'oddspedia-matches'!$A:$AD,AA$2,0)</f>
        <v>#N/A</v>
      </c>
      <c r="AB450" t="e">
        <f>VLOOKUP($Z450,'oddspedia-matches'!$A:$AD,AB$2,0)</f>
        <v>#N/A</v>
      </c>
      <c r="AC450" t="e">
        <f>VLOOKUP($Z450,'oddspedia-matches'!$A:$AD,AC$2,0)</f>
        <v>#N/A</v>
      </c>
      <c r="AD450" t="e">
        <f>VLOOKUP($Z450,'oddspedia-matches'!$A:$AD,AD$2,0)</f>
        <v>#N/A</v>
      </c>
      <c r="AE450" t="e">
        <f>VLOOKUP($Z450,'oddspedia-matches'!$A:$AD,AE$2,0)</f>
        <v>#N/A</v>
      </c>
      <c r="AF450" t="e">
        <f>VLOOKUP($Z450,'oddspedia-matches'!$A:$AD,AF$2,0)</f>
        <v>#N/A</v>
      </c>
      <c r="AG450" t="e">
        <f>VLOOKUP($Z450,'oddspedia-matches'!$A:$AD,AG$2,0)</f>
        <v>#N/A</v>
      </c>
      <c r="AH450" t="e">
        <f>VLOOKUP($Z450,'oddspedia-matches'!$A:$AD,AH$2,0)</f>
        <v>#N/A</v>
      </c>
      <c r="AI450" t="e">
        <f>VLOOKUP($Z450,'oddspedia-matches'!$A:$AD,AI$2,0)</f>
        <v>#N/A</v>
      </c>
      <c r="AJ450" t="e">
        <f>VLOOKUP($Z450,'oddspedia-matches'!$A:$AD,AJ$2,0)</f>
        <v>#N/A</v>
      </c>
      <c r="AK450" t="e">
        <f>VLOOKUP($Z450,'oddspedia-matches'!$A:$AD,AK$2,0)</f>
        <v>#N/A</v>
      </c>
      <c r="AL450" t="e">
        <f>VLOOKUP($Z450,'oddspedia-matches'!$A:$AD,AL$2,0)</f>
        <v>#N/A</v>
      </c>
      <c r="AM450" t="e">
        <f>VLOOKUP($Z450,'oddspedia-matches'!$A:$AD,AM$2,0)</f>
        <v>#N/A</v>
      </c>
      <c r="AN450" t="e">
        <f>VLOOKUP($Z450,'oddspedia-matches'!$A:$AD,AN$2,0)</f>
        <v>#N/A</v>
      </c>
      <c r="AO450" t="e">
        <f>VLOOKUP($Z450,'oddspedia-matches'!$A:$AD,AO$2,0)</f>
        <v>#N/A</v>
      </c>
      <c r="AP450" t="e">
        <f>VLOOKUP($Z450,'oddspedia-matches'!$A:$AD,AP$2,0)</f>
        <v>#N/A</v>
      </c>
      <c r="AQ450" t="e">
        <f>VLOOKUP($Z450,'oddspedia-matches'!$A:$AD,AQ$2,0)</f>
        <v>#N/A</v>
      </c>
    </row>
    <row r="451" spans="2:43" x14ac:dyDescent="0.2">
      <c r="B451" t="s">
        <v>485</v>
      </c>
      <c r="C451" t="s">
        <v>930</v>
      </c>
      <c r="D451" s="25">
        <v>0.66666666666666663</v>
      </c>
      <c r="E451" t="s">
        <v>1152</v>
      </c>
      <c r="F451" t="s">
        <v>1153</v>
      </c>
      <c r="H451">
        <v>41.5</v>
      </c>
      <c r="I451">
        <v>28.5</v>
      </c>
      <c r="J451">
        <v>30</v>
      </c>
      <c r="K451">
        <v>70</v>
      </c>
      <c r="L451">
        <v>58.5</v>
      </c>
      <c r="M451">
        <v>71.5</v>
      </c>
      <c r="N451">
        <v>25.4</v>
      </c>
      <c r="O451">
        <v>42.8</v>
      </c>
      <c r="P451">
        <v>31.7</v>
      </c>
      <c r="Q451">
        <v>70.8</v>
      </c>
      <c r="R451">
        <v>76</v>
      </c>
      <c r="S451">
        <v>50.1</v>
      </c>
      <c r="T451">
        <v>49.9</v>
      </c>
      <c r="U451">
        <v>55.5</v>
      </c>
      <c r="V451">
        <v>55.4</v>
      </c>
      <c r="W451">
        <v>44.6</v>
      </c>
      <c r="X451">
        <f>VLOOKUP(E451,'Transform table'!A:B,2,0)</f>
        <v>0</v>
      </c>
      <c r="Y451" t="e">
        <f>VLOOKUP(F451,'Transform table'!A:B,2,0)</f>
        <v>#N/A</v>
      </c>
      <c r="Z451" t="e">
        <f t="shared" si="6"/>
        <v>#N/A</v>
      </c>
      <c r="AA451" t="e">
        <f>VLOOKUP($Z451,'oddspedia-matches'!$A:$AD,AA$2,0)</f>
        <v>#N/A</v>
      </c>
      <c r="AB451" t="e">
        <f>VLOOKUP($Z451,'oddspedia-matches'!$A:$AD,AB$2,0)</f>
        <v>#N/A</v>
      </c>
      <c r="AC451" t="e">
        <f>VLOOKUP($Z451,'oddspedia-matches'!$A:$AD,AC$2,0)</f>
        <v>#N/A</v>
      </c>
      <c r="AD451" t="e">
        <f>VLOOKUP($Z451,'oddspedia-matches'!$A:$AD,AD$2,0)</f>
        <v>#N/A</v>
      </c>
      <c r="AE451" t="e">
        <f>VLOOKUP($Z451,'oddspedia-matches'!$A:$AD,AE$2,0)</f>
        <v>#N/A</v>
      </c>
      <c r="AF451" t="e">
        <f>VLOOKUP($Z451,'oddspedia-matches'!$A:$AD,AF$2,0)</f>
        <v>#N/A</v>
      </c>
      <c r="AG451" t="e">
        <f>VLOOKUP($Z451,'oddspedia-matches'!$A:$AD,AG$2,0)</f>
        <v>#N/A</v>
      </c>
      <c r="AH451" t="e">
        <f>VLOOKUP($Z451,'oddspedia-matches'!$A:$AD,AH$2,0)</f>
        <v>#N/A</v>
      </c>
      <c r="AI451" t="e">
        <f>VLOOKUP($Z451,'oddspedia-matches'!$A:$AD,AI$2,0)</f>
        <v>#N/A</v>
      </c>
      <c r="AJ451" t="e">
        <f>VLOOKUP($Z451,'oddspedia-matches'!$A:$AD,AJ$2,0)</f>
        <v>#N/A</v>
      </c>
      <c r="AK451" t="e">
        <f>VLOOKUP($Z451,'oddspedia-matches'!$A:$AD,AK$2,0)</f>
        <v>#N/A</v>
      </c>
      <c r="AL451" t="e">
        <f>VLOOKUP($Z451,'oddspedia-matches'!$A:$AD,AL$2,0)</f>
        <v>#N/A</v>
      </c>
      <c r="AM451" t="e">
        <f>VLOOKUP($Z451,'oddspedia-matches'!$A:$AD,AM$2,0)</f>
        <v>#N/A</v>
      </c>
      <c r="AN451" t="e">
        <f>VLOOKUP($Z451,'oddspedia-matches'!$A:$AD,AN$2,0)</f>
        <v>#N/A</v>
      </c>
      <c r="AO451" t="e">
        <f>VLOOKUP($Z451,'oddspedia-matches'!$A:$AD,AO$2,0)</f>
        <v>#N/A</v>
      </c>
      <c r="AP451" t="e">
        <f>VLOOKUP($Z451,'oddspedia-matches'!$A:$AD,AP$2,0)</f>
        <v>#N/A</v>
      </c>
      <c r="AQ451" t="e">
        <f>VLOOKUP($Z451,'oddspedia-matches'!$A:$AD,AQ$2,0)</f>
        <v>#N/A</v>
      </c>
    </row>
    <row r="452" spans="2:43" x14ac:dyDescent="0.2">
      <c r="B452" t="s">
        <v>487</v>
      </c>
      <c r="C452" t="s">
        <v>930</v>
      </c>
      <c r="D452" s="25">
        <v>0.66666666666666663</v>
      </c>
      <c r="E452" t="s">
        <v>1154</v>
      </c>
      <c r="F452" t="s">
        <v>1155</v>
      </c>
      <c r="H452">
        <v>35.299999999999997</v>
      </c>
      <c r="I452">
        <v>30.1</v>
      </c>
      <c r="J452">
        <v>34.6</v>
      </c>
      <c r="K452">
        <v>65.400000000000006</v>
      </c>
      <c r="L452">
        <v>64.7</v>
      </c>
      <c r="M452">
        <v>69.900000000000006</v>
      </c>
      <c r="N452">
        <v>29</v>
      </c>
      <c r="O452">
        <v>44.2</v>
      </c>
      <c r="P452">
        <v>26.8</v>
      </c>
      <c r="Q452">
        <v>68.7</v>
      </c>
      <c r="R452">
        <v>72</v>
      </c>
      <c r="S452">
        <v>44.9</v>
      </c>
      <c r="T452">
        <v>55.1</v>
      </c>
      <c r="U452">
        <v>60.4</v>
      </c>
      <c r="V452">
        <v>51.7</v>
      </c>
      <c r="W452">
        <v>48.3</v>
      </c>
      <c r="X452" t="str">
        <f>VLOOKUP(E452,'Transform table'!A:B,2,0)</f>
        <v>Inter Bogota</v>
      </c>
      <c r="Y452" t="e">
        <f>VLOOKUP(F452,'Transform table'!A:B,2,0)</f>
        <v>#N/A</v>
      </c>
      <c r="Z452" t="e">
        <f t="shared" ref="Z452:Z515" si="7">C452&amp;X452&amp;Y452</f>
        <v>#N/A</v>
      </c>
      <c r="AA452" t="e">
        <f>VLOOKUP($Z452,'oddspedia-matches'!$A:$AD,AA$2,0)</f>
        <v>#N/A</v>
      </c>
      <c r="AB452" t="e">
        <f>VLOOKUP($Z452,'oddspedia-matches'!$A:$AD,AB$2,0)</f>
        <v>#N/A</v>
      </c>
      <c r="AC452" t="e">
        <f>VLOOKUP($Z452,'oddspedia-matches'!$A:$AD,AC$2,0)</f>
        <v>#N/A</v>
      </c>
      <c r="AD452" t="e">
        <f>VLOOKUP($Z452,'oddspedia-matches'!$A:$AD,AD$2,0)</f>
        <v>#N/A</v>
      </c>
      <c r="AE452" t="e">
        <f>VLOOKUP($Z452,'oddspedia-matches'!$A:$AD,AE$2,0)</f>
        <v>#N/A</v>
      </c>
      <c r="AF452" t="e">
        <f>VLOOKUP($Z452,'oddspedia-matches'!$A:$AD,AF$2,0)</f>
        <v>#N/A</v>
      </c>
      <c r="AG452" t="e">
        <f>VLOOKUP($Z452,'oddspedia-matches'!$A:$AD,AG$2,0)</f>
        <v>#N/A</v>
      </c>
      <c r="AH452" t="e">
        <f>VLOOKUP($Z452,'oddspedia-matches'!$A:$AD,AH$2,0)</f>
        <v>#N/A</v>
      </c>
      <c r="AI452" t="e">
        <f>VLOOKUP($Z452,'oddspedia-matches'!$A:$AD,AI$2,0)</f>
        <v>#N/A</v>
      </c>
      <c r="AJ452" t="e">
        <f>VLOOKUP($Z452,'oddspedia-matches'!$A:$AD,AJ$2,0)</f>
        <v>#N/A</v>
      </c>
      <c r="AK452" t="e">
        <f>VLOOKUP($Z452,'oddspedia-matches'!$A:$AD,AK$2,0)</f>
        <v>#N/A</v>
      </c>
      <c r="AL452" t="e">
        <f>VLOOKUP($Z452,'oddspedia-matches'!$A:$AD,AL$2,0)</f>
        <v>#N/A</v>
      </c>
      <c r="AM452" t="e">
        <f>VLOOKUP($Z452,'oddspedia-matches'!$A:$AD,AM$2,0)</f>
        <v>#N/A</v>
      </c>
      <c r="AN452" t="e">
        <f>VLOOKUP($Z452,'oddspedia-matches'!$A:$AD,AN$2,0)</f>
        <v>#N/A</v>
      </c>
      <c r="AO452" t="e">
        <f>VLOOKUP($Z452,'oddspedia-matches'!$A:$AD,AO$2,0)</f>
        <v>#N/A</v>
      </c>
      <c r="AP452" t="e">
        <f>VLOOKUP($Z452,'oddspedia-matches'!$A:$AD,AP$2,0)</f>
        <v>#N/A</v>
      </c>
      <c r="AQ452" t="e">
        <f>VLOOKUP($Z452,'oddspedia-matches'!$A:$AD,AQ$2,0)</f>
        <v>#N/A</v>
      </c>
    </row>
    <row r="453" spans="2:43" x14ac:dyDescent="0.2">
      <c r="B453" t="s">
        <v>479</v>
      </c>
      <c r="C453" t="s">
        <v>930</v>
      </c>
      <c r="D453" s="25">
        <v>0.66666666666666663</v>
      </c>
      <c r="E453" t="s">
        <v>1156</v>
      </c>
      <c r="F453" t="s">
        <v>1157</v>
      </c>
      <c r="H453">
        <v>48.4</v>
      </c>
      <c r="I453">
        <v>27.8</v>
      </c>
      <c r="J453">
        <v>23.8</v>
      </c>
      <c r="K453">
        <v>76.2</v>
      </c>
      <c r="L453">
        <v>51.6</v>
      </c>
      <c r="M453">
        <v>72.2</v>
      </c>
      <c r="N453">
        <v>29.9</v>
      </c>
      <c r="O453">
        <v>49</v>
      </c>
      <c r="P453">
        <v>21.1</v>
      </c>
      <c r="Q453">
        <v>61.1</v>
      </c>
      <c r="R453">
        <v>74.7</v>
      </c>
      <c r="S453">
        <v>48.5</v>
      </c>
      <c r="T453">
        <v>51.5</v>
      </c>
      <c r="U453">
        <v>57.7</v>
      </c>
      <c r="V453">
        <v>52.5</v>
      </c>
      <c r="W453">
        <v>47.5</v>
      </c>
      <c r="X453">
        <f>VLOOKUP(E453,'Transform table'!A:B,2,0)</f>
        <v>0</v>
      </c>
      <c r="Y453" t="e">
        <f>VLOOKUP(F453,'Transform table'!A:B,2,0)</f>
        <v>#N/A</v>
      </c>
      <c r="Z453" t="e">
        <f t="shared" si="7"/>
        <v>#N/A</v>
      </c>
      <c r="AA453" t="e">
        <f>VLOOKUP($Z453,'oddspedia-matches'!$A:$AD,AA$2,0)</f>
        <v>#N/A</v>
      </c>
      <c r="AB453" t="e">
        <f>VLOOKUP($Z453,'oddspedia-matches'!$A:$AD,AB$2,0)</f>
        <v>#N/A</v>
      </c>
      <c r="AC453" t="e">
        <f>VLOOKUP($Z453,'oddspedia-matches'!$A:$AD,AC$2,0)</f>
        <v>#N/A</v>
      </c>
      <c r="AD453" t="e">
        <f>VLOOKUP($Z453,'oddspedia-matches'!$A:$AD,AD$2,0)</f>
        <v>#N/A</v>
      </c>
      <c r="AE453" t="e">
        <f>VLOOKUP($Z453,'oddspedia-matches'!$A:$AD,AE$2,0)</f>
        <v>#N/A</v>
      </c>
      <c r="AF453" t="e">
        <f>VLOOKUP($Z453,'oddspedia-matches'!$A:$AD,AF$2,0)</f>
        <v>#N/A</v>
      </c>
      <c r="AG453" t="e">
        <f>VLOOKUP($Z453,'oddspedia-matches'!$A:$AD,AG$2,0)</f>
        <v>#N/A</v>
      </c>
      <c r="AH453" t="e">
        <f>VLOOKUP($Z453,'oddspedia-matches'!$A:$AD,AH$2,0)</f>
        <v>#N/A</v>
      </c>
      <c r="AI453" t="e">
        <f>VLOOKUP($Z453,'oddspedia-matches'!$A:$AD,AI$2,0)</f>
        <v>#N/A</v>
      </c>
      <c r="AJ453" t="e">
        <f>VLOOKUP($Z453,'oddspedia-matches'!$A:$AD,AJ$2,0)</f>
        <v>#N/A</v>
      </c>
      <c r="AK453" t="e">
        <f>VLOOKUP($Z453,'oddspedia-matches'!$A:$AD,AK$2,0)</f>
        <v>#N/A</v>
      </c>
      <c r="AL453" t="e">
        <f>VLOOKUP($Z453,'oddspedia-matches'!$A:$AD,AL$2,0)</f>
        <v>#N/A</v>
      </c>
      <c r="AM453" t="e">
        <f>VLOOKUP($Z453,'oddspedia-matches'!$A:$AD,AM$2,0)</f>
        <v>#N/A</v>
      </c>
      <c r="AN453" t="e">
        <f>VLOOKUP($Z453,'oddspedia-matches'!$A:$AD,AN$2,0)</f>
        <v>#N/A</v>
      </c>
      <c r="AO453" t="e">
        <f>VLOOKUP($Z453,'oddspedia-matches'!$A:$AD,AO$2,0)</f>
        <v>#N/A</v>
      </c>
      <c r="AP453" t="e">
        <f>VLOOKUP($Z453,'oddspedia-matches'!$A:$AD,AP$2,0)</f>
        <v>#N/A</v>
      </c>
      <c r="AQ453" t="e">
        <f>VLOOKUP($Z453,'oddspedia-matches'!$A:$AD,AQ$2,0)</f>
        <v>#N/A</v>
      </c>
    </row>
    <row r="454" spans="2:43" x14ac:dyDescent="0.2">
      <c r="B454" t="s">
        <v>1105</v>
      </c>
      <c r="C454" t="s">
        <v>930</v>
      </c>
      <c r="D454" s="25">
        <v>0.66666666666666663</v>
      </c>
      <c r="E454" t="s">
        <v>1158</v>
      </c>
      <c r="F454" t="s">
        <v>1159</v>
      </c>
      <c r="H454">
        <v>11.5</v>
      </c>
      <c r="I454">
        <v>30.8</v>
      </c>
      <c r="J454">
        <v>57.7</v>
      </c>
      <c r="K454">
        <v>42.3</v>
      </c>
      <c r="L454">
        <v>88.5</v>
      </c>
      <c r="M454">
        <v>69.2</v>
      </c>
      <c r="N454">
        <v>0</v>
      </c>
      <c r="O454">
        <v>46.8</v>
      </c>
      <c r="P454">
        <v>53.2</v>
      </c>
      <c r="Q454">
        <v>53.3</v>
      </c>
      <c r="R454">
        <v>59.4</v>
      </c>
      <c r="S454">
        <v>31.3</v>
      </c>
      <c r="T454">
        <v>68.7</v>
      </c>
      <c r="U454">
        <v>76.3</v>
      </c>
      <c r="V454">
        <v>31.5</v>
      </c>
      <c r="W454">
        <v>68.5</v>
      </c>
      <c r="X454">
        <f>VLOOKUP(E454,'Transform table'!A:B,2,0)</f>
        <v>0</v>
      </c>
      <c r="Y454" t="e">
        <f>VLOOKUP(F454,'Transform table'!A:B,2,0)</f>
        <v>#N/A</v>
      </c>
      <c r="Z454" t="e">
        <f t="shared" si="7"/>
        <v>#N/A</v>
      </c>
      <c r="AA454" t="e">
        <f>VLOOKUP($Z454,'oddspedia-matches'!$A:$AD,AA$2,0)</f>
        <v>#N/A</v>
      </c>
      <c r="AB454" t="e">
        <f>VLOOKUP($Z454,'oddspedia-matches'!$A:$AD,AB$2,0)</f>
        <v>#N/A</v>
      </c>
      <c r="AC454" t="e">
        <f>VLOOKUP($Z454,'oddspedia-matches'!$A:$AD,AC$2,0)</f>
        <v>#N/A</v>
      </c>
      <c r="AD454" t="e">
        <f>VLOOKUP($Z454,'oddspedia-matches'!$A:$AD,AD$2,0)</f>
        <v>#N/A</v>
      </c>
      <c r="AE454" t="e">
        <f>VLOOKUP($Z454,'oddspedia-matches'!$A:$AD,AE$2,0)</f>
        <v>#N/A</v>
      </c>
      <c r="AF454" t="e">
        <f>VLOOKUP($Z454,'oddspedia-matches'!$A:$AD,AF$2,0)</f>
        <v>#N/A</v>
      </c>
      <c r="AG454" t="e">
        <f>VLOOKUP($Z454,'oddspedia-matches'!$A:$AD,AG$2,0)</f>
        <v>#N/A</v>
      </c>
      <c r="AH454" t="e">
        <f>VLOOKUP($Z454,'oddspedia-matches'!$A:$AD,AH$2,0)</f>
        <v>#N/A</v>
      </c>
      <c r="AI454" t="e">
        <f>VLOOKUP($Z454,'oddspedia-matches'!$A:$AD,AI$2,0)</f>
        <v>#N/A</v>
      </c>
      <c r="AJ454" t="e">
        <f>VLOOKUP($Z454,'oddspedia-matches'!$A:$AD,AJ$2,0)</f>
        <v>#N/A</v>
      </c>
      <c r="AK454" t="e">
        <f>VLOOKUP($Z454,'oddspedia-matches'!$A:$AD,AK$2,0)</f>
        <v>#N/A</v>
      </c>
      <c r="AL454" t="e">
        <f>VLOOKUP($Z454,'oddspedia-matches'!$A:$AD,AL$2,0)</f>
        <v>#N/A</v>
      </c>
      <c r="AM454" t="e">
        <f>VLOOKUP($Z454,'oddspedia-matches'!$A:$AD,AM$2,0)</f>
        <v>#N/A</v>
      </c>
      <c r="AN454" t="e">
        <f>VLOOKUP($Z454,'oddspedia-matches'!$A:$AD,AN$2,0)</f>
        <v>#N/A</v>
      </c>
      <c r="AO454" t="e">
        <f>VLOOKUP($Z454,'oddspedia-matches'!$A:$AD,AO$2,0)</f>
        <v>#N/A</v>
      </c>
      <c r="AP454" t="e">
        <f>VLOOKUP($Z454,'oddspedia-matches'!$A:$AD,AP$2,0)</f>
        <v>#N/A</v>
      </c>
      <c r="AQ454" t="e">
        <f>VLOOKUP($Z454,'oddspedia-matches'!$A:$AD,AQ$2,0)</f>
        <v>#N/A</v>
      </c>
    </row>
    <row r="455" spans="2:43" x14ac:dyDescent="0.2">
      <c r="B455" t="s">
        <v>481</v>
      </c>
      <c r="C455" t="s">
        <v>930</v>
      </c>
      <c r="D455" s="25">
        <v>0.67708333333333337</v>
      </c>
      <c r="E455" t="s">
        <v>1160</v>
      </c>
      <c r="F455" t="s">
        <v>262</v>
      </c>
      <c r="H455">
        <v>56.4</v>
      </c>
      <c r="I455">
        <v>24.4</v>
      </c>
      <c r="J455">
        <v>19.2</v>
      </c>
      <c r="K455">
        <v>80.8</v>
      </c>
      <c r="L455">
        <v>43.6</v>
      </c>
      <c r="M455">
        <v>75.599999999999994</v>
      </c>
      <c r="N455">
        <v>47.4</v>
      </c>
      <c r="O455">
        <v>31</v>
      </c>
      <c r="P455">
        <v>21.7</v>
      </c>
      <c r="Q455">
        <v>86.9</v>
      </c>
      <c r="R455">
        <v>92.9</v>
      </c>
      <c r="S455">
        <v>79.3</v>
      </c>
      <c r="T455">
        <v>20.7</v>
      </c>
      <c r="U455">
        <v>26.4</v>
      </c>
      <c r="V455">
        <v>74.7</v>
      </c>
      <c r="W455">
        <v>25.3</v>
      </c>
      <c r="X455" t="str">
        <f>VLOOKUP(E455,'Transform table'!A:B,2,0)</f>
        <v>Fylkir</v>
      </c>
      <c r="Y455" t="str">
        <f>VLOOKUP(F455,'Transform table'!A:B,2,0)</f>
        <v>Hafnarfjordur</v>
      </c>
      <c r="Z455" t="str">
        <f t="shared" si="7"/>
        <v>26/07/2026FylkirHafnarfjordur</v>
      </c>
      <c r="AA455" t="e">
        <f>VLOOKUP($Z455,'oddspedia-matches'!$A:$AD,AA$2,0)</f>
        <v>#N/A</v>
      </c>
      <c r="AB455" t="e">
        <f>VLOOKUP($Z455,'oddspedia-matches'!$A:$AD,AB$2,0)</f>
        <v>#N/A</v>
      </c>
      <c r="AC455" t="e">
        <f>VLOOKUP($Z455,'oddspedia-matches'!$A:$AD,AC$2,0)</f>
        <v>#N/A</v>
      </c>
      <c r="AD455" t="e">
        <f>VLOOKUP($Z455,'oddspedia-matches'!$A:$AD,AD$2,0)</f>
        <v>#N/A</v>
      </c>
      <c r="AE455" t="e">
        <f>VLOOKUP($Z455,'oddspedia-matches'!$A:$AD,AE$2,0)</f>
        <v>#N/A</v>
      </c>
      <c r="AF455" t="e">
        <f>VLOOKUP($Z455,'oddspedia-matches'!$A:$AD,AF$2,0)</f>
        <v>#N/A</v>
      </c>
      <c r="AG455" t="e">
        <f>VLOOKUP($Z455,'oddspedia-matches'!$A:$AD,AG$2,0)</f>
        <v>#N/A</v>
      </c>
      <c r="AH455" t="e">
        <f>VLOOKUP($Z455,'oddspedia-matches'!$A:$AD,AH$2,0)</f>
        <v>#N/A</v>
      </c>
      <c r="AI455" t="e">
        <f>VLOOKUP($Z455,'oddspedia-matches'!$A:$AD,AI$2,0)</f>
        <v>#N/A</v>
      </c>
      <c r="AJ455" t="e">
        <f>VLOOKUP($Z455,'oddspedia-matches'!$A:$AD,AJ$2,0)</f>
        <v>#N/A</v>
      </c>
      <c r="AK455" t="e">
        <f>VLOOKUP($Z455,'oddspedia-matches'!$A:$AD,AK$2,0)</f>
        <v>#N/A</v>
      </c>
      <c r="AL455" t="e">
        <f>VLOOKUP($Z455,'oddspedia-matches'!$A:$AD,AL$2,0)</f>
        <v>#N/A</v>
      </c>
      <c r="AM455" t="e">
        <f>VLOOKUP($Z455,'oddspedia-matches'!$A:$AD,AM$2,0)</f>
        <v>#N/A</v>
      </c>
      <c r="AN455" t="e">
        <f>VLOOKUP($Z455,'oddspedia-matches'!$A:$AD,AN$2,0)</f>
        <v>#N/A</v>
      </c>
      <c r="AO455" t="e">
        <f>VLOOKUP($Z455,'oddspedia-matches'!$A:$AD,AO$2,0)</f>
        <v>#N/A</v>
      </c>
      <c r="AP455" t="e">
        <f>VLOOKUP($Z455,'oddspedia-matches'!$A:$AD,AP$2,0)</f>
        <v>#N/A</v>
      </c>
      <c r="AQ455" t="e">
        <f>VLOOKUP($Z455,'oddspedia-matches'!$A:$AD,AQ$2,0)</f>
        <v>#N/A</v>
      </c>
    </row>
    <row r="456" spans="2:43" x14ac:dyDescent="0.2">
      <c r="B456" t="s">
        <v>481</v>
      </c>
      <c r="C456" t="s">
        <v>930</v>
      </c>
      <c r="D456" s="25">
        <v>0.67708333333333337</v>
      </c>
      <c r="E456" t="s">
        <v>264</v>
      </c>
      <c r="F456" t="s">
        <v>1161</v>
      </c>
      <c r="H456">
        <v>45.4</v>
      </c>
      <c r="I456">
        <v>25.1</v>
      </c>
      <c r="J456">
        <v>29.5</v>
      </c>
      <c r="K456">
        <v>70.5</v>
      </c>
      <c r="L456">
        <v>54.6</v>
      </c>
      <c r="M456">
        <v>74.900000000000006</v>
      </c>
      <c r="N456">
        <v>38.4</v>
      </c>
      <c r="O456">
        <v>36.5</v>
      </c>
      <c r="P456">
        <v>25.2</v>
      </c>
      <c r="Q456">
        <v>80</v>
      </c>
      <c r="R456">
        <v>90.8</v>
      </c>
      <c r="S456">
        <v>74.7</v>
      </c>
      <c r="T456">
        <v>25.3</v>
      </c>
      <c r="U456">
        <v>30.5</v>
      </c>
      <c r="V456">
        <v>74.099999999999994</v>
      </c>
      <c r="W456">
        <v>25.9</v>
      </c>
      <c r="X456" t="str">
        <f>VLOOKUP(E456,'Transform table'!A:B,2,0)</f>
        <v>IA Akranes</v>
      </c>
      <c r="Y456" t="e">
        <f>VLOOKUP(F456,'Transform table'!A:B,2,0)</f>
        <v>#N/A</v>
      </c>
      <c r="Z456" t="e">
        <f t="shared" si="7"/>
        <v>#N/A</v>
      </c>
      <c r="AA456" t="e">
        <f>VLOOKUP($Z456,'oddspedia-matches'!$A:$AD,AA$2,0)</f>
        <v>#N/A</v>
      </c>
      <c r="AB456" t="e">
        <f>VLOOKUP($Z456,'oddspedia-matches'!$A:$AD,AB$2,0)</f>
        <v>#N/A</v>
      </c>
      <c r="AC456" t="e">
        <f>VLOOKUP($Z456,'oddspedia-matches'!$A:$AD,AC$2,0)</f>
        <v>#N/A</v>
      </c>
      <c r="AD456" t="e">
        <f>VLOOKUP($Z456,'oddspedia-matches'!$A:$AD,AD$2,0)</f>
        <v>#N/A</v>
      </c>
      <c r="AE456" t="e">
        <f>VLOOKUP($Z456,'oddspedia-matches'!$A:$AD,AE$2,0)</f>
        <v>#N/A</v>
      </c>
      <c r="AF456" t="e">
        <f>VLOOKUP($Z456,'oddspedia-matches'!$A:$AD,AF$2,0)</f>
        <v>#N/A</v>
      </c>
      <c r="AG456" t="e">
        <f>VLOOKUP($Z456,'oddspedia-matches'!$A:$AD,AG$2,0)</f>
        <v>#N/A</v>
      </c>
      <c r="AH456" t="e">
        <f>VLOOKUP($Z456,'oddspedia-matches'!$A:$AD,AH$2,0)</f>
        <v>#N/A</v>
      </c>
      <c r="AI456" t="e">
        <f>VLOOKUP($Z456,'oddspedia-matches'!$A:$AD,AI$2,0)</f>
        <v>#N/A</v>
      </c>
      <c r="AJ456" t="e">
        <f>VLOOKUP($Z456,'oddspedia-matches'!$A:$AD,AJ$2,0)</f>
        <v>#N/A</v>
      </c>
      <c r="AK456" t="e">
        <f>VLOOKUP($Z456,'oddspedia-matches'!$A:$AD,AK$2,0)</f>
        <v>#N/A</v>
      </c>
      <c r="AL456" t="e">
        <f>VLOOKUP($Z456,'oddspedia-matches'!$A:$AD,AL$2,0)</f>
        <v>#N/A</v>
      </c>
      <c r="AM456" t="e">
        <f>VLOOKUP($Z456,'oddspedia-matches'!$A:$AD,AM$2,0)</f>
        <v>#N/A</v>
      </c>
      <c r="AN456" t="e">
        <f>VLOOKUP($Z456,'oddspedia-matches'!$A:$AD,AN$2,0)</f>
        <v>#N/A</v>
      </c>
      <c r="AO456" t="e">
        <f>VLOOKUP($Z456,'oddspedia-matches'!$A:$AD,AO$2,0)</f>
        <v>#N/A</v>
      </c>
      <c r="AP456" t="e">
        <f>VLOOKUP($Z456,'oddspedia-matches'!$A:$AD,AP$2,0)</f>
        <v>#N/A</v>
      </c>
      <c r="AQ456" t="e">
        <f>VLOOKUP($Z456,'oddspedia-matches'!$A:$AD,AQ$2,0)</f>
        <v>#N/A</v>
      </c>
    </row>
    <row r="457" spans="2:43" x14ac:dyDescent="0.2">
      <c r="B457" t="s">
        <v>647</v>
      </c>
      <c r="C457" t="s">
        <v>930</v>
      </c>
      <c r="D457" s="25">
        <v>0.6875</v>
      </c>
      <c r="E457" t="s">
        <v>1162</v>
      </c>
      <c r="F457" t="s">
        <v>323</v>
      </c>
      <c r="H457">
        <v>45.6</v>
      </c>
      <c r="I457">
        <v>34.299999999999997</v>
      </c>
      <c r="J457">
        <v>20</v>
      </c>
      <c r="K457">
        <v>80</v>
      </c>
      <c r="L457">
        <v>54.4</v>
      </c>
      <c r="M457">
        <v>65.7</v>
      </c>
      <c r="N457">
        <v>33.299999999999997</v>
      </c>
      <c r="O457">
        <v>49.4</v>
      </c>
      <c r="P457">
        <v>17.3</v>
      </c>
      <c r="Q457">
        <v>59.6</v>
      </c>
      <c r="R457">
        <v>52.7</v>
      </c>
      <c r="S457">
        <v>24.9</v>
      </c>
      <c r="T457">
        <v>75.099999999999994</v>
      </c>
      <c r="U457">
        <v>79.7</v>
      </c>
      <c r="V457">
        <v>32.299999999999997</v>
      </c>
      <c r="W457">
        <v>67.7</v>
      </c>
      <c r="X457" t="str">
        <f>VLOOKUP(E457,'Transform table'!A:B,2,0)</f>
        <v>Godoy Cruz</v>
      </c>
      <c r="Y457" t="e">
        <f>VLOOKUP(F457,'Transform table'!A:B,2,0)</f>
        <v>#N/A</v>
      </c>
      <c r="Z457" t="e">
        <f t="shared" si="7"/>
        <v>#N/A</v>
      </c>
      <c r="AA457" t="e">
        <f>VLOOKUP($Z457,'oddspedia-matches'!$A:$AD,AA$2,0)</f>
        <v>#N/A</v>
      </c>
      <c r="AB457" t="e">
        <f>VLOOKUP($Z457,'oddspedia-matches'!$A:$AD,AB$2,0)</f>
        <v>#N/A</v>
      </c>
      <c r="AC457" t="e">
        <f>VLOOKUP($Z457,'oddspedia-matches'!$A:$AD,AC$2,0)</f>
        <v>#N/A</v>
      </c>
      <c r="AD457" t="e">
        <f>VLOOKUP($Z457,'oddspedia-matches'!$A:$AD,AD$2,0)</f>
        <v>#N/A</v>
      </c>
      <c r="AE457" t="e">
        <f>VLOOKUP($Z457,'oddspedia-matches'!$A:$AD,AE$2,0)</f>
        <v>#N/A</v>
      </c>
      <c r="AF457" t="e">
        <f>VLOOKUP($Z457,'oddspedia-matches'!$A:$AD,AF$2,0)</f>
        <v>#N/A</v>
      </c>
      <c r="AG457" t="e">
        <f>VLOOKUP($Z457,'oddspedia-matches'!$A:$AD,AG$2,0)</f>
        <v>#N/A</v>
      </c>
      <c r="AH457" t="e">
        <f>VLOOKUP($Z457,'oddspedia-matches'!$A:$AD,AH$2,0)</f>
        <v>#N/A</v>
      </c>
      <c r="AI457" t="e">
        <f>VLOOKUP($Z457,'oddspedia-matches'!$A:$AD,AI$2,0)</f>
        <v>#N/A</v>
      </c>
      <c r="AJ457" t="e">
        <f>VLOOKUP($Z457,'oddspedia-matches'!$A:$AD,AJ$2,0)</f>
        <v>#N/A</v>
      </c>
      <c r="AK457" t="e">
        <f>VLOOKUP($Z457,'oddspedia-matches'!$A:$AD,AK$2,0)</f>
        <v>#N/A</v>
      </c>
      <c r="AL457" t="e">
        <f>VLOOKUP($Z457,'oddspedia-matches'!$A:$AD,AL$2,0)</f>
        <v>#N/A</v>
      </c>
      <c r="AM457" t="e">
        <f>VLOOKUP($Z457,'oddspedia-matches'!$A:$AD,AM$2,0)</f>
        <v>#N/A</v>
      </c>
      <c r="AN457" t="e">
        <f>VLOOKUP($Z457,'oddspedia-matches'!$A:$AD,AN$2,0)</f>
        <v>#N/A</v>
      </c>
      <c r="AO457" t="e">
        <f>VLOOKUP($Z457,'oddspedia-matches'!$A:$AD,AO$2,0)</f>
        <v>#N/A</v>
      </c>
      <c r="AP457" t="e">
        <f>VLOOKUP($Z457,'oddspedia-matches'!$A:$AD,AP$2,0)</f>
        <v>#N/A</v>
      </c>
      <c r="AQ457" t="e">
        <f>VLOOKUP($Z457,'oddspedia-matches'!$A:$AD,AQ$2,0)</f>
        <v>#N/A</v>
      </c>
    </row>
    <row r="458" spans="2:43" x14ac:dyDescent="0.2">
      <c r="B458" t="s">
        <v>685</v>
      </c>
      <c r="C458" t="s">
        <v>930</v>
      </c>
      <c r="D458" s="25">
        <v>0.70833333333333337</v>
      </c>
      <c r="E458" t="s">
        <v>1163</v>
      </c>
      <c r="F458" t="s">
        <v>1164</v>
      </c>
      <c r="H458">
        <v>51.2</v>
      </c>
      <c r="I458">
        <v>31.3</v>
      </c>
      <c r="J458">
        <v>17.399999999999999</v>
      </c>
      <c r="K458">
        <v>82.6</v>
      </c>
      <c r="L458">
        <v>48.8</v>
      </c>
      <c r="M458">
        <v>68.7</v>
      </c>
      <c r="N458">
        <v>32</v>
      </c>
      <c r="O458">
        <v>54.7</v>
      </c>
      <c r="P458">
        <v>13.3</v>
      </c>
      <c r="Q458">
        <v>51.6</v>
      </c>
      <c r="R458">
        <v>57.9</v>
      </c>
      <c r="S458">
        <v>29.7</v>
      </c>
      <c r="T458">
        <v>70.3</v>
      </c>
      <c r="U458">
        <v>76.099999999999994</v>
      </c>
      <c r="V458">
        <v>34.700000000000003</v>
      </c>
      <c r="W458">
        <v>65.3</v>
      </c>
      <c r="X458">
        <f>VLOOKUP(E458,'Transform table'!A:B,2,0)</f>
        <v>0</v>
      </c>
      <c r="Y458" t="e">
        <f>VLOOKUP(F458,'Transform table'!A:B,2,0)</f>
        <v>#N/A</v>
      </c>
      <c r="Z458" t="e">
        <f t="shared" si="7"/>
        <v>#N/A</v>
      </c>
      <c r="AA458" t="e">
        <f>VLOOKUP($Z458,'oddspedia-matches'!$A:$AD,AA$2,0)</f>
        <v>#N/A</v>
      </c>
      <c r="AB458" t="e">
        <f>VLOOKUP($Z458,'oddspedia-matches'!$A:$AD,AB$2,0)</f>
        <v>#N/A</v>
      </c>
      <c r="AC458" t="e">
        <f>VLOOKUP($Z458,'oddspedia-matches'!$A:$AD,AC$2,0)</f>
        <v>#N/A</v>
      </c>
      <c r="AD458" t="e">
        <f>VLOOKUP($Z458,'oddspedia-matches'!$A:$AD,AD$2,0)</f>
        <v>#N/A</v>
      </c>
      <c r="AE458" t="e">
        <f>VLOOKUP($Z458,'oddspedia-matches'!$A:$AD,AE$2,0)</f>
        <v>#N/A</v>
      </c>
      <c r="AF458" t="e">
        <f>VLOOKUP($Z458,'oddspedia-matches'!$A:$AD,AF$2,0)</f>
        <v>#N/A</v>
      </c>
      <c r="AG458" t="e">
        <f>VLOOKUP($Z458,'oddspedia-matches'!$A:$AD,AG$2,0)</f>
        <v>#N/A</v>
      </c>
      <c r="AH458" t="e">
        <f>VLOOKUP($Z458,'oddspedia-matches'!$A:$AD,AH$2,0)</f>
        <v>#N/A</v>
      </c>
      <c r="AI458" t="e">
        <f>VLOOKUP($Z458,'oddspedia-matches'!$A:$AD,AI$2,0)</f>
        <v>#N/A</v>
      </c>
      <c r="AJ458" t="e">
        <f>VLOOKUP($Z458,'oddspedia-matches'!$A:$AD,AJ$2,0)</f>
        <v>#N/A</v>
      </c>
      <c r="AK458" t="e">
        <f>VLOOKUP($Z458,'oddspedia-matches'!$A:$AD,AK$2,0)</f>
        <v>#N/A</v>
      </c>
      <c r="AL458" t="e">
        <f>VLOOKUP($Z458,'oddspedia-matches'!$A:$AD,AL$2,0)</f>
        <v>#N/A</v>
      </c>
      <c r="AM458" t="e">
        <f>VLOOKUP($Z458,'oddspedia-matches'!$A:$AD,AM$2,0)</f>
        <v>#N/A</v>
      </c>
      <c r="AN458" t="e">
        <f>VLOOKUP($Z458,'oddspedia-matches'!$A:$AD,AN$2,0)</f>
        <v>#N/A</v>
      </c>
      <c r="AO458" t="e">
        <f>VLOOKUP($Z458,'oddspedia-matches'!$A:$AD,AO$2,0)</f>
        <v>#N/A</v>
      </c>
      <c r="AP458" t="e">
        <f>VLOOKUP($Z458,'oddspedia-matches'!$A:$AD,AP$2,0)</f>
        <v>#N/A</v>
      </c>
      <c r="AQ458" t="e">
        <f>VLOOKUP($Z458,'oddspedia-matches'!$A:$AD,AQ$2,0)</f>
        <v>#N/A</v>
      </c>
    </row>
    <row r="459" spans="2:43" x14ac:dyDescent="0.2">
      <c r="B459" t="s">
        <v>685</v>
      </c>
      <c r="C459" t="s">
        <v>930</v>
      </c>
      <c r="D459" s="25">
        <v>0.70833333333333337</v>
      </c>
      <c r="E459" t="s">
        <v>1165</v>
      </c>
      <c r="F459" t="s">
        <v>1166</v>
      </c>
      <c r="H459">
        <v>49</v>
      </c>
      <c r="I459">
        <v>32.299999999999997</v>
      </c>
      <c r="J459">
        <v>18.7</v>
      </c>
      <c r="K459">
        <v>81.3</v>
      </c>
      <c r="L459">
        <v>51</v>
      </c>
      <c r="M459">
        <v>67.7</v>
      </c>
      <c r="N459">
        <v>32</v>
      </c>
      <c r="O459">
        <v>55.4</v>
      </c>
      <c r="P459">
        <v>12.6</v>
      </c>
      <c r="Q459">
        <v>50.6</v>
      </c>
      <c r="R459">
        <v>56.5</v>
      </c>
      <c r="S459">
        <v>28.4</v>
      </c>
      <c r="T459">
        <v>71.599999999999994</v>
      </c>
      <c r="U459">
        <v>77</v>
      </c>
      <c r="V459">
        <v>34.4</v>
      </c>
      <c r="W459">
        <v>65.599999999999994</v>
      </c>
      <c r="X459" t="str">
        <f>VLOOKUP(E459,'Transform table'!A:B,2,0)</f>
        <v>AS Avellino</v>
      </c>
      <c r="Y459" t="e">
        <f>VLOOKUP(F459,'Transform table'!A:B,2,0)</f>
        <v>#N/A</v>
      </c>
      <c r="Z459" t="e">
        <f t="shared" si="7"/>
        <v>#N/A</v>
      </c>
      <c r="AA459" t="e">
        <f>VLOOKUP($Z459,'oddspedia-matches'!$A:$AD,AA$2,0)</f>
        <v>#N/A</v>
      </c>
      <c r="AB459" t="e">
        <f>VLOOKUP($Z459,'oddspedia-matches'!$A:$AD,AB$2,0)</f>
        <v>#N/A</v>
      </c>
      <c r="AC459" t="e">
        <f>VLOOKUP($Z459,'oddspedia-matches'!$A:$AD,AC$2,0)</f>
        <v>#N/A</v>
      </c>
      <c r="AD459" t="e">
        <f>VLOOKUP($Z459,'oddspedia-matches'!$A:$AD,AD$2,0)</f>
        <v>#N/A</v>
      </c>
      <c r="AE459" t="e">
        <f>VLOOKUP($Z459,'oddspedia-matches'!$A:$AD,AE$2,0)</f>
        <v>#N/A</v>
      </c>
      <c r="AF459" t="e">
        <f>VLOOKUP($Z459,'oddspedia-matches'!$A:$AD,AF$2,0)</f>
        <v>#N/A</v>
      </c>
      <c r="AG459" t="e">
        <f>VLOOKUP($Z459,'oddspedia-matches'!$A:$AD,AG$2,0)</f>
        <v>#N/A</v>
      </c>
      <c r="AH459" t="e">
        <f>VLOOKUP($Z459,'oddspedia-matches'!$A:$AD,AH$2,0)</f>
        <v>#N/A</v>
      </c>
      <c r="AI459" t="e">
        <f>VLOOKUP($Z459,'oddspedia-matches'!$A:$AD,AI$2,0)</f>
        <v>#N/A</v>
      </c>
      <c r="AJ459" t="e">
        <f>VLOOKUP($Z459,'oddspedia-matches'!$A:$AD,AJ$2,0)</f>
        <v>#N/A</v>
      </c>
      <c r="AK459" t="e">
        <f>VLOOKUP($Z459,'oddspedia-matches'!$A:$AD,AK$2,0)</f>
        <v>#N/A</v>
      </c>
      <c r="AL459" t="e">
        <f>VLOOKUP($Z459,'oddspedia-matches'!$A:$AD,AL$2,0)</f>
        <v>#N/A</v>
      </c>
      <c r="AM459" t="e">
        <f>VLOOKUP($Z459,'oddspedia-matches'!$A:$AD,AM$2,0)</f>
        <v>#N/A</v>
      </c>
      <c r="AN459" t="e">
        <f>VLOOKUP($Z459,'oddspedia-matches'!$A:$AD,AN$2,0)</f>
        <v>#N/A</v>
      </c>
      <c r="AO459" t="e">
        <f>VLOOKUP($Z459,'oddspedia-matches'!$A:$AD,AO$2,0)</f>
        <v>#N/A</v>
      </c>
      <c r="AP459" t="e">
        <f>VLOOKUP($Z459,'oddspedia-matches'!$A:$AD,AP$2,0)</f>
        <v>#N/A</v>
      </c>
      <c r="AQ459" t="e">
        <f>VLOOKUP($Z459,'oddspedia-matches'!$A:$AD,AQ$2,0)</f>
        <v>#N/A</v>
      </c>
    </row>
    <row r="460" spans="2:43" x14ac:dyDescent="0.2">
      <c r="B460" t="s">
        <v>685</v>
      </c>
      <c r="C460" t="s">
        <v>930</v>
      </c>
      <c r="D460" s="25">
        <v>0.70833333333333337</v>
      </c>
      <c r="E460" t="s">
        <v>1167</v>
      </c>
      <c r="F460" t="s">
        <v>1168</v>
      </c>
      <c r="H460">
        <v>40.700000000000003</v>
      </c>
      <c r="I460">
        <v>32.9</v>
      </c>
      <c r="J460">
        <v>26.5</v>
      </c>
      <c r="K460">
        <v>73.5</v>
      </c>
      <c r="L460">
        <v>59.3</v>
      </c>
      <c r="M460">
        <v>67.099999999999994</v>
      </c>
      <c r="N460">
        <v>24.4</v>
      </c>
      <c r="O460">
        <v>53.1</v>
      </c>
      <c r="P460">
        <v>22.5</v>
      </c>
      <c r="Q460">
        <v>55.4</v>
      </c>
      <c r="R460">
        <v>60.8</v>
      </c>
      <c r="S460">
        <v>32.4</v>
      </c>
      <c r="T460">
        <v>67.599999999999994</v>
      </c>
      <c r="U460">
        <v>72.400000000000006</v>
      </c>
      <c r="V460">
        <v>40.700000000000003</v>
      </c>
      <c r="W460">
        <v>59.3</v>
      </c>
      <c r="X460" t="str">
        <f>VLOOKUP(E460,'Transform table'!A:B,2,0)</f>
        <v>Ferrocarril Midland</v>
      </c>
      <c r="Y460" t="e">
        <f>VLOOKUP(F460,'Transform table'!A:B,2,0)</f>
        <v>#N/A</v>
      </c>
      <c r="Z460" t="e">
        <f t="shared" si="7"/>
        <v>#N/A</v>
      </c>
      <c r="AA460" t="e">
        <f>VLOOKUP($Z460,'oddspedia-matches'!$A:$AD,AA$2,0)</f>
        <v>#N/A</v>
      </c>
      <c r="AB460" t="e">
        <f>VLOOKUP($Z460,'oddspedia-matches'!$A:$AD,AB$2,0)</f>
        <v>#N/A</v>
      </c>
      <c r="AC460" t="e">
        <f>VLOOKUP($Z460,'oddspedia-matches'!$A:$AD,AC$2,0)</f>
        <v>#N/A</v>
      </c>
      <c r="AD460" t="e">
        <f>VLOOKUP($Z460,'oddspedia-matches'!$A:$AD,AD$2,0)</f>
        <v>#N/A</v>
      </c>
      <c r="AE460" t="e">
        <f>VLOOKUP($Z460,'oddspedia-matches'!$A:$AD,AE$2,0)</f>
        <v>#N/A</v>
      </c>
      <c r="AF460" t="e">
        <f>VLOOKUP($Z460,'oddspedia-matches'!$A:$AD,AF$2,0)</f>
        <v>#N/A</v>
      </c>
      <c r="AG460" t="e">
        <f>VLOOKUP($Z460,'oddspedia-matches'!$A:$AD,AG$2,0)</f>
        <v>#N/A</v>
      </c>
      <c r="AH460" t="e">
        <f>VLOOKUP($Z460,'oddspedia-matches'!$A:$AD,AH$2,0)</f>
        <v>#N/A</v>
      </c>
      <c r="AI460" t="e">
        <f>VLOOKUP($Z460,'oddspedia-matches'!$A:$AD,AI$2,0)</f>
        <v>#N/A</v>
      </c>
      <c r="AJ460" t="e">
        <f>VLOOKUP($Z460,'oddspedia-matches'!$A:$AD,AJ$2,0)</f>
        <v>#N/A</v>
      </c>
      <c r="AK460" t="e">
        <f>VLOOKUP($Z460,'oddspedia-matches'!$A:$AD,AK$2,0)</f>
        <v>#N/A</v>
      </c>
      <c r="AL460" t="e">
        <f>VLOOKUP($Z460,'oddspedia-matches'!$A:$AD,AL$2,0)</f>
        <v>#N/A</v>
      </c>
      <c r="AM460" t="e">
        <f>VLOOKUP($Z460,'oddspedia-matches'!$A:$AD,AM$2,0)</f>
        <v>#N/A</v>
      </c>
      <c r="AN460" t="e">
        <f>VLOOKUP($Z460,'oddspedia-matches'!$A:$AD,AN$2,0)</f>
        <v>#N/A</v>
      </c>
      <c r="AO460" t="e">
        <f>VLOOKUP($Z460,'oddspedia-matches'!$A:$AD,AO$2,0)</f>
        <v>#N/A</v>
      </c>
      <c r="AP460" t="e">
        <f>VLOOKUP($Z460,'oddspedia-matches'!$A:$AD,AP$2,0)</f>
        <v>#N/A</v>
      </c>
      <c r="AQ460" t="e">
        <f>VLOOKUP($Z460,'oddspedia-matches'!$A:$AD,AQ$2,0)</f>
        <v>#N/A</v>
      </c>
    </row>
    <row r="461" spans="2:43" x14ac:dyDescent="0.2">
      <c r="B461" t="s">
        <v>685</v>
      </c>
      <c r="C461" t="s">
        <v>930</v>
      </c>
      <c r="D461" s="25">
        <v>0.70833333333333337</v>
      </c>
      <c r="E461" t="s">
        <v>1169</v>
      </c>
      <c r="F461" t="s">
        <v>1170</v>
      </c>
      <c r="H461">
        <v>45.2</v>
      </c>
      <c r="I461">
        <v>31.2</v>
      </c>
      <c r="J461">
        <v>23.6</v>
      </c>
      <c r="K461">
        <v>76.400000000000006</v>
      </c>
      <c r="L461">
        <v>54.8</v>
      </c>
      <c r="M461">
        <v>68.8</v>
      </c>
      <c r="N461">
        <v>45.7</v>
      </c>
      <c r="O461">
        <v>43.3</v>
      </c>
      <c r="P461">
        <v>11</v>
      </c>
      <c r="Q461">
        <v>65</v>
      </c>
      <c r="R461">
        <v>63.9</v>
      </c>
      <c r="S461">
        <v>35.6</v>
      </c>
      <c r="T461">
        <v>64.400000000000006</v>
      </c>
      <c r="U461">
        <v>69.8</v>
      </c>
      <c r="V461">
        <v>42.4</v>
      </c>
      <c r="W461">
        <v>57.6</v>
      </c>
      <c r="X461" t="str">
        <f>VLOOKUP(E461,'Transform table'!A:B,2,0)</f>
        <v>Treibach</v>
      </c>
      <c r="Y461" t="e">
        <f>VLOOKUP(F461,'Transform table'!A:B,2,0)</f>
        <v>#N/A</v>
      </c>
      <c r="Z461" t="e">
        <f t="shared" si="7"/>
        <v>#N/A</v>
      </c>
      <c r="AA461" t="e">
        <f>VLOOKUP($Z461,'oddspedia-matches'!$A:$AD,AA$2,0)</f>
        <v>#N/A</v>
      </c>
      <c r="AB461" t="e">
        <f>VLOOKUP($Z461,'oddspedia-matches'!$A:$AD,AB$2,0)</f>
        <v>#N/A</v>
      </c>
      <c r="AC461" t="e">
        <f>VLOOKUP($Z461,'oddspedia-matches'!$A:$AD,AC$2,0)</f>
        <v>#N/A</v>
      </c>
      <c r="AD461" t="e">
        <f>VLOOKUP($Z461,'oddspedia-matches'!$A:$AD,AD$2,0)</f>
        <v>#N/A</v>
      </c>
      <c r="AE461" t="e">
        <f>VLOOKUP($Z461,'oddspedia-matches'!$A:$AD,AE$2,0)</f>
        <v>#N/A</v>
      </c>
      <c r="AF461" t="e">
        <f>VLOOKUP($Z461,'oddspedia-matches'!$A:$AD,AF$2,0)</f>
        <v>#N/A</v>
      </c>
      <c r="AG461" t="e">
        <f>VLOOKUP($Z461,'oddspedia-matches'!$A:$AD,AG$2,0)</f>
        <v>#N/A</v>
      </c>
      <c r="AH461" t="e">
        <f>VLOOKUP($Z461,'oddspedia-matches'!$A:$AD,AH$2,0)</f>
        <v>#N/A</v>
      </c>
      <c r="AI461" t="e">
        <f>VLOOKUP($Z461,'oddspedia-matches'!$A:$AD,AI$2,0)</f>
        <v>#N/A</v>
      </c>
      <c r="AJ461" t="e">
        <f>VLOOKUP($Z461,'oddspedia-matches'!$A:$AD,AJ$2,0)</f>
        <v>#N/A</v>
      </c>
      <c r="AK461" t="e">
        <f>VLOOKUP($Z461,'oddspedia-matches'!$A:$AD,AK$2,0)</f>
        <v>#N/A</v>
      </c>
      <c r="AL461" t="e">
        <f>VLOOKUP($Z461,'oddspedia-matches'!$A:$AD,AL$2,0)</f>
        <v>#N/A</v>
      </c>
      <c r="AM461" t="e">
        <f>VLOOKUP($Z461,'oddspedia-matches'!$A:$AD,AM$2,0)</f>
        <v>#N/A</v>
      </c>
      <c r="AN461" t="e">
        <f>VLOOKUP($Z461,'oddspedia-matches'!$A:$AD,AN$2,0)</f>
        <v>#N/A</v>
      </c>
      <c r="AO461" t="e">
        <f>VLOOKUP($Z461,'oddspedia-matches'!$A:$AD,AO$2,0)</f>
        <v>#N/A</v>
      </c>
      <c r="AP461" t="e">
        <f>VLOOKUP($Z461,'oddspedia-matches'!$A:$AD,AP$2,0)</f>
        <v>#N/A</v>
      </c>
      <c r="AQ461" t="e">
        <f>VLOOKUP($Z461,'oddspedia-matches'!$A:$AD,AQ$2,0)</f>
        <v>#N/A</v>
      </c>
    </row>
    <row r="462" spans="2:43" x14ac:dyDescent="0.2">
      <c r="B462" t="s">
        <v>452</v>
      </c>
      <c r="C462" t="s">
        <v>930</v>
      </c>
      <c r="D462" s="25">
        <v>0.70833333333333337</v>
      </c>
      <c r="E462" t="s">
        <v>239</v>
      </c>
      <c r="F462" t="s">
        <v>62</v>
      </c>
      <c r="H462">
        <v>41.3</v>
      </c>
      <c r="I462">
        <v>34.4</v>
      </c>
      <c r="J462">
        <v>24.2</v>
      </c>
      <c r="K462">
        <v>75.8</v>
      </c>
      <c r="L462">
        <v>58.7</v>
      </c>
      <c r="M462">
        <v>65.599999999999994</v>
      </c>
      <c r="N462">
        <v>27.6</v>
      </c>
      <c r="O462">
        <v>56</v>
      </c>
      <c r="P462">
        <v>16.399999999999999</v>
      </c>
      <c r="Q462">
        <v>50.8</v>
      </c>
      <c r="R462">
        <v>55.3</v>
      </c>
      <c r="S462">
        <v>27.2</v>
      </c>
      <c r="T462">
        <v>72.8</v>
      </c>
      <c r="U462">
        <v>77.2</v>
      </c>
      <c r="V462">
        <v>35.799999999999997</v>
      </c>
      <c r="W462">
        <v>64.2</v>
      </c>
      <c r="X462" t="str">
        <f>VLOOKUP(E462,'Transform table'!A:B,2,0)</f>
        <v>Barcelona SC</v>
      </c>
      <c r="Y462" t="str">
        <f>VLOOKUP(F462,'Transform table'!A:B,2,0)</f>
        <v>LDU Quito</v>
      </c>
      <c r="Z462" t="str">
        <f t="shared" si="7"/>
        <v>26/07/2026Barcelona SCLDU Quito</v>
      </c>
      <c r="AA462" t="e">
        <f>VLOOKUP($Z462,'oddspedia-matches'!$A:$AD,AA$2,0)</f>
        <v>#N/A</v>
      </c>
      <c r="AB462" t="e">
        <f>VLOOKUP($Z462,'oddspedia-matches'!$A:$AD,AB$2,0)</f>
        <v>#N/A</v>
      </c>
      <c r="AC462" t="e">
        <f>VLOOKUP($Z462,'oddspedia-matches'!$A:$AD,AC$2,0)</f>
        <v>#N/A</v>
      </c>
      <c r="AD462" t="e">
        <f>VLOOKUP($Z462,'oddspedia-matches'!$A:$AD,AD$2,0)</f>
        <v>#N/A</v>
      </c>
      <c r="AE462" t="e">
        <f>VLOOKUP($Z462,'oddspedia-matches'!$A:$AD,AE$2,0)</f>
        <v>#N/A</v>
      </c>
      <c r="AF462" t="e">
        <f>VLOOKUP($Z462,'oddspedia-matches'!$A:$AD,AF$2,0)</f>
        <v>#N/A</v>
      </c>
      <c r="AG462" t="e">
        <f>VLOOKUP($Z462,'oddspedia-matches'!$A:$AD,AG$2,0)</f>
        <v>#N/A</v>
      </c>
      <c r="AH462" t="e">
        <f>VLOOKUP($Z462,'oddspedia-matches'!$A:$AD,AH$2,0)</f>
        <v>#N/A</v>
      </c>
      <c r="AI462" t="e">
        <f>VLOOKUP($Z462,'oddspedia-matches'!$A:$AD,AI$2,0)</f>
        <v>#N/A</v>
      </c>
      <c r="AJ462" t="e">
        <f>VLOOKUP($Z462,'oddspedia-matches'!$A:$AD,AJ$2,0)</f>
        <v>#N/A</v>
      </c>
      <c r="AK462" t="e">
        <f>VLOOKUP($Z462,'oddspedia-matches'!$A:$AD,AK$2,0)</f>
        <v>#N/A</v>
      </c>
      <c r="AL462" t="e">
        <f>VLOOKUP($Z462,'oddspedia-matches'!$A:$AD,AL$2,0)</f>
        <v>#N/A</v>
      </c>
      <c r="AM462" t="e">
        <f>VLOOKUP($Z462,'oddspedia-matches'!$A:$AD,AM$2,0)</f>
        <v>#N/A</v>
      </c>
      <c r="AN462" t="e">
        <f>VLOOKUP($Z462,'oddspedia-matches'!$A:$AD,AN$2,0)</f>
        <v>#N/A</v>
      </c>
      <c r="AO462" t="e">
        <f>VLOOKUP($Z462,'oddspedia-matches'!$A:$AD,AO$2,0)</f>
        <v>#N/A</v>
      </c>
      <c r="AP462" t="e">
        <f>VLOOKUP($Z462,'oddspedia-matches'!$A:$AD,AP$2,0)</f>
        <v>#N/A</v>
      </c>
      <c r="AQ462" t="e">
        <f>VLOOKUP($Z462,'oddspedia-matches'!$A:$AD,AQ$2,0)</f>
        <v>#N/A</v>
      </c>
    </row>
    <row r="463" spans="2:43" x14ac:dyDescent="0.2">
      <c r="B463" t="s">
        <v>452</v>
      </c>
      <c r="C463" t="s">
        <v>930</v>
      </c>
      <c r="D463" s="25">
        <v>0.70833333333333337</v>
      </c>
      <c r="E463" t="s">
        <v>38</v>
      </c>
      <c r="F463" t="s">
        <v>61</v>
      </c>
      <c r="H463">
        <v>46.7</v>
      </c>
      <c r="I463">
        <v>32.6</v>
      </c>
      <c r="J463">
        <v>20.7</v>
      </c>
      <c r="K463">
        <v>79.3</v>
      </c>
      <c r="L463">
        <v>53.3</v>
      </c>
      <c r="M463">
        <v>67.400000000000006</v>
      </c>
      <c r="N463">
        <v>34.200000000000003</v>
      </c>
      <c r="O463">
        <v>53.5</v>
      </c>
      <c r="P463">
        <v>12.3</v>
      </c>
      <c r="Q463">
        <v>52.9</v>
      </c>
      <c r="R463">
        <v>57.7</v>
      </c>
      <c r="S463">
        <v>29.4</v>
      </c>
      <c r="T463">
        <v>70.599999999999994</v>
      </c>
      <c r="U463">
        <v>75.7</v>
      </c>
      <c r="V463">
        <v>36.299999999999997</v>
      </c>
      <c r="W463">
        <v>63.7</v>
      </c>
      <c r="X463" t="str">
        <f>VLOOKUP(E463,'Transform table'!A:B,2,0)</f>
        <v>Tecnico Universitario</v>
      </c>
      <c r="Y463" t="str">
        <f>VLOOKUP(F463,'Transform table'!A:B,2,0)</f>
        <v>Manta FC</v>
      </c>
      <c r="Z463" t="str">
        <f t="shared" si="7"/>
        <v>26/07/2026Tecnico UniversitarioManta FC</v>
      </c>
      <c r="AA463" t="e">
        <f>VLOOKUP($Z463,'oddspedia-matches'!$A:$AD,AA$2,0)</f>
        <v>#N/A</v>
      </c>
      <c r="AB463" t="e">
        <f>VLOOKUP($Z463,'oddspedia-matches'!$A:$AD,AB$2,0)</f>
        <v>#N/A</v>
      </c>
      <c r="AC463" t="e">
        <f>VLOOKUP($Z463,'oddspedia-matches'!$A:$AD,AC$2,0)</f>
        <v>#N/A</v>
      </c>
      <c r="AD463" t="e">
        <f>VLOOKUP($Z463,'oddspedia-matches'!$A:$AD,AD$2,0)</f>
        <v>#N/A</v>
      </c>
      <c r="AE463" t="e">
        <f>VLOOKUP($Z463,'oddspedia-matches'!$A:$AD,AE$2,0)</f>
        <v>#N/A</v>
      </c>
      <c r="AF463" t="e">
        <f>VLOOKUP($Z463,'oddspedia-matches'!$A:$AD,AF$2,0)</f>
        <v>#N/A</v>
      </c>
      <c r="AG463" t="e">
        <f>VLOOKUP($Z463,'oddspedia-matches'!$A:$AD,AG$2,0)</f>
        <v>#N/A</v>
      </c>
      <c r="AH463" t="e">
        <f>VLOOKUP($Z463,'oddspedia-matches'!$A:$AD,AH$2,0)</f>
        <v>#N/A</v>
      </c>
      <c r="AI463" t="e">
        <f>VLOOKUP($Z463,'oddspedia-matches'!$A:$AD,AI$2,0)</f>
        <v>#N/A</v>
      </c>
      <c r="AJ463" t="e">
        <f>VLOOKUP($Z463,'oddspedia-matches'!$A:$AD,AJ$2,0)</f>
        <v>#N/A</v>
      </c>
      <c r="AK463" t="e">
        <f>VLOOKUP($Z463,'oddspedia-matches'!$A:$AD,AK$2,0)</f>
        <v>#N/A</v>
      </c>
      <c r="AL463" t="e">
        <f>VLOOKUP($Z463,'oddspedia-matches'!$A:$AD,AL$2,0)</f>
        <v>#N/A</v>
      </c>
      <c r="AM463" t="e">
        <f>VLOOKUP($Z463,'oddspedia-matches'!$A:$AD,AM$2,0)</f>
        <v>#N/A</v>
      </c>
      <c r="AN463" t="e">
        <f>VLOOKUP($Z463,'oddspedia-matches'!$A:$AD,AN$2,0)</f>
        <v>#N/A</v>
      </c>
      <c r="AO463" t="e">
        <f>VLOOKUP($Z463,'oddspedia-matches'!$A:$AD,AO$2,0)</f>
        <v>#N/A</v>
      </c>
      <c r="AP463" t="e">
        <f>VLOOKUP($Z463,'oddspedia-matches'!$A:$AD,AP$2,0)</f>
        <v>#N/A</v>
      </c>
      <c r="AQ463" t="e">
        <f>VLOOKUP($Z463,'oddspedia-matches'!$A:$AD,AQ$2,0)</f>
        <v>#N/A</v>
      </c>
    </row>
    <row r="464" spans="2:43" x14ac:dyDescent="0.2">
      <c r="B464" t="s">
        <v>466</v>
      </c>
      <c r="C464" t="s">
        <v>930</v>
      </c>
      <c r="D464" s="25">
        <v>0.70833333333333337</v>
      </c>
      <c r="E464" t="s">
        <v>1171</v>
      </c>
      <c r="F464" t="s">
        <v>1172</v>
      </c>
      <c r="H464">
        <v>48.3</v>
      </c>
      <c r="I464">
        <v>26</v>
      </c>
      <c r="J464">
        <v>25.6</v>
      </c>
      <c r="K464">
        <v>74.400000000000006</v>
      </c>
      <c r="L464">
        <v>51.7</v>
      </c>
      <c r="M464">
        <v>74</v>
      </c>
      <c r="N464">
        <v>27.4</v>
      </c>
      <c r="O464">
        <v>45.2</v>
      </c>
      <c r="P464">
        <v>27.4</v>
      </c>
      <c r="Q464">
        <v>67.099999999999994</v>
      </c>
      <c r="R464">
        <v>82.3</v>
      </c>
      <c r="S464">
        <v>59.4</v>
      </c>
      <c r="T464">
        <v>40.6</v>
      </c>
      <c r="U464">
        <v>46.8</v>
      </c>
      <c r="V464">
        <v>61.4</v>
      </c>
      <c r="W464">
        <v>38.6</v>
      </c>
      <c r="X464" t="str">
        <f>VLOOKUP(E464,'Transform table'!A:B,2,0)</f>
        <v>Portland Hearts of Pine</v>
      </c>
      <c r="Y464" t="e">
        <f>VLOOKUP(F464,'Transform table'!A:B,2,0)</f>
        <v>#N/A</v>
      </c>
      <c r="Z464" t="e">
        <f t="shared" si="7"/>
        <v>#N/A</v>
      </c>
      <c r="AA464" t="e">
        <f>VLOOKUP($Z464,'oddspedia-matches'!$A:$AD,AA$2,0)</f>
        <v>#N/A</v>
      </c>
      <c r="AB464" t="e">
        <f>VLOOKUP($Z464,'oddspedia-matches'!$A:$AD,AB$2,0)</f>
        <v>#N/A</v>
      </c>
      <c r="AC464" t="e">
        <f>VLOOKUP($Z464,'oddspedia-matches'!$A:$AD,AC$2,0)</f>
        <v>#N/A</v>
      </c>
      <c r="AD464" t="e">
        <f>VLOOKUP($Z464,'oddspedia-matches'!$A:$AD,AD$2,0)</f>
        <v>#N/A</v>
      </c>
      <c r="AE464" t="e">
        <f>VLOOKUP($Z464,'oddspedia-matches'!$A:$AD,AE$2,0)</f>
        <v>#N/A</v>
      </c>
      <c r="AF464" t="e">
        <f>VLOOKUP($Z464,'oddspedia-matches'!$A:$AD,AF$2,0)</f>
        <v>#N/A</v>
      </c>
      <c r="AG464" t="e">
        <f>VLOOKUP($Z464,'oddspedia-matches'!$A:$AD,AG$2,0)</f>
        <v>#N/A</v>
      </c>
      <c r="AH464" t="e">
        <f>VLOOKUP($Z464,'oddspedia-matches'!$A:$AD,AH$2,0)</f>
        <v>#N/A</v>
      </c>
      <c r="AI464" t="e">
        <f>VLOOKUP($Z464,'oddspedia-matches'!$A:$AD,AI$2,0)</f>
        <v>#N/A</v>
      </c>
      <c r="AJ464" t="e">
        <f>VLOOKUP($Z464,'oddspedia-matches'!$A:$AD,AJ$2,0)</f>
        <v>#N/A</v>
      </c>
      <c r="AK464" t="e">
        <f>VLOOKUP($Z464,'oddspedia-matches'!$A:$AD,AK$2,0)</f>
        <v>#N/A</v>
      </c>
      <c r="AL464" t="e">
        <f>VLOOKUP($Z464,'oddspedia-matches'!$A:$AD,AL$2,0)</f>
        <v>#N/A</v>
      </c>
      <c r="AM464" t="e">
        <f>VLOOKUP($Z464,'oddspedia-matches'!$A:$AD,AM$2,0)</f>
        <v>#N/A</v>
      </c>
      <c r="AN464" t="e">
        <f>VLOOKUP($Z464,'oddspedia-matches'!$A:$AD,AN$2,0)</f>
        <v>#N/A</v>
      </c>
      <c r="AO464" t="e">
        <f>VLOOKUP($Z464,'oddspedia-matches'!$A:$AD,AO$2,0)</f>
        <v>#N/A</v>
      </c>
      <c r="AP464" t="e">
        <f>VLOOKUP($Z464,'oddspedia-matches'!$A:$AD,AP$2,0)</f>
        <v>#N/A</v>
      </c>
      <c r="AQ464" t="e">
        <f>VLOOKUP($Z464,'oddspedia-matches'!$A:$AD,AQ$2,0)</f>
        <v>#N/A</v>
      </c>
    </row>
    <row r="465" spans="2:43" x14ac:dyDescent="0.2">
      <c r="B465" t="s">
        <v>470</v>
      </c>
      <c r="C465" t="s">
        <v>930</v>
      </c>
      <c r="D465" s="25">
        <v>0.71875</v>
      </c>
      <c r="E465" t="s">
        <v>1173</v>
      </c>
      <c r="F465" t="s">
        <v>1174</v>
      </c>
      <c r="H465">
        <v>47.8</v>
      </c>
      <c r="I465">
        <v>29.9</v>
      </c>
      <c r="J465">
        <v>22.3</v>
      </c>
      <c r="K465">
        <v>77.7</v>
      </c>
      <c r="L465">
        <v>52.2</v>
      </c>
      <c r="M465">
        <v>70.099999999999994</v>
      </c>
      <c r="N465">
        <v>26</v>
      </c>
      <c r="O465">
        <v>52.5</v>
      </c>
      <c r="P465">
        <v>21.5</v>
      </c>
      <c r="Q465">
        <v>56.1</v>
      </c>
      <c r="R465">
        <v>66.7</v>
      </c>
      <c r="S465">
        <v>38.700000000000003</v>
      </c>
      <c r="T465">
        <v>61.3</v>
      </c>
      <c r="U465">
        <v>67.099999999999994</v>
      </c>
      <c r="V465">
        <v>44.4</v>
      </c>
      <c r="W465">
        <v>55.6</v>
      </c>
      <c r="X465" t="str">
        <f>VLOOKUP(E465,'Transform table'!A:B,2,0)</f>
        <v>Estudiantes de La Plata</v>
      </c>
      <c r="Y465" t="e">
        <f>VLOOKUP(F465,'Transform table'!A:B,2,0)</f>
        <v>#N/A</v>
      </c>
      <c r="Z465" t="e">
        <f t="shared" si="7"/>
        <v>#N/A</v>
      </c>
      <c r="AA465" t="e">
        <f>VLOOKUP($Z465,'oddspedia-matches'!$A:$AD,AA$2,0)</f>
        <v>#N/A</v>
      </c>
      <c r="AB465" t="e">
        <f>VLOOKUP($Z465,'oddspedia-matches'!$A:$AD,AB$2,0)</f>
        <v>#N/A</v>
      </c>
      <c r="AC465" t="e">
        <f>VLOOKUP($Z465,'oddspedia-matches'!$A:$AD,AC$2,0)</f>
        <v>#N/A</v>
      </c>
      <c r="AD465" t="e">
        <f>VLOOKUP($Z465,'oddspedia-matches'!$A:$AD,AD$2,0)</f>
        <v>#N/A</v>
      </c>
      <c r="AE465" t="e">
        <f>VLOOKUP($Z465,'oddspedia-matches'!$A:$AD,AE$2,0)</f>
        <v>#N/A</v>
      </c>
      <c r="AF465" t="e">
        <f>VLOOKUP($Z465,'oddspedia-matches'!$A:$AD,AF$2,0)</f>
        <v>#N/A</v>
      </c>
      <c r="AG465" t="e">
        <f>VLOOKUP($Z465,'oddspedia-matches'!$A:$AD,AG$2,0)</f>
        <v>#N/A</v>
      </c>
      <c r="AH465" t="e">
        <f>VLOOKUP($Z465,'oddspedia-matches'!$A:$AD,AH$2,0)</f>
        <v>#N/A</v>
      </c>
      <c r="AI465" t="e">
        <f>VLOOKUP($Z465,'oddspedia-matches'!$A:$AD,AI$2,0)</f>
        <v>#N/A</v>
      </c>
      <c r="AJ465" t="e">
        <f>VLOOKUP($Z465,'oddspedia-matches'!$A:$AD,AJ$2,0)</f>
        <v>#N/A</v>
      </c>
      <c r="AK465" t="e">
        <f>VLOOKUP($Z465,'oddspedia-matches'!$A:$AD,AK$2,0)</f>
        <v>#N/A</v>
      </c>
      <c r="AL465" t="e">
        <f>VLOOKUP($Z465,'oddspedia-matches'!$A:$AD,AL$2,0)</f>
        <v>#N/A</v>
      </c>
      <c r="AM465" t="e">
        <f>VLOOKUP($Z465,'oddspedia-matches'!$A:$AD,AM$2,0)</f>
        <v>#N/A</v>
      </c>
      <c r="AN465" t="e">
        <f>VLOOKUP($Z465,'oddspedia-matches'!$A:$AD,AN$2,0)</f>
        <v>#N/A</v>
      </c>
      <c r="AO465" t="e">
        <f>VLOOKUP($Z465,'oddspedia-matches'!$A:$AD,AO$2,0)</f>
        <v>#N/A</v>
      </c>
      <c r="AP465" t="e">
        <f>VLOOKUP($Z465,'oddspedia-matches'!$A:$AD,AP$2,0)</f>
        <v>#N/A</v>
      </c>
      <c r="AQ465" t="e">
        <f>VLOOKUP($Z465,'oddspedia-matches'!$A:$AD,AQ$2,0)</f>
        <v>#N/A</v>
      </c>
    </row>
    <row r="466" spans="2:43" x14ac:dyDescent="0.2">
      <c r="B466" t="s">
        <v>482</v>
      </c>
      <c r="C466" t="s">
        <v>930</v>
      </c>
      <c r="D466" s="25">
        <v>0.72916666666666663</v>
      </c>
      <c r="E466" t="s">
        <v>1175</v>
      </c>
      <c r="F466" t="s">
        <v>1176</v>
      </c>
      <c r="H466">
        <v>26.6</v>
      </c>
      <c r="I466">
        <v>32.1</v>
      </c>
      <c r="J466">
        <v>41.2</v>
      </c>
      <c r="K466">
        <v>58.8</v>
      </c>
      <c r="L466">
        <v>73.400000000000006</v>
      </c>
      <c r="M466">
        <v>67.900000000000006</v>
      </c>
      <c r="N466">
        <v>17.5</v>
      </c>
      <c r="O466">
        <v>47.8</v>
      </c>
      <c r="P466">
        <v>34.700000000000003</v>
      </c>
      <c r="Q466">
        <v>62.2</v>
      </c>
      <c r="R466">
        <v>65.3</v>
      </c>
      <c r="S466">
        <v>37.1</v>
      </c>
      <c r="T466">
        <v>62.9</v>
      </c>
      <c r="U466">
        <v>68</v>
      </c>
      <c r="V466">
        <v>44.7</v>
      </c>
      <c r="W466">
        <v>55.3</v>
      </c>
      <c r="X466" t="str">
        <f>VLOOKUP(E466,'Transform table'!A:B,2,0)</f>
        <v>Cienciano</v>
      </c>
      <c r="Y466" t="e">
        <f>VLOOKUP(F466,'Transform table'!A:B,2,0)</f>
        <v>#N/A</v>
      </c>
      <c r="Z466" t="e">
        <f t="shared" si="7"/>
        <v>#N/A</v>
      </c>
      <c r="AA466" t="e">
        <f>VLOOKUP($Z466,'oddspedia-matches'!$A:$AD,AA$2,0)</f>
        <v>#N/A</v>
      </c>
      <c r="AB466" t="e">
        <f>VLOOKUP($Z466,'oddspedia-matches'!$A:$AD,AB$2,0)</f>
        <v>#N/A</v>
      </c>
      <c r="AC466" t="e">
        <f>VLOOKUP($Z466,'oddspedia-matches'!$A:$AD,AC$2,0)</f>
        <v>#N/A</v>
      </c>
      <c r="AD466" t="e">
        <f>VLOOKUP($Z466,'oddspedia-matches'!$A:$AD,AD$2,0)</f>
        <v>#N/A</v>
      </c>
      <c r="AE466" t="e">
        <f>VLOOKUP($Z466,'oddspedia-matches'!$A:$AD,AE$2,0)</f>
        <v>#N/A</v>
      </c>
      <c r="AF466" t="e">
        <f>VLOOKUP($Z466,'oddspedia-matches'!$A:$AD,AF$2,0)</f>
        <v>#N/A</v>
      </c>
      <c r="AG466" t="e">
        <f>VLOOKUP($Z466,'oddspedia-matches'!$A:$AD,AG$2,0)</f>
        <v>#N/A</v>
      </c>
      <c r="AH466" t="e">
        <f>VLOOKUP($Z466,'oddspedia-matches'!$A:$AD,AH$2,0)</f>
        <v>#N/A</v>
      </c>
      <c r="AI466" t="e">
        <f>VLOOKUP($Z466,'oddspedia-matches'!$A:$AD,AI$2,0)</f>
        <v>#N/A</v>
      </c>
      <c r="AJ466" t="e">
        <f>VLOOKUP($Z466,'oddspedia-matches'!$A:$AD,AJ$2,0)</f>
        <v>#N/A</v>
      </c>
      <c r="AK466" t="e">
        <f>VLOOKUP($Z466,'oddspedia-matches'!$A:$AD,AK$2,0)</f>
        <v>#N/A</v>
      </c>
      <c r="AL466" t="e">
        <f>VLOOKUP($Z466,'oddspedia-matches'!$A:$AD,AL$2,0)</f>
        <v>#N/A</v>
      </c>
      <c r="AM466" t="e">
        <f>VLOOKUP($Z466,'oddspedia-matches'!$A:$AD,AM$2,0)</f>
        <v>#N/A</v>
      </c>
      <c r="AN466" t="e">
        <f>VLOOKUP($Z466,'oddspedia-matches'!$A:$AD,AN$2,0)</f>
        <v>#N/A</v>
      </c>
      <c r="AO466" t="e">
        <f>VLOOKUP($Z466,'oddspedia-matches'!$A:$AD,AO$2,0)</f>
        <v>#N/A</v>
      </c>
      <c r="AP466" t="e">
        <f>VLOOKUP($Z466,'oddspedia-matches'!$A:$AD,AP$2,0)</f>
        <v>#N/A</v>
      </c>
      <c r="AQ466" t="e">
        <f>VLOOKUP($Z466,'oddspedia-matches'!$A:$AD,AQ$2,0)</f>
        <v>#N/A</v>
      </c>
    </row>
    <row r="467" spans="2:43" x14ac:dyDescent="0.2">
      <c r="B467" t="s">
        <v>452</v>
      </c>
      <c r="C467" t="s">
        <v>930</v>
      </c>
      <c r="D467" s="25">
        <v>0.73958333333333337</v>
      </c>
      <c r="E467" t="s">
        <v>102</v>
      </c>
      <c r="F467" t="s">
        <v>37</v>
      </c>
      <c r="H467">
        <v>25.4</v>
      </c>
      <c r="I467">
        <v>27.7</v>
      </c>
      <c r="J467">
        <v>46.8</v>
      </c>
      <c r="K467">
        <v>53.2</v>
      </c>
      <c r="L467">
        <v>74.599999999999994</v>
      </c>
      <c r="M467">
        <v>72.3</v>
      </c>
      <c r="N467">
        <v>22</v>
      </c>
      <c r="O467">
        <v>42.3</v>
      </c>
      <c r="P467">
        <v>35.700000000000003</v>
      </c>
      <c r="Q467">
        <v>71.3</v>
      </c>
      <c r="R467">
        <v>79.099999999999994</v>
      </c>
      <c r="S467">
        <v>54.5</v>
      </c>
      <c r="T467">
        <v>45.5</v>
      </c>
      <c r="U467">
        <v>51.6</v>
      </c>
      <c r="V467">
        <v>57.8</v>
      </c>
      <c r="W467">
        <v>42.2</v>
      </c>
      <c r="X467" t="str">
        <f>VLOOKUP(E467,'Transform table'!A:B,2,0)</f>
        <v>Orense SC</v>
      </c>
      <c r="Y467" t="str">
        <f>VLOOKUP(F467,'Transform table'!A:B,2,0)</f>
        <v>Independiente del Valle</v>
      </c>
      <c r="Z467" t="str">
        <f t="shared" si="7"/>
        <v>26/07/2026Orense SCIndependiente del Valle</v>
      </c>
      <c r="AA467" t="e">
        <f>VLOOKUP($Z467,'oddspedia-matches'!$A:$AD,AA$2,0)</f>
        <v>#N/A</v>
      </c>
      <c r="AB467" t="e">
        <f>VLOOKUP($Z467,'oddspedia-matches'!$A:$AD,AB$2,0)</f>
        <v>#N/A</v>
      </c>
      <c r="AC467" t="e">
        <f>VLOOKUP($Z467,'oddspedia-matches'!$A:$AD,AC$2,0)</f>
        <v>#N/A</v>
      </c>
      <c r="AD467" t="e">
        <f>VLOOKUP($Z467,'oddspedia-matches'!$A:$AD,AD$2,0)</f>
        <v>#N/A</v>
      </c>
      <c r="AE467" t="e">
        <f>VLOOKUP($Z467,'oddspedia-matches'!$A:$AD,AE$2,0)</f>
        <v>#N/A</v>
      </c>
      <c r="AF467" t="e">
        <f>VLOOKUP($Z467,'oddspedia-matches'!$A:$AD,AF$2,0)</f>
        <v>#N/A</v>
      </c>
      <c r="AG467" t="e">
        <f>VLOOKUP($Z467,'oddspedia-matches'!$A:$AD,AG$2,0)</f>
        <v>#N/A</v>
      </c>
      <c r="AH467" t="e">
        <f>VLOOKUP($Z467,'oddspedia-matches'!$A:$AD,AH$2,0)</f>
        <v>#N/A</v>
      </c>
      <c r="AI467" t="e">
        <f>VLOOKUP($Z467,'oddspedia-matches'!$A:$AD,AI$2,0)</f>
        <v>#N/A</v>
      </c>
      <c r="AJ467" t="e">
        <f>VLOOKUP($Z467,'oddspedia-matches'!$A:$AD,AJ$2,0)</f>
        <v>#N/A</v>
      </c>
      <c r="AK467" t="e">
        <f>VLOOKUP($Z467,'oddspedia-matches'!$A:$AD,AK$2,0)</f>
        <v>#N/A</v>
      </c>
      <c r="AL467" t="e">
        <f>VLOOKUP($Z467,'oddspedia-matches'!$A:$AD,AL$2,0)</f>
        <v>#N/A</v>
      </c>
      <c r="AM467" t="e">
        <f>VLOOKUP($Z467,'oddspedia-matches'!$A:$AD,AM$2,0)</f>
        <v>#N/A</v>
      </c>
      <c r="AN467" t="e">
        <f>VLOOKUP($Z467,'oddspedia-matches'!$A:$AD,AN$2,0)</f>
        <v>#N/A</v>
      </c>
      <c r="AO467" t="e">
        <f>VLOOKUP($Z467,'oddspedia-matches'!$A:$AD,AO$2,0)</f>
        <v>#N/A</v>
      </c>
      <c r="AP467" t="e">
        <f>VLOOKUP($Z467,'oddspedia-matches'!$A:$AD,AP$2,0)</f>
        <v>#N/A</v>
      </c>
      <c r="AQ467" t="e">
        <f>VLOOKUP($Z467,'oddspedia-matches'!$A:$AD,AQ$2,0)</f>
        <v>#N/A</v>
      </c>
    </row>
    <row r="468" spans="2:43" x14ac:dyDescent="0.2">
      <c r="B468" t="s">
        <v>647</v>
      </c>
      <c r="C468" t="s">
        <v>930</v>
      </c>
      <c r="D468" s="25">
        <v>0.75</v>
      </c>
      <c r="E468" t="s">
        <v>375</v>
      </c>
      <c r="F468" t="s">
        <v>1177</v>
      </c>
      <c r="H468">
        <v>34.700000000000003</v>
      </c>
      <c r="I468">
        <v>32.5</v>
      </c>
      <c r="J468">
        <v>32.799999999999997</v>
      </c>
      <c r="K468">
        <v>67.2</v>
      </c>
      <c r="L468">
        <v>65.3</v>
      </c>
      <c r="M468">
        <v>67.5</v>
      </c>
      <c r="N468">
        <v>21.8</v>
      </c>
      <c r="O468">
        <v>48.8</v>
      </c>
      <c r="P468">
        <v>29.4</v>
      </c>
      <c r="Q468">
        <v>61.6</v>
      </c>
      <c r="R468">
        <v>64.099999999999994</v>
      </c>
      <c r="S468">
        <v>35.799999999999997</v>
      </c>
      <c r="T468">
        <v>64.2</v>
      </c>
      <c r="U468">
        <v>69</v>
      </c>
      <c r="V468">
        <v>44.3</v>
      </c>
      <c r="W468">
        <v>55.7</v>
      </c>
      <c r="X468" t="str">
        <f>VLOOKUP(E468,'Transform table'!A:B,2,0)</f>
        <v>Gimnasia y Tiro</v>
      </c>
      <c r="Y468" t="e">
        <f>VLOOKUP(F468,'Transform table'!A:B,2,0)</f>
        <v>#N/A</v>
      </c>
      <c r="Z468" t="e">
        <f t="shared" si="7"/>
        <v>#N/A</v>
      </c>
      <c r="AA468" t="e">
        <f>VLOOKUP($Z468,'oddspedia-matches'!$A:$AD,AA$2,0)</f>
        <v>#N/A</v>
      </c>
      <c r="AB468" t="e">
        <f>VLOOKUP($Z468,'oddspedia-matches'!$A:$AD,AB$2,0)</f>
        <v>#N/A</v>
      </c>
      <c r="AC468" t="e">
        <f>VLOOKUP($Z468,'oddspedia-matches'!$A:$AD,AC$2,0)</f>
        <v>#N/A</v>
      </c>
      <c r="AD468" t="e">
        <f>VLOOKUP($Z468,'oddspedia-matches'!$A:$AD,AD$2,0)</f>
        <v>#N/A</v>
      </c>
      <c r="AE468" t="e">
        <f>VLOOKUP($Z468,'oddspedia-matches'!$A:$AD,AE$2,0)</f>
        <v>#N/A</v>
      </c>
      <c r="AF468" t="e">
        <f>VLOOKUP($Z468,'oddspedia-matches'!$A:$AD,AF$2,0)</f>
        <v>#N/A</v>
      </c>
      <c r="AG468" t="e">
        <f>VLOOKUP($Z468,'oddspedia-matches'!$A:$AD,AG$2,0)</f>
        <v>#N/A</v>
      </c>
      <c r="AH468" t="e">
        <f>VLOOKUP($Z468,'oddspedia-matches'!$A:$AD,AH$2,0)</f>
        <v>#N/A</v>
      </c>
      <c r="AI468" t="e">
        <f>VLOOKUP($Z468,'oddspedia-matches'!$A:$AD,AI$2,0)</f>
        <v>#N/A</v>
      </c>
      <c r="AJ468" t="e">
        <f>VLOOKUP($Z468,'oddspedia-matches'!$A:$AD,AJ$2,0)</f>
        <v>#N/A</v>
      </c>
      <c r="AK468" t="e">
        <f>VLOOKUP($Z468,'oddspedia-matches'!$A:$AD,AK$2,0)</f>
        <v>#N/A</v>
      </c>
      <c r="AL468" t="e">
        <f>VLOOKUP($Z468,'oddspedia-matches'!$A:$AD,AL$2,0)</f>
        <v>#N/A</v>
      </c>
      <c r="AM468" t="e">
        <f>VLOOKUP($Z468,'oddspedia-matches'!$A:$AD,AM$2,0)</f>
        <v>#N/A</v>
      </c>
      <c r="AN468" t="e">
        <f>VLOOKUP($Z468,'oddspedia-matches'!$A:$AD,AN$2,0)</f>
        <v>#N/A</v>
      </c>
      <c r="AO468" t="e">
        <f>VLOOKUP($Z468,'oddspedia-matches'!$A:$AD,AO$2,0)</f>
        <v>#N/A</v>
      </c>
      <c r="AP468" t="e">
        <f>VLOOKUP($Z468,'oddspedia-matches'!$A:$AD,AP$2,0)</f>
        <v>#N/A</v>
      </c>
      <c r="AQ468" t="e">
        <f>VLOOKUP($Z468,'oddspedia-matches'!$A:$AD,AQ$2,0)</f>
        <v>#N/A</v>
      </c>
    </row>
    <row r="469" spans="2:43" x14ac:dyDescent="0.2">
      <c r="B469" t="s">
        <v>484</v>
      </c>
      <c r="C469" t="s">
        <v>930</v>
      </c>
      <c r="D469" s="25">
        <v>0.75</v>
      </c>
      <c r="E469" t="s">
        <v>1178</v>
      </c>
      <c r="F469" t="s">
        <v>1179</v>
      </c>
      <c r="H469">
        <v>23</v>
      </c>
      <c r="I469">
        <v>28.2</v>
      </c>
      <c r="J469">
        <v>48.7</v>
      </c>
      <c r="K469">
        <v>51.3</v>
      </c>
      <c r="L469">
        <v>77</v>
      </c>
      <c r="M469">
        <v>71.8</v>
      </c>
      <c r="N469">
        <v>17.100000000000001</v>
      </c>
      <c r="O469">
        <v>50.9</v>
      </c>
      <c r="P469">
        <v>32</v>
      </c>
      <c r="Q469">
        <v>57.9</v>
      </c>
      <c r="R469">
        <v>76.5</v>
      </c>
      <c r="S469">
        <v>50.9</v>
      </c>
      <c r="T469">
        <v>49.1</v>
      </c>
      <c r="U469">
        <v>55.5</v>
      </c>
      <c r="V469">
        <v>54.2</v>
      </c>
      <c r="W469">
        <v>45.8</v>
      </c>
      <c r="X469">
        <f>VLOOKUP(E469,'Transform table'!A:B,2,0)</f>
        <v>0</v>
      </c>
      <c r="Y469" t="e">
        <f>VLOOKUP(F469,'Transform table'!A:B,2,0)</f>
        <v>#N/A</v>
      </c>
      <c r="Z469" t="e">
        <f t="shared" si="7"/>
        <v>#N/A</v>
      </c>
      <c r="AA469" t="e">
        <f>VLOOKUP($Z469,'oddspedia-matches'!$A:$AD,AA$2,0)</f>
        <v>#N/A</v>
      </c>
      <c r="AB469" t="e">
        <f>VLOOKUP($Z469,'oddspedia-matches'!$A:$AD,AB$2,0)</f>
        <v>#N/A</v>
      </c>
      <c r="AC469" t="e">
        <f>VLOOKUP($Z469,'oddspedia-matches'!$A:$AD,AC$2,0)</f>
        <v>#N/A</v>
      </c>
      <c r="AD469" t="e">
        <f>VLOOKUP($Z469,'oddspedia-matches'!$A:$AD,AD$2,0)</f>
        <v>#N/A</v>
      </c>
      <c r="AE469" t="e">
        <f>VLOOKUP($Z469,'oddspedia-matches'!$A:$AD,AE$2,0)</f>
        <v>#N/A</v>
      </c>
      <c r="AF469" t="e">
        <f>VLOOKUP($Z469,'oddspedia-matches'!$A:$AD,AF$2,0)</f>
        <v>#N/A</v>
      </c>
      <c r="AG469" t="e">
        <f>VLOOKUP($Z469,'oddspedia-matches'!$A:$AD,AG$2,0)</f>
        <v>#N/A</v>
      </c>
      <c r="AH469" t="e">
        <f>VLOOKUP($Z469,'oddspedia-matches'!$A:$AD,AH$2,0)</f>
        <v>#N/A</v>
      </c>
      <c r="AI469" t="e">
        <f>VLOOKUP($Z469,'oddspedia-matches'!$A:$AD,AI$2,0)</f>
        <v>#N/A</v>
      </c>
      <c r="AJ469" t="e">
        <f>VLOOKUP($Z469,'oddspedia-matches'!$A:$AD,AJ$2,0)</f>
        <v>#N/A</v>
      </c>
      <c r="AK469" t="e">
        <f>VLOOKUP($Z469,'oddspedia-matches'!$A:$AD,AK$2,0)</f>
        <v>#N/A</v>
      </c>
      <c r="AL469" t="e">
        <f>VLOOKUP($Z469,'oddspedia-matches'!$A:$AD,AL$2,0)</f>
        <v>#N/A</v>
      </c>
      <c r="AM469" t="e">
        <f>VLOOKUP($Z469,'oddspedia-matches'!$A:$AD,AM$2,0)</f>
        <v>#N/A</v>
      </c>
      <c r="AN469" t="e">
        <f>VLOOKUP($Z469,'oddspedia-matches'!$A:$AD,AN$2,0)</f>
        <v>#N/A</v>
      </c>
      <c r="AO469" t="e">
        <f>VLOOKUP($Z469,'oddspedia-matches'!$A:$AD,AO$2,0)</f>
        <v>#N/A</v>
      </c>
      <c r="AP469" t="e">
        <f>VLOOKUP($Z469,'oddspedia-matches'!$A:$AD,AP$2,0)</f>
        <v>#N/A</v>
      </c>
      <c r="AQ469" t="e">
        <f>VLOOKUP($Z469,'oddspedia-matches'!$A:$AD,AQ$2,0)</f>
        <v>#N/A</v>
      </c>
    </row>
    <row r="470" spans="2:43" x14ac:dyDescent="0.2">
      <c r="B470" t="s">
        <v>483</v>
      </c>
      <c r="C470" t="s">
        <v>930</v>
      </c>
      <c r="D470" s="25">
        <v>0.75</v>
      </c>
      <c r="E470" t="s">
        <v>1180</v>
      </c>
      <c r="F470" t="s">
        <v>1181</v>
      </c>
      <c r="H470">
        <v>28.3</v>
      </c>
      <c r="I470">
        <v>33.200000000000003</v>
      </c>
      <c r="J470">
        <v>38.5</v>
      </c>
      <c r="K470">
        <v>61.5</v>
      </c>
      <c r="L470">
        <v>71.7</v>
      </c>
      <c r="M470">
        <v>66.8</v>
      </c>
      <c r="N470">
        <v>23.2</v>
      </c>
      <c r="O470">
        <v>44.6</v>
      </c>
      <c r="P470">
        <v>32.200000000000003</v>
      </c>
      <c r="Q470">
        <v>67.900000000000006</v>
      </c>
      <c r="R470">
        <v>62.4</v>
      </c>
      <c r="S470">
        <v>34</v>
      </c>
      <c r="T470">
        <v>66</v>
      </c>
      <c r="U470">
        <v>70.8</v>
      </c>
      <c r="V470">
        <v>42.4</v>
      </c>
      <c r="W470">
        <v>57.6</v>
      </c>
      <c r="X470" t="str">
        <f>VLOOKUP(E470,'Transform table'!A:B,2,0)</f>
        <v>Peterborough United</v>
      </c>
      <c r="Y470" t="e">
        <f>VLOOKUP(F470,'Transform table'!A:B,2,0)</f>
        <v>#N/A</v>
      </c>
      <c r="Z470" t="e">
        <f t="shared" si="7"/>
        <v>#N/A</v>
      </c>
      <c r="AA470" t="e">
        <f>VLOOKUP($Z470,'oddspedia-matches'!$A:$AD,AA$2,0)</f>
        <v>#N/A</v>
      </c>
      <c r="AB470" t="e">
        <f>VLOOKUP($Z470,'oddspedia-matches'!$A:$AD,AB$2,0)</f>
        <v>#N/A</v>
      </c>
      <c r="AC470" t="e">
        <f>VLOOKUP($Z470,'oddspedia-matches'!$A:$AD,AC$2,0)</f>
        <v>#N/A</v>
      </c>
      <c r="AD470" t="e">
        <f>VLOOKUP($Z470,'oddspedia-matches'!$A:$AD,AD$2,0)</f>
        <v>#N/A</v>
      </c>
      <c r="AE470" t="e">
        <f>VLOOKUP($Z470,'oddspedia-matches'!$A:$AD,AE$2,0)</f>
        <v>#N/A</v>
      </c>
      <c r="AF470" t="e">
        <f>VLOOKUP($Z470,'oddspedia-matches'!$A:$AD,AF$2,0)</f>
        <v>#N/A</v>
      </c>
      <c r="AG470" t="e">
        <f>VLOOKUP($Z470,'oddspedia-matches'!$A:$AD,AG$2,0)</f>
        <v>#N/A</v>
      </c>
      <c r="AH470" t="e">
        <f>VLOOKUP($Z470,'oddspedia-matches'!$A:$AD,AH$2,0)</f>
        <v>#N/A</v>
      </c>
      <c r="AI470" t="e">
        <f>VLOOKUP($Z470,'oddspedia-matches'!$A:$AD,AI$2,0)</f>
        <v>#N/A</v>
      </c>
      <c r="AJ470" t="e">
        <f>VLOOKUP($Z470,'oddspedia-matches'!$A:$AD,AJ$2,0)</f>
        <v>#N/A</v>
      </c>
      <c r="AK470" t="e">
        <f>VLOOKUP($Z470,'oddspedia-matches'!$A:$AD,AK$2,0)</f>
        <v>#N/A</v>
      </c>
      <c r="AL470" t="e">
        <f>VLOOKUP($Z470,'oddspedia-matches'!$A:$AD,AL$2,0)</f>
        <v>#N/A</v>
      </c>
      <c r="AM470" t="e">
        <f>VLOOKUP($Z470,'oddspedia-matches'!$A:$AD,AM$2,0)</f>
        <v>#N/A</v>
      </c>
      <c r="AN470" t="e">
        <f>VLOOKUP($Z470,'oddspedia-matches'!$A:$AD,AN$2,0)</f>
        <v>#N/A</v>
      </c>
      <c r="AO470" t="e">
        <f>VLOOKUP($Z470,'oddspedia-matches'!$A:$AD,AO$2,0)</f>
        <v>#N/A</v>
      </c>
      <c r="AP470" t="e">
        <f>VLOOKUP($Z470,'oddspedia-matches'!$A:$AD,AP$2,0)</f>
        <v>#N/A</v>
      </c>
      <c r="AQ470" t="e">
        <f>VLOOKUP($Z470,'oddspedia-matches'!$A:$AD,AQ$2,0)</f>
        <v>#N/A</v>
      </c>
    </row>
    <row r="471" spans="2:43" x14ac:dyDescent="0.2">
      <c r="B471" t="s">
        <v>489</v>
      </c>
      <c r="C471" t="s">
        <v>930</v>
      </c>
      <c r="D471" s="25">
        <v>0.75</v>
      </c>
      <c r="E471" t="s">
        <v>1182</v>
      </c>
      <c r="F471" t="s">
        <v>1183</v>
      </c>
      <c r="H471">
        <v>21.6</v>
      </c>
      <c r="I471">
        <v>30.7</v>
      </c>
      <c r="J471">
        <v>47.7</v>
      </c>
      <c r="K471">
        <v>52.3</v>
      </c>
      <c r="L471">
        <v>78.400000000000006</v>
      </c>
      <c r="M471">
        <v>69.3</v>
      </c>
      <c r="N471">
        <v>12.7</v>
      </c>
      <c r="O471">
        <v>49.8</v>
      </c>
      <c r="P471">
        <v>37.5</v>
      </c>
      <c r="Q471">
        <v>58.2</v>
      </c>
      <c r="R471">
        <v>67.900000000000006</v>
      </c>
      <c r="S471">
        <v>40.1</v>
      </c>
      <c r="T471">
        <v>59.9</v>
      </c>
      <c r="U471">
        <v>65.8</v>
      </c>
      <c r="V471">
        <v>45.4</v>
      </c>
      <c r="W471">
        <v>54.6</v>
      </c>
      <c r="X471" t="str">
        <f>VLOOKUP(E471,'Transform table'!A:B,2,0)</f>
        <v>Hertha BSC</v>
      </c>
      <c r="Y471" t="e">
        <f>VLOOKUP(F471,'Transform table'!A:B,2,0)</f>
        <v>#N/A</v>
      </c>
      <c r="Z471" t="e">
        <f t="shared" si="7"/>
        <v>#N/A</v>
      </c>
      <c r="AA471" t="e">
        <f>VLOOKUP($Z471,'oddspedia-matches'!$A:$AD,AA$2,0)</f>
        <v>#N/A</v>
      </c>
      <c r="AB471" t="e">
        <f>VLOOKUP($Z471,'oddspedia-matches'!$A:$AD,AB$2,0)</f>
        <v>#N/A</v>
      </c>
      <c r="AC471" t="e">
        <f>VLOOKUP($Z471,'oddspedia-matches'!$A:$AD,AC$2,0)</f>
        <v>#N/A</v>
      </c>
      <c r="AD471" t="e">
        <f>VLOOKUP($Z471,'oddspedia-matches'!$A:$AD,AD$2,0)</f>
        <v>#N/A</v>
      </c>
      <c r="AE471" t="e">
        <f>VLOOKUP($Z471,'oddspedia-matches'!$A:$AD,AE$2,0)</f>
        <v>#N/A</v>
      </c>
      <c r="AF471" t="e">
        <f>VLOOKUP($Z471,'oddspedia-matches'!$A:$AD,AF$2,0)</f>
        <v>#N/A</v>
      </c>
      <c r="AG471" t="e">
        <f>VLOOKUP($Z471,'oddspedia-matches'!$A:$AD,AG$2,0)</f>
        <v>#N/A</v>
      </c>
      <c r="AH471" t="e">
        <f>VLOOKUP($Z471,'oddspedia-matches'!$A:$AD,AH$2,0)</f>
        <v>#N/A</v>
      </c>
      <c r="AI471" t="e">
        <f>VLOOKUP($Z471,'oddspedia-matches'!$A:$AD,AI$2,0)</f>
        <v>#N/A</v>
      </c>
      <c r="AJ471" t="e">
        <f>VLOOKUP($Z471,'oddspedia-matches'!$A:$AD,AJ$2,0)</f>
        <v>#N/A</v>
      </c>
      <c r="AK471" t="e">
        <f>VLOOKUP($Z471,'oddspedia-matches'!$A:$AD,AK$2,0)</f>
        <v>#N/A</v>
      </c>
      <c r="AL471" t="e">
        <f>VLOOKUP($Z471,'oddspedia-matches'!$A:$AD,AL$2,0)</f>
        <v>#N/A</v>
      </c>
      <c r="AM471" t="e">
        <f>VLOOKUP($Z471,'oddspedia-matches'!$A:$AD,AM$2,0)</f>
        <v>#N/A</v>
      </c>
      <c r="AN471" t="e">
        <f>VLOOKUP($Z471,'oddspedia-matches'!$A:$AD,AN$2,0)</f>
        <v>#N/A</v>
      </c>
      <c r="AO471" t="e">
        <f>VLOOKUP($Z471,'oddspedia-matches'!$A:$AD,AO$2,0)</f>
        <v>#N/A</v>
      </c>
      <c r="AP471" t="e">
        <f>VLOOKUP($Z471,'oddspedia-matches'!$A:$AD,AP$2,0)</f>
        <v>#N/A</v>
      </c>
      <c r="AQ471" t="e">
        <f>VLOOKUP($Z471,'oddspedia-matches'!$A:$AD,AQ$2,0)</f>
        <v>#N/A</v>
      </c>
    </row>
    <row r="472" spans="2:43" x14ac:dyDescent="0.2">
      <c r="B472" t="s">
        <v>487</v>
      </c>
      <c r="C472" t="s">
        <v>930</v>
      </c>
      <c r="D472" s="25">
        <v>0.75347222222222221</v>
      </c>
      <c r="E472" t="s">
        <v>1184</v>
      </c>
      <c r="F472" t="s">
        <v>421</v>
      </c>
      <c r="H472">
        <v>33.5</v>
      </c>
      <c r="I472">
        <v>30.5</v>
      </c>
      <c r="J472">
        <v>36</v>
      </c>
      <c r="K472">
        <v>64</v>
      </c>
      <c r="L472">
        <v>66.5</v>
      </c>
      <c r="M472">
        <v>69.5</v>
      </c>
      <c r="N472">
        <v>19.7</v>
      </c>
      <c r="O472">
        <v>52.8</v>
      </c>
      <c r="P472">
        <v>27.6</v>
      </c>
      <c r="Q472">
        <v>55.8</v>
      </c>
      <c r="R472">
        <v>71</v>
      </c>
      <c r="S472">
        <v>43.6</v>
      </c>
      <c r="T472">
        <v>56.4</v>
      </c>
      <c r="U472">
        <v>61.6</v>
      </c>
      <c r="V472">
        <v>50.7</v>
      </c>
      <c r="W472">
        <v>49.3</v>
      </c>
      <c r="X472" t="str">
        <f>VLOOKUP(E472,'Transform table'!A:B,2,0)</f>
        <v>Riga FC</v>
      </c>
      <c r="Y472" t="e">
        <f>VLOOKUP(F472,'Transform table'!A:B,2,0)</f>
        <v>#N/A</v>
      </c>
      <c r="Z472" t="e">
        <f t="shared" si="7"/>
        <v>#N/A</v>
      </c>
      <c r="AA472" t="e">
        <f>VLOOKUP($Z472,'oddspedia-matches'!$A:$AD,AA$2,0)</f>
        <v>#N/A</v>
      </c>
      <c r="AB472" t="e">
        <f>VLOOKUP($Z472,'oddspedia-matches'!$A:$AD,AB$2,0)</f>
        <v>#N/A</v>
      </c>
      <c r="AC472" t="e">
        <f>VLOOKUP($Z472,'oddspedia-matches'!$A:$AD,AC$2,0)</f>
        <v>#N/A</v>
      </c>
      <c r="AD472" t="e">
        <f>VLOOKUP($Z472,'oddspedia-matches'!$A:$AD,AD$2,0)</f>
        <v>#N/A</v>
      </c>
      <c r="AE472" t="e">
        <f>VLOOKUP($Z472,'oddspedia-matches'!$A:$AD,AE$2,0)</f>
        <v>#N/A</v>
      </c>
      <c r="AF472" t="e">
        <f>VLOOKUP($Z472,'oddspedia-matches'!$A:$AD,AF$2,0)</f>
        <v>#N/A</v>
      </c>
      <c r="AG472" t="e">
        <f>VLOOKUP($Z472,'oddspedia-matches'!$A:$AD,AG$2,0)</f>
        <v>#N/A</v>
      </c>
      <c r="AH472" t="e">
        <f>VLOOKUP($Z472,'oddspedia-matches'!$A:$AD,AH$2,0)</f>
        <v>#N/A</v>
      </c>
      <c r="AI472" t="e">
        <f>VLOOKUP($Z472,'oddspedia-matches'!$A:$AD,AI$2,0)</f>
        <v>#N/A</v>
      </c>
      <c r="AJ472" t="e">
        <f>VLOOKUP($Z472,'oddspedia-matches'!$A:$AD,AJ$2,0)</f>
        <v>#N/A</v>
      </c>
      <c r="AK472" t="e">
        <f>VLOOKUP($Z472,'oddspedia-matches'!$A:$AD,AK$2,0)</f>
        <v>#N/A</v>
      </c>
      <c r="AL472" t="e">
        <f>VLOOKUP($Z472,'oddspedia-matches'!$A:$AD,AL$2,0)</f>
        <v>#N/A</v>
      </c>
      <c r="AM472" t="e">
        <f>VLOOKUP($Z472,'oddspedia-matches'!$A:$AD,AM$2,0)</f>
        <v>#N/A</v>
      </c>
      <c r="AN472" t="e">
        <f>VLOOKUP($Z472,'oddspedia-matches'!$A:$AD,AN$2,0)</f>
        <v>#N/A</v>
      </c>
      <c r="AO472" t="e">
        <f>VLOOKUP($Z472,'oddspedia-matches'!$A:$AD,AO$2,0)</f>
        <v>#N/A</v>
      </c>
      <c r="AP472" t="e">
        <f>VLOOKUP($Z472,'oddspedia-matches'!$A:$AD,AP$2,0)</f>
        <v>#N/A</v>
      </c>
      <c r="AQ472" t="e">
        <f>VLOOKUP($Z472,'oddspedia-matches'!$A:$AD,AQ$2,0)</f>
        <v>#N/A</v>
      </c>
    </row>
    <row r="473" spans="2:43" x14ac:dyDescent="0.2">
      <c r="B473" t="s">
        <v>457</v>
      </c>
      <c r="C473" t="s">
        <v>930</v>
      </c>
      <c r="D473" s="25">
        <v>0.76041666666666663</v>
      </c>
      <c r="E473" t="s">
        <v>1185</v>
      </c>
      <c r="F473" t="s">
        <v>237</v>
      </c>
      <c r="H473">
        <v>52.3</v>
      </c>
      <c r="I473">
        <v>26.2</v>
      </c>
      <c r="J473">
        <v>21.5</v>
      </c>
      <c r="K473">
        <v>78.5</v>
      </c>
      <c r="L473">
        <v>47.7</v>
      </c>
      <c r="M473">
        <v>73.8</v>
      </c>
      <c r="N473">
        <v>34.799999999999997</v>
      </c>
      <c r="O473">
        <v>43</v>
      </c>
      <c r="P473">
        <v>22.2</v>
      </c>
      <c r="Q473">
        <v>69.8</v>
      </c>
      <c r="R473">
        <v>78.3</v>
      </c>
      <c r="S473">
        <v>53.5</v>
      </c>
      <c r="T473">
        <v>46.5</v>
      </c>
      <c r="U473">
        <v>53.1</v>
      </c>
      <c r="V473">
        <v>55.3</v>
      </c>
      <c r="W473">
        <v>44.7</v>
      </c>
      <c r="X473" t="str">
        <f>VLOOKUP(E473,'Transform table'!A:B,2,0)</f>
        <v>Club Bolivar</v>
      </c>
      <c r="Y473" t="str">
        <f>VLOOKUP(F473,'Transform table'!A:B,2,0)</f>
        <v>Real Potosi</v>
      </c>
      <c r="Z473" t="str">
        <f t="shared" si="7"/>
        <v>26/07/2026Club BolivarReal Potosi</v>
      </c>
      <c r="AA473" t="e">
        <f>VLOOKUP($Z473,'oddspedia-matches'!$A:$AD,AA$2,0)</f>
        <v>#N/A</v>
      </c>
      <c r="AB473" t="e">
        <f>VLOOKUP($Z473,'oddspedia-matches'!$A:$AD,AB$2,0)</f>
        <v>#N/A</v>
      </c>
      <c r="AC473" t="e">
        <f>VLOOKUP($Z473,'oddspedia-matches'!$A:$AD,AC$2,0)</f>
        <v>#N/A</v>
      </c>
      <c r="AD473" t="e">
        <f>VLOOKUP($Z473,'oddspedia-matches'!$A:$AD,AD$2,0)</f>
        <v>#N/A</v>
      </c>
      <c r="AE473" t="e">
        <f>VLOOKUP($Z473,'oddspedia-matches'!$A:$AD,AE$2,0)</f>
        <v>#N/A</v>
      </c>
      <c r="AF473" t="e">
        <f>VLOOKUP($Z473,'oddspedia-matches'!$A:$AD,AF$2,0)</f>
        <v>#N/A</v>
      </c>
      <c r="AG473" t="e">
        <f>VLOOKUP($Z473,'oddspedia-matches'!$A:$AD,AG$2,0)</f>
        <v>#N/A</v>
      </c>
      <c r="AH473" t="e">
        <f>VLOOKUP($Z473,'oddspedia-matches'!$A:$AD,AH$2,0)</f>
        <v>#N/A</v>
      </c>
      <c r="AI473" t="e">
        <f>VLOOKUP($Z473,'oddspedia-matches'!$A:$AD,AI$2,0)</f>
        <v>#N/A</v>
      </c>
      <c r="AJ473" t="e">
        <f>VLOOKUP($Z473,'oddspedia-matches'!$A:$AD,AJ$2,0)</f>
        <v>#N/A</v>
      </c>
      <c r="AK473" t="e">
        <f>VLOOKUP($Z473,'oddspedia-matches'!$A:$AD,AK$2,0)</f>
        <v>#N/A</v>
      </c>
      <c r="AL473" t="e">
        <f>VLOOKUP($Z473,'oddspedia-matches'!$A:$AD,AL$2,0)</f>
        <v>#N/A</v>
      </c>
      <c r="AM473" t="e">
        <f>VLOOKUP($Z473,'oddspedia-matches'!$A:$AD,AM$2,0)</f>
        <v>#N/A</v>
      </c>
      <c r="AN473" t="e">
        <f>VLOOKUP($Z473,'oddspedia-matches'!$A:$AD,AN$2,0)</f>
        <v>#N/A</v>
      </c>
      <c r="AO473" t="e">
        <f>VLOOKUP($Z473,'oddspedia-matches'!$A:$AD,AO$2,0)</f>
        <v>#N/A</v>
      </c>
      <c r="AP473" t="e">
        <f>VLOOKUP($Z473,'oddspedia-matches'!$A:$AD,AP$2,0)</f>
        <v>#N/A</v>
      </c>
      <c r="AQ473" t="e">
        <f>VLOOKUP($Z473,'oddspedia-matches'!$A:$AD,AQ$2,0)</f>
        <v>#N/A</v>
      </c>
    </row>
    <row r="474" spans="2:43" x14ac:dyDescent="0.2">
      <c r="B474" t="s">
        <v>454</v>
      </c>
      <c r="C474" t="s">
        <v>930</v>
      </c>
      <c r="D474" s="25">
        <v>0.77083333333333337</v>
      </c>
      <c r="E474" t="s">
        <v>1186</v>
      </c>
      <c r="F474" t="s">
        <v>39</v>
      </c>
      <c r="H474">
        <v>47.6</v>
      </c>
      <c r="I474">
        <v>27.9</v>
      </c>
      <c r="J474">
        <v>24.5</v>
      </c>
      <c r="K474">
        <v>75.5</v>
      </c>
      <c r="L474">
        <v>52.4</v>
      </c>
      <c r="M474">
        <v>72.099999999999994</v>
      </c>
      <c r="N474">
        <v>36.9</v>
      </c>
      <c r="O474">
        <v>42.3</v>
      </c>
      <c r="P474">
        <v>20.8</v>
      </c>
      <c r="Q474">
        <v>70.400000000000006</v>
      </c>
      <c r="R474">
        <v>74.7</v>
      </c>
      <c r="S474">
        <v>48.5</v>
      </c>
      <c r="T474">
        <v>51.5</v>
      </c>
      <c r="U474">
        <v>57.6</v>
      </c>
      <c r="V474">
        <v>52.7</v>
      </c>
      <c r="W474">
        <v>47.3</v>
      </c>
      <c r="X474" t="str">
        <f>VLOOKUP(E474,'Transform table'!A:B,2,0)</f>
        <v>Red Bull Bragantino</v>
      </c>
      <c r="Y474" t="str">
        <f>VLOOKUP(F474,'Transform table'!A:B,2,0)</f>
        <v>Coritiba PR</v>
      </c>
      <c r="Z474" t="str">
        <f t="shared" si="7"/>
        <v>26/07/2026Red Bull BragantinoCoritiba PR</v>
      </c>
      <c r="AA474" t="e">
        <f>VLOOKUP($Z474,'oddspedia-matches'!$A:$AD,AA$2,0)</f>
        <v>#N/A</v>
      </c>
      <c r="AB474" t="e">
        <f>VLOOKUP($Z474,'oddspedia-matches'!$A:$AD,AB$2,0)</f>
        <v>#N/A</v>
      </c>
      <c r="AC474" t="e">
        <f>VLOOKUP($Z474,'oddspedia-matches'!$A:$AD,AC$2,0)</f>
        <v>#N/A</v>
      </c>
      <c r="AD474" t="e">
        <f>VLOOKUP($Z474,'oddspedia-matches'!$A:$AD,AD$2,0)</f>
        <v>#N/A</v>
      </c>
      <c r="AE474" t="e">
        <f>VLOOKUP($Z474,'oddspedia-matches'!$A:$AD,AE$2,0)</f>
        <v>#N/A</v>
      </c>
      <c r="AF474" t="e">
        <f>VLOOKUP($Z474,'oddspedia-matches'!$A:$AD,AF$2,0)</f>
        <v>#N/A</v>
      </c>
      <c r="AG474" t="e">
        <f>VLOOKUP($Z474,'oddspedia-matches'!$A:$AD,AG$2,0)</f>
        <v>#N/A</v>
      </c>
      <c r="AH474" t="e">
        <f>VLOOKUP($Z474,'oddspedia-matches'!$A:$AD,AH$2,0)</f>
        <v>#N/A</v>
      </c>
      <c r="AI474" t="e">
        <f>VLOOKUP($Z474,'oddspedia-matches'!$A:$AD,AI$2,0)</f>
        <v>#N/A</v>
      </c>
      <c r="AJ474" t="e">
        <f>VLOOKUP($Z474,'oddspedia-matches'!$A:$AD,AJ$2,0)</f>
        <v>#N/A</v>
      </c>
      <c r="AK474" t="e">
        <f>VLOOKUP($Z474,'oddspedia-matches'!$A:$AD,AK$2,0)</f>
        <v>#N/A</v>
      </c>
      <c r="AL474" t="e">
        <f>VLOOKUP($Z474,'oddspedia-matches'!$A:$AD,AL$2,0)</f>
        <v>#N/A</v>
      </c>
      <c r="AM474" t="e">
        <f>VLOOKUP($Z474,'oddspedia-matches'!$A:$AD,AM$2,0)</f>
        <v>#N/A</v>
      </c>
      <c r="AN474" t="e">
        <f>VLOOKUP($Z474,'oddspedia-matches'!$A:$AD,AN$2,0)</f>
        <v>#N/A</v>
      </c>
      <c r="AO474" t="e">
        <f>VLOOKUP($Z474,'oddspedia-matches'!$A:$AD,AO$2,0)</f>
        <v>#N/A</v>
      </c>
      <c r="AP474" t="e">
        <f>VLOOKUP($Z474,'oddspedia-matches'!$A:$AD,AP$2,0)</f>
        <v>#N/A</v>
      </c>
      <c r="AQ474" t="e">
        <f>VLOOKUP($Z474,'oddspedia-matches'!$A:$AD,AQ$2,0)</f>
        <v>#N/A</v>
      </c>
    </row>
    <row r="475" spans="2:43" x14ac:dyDescent="0.2">
      <c r="B475" t="s">
        <v>454</v>
      </c>
      <c r="C475" t="s">
        <v>930</v>
      </c>
      <c r="D475" s="25">
        <v>0.77083333333333337</v>
      </c>
      <c r="E475" t="s">
        <v>66</v>
      </c>
      <c r="F475" t="s">
        <v>69</v>
      </c>
      <c r="H475">
        <v>54.6</v>
      </c>
      <c r="I475">
        <v>26.1</v>
      </c>
      <c r="J475">
        <v>19.3</v>
      </c>
      <c r="K475">
        <v>80.7</v>
      </c>
      <c r="L475">
        <v>45.4</v>
      </c>
      <c r="M475">
        <v>73.900000000000006</v>
      </c>
      <c r="N475">
        <v>40.6</v>
      </c>
      <c r="O475">
        <v>45.1</v>
      </c>
      <c r="P475">
        <v>14.4</v>
      </c>
      <c r="Q475">
        <v>64.400000000000006</v>
      </c>
      <c r="R475">
        <v>76.2</v>
      </c>
      <c r="S475">
        <v>50.5</v>
      </c>
      <c r="T475">
        <v>49.5</v>
      </c>
      <c r="U475">
        <v>56.5</v>
      </c>
      <c r="V475">
        <v>51.9</v>
      </c>
      <c r="W475">
        <v>48.1</v>
      </c>
      <c r="X475" t="str">
        <f>VLOOKUP(E475,'Transform table'!A:B,2,0)</f>
        <v>Flamengo RJ</v>
      </c>
      <c r="Y475" t="str">
        <f>VLOOKUP(F475,'Transform table'!A:B,2,0)</f>
        <v>Sao Paulo</v>
      </c>
      <c r="Z475" t="str">
        <f t="shared" si="7"/>
        <v>26/07/2026Flamengo RJSao Paulo</v>
      </c>
      <c r="AA475" t="e">
        <f>VLOOKUP($Z475,'oddspedia-matches'!$A:$AD,AA$2,0)</f>
        <v>#N/A</v>
      </c>
      <c r="AB475" t="e">
        <f>VLOOKUP($Z475,'oddspedia-matches'!$A:$AD,AB$2,0)</f>
        <v>#N/A</v>
      </c>
      <c r="AC475" t="e">
        <f>VLOOKUP($Z475,'oddspedia-matches'!$A:$AD,AC$2,0)</f>
        <v>#N/A</v>
      </c>
      <c r="AD475" t="e">
        <f>VLOOKUP($Z475,'oddspedia-matches'!$A:$AD,AD$2,0)</f>
        <v>#N/A</v>
      </c>
      <c r="AE475" t="e">
        <f>VLOOKUP($Z475,'oddspedia-matches'!$A:$AD,AE$2,0)</f>
        <v>#N/A</v>
      </c>
      <c r="AF475" t="e">
        <f>VLOOKUP($Z475,'oddspedia-matches'!$A:$AD,AF$2,0)</f>
        <v>#N/A</v>
      </c>
      <c r="AG475" t="e">
        <f>VLOOKUP($Z475,'oddspedia-matches'!$A:$AD,AG$2,0)</f>
        <v>#N/A</v>
      </c>
      <c r="AH475" t="e">
        <f>VLOOKUP($Z475,'oddspedia-matches'!$A:$AD,AH$2,0)</f>
        <v>#N/A</v>
      </c>
      <c r="AI475" t="e">
        <f>VLOOKUP($Z475,'oddspedia-matches'!$A:$AD,AI$2,0)</f>
        <v>#N/A</v>
      </c>
      <c r="AJ475" t="e">
        <f>VLOOKUP($Z475,'oddspedia-matches'!$A:$AD,AJ$2,0)</f>
        <v>#N/A</v>
      </c>
      <c r="AK475" t="e">
        <f>VLOOKUP($Z475,'oddspedia-matches'!$A:$AD,AK$2,0)</f>
        <v>#N/A</v>
      </c>
      <c r="AL475" t="e">
        <f>VLOOKUP($Z475,'oddspedia-matches'!$A:$AD,AL$2,0)</f>
        <v>#N/A</v>
      </c>
      <c r="AM475" t="e">
        <f>VLOOKUP($Z475,'oddspedia-matches'!$A:$AD,AM$2,0)</f>
        <v>#N/A</v>
      </c>
      <c r="AN475" t="e">
        <f>VLOOKUP($Z475,'oddspedia-matches'!$A:$AD,AN$2,0)</f>
        <v>#N/A</v>
      </c>
      <c r="AO475" t="e">
        <f>VLOOKUP($Z475,'oddspedia-matches'!$A:$AD,AO$2,0)</f>
        <v>#N/A</v>
      </c>
      <c r="AP475" t="e">
        <f>VLOOKUP($Z475,'oddspedia-matches'!$A:$AD,AP$2,0)</f>
        <v>#N/A</v>
      </c>
      <c r="AQ475" t="e">
        <f>VLOOKUP($Z475,'oddspedia-matches'!$A:$AD,AQ$2,0)</f>
        <v>#N/A</v>
      </c>
    </row>
    <row r="476" spans="2:43" x14ac:dyDescent="0.2">
      <c r="B476" t="s">
        <v>454</v>
      </c>
      <c r="C476" t="s">
        <v>930</v>
      </c>
      <c r="D476" s="25">
        <v>0.77083333333333337</v>
      </c>
      <c r="E476" t="s">
        <v>1187</v>
      </c>
      <c r="F476" t="s">
        <v>1188</v>
      </c>
      <c r="H476">
        <v>37.6</v>
      </c>
      <c r="I476">
        <v>29.5</v>
      </c>
      <c r="J476">
        <v>32.9</v>
      </c>
      <c r="K476">
        <v>67.099999999999994</v>
      </c>
      <c r="L476">
        <v>62.4</v>
      </c>
      <c r="M476">
        <v>70.5</v>
      </c>
      <c r="N476">
        <v>23.1</v>
      </c>
      <c r="O476">
        <v>47.7</v>
      </c>
      <c r="P476">
        <v>29.3</v>
      </c>
      <c r="Q476">
        <v>63.4</v>
      </c>
      <c r="R476">
        <v>73.7</v>
      </c>
      <c r="S476">
        <v>47</v>
      </c>
      <c r="T476">
        <v>53</v>
      </c>
      <c r="U476">
        <v>58.4</v>
      </c>
      <c r="V476">
        <v>53.3</v>
      </c>
      <c r="W476">
        <v>46.7</v>
      </c>
      <c r="X476" t="str">
        <f>VLOOKUP(E476,'Transform table'!A:B,2,0)</f>
        <v>Gremio RS</v>
      </c>
      <c r="Y476" t="e">
        <f>VLOOKUP(F476,'Transform table'!A:B,2,0)</f>
        <v>#N/A</v>
      </c>
      <c r="Z476" t="e">
        <f t="shared" si="7"/>
        <v>#N/A</v>
      </c>
      <c r="AA476" t="e">
        <f>VLOOKUP($Z476,'oddspedia-matches'!$A:$AD,AA$2,0)</f>
        <v>#N/A</v>
      </c>
      <c r="AB476" t="e">
        <f>VLOOKUP($Z476,'oddspedia-matches'!$A:$AD,AB$2,0)</f>
        <v>#N/A</v>
      </c>
      <c r="AC476" t="e">
        <f>VLOOKUP($Z476,'oddspedia-matches'!$A:$AD,AC$2,0)</f>
        <v>#N/A</v>
      </c>
      <c r="AD476" t="e">
        <f>VLOOKUP($Z476,'oddspedia-matches'!$A:$AD,AD$2,0)</f>
        <v>#N/A</v>
      </c>
      <c r="AE476" t="e">
        <f>VLOOKUP($Z476,'oddspedia-matches'!$A:$AD,AE$2,0)</f>
        <v>#N/A</v>
      </c>
      <c r="AF476" t="e">
        <f>VLOOKUP($Z476,'oddspedia-matches'!$A:$AD,AF$2,0)</f>
        <v>#N/A</v>
      </c>
      <c r="AG476" t="e">
        <f>VLOOKUP($Z476,'oddspedia-matches'!$A:$AD,AG$2,0)</f>
        <v>#N/A</v>
      </c>
      <c r="AH476" t="e">
        <f>VLOOKUP($Z476,'oddspedia-matches'!$A:$AD,AH$2,0)</f>
        <v>#N/A</v>
      </c>
      <c r="AI476" t="e">
        <f>VLOOKUP($Z476,'oddspedia-matches'!$A:$AD,AI$2,0)</f>
        <v>#N/A</v>
      </c>
      <c r="AJ476" t="e">
        <f>VLOOKUP($Z476,'oddspedia-matches'!$A:$AD,AJ$2,0)</f>
        <v>#N/A</v>
      </c>
      <c r="AK476" t="e">
        <f>VLOOKUP($Z476,'oddspedia-matches'!$A:$AD,AK$2,0)</f>
        <v>#N/A</v>
      </c>
      <c r="AL476" t="e">
        <f>VLOOKUP($Z476,'oddspedia-matches'!$A:$AD,AL$2,0)</f>
        <v>#N/A</v>
      </c>
      <c r="AM476" t="e">
        <f>VLOOKUP($Z476,'oddspedia-matches'!$A:$AD,AM$2,0)</f>
        <v>#N/A</v>
      </c>
      <c r="AN476" t="e">
        <f>VLOOKUP($Z476,'oddspedia-matches'!$A:$AD,AN$2,0)</f>
        <v>#N/A</v>
      </c>
      <c r="AO476" t="e">
        <f>VLOOKUP($Z476,'oddspedia-matches'!$A:$AD,AO$2,0)</f>
        <v>#N/A</v>
      </c>
      <c r="AP476" t="e">
        <f>VLOOKUP($Z476,'oddspedia-matches'!$A:$AD,AP$2,0)</f>
        <v>#N/A</v>
      </c>
      <c r="AQ476" t="e">
        <f>VLOOKUP($Z476,'oddspedia-matches'!$A:$AD,AQ$2,0)</f>
        <v>#N/A</v>
      </c>
    </row>
    <row r="477" spans="2:43" x14ac:dyDescent="0.2">
      <c r="B477" t="s">
        <v>455</v>
      </c>
      <c r="C477" t="s">
        <v>930</v>
      </c>
      <c r="D477" s="25">
        <v>0.77083333333333337</v>
      </c>
      <c r="E477" t="s">
        <v>233</v>
      </c>
      <c r="F477" t="s">
        <v>49</v>
      </c>
      <c r="H477">
        <v>32.9</v>
      </c>
      <c r="I477">
        <v>31</v>
      </c>
      <c r="J477">
        <v>36.1</v>
      </c>
      <c r="K477">
        <v>63.9</v>
      </c>
      <c r="L477">
        <v>67.099999999999994</v>
      </c>
      <c r="M477">
        <v>69</v>
      </c>
      <c r="N477">
        <v>26.8</v>
      </c>
      <c r="O477">
        <v>47.6</v>
      </c>
      <c r="P477">
        <v>25.6</v>
      </c>
      <c r="Q477">
        <v>63.6</v>
      </c>
      <c r="R477">
        <v>69.400000000000006</v>
      </c>
      <c r="S477">
        <v>41.7</v>
      </c>
      <c r="T477">
        <v>58.3</v>
      </c>
      <c r="U477">
        <v>63.4</v>
      </c>
      <c r="V477">
        <v>49.2</v>
      </c>
      <c r="W477">
        <v>50.8</v>
      </c>
      <c r="X477" t="str">
        <f>VLOOKUP(E477,'Transform table'!A:B,2,0)</f>
        <v>America Mineiro</v>
      </c>
      <c r="Y477" t="str">
        <f>VLOOKUP(F477,'Transform table'!A:B,2,0)</f>
        <v>Goias</v>
      </c>
      <c r="Z477" t="str">
        <f t="shared" si="7"/>
        <v>26/07/2026America MineiroGoias</v>
      </c>
      <c r="AA477" t="e">
        <f>VLOOKUP($Z477,'oddspedia-matches'!$A:$AD,AA$2,0)</f>
        <v>#N/A</v>
      </c>
      <c r="AB477" t="e">
        <f>VLOOKUP($Z477,'oddspedia-matches'!$A:$AD,AB$2,0)</f>
        <v>#N/A</v>
      </c>
      <c r="AC477" t="e">
        <f>VLOOKUP($Z477,'oddspedia-matches'!$A:$AD,AC$2,0)</f>
        <v>#N/A</v>
      </c>
      <c r="AD477" t="e">
        <f>VLOOKUP($Z477,'oddspedia-matches'!$A:$AD,AD$2,0)</f>
        <v>#N/A</v>
      </c>
      <c r="AE477" t="e">
        <f>VLOOKUP($Z477,'oddspedia-matches'!$A:$AD,AE$2,0)</f>
        <v>#N/A</v>
      </c>
      <c r="AF477" t="e">
        <f>VLOOKUP($Z477,'oddspedia-matches'!$A:$AD,AF$2,0)</f>
        <v>#N/A</v>
      </c>
      <c r="AG477" t="e">
        <f>VLOOKUP($Z477,'oddspedia-matches'!$A:$AD,AG$2,0)</f>
        <v>#N/A</v>
      </c>
      <c r="AH477" t="e">
        <f>VLOOKUP($Z477,'oddspedia-matches'!$A:$AD,AH$2,0)</f>
        <v>#N/A</v>
      </c>
      <c r="AI477" t="e">
        <f>VLOOKUP($Z477,'oddspedia-matches'!$A:$AD,AI$2,0)</f>
        <v>#N/A</v>
      </c>
      <c r="AJ477" t="e">
        <f>VLOOKUP($Z477,'oddspedia-matches'!$A:$AD,AJ$2,0)</f>
        <v>#N/A</v>
      </c>
      <c r="AK477" t="e">
        <f>VLOOKUP($Z477,'oddspedia-matches'!$A:$AD,AK$2,0)</f>
        <v>#N/A</v>
      </c>
      <c r="AL477" t="e">
        <f>VLOOKUP($Z477,'oddspedia-matches'!$A:$AD,AL$2,0)</f>
        <v>#N/A</v>
      </c>
      <c r="AM477" t="e">
        <f>VLOOKUP($Z477,'oddspedia-matches'!$A:$AD,AM$2,0)</f>
        <v>#N/A</v>
      </c>
      <c r="AN477" t="e">
        <f>VLOOKUP($Z477,'oddspedia-matches'!$A:$AD,AN$2,0)</f>
        <v>#N/A</v>
      </c>
      <c r="AO477" t="e">
        <f>VLOOKUP($Z477,'oddspedia-matches'!$A:$AD,AO$2,0)</f>
        <v>#N/A</v>
      </c>
      <c r="AP477" t="e">
        <f>VLOOKUP($Z477,'oddspedia-matches'!$A:$AD,AP$2,0)</f>
        <v>#N/A</v>
      </c>
      <c r="AQ477" t="e">
        <f>VLOOKUP($Z477,'oddspedia-matches'!$A:$AD,AQ$2,0)</f>
        <v>#N/A</v>
      </c>
    </row>
    <row r="478" spans="2:43" x14ac:dyDescent="0.2">
      <c r="B478" t="s">
        <v>455</v>
      </c>
      <c r="C478" t="s">
        <v>930</v>
      </c>
      <c r="D478" s="25">
        <v>0.77083333333333337</v>
      </c>
      <c r="E478" t="s">
        <v>72</v>
      </c>
      <c r="F478" t="s">
        <v>234</v>
      </c>
      <c r="H478">
        <v>37.299999999999997</v>
      </c>
      <c r="I478">
        <v>29.3</v>
      </c>
      <c r="J478">
        <v>33.4</v>
      </c>
      <c r="K478">
        <v>66.599999999999994</v>
      </c>
      <c r="L478">
        <v>62.7</v>
      </c>
      <c r="M478">
        <v>70.7</v>
      </c>
      <c r="N478">
        <v>26</v>
      </c>
      <c r="O478">
        <v>50.1</v>
      </c>
      <c r="P478">
        <v>23.9</v>
      </c>
      <c r="Q478">
        <v>59.7</v>
      </c>
      <c r="R478">
        <v>74.400000000000006</v>
      </c>
      <c r="S478">
        <v>48</v>
      </c>
      <c r="T478">
        <v>52</v>
      </c>
      <c r="U478">
        <v>57.4</v>
      </c>
      <c r="V478">
        <v>54.2</v>
      </c>
      <c r="W478">
        <v>45.8</v>
      </c>
      <c r="X478" t="str">
        <f>VLOOKUP(E478,'Transform table'!A:B,2,0)</f>
        <v>Londrina EC</v>
      </c>
      <c r="Y478" t="str">
        <f>VLOOKUP(F478,'Transform table'!A:B,2,0)</f>
        <v>Novorizontino SP</v>
      </c>
      <c r="Z478" t="str">
        <f t="shared" si="7"/>
        <v>26/07/2026Londrina ECNovorizontino SP</v>
      </c>
      <c r="AA478" t="e">
        <f>VLOOKUP($Z478,'oddspedia-matches'!$A:$AD,AA$2,0)</f>
        <v>#N/A</v>
      </c>
      <c r="AB478" t="e">
        <f>VLOOKUP($Z478,'oddspedia-matches'!$A:$AD,AB$2,0)</f>
        <v>#N/A</v>
      </c>
      <c r="AC478" t="e">
        <f>VLOOKUP($Z478,'oddspedia-matches'!$A:$AD,AC$2,0)</f>
        <v>#N/A</v>
      </c>
      <c r="AD478" t="e">
        <f>VLOOKUP($Z478,'oddspedia-matches'!$A:$AD,AD$2,0)</f>
        <v>#N/A</v>
      </c>
      <c r="AE478" t="e">
        <f>VLOOKUP($Z478,'oddspedia-matches'!$A:$AD,AE$2,0)</f>
        <v>#N/A</v>
      </c>
      <c r="AF478" t="e">
        <f>VLOOKUP($Z478,'oddspedia-matches'!$A:$AD,AF$2,0)</f>
        <v>#N/A</v>
      </c>
      <c r="AG478" t="e">
        <f>VLOOKUP($Z478,'oddspedia-matches'!$A:$AD,AG$2,0)</f>
        <v>#N/A</v>
      </c>
      <c r="AH478" t="e">
        <f>VLOOKUP($Z478,'oddspedia-matches'!$A:$AD,AH$2,0)</f>
        <v>#N/A</v>
      </c>
      <c r="AI478" t="e">
        <f>VLOOKUP($Z478,'oddspedia-matches'!$A:$AD,AI$2,0)</f>
        <v>#N/A</v>
      </c>
      <c r="AJ478" t="e">
        <f>VLOOKUP($Z478,'oddspedia-matches'!$A:$AD,AJ$2,0)</f>
        <v>#N/A</v>
      </c>
      <c r="AK478" t="e">
        <f>VLOOKUP($Z478,'oddspedia-matches'!$A:$AD,AK$2,0)</f>
        <v>#N/A</v>
      </c>
      <c r="AL478" t="e">
        <f>VLOOKUP($Z478,'oddspedia-matches'!$A:$AD,AL$2,0)</f>
        <v>#N/A</v>
      </c>
      <c r="AM478" t="e">
        <f>VLOOKUP($Z478,'oddspedia-matches'!$A:$AD,AM$2,0)</f>
        <v>#N/A</v>
      </c>
      <c r="AN478" t="e">
        <f>VLOOKUP($Z478,'oddspedia-matches'!$A:$AD,AN$2,0)</f>
        <v>#N/A</v>
      </c>
      <c r="AO478" t="e">
        <f>VLOOKUP($Z478,'oddspedia-matches'!$A:$AD,AO$2,0)</f>
        <v>#N/A</v>
      </c>
      <c r="AP478" t="e">
        <f>VLOOKUP($Z478,'oddspedia-matches'!$A:$AD,AP$2,0)</f>
        <v>#N/A</v>
      </c>
      <c r="AQ478" t="e">
        <f>VLOOKUP($Z478,'oddspedia-matches'!$A:$AD,AQ$2,0)</f>
        <v>#N/A</v>
      </c>
    </row>
    <row r="479" spans="2:43" x14ac:dyDescent="0.2">
      <c r="B479" t="s">
        <v>728</v>
      </c>
      <c r="C479" t="s">
        <v>930</v>
      </c>
      <c r="D479" s="25">
        <v>0.77083333333333337</v>
      </c>
      <c r="E479" t="s">
        <v>1189</v>
      </c>
      <c r="F479" t="s">
        <v>1190</v>
      </c>
      <c r="H479">
        <v>38.6</v>
      </c>
      <c r="I479">
        <v>32.9</v>
      </c>
      <c r="J479">
        <v>28.5</v>
      </c>
      <c r="K479">
        <v>71.5</v>
      </c>
      <c r="L479">
        <v>61.4</v>
      </c>
      <c r="M479">
        <v>67.099999999999994</v>
      </c>
      <c r="N479">
        <v>27</v>
      </c>
      <c r="O479">
        <v>51.6</v>
      </c>
      <c r="P479">
        <v>21.4</v>
      </c>
      <c r="Q479">
        <v>57.4</v>
      </c>
      <c r="R479">
        <v>61.7</v>
      </c>
      <c r="S479">
        <v>33.299999999999997</v>
      </c>
      <c r="T479">
        <v>66.7</v>
      </c>
      <c r="U479">
        <v>71.400000000000006</v>
      </c>
      <c r="V479">
        <v>41.8</v>
      </c>
      <c r="W479">
        <v>58.2</v>
      </c>
      <c r="X479">
        <f>VLOOKUP(E479,'Transform table'!A:B,2,0)</f>
        <v>0</v>
      </c>
      <c r="Y479" t="e">
        <f>VLOOKUP(F479,'Transform table'!A:B,2,0)</f>
        <v>#N/A</v>
      </c>
      <c r="Z479" t="e">
        <f t="shared" si="7"/>
        <v>#N/A</v>
      </c>
      <c r="AA479" t="e">
        <f>VLOOKUP($Z479,'oddspedia-matches'!$A:$AD,AA$2,0)</f>
        <v>#N/A</v>
      </c>
      <c r="AB479" t="e">
        <f>VLOOKUP($Z479,'oddspedia-matches'!$A:$AD,AB$2,0)</f>
        <v>#N/A</v>
      </c>
      <c r="AC479" t="e">
        <f>VLOOKUP($Z479,'oddspedia-matches'!$A:$AD,AC$2,0)</f>
        <v>#N/A</v>
      </c>
      <c r="AD479" t="e">
        <f>VLOOKUP($Z479,'oddspedia-matches'!$A:$AD,AD$2,0)</f>
        <v>#N/A</v>
      </c>
      <c r="AE479" t="e">
        <f>VLOOKUP($Z479,'oddspedia-matches'!$A:$AD,AE$2,0)</f>
        <v>#N/A</v>
      </c>
      <c r="AF479" t="e">
        <f>VLOOKUP($Z479,'oddspedia-matches'!$A:$AD,AF$2,0)</f>
        <v>#N/A</v>
      </c>
      <c r="AG479" t="e">
        <f>VLOOKUP($Z479,'oddspedia-matches'!$A:$AD,AG$2,0)</f>
        <v>#N/A</v>
      </c>
      <c r="AH479" t="e">
        <f>VLOOKUP($Z479,'oddspedia-matches'!$A:$AD,AH$2,0)</f>
        <v>#N/A</v>
      </c>
      <c r="AI479" t="e">
        <f>VLOOKUP($Z479,'oddspedia-matches'!$A:$AD,AI$2,0)</f>
        <v>#N/A</v>
      </c>
      <c r="AJ479" t="e">
        <f>VLOOKUP($Z479,'oddspedia-matches'!$A:$AD,AJ$2,0)</f>
        <v>#N/A</v>
      </c>
      <c r="AK479" t="e">
        <f>VLOOKUP($Z479,'oddspedia-matches'!$A:$AD,AK$2,0)</f>
        <v>#N/A</v>
      </c>
      <c r="AL479" t="e">
        <f>VLOOKUP($Z479,'oddspedia-matches'!$A:$AD,AL$2,0)</f>
        <v>#N/A</v>
      </c>
      <c r="AM479" t="e">
        <f>VLOOKUP($Z479,'oddspedia-matches'!$A:$AD,AM$2,0)</f>
        <v>#N/A</v>
      </c>
      <c r="AN479" t="e">
        <f>VLOOKUP($Z479,'oddspedia-matches'!$A:$AD,AN$2,0)</f>
        <v>#N/A</v>
      </c>
      <c r="AO479" t="e">
        <f>VLOOKUP($Z479,'oddspedia-matches'!$A:$AD,AO$2,0)</f>
        <v>#N/A</v>
      </c>
      <c r="AP479" t="e">
        <f>VLOOKUP($Z479,'oddspedia-matches'!$A:$AD,AP$2,0)</f>
        <v>#N/A</v>
      </c>
      <c r="AQ479" t="e">
        <f>VLOOKUP($Z479,'oddspedia-matches'!$A:$AD,AQ$2,0)</f>
        <v>#N/A</v>
      </c>
    </row>
    <row r="480" spans="2:43" x14ac:dyDescent="0.2">
      <c r="B480" t="s">
        <v>485</v>
      </c>
      <c r="C480" t="s">
        <v>930</v>
      </c>
      <c r="D480" s="25">
        <v>0.77083333333333337</v>
      </c>
      <c r="E480" t="s">
        <v>1191</v>
      </c>
      <c r="F480" t="s">
        <v>1192</v>
      </c>
      <c r="H480">
        <v>30.7</v>
      </c>
      <c r="I480">
        <v>33.1</v>
      </c>
      <c r="J480">
        <v>36.200000000000003</v>
      </c>
      <c r="K480">
        <v>63.8</v>
      </c>
      <c r="L480">
        <v>69.3</v>
      </c>
      <c r="M480">
        <v>66.900000000000006</v>
      </c>
      <c r="N480">
        <v>26.6</v>
      </c>
      <c r="O480">
        <v>47</v>
      </c>
      <c r="P480">
        <v>26.4</v>
      </c>
      <c r="Q480">
        <v>64.400000000000006</v>
      </c>
      <c r="R480">
        <v>62.7</v>
      </c>
      <c r="S480">
        <v>34.4</v>
      </c>
      <c r="T480">
        <v>65.599999999999994</v>
      </c>
      <c r="U480">
        <v>70.3</v>
      </c>
      <c r="V480">
        <v>43</v>
      </c>
      <c r="W480">
        <v>57</v>
      </c>
      <c r="X480" t="str">
        <f>VLOOKUP(E480,'Transform table'!A:B,2,0)</f>
        <v>Audax Sao Mateus</v>
      </c>
      <c r="Y480" t="e">
        <f>VLOOKUP(F480,'Transform table'!A:B,2,0)</f>
        <v>#N/A</v>
      </c>
      <c r="Z480" t="e">
        <f t="shared" si="7"/>
        <v>#N/A</v>
      </c>
      <c r="AA480" t="e">
        <f>VLOOKUP($Z480,'oddspedia-matches'!$A:$AD,AA$2,0)</f>
        <v>#N/A</v>
      </c>
      <c r="AB480" t="e">
        <f>VLOOKUP($Z480,'oddspedia-matches'!$A:$AD,AB$2,0)</f>
        <v>#N/A</v>
      </c>
      <c r="AC480" t="e">
        <f>VLOOKUP($Z480,'oddspedia-matches'!$A:$AD,AC$2,0)</f>
        <v>#N/A</v>
      </c>
      <c r="AD480" t="e">
        <f>VLOOKUP($Z480,'oddspedia-matches'!$A:$AD,AD$2,0)</f>
        <v>#N/A</v>
      </c>
      <c r="AE480" t="e">
        <f>VLOOKUP($Z480,'oddspedia-matches'!$A:$AD,AE$2,0)</f>
        <v>#N/A</v>
      </c>
      <c r="AF480" t="e">
        <f>VLOOKUP($Z480,'oddspedia-matches'!$A:$AD,AF$2,0)</f>
        <v>#N/A</v>
      </c>
      <c r="AG480" t="e">
        <f>VLOOKUP($Z480,'oddspedia-matches'!$A:$AD,AG$2,0)</f>
        <v>#N/A</v>
      </c>
      <c r="AH480" t="e">
        <f>VLOOKUP($Z480,'oddspedia-matches'!$A:$AD,AH$2,0)</f>
        <v>#N/A</v>
      </c>
      <c r="AI480" t="e">
        <f>VLOOKUP($Z480,'oddspedia-matches'!$A:$AD,AI$2,0)</f>
        <v>#N/A</v>
      </c>
      <c r="AJ480" t="e">
        <f>VLOOKUP($Z480,'oddspedia-matches'!$A:$AD,AJ$2,0)</f>
        <v>#N/A</v>
      </c>
      <c r="AK480" t="e">
        <f>VLOOKUP($Z480,'oddspedia-matches'!$A:$AD,AK$2,0)</f>
        <v>#N/A</v>
      </c>
      <c r="AL480" t="e">
        <f>VLOOKUP($Z480,'oddspedia-matches'!$A:$AD,AL$2,0)</f>
        <v>#N/A</v>
      </c>
      <c r="AM480" t="e">
        <f>VLOOKUP($Z480,'oddspedia-matches'!$A:$AD,AM$2,0)</f>
        <v>#N/A</v>
      </c>
      <c r="AN480" t="e">
        <f>VLOOKUP($Z480,'oddspedia-matches'!$A:$AD,AN$2,0)</f>
        <v>#N/A</v>
      </c>
      <c r="AO480" t="e">
        <f>VLOOKUP($Z480,'oddspedia-matches'!$A:$AD,AO$2,0)</f>
        <v>#N/A</v>
      </c>
      <c r="AP480" t="e">
        <f>VLOOKUP($Z480,'oddspedia-matches'!$A:$AD,AP$2,0)</f>
        <v>#N/A</v>
      </c>
      <c r="AQ480" t="e">
        <f>VLOOKUP($Z480,'oddspedia-matches'!$A:$AD,AQ$2,0)</f>
        <v>#N/A</v>
      </c>
    </row>
    <row r="481" spans="2:43" x14ac:dyDescent="0.2">
      <c r="B481" t="s">
        <v>488</v>
      </c>
      <c r="C481" t="s">
        <v>930</v>
      </c>
      <c r="D481" s="25">
        <v>0.77083333333333337</v>
      </c>
      <c r="E481" t="s">
        <v>1193</v>
      </c>
      <c r="F481" t="s">
        <v>1194</v>
      </c>
      <c r="H481">
        <v>52.1</v>
      </c>
      <c r="I481">
        <v>26.6</v>
      </c>
      <c r="J481">
        <v>21.3</v>
      </c>
      <c r="K481">
        <v>78.7</v>
      </c>
      <c r="L481">
        <v>47.9</v>
      </c>
      <c r="M481">
        <v>73.400000000000006</v>
      </c>
      <c r="N481">
        <v>36.700000000000003</v>
      </c>
      <c r="O481">
        <v>45.1</v>
      </c>
      <c r="P481">
        <v>18.3</v>
      </c>
      <c r="Q481">
        <v>65.8</v>
      </c>
      <c r="R481">
        <v>76.599999999999994</v>
      </c>
      <c r="S481">
        <v>51</v>
      </c>
      <c r="T481">
        <v>49</v>
      </c>
      <c r="U481">
        <v>55.6</v>
      </c>
      <c r="V481">
        <v>53.4</v>
      </c>
      <c r="W481">
        <v>46.6</v>
      </c>
      <c r="X481">
        <f>VLOOKUP(E481,'Transform table'!A:B,2,0)</f>
        <v>0</v>
      </c>
      <c r="Y481" t="e">
        <f>VLOOKUP(F481,'Transform table'!A:B,2,0)</f>
        <v>#N/A</v>
      </c>
      <c r="Z481" t="e">
        <f t="shared" si="7"/>
        <v>#N/A</v>
      </c>
      <c r="AA481" t="e">
        <f>VLOOKUP($Z481,'oddspedia-matches'!$A:$AD,AA$2,0)</f>
        <v>#N/A</v>
      </c>
      <c r="AB481" t="e">
        <f>VLOOKUP($Z481,'oddspedia-matches'!$A:$AD,AB$2,0)</f>
        <v>#N/A</v>
      </c>
      <c r="AC481" t="e">
        <f>VLOOKUP($Z481,'oddspedia-matches'!$A:$AD,AC$2,0)</f>
        <v>#N/A</v>
      </c>
      <c r="AD481" t="e">
        <f>VLOOKUP($Z481,'oddspedia-matches'!$A:$AD,AD$2,0)</f>
        <v>#N/A</v>
      </c>
      <c r="AE481" t="e">
        <f>VLOOKUP($Z481,'oddspedia-matches'!$A:$AD,AE$2,0)</f>
        <v>#N/A</v>
      </c>
      <c r="AF481" t="e">
        <f>VLOOKUP($Z481,'oddspedia-matches'!$A:$AD,AF$2,0)</f>
        <v>#N/A</v>
      </c>
      <c r="AG481" t="e">
        <f>VLOOKUP($Z481,'oddspedia-matches'!$A:$AD,AG$2,0)</f>
        <v>#N/A</v>
      </c>
      <c r="AH481" t="e">
        <f>VLOOKUP($Z481,'oddspedia-matches'!$A:$AD,AH$2,0)</f>
        <v>#N/A</v>
      </c>
      <c r="AI481" t="e">
        <f>VLOOKUP($Z481,'oddspedia-matches'!$A:$AD,AI$2,0)</f>
        <v>#N/A</v>
      </c>
      <c r="AJ481" t="e">
        <f>VLOOKUP($Z481,'oddspedia-matches'!$A:$AD,AJ$2,0)</f>
        <v>#N/A</v>
      </c>
      <c r="AK481" t="e">
        <f>VLOOKUP($Z481,'oddspedia-matches'!$A:$AD,AK$2,0)</f>
        <v>#N/A</v>
      </c>
      <c r="AL481" t="e">
        <f>VLOOKUP($Z481,'oddspedia-matches'!$A:$AD,AL$2,0)</f>
        <v>#N/A</v>
      </c>
      <c r="AM481" t="e">
        <f>VLOOKUP($Z481,'oddspedia-matches'!$A:$AD,AM$2,0)</f>
        <v>#N/A</v>
      </c>
      <c r="AN481" t="e">
        <f>VLOOKUP($Z481,'oddspedia-matches'!$A:$AD,AN$2,0)</f>
        <v>#N/A</v>
      </c>
      <c r="AO481" t="e">
        <f>VLOOKUP($Z481,'oddspedia-matches'!$A:$AD,AO$2,0)</f>
        <v>#N/A</v>
      </c>
      <c r="AP481" t="e">
        <f>VLOOKUP($Z481,'oddspedia-matches'!$A:$AD,AP$2,0)</f>
        <v>#N/A</v>
      </c>
      <c r="AQ481" t="e">
        <f>VLOOKUP($Z481,'oddspedia-matches'!$A:$AD,AQ$2,0)</f>
        <v>#N/A</v>
      </c>
    </row>
    <row r="482" spans="2:43" x14ac:dyDescent="0.2">
      <c r="B482" t="s">
        <v>479</v>
      </c>
      <c r="C482" t="s">
        <v>930</v>
      </c>
      <c r="D482" s="25">
        <v>0.77083333333333337</v>
      </c>
      <c r="E482" t="s">
        <v>1195</v>
      </c>
      <c r="F482" t="s">
        <v>1196</v>
      </c>
      <c r="H482">
        <v>50.9</v>
      </c>
      <c r="I482">
        <v>27.8</v>
      </c>
      <c r="J482">
        <v>21.3</v>
      </c>
      <c r="K482">
        <v>78.7</v>
      </c>
      <c r="L482">
        <v>49.1</v>
      </c>
      <c r="M482">
        <v>72.2</v>
      </c>
      <c r="N482">
        <v>36</v>
      </c>
      <c r="O482">
        <v>43.3</v>
      </c>
      <c r="P482">
        <v>20.7</v>
      </c>
      <c r="Q482">
        <v>69</v>
      </c>
      <c r="R482">
        <v>72.400000000000006</v>
      </c>
      <c r="S482">
        <v>45.5</v>
      </c>
      <c r="T482">
        <v>54.5</v>
      </c>
      <c r="U482">
        <v>60.9</v>
      </c>
      <c r="V482">
        <v>49.1</v>
      </c>
      <c r="W482">
        <v>50.9</v>
      </c>
      <c r="X482" t="str">
        <f>VLOOKUP(E482,'Transform table'!A:B,2,0)</f>
        <v>Guairena FC</v>
      </c>
      <c r="Y482" t="e">
        <f>VLOOKUP(F482,'Transform table'!A:B,2,0)</f>
        <v>#N/A</v>
      </c>
      <c r="Z482" t="e">
        <f t="shared" si="7"/>
        <v>#N/A</v>
      </c>
      <c r="AA482" t="e">
        <f>VLOOKUP($Z482,'oddspedia-matches'!$A:$AD,AA$2,0)</f>
        <v>#N/A</v>
      </c>
      <c r="AB482" t="e">
        <f>VLOOKUP($Z482,'oddspedia-matches'!$A:$AD,AB$2,0)</f>
        <v>#N/A</v>
      </c>
      <c r="AC482" t="e">
        <f>VLOOKUP($Z482,'oddspedia-matches'!$A:$AD,AC$2,0)</f>
        <v>#N/A</v>
      </c>
      <c r="AD482" t="e">
        <f>VLOOKUP($Z482,'oddspedia-matches'!$A:$AD,AD$2,0)</f>
        <v>#N/A</v>
      </c>
      <c r="AE482" t="e">
        <f>VLOOKUP($Z482,'oddspedia-matches'!$A:$AD,AE$2,0)</f>
        <v>#N/A</v>
      </c>
      <c r="AF482" t="e">
        <f>VLOOKUP($Z482,'oddspedia-matches'!$A:$AD,AF$2,0)</f>
        <v>#N/A</v>
      </c>
      <c r="AG482" t="e">
        <f>VLOOKUP($Z482,'oddspedia-matches'!$A:$AD,AG$2,0)</f>
        <v>#N/A</v>
      </c>
      <c r="AH482" t="e">
        <f>VLOOKUP($Z482,'oddspedia-matches'!$A:$AD,AH$2,0)</f>
        <v>#N/A</v>
      </c>
      <c r="AI482" t="e">
        <f>VLOOKUP($Z482,'oddspedia-matches'!$A:$AD,AI$2,0)</f>
        <v>#N/A</v>
      </c>
      <c r="AJ482" t="e">
        <f>VLOOKUP($Z482,'oddspedia-matches'!$A:$AD,AJ$2,0)</f>
        <v>#N/A</v>
      </c>
      <c r="AK482" t="e">
        <f>VLOOKUP($Z482,'oddspedia-matches'!$A:$AD,AK$2,0)</f>
        <v>#N/A</v>
      </c>
      <c r="AL482" t="e">
        <f>VLOOKUP($Z482,'oddspedia-matches'!$A:$AD,AL$2,0)</f>
        <v>#N/A</v>
      </c>
      <c r="AM482" t="e">
        <f>VLOOKUP($Z482,'oddspedia-matches'!$A:$AD,AM$2,0)</f>
        <v>#N/A</v>
      </c>
      <c r="AN482" t="e">
        <f>VLOOKUP($Z482,'oddspedia-matches'!$A:$AD,AN$2,0)</f>
        <v>#N/A</v>
      </c>
      <c r="AO482" t="e">
        <f>VLOOKUP($Z482,'oddspedia-matches'!$A:$AD,AO$2,0)</f>
        <v>#N/A</v>
      </c>
      <c r="AP482" t="e">
        <f>VLOOKUP($Z482,'oddspedia-matches'!$A:$AD,AP$2,0)</f>
        <v>#N/A</v>
      </c>
      <c r="AQ482" t="e">
        <f>VLOOKUP($Z482,'oddspedia-matches'!$A:$AD,AQ$2,0)</f>
        <v>#N/A</v>
      </c>
    </row>
    <row r="483" spans="2:43" x14ac:dyDescent="0.2">
      <c r="B483" t="s">
        <v>483</v>
      </c>
      <c r="C483" t="s">
        <v>930</v>
      </c>
      <c r="D483" s="25">
        <v>0.79166666666666663</v>
      </c>
      <c r="E483" t="s">
        <v>1197</v>
      </c>
      <c r="F483" t="s">
        <v>1198</v>
      </c>
      <c r="H483">
        <v>39.4</v>
      </c>
      <c r="I483">
        <v>31.5</v>
      </c>
      <c r="J483">
        <v>29.1</v>
      </c>
      <c r="K483">
        <v>70.900000000000006</v>
      </c>
      <c r="L483">
        <v>60.6</v>
      </c>
      <c r="M483">
        <v>68.5</v>
      </c>
      <c r="N483">
        <v>25.8</v>
      </c>
      <c r="O483">
        <v>53.2</v>
      </c>
      <c r="P483">
        <v>21</v>
      </c>
      <c r="Q483">
        <v>55.1</v>
      </c>
      <c r="R483">
        <v>66.099999999999994</v>
      </c>
      <c r="S483">
        <v>38</v>
      </c>
      <c r="T483">
        <v>62</v>
      </c>
      <c r="U483">
        <v>67.099999999999994</v>
      </c>
      <c r="V483">
        <v>45.7</v>
      </c>
      <c r="W483">
        <v>54.3</v>
      </c>
      <c r="X483">
        <f>VLOOKUP(E483,'Transform table'!A:B,2,0)</f>
        <v>0</v>
      </c>
      <c r="Y483" t="e">
        <f>VLOOKUP(F483,'Transform table'!A:B,2,0)</f>
        <v>#N/A</v>
      </c>
      <c r="Z483" t="e">
        <f t="shared" si="7"/>
        <v>#N/A</v>
      </c>
      <c r="AA483" t="e">
        <f>VLOOKUP($Z483,'oddspedia-matches'!$A:$AD,AA$2,0)</f>
        <v>#N/A</v>
      </c>
      <c r="AB483" t="e">
        <f>VLOOKUP($Z483,'oddspedia-matches'!$A:$AD,AB$2,0)</f>
        <v>#N/A</v>
      </c>
      <c r="AC483" t="e">
        <f>VLOOKUP($Z483,'oddspedia-matches'!$A:$AD,AC$2,0)</f>
        <v>#N/A</v>
      </c>
      <c r="AD483" t="e">
        <f>VLOOKUP($Z483,'oddspedia-matches'!$A:$AD,AD$2,0)</f>
        <v>#N/A</v>
      </c>
      <c r="AE483" t="e">
        <f>VLOOKUP($Z483,'oddspedia-matches'!$A:$AD,AE$2,0)</f>
        <v>#N/A</v>
      </c>
      <c r="AF483" t="e">
        <f>VLOOKUP($Z483,'oddspedia-matches'!$A:$AD,AF$2,0)</f>
        <v>#N/A</v>
      </c>
      <c r="AG483" t="e">
        <f>VLOOKUP($Z483,'oddspedia-matches'!$A:$AD,AG$2,0)</f>
        <v>#N/A</v>
      </c>
      <c r="AH483" t="e">
        <f>VLOOKUP($Z483,'oddspedia-matches'!$A:$AD,AH$2,0)</f>
        <v>#N/A</v>
      </c>
      <c r="AI483" t="e">
        <f>VLOOKUP($Z483,'oddspedia-matches'!$A:$AD,AI$2,0)</f>
        <v>#N/A</v>
      </c>
      <c r="AJ483" t="e">
        <f>VLOOKUP($Z483,'oddspedia-matches'!$A:$AD,AJ$2,0)</f>
        <v>#N/A</v>
      </c>
      <c r="AK483" t="e">
        <f>VLOOKUP($Z483,'oddspedia-matches'!$A:$AD,AK$2,0)</f>
        <v>#N/A</v>
      </c>
      <c r="AL483" t="e">
        <f>VLOOKUP($Z483,'oddspedia-matches'!$A:$AD,AL$2,0)</f>
        <v>#N/A</v>
      </c>
      <c r="AM483" t="e">
        <f>VLOOKUP($Z483,'oddspedia-matches'!$A:$AD,AM$2,0)</f>
        <v>#N/A</v>
      </c>
      <c r="AN483" t="e">
        <f>VLOOKUP($Z483,'oddspedia-matches'!$A:$AD,AN$2,0)</f>
        <v>#N/A</v>
      </c>
      <c r="AO483" t="e">
        <f>VLOOKUP($Z483,'oddspedia-matches'!$A:$AD,AO$2,0)</f>
        <v>#N/A</v>
      </c>
      <c r="AP483" t="e">
        <f>VLOOKUP($Z483,'oddspedia-matches'!$A:$AD,AP$2,0)</f>
        <v>#N/A</v>
      </c>
      <c r="AQ483" t="e">
        <f>VLOOKUP($Z483,'oddspedia-matches'!$A:$AD,AQ$2,0)</f>
        <v>#N/A</v>
      </c>
    </row>
    <row r="484" spans="2:43" x14ac:dyDescent="0.2">
      <c r="B484" t="s">
        <v>466</v>
      </c>
      <c r="C484" t="s">
        <v>930</v>
      </c>
      <c r="D484" s="25">
        <v>0.79166666666666663</v>
      </c>
      <c r="E484" t="s">
        <v>1199</v>
      </c>
      <c r="F484" t="s">
        <v>1200</v>
      </c>
      <c r="H484">
        <v>41.8</v>
      </c>
      <c r="I484">
        <v>25.8</v>
      </c>
      <c r="J484">
        <v>32.4</v>
      </c>
      <c r="K484">
        <v>67.599999999999994</v>
      </c>
      <c r="L484">
        <v>58.2</v>
      </c>
      <c r="M484">
        <v>74.2</v>
      </c>
      <c r="N484">
        <v>38.700000000000003</v>
      </c>
      <c r="O484">
        <v>36.1</v>
      </c>
      <c r="P484">
        <v>25.1</v>
      </c>
      <c r="Q484">
        <v>80.5</v>
      </c>
      <c r="R484">
        <v>86.9</v>
      </c>
      <c r="S484">
        <v>67.2</v>
      </c>
      <c r="T484">
        <v>32.799999999999997</v>
      </c>
      <c r="U484">
        <v>38.299999999999997</v>
      </c>
      <c r="V484">
        <v>68.7</v>
      </c>
      <c r="W484">
        <v>31.3</v>
      </c>
      <c r="X484">
        <f>VLOOKUP(E484,'Transform table'!A:B,2,0)</f>
        <v>0</v>
      </c>
      <c r="Y484" t="e">
        <f>VLOOKUP(F484,'Transform table'!A:B,2,0)</f>
        <v>#N/A</v>
      </c>
      <c r="Z484" t="e">
        <f t="shared" si="7"/>
        <v>#N/A</v>
      </c>
      <c r="AA484" t="e">
        <f>VLOOKUP($Z484,'oddspedia-matches'!$A:$AD,AA$2,0)</f>
        <v>#N/A</v>
      </c>
      <c r="AB484" t="e">
        <f>VLOOKUP($Z484,'oddspedia-matches'!$A:$AD,AB$2,0)</f>
        <v>#N/A</v>
      </c>
      <c r="AC484" t="e">
        <f>VLOOKUP($Z484,'oddspedia-matches'!$A:$AD,AC$2,0)</f>
        <v>#N/A</v>
      </c>
      <c r="AD484" t="e">
        <f>VLOOKUP($Z484,'oddspedia-matches'!$A:$AD,AD$2,0)</f>
        <v>#N/A</v>
      </c>
      <c r="AE484" t="e">
        <f>VLOOKUP($Z484,'oddspedia-matches'!$A:$AD,AE$2,0)</f>
        <v>#N/A</v>
      </c>
      <c r="AF484" t="e">
        <f>VLOOKUP($Z484,'oddspedia-matches'!$A:$AD,AF$2,0)</f>
        <v>#N/A</v>
      </c>
      <c r="AG484" t="e">
        <f>VLOOKUP($Z484,'oddspedia-matches'!$A:$AD,AG$2,0)</f>
        <v>#N/A</v>
      </c>
      <c r="AH484" t="e">
        <f>VLOOKUP($Z484,'oddspedia-matches'!$A:$AD,AH$2,0)</f>
        <v>#N/A</v>
      </c>
      <c r="AI484" t="e">
        <f>VLOOKUP($Z484,'oddspedia-matches'!$A:$AD,AI$2,0)</f>
        <v>#N/A</v>
      </c>
      <c r="AJ484" t="e">
        <f>VLOOKUP($Z484,'oddspedia-matches'!$A:$AD,AJ$2,0)</f>
        <v>#N/A</v>
      </c>
      <c r="AK484" t="e">
        <f>VLOOKUP($Z484,'oddspedia-matches'!$A:$AD,AK$2,0)</f>
        <v>#N/A</v>
      </c>
      <c r="AL484" t="e">
        <f>VLOOKUP($Z484,'oddspedia-matches'!$A:$AD,AL$2,0)</f>
        <v>#N/A</v>
      </c>
      <c r="AM484" t="e">
        <f>VLOOKUP($Z484,'oddspedia-matches'!$A:$AD,AM$2,0)</f>
        <v>#N/A</v>
      </c>
      <c r="AN484" t="e">
        <f>VLOOKUP($Z484,'oddspedia-matches'!$A:$AD,AN$2,0)</f>
        <v>#N/A</v>
      </c>
      <c r="AO484" t="e">
        <f>VLOOKUP($Z484,'oddspedia-matches'!$A:$AD,AO$2,0)</f>
        <v>#N/A</v>
      </c>
      <c r="AP484" t="e">
        <f>VLOOKUP($Z484,'oddspedia-matches'!$A:$AD,AP$2,0)</f>
        <v>#N/A</v>
      </c>
      <c r="AQ484" t="e">
        <f>VLOOKUP($Z484,'oddspedia-matches'!$A:$AD,AQ$2,0)</f>
        <v>#N/A</v>
      </c>
    </row>
    <row r="485" spans="2:43" x14ac:dyDescent="0.2">
      <c r="B485" t="s">
        <v>466</v>
      </c>
      <c r="C485" t="s">
        <v>930</v>
      </c>
      <c r="D485" s="25">
        <v>0.79166666666666663</v>
      </c>
      <c r="E485" t="s">
        <v>1201</v>
      </c>
      <c r="F485" t="s">
        <v>96</v>
      </c>
      <c r="H485">
        <v>27</v>
      </c>
      <c r="I485">
        <v>29.6</v>
      </c>
      <c r="J485">
        <v>43.4</v>
      </c>
      <c r="K485">
        <v>56.6</v>
      </c>
      <c r="L485">
        <v>73</v>
      </c>
      <c r="M485">
        <v>70.400000000000006</v>
      </c>
      <c r="N485">
        <v>21.1</v>
      </c>
      <c r="O485">
        <v>44.5</v>
      </c>
      <c r="P485">
        <v>34.4</v>
      </c>
      <c r="Q485">
        <v>67.8</v>
      </c>
      <c r="R485">
        <v>73.3</v>
      </c>
      <c r="S485">
        <v>46.6</v>
      </c>
      <c r="T485">
        <v>53.4</v>
      </c>
      <c r="U485">
        <v>59.1</v>
      </c>
      <c r="V485">
        <v>52.1</v>
      </c>
      <c r="W485">
        <v>47.9</v>
      </c>
      <c r="X485">
        <f>VLOOKUP(E485,'Transform table'!A:B,2,0)</f>
        <v>0</v>
      </c>
      <c r="Y485" t="str">
        <f>VLOOKUP(F485,'Transform table'!A:B,2,0)</f>
        <v>New England Revolution II</v>
      </c>
      <c r="Z485" t="str">
        <f t="shared" si="7"/>
        <v>26/07/20260New England Revolution II</v>
      </c>
      <c r="AA485" t="e">
        <f>VLOOKUP($Z485,'oddspedia-matches'!$A:$AD,AA$2,0)</f>
        <v>#N/A</v>
      </c>
      <c r="AB485" t="e">
        <f>VLOOKUP($Z485,'oddspedia-matches'!$A:$AD,AB$2,0)</f>
        <v>#N/A</v>
      </c>
      <c r="AC485" t="e">
        <f>VLOOKUP($Z485,'oddspedia-matches'!$A:$AD,AC$2,0)</f>
        <v>#N/A</v>
      </c>
      <c r="AD485" t="e">
        <f>VLOOKUP($Z485,'oddspedia-matches'!$A:$AD,AD$2,0)</f>
        <v>#N/A</v>
      </c>
      <c r="AE485" t="e">
        <f>VLOOKUP($Z485,'oddspedia-matches'!$A:$AD,AE$2,0)</f>
        <v>#N/A</v>
      </c>
      <c r="AF485" t="e">
        <f>VLOOKUP($Z485,'oddspedia-matches'!$A:$AD,AF$2,0)</f>
        <v>#N/A</v>
      </c>
      <c r="AG485" t="e">
        <f>VLOOKUP($Z485,'oddspedia-matches'!$A:$AD,AG$2,0)</f>
        <v>#N/A</v>
      </c>
      <c r="AH485" t="e">
        <f>VLOOKUP($Z485,'oddspedia-matches'!$A:$AD,AH$2,0)</f>
        <v>#N/A</v>
      </c>
      <c r="AI485" t="e">
        <f>VLOOKUP($Z485,'oddspedia-matches'!$A:$AD,AI$2,0)</f>
        <v>#N/A</v>
      </c>
      <c r="AJ485" t="e">
        <f>VLOOKUP($Z485,'oddspedia-matches'!$A:$AD,AJ$2,0)</f>
        <v>#N/A</v>
      </c>
      <c r="AK485" t="e">
        <f>VLOOKUP($Z485,'oddspedia-matches'!$A:$AD,AK$2,0)</f>
        <v>#N/A</v>
      </c>
      <c r="AL485" t="e">
        <f>VLOOKUP($Z485,'oddspedia-matches'!$A:$AD,AL$2,0)</f>
        <v>#N/A</v>
      </c>
      <c r="AM485" t="e">
        <f>VLOOKUP($Z485,'oddspedia-matches'!$A:$AD,AM$2,0)</f>
        <v>#N/A</v>
      </c>
      <c r="AN485" t="e">
        <f>VLOOKUP($Z485,'oddspedia-matches'!$A:$AD,AN$2,0)</f>
        <v>#N/A</v>
      </c>
      <c r="AO485" t="e">
        <f>VLOOKUP($Z485,'oddspedia-matches'!$A:$AD,AO$2,0)</f>
        <v>#N/A</v>
      </c>
      <c r="AP485" t="e">
        <f>VLOOKUP($Z485,'oddspedia-matches'!$A:$AD,AP$2,0)</f>
        <v>#N/A</v>
      </c>
      <c r="AQ485" t="e">
        <f>VLOOKUP($Z485,'oddspedia-matches'!$A:$AD,AQ$2,0)</f>
        <v>#N/A</v>
      </c>
    </row>
    <row r="486" spans="2:43" x14ac:dyDescent="0.2">
      <c r="B486" t="s">
        <v>470</v>
      </c>
      <c r="C486" t="s">
        <v>930</v>
      </c>
      <c r="D486" s="25">
        <v>0.8125</v>
      </c>
      <c r="E486" t="s">
        <v>1202</v>
      </c>
      <c r="F486" t="s">
        <v>1203</v>
      </c>
      <c r="H486">
        <v>17.5</v>
      </c>
      <c r="I486">
        <v>39.4</v>
      </c>
      <c r="J486">
        <v>43.1</v>
      </c>
      <c r="K486">
        <v>56.9</v>
      </c>
      <c r="L486">
        <v>82.5</v>
      </c>
      <c r="M486">
        <v>60.6</v>
      </c>
      <c r="N486">
        <v>20.2</v>
      </c>
      <c r="O486">
        <v>56.7</v>
      </c>
      <c r="P486">
        <v>23.1</v>
      </c>
      <c r="Q486">
        <v>50.3</v>
      </c>
      <c r="R486">
        <v>43.4</v>
      </c>
      <c r="S486">
        <v>17.7</v>
      </c>
      <c r="T486">
        <v>82.3</v>
      </c>
      <c r="U486">
        <v>86.2</v>
      </c>
      <c r="V486">
        <v>25</v>
      </c>
      <c r="W486">
        <v>75</v>
      </c>
      <c r="X486">
        <f>VLOOKUP(E486,'Transform table'!A:B,2,0)</f>
        <v>0</v>
      </c>
      <c r="Y486" t="e">
        <f>VLOOKUP(F486,'Transform table'!A:B,2,0)</f>
        <v>#N/A</v>
      </c>
      <c r="Z486" t="e">
        <f t="shared" si="7"/>
        <v>#N/A</v>
      </c>
      <c r="AA486" t="e">
        <f>VLOOKUP($Z486,'oddspedia-matches'!$A:$AD,AA$2,0)</f>
        <v>#N/A</v>
      </c>
      <c r="AB486" t="e">
        <f>VLOOKUP($Z486,'oddspedia-matches'!$A:$AD,AB$2,0)</f>
        <v>#N/A</v>
      </c>
      <c r="AC486" t="e">
        <f>VLOOKUP($Z486,'oddspedia-matches'!$A:$AD,AC$2,0)</f>
        <v>#N/A</v>
      </c>
      <c r="AD486" t="e">
        <f>VLOOKUP($Z486,'oddspedia-matches'!$A:$AD,AD$2,0)</f>
        <v>#N/A</v>
      </c>
      <c r="AE486" t="e">
        <f>VLOOKUP($Z486,'oddspedia-matches'!$A:$AD,AE$2,0)</f>
        <v>#N/A</v>
      </c>
      <c r="AF486" t="e">
        <f>VLOOKUP($Z486,'oddspedia-matches'!$A:$AD,AF$2,0)</f>
        <v>#N/A</v>
      </c>
      <c r="AG486" t="e">
        <f>VLOOKUP($Z486,'oddspedia-matches'!$A:$AD,AG$2,0)</f>
        <v>#N/A</v>
      </c>
      <c r="AH486" t="e">
        <f>VLOOKUP($Z486,'oddspedia-matches'!$A:$AD,AH$2,0)</f>
        <v>#N/A</v>
      </c>
      <c r="AI486" t="e">
        <f>VLOOKUP($Z486,'oddspedia-matches'!$A:$AD,AI$2,0)</f>
        <v>#N/A</v>
      </c>
      <c r="AJ486" t="e">
        <f>VLOOKUP($Z486,'oddspedia-matches'!$A:$AD,AJ$2,0)</f>
        <v>#N/A</v>
      </c>
      <c r="AK486" t="e">
        <f>VLOOKUP($Z486,'oddspedia-matches'!$A:$AD,AK$2,0)</f>
        <v>#N/A</v>
      </c>
      <c r="AL486" t="e">
        <f>VLOOKUP($Z486,'oddspedia-matches'!$A:$AD,AL$2,0)</f>
        <v>#N/A</v>
      </c>
      <c r="AM486" t="e">
        <f>VLOOKUP($Z486,'oddspedia-matches'!$A:$AD,AM$2,0)</f>
        <v>#N/A</v>
      </c>
      <c r="AN486" t="e">
        <f>VLOOKUP($Z486,'oddspedia-matches'!$A:$AD,AN$2,0)</f>
        <v>#N/A</v>
      </c>
      <c r="AO486" t="e">
        <f>VLOOKUP($Z486,'oddspedia-matches'!$A:$AD,AO$2,0)</f>
        <v>#N/A</v>
      </c>
      <c r="AP486" t="e">
        <f>VLOOKUP($Z486,'oddspedia-matches'!$A:$AD,AP$2,0)</f>
        <v>#N/A</v>
      </c>
      <c r="AQ486" t="e">
        <f>VLOOKUP($Z486,'oddspedia-matches'!$A:$AD,AQ$2,0)</f>
        <v>#N/A</v>
      </c>
    </row>
    <row r="487" spans="2:43" x14ac:dyDescent="0.2">
      <c r="B487" t="s">
        <v>454</v>
      </c>
      <c r="C487" t="s">
        <v>930</v>
      </c>
      <c r="D487" s="25">
        <v>0.8125</v>
      </c>
      <c r="E487" t="s">
        <v>40</v>
      </c>
      <c r="F487" t="s">
        <v>230</v>
      </c>
      <c r="H487">
        <v>56.6</v>
      </c>
      <c r="I487">
        <v>26</v>
      </c>
      <c r="J487">
        <v>17.399999999999999</v>
      </c>
      <c r="K487">
        <v>82.6</v>
      </c>
      <c r="L487">
        <v>43.4</v>
      </c>
      <c r="M487">
        <v>74</v>
      </c>
      <c r="N487">
        <v>44.7</v>
      </c>
      <c r="O487">
        <v>38.700000000000003</v>
      </c>
      <c r="P487">
        <v>16.5</v>
      </c>
      <c r="Q487">
        <v>73.8</v>
      </c>
      <c r="R487">
        <v>74.099999999999994</v>
      </c>
      <c r="S487">
        <v>47.8</v>
      </c>
      <c r="T487">
        <v>52.2</v>
      </c>
      <c r="U487">
        <v>59.5</v>
      </c>
      <c r="V487">
        <v>48.6</v>
      </c>
      <c r="W487">
        <v>51.4</v>
      </c>
      <c r="X487" t="str">
        <f>VLOOKUP(E487,'Transform table'!A:B,2,0)</f>
        <v>Palmeiras</v>
      </c>
      <c r="Y487" t="str">
        <f>VLOOKUP(F487,'Transform table'!A:B,2,0)</f>
        <v>Atletico Mineiro</v>
      </c>
      <c r="Z487" t="str">
        <f t="shared" si="7"/>
        <v>26/07/2026PalmeirasAtletico Mineiro</v>
      </c>
      <c r="AA487" t="e">
        <f>VLOOKUP($Z487,'oddspedia-matches'!$A:$AD,AA$2,0)</f>
        <v>#N/A</v>
      </c>
      <c r="AB487" t="e">
        <f>VLOOKUP($Z487,'oddspedia-matches'!$A:$AD,AB$2,0)</f>
        <v>#N/A</v>
      </c>
      <c r="AC487" t="e">
        <f>VLOOKUP($Z487,'oddspedia-matches'!$A:$AD,AC$2,0)</f>
        <v>#N/A</v>
      </c>
      <c r="AD487" t="e">
        <f>VLOOKUP($Z487,'oddspedia-matches'!$A:$AD,AD$2,0)</f>
        <v>#N/A</v>
      </c>
      <c r="AE487" t="e">
        <f>VLOOKUP($Z487,'oddspedia-matches'!$A:$AD,AE$2,0)</f>
        <v>#N/A</v>
      </c>
      <c r="AF487" t="e">
        <f>VLOOKUP($Z487,'oddspedia-matches'!$A:$AD,AF$2,0)</f>
        <v>#N/A</v>
      </c>
      <c r="AG487" t="e">
        <f>VLOOKUP($Z487,'oddspedia-matches'!$A:$AD,AG$2,0)</f>
        <v>#N/A</v>
      </c>
      <c r="AH487" t="e">
        <f>VLOOKUP($Z487,'oddspedia-matches'!$A:$AD,AH$2,0)</f>
        <v>#N/A</v>
      </c>
      <c r="AI487" t="e">
        <f>VLOOKUP($Z487,'oddspedia-matches'!$A:$AD,AI$2,0)</f>
        <v>#N/A</v>
      </c>
      <c r="AJ487" t="e">
        <f>VLOOKUP($Z487,'oddspedia-matches'!$A:$AD,AJ$2,0)</f>
        <v>#N/A</v>
      </c>
      <c r="AK487" t="e">
        <f>VLOOKUP($Z487,'oddspedia-matches'!$A:$AD,AK$2,0)</f>
        <v>#N/A</v>
      </c>
      <c r="AL487" t="e">
        <f>VLOOKUP($Z487,'oddspedia-matches'!$A:$AD,AL$2,0)</f>
        <v>#N/A</v>
      </c>
      <c r="AM487" t="e">
        <f>VLOOKUP($Z487,'oddspedia-matches'!$A:$AD,AM$2,0)</f>
        <v>#N/A</v>
      </c>
      <c r="AN487" t="e">
        <f>VLOOKUP($Z487,'oddspedia-matches'!$A:$AD,AN$2,0)</f>
        <v>#N/A</v>
      </c>
      <c r="AO487" t="e">
        <f>VLOOKUP($Z487,'oddspedia-matches'!$A:$AD,AO$2,0)</f>
        <v>#N/A</v>
      </c>
      <c r="AP487" t="e">
        <f>VLOOKUP($Z487,'oddspedia-matches'!$A:$AD,AP$2,0)</f>
        <v>#N/A</v>
      </c>
      <c r="AQ487" t="e">
        <f>VLOOKUP($Z487,'oddspedia-matches'!$A:$AD,AQ$2,0)</f>
        <v>#N/A</v>
      </c>
    </row>
    <row r="488" spans="2:43" x14ac:dyDescent="0.2">
      <c r="B488" t="s">
        <v>454</v>
      </c>
      <c r="C488" t="s">
        <v>930</v>
      </c>
      <c r="D488" s="25">
        <v>0.8125</v>
      </c>
      <c r="E488" t="s">
        <v>111</v>
      </c>
      <c r="F488" t="s">
        <v>109</v>
      </c>
      <c r="H488">
        <v>37</v>
      </c>
      <c r="I488">
        <v>29.9</v>
      </c>
      <c r="J488">
        <v>33.200000000000003</v>
      </c>
      <c r="K488">
        <v>66.8</v>
      </c>
      <c r="L488">
        <v>63</v>
      </c>
      <c r="M488">
        <v>70.099999999999994</v>
      </c>
      <c r="N488">
        <v>33.200000000000003</v>
      </c>
      <c r="O488">
        <v>42.6</v>
      </c>
      <c r="P488">
        <v>24.3</v>
      </c>
      <c r="Q488">
        <v>70.8</v>
      </c>
      <c r="R488">
        <v>72.400000000000006</v>
      </c>
      <c r="S488">
        <v>45.4</v>
      </c>
      <c r="T488">
        <v>54.6</v>
      </c>
      <c r="U488">
        <v>59.9</v>
      </c>
      <c r="V488">
        <v>52.1</v>
      </c>
      <c r="W488">
        <v>47.9</v>
      </c>
      <c r="X488" t="str">
        <f>VLOOKUP(E488,'Transform table'!A:B,2,0)</f>
        <v>Clube Do Remo</v>
      </c>
      <c r="Y488" t="str">
        <f>VLOOKUP(F488,'Transform table'!A:B,2,0)</f>
        <v>Vitoria BA</v>
      </c>
      <c r="Z488" t="str">
        <f t="shared" si="7"/>
        <v>26/07/2026Clube Do RemoVitoria BA</v>
      </c>
      <c r="AA488" t="e">
        <f>VLOOKUP($Z488,'oddspedia-matches'!$A:$AD,AA$2,0)</f>
        <v>#N/A</v>
      </c>
      <c r="AB488" t="e">
        <f>VLOOKUP($Z488,'oddspedia-matches'!$A:$AD,AB$2,0)</f>
        <v>#N/A</v>
      </c>
      <c r="AC488" t="e">
        <f>VLOOKUP($Z488,'oddspedia-matches'!$A:$AD,AC$2,0)</f>
        <v>#N/A</v>
      </c>
      <c r="AD488" t="e">
        <f>VLOOKUP($Z488,'oddspedia-matches'!$A:$AD,AD$2,0)</f>
        <v>#N/A</v>
      </c>
      <c r="AE488" t="e">
        <f>VLOOKUP($Z488,'oddspedia-matches'!$A:$AD,AE$2,0)</f>
        <v>#N/A</v>
      </c>
      <c r="AF488" t="e">
        <f>VLOOKUP($Z488,'oddspedia-matches'!$A:$AD,AF$2,0)</f>
        <v>#N/A</v>
      </c>
      <c r="AG488" t="e">
        <f>VLOOKUP($Z488,'oddspedia-matches'!$A:$AD,AG$2,0)</f>
        <v>#N/A</v>
      </c>
      <c r="AH488" t="e">
        <f>VLOOKUP($Z488,'oddspedia-matches'!$A:$AD,AH$2,0)</f>
        <v>#N/A</v>
      </c>
      <c r="AI488" t="e">
        <f>VLOOKUP($Z488,'oddspedia-matches'!$A:$AD,AI$2,0)</f>
        <v>#N/A</v>
      </c>
      <c r="AJ488" t="e">
        <f>VLOOKUP($Z488,'oddspedia-matches'!$A:$AD,AJ$2,0)</f>
        <v>#N/A</v>
      </c>
      <c r="AK488" t="e">
        <f>VLOOKUP($Z488,'oddspedia-matches'!$A:$AD,AK$2,0)</f>
        <v>#N/A</v>
      </c>
      <c r="AL488" t="e">
        <f>VLOOKUP($Z488,'oddspedia-matches'!$A:$AD,AL$2,0)</f>
        <v>#N/A</v>
      </c>
      <c r="AM488" t="e">
        <f>VLOOKUP($Z488,'oddspedia-matches'!$A:$AD,AM$2,0)</f>
        <v>#N/A</v>
      </c>
      <c r="AN488" t="e">
        <f>VLOOKUP($Z488,'oddspedia-matches'!$A:$AD,AN$2,0)</f>
        <v>#N/A</v>
      </c>
      <c r="AO488" t="e">
        <f>VLOOKUP($Z488,'oddspedia-matches'!$A:$AD,AO$2,0)</f>
        <v>#N/A</v>
      </c>
      <c r="AP488" t="e">
        <f>VLOOKUP($Z488,'oddspedia-matches'!$A:$AD,AP$2,0)</f>
        <v>#N/A</v>
      </c>
      <c r="AQ488" t="e">
        <f>VLOOKUP($Z488,'oddspedia-matches'!$A:$AD,AQ$2,0)</f>
        <v>#N/A</v>
      </c>
    </row>
    <row r="489" spans="2:43" x14ac:dyDescent="0.2">
      <c r="B489" t="s">
        <v>1007</v>
      </c>
      <c r="C489" t="s">
        <v>930</v>
      </c>
      <c r="D489" s="25">
        <v>0.8125</v>
      </c>
      <c r="E489" t="s">
        <v>1204</v>
      </c>
      <c r="F489" t="s">
        <v>1205</v>
      </c>
      <c r="H489">
        <v>41.1</v>
      </c>
      <c r="I489">
        <v>32.9</v>
      </c>
      <c r="J489">
        <v>25.9</v>
      </c>
      <c r="K489">
        <v>74.099999999999994</v>
      </c>
      <c r="L489">
        <v>58.9</v>
      </c>
      <c r="M489">
        <v>67.099999999999994</v>
      </c>
      <c r="N489">
        <v>29.9</v>
      </c>
      <c r="O489">
        <v>49</v>
      </c>
      <c r="P489">
        <v>21.1</v>
      </c>
      <c r="Q489">
        <v>61</v>
      </c>
      <c r="R489">
        <v>60.3</v>
      </c>
      <c r="S489">
        <v>31.9</v>
      </c>
      <c r="T489">
        <v>68.099999999999994</v>
      </c>
      <c r="U489">
        <v>72.8</v>
      </c>
      <c r="V489">
        <v>40.200000000000003</v>
      </c>
      <c r="W489">
        <v>59.8</v>
      </c>
      <c r="X489">
        <f>VLOOKUP(E489,'Transform table'!A:B,2,0)</f>
        <v>0</v>
      </c>
      <c r="Y489" t="e">
        <f>VLOOKUP(F489,'Transform table'!A:B,2,0)</f>
        <v>#N/A</v>
      </c>
      <c r="Z489" t="e">
        <f t="shared" si="7"/>
        <v>#N/A</v>
      </c>
      <c r="AA489" t="e">
        <f>VLOOKUP($Z489,'oddspedia-matches'!$A:$AD,AA$2,0)</f>
        <v>#N/A</v>
      </c>
      <c r="AB489" t="e">
        <f>VLOOKUP($Z489,'oddspedia-matches'!$A:$AD,AB$2,0)</f>
        <v>#N/A</v>
      </c>
      <c r="AC489" t="e">
        <f>VLOOKUP($Z489,'oddspedia-matches'!$A:$AD,AC$2,0)</f>
        <v>#N/A</v>
      </c>
      <c r="AD489" t="e">
        <f>VLOOKUP($Z489,'oddspedia-matches'!$A:$AD,AD$2,0)</f>
        <v>#N/A</v>
      </c>
      <c r="AE489" t="e">
        <f>VLOOKUP($Z489,'oddspedia-matches'!$A:$AD,AE$2,0)</f>
        <v>#N/A</v>
      </c>
      <c r="AF489" t="e">
        <f>VLOOKUP($Z489,'oddspedia-matches'!$A:$AD,AF$2,0)</f>
        <v>#N/A</v>
      </c>
      <c r="AG489" t="e">
        <f>VLOOKUP($Z489,'oddspedia-matches'!$A:$AD,AG$2,0)</f>
        <v>#N/A</v>
      </c>
      <c r="AH489" t="e">
        <f>VLOOKUP($Z489,'oddspedia-matches'!$A:$AD,AH$2,0)</f>
        <v>#N/A</v>
      </c>
      <c r="AI489" t="e">
        <f>VLOOKUP($Z489,'oddspedia-matches'!$A:$AD,AI$2,0)</f>
        <v>#N/A</v>
      </c>
      <c r="AJ489" t="e">
        <f>VLOOKUP($Z489,'oddspedia-matches'!$A:$AD,AJ$2,0)</f>
        <v>#N/A</v>
      </c>
      <c r="AK489" t="e">
        <f>VLOOKUP($Z489,'oddspedia-matches'!$A:$AD,AK$2,0)</f>
        <v>#N/A</v>
      </c>
      <c r="AL489" t="e">
        <f>VLOOKUP($Z489,'oddspedia-matches'!$A:$AD,AL$2,0)</f>
        <v>#N/A</v>
      </c>
      <c r="AM489" t="e">
        <f>VLOOKUP($Z489,'oddspedia-matches'!$A:$AD,AM$2,0)</f>
        <v>#N/A</v>
      </c>
      <c r="AN489" t="e">
        <f>VLOOKUP($Z489,'oddspedia-matches'!$A:$AD,AN$2,0)</f>
        <v>#N/A</v>
      </c>
      <c r="AO489" t="e">
        <f>VLOOKUP($Z489,'oddspedia-matches'!$A:$AD,AO$2,0)</f>
        <v>#N/A</v>
      </c>
      <c r="AP489" t="e">
        <f>VLOOKUP($Z489,'oddspedia-matches'!$A:$AD,AP$2,0)</f>
        <v>#N/A</v>
      </c>
      <c r="AQ489" t="e">
        <f>VLOOKUP($Z489,'oddspedia-matches'!$A:$AD,AQ$2,0)</f>
        <v>#N/A</v>
      </c>
    </row>
    <row r="490" spans="2:43" x14ac:dyDescent="0.2">
      <c r="B490" t="s">
        <v>466</v>
      </c>
      <c r="C490" t="s">
        <v>930</v>
      </c>
      <c r="D490" s="25">
        <v>0.83333333333333337</v>
      </c>
      <c r="E490" t="s">
        <v>1206</v>
      </c>
      <c r="F490" t="s">
        <v>84</v>
      </c>
      <c r="H490">
        <v>48</v>
      </c>
      <c r="I490">
        <v>25.9</v>
      </c>
      <c r="J490">
        <v>26.1</v>
      </c>
      <c r="K490">
        <v>73.900000000000006</v>
      </c>
      <c r="L490">
        <v>52</v>
      </c>
      <c r="M490">
        <v>74.099999999999994</v>
      </c>
      <c r="N490">
        <v>36.299999999999997</v>
      </c>
      <c r="O490">
        <v>39.9</v>
      </c>
      <c r="P490">
        <v>23.8</v>
      </c>
      <c r="Q490">
        <v>74.599999999999994</v>
      </c>
      <c r="R490">
        <v>83.4</v>
      </c>
      <c r="S490">
        <v>61.2</v>
      </c>
      <c r="T490">
        <v>38.799999999999997</v>
      </c>
      <c r="U490">
        <v>44.9</v>
      </c>
      <c r="V490">
        <v>62.9</v>
      </c>
      <c r="W490">
        <v>37.1</v>
      </c>
      <c r="X490">
        <f>VLOOKUP(E490,'Transform table'!A:B,2,0)</f>
        <v>0</v>
      </c>
      <c r="Y490" t="str">
        <f>VLOOKUP(F490,'Transform table'!A:B,2,0)</f>
        <v>Austin FC II</v>
      </c>
      <c r="Z490" t="str">
        <f t="shared" si="7"/>
        <v>26/07/20260Austin FC II</v>
      </c>
      <c r="AA490" t="e">
        <f>VLOOKUP($Z490,'oddspedia-matches'!$A:$AD,AA$2,0)</f>
        <v>#N/A</v>
      </c>
      <c r="AB490" t="e">
        <f>VLOOKUP($Z490,'oddspedia-matches'!$A:$AD,AB$2,0)</f>
        <v>#N/A</v>
      </c>
      <c r="AC490" t="e">
        <f>VLOOKUP($Z490,'oddspedia-matches'!$A:$AD,AC$2,0)</f>
        <v>#N/A</v>
      </c>
      <c r="AD490" t="e">
        <f>VLOOKUP($Z490,'oddspedia-matches'!$A:$AD,AD$2,0)</f>
        <v>#N/A</v>
      </c>
      <c r="AE490" t="e">
        <f>VLOOKUP($Z490,'oddspedia-matches'!$A:$AD,AE$2,0)</f>
        <v>#N/A</v>
      </c>
      <c r="AF490" t="e">
        <f>VLOOKUP($Z490,'oddspedia-matches'!$A:$AD,AF$2,0)</f>
        <v>#N/A</v>
      </c>
      <c r="AG490" t="e">
        <f>VLOOKUP($Z490,'oddspedia-matches'!$A:$AD,AG$2,0)</f>
        <v>#N/A</v>
      </c>
      <c r="AH490" t="e">
        <f>VLOOKUP($Z490,'oddspedia-matches'!$A:$AD,AH$2,0)</f>
        <v>#N/A</v>
      </c>
      <c r="AI490" t="e">
        <f>VLOOKUP($Z490,'oddspedia-matches'!$A:$AD,AI$2,0)</f>
        <v>#N/A</v>
      </c>
      <c r="AJ490" t="e">
        <f>VLOOKUP($Z490,'oddspedia-matches'!$A:$AD,AJ$2,0)</f>
        <v>#N/A</v>
      </c>
      <c r="AK490" t="e">
        <f>VLOOKUP($Z490,'oddspedia-matches'!$A:$AD,AK$2,0)</f>
        <v>#N/A</v>
      </c>
      <c r="AL490" t="e">
        <f>VLOOKUP($Z490,'oddspedia-matches'!$A:$AD,AL$2,0)</f>
        <v>#N/A</v>
      </c>
      <c r="AM490" t="e">
        <f>VLOOKUP($Z490,'oddspedia-matches'!$A:$AD,AM$2,0)</f>
        <v>#N/A</v>
      </c>
      <c r="AN490" t="e">
        <f>VLOOKUP($Z490,'oddspedia-matches'!$A:$AD,AN$2,0)</f>
        <v>#N/A</v>
      </c>
      <c r="AO490" t="e">
        <f>VLOOKUP($Z490,'oddspedia-matches'!$A:$AD,AO$2,0)</f>
        <v>#N/A</v>
      </c>
      <c r="AP490" t="e">
        <f>VLOOKUP($Z490,'oddspedia-matches'!$A:$AD,AP$2,0)</f>
        <v>#N/A</v>
      </c>
      <c r="AQ490" t="e">
        <f>VLOOKUP($Z490,'oddspedia-matches'!$A:$AD,AQ$2,0)</f>
        <v>#N/A</v>
      </c>
    </row>
    <row r="491" spans="2:43" x14ac:dyDescent="0.2">
      <c r="B491" t="s">
        <v>466</v>
      </c>
      <c r="C491" t="s">
        <v>930</v>
      </c>
      <c r="D491" s="25">
        <v>0.83333333333333337</v>
      </c>
      <c r="E491" t="s">
        <v>1207</v>
      </c>
      <c r="F491" t="s">
        <v>1208</v>
      </c>
      <c r="H491">
        <v>50.5</v>
      </c>
      <c r="I491">
        <v>24.7</v>
      </c>
      <c r="J491">
        <v>24.9</v>
      </c>
      <c r="K491">
        <v>75.099999999999994</v>
      </c>
      <c r="L491">
        <v>49.5</v>
      </c>
      <c r="M491">
        <v>75.3</v>
      </c>
      <c r="N491">
        <v>33.700000000000003</v>
      </c>
      <c r="O491">
        <v>37.5</v>
      </c>
      <c r="P491">
        <v>28.9</v>
      </c>
      <c r="Q491">
        <v>79.099999999999994</v>
      </c>
      <c r="R491">
        <v>89.8</v>
      </c>
      <c r="S491">
        <v>72.7</v>
      </c>
      <c r="T491">
        <v>27.3</v>
      </c>
      <c r="U491">
        <v>33.1</v>
      </c>
      <c r="V491">
        <v>71.400000000000006</v>
      </c>
      <c r="W491">
        <v>28.6</v>
      </c>
      <c r="X491">
        <f>VLOOKUP(E491,'Transform table'!A:B,2,0)</f>
        <v>0</v>
      </c>
      <c r="Y491" t="e">
        <f>VLOOKUP(F491,'Transform table'!A:B,2,0)</f>
        <v>#N/A</v>
      </c>
      <c r="Z491" t="e">
        <f t="shared" si="7"/>
        <v>#N/A</v>
      </c>
      <c r="AA491" t="e">
        <f>VLOOKUP($Z491,'oddspedia-matches'!$A:$AD,AA$2,0)</f>
        <v>#N/A</v>
      </c>
      <c r="AB491" t="e">
        <f>VLOOKUP($Z491,'oddspedia-matches'!$A:$AD,AB$2,0)</f>
        <v>#N/A</v>
      </c>
      <c r="AC491" t="e">
        <f>VLOOKUP($Z491,'oddspedia-matches'!$A:$AD,AC$2,0)</f>
        <v>#N/A</v>
      </c>
      <c r="AD491" t="e">
        <f>VLOOKUP($Z491,'oddspedia-matches'!$A:$AD,AD$2,0)</f>
        <v>#N/A</v>
      </c>
      <c r="AE491" t="e">
        <f>VLOOKUP($Z491,'oddspedia-matches'!$A:$AD,AE$2,0)</f>
        <v>#N/A</v>
      </c>
      <c r="AF491" t="e">
        <f>VLOOKUP($Z491,'oddspedia-matches'!$A:$AD,AF$2,0)</f>
        <v>#N/A</v>
      </c>
      <c r="AG491" t="e">
        <f>VLOOKUP($Z491,'oddspedia-matches'!$A:$AD,AG$2,0)</f>
        <v>#N/A</v>
      </c>
      <c r="AH491" t="e">
        <f>VLOOKUP($Z491,'oddspedia-matches'!$A:$AD,AH$2,0)</f>
        <v>#N/A</v>
      </c>
      <c r="AI491" t="e">
        <f>VLOOKUP($Z491,'oddspedia-matches'!$A:$AD,AI$2,0)</f>
        <v>#N/A</v>
      </c>
      <c r="AJ491" t="e">
        <f>VLOOKUP($Z491,'oddspedia-matches'!$A:$AD,AJ$2,0)</f>
        <v>#N/A</v>
      </c>
      <c r="AK491" t="e">
        <f>VLOOKUP($Z491,'oddspedia-matches'!$A:$AD,AK$2,0)</f>
        <v>#N/A</v>
      </c>
      <c r="AL491" t="e">
        <f>VLOOKUP($Z491,'oddspedia-matches'!$A:$AD,AL$2,0)</f>
        <v>#N/A</v>
      </c>
      <c r="AM491" t="e">
        <f>VLOOKUP($Z491,'oddspedia-matches'!$A:$AD,AM$2,0)</f>
        <v>#N/A</v>
      </c>
      <c r="AN491" t="e">
        <f>VLOOKUP($Z491,'oddspedia-matches'!$A:$AD,AN$2,0)</f>
        <v>#N/A</v>
      </c>
      <c r="AO491" t="e">
        <f>VLOOKUP($Z491,'oddspedia-matches'!$A:$AD,AO$2,0)</f>
        <v>#N/A</v>
      </c>
      <c r="AP491" t="e">
        <f>VLOOKUP($Z491,'oddspedia-matches'!$A:$AD,AP$2,0)</f>
        <v>#N/A</v>
      </c>
      <c r="AQ491" t="e">
        <f>VLOOKUP($Z491,'oddspedia-matches'!$A:$AD,AQ$2,0)</f>
        <v>#N/A</v>
      </c>
    </row>
    <row r="492" spans="2:43" x14ac:dyDescent="0.2">
      <c r="B492" t="s">
        <v>466</v>
      </c>
      <c r="C492" t="s">
        <v>930</v>
      </c>
      <c r="D492" s="25">
        <v>0.83333333333333337</v>
      </c>
      <c r="E492" t="s">
        <v>1209</v>
      </c>
      <c r="F492" t="s">
        <v>83</v>
      </c>
      <c r="H492">
        <v>54.6</v>
      </c>
      <c r="I492">
        <v>24.3</v>
      </c>
      <c r="J492">
        <v>21.1</v>
      </c>
      <c r="K492">
        <v>78.900000000000006</v>
      </c>
      <c r="L492">
        <v>45.4</v>
      </c>
      <c r="M492">
        <v>75.7</v>
      </c>
      <c r="N492">
        <v>44.6</v>
      </c>
      <c r="O492">
        <v>38.5</v>
      </c>
      <c r="P492">
        <v>16.899999999999999</v>
      </c>
      <c r="Q492">
        <v>74.3</v>
      </c>
      <c r="R492">
        <v>86.4</v>
      </c>
      <c r="S492">
        <v>66.400000000000006</v>
      </c>
      <c r="T492">
        <v>33.6</v>
      </c>
      <c r="U492">
        <v>40.1</v>
      </c>
      <c r="V492">
        <v>65</v>
      </c>
      <c r="W492">
        <v>35</v>
      </c>
      <c r="X492">
        <f>VLOOKUP(E492,'Transform table'!A:B,2,0)</f>
        <v>0</v>
      </c>
      <c r="Y492" t="str">
        <f>VLOOKUP(F492,'Transform table'!A:B,2,0)</f>
        <v>Vancouver Whitecaps II</v>
      </c>
      <c r="Z492" t="str">
        <f t="shared" si="7"/>
        <v>26/07/20260Vancouver Whitecaps II</v>
      </c>
      <c r="AA492" t="e">
        <f>VLOOKUP($Z492,'oddspedia-matches'!$A:$AD,AA$2,0)</f>
        <v>#N/A</v>
      </c>
      <c r="AB492" t="e">
        <f>VLOOKUP($Z492,'oddspedia-matches'!$A:$AD,AB$2,0)</f>
        <v>#N/A</v>
      </c>
      <c r="AC492" t="e">
        <f>VLOOKUP($Z492,'oddspedia-matches'!$A:$AD,AC$2,0)</f>
        <v>#N/A</v>
      </c>
      <c r="AD492" t="e">
        <f>VLOOKUP($Z492,'oddspedia-matches'!$A:$AD,AD$2,0)</f>
        <v>#N/A</v>
      </c>
      <c r="AE492" t="e">
        <f>VLOOKUP($Z492,'oddspedia-matches'!$A:$AD,AE$2,0)</f>
        <v>#N/A</v>
      </c>
      <c r="AF492" t="e">
        <f>VLOOKUP($Z492,'oddspedia-matches'!$A:$AD,AF$2,0)</f>
        <v>#N/A</v>
      </c>
      <c r="AG492" t="e">
        <f>VLOOKUP($Z492,'oddspedia-matches'!$A:$AD,AG$2,0)</f>
        <v>#N/A</v>
      </c>
      <c r="AH492" t="e">
        <f>VLOOKUP($Z492,'oddspedia-matches'!$A:$AD,AH$2,0)</f>
        <v>#N/A</v>
      </c>
      <c r="AI492" t="e">
        <f>VLOOKUP($Z492,'oddspedia-matches'!$A:$AD,AI$2,0)</f>
        <v>#N/A</v>
      </c>
      <c r="AJ492" t="e">
        <f>VLOOKUP($Z492,'oddspedia-matches'!$A:$AD,AJ$2,0)</f>
        <v>#N/A</v>
      </c>
      <c r="AK492" t="e">
        <f>VLOOKUP($Z492,'oddspedia-matches'!$A:$AD,AK$2,0)</f>
        <v>#N/A</v>
      </c>
      <c r="AL492" t="e">
        <f>VLOOKUP($Z492,'oddspedia-matches'!$A:$AD,AL$2,0)</f>
        <v>#N/A</v>
      </c>
      <c r="AM492" t="e">
        <f>VLOOKUP($Z492,'oddspedia-matches'!$A:$AD,AM$2,0)</f>
        <v>#N/A</v>
      </c>
      <c r="AN492" t="e">
        <f>VLOOKUP($Z492,'oddspedia-matches'!$A:$AD,AN$2,0)</f>
        <v>#N/A</v>
      </c>
      <c r="AO492" t="e">
        <f>VLOOKUP($Z492,'oddspedia-matches'!$A:$AD,AO$2,0)</f>
        <v>#N/A</v>
      </c>
      <c r="AP492" t="e">
        <f>VLOOKUP($Z492,'oddspedia-matches'!$A:$AD,AP$2,0)</f>
        <v>#N/A</v>
      </c>
      <c r="AQ492" t="e">
        <f>VLOOKUP($Z492,'oddspedia-matches'!$A:$AD,AQ$2,0)</f>
        <v>#N/A</v>
      </c>
    </row>
    <row r="493" spans="2:43" x14ac:dyDescent="0.2">
      <c r="B493" t="s">
        <v>932</v>
      </c>
      <c r="C493" t="s">
        <v>930</v>
      </c>
      <c r="D493" s="25">
        <v>0.83333333333333337</v>
      </c>
      <c r="E493" t="s">
        <v>1210</v>
      </c>
      <c r="F493" t="s">
        <v>1211</v>
      </c>
      <c r="H493">
        <v>41.8</v>
      </c>
      <c r="I493">
        <v>32.9</v>
      </c>
      <c r="J493">
        <v>25.3</v>
      </c>
      <c r="K493">
        <v>74.7</v>
      </c>
      <c r="L493">
        <v>58.2</v>
      </c>
      <c r="M493">
        <v>67.099999999999994</v>
      </c>
      <c r="N493">
        <v>16.2</v>
      </c>
      <c r="O493">
        <v>50.7</v>
      </c>
      <c r="P493">
        <v>33.1</v>
      </c>
      <c r="Q493">
        <v>58.1</v>
      </c>
      <c r="R493">
        <v>60.1</v>
      </c>
      <c r="S493">
        <v>31.7</v>
      </c>
      <c r="T493">
        <v>68.3</v>
      </c>
      <c r="U493">
        <v>73.099999999999994</v>
      </c>
      <c r="V493">
        <v>39.799999999999997</v>
      </c>
      <c r="W493">
        <v>60.2</v>
      </c>
      <c r="X493" t="str">
        <f>VLOOKUP(E493,'Transform table'!A:B,2,0)</f>
        <v>NK Krka</v>
      </c>
      <c r="Y493" t="e">
        <f>VLOOKUP(F493,'Transform table'!A:B,2,0)</f>
        <v>#N/A</v>
      </c>
      <c r="Z493" t="e">
        <f t="shared" si="7"/>
        <v>#N/A</v>
      </c>
      <c r="AA493" t="e">
        <f>VLOOKUP($Z493,'oddspedia-matches'!$A:$AD,AA$2,0)</f>
        <v>#N/A</v>
      </c>
      <c r="AB493" t="e">
        <f>VLOOKUP($Z493,'oddspedia-matches'!$A:$AD,AB$2,0)</f>
        <v>#N/A</v>
      </c>
      <c r="AC493" t="e">
        <f>VLOOKUP($Z493,'oddspedia-matches'!$A:$AD,AC$2,0)</f>
        <v>#N/A</v>
      </c>
      <c r="AD493" t="e">
        <f>VLOOKUP($Z493,'oddspedia-matches'!$A:$AD,AD$2,0)</f>
        <v>#N/A</v>
      </c>
      <c r="AE493" t="e">
        <f>VLOOKUP($Z493,'oddspedia-matches'!$A:$AD,AE$2,0)</f>
        <v>#N/A</v>
      </c>
      <c r="AF493" t="e">
        <f>VLOOKUP($Z493,'oddspedia-matches'!$A:$AD,AF$2,0)</f>
        <v>#N/A</v>
      </c>
      <c r="AG493" t="e">
        <f>VLOOKUP($Z493,'oddspedia-matches'!$A:$AD,AG$2,0)</f>
        <v>#N/A</v>
      </c>
      <c r="AH493" t="e">
        <f>VLOOKUP($Z493,'oddspedia-matches'!$A:$AD,AH$2,0)</f>
        <v>#N/A</v>
      </c>
      <c r="AI493" t="e">
        <f>VLOOKUP($Z493,'oddspedia-matches'!$A:$AD,AI$2,0)</f>
        <v>#N/A</v>
      </c>
      <c r="AJ493" t="e">
        <f>VLOOKUP($Z493,'oddspedia-matches'!$A:$AD,AJ$2,0)</f>
        <v>#N/A</v>
      </c>
      <c r="AK493" t="e">
        <f>VLOOKUP($Z493,'oddspedia-matches'!$A:$AD,AK$2,0)</f>
        <v>#N/A</v>
      </c>
      <c r="AL493" t="e">
        <f>VLOOKUP($Z493,'oddspedia-matches'!$A:$AD,AL$2,0)</f>
        <v>#N/A</v>
      </c>
      <c r="AM493" t="e">
        <f>VLOOKUP($Z493,'oddspedia-matches'!$A:$AD,AM$2,0)</f>
        <v>#N/A</v>
      </c>
      <c r="AN493" t="e">
        <f>VLOOKUP($Z493,'oddspedia-matches'!$A:$AD,AN$2,0)</f>
        <v>#N/A</v>
      </c>
      <c r="AO493" t="e">
        <f>VLOOKUP($Z493,'oddspedia-matches'!$A:$AD,AO$2,0)</f>
        <v>#N/A</v>
      </c>
      <c r="AP493" t="e">
        <f>VLOOKUP($Z493,'oddspedia-matches'!$A:$AD,AP$2,0)</f>
        <v>#N/A</v>
      </c>
      <c r="AQ493" t="e">
        <f>VLOOKUP($Z493,'oddspedia-matches'!$A:$AD,AQ$2,0)</f>
        <v>#N/A</v>
      </c>
    </row>
    <row r="494" spans="2:43" x14ac:dyDescent="0.2">
      <c r="B494" t="s">
        <v>487</v>
      </c>
      <c r="C494" t="s">
        <v>930</v>
      </c>
      <c r="D494" s="25">
        <v>0.84027777777777779</v>
      </c>
      <c r="E494" t="s">
        <v>1212</v>
      </c>
      <c r="F494" t="s">
        <v>241</v>
      </c>
      <c r="H494">
        <v>33</v>
      </c>
      <c r="I494">
        <v>31.9</v>
      </c>
      <c r="J494">
        <v>35.1</v>
      </c>
      <c r="K494">
        <v>64.900000000000006</v>
      </c>
      <c r="L494">
        <v>67</v>
      </c>
      <c r="M494">
        <v>68.099999999999994</v>
      </c>
      <c r="N494">
        <v>30.8</v>
      </c>
      <c r="O494">
        <v>45.2</v>
      </c>
      <c r="P494">
        <v>24.1</v>
      </c>
      <c r="Q494">
        <v>67</v>
      </c>
      <c r="R494">
        <v>66.5</v>
      </c>
      <c r="S494">
        <v>38.4</v>
      </c>
      <c r="T494">
        <v>61.6</v>
      </c>
      <c r="U494">
        <v>66.599999999999994</v>
      </c>
      <c r="V494">
        <v>46.4</v>
      </c>
      <c r="W494">
        <v>53.6</v>
      </c>
      <c r="X494">
        <f>VLOOKUP(E494,'Transform table'!A:B,2,0)</f>
        <v>0</v>
      </c>
      <c r="Y494" t="str">
        <f>VLOOKUP(F494,'Transform table'!A:B,2,0)</f>
        <v>Fortaleza EC</v>
      </c>
      <c r="Z494" t="str">
        <f t="shared" si="7"/>
        <v>26/07/20260Fortaleza EC</v>
      </c>
      <c r="AA494" t="e">
        <f>VLOOKUP($Z494,'oddspedia-matches'!$A:$AD,AA$2,0)</f>
        <v>#N/A</v>
      </c>
      <c r="AB494" t="e">
        <f>VLOOKUP($Z494,'oddspedia-matches'!$A:$AD,AB$2,0)</f>
        <v>#N/A</v>
      </c>
      <c r="AC494" t="e">
        <f>VLOOKUP($Z494,'oddspedia-matches'!$A:$AD,AC$2,0)</f>
        <v>#N/A</v>
      </c>
      <c r="AD494" t="e">
        <f>VLOOKUP($Z494,'oddspedia-matches'!$A:$AD,AD$2,0)</f>
        <v>#N/A</v>
      </c>
      <c r="AE494" t="e">
        <f>VLOOKUP($Z494,'oddspedia-matches'!$A:$AD,AE$2,0)</f>
        <v>#N/A</v>
      </c>
      <c r="AF494" t="e">
        <f>VLOOKUP($Z494,'oddspedia-matches'!$A:$AD,AF$2,0)</f>
        <v>#N/A</v>
      </c>
      <c r="AG494" t="e">
        <f>VLOOKUP($Z494,'oddspedia-matches'!$A:$AD,AG$2,0)</f>
        <v>#N/A</v>
      </c>
      <c r="AH494" t="e">
        <f>VLOOKUP($Z494,'oddspedia-matches'!$A:$AD,AH$2,0)</f>
        <v>#N/A</v>
      </c>
      <c r="AI494" t="e">
        <f>VLOOKUP($Z494,'oddspedia-matches'!$A:$AD,AI$2,0)</f>
        <v>#N/A</v>
      </c>
      <c r="AJ494" t="e">
        <f>VLOOKUP($Z494,'oddspedia-matches'!$A:$AD,AJ$2,0)</f>
        <v>#N/A</v>
      </c>
      <c r="AK494" t="e">
        <f>VLOOKUP($Z494,'oddspedia-matches'!$A:$AD,AK$2,0)</f>
        <v>#N/A</v>
      </c>
      <c r="AL494" t="e">
        <f>VLOOKUP($Z494,'oddspedia-matches'!$A:$AD,AL$2,0)</f>
        <v>#N/A</v>
      </c>
      <c r="AM494" t="e">
        <f>VLOOKUP($Z494,'oddspedia-matches'!$A:$AD,AM$2,0)</f>
        <v>#N/A</v>
      </c>
      <c r="AN494" t="e">
        <f>VLOOKUP($Z494,'oddspedia-matches'!$A:$AD,AN$2,0)</f>
        <v>#N/A</v>
      </c>
      <c r="AO494" t="e">
        <f>VLOOKUP($Z494,'oddspedia-matches'!$A:$AD,AO$2,0)</f>
        <v>#N/A</v>
      </c>
      <c r="AP494" t="e">
        <f>VLOOKUP($Z494,'oddspedia-matches'!$A:$AD,AP$2,0)</f>
        <v>#N/A</v>
      </c>
      <c r="AQ494" t="e">
        <f>VLOOKUP($Z494,'oddspedia-matches'!$A:$AD,AQ$2,0)</f>
        <v>#N/A</v>
      </c>
    </row>
    <row r="495" spans="2:43" x14ac:dyDescent="0.2">
      <c r="B495" t="s">
        <v>489</v>
      </c>
      <c r="C495" t="s">
        <v>930</v>
      </c>
      <c r="D495" s="25">
        <v>0.84375</v>
      </c>
      <c r="E495" t="s">
        <v>1213</v>
      </c>
      <c r="F495" t="s">
        <v>1214</v>
      </c>
      <c r="H495">
        <v>42.6</v>
      </c>
      <c r="I495">
        <v>29.2</v>
      </c>
      <c r="J495">
        <v>28.2</v>
      </c>
      <c r="K495">
        <v>71.8</v>
      </c>
      <c r="L495">
        <v>57.4</v>
      </c>
      <c r="M495">
        <v>70.8</v>
      </c>
      <c r="N495">
        <v>33.1</v>
      </c>
      <c r="O495">
        <v>43.9</v>
      </c>
      <c r="P495">
        <v>23</v>
      </c>
      <c r="Q495">
        <v>68.599999999999994</v>
      </c>
      <c r="R495">
        <v>72.8</v>
      </c>
      <c r="S495">
        <v>45.9</v>
      </c>
      <c r="T495">
        <v>54.1</v>
      </c>
      <c r="U495">
        <v>59.7</v>
      </c>
      <c r="V495">
        <v>51.8</v>
      </c>
      <c r="W495">
        <v>48.2</v>
      </c>
      <c r="X495">
        <f>VLOOKUP(E495,'Transform table'!A:B,2,0)</f>
        <v>0</v>
      </c>
      <c r="Y495" t="e">
        <f>VLOOKUP(F495,'Transform table'!A:B,2,0)</f>
        <v>#N/A</v>
      </c>
      <c r="Z495" t="e">
        <f t="shared" si="7"/>
        <v>#N/A</v>
      </c>
      <c r="AA495" t="e">
        <f>VLOOKUP($Z495,'oddspedia-matches'!$A:$AD,AA$2,0)</f>
        <v>#N/A</v>
      </c>
      <c r="AB495" t="e">
        <f>VLOOKUP($Z495,'oddspedia-matches'!$A:$AD,AB$2,0)</f>
        <v>#N/A</v>
      </c>
      <c r="AC495" t="e">
        <f>VLOOKUP($Z495,'oddspedia-matches'!$A:$AD,AC$2,0)</f>
        <v>#N/A</v>
      </c>
      <c r="AD495" t="e">
        <f>VLOOKUP($Z495,'oddspedia-matches'!$A:$AD,AD$2,0)</f>
        <v>#N/A</v>
      </c>
      <c r="AE495" t="e">
        <f>VLOOKUP($Z495,'oddspedia-matches'!$A:$AD,AE$2,0)</f>
        <v>#N/A</v>
      </c>
      <c r="AF495" t="e">
        <f>VLOOKUP($Z495,'oddspedia-matches'!$A:$AD,AF$2,0)</f>
        <v>#N/A</v>
      </c>
      <c r="AG495" t="e">
        <f>VLOOKUP($Z495,'oddspedia-matches'!$A:$AD,AG$2,0)</f>
        <v>#N/A</v>
      </c>
      <c r="AH495" t="e">
        <f>VLOOKUP($Z495,'oddspedia-matches'!$A:$AD,AH$2,0)</f>
        <v>#N/A</v>
      </c>
      <c r="AI495" t="e">
        <f>VLOOKUP($Z495,'oddspedia-matches'!$A:$AD,AI$2,0)</f>
        <v>#N/A</v>
      </c>
      <c r="AJ495" t="e">
        <f>VLOOKUP($Z495,'oddspedia-matches'!$A:$AD,AJ$2,0)</f>
        <v>#N/A</v>
      </c>
      <c r="AK495" t="e">
        <f>VLOOKUP($Z495,'oddspedia-matches'!$A:$AD,AK$2,0)</f>
        <v>#N/A</v>
      </c>
      <c r="AL495" t="e">
        <f>VLOOKUP($Z495,'oddspedia-matches'!$A:$AD,AL$2,0)</f>
        <v>#N/A</v>
      </c>
      <c r="AM495" t="e">
        <f>VLOOKUP($Z495,'oddspedia-matches'!$A:$AD,AM$2,0)</f>
        <v>#N/A</v>
      </c>
      <c r="AN495" t="e">
        <f>VLOOKUP($Z495,'oddspedia-matches'!$A:$AD,AN$2,0)</f>
        <v>#N/A</v>
      </c>
      <c r="AO495" t="e">
        <f>VLOOKUP($Z495,'oddspedia-matches'!$A:$AD,AO$2,0)</f>
        <v>#N/A</v>
      </c>
      <c r="AP495" t="e">
        <f>VLOOKUP($Z495,'oddspedia-matches'!$A:$AD,AP$2,0)</f>
        <v>#N/A</v>
      </c>
      <c r="AQ495" t="e">
        <f>VLOOKUP($Z495,'oddspedia-matches'!$A:$AD,AQ$2,0)</f>
        <v>#N/A</v>
      </c>
    </row>
    <row r="496" spans="2:43" x14ac:dyDescent="0.2">
      <c r="B496" t="s">
        <v>457</v>
      </c>
      <c r="C496" t="s">
        <v>930</v>
      </c>
      <c r="D496" s="25">
        <v>0.85416666666666663</v>
      </c>
      <c r="E496" t="s">
        <v>1215</v>
      </c>
      <c r="F496" t="s">
        <v>1216</v>
      </c>
      <c r="H496">
        <v>41.9</v>
      </c>
      <c r="I496">
        <v>29.5</v>
      </c>
      <c r="J496">
        <v>28.6</v>
      </c>
      <c r="K496">
        <v>71.400000000000006</v>
      </c>
      <c r="L496">
        <v>58.1</v>
      </c>
      <c r="M496">
        <v>70.5</v>
      </c>
      <c r="N496">
        <v>47.8</v>
      </c>
      <c r="O496">
        <v>38.1</v>
      </c>
      <c r="P496">
        <v>14</v>
      </c>
      <c r="Q496">
        <v>73.3</v>
      </c>
      <c r="R496">
        <v>72</v>
      </c>
      <c r="S496">
        <v>44.9</v>
      </c>
      <c r="T496">
        <v>55.1</v>
      </c>
      <c r="U496">
        <v>60.6</v>
      </c>
      <c r="V496">
        <v>51.1</v>
      </c>
      <c r="W496">
        <v>48.9</v>
      </c>
      <c r="X496" t="str">
        <f>VLOOKUP(E496,'Transform table'!A:B,2,0)</f>
        <v>Blumenau</v>
      </c>
      <c r="Y496" t="e">
        <f>VLOOKUP(F496,'Transform table'!A:B,2,0)</f>
        <v>#N/A</v>
      </c>
      <c r="Z496" t="e">
        <f t="shared" si="7"/>
        <v>#N/A</v>
      </c>
      <c r="AA496" t="e">
        <f>VLOOKUP($Z496,'oddspedia-matches'!$A:$AD,AA$2,0)</f>
        <v>#N/A</v>
      </c>
      <c r="AB496" t="e">
        <f>VLOOKUP($Z496,'oddspedia-matches'!$A:$AD,AB$2,0)</f>
        <v>#N/A</v>
      </c>
      <c r="AC496" t="e">
        <f>VLOOKUP($Z496,'oddspedia-matches'!$A:$AD,AC$2,0)</f>
        <v>#N/A</v>
      </c>
      <c r="AD496" t="e">
        <f>VLOOKUP($Z496,'oddspedia-matches'!$A:$AD,AD$2,0)</f>
        <v>#N/A</v>
      </c>
      <c r="AE496" t="e">
        <f>VLOOKUP($Z496,'oddspedia-matches'!$A:$AD,AE$2,0)</f>
        <v>#N/A</v>
      </c>
      <c r="AF496" t="e">
        <f>VLOOKUP($Z496,'oddspedia-matches'!$A:$AD,AF$2,0)</f>
        <v>#N/A</v>
      </c>
      <c r="AG496" t="e">
        <f>VLOOKUP($Z496,'oddspedia-matches'!$A:$AD,AG$2,0)</f>
        <v>#N/A</v>
      </c>
      <c r="AH496" t="e">
        <f>VLOOKUP($Z496,'oddspedia-matches'!$A:$AD,AH$2,0)</f>
        <v>#N/A</v>
      </c>
      <c r="AI496" t="e">
        <f>VLOOKUP($Z496,'oddspedia-matches'!$A:$AD,AI$2,0)</f>
        <v>#N/A</v>
      </c>
      <c r="AJ496" t="e">
        <f>VLOOKUP($Z496,'oddspedia-matches'!$A:$AD,AJ$2,0)</f>
        <v>#N/A</v>
      </c>
      <c r="AK496" t="e">
        <f>VLOOKUP($Z496,'oddspedia-matches'!$A:$AD,AK$2,0)</f>
        <v>#N/A</v>
      </c>
      <c r="AL496" t="e">
        <f>VLOOKUP($Z496,'oddspedia-matches'!$A:$AD,AL$2,0)</f>
        <v>#N/A</v>
      </c>
      <c r="AM496" t="e">
        <f>VLOOKUP($Z496,'oddspedia-matches'!$A:$AD,AM$2,0)</f>
        <v>#N/A</v>
      </c>
      <c r="AN496" t="e">
        <f>VLOOKUP($Z496,'oddspedia-matches'!$A:$AD,AN$2,0)</f>
        <v>#N/A</v>
      </c>
      <c r="AO496" t="e">
        <f>VLOOKUP($Z496,'oddspedia-matches'!$A:$AD,AO$2,0)</f>
        <v>#N/A</v>
      </c>
      <c r="AP496" t="e">
        <f>VLOOKUP($Z496,'oddspedia-matches'!$A:$AD,AP$2,0)</f>
        <v>#N/A</v>
      </c>
      <c r="AQ496" t="e">
        <f>VLOOKUP($Z496,'oddspedia-matches'!$A:$AD,AQ$2,0)</f>
        <v>#N/A</v>
      </c>
    </row>
    <row r="497" spans="2:43" x14ac:dyDescent="0.2">
      <c r="B497" t="s">
        <v>728</v>
      </c>
      <c r="C497" t="s">
        <v>930</v>
      </c>
      <c r="D497" s="25">
        <v>0.85416666666666663</v>
      </c>
      <c r="E497" t="s">
        <v>1217</v>
      </c>
      <c r="F497" t="s">
        <v>1218</v>
      </c>
      <c r="H497">
        <v>35.1</v>
      </c>
      <c r="I497">
        <v>29.6</v>
      </c>
      <c r="J497">
        <v>35.4</v>
      </c>
      <c r="K497">
        <v>64.599999999999994</v>
      </c>
      <c r="L497">
        <v>64.900000000000006</v>
      </c>
      <c r="M497">
        <v>70.400000000000006</v>
      </c>
      <c r="N497">
        <v>30.8</v>
      </c>
      <c r="O497">
        <v>47.3</v>
      </c>
      <c r="P497">
        <v>21.9</v>
      </c>
      <c r="Q497">
        <v>63.6</v>
      </c>
      <c r="R497">
        <v>73.900000000000006</v>
      </c>
      <c r="S497">
        <v>47.3</v>
      </c>
      <c r="T497">
        <v>52.7</v>
      </c>
      <c r="U497">
        <v>58.1</v>
      </c>
      <c r="V497">
        <v>53.6</v>
      </c>
      <c r="W497">
        <v>46.4</v>
      </c>
      <c r="X497" t="str">
        <f>VLOOKUP(E497,'Transform table'!A:B,2,0)</f>
        <v>Amiens</v>
      </c>
      <c r="Y497" t="e">
        <f>VLOOKUP(F497,'Transform table'!A:B,2,0)</f>
        <v>#N/A</v>
      </c>
      <c r="Z497" t="e">
        <f t="shared" si="7"/>
        <v>#N/A</v>
      </c>
      <c r="AA497" t="e">
        <f>VLOOKUP($Z497,'oddspedia-matches'!$A:$AD,AA$2,0)</f>
        <v>#N/A</v>
      </c>
      <c r="AB497" t="e">
        <f>VLOOKUP($Z497,'oddspedia-matches'!$A:$AD,AB$2,0)</f>
        <v>#N/A</v>
      </c>
      <c r="AC497" t="e">
        <f>VLOOKUP($Z497,'oddspedia-matches'!$A:$AD,AC$2,0)</f>
        <v>#N/A</v>
      </c>
      <c r="AD497" t="e">
        <f>VLOOKUP($Z497,'oddspedia-matches'!$A:$AD,AD$2,0)</f>
        <v>#N/A</v>
      </c>
      <c r="AE497" t="e">
        <f>VLOOKUP($Z497,'oddspedia-matches'!$A:$AD,AE$2,0)</f>
        <v>#N/A</v>
      </c>
      <c r="AF497" t="e">
        <f>VLOOKUP($Z497,'oddspedia-matches'!$A:$AD,AF$2,0)</f>
        <v>#N/A</v>
      </c>
      <c r="AG497" t="e">
        <f>VLOOKUP($Z497,'oddspedia-matches'!$A:$AD,AG$2,0)</f>
        <v>#N/A</v>
      </c>
      <c r="AH497" t="e">
        <f>VLOOKUP($Z497,'oddspedia-matches'!$A:$AD,AH$2,0)</f>
        <v>#N/A</v>
      </c>
      <c r="AI497" t="e">
        <f>VLOOKUP($Z497,'oddspedia-matches'!$A:$AD,AI$2,0)</f>
        <v>#N/A</v>
      </c>
      <c r="AJ497" t="e">
        <f>VLOOKUP($Z497,'oddspedia-matches'!$A:$AD,AJ$2,0)</f>
        <v>#N/A</v>
      </c>
      <c r="AK497" t="e">
        <f>VLOOKUP($Z497,'oddspedia-matches'!$A:$AD,AK$2,0)</f>
        <v>#N/A</v>
      </c>
      <c r="AL497" t="e">
        <f>VLOOKUP($Z497,'oddspedia-matches'!$A:$AD,AL$2,0)</f>
        <v>#N/A</v>
      </c>
      <c r="AM497" t="e">
        <f>VLOOKUP($Z497,'oddspedia-matches'!$A:$AD,AM$2,0)</f>
        <v>#N/A</v>
      </c>
      <c r="AN497" t="e">
        <f>VLOOKUP($Z497,'oddspedia-matches'!$A:$AD,AN$2,0)</f>
        <v>#N/A</v>
      </c>
      <c r="AO497" t="e">
        <f>VLOOKUP($Z497,'oddspedia-matches'!$A:$AD,AO$2,0)</f>
        <v>#N/A</v>
      </c>
      <c r="AP497" t="e">
        <f>VLOOKUP($Z497,'oddspedia-matches'!$A:$AD,AP$2,0)</f>
        <v>#N/A</v>
      </c>
      <c r="AQ497" t="e">
        <f>VLOOKUP($Z497,'oddspedia-matches'!$A:$AD,AQ$2,0)</f>
        <v>#N/A</v>
      </c>
    </row>
    <row r="498" spans="2:43" x14ac:dyDescent="0.2">
      <c r="B498" t="s">
        <v>1219</v>
      </c>
      <c r="C498" t="s">
        <v>930</v>
      </c>
      <c r="D498" s="25">
        <v>0.875</v>
      </c>
      <c r="E498" t="s">
        <v>1220</v>
      </c>
      <c r="F498" t="s">
        <v>1221</v>
      </c>
      <c r="H498">
        <v>41.1</v>
      </c>
      <c r="I498">
        <v>41</v>
      </c>
      <c r="J498">
        <v>17.899999999999999</v>
      </c>
      <c r="K498">
        <v>82.1</v>
      </c>
      <c r="L498">
        <v>58.9</v>
      </c>
      <c r="M498">
        <v>59</v>
      </c>
      <c r="N498">
        <v>14.4</v>
      </c>
      <c r="O498">
        <v>57.3</v>
      </c>
      <c r="P498">
        <v>28.3</v>
      </c>
      <c r="Q498">
        <v>49</v>
      </c>
      <c r="R498">
        <v>37.200000000000003</v>
      </c>
      <c r="S498">
        <v>13.5</v>
      </c>
      <c r="T498">
        <v>86.5</v>
      </c>
      <c r="U498">
        <v>89.5</v>
      </c>
      <c r="V498">
        <v>21.1</v>
      </c>
      <c r="W498">
        <v>78.900000000000006</v>
      </c>
      <c r="X498" t="str">
        <f>VLOOKUP(E498,'Transform table'!A:B,2,0)</f>
        <v>Manica Diamonds</v>
      </c>
      <c r="Y498" t="e">
        <f>VLOOKUP(F498,'Transform table'!A:B,2,0)</f>
        <v>#N/A</v>
      </c>
      <c r="Z498" t="e">
        <f t="shared" si="7"/>
        <v>#N/A</v>
      </c>
      <c r="AA498" t="e">
        <f>VLOOKUP($Z498,'oddspedia-matches'!$A:$AD,AA$2,0)</f>
        <v>#N/A</v>
      </c>
      <c r="AB498" t="e">
        <f>VLOOKUP($Z498,'oddspedia-matches'!$A:$AD,AB$2,0)</f>
        <v>#N/A</v>
      </c>
      <c r="AC498" t="e">
        <f>VLOOKUP($Z498,'oddspedia-matches'!$A:$AD,AC$2,0)</f>
        <v>#N/A</v>
      </c>
      <c r="AD498" t="e">
        <f>VLOOKUP($Z498,'oddspedia-matches'!$A:$AD,AD$2,0)</f>
        <v>#N/A</v>
      </c>
      <c r="AE498" t="e">
        <f>VLOOKUP($Z498,'oddspedia-matches'!$A:$AD,AE$2,0)</f>
        <v>#N/A</v>
      </c>
      <c r="AF498" t="e">
        <f>VLOOKUP($Z498,'oddspedia-matches'!$A:$AD,AF$2,0)</f>
        <v>#N/A</v>
      </c>
      <c r="AG498" t="e">
        <f>VLOOKUP($Z498,'oddspedia-matches'!$A:$AD,AG$2,0)</f>
        <v>#N/A</v>
      </c>
      <c r="AH498" t="e">
        <f>VLOOKUP($Z498,'oddspedia-matches'!$A:$AD,AH$2,0)</f>
        <v>#N/A</v>
      </c>
      <c r="AI498" t="e">
        <f>VLOOKUP($Z498,'oddspedia-matches'!$A:$AD,AI$2,0)</f>
        <v>#N/A</v>
      </c>
      <c r="AJ498" t="e">
        <f>VLOOKUP($Z498,'oddspedia-matches'!$A:$AD,AJ$2,0)</f>
        <v>#N/A</v>
      </c>
      <c r="AK498" t="e">
        <f>VLOOKUP($Z498,'oddspedia-matches'!$A:$AD,AK$2,0)</f>
        <v>#N/A</v>
      </c>
      <c r="AL498" t="e">
        <f>VLOOKUP($Z498,'oddspedia-matches'!$A:$AD,AL$2,0)</f>
        <v>#N/A</v>
      </c>
      <c r="AM498" t="e">
        <f>VLOOKUP($Z498,'oddspedia-matches'!$A:$AD,AM$2,0)</f>
        <v>#N/A</v>
      </c>
      <c r="AN498" t="e">
        <f>VLOOKUP($Z498,'oddspedia-matches'!$A:$AD,AN$2,0)</f>
        <v>#N/A</v>
      </c>
      <c r="AO498" t="e">
        <f>VLOOKUP($Z498,'oddspedia-matches'!$A:$AD,AO$2,0)</f>
        <v>#N/A</v>
      </c>
      <c r="AP498" t="e">
        <f>VLOOKUP($Z498,'oddspedia-matches'!$A:$AD,AP$2,0)</f>
        <v>#N/A</v>
      </c>
      <c r="AQ498" t="e">
        <f>VLOOKUP($Z498,'oddspedia-matches'!$A:$AD,AQ$2,0)</f>
        <v>#N/A</v>
      </c>
    </row>
    <row r="499" spans="2:43" x14ac:dyDescent="0.2">
      <c r="B499" t="s">
        <v>482</v>
      </c>
      <c r="C499" t="s">
        <v>930</v>
      </c>
      <c r="D499" s="25">
        <v>0.875</v>
      </c>
      <c r="E499" t="s">
        <v>1222</v>
      </c>
      <c r="F499" t="s">
        <v>1223</v>
      </c>
      <c r="H499">
        <v>47.9</v>
      </c>
      <c r="I499">
        <v>27.8</v>
      </c>
      <c r="J499">
        <v>24.2</v>
      </c>
      <c r="K499">
        <v>75.8</v>
      </c>
      <c r="L499">
        <v>52.1</v>
      </c>
      <c r="M499">
        <v>72.2</v>
      </c>
      <c r="N499">
        <v>31.1</v>
      </c>
      <c r="O499">
        <v>53.1</v>
      </c>
      <c r="P499">
        <v>15.8</v>
      </c>
      <c r="Q499">
        <v>54.4</v>
      </c>
      <c r="R499">
        <v>74.8</v>
      </c>
      <c r="S499">
        <v>48.6</v>
      </c>
      <c r="T499">
        <v>51.4</v>
      </c>
      <c r="U499">
        <v>57.5</v>
      </c>
      <c r="V499">
        <v>52.8</v>
      </c>
      <c r="W499">
        <v>47.2</v>
      </c>
      <c r="X499" t="str">
        <f>VLOOKUP(E499,'Transform table'!A:B,2,0)</f>
        <v>Deportivo Capiata</v>
      </c>
      <c r="Y499" t="e">
        <f>VLOOKUP(F499,'Transform table'!A:B,2,0)</f>
        <v>#N/A</v>
      </c>
      <c r="Z499" t="e">
        <f t="shared" si="7"/>
        <v>#N/A</v>
      </c>
      <c r="AA499" t="e">
        <f>VLOOKUP($Z499,'oddspedia-matches'!$A:$AD,AA$2,0)</f>
        <v>#N/A</v>
      </c>
      <c r="AB499" t="e">
        <f>VLOOKUP($Z499,'oddspedia-matches'!$A:$AD,AB$2,0)</f>
        <v>#N/A</v>
      </c>
      <c r="AC499" t="e">
        <f>VLOOKUP($Z499,'oddspedia-matches'!$A:$AD,AC$2,0)</f>
        <v>#N/A</v>
      </c>
      <c r="AD499" t="e">
        <f>VLOOKUP($Z499,'oddspedia-matches'!$A:$AD,AD$2,0)</f>
        <v>#N/A</v>
      </c>
      <c r="AE499" t="e">
        <f>VLOOKUP($Z499,'oddspedia-matches'!$A:$AD,AE$2,0)</f>
        <v>#N/A</v>
      </c>
      <c r="AF499" t="e">
        <f>VLOOKUP($Z499,'oddspedia-matches'!$A:$AD,AF$2,0)</f>
        <v>#N/A</v>
      </c>
      <c r="AG499" t="e">
        <f>VLOOKUP($Z499,'oddspedia-matches'!$A:$AD,AG$2,0)</f>
        <v>#N/A</v>
      </c>
      <c r="AH499" t="e">
        <f>VLOOKUP($Z499,'oddspedia-matches'!$A:$AD,AH$2,0)</f>
        <v>#N/A</v>
      </c>
      <c r="AI499" t="e">
        <f>VLOOKUP($Z499,'oddspedia-matches'!$A:$AD,AI$2,0)</f>
        <v>#N/A</v>
      </c>
      <c r="AJ499" t="e">
        <f>VLOOKUP($Z499,'oddspedia-matches'!$A:$AD,AJ$2,0)</f>
        <v>#N/A</v>
      </c>
      <c r="AK499" t="e">
        <f>VLOOKUP($Z499,'oddspedia-matches'!$A:$AD,AK$2,0)</f>
        <v>#N/A</v>
      </c>
      <c r="AL499" t="e">
        <f>VLOOKUP($Z499,'oddspedia-matches'!$A:$AD,AL$2,0)</f>
        <v>#N/A</v>
      </c>
      <c r="AM499" t="e">
        <f>VLOOKUP($Z499,'oddspedia-matches'!$A:$AD,AM$2,0)</f>
        <v>#N/A</v>
      </c>
      <c r="AN499" t="e">
        <f>VLOOKUP($Z499,'oddspedia-matches'!$A:$AD,AN$2,0)</f>
        <v>#N/A</v>
      </c>
      <c r="AO499" t="e">
        <f>VLOOKUP($Z499,'oddspedia-matches'!$A:$AD,AO$2,0)</f>
        <v>#N/A</v>
      </c>
      <c r="AP499" t="e">
        <f>VLOOKUP($Z499,'oddspedia-matches'!$A:$AD,AP$2,0)</f>
        <v>#N/A</v>
      </c>
      <c r="AQ499" t="e">
        <f>VLOOKUP($Z499,'oddspedia-matches'!$A:$AD,AQ$2,0)</f>
        <v>#N/A</v>
      </c>
    </row>
    <row r="500" spans="2:43" x14ac:dyDescent="0.2">
      <c r="B500" t="s">
        <v>485</v>
      </c>
      <c r="C500" t="s">
        <v>930</v>
      </c>
      <c r="D500" s="25">
        <v>0.89583333333333337</v>
      </c>
      <c r="E500" t="s">
        <v>1224</v>
      </c>
      <c r="F500" t="s">
        <v>1225</v>
      </c>
      <c r="H500">
        <v>37.4</v>
      </c>
      <c r="I500">
        <v>29.1</v>
      </c>
      <c r="J500">
        <v>33.5</v>
      </c>
      <c r="K500">
        <v>66.5</v>
      </c>
      <c r="L500">
        <v>62.6</v>
      </c>
      <c r="M500">
        <v>70.900000000000006</v>
      </c>
      <c r="N500">
        <v>27.5</v>
      </c>
      <c r="O500">
        <v>45.2</v>
      </c>
      <c r="P500">
        <v>27.3</v>
      </c>
      <c r="Q500">
        <v>67.2</v>
      </c>
      <c r="R500">
        <v>74.900000000000006</v>
      </c>
      <c r="S500">
        <v>48.6</v>
      </c>
      <c r="T500">
        <v>51.4</v>
      </c>
      <c r="U500">
        <v>56.8</v>
      </c>
      <c r="V500">
        <v>54.6</v>
      </c>
      <c r="W500">
        <v>45.4</v>
      </c>
      <c r="X500" t="str">
        <f>VLOOKUP(E500,'Transform table'!A:B,2,0)</f>
        <v>Concarneau</v>
      </c>
      <c r="Y500" t="e">
        <f>VLOOKUP(F500,'Transform table'!A:B,2,0)</f>
        <v>#N/A</v>
      </c>
      <c r="Z500" t="e">
        <f t="shared" si="7"/>
        <v>#N/A</v>
      </c>
      <c r="AA500" t="e">
        <f>VLOOKUP($Z500,'oddspedia-matches'!$A:$AD,AA$2,0)</f>
        <v>#N/A</v>
      </c>
      <c r="AB500" t="e">
        <f>VLOOKUP($Z500,'oddspedia-matches'!$A:$AD,AB$2,0)</f>
        <v>#N/A</v>
      </c>
      <c r="AC500" t="e">
        <f>VLOOKUP($Z500,'oddspedia-matches'!$A:$AD,AC$2,0)</f>
        <v>#N/A</v>
      </c>
      <c r="AD500" t="e">
        <f>VLOOKUP($Z500,'oddspedia-matches'!$A:$AD,AD$2,0)</f>
        <v>#N/A</v>
      </c>
      <c r="AE500" t="e">
        <f>VLOOKUP($Z500,'oddspedia-matches'!$A:$AD,AE$2,0)</f>
        <v>#N/A</v>
      </c>
      <c r="AF500" t="e">
        <f>VLOOKUP($Z500,'oddspedia-matches'!$A:$AD,AF$2,0)</f>
        <v>#N/A</v>
      </c>
      <c r="AG500" t="e">
        <f>VLOOKUP($Z500,'oddspedia-matches'!$A:$AD,AG$2,0)</f>
        <v>#N/A</v>
      </c>
      <c r="AH500" t="e">
        <f>VLOOKUP($Z500,'oddspedia-matches'!$A:$AD,AH$2,0)</f>
        <v>#N/A</v>
      </c>
      <c r="AI500" t="e">
        <f>VLOOKUP($Z500,'oddspedia-matches'!$A:$AD,AI$2,0)</f>
        <v>#N/A</v>
      </c>
      <c r="AJ500" t="e">
        <f>VLOOKUP($Z500,'oddspedia-matches'!$A:$AD,AJ$2,0)</f>
        <v>#N/A</v>
      </c>
      <c r="AK500" t="e">
        <f>VLOOKUP($Z500,'oddspedia-matches'!$A:$AD,AK$2,0)</f>
        <v>#N/A</v>
      </c>
      <c r="AL500" t="e">
        <f>VLOOKUP($Z500,'oddspedia-matches'!$A:$AD,AL$2,0)</f>
        <v>#N/A</v>
      </c>
      <c r="AM500" t="e">
        <f>VLOOKUP($Z500,'oddspedia-matches'!$A:$AD,AM$2,0)</f>
        <v>#N/A</v>
      </c>
      <c r="AN500" t="e">
        <f>VLOOKUP($Z500,'oddspedia-matches'!$A:$AD,AN$2,0)</f>
        <v>#N/A</v>
      </c>
      <c r="AO500" t="e">
        <f>VLOOKUP($Z500,'oddspedia-matches'!$A:$AD,AO$2,0)</f>
        <v>#N/A</v>
      </c>
      <c r="AP500" t="e">
        <f>VLOOKUP($Z500,'oddspedia-matches'!$A:$AD,AP$2,0)</f>
        <v>#N/A</v>
      </c>
      <c r="AQ500" t="e">
        <f>VLOOKUP($Z500,'oddspedia-matches'!$A:$AD,AQ$2,0)</f>
        <v>#N/A</v>
      </c>
    </row>
    <row r="501" spans="2:43" x14ac:dyDescent="0.2">
      <c r="B501" t="s">
        <v>932</v>
      </c>
      <c r="C501" t="s">
        <v>930</v>
      </c>
      <c r="D501" s="25">
        <v>0.91666666666666663</v>
      </c>
      <c r="E501" t="s">
        <v>1226</v>
      </c>
      <c r="F501" t="s">
        <v>1227</v>
      </c>
      <c r="H501">
        <v>72.5</v>
      </c>
      <c r="I501">
        <v>27.5</v>
      </c>
      <c r="J501">
        <v>0</v>
      </c>
      <c r="K501">
        <v>100</v>
      </c>
      <c r="L501">
        <v>27.5</v>
      </c>
      <c r="M501">
        <v>72.5</v>
      </c>
      <c r="N501">
        <v>47.8</v>
      </c>
      <c r="O501">
        <v>52.2</v>
      </c>
      <c r="P501">
        <v>0</v>
      </c>
      <c r="Q501">
        <v>47.8</v>
      </c>
      <c r="R501">
        <v>37.299999999999997</v>
      </c>
      <c r="S501">
        <v>14.3</v>
      </c>
      <c r="T501">
        <v>85.7</v>
      </c>
      <c r="U501">
        <v>95.7</v>
      </c>
      <c r="V501">
        <v>0.2</v>
      </c>
      <c r="W501">
        <v>99.8</v>
      </c>
      <c r="X501" t="str">
        <f>VLOOKUP(E501,'Transform table'!A:B,2,0)</f>
        <v>Pau</v>
      </c>
      <c r="Y501" t="e">
        <f>VLOOKUP(F501,'Transform table'!A:B,2,0)</f>
        <v>#N/A</v>
      </c>
      <c r="Z501" t="e">
        <f t="shared" si="7"/>
        <v>#N/A</v>
      </c>
      <c r="AA501" t="e">
        <f>VLOOKUP($Z501,'oddspedia-matches'!$A:$AD,AA$2,0)</f>
        <v>#N/A</v>
      </c>
      <c r="AB501" t="e">
        <f>VLOOKUP($Z501,'oddspedia-matches'!$A:$AD,AB$2,0)</f>
        <v>#N/A</v>
      </c>
      <c r="AC501" t="e">
        <f>VLOOKUP($Z501,'oddspedia-matches'!$A:$AD,AC$2,0)</f>
        <v>#N/A</v>
      </c>
      <c r="AD501" t="e">
        <f>VLOOKUP($Z501,'oddspedia-matches'!$A:$AD,AD$2,0)</f>
        <v>#N/A</v>
      </c>
      <c r="AE501" t="e">
        <f>VLOOKUP($Z501,'oddspedia-matches'!$A:$AD,AE$2,0)</f>
        <v>#N/A</v>
      </c>
      <c r="AF501" t="e">
        <f>VLOOKUP($Z501,'oddspedia-matches'!$A:$AD,AF$2,0)</f>
        <v>#N/A</v>
      </c>
      <c r="AG501" t="e">
        <f>VLOOKUP($Z501,'oddspedia-matches'!$A:$AD,AG$2,0)</f>
        <v>#N/A</v>
      </c>
      <c r="AH501" t="e">
        <f>VLOOKUP($Z501,'oddspedia-matches'!$A:$AD,AH$2,0)</f>
        <v>#N/A</v>
      </c>
      <c r="AI501" t="e">
        <f>VLOOKUP($Z501,'oddspedia-matches'!$A:$AD,AI$2,0)</f>
        <v>#N/A</v>
      </c>
      <c r="AJ501" t="e">
        <f>VLOOKUP($Z501,'oddspedia-matches'!$A:$AD,AJ$2,0)</f>
        <v>#N/A</v>
      </c>
      <c r="AK501" t="e">
        <f>VLOOKUP($Z501,'oddspedia-matches'!$A:$AD,AK$2,0)</f>
        <v>#N/A</v>
      </c>
      <c r="AL501" t="e">
        <f>VLOOKUP($Z501,'oddspedia-matches'!$A:$AD,AL$2,0)</f>
        <v>#N/A</v>
      </c>
      <c r="AM501" t="e">
        <f>VLOOKUP($Z501,'oddspedia-matches'!$A:$AD,AM$2,0)</f>
        <v>#N/A</v>
      </c>
      <c r="AN501" t="e">
        <f>VLOOKUP($Z501,'oddspedia-matches'!$A:$AD,AN$2,0)</f>
        <v>#N/A</v>
      </c>
      <c r="AO501" t="e">
        <f>VLOOKUP($Z501,'oddspedia-matches'!$A:$AD,AO$2,0)</f>
        <v>#N/A</v>
      </c>
      <c r="AP501" t="e">
        <f>VLOOKUP($Z501,'oddspedia-matches'!$A:$AD,AP$2,0)</f>
        <v>#N/A</v>
      </c>
      <c r="AQ501" t="e">
        <f>VLOOKUP($Z501,'oddspedia-matches'!$A:$AD,AQ$2,0)</f>
        <v>#N/A</v>
      </c>
    </row>
    <row r="502" spans="2:43" x14ac:dyDescent="0.2">
      <c r="B502" t="s">
        <v>487</v>
      </c>
      <c r="C502" t="s">
        <v>930</v>
      </c>
      <c r="D502" s="25">
        <v>0.92708333333333337</v>
      </c>
      <c r="E502" t="s">
        <v>425</v>
      </c>
      <c r="F502" t="s">
        <v>1228</v>
      </c>
      <c r="H502">
        <v>55.6</v>
      </c>
      <c r="I502">
        <v>25.2</v>
      </c>
      <c r="J502">
        <v>19.3</v>
      </c>
      <c r="K502">
        <v>80.7</v>
      </c>
      <c r="L502">
        <v>44.4</v>
      </c>
      <c r="M502">
        <v>74.8</v>
      </c>
      <c r="N502" t="s">
        <v>20</v>
      </c>
      <c r="O502" t="s">
        <v>20</v>
      </c>
      <c r="P502" t="s">
        <v>20</v>
      </c>
      <c r="Q502" t="s">
        <v>20</v>
      </c>
      <c r="R502">
        <v>79.8</v>
      </c>
      <c r="S502">
        <v>55.7</v>
      </c>
      <c r="T502">
        <v>44.3</v>
      </c>
      <c r="U502">
        <v>51.5</v>
      </c>
      <c r="V502">
        <v>55.7</v>
      </c>
      <c r="W502">
        <v>44.3</v>
      </c>
      <c r="X502" t="str">
        <f>VLOOKUP(E502,'Transform table'!A:B,2,0)</f>
        <v>Once Caldas</v>
      </c>
      <c r="Y502" t="e">
        <f>VLOOKUP(F502,'Transform table'!A:B,2,0)</f>
        <v>#N/A</v>
      </c>
      <c r="Z502" t="e">
        <f t="shared" si="7"/>
        <v>#N/A</v>
      </c>
      <c r="AA502" t="e">
        <f>VLOOKUP($Z502,'oddspedia-matches'!$A:$AD,AA$2,0)</f>
        <v>#N/A</v>
      </c>
      <c r="AB502" t="e">
        <f>VLOOKUP($Z502,'oddspedia-matches'!$A:$AD,AB$2,0)</f>
        <v>#N/A</v>
      </c>
      <c r="AC502" t="e">
        <f>VLOOKUP($Z502,'oddspedia-matches'!$A:$AD,AC$2,0)</f>
        <v>#N/A</v>
      </c>
      <c r="AD502" t="e">
        <f>VLOOKUP($Z502,'oddspedia-matches'!$A:$AD,AD$2,0)</f>
        <v>#N/A</v>
      </c>
      <c r="AE502" t="e">
        <f>VLOOKUP($Z502,'oddspedia-matches'!$A:$AD,AE$2,0)</f>
        <v>#N/A</v>
      </c>
      <c r="AF502" t="e">
        <f>VLOOKUP($Z502,'oddspedia-matches'!$A:$AD,AF$2,0)</f>
        <v>#N/A</v>
      </c>
      <c r="AG502" t="e">
        <f>VLOOKUP($Z502,'oddspedia-matches'!$A:$AD,AG$2,0)</f>
        <v>#N/A</v>
      </c>
      <c r="AH502" t="e">
        <f>VLOOKUP($Z502,'oddspedia-matches'!$A:$AD,AH$2,0)</f>
        <v>#N/A</v>
      </c>
      <c r="AI502" t="e">
        <f>VLOOKUP($Z502,'oddspedia-matches'!$A:$AD,AI$2,0)</f>
        <v>#N/A</v>
      </c>
      <c r="AJ502" t="e">
        <f>VLOOKUP($Z502,'oddspedia-matches'!$A:$AD,AJ$2,0)</f>
        <v>#N/A</v>
      </c>
      <c r="AK502" t="e">
        <f>VLOOKUP($Z502,'oddspedia-matches'!$A:$AD,AK$2,0)</f>
        <v>#N/A</v>
      </c>
      <c r="AL502" t="e">
        <f>VLOOKUP($Z502,'oddspedia-matches'!$A:$AD,AL$2,0)</f>
        <v>#N/A</v>
      </c>
      <c r="AM502" t="e">
        <f>VLOOKUP($Z502,'oddspedia-matches'!$A:$AD,AM$2,0)</f>
        <v>#N/A</v>
      </c>
      <c r="AN502" t="e">
        <f>VLOOKUP($Z502,'oddspedia-matches'!$A:$AD,AN$2,0)</f>
        <v>#N/A</v>
      </c>
      <c r="AO502" t="e">
        <f>VLOOKUP($Z502,'oddspedia-matches'!$A:$AD,AO$2,0)</f>
        <v>#N/A</v>
      </c>
      <c r="AP502" t="e">
        <f>VLOOKUP($Z502,'oddspedia-matches'!$A:$AD,AP$2,0)</f>
        <v>#N/A</v>
      </c>
      <c r="AQ502" t="e">
        <f>VLOOKUP($Z502,'oddspedia-matches'!$A:$AD,AQ$2,0)</f>
        <v>#N/A</v>
      </c>
    </row>
    <row r="503" spans="2:43" x14ac:dyDescent="0.2">
      <c r="B503" t="s">
        <v>466</v>
      </c>
      <c r="C503" t="s">
        <v>930</v>
      </c>
      <c r="D503" s="25">
        <v>0.95833333333333337</v>
      </c>
      <c r="E503" t="s">
        <v>1229</v>
      </c>
      <c r="F503" t="s">
        <v>1230</v>
      </c>
      <c r="H503">
        <v>54.8</v>
      </c>
      <c r="I503">
        <v>25.6</v>
      </c>
      <c r="J503">
        <v>19.5</v>
      </c>
      <c r="K503">
        <v>80.5</v>
      </c>
      <c r="L503">
        <v>45.2</v>
      </c>
      <c r="M503">
        <v>74.400000000000006</v>
      </c>
      <c r="N503">
        <v>38.200000000000003</v>
      </c>
      <c r="O503">
        <v>43</v>
      </c>
      <c r="P503">
        <v>18.8</v>
      </c>
      <c r="Q503">
        <v>68.8</v>
      </c>
      <c r="R503">
        <v>78.2</v>
      </c>
      <c r="S503">
        <v>53.4</v>
      </c>
      <c r="T503">
        <v>46.6</v>
      </c>
      <c r="U503">
        <v>53.7</v>
      </c>
      <c r="V503">
        <v>54.1</v>
      </c>
      <c r="W503">
        <v>45.9</v>
      </c>
      <c r="X503" t="str">
        <f>VLOOKUP(E503,'Transform table'!A:B,2,0)</f>
        <v>Torque</v>
      </c>
      <c r="Y503" t="e">
        <f>VLOOKUP(F503,'Transform table'!A:B,2,0)</f>
        <v>#N/A</v>
      </c>
      <c r="Z503" t="e">
        <f t="shared" si="7"/>
        <v>#N/A</v>
      </c>
      <c r="AA503" t="e">
        <f>VLOOKUP($Z503,'oddspedia-matches'!$A:$AD,AA$2,0)</f>
        <v>#N/A</v>
      </c>
      <c r="AB503" t="e">
        <f>VLOOKUP($Z503,'oddspedia-matches'!$A:$AD,AB$2,0)</f>
        <v>#N/A</v>
      </c>
      <c r="AC503" t="e">
        <f>VLOOKUP($Z503,'oddspedia-matches'!$A:$AD,AC$2,0)</f>
        <v>#N/A</v>
      </c>
      <c r="AD503" t="e">
        <f>VLOOKUP($Z503,'oddspedia-matches'!$A:$AD,AD$2,0)</f>
        <v>#N/A</v>
      </c>
      <c r="AE503" t="e">
        <f>VLOOKUP($Z503,'oddspedia-matches'!$A:$AD,AE$2,0)</f>
        <v>#N/A</v>
      </c>
      <c r="AF503" t="e">
        <f>VLOOKUP($Z503,'oddspedia-matches'!$A:$AD,AF$2,0)</f>
        <v>#N/A</v>
      </c>
      <c r="AG503" t="e">
        <f>VLOOKUP($Z503,'oddspedia-matches'!$A:$AD,AG$2,0)</f>
        <v>#N/A</v>
      </c>
      <c r="AH503" t="e">
        <f>VLOOKUP($Z503,'oddspedia-matches'!$A:$AD,AH$2,0)</f>
        <v>#N/A</v>
      </c>
      <c r="AI503" t="e">
        <f>VLOOKUP($Z503,'oddspedia-matches'!$A:$AD,AI$2,0)</f>
        <v>#N/A</v>
      </c>
      <c r="AJ503" t="e">
        <f>VLOOKUP($Z503,'oddspedia-matches'!$A:$AD,AJ$2,0)</f>
        <v>#N/A</v>
      </c>
      <c r="AK503" t="e">
        <f>VLOOKUP($Z503,'oddspedia-matches'!$A:$AD,AK$2,0)</f>
        <v>#N/A</v>
      </c>
      <c r="AL503" t="e">
        <f>VLOOKUP($Z503,'oddspedia-matches'!$A:$AD,AL$2,0)</f>
        <v>#N/A</v>
      </c>
      <c r="AM503" t="e">
        <f>VLOOKUP($Z503,'oddspedia-matches'!$A:$AD,AM$2,0)</f>
        <v>#N/A</v>
      </c>
      <c r="AN503" t="e">
        <f>VLOOKUP($Z503,'oddspedia-matches'!$A:$AD,AN$2,0)</f>
        <v>#N/A</v>
      </c>
      <c r="AO503" t="e">
        <f>VLOOKUP($Z503,'oddspedia-matches'!$A:$AD,AO$2,0)</f>
        <v>#N/A</v>
      </c>
      <c r="AP503" t="e">
        <f>VLOOKUP($Z503,'oddspedia-matches'!$A:$AD,AP$2,0)</f>
        <v>#N/A</v>
      </c>
      <c r="AQ503" t="e">
        <f>VLOOKUP($Z503,'oddspedia-matches'!$A:$AD,AQ$2,0)</f>
        <v>#N/A</v>
      </c>
    </row>
    <row r="504" spans="2:43" x14ac:dyDescent="0.2">
      <c r="B504" t="s">
        <v>546</v>
      </c>
      <c r="C504" t="s">
        <v>1231</v>
      </c>
      <c r="D504" s="25">
        <v>0.3125</v>
      </c>
      <c r="E504" t="s">
        <v>1232</v>
      </c>
      <c r="F504" t="s">
        <v>1233</v>
      </c>
      <c r="H504">
        <v>51.5</v>
      </c>
      <c r="I504">
        <v>29.4</v>
      </c>
      <c r="J504">
        <v>19.2</v>
      </c>
      <c r="K504">
        <v>80.8</v>
      </c>
      <c r="L504">
        <v>48.5</v>
      </c>
      <c r="M504">
        <v>70.599999999999994</v>
      </c>
      <c r="N504">
        <v>40.799999999999997</v>
      </c>
      <c r="O504">
        <v>48.7</v>
      </c>
      <c r="P504">
        <v>10.5</v>
      </c>
      <c r="Q504">
        <v>58</v>
      </c>
      <c r="R504">
        <v>65.3</v>
      </c>
      <c r="S504">
        <v>37.200000000000003</v>
      </c>
      <c r="T504">
        <v>62.8</v>
      </c>
      <c r="U504">
        <v>69</v>
      </c>
      <c r="V504">
        <v>41.7</v>
      </c>
      <c r="W504">
        <v>58.3</v>
      </c>
      <c r="X504">
        <f>VLOOKUP(E504,'Transform table'!A:B,2,0)</f>
        <v>0</v>
      </c>
      <c r="Y504" t="e">
        <f>VLOOKUP(F504,'Transform table'!A:B,2,0)</f>
        <v>#N/A</v>
      </c>
      <c r="Z504" t="e">
        <f t="shared" si="7"/>
        <v>#N/A</v>
      </c>
      <c r="AA504" t="e">
        <f>VLOOKUP($Z504,'oddspedia-matches'!$A:$AD,AA$2,0)</f>
        <v>#N/A</v>
      </c>
      <c r="AB504" t="e">
        <f>VLOOKUP($Z504,'oddspedia-matches'!$A:$AD,AB$2,0)</f>
        <v>#N/A</v>
      </c>
      <c r="AC504" t="e">
        <f>VLOOKUP($Z504,'oddspedia-matches'!$A:$AD,AC$2,0)</f>
        <v>#N/A</v>
      </c>
      <c r="AD504" t="e">
        <f>VLOOKUP($Z504,'oddspedia-matches'!$A:$AD,AD$2,0)</f>
        <v>#N/A</v>
      </c>
      <c r="AE504" t="e">
        <f>VLOOKUP($Z504,'oddspedia-matches'!$A:$AD,AE$2,0)</f>
        <v>#N/A</v>
      </c>
      <c r="AF504" t="e">
        <f>VLOOKUP($Z504,'oddspedia-matches'!$A:$AD,AF$2,0)</f>
        <v>#N/A</v>
      </c>
      <c r="AG504" t="e">
        <f>VLOOKUP($Z504,'oddspedia-matches'!$A:$AD,AG$2,0)</f>
        <v>#N/A</v>
      </c>
      <c r="AH504" t="e">
        <f>VLOOKUP($Z504,'oddspedia-matches'!$A:$AD,AH$2,0)</f>
        <v>#N/A</v>
      </c>
      <c r="AI504" t="e">
        <f>VLOOKUP($Z504,'oddspedia-matches'!$A:$AD,AI$2,0)</f>
        <v>#N/A</v>
      </c>
      <c r="AJ504" t="e">
        <f>VLOOKUP($Z504,'oddspedia-matches'!$A:$AD,AJ$2,0)</f>
        <v>#N/A</v>
      </c>
      <c r="AK504" t="e">
        <f>VLOOKUP($Z504,'oddspedia-matches'!$A:$AD,AK$2,0)</f>
        <v>#N/A</v>
      </c>
      <c r="AL504" t="e">
        <f>VLOOKUP($Z504,'oddspedia-matches'!$A:$AD,AL$2,0)</f>
        <v>#N/A</v>
      </c>
      <c r="AM504" t="e">
        <f>VLOOKUP($Z504,'oddspedia-matches'!$A:$AD,AM$2,0)</f>
        <v>#N/A</v>
      </c>
      <c r="AN504" t="e">
        <f>VLOOKUP($Z504,'oddspedia-matches'!$A:$AD,AN$2,0)</f>
        <v>#N/A</v>
      </c>
      <c r="AO504" t="e">
        <f>VLOOKUP($Z504,'oddspedia-matches'!$A:$AD,AO$2,0)</f>
        <v>#N/A</v>
      </c>
      <c r="AP504" t="e">
        <f>VLOOKUP($Z504,'oddspedia-matches'!$A:$AD,AP$2,0)</f>
        <v>#N/A</v>
      </c>
      <c r="AQ504" t="e">
        <f>VLOOKUP($Z504,'oddspedia-matches'!$A:$AD,AQ$2,0)</f>
        <v>#N/A</v>
      </c>
    </row>
    <row r="505" spans="2:43" x14ac:dyDescent="0.2">
      <c r="B505" t="s">
        <v>990</v>
      </c>
      <c r="C505" t="s">
        <v>1231</v>
      </c>
      <c r="D505" s="25">
        <v>0.5</v>
      </c>
      <c r="E505" t="s">
        <v>1234</v>
      </c>
      <c r="F505" t="s">
        <v>246</v>
      </c>
      <c r="H505">
        <v>25.9</v>
      </c>
      <c r="I505">
        <v>26.4</v>
      </c>
      <c r="J505">
        <v>47.8</v>
      </c>
      <c r="K505">
        <v>52.2</v>
      </c>
      <c r="L505">
        <v>74.099999999999994</v>
      </c>
      <c r="M505">
        <v>73.599999999999994</v>
      </c>
      <c r="N505">
        <v>24.6</v>
      </c>
      <c r="O505">
        <v>38</v>
      </c>
      <c r="P505">
        <v>37.4</v>
      </c>
      <c r="Q505">
        <v>78.099999999999994</v>
      </c>
      <c r="R505">
        <v>84.3</v>
      </c>
      <c r="S505">
        <v>62.6</v>
      </c>
      <c r="T505">
        <v>37.4</v>
      </c>
      <c r="U505">
        <v>43.4</v>
      </c>
      <c r="V505">
        <v>64</v>
      </c>
      <c r="W505">
        <v>36</v>
      </c>
      <c r="X505" t="str">
        <f>VLOOKUP(E505,'Transform table'!A:B,2,0)</f>
        <v>Tuggeranong United U23</v>
      </c>
      <c r="Y505" t="str">
        <f>VLOOKUP(F505,'Transform table'!A:B,2,0)</f>
        <v>Rigas Futbola Skola</v>
      </c>
      <c r="Z505" t="str">
        <f t="shared" si="7"/>
        <v>27/07/2026Tuggeranong United U23Rigas Futbola Skola</v>
      </c>
      <c r="AA505" t="e">
        <f>VLOOKUP($Z505,'oddspedia-matches'!$A:$AD,AA$2,0)</f>
        <v>#N/A</v>
      </c>
      <c r="AB505" t="e">
        <f>VLOOKUP($Z505,'oddspedia-matches'!$A:$AD,AB$2,0)</f>
        <v>#N/A</v>
      </c>
      <c r="AC505" t="e">
        <f>VLOOKUP($Z505,'oddspedia-matches'!$A:$AD,AC$2,0)</f>
        <v>#N/A</v>
      </c>
      <c r="AD505" t="e">
        <f>VLOOKUP($Z505,'oddspedia-matches'!$A:$AD,AD$2,0)</f>
        <v>#N/A</v>
      </c>
      <c r="AE505" t="e">
        <f>VLOOKUP($Z505,'oddspedia-matches'!$A:$AD,AE$2,0)</f>
        <v>#N/A</v>
      </c>
      <c r="AF505" t="e">
        <f>VLOOKUP($Z505,'oddspedia-matches'!$A:$AD,AF$2,0)</f>
        <v>#N/A</v>
      </c>
      <c r="AG505" t="e">
        <f>VLOOKUP($Z505,'oddspedia-matches'!$A:$AD,AG$2,0)</f>
        <v>#N/A</v>
      </c>
      <c r="AH505" t="e">
        <f>VLOOKUP($Z505,'oddspedia-matches'!$A:$AD,AH$2,0)</f>
        <v>#N/A</v>
      </c>
      <c r="AI505" t="e">
        <f>VLOOKUP($Z505,'oddspedia-matches'!$A:$AD,AI$2,0)</f>
        <v>#N/A</v>
      </c>
      <c r="AJ505" t="e">
        <f>VLOOKUP($Z505,'oddspedia-matches'!$A:$AD,AJ$2,0)</f>
        <v>#N/A</v>
      </c>
      <c r="AK505" t="e">
        <f>VLOOKUP($Z505,'oddspedia-matches'!$A:$AD,AK$2,0)</f>
        <v>#N/A</v>
      </c>
      <c r="AL505" t="e">
        <f>VLOOKUP($Z505,'oddspedia-matches'!$A:$AD,AL$2,0)</f>
        <v>#N/A</v>
      </c>
      <c r="AM505" t="e">
        <f>VLOOKUP($Z505,'oddspedia-matches'!$A:$AD,AM$2,0)</f>
        <v>#N/A</v>
      </c>
      <c r="AN505" t="e">
        <f>VLOOKUP($Z505,'oddspedia-matches'!$A:$AD,AN$2,0)</f>
        <v>#N/A</v>
      </c>
      <c r="AO505" t="e">
        <f>VLOOKUP($Z505,'oddspedia-matches'!$A:$AD,AO$2,0)</f>
        <v>#N/A</v>
      </c>
      <c r="AP505" t="e">
        <f>VLOOKUP($Z505,'oddspedia-matches'!$A:$AD,AP$2,0)</f>
        <v>#N/A</v>
      </c>
      <c r="AQ505" t="e">
        <f>VLOOKUP($Z505,'oddspedia-matches'!$A:$AD,AQ$2,0)</f>
        <v>#N/A</v>
      </c>
    </row>
    <row r="506" spans="2:43" x14ac:dyDescent="0.2">
      <c r="B506" t="s">
        <v>569</v>
      </c>
      <c r="C506" t="s">
        <v>1231</v>
      </c>
      <c r="D506" s="25">
        <v>0.5</v>
      </c>
      <c r="E506" t="s">
        <v>1235</v>
      </c>
      <c r="F506" t="s">
        <v>1236</v>
      </c>
      <c r="H506">
        <v>64.5</v>
      </c>
      <c r="I506">
        <v>22.4</v>
      </c>
      <c r="J506">
        <v>13.1</v>
      </c>
      <c r="K506">
        <v>86.9</v>
      </c>
      <c r="L506">
        <v>35.5</v>
      </c>
      <c r="M506">
        <v>77.599999999999994</v>
      </c>
      <c r="N506">
        <v>37.4</v>
      </c>
      <c r="O506">
        <v>44.1</v>
      </c>
      <c r="P506">
        <v>18.5</v>
      </c>
      <c r="Q506">
        <v>67.2</v>
      </c>
      <c r="R506">
        <v>88.7</v>
      </c>
      <c r="S506">
        <v>70.8</v>
      </c>
      <c r="T506">
        <v>29.2</v>
      </c>
      <c r="U506">
        <v>37.200000000000003</v>
      </c>
      <c r="V506">
        <v>63.2</v>
      </c>
      <c r="W506">
        <v>36.799999999999997</v>
      </c>
      <c r="X506" t="str">
        <f>VLOOKUP(E506,'Transform table'!A:B,2,0)</f>
        <v>Valletta</v>
      </c>
      <c r="Y506" t="e">
        <f>VLOOKUP(F506,'Transform table'!A:B,2,0)</f>
        <v>#N/A</v>
      </c>
      <c r="Z506" t="e">
        <f t="shared" si="7"/>
        <v>#N/A</v>
      </c>
      <c r="AA506" t="e">
        <f>VLOOKUP($Z506,'oddspedia-matches'!$A:$AD,AA$2,0)</f>
        <v>#N/A</v>
      </c>
      <c r="AB506" t="e">
        <f>VLOOKUP($Z506,'oddspedia-matches'!$A:$AD,AB$2,0)</f>
        <v>#N/A</v>
      </c>
      <c r="AC506" t="e">
        <f>VLOOKUP($Z506,'oddspedia-matches'!$A:$AD,AC$2,0)</f>
        <v>#N/A</v>
      </c>
      <c r="AD506" t="e">
        <f>VLOOKUP($Z506,'oddspedia-matches'!$A:$AD,AD$2,0)</f>
        <v>#N/A</v>
      </c>
      <c r="AE506" t="e">
        <f>VLOOKUP($Z506,'oddspedia-matches'!$A:$AD,AE$2,0)</f>
        <v>#N/A</v>
      </c>
      <c r="AF506" t="e">
        <f>VLOOKUP($Z506,'oddspedia-matches'!$A:$AD,AF$2,0)</f>
        <v>#N/A</v>
      </c>
      <c r="AG506" t="e">
        <f>VLOOKUP($Z506,'oddspedia-matches'!$A:$AD,AG$2,0)</f>
        <v>#N/A</v>
      </c>
      <c r="AH506" t="e">
        <f>VLOOKUP($Z506,'oddspedia-matches'!$A:$AD,AH$2,0)</f>
        <v>#N/A</v>
      </c>
      <c r="AI506" t="e">
        <f>VLOOKUP($Z506,'oddspedia-matches'!$A:$AD,AI$2,0)</f>
        <v>#N/A</v>
      </c>
      <c r="AJ506" t="e">
        <f>VLOOKUP($Z506,'oddspedia-matches'!$A:$AD,AJ$2,0)</f>
        <v>#N/A</v>
      </c>
      <c r="AK506" t="e">
        <f>VLOOKUP($Z506,'oddspedia-matches'!$A:$AD,AK$2,0)</f>
        <v>#N/A</v>
      </c>
      <c r="AL506" t="e">
        <f>VLOOKUP($Z506,'oddspedia-matches'!$A:$AD,AL$2,0)</f>
        <v>#N/A</v>
      </c>
      <c r="AM506" t="e">
        <f>VLOOKUP($Z506,'oddspedia-matches'!$A:$AD,AM$2,0)</f>
        <v>#N/A</v>
      </c>
      <c r="AN506" t="e">
        <f>VLOOKUP($Z506,'oddspedia-matches'!$A:$AD,AN$2,0)</f>
        <v>#N/A</v>
      </c>
      <c r="AO506" t="e">
        <f>VLOOKUP($Z506,'oddspedia-matches'!$A:$AD,AO$2,0)</f>
        <v>#N/A</v>
      </c>
      <c r="AP506" t="e">
        <f>VLOOKUP($Z506,'oddspedia-matches'!$A:$AD,AP$2,0)</f>
        <v>#N/A</v>
      </c>
      <c r="AQ506" t="e">
        <f>VLOOKUP($Z506,'oddspedia-matches'!$A:$AD,AQ$2,0)</f>
        <v>#N/A</v>
      </c>
    </row>
    <row r="507" spans="2:43" x14ac:dyDescent="0.2">
      <c r="B507" t="s">
        <v>1043</v>
      </c>
      <c r="C507" t="s">
        <v>1231</v>
      </c>
      <c r="D507" s="25">
        <v>0.52083333333333337</v>
      </c>
      <c r="E507" t="s">
        <v>1237</v>
      </c>
      <c r="F507" t="s">
        <v>1238</v>
      </c>
      <c r="H507">
        <v>37.700000000000003</v>
      </c>
      <c r="I507">
        <v>35.700000000000003</v>
      </c>
      <c r="J507">
        <v>26.6</v>
      </c>
      <c r="K507">
        <v>73.400000000000006</v>
      </c>
      <c r="L507">
        <v>62.3</v>
      </c>
      <c r="M507">
        <v>64.3</v>
      </c>
      <c r="N507">
        <v>19.399999999999999</v>
      </c>
      <c r="O507">
        <v>56.9</v>
      </c>
      <c r="P507">
        <v>23.7</v>
      </c>
      <c r="Q507">
        <v>50.1</v>
      </c>
      <c r="R507">
        <v>53.3</v>
      </c>
      <c r="S507">
        <v>25.4</v>
      </c>
      <c r="T507">
        <v>74.599999999999994</v>
      </c>
      <c r="U507">
        <v>78.599999999999994</v>
      </c>
      <c r="V507">
        <v>34.799999999999997</v>
      </c>
      <c r="W507">
        <v>65.2</v>
      </c>
      <c r="X507" t="str">
        <f>VLOOKUP(E507,'Transform table'!A:B,2,0)</f>
        <v>CFR Cluj</v>
      </c>
      <c r="Y507" t="e">
        <f>VLOOKUP(F507,'Transform table'!A:B,2,0)</f>
        <v>#N/A</v>
      </c>
      <c r="Z507" t="e">
        <f t="shared" si="7"/>
        <v>#N/A</v>
      </c>
      <c r="AA507" t="e">
        <f>VLOOKUP($Z507,'oddspedia-matches'!$A:$AD,AA$2,0)</f>
        <v>#N/A</v>
      </c>
      <c r="AB507" t="e">
        <f>VLOOKUP($Z507,'oddspedia-matches'!$A:$AD,AB$2,0)</f>
        <v>#N/A</v>
      </c>
      <c r="AC507" t="e">
        <f>VLOOKUP($Z507,'oddspedia-matches'!$A:$AD,AC$2,0)</f>
        <v>#N/A</v>
      </c>
      <c r="AD507" t="e">
        <f>VLOOKUP($Z507,'oddspedia-matches'!$A:$AD,AD$2,0)</f>
        <v>#N/A</v>
      </c>
      <c r="AE507" t="e">
        <f>VLOOKUP($Z507,'oddspedia-matches'!$A:$AD,AE$2,0)</f>
        <v>#N/A</v>
      </c>
      <c r="AF507" t="e">
        <f>VLOOKUP($Z507,'oddspedia-matches'!$A:$AD,AF$2,0)</f>
        <v>#N/A</v>
      </c>
      <c r="AG507" t="e">
        <f>VLOOKUP($Z507,'oddspedia-matches'!$A:$AD,AG$2,0)</f>
        <v>#N/A</v>
      </c>
      <c r="AH507" t="e">
        <f>VLOOKUP($Z507,'oddspedia-matches'!$A:$AD,AH$2,0)</f>
        <v>#N/A</v>
      </c>
      <c r="AI507" t="e">
        <f>VLOOKUP($Z507,'oddspedia-matches'!$A:$AD,AI$2,0)</f>
        <v>#N/A</v>
      </c>
      <c r="AJ507" t="e">
        <f>VLOOKUP($Z507,'oddspedia-matches'!$A:$AD,AJ$2,0)</f>
        <v>#N/A</v>
      </c>
      <c r="AK507" t="e">
        <f>VLOOKUP($Z507,'oddspedia-matches'!$A:$AD,AK$2,0)</f>
        <v>#N/A</v>
      </c>
      <c r="AL507" t="e">
        <f>VLOOKUP($Z507,'oddspedia-matches'!$A:$AD,AL$2,0)</f>
        <v>#N/A</v>
      </c>
      <c r="AM507" t="e">
        <f>VLOOKUP($Z507,'oddspedia-matches'!$A:$AD,AM$2,0)</f>
        <v>#N/A</v>
      </c>
      <c r="AN507" t="e">
        <f>VLOOKUP($Z507,'oddspedia-matches'!$A:$AD,AN$2,0)</f>
        <v>#N/A</v>
      </c>
      <c r="AO507" t="e">
        <f>VLOOKUP($Z507,'oddspedia-matches'!$A:$AD,AO$2,0)</f>
        <v>#N/A</v>
      </c>
      <c r="AP507" t="e">
        <f>VLOOKUP($Z507,'oddspedia-matches'!$A:$AD,AP$2,0)</f>
        <v>#N/A</v>
      </c>
      <c r="AQ507" t="e">
        <f>VLOOKUP($Z507,'oddspedia-matches'!$A:$AD,AQ$2,0)</f>
        <v>#N/A</v>
      </c>
    </row>
    <row r="508" spans="2:43" x14ac:dyDescent="0.2">
      <c r="B508" t="s">
        <v>475</v>
      </c>
      <c r="C508" t="s">
        <v>1231</v>
      </c>
      <c r="D508" s="25">
        <v>0.53125</v>
      </c>
      <c r="E508" t="s">
        <v>144</v>
      </c>
      <c r="F508" t="s">
        <v>1239</v>
      </c>
      <c r="H508">
        <v>32.6</v>
      </c>
      <c r="I508">
        <v>29.7</v>
      </c>
      <c r="J508">
        <v>37.700000000000003</v>
      </c>
      <c r="K508">
        <v>62.3</v>
      </c>
      <c r="L508">
        <v>67.400000000000006</v>
      </c>
      <c r="M508">
        <v>70.3</v>
      </c>
      <c r="N508">
        <v>23</v>
      </c>
      <c r="O508">
        <v>45.4</v>
      </c>
      <c r="P508">
        <v>31.6</v>
      </c>
      <c r="Q508">
        <v>66.7</v>
      </c>
      <c r="R508">
        <v>73.5</v>
      </c>
      <c r="S508">
        <v>46.9</v>
      </c>
      <c r="T508">
        <v>53.1</v>
      </c>
      <c r="U508">
        <v>58.6</v>
      </c>
      <c r="V508">
        <v>53.2</v>
      </c>
      <c r="W508">
        <v>46.8</v>
      </c>
      <c r="X508" t="str">
        <f>VLOOKUP(E508,'Transform table'!A:B,2,0)</f>
        <v>Hegelmann Litauen</v>
      </c>
      <c r="Y508" t="e">
        <f>VLOOKUP(F508,'Transform table'!A:B,2,0)</f>
        <v>#N/A</v>
      </c>
      <c r="Z508" t="e">
        <f t="shared" si="7"/>
        <v>#N/A</v>
      </c>
      <c r="AA508" t="e">
        <f>VLOOKUP($Z508,'oddspedia-matches'!$A:$AD,AA$2,0)</f>
        <v>#N/A</v>
      </c>
      <c r="AB508" t="e">
        <f>VLOOKUP($Z508,'oddspedia-matches'!$A:$AD,AB$2,0)</f>
        <v>#N/A</v>
      </c>
      <c r="AC508" t="e">
        <f>VLOOKUP($Z508,'oddspedia-matches'!$A:$AD,AC$2,0)</f>
        <v>#N/A</v>
      </c>
      <c r="AD508" t="e">
        <f>VLOOKUP($Z508,'oddspedia-matches'!$A:$AD,AD$2,0)</f>
        <v>#N/A</v>
      </c>
      <c r="AE508" t="e">
        <f>VLOOKUP($Z508,'oddspedia-matches'!$A:$AD,AE$2,0)</f>
        <v>#N/A</v>
      </c>
      <c r="AF508" t="e">
        <f>VLOOKUP($Z508,'oddspedia-matches'!$A:$AD,AF$2,0)</f>
        <v>#N/A</v>
      </c>
      <c r="AG508" t="e">
        <f>VLOOKUP($Z508,'oddspedia-matches'!$A:$AD,AG$2,0)</f>
        <v>#N/A</v>
      </c>
      <c r="AH508" t="e">
        <f>VLOOKUP($Z508,'oddspedia-matches'!$A:$AD,AH$2,0)</f>
        <v>#N/A</v>
      </c>
      <c r="AI508" t="e">
        <f>VLOOKUP($Z508,'oddspedia-matches'!$A:$AD,AI$2,0)</f>
        <v>#N/A</v>
      </c>
      <c r="AJ508" t="e">
        <f>VLOOKUP($Z508,'oddspedia-matches'!$A:$AD,AJ$2,0)</f>
        <v>#N/A</v>
      </c>
      <c r="AK508" t="e">
        <f>VLOOKUP($Z508,'oddspedia-matches'!$A:$AD,AK$2,0)</f>
        <v>#N/A</v>
      </c>
      <c r="AL508" t="e">
        <f>VLOOKUP($Z508,'oddspedia-matches'!$A:$AD,AL$2,0)</f>
        <v>#N/A</v>
      </c>
      <c r="AM508" t="e">
        <f>VLOOKUP($Z508,'oddspedia-matches'!$A:$AD,AM$2,0)</f>
        <v>#N/A</v>
      </c>
      <c r="AN508" t="e">
        <f>VLOOKUP($Z508,'oddspedia-matches'!$A:$AD,AN$2,0)</f>
        <v>#N/A</v>
      </c>
      <c r="AO508" t="e">
        <f>VLOOKUP($Z508,'oddspedia-matches'!$A:$AD,AO$2,0)</f>
        <v>#N/A</v>
      </c>
      <c r="AP508" t="e">
        <f>VLOOKUP($Z508,'oddspedia-matches'!$A:$AD,AP$2,0)</f>
        <v>#N/A</v>
      </c>
      <c r="AQ508" t="e">
        <f>VLOOKUP($Z508,'oddspedia-matches'!$A:$AD,AQ$2,0)</f>
        <v>#N/A</v>
      </c>
    </row>
    <row r="509" spans="2:43" x14ac:dyDescent="0.2">
      <c r="B509" t="s">
        <v>1081</v>
      </c>
      <c r="C509" t="s">
        <v>1231</v>
      </c>
      <c r="D509" s="25">
        <v>0.54166666666666663</v>
      </c>
      <c r="E509" t="s">
        <v>1240</v>
      </c>
      <c r="F509" t="s">
        <v>1241</v>
      </c>
      <c r="H509">
        <v>16.2</v>
      </c>
      <c r="I509">
        <v>50.7</v>
      </c>
      <c r="J509">
        <v>33.1</v>
      </c>
      <c r="K509">
        <v>66.900000000000006</v>
      </c>
      <c r="L509">
        <v>83.8</v>
      </c>
      <c r="M509">
        <v>49.3</v>
      </c>
      <c r="N509">
        <v>0</v>
      </c>
      <c r="O509">
        <v>69.099999999999994</v>
      </c>
      <c r="P509">
        <v>30.9</v>
      </c>
      <c r="Q509">
        <v>30.9</v>
      </c>
      <c r="R509">
        <v>23.6</v>
      </c>
      <c r="S509">
        <v>6.3</v>
      </c>
      <c r="T509">
        <v>93.7</v>
      </c>
      <c r="U509">
        <v>95.2</v>
      </c>
      <c r="V509">
        <v>12.9</v>
      </c>
      <c r="W509">
        <v>87.1</v>
      </c>
      <c r="X509" t="str">
        <f>VLOOKUP(E509,'Transform table'!A:B,2,0)</f>
        <v>Dunajska Streda</v>
      </c>
      <c r="Y509" t="e">
        <f>VLOOKUP(F509,'Transform table'!A:B,2,0)</f>
        <v>#N/A</v>
      </c>
      <c r="Z509" t="e">
        <f t="shared" si="7"/>
        <v>#N/A</v>
      </c>
      <c r="AA509" t="e">
        <f>VLOOKUP($Z509,'oddspedia-matches'!$A:$AD,AA$2,0)</f>
        <v>#N/A</v>
      </c>
      <c r="AB509" t="e">
        <f>VLOOKUP($Z509,'oddspedia-matches'!$A:$AD,AB$2,0)</f>
        <v>#N/A</v>
      </c>
      <c r="AC509" t="e">
        <f>VLOOKUP($Z509,'oddspedia-matches'!$A:$AD,AC$2,0)</f>
        <v>#N/A</v>
      </c>
      <c r="AD509" t="e">
        <f>VLOOKUP($Z509,'oddspedia-matches'!$A:$AD,AD$2,0)</f>
        <v>#N/A</v>
      </c>
      <c r="AE509" t="e">
        <f>VLOOKUP($Z509,'oddspedia-matches'!$A:$AD,AE$2,0)</f>
        <v>#N/A</v>
      </c>
      <c r="AF509" t="e">
        <f>VLOOKUP($Z509,'oddspedia-matches'!$A:$AD,AF$2,0)</f>
        <v>#N/A</v>
      </c>
      <c r="AG509" t="e">
        <f>VLOOKUP($Z509,'oddspedia-matches'!$A:$AD,AG$2,0)</f>
        <v>#N/A</v>
      </c>
      <c r="AH509" t="e">
        <f>VLOOKUP($Z509,'oddspedia-matches'!$A:$AD,AH$2,0)</f>
        <v>#N/A</v>
      </c>
      <c r="AI509" t="e">
        <f>VLOOKUP($Z509,'oddspedia-matches'!$A:$AD,AI$2,0)</f>
        <v>#N/A</v>
      </c>
      <c r="AJ509" t="e">
        <f>VLOOKUP($Z509,'oddspedia-matches'!$A:$AD,AJ$2,0)</f>
        <v>#N/A</v>
      </c>
      <c r="AK509" t="e">
        <f>VLOOKUP($Z509,'oddspedia-matches'!$A:$AD,AK$2,0)</f>
        <v>#N/A</v>
      </c>
      <c r="AL509" t="e">
        <f>VLOOKUP($Z509,'oddspedia-matches'!$A:$AD,AL$2,0)</f>
        <v>#N/A</v>
      </c>
      <c r="AM509" t="e">
        <f>VLOOKUP($Z509,'oddspedia-matches'!$A:$AD,AM$2,0)</f>
        <v>#N/A</v>
      </c>
      <c r="AN509" t="e">
        <f>VLOOKUP($Z509,'oddspedia-matches'!$A:$AD,AN$2,0)</f>
        <v>#N/A</v>
      </c>
      <c r="AO509" t="e">
        <f>VLOOKUP($Z509,'oddspedia-matches'!$A:$AD,AO$2,0)</f>
        <v>#N/A</v>
      </c>
      <c r="AP509" t="e">
        <f>VLOOKUP($Z509,'oddspedia-matches'!$A:$AD,AP$2,0)</f>
        <v>#N/A</v>
      </c>
      <c r="AQ509" t="e">
        <f>VLOOKUP($Z509,'oddspedia-matches'!$A:$AD,AQ$2,0)</f>
        <v>#N/A</v>
      </c>
    </row>
    <row r="510" spans="2:43" x14ac:dyDescent="0.2">
      <c r="B510" t="s">
        <v>626</v>
      </c>
      <c r="C510" t="s">
        <v>1231</v>
      </c>
      <c r="D510" s="25">
        <v>0.54166666666666663</v>
      </c>
      <c r="E510" t="s">
        <v>1242</v>
      </c>
      <c r="F510" t="s">
        <v>1243</v>
      </c>
      <c r="H510">
        <v>36</v>
      </c>
      <c r="I510">
        <v>26</v>
      </c>
      <c r="J510">
        <v>38</v>
      </c>
      <c r="K510">
        <v>62</v>
      </c>
      <c r="L510">
        <v>64</v>
      </c>
      <c r="M510">
        <v>74</v>
      </c>
      <c r="N510">
        <v>28.8</v>
      </c>
      <c r="O510">
        <v>39.4</v>
      </c>
      <c r="P510">
        <v>31.8</v>
      </c>
      <c r="Q510">
        <v>76.3</v>
      </c>
      <c r="R510">
        <v>87.2</v>
      </c>
      <c r="S510">
        <v>67.7</v>
      </c>
      <c r="T510">
        <v>32.299999999999997</v>
      </c>
      <c r="U510">
        <v>37.799999999999997</v>
      </c>
      <c r="V510">
        <v>69.3</v>
      </c>
      <c r="W510">
        <v>30.7</v>
      </c>
      <c r="X510" t="str">
        <f>VLOOKUP(E510,'Transform table'!A:B,2,0)</f>
        <v>JK Nomme United</v>
      </c>
      <c r="Y510" t="e">
        <f>VLOOKUP(F510,'Transform table'!A:B,2,0)</f>
        <v>#N/A</v>
      </c>
      <c r="Z510" t="e">
        <f t="shared" si="7"/>
        <v>#N/A</v>
      </c>
      <c r="AA510" t="e">
        <f>VLOOKUP($Z510,'oddspedia-matches'!$A:$AD,AA$2,0)</f>
        <v>#N/A</v>
      </c>
      <c r="AB510" t="e">
        <f>VLOOKUP($Z510,'oddspedia-matches'!$A:$AD,AB$2,0)</f>
        <v>#N/A</v>
      </c>
      <c r="AC510" t="e">
        <f>VLOOKUP($Z510,'oddspedia-matches'!$A:$AD,AC$2,0)</f>
        <v>#N/A</v>
      </c>
      <c r="AD510" t="e">
        <f>VLOOKUP($Z510,'oddspedia-matches'!$A:$AD,AD$2,0)</f>
        <v>#N/A</v>
      </c>
      <c r="AE510" t="e">
        <f>VLOOKUP($Z510,'oddspedia-matches'!$A:$AD,AE$2,0)</f>
        <v>#N/A</v>
      </c>
      <c r="AF510" t="e">
        <f>VLOOKUP($Z510,'oddspedia-matches'!$A:$AD,AF$2,0)</f>
        <v>#N/A</v>
      </c>
      <c r="AG510" t="e">
        <f>VLOOKUP($Z510,'oddspedia-matches'!$A:$AD,AG$2,0)</f>
        <v>#N/A</v>
      </c>
      <c r="AH510" t="e">
        <f>VLOOKUP($Z510,'oddspedia-matches'!$A:$AD,AH$2,0)</f>
        <v>#N/A</v>
      </c>
      <c r="AI510" t="e">
        <f>VLOOKUP($Z510,'oddspedia-matches'!$A:$AD,AI$2,0)</f>
        <v>#N/A</v>
      </c>
      <c r="AJ510" t="e">
        <f>VLOOKUP($Z510,'oddspedia-matches'!$A:$AD,AJ$2,0)</f>
        <v>#N/A</v>
      </c>
      <c r="AK510" t="e">
        <f>VLOOKUP($Z510,'oddspedia-matches'!$A:$AD,AK$2,0)</f>
        <v>#N/A</v>
      </c>
      <c r="AL510" t="e">
        <f>VLOOKUP($Z510,'oddspedia-matches'!$A:$AD,AL$2,0)</f>
        <v>#N/A</v>
      </c>
      <c r="AM510" t="e">
        <f>VLOOKUP($Z510,'oddspedia-matches'!$A:$AD,AM$2,0)</f>
        <v>#N/A</v>
      </c>
      <c r="AN510" t="e">
        <f>VLOOKUP($Z510,'oddspedia-matches'!$A:$AD,AN$2,0)</f>
        <v>#N/A</v>
      </c>
      <c r="AO510" t="e">
        <f>VLOOKUP($Z510,'oddspedia-matches'!$A:$AD,AO$2,0)</f>
        <v>#N/A</v>
      </c>
      <c r="AP510" t="e">
        <f>VLOOKUP($Z510,'oddspedia-matches'!$A:$AD,AP$2,0)</f>
        <v>#N/A</v>
      </c>
      <c r="AQ510" t="e">
        <f>VLOOKUP($Z510,'oddspedia-matches'!$A:$AD,AQ$2,0)</f>
        <v>#N/A</v>
      </c>
    </row>
    <row r="511" spans="2:43" x14ac:dyDescent="0.2">
      <c r="B511" t="s">
        <v>990</v>
      </c>
      <c r="C511" t="s">
        <v>1231</v>
      </c>
      <c r="D511" s="25">
        <v>0.54166666666666663</v>
      </c>
      <c r="E511" t="s">
        <v>253</v>
      </c>
      <c r="F511" t="s">
        <v>1244</v>
      </c>
      <c r="H511">
        <v>52.1</v>
      </c>
      <c r="I511">
        <v>26.1</v>
      </c>
      <c r="J511">
        <v>21.8</v>
      </c>
      <c r="K511">
        <v>78.2</v>
      </c>
      <c r="L511">
        <v>47.9</v>
      </c>
      <c r="M511">
        <v>73.900000000000006</v>
      </c>
      <c r="N511">
        <v>46</v>
      </c>
      <c r="O511">
        <v>38</v>
      </c>
      <c r="P511">
        <v>16</v>
      </c>
      <c r="Q511">
        <v>74.599999999999994</v>
      </c>
      <c r="R511">
        <v>78.900000000000006</v>
      </c>
      <c r="S511">
        <v>54.3</v>
      </c>
      <c r="T511">
        <v>45.7</v>
      </c>
      <c r="U511">
        <v>52.3</v>
      </c>
      <c r="V511">
        <v>56.1</v>
      </c>
      <c r="W511">
        <v>43.9</v>
      </c>
      <c r="X511" t="str">
        <f>VLOOKUP(E511,'Transform table'!A:B,2,0)</f>
        <v>SC Grobinas</v>
      </c>
      <c r="Y511" t="e">
        <f>VLOOKUP(F511,'Transform table'!A:B,2,0)</f>
        <v>#N/A</v>
      </c>
      <c r="Z511" t="e">
        <f t="shared" si="7"/>
        <v>#N/A</v>
      </c>
      <c r="AA511" t="e">
        <f>VLOOKUP($Z511,'oddspedia-matches'!$A:$AD,AA$2,0)</f>
        <v>#N/A</v>
      </c>
      <c r="AB511" t="e">
        <f>VLOOKUP($Z511,'oddspedia-matches'!$A:$AD,AB$2,0)</f>
        <v>#N/A</v>
      </c>
      <c r="AC511" t="e">
        <f>VLOOKUP($Z511,'oddspedia-matches'!$A:$AD,AC$2,0)</f>
        <v>#N/A</v>
      </c>
      <c r="AD511" t="e">
        <f>VLOOKUP($Z511,'oddspedia-matches'!$A:$AD,AD$2,0)</f>
        <v>#N/A</v>
      </c>
      <c r="AE511" t="e">
        <f>VLOOKUP($Z511,'oddspedia-matches'!$A:$AD,AE$2,0)</f>
        <v>#N/A</v>
      </c>
      <c r="AF511" t="e">
        <f>VLOOKUP($Z511,'oddspedia-matches'!$A:$AD,AF$2,0)</f>
        <v>#N/A</v>
      </c>
      <c r="AG511" t="e">
        <f>VLOOKUP($Z511,'oddspedia-matches'!$A:$AD,AG$2,0)</f>
        <v>#N/A</v>
      </c>
      <c r="AH511" t="e">
        <f>VLOOKUP($Z511,'oddspedia-matches'!$A:$AD,AH$2,0)</f>
        <v>#N/A</v>
      </c>
      <c r="AI511" t="e">
        <f>VLOOKUP($Z511,'oddspedia-matches'!$A:$AD,AI$2,0)</f>
        <v>#N/A</v>
      </c>
      <c r="AJ511" t="e">
        <f>VLOOKUP($Z511,'oddspedia-matches'!$A:$AD,AJ$2,0)</f>
        <v>#N/A</v>
      </c>
      <c r="AK511" t="e">
        <f>VLOOKUP($Z511,'oddspedia-matches'!$A:$AD,AK$2,0)</f>
        <v>#N/A</v>
      </c>
      <c r="AL511" t="e">
        <f>VLOOKUP($Z511,'oddspedia-matches'!$A:$AD,AL$2,0)</f>
        <v>#N/A</v>
      </c>
      <c r="AM511" t="e">
        <f>VLOOKUP($Z511,'oddspedia-matches'!$A:$AD,AM$2,0)</f>
        <v>#N/A</v>
      </c>
      <c r="AN511" t="e">
        <f>VLOOKUP($Z511,'oddspedia-matches'!$A:$AD,AN$2,0)</f>
        <v>#N/A</v>
      </c>
      <c r="AO511" t="e">
        <f>VLOOKUP($Z511,'oddspedia-matches'!$A:$AD,AO$2,0)</f>
        <v>#N/A</v>
      </c>
      <c r="AP511" t="e">
        <f>VLOOKUP($Z511,'oddspedia-matches'!$A:$AD,AP$2,0)</f>
        <v>#N/A</v>
      </c>
      <c r="AQ511" t="e">
        <f>VLOOKUP($Z511,'oddspedia-matches'!$A:$AD,AQ$2,0)</f>
        <v>#N/A</v>
      </c>
    </row>
    <row r="512" spans="2:43" x14ac:dyDescent="0.2">
      <c r="B512" t="s">
        <v>569</v>
      </c>
      <c r="C512" t="s">
        <v>1231</v>
      </c>
      <c r="D512" s="25">
        <v>0.54166666666666663</v>
      </c>
      <c r="E512" t="s">
        <v>1245</v>
      </c>
      <c r="F512" t="s">
        <v>254</v>
      </c>
      <c r="H512">
        <v>69</v>
      </c>
      <c r="I512">
        <v>23.5</v>
      </c>
      <c r="J512">
        <v>7.5</v>
      </c>
      <c r="K512">
        <v>92.5</v>
      </c>
      <c r="L512">
        <v>31</v>
      </c>
      <c r="M512">
        <v>76.5</v>
      </c>
      <c r="N512">
        <v>72.7</v>
      </c>
      <c r="O512">
        <v>22.4</v>
      </c>
      <c r="P512">
        <v>4.9000000000000004</v>
      </c>
      <c r="Q512">
        <v>85.9</v>
      </c>
      <c r="R512">
        <v>93.2</v>
      </c>
      <c r="S512">
        <v>80.2</v>
      </c>
      <c r="T512">
        <v>19.8</v>
      </c>
      <c r="U512">
        <v>28.1</v>
      </c>
      <c r="V512">
        <v>65.7</v>
      </c>
      <c r="W512">
        <v>34.299999999999997</v>
      </c>
      <c r="X512" t="str">
        <f>VLOOKUP(E512,'Transform table'!A:B,2,0)</f>
        <v>Metz</v>
      </c>
      <c r="Y512" t="str">
        <f>VLOOKUP(F512,'Transform table'!A:B,2,0)</f>
        <v>FK Tukums 2000 II</v>
      </c>
      <c r="Z512" t="str">
        <f t="shared" si="7"/>
        <v>27/07/2026MetzFK Tukums 2000 II</v>
      </c>
      <c r="AA512" t="e">
        <f>VLOOKUP($Z512,'oddspedia-matches'!$A:$AD,AA$2,0)</f>
        <v>#N/A</v>
      </c>
      <c r="AB512" t="e">
        <f>VLOOKUP($Z512,'oddspedia-matches'!$A:$AD,AB$2,0)</f>
        <v>#N/A</v>
      </c>
      <c r="AC512" t="e">
        <f>VLOOKUP($Z512,'oddspedia-matches'!$A:$AD,AC$2,0)</f>
        <v>#N/A</v>
      </c>
      <c r="AD512" t="e">
        <f>VLOOKUP($Z512,'oddspedia-matches'!$A:$AD,AD$2,0)</f>
        <v>#N/A</v>
      </c>
      <c r="AE512" t="e">
        <f>VLOOKUP($Z512,'oddspedia-matches'!$A:$AD,AE$2,0)</f>
        <v>#N/A</v>
      </c>
      <c r="AF512" t="e">
        <f>VLOOKUP($Z512,'oddspedia-matches'!$A:$AD,AF$2,0)</f>
        <v>#N/A</v>
      </c>
      <c r="AG512" t="e">
        <f>VLOOKUP($Z512,'oddspedia-matches'!$A:$AD,AG$2,0)</f>
        <v>#N/A</v>
      </c>
      <c r="AH512" t="e">
        <f>VLOOKUP($Z512,'oddspedia-matches'!$A:$AD,AH$2,0)</f>
        <v>#N/A</v>
      </c>
      <c r="AI512" t="e">
        <f>VLOOKUP($Z512,'oddspedia-matches'!$A:$AD,AI$2,0)</f>
        <v>#N/A</v>
      </c>
      <c r="AJ512" t="e">
        <f>VLOOKUP($Z512,'oddspedia-matches'!$A:$AD,AJ$2,0)</f>
        <v>#N/A</v>
      </c>
      <c r="AK512" t="e">
        <f>VLOOKUP($Z512,'oddspedia-matches'!$A:$AD,AK$2,0)</f>
        <v>#N/A</v>
      </c>
      <c r="AL512" t="e">
        <f>VLOOKUP($Z512,'oddspedia-matches'!$A:$AD,AL$2,0)</f>
        <v>#N/A</v>
      </c>
      <c r="AM512" t="e">
        <f>VLOOKUP($Z512,'oddspedia-matches'!$A:$AD,AM$2,0)</f>
        <v>#N/A</v>
      </c>
      <c r="AN512" t="e">
        <f>VLOOKUP($Z512,'oddspedia-matches'!$A:$AD,AN$2,0)</f>
        <v>#N/A</v>
      </c>
      <c r="AO512" t="e">
        <f>VLOOKUP($Z512,'oddspedia-matches'!$A:$AD,AO$2,0)</f>
        <v>#N/A</v>
      </c>
      <c r="AP512" t="e">
        <f>VLOOKUP($Z512,'oddspedia-matches'!$A:$AD,AP$2,0)</f>
        <v>#N/A</v>
      </c>
      <c r="AQ512" t="e">
        <f>VLOOKUP($Z512,'oddspedia-matches'!$A:$AD,AQ$2,0)</f>
        <v>#N/A</v>
      </c>
    </row>
    <row r="513" spans="2:43" x14ac:dyDescent="0.2">
      <c r="B513" t="s">
        <v>982</v>
      </c>
      <c r="C513" t="s">
        <v>1231</v>
      </c>
      <c r="D513" s="25">
        <v>0.58333333333333337</v>
      </c>
      <c r="E513" t="s">
        <v>1246</v>
      </c>
      <c r="F513" t="s">
        <v>1247</v>
      </c>
      <c r="H513">
        <v>0</v>
      </c>
      <c r="I513">
        <v>100</v>
      </c>
      <c r="J513">
        <v>0</v>
      </c>
      <c r="K513">
        <v>100</v>
      </c>
      <c r="L513">
        <v>100</v>
      </c>
      <c r="M513">
        <v>0</v>
      </c>
      <c r="N513">
        <v>0</v>
      </c>
      <c r="O513">
        <v>100</v>
      </c>
      <c r="P513">
        <v>0</v>
      </c>
      <c r="Q513">
        <v>0</v>
      </c>
      <c r="R513">
        <v>0</v>
      </c>
      <c r="S513">
        <v>0</v>
      </c>
      <c r="T513">
        <v>100</v>
      </c>
      <c r="U513">
        <v>100</v>
      </c>
      <c r="V513">
        <v>0</v>
      </c>
      <c r="W513">
        <v>100</v>
      </c>
      <c r="X513" t="str">
        <f>VLOOKUP(E513,'Transform table'!A:B,2,0)</f>
        <v>Rangers</v>
      </c>
      <c r="Y513" t="e">
        <f>VLOOKUP(F513,'Transform table'!A:B,2,0)</f>
        <v>#N/A</v>
      </c>
      <c r="Z513" t="e">
        <f t="shared" si="7"/>
        <v>#N/A</v>
      </c>
      <c r="AA513" t="e">
        <f>VLOOKUP($Z513,'oddspedia-matches'!$A:$AD,AA$2,0)</f>
        <v>#N/A</v>
      </c>
      <c r="AB513" t="e">
        <f>VLOOKUP($Z513,'oddspedia-matches'!$A:$AD,AB$2,0)</f>
        <v>#N/A</v>
      </c>
      <c r="AC513" t="e">
        <f>VLOOKUP($Z513,'oddspedia-matches'!$A:$AD,AC$2,0)</f>
        <v>#N/A</v>
      </c>
      <c r="AD513" t="e">
        <f>VLOOKUP($Z513,'oddspedia-matches'!$A:$AD,AD$2,0)</f>
        <v>#N/A</v>
      </c>
      <c r="AE513" t="e">
        <f>VLOOKUP($Z513,'oddspedia-matches'!$A:$AD,AE$2,0)</f>
        <v>#N/A</v>
      </c>
      <c r="AF513" t="e">
        <f>VLOOKUP($Z513,'oddspedia-matches'!$A:$AD,AF$2,0)</f>
        <v>#N/A</v>
      </c>
      <c r="AG513" t="e">
        <f>VLOOKUP($Z513,'oddspedia-matches'!$A:$AD,AG$2,0)</f>
        <v>#N/A</v>
      </c>
      <c r="AH513" t="e">
        <f>VLOOKUP($Z513,'oddspedia-matches'!$A:$AD,AH$2,0)</f>
        <v>#N/A</v>
      </c>
      <c r="AI513" t="e">
        <f>VLOOKUP($Z513,'oddspedia-matches'!$A:$AD,AI$2,0)</f>
        <v>#N/A</v>
      </c>
      <c r="AJ513" t="e">
        <f>VLOOKUP($Z513,'oddspedia-matches'!$A:$AD,AJ$2,0)</f>
        <v>#N/A</v>
      </c>
      <c r="AK513" t="e">
        <f>VLOOKUP($Z513,'oddspedia-matches'!$A:$AD,AK$2,0)</f>
        <v>#N/A</v>
      </c>
      <c r="AL513" t="e">
        <f>VLOOKUP($Z513,'oddspedia-matches'!$A:$AD,AL$2,0)</f>
        <v>#N/A</v>
      </c>
      <c r="AM513" t="e">
        <f>VLOOKUP($Z513,'oddspedia-matches'!$A:$AD,AM$2,0)</f>
        <v>#N/A</v>
      </c>
      <c r="AN513" t="e">
        <f>VLOOKUP($Z513,'oddspedia-matches'!$A:$AD,AN$2,0)</f>
        <v>#N/A</v>
      </c>
      <c r="AO513" t="e">
        <f>VLOOKUP($Z513,'oddspedia-matches'!$A:$AD,AO$2,0)</f>
        <v>#N/A</v>
      </c>
      <c r="AP513" t="e">
        <f>VLOOKUP($Z513,'oddspedia-matches'!$A:$AD,AP$2,0)</f>
        <v>#N/A</v>
      </c>
      <c r="AQ513" t="e">
        <f>VLOOKUP($Z513,'oddspedia-matches'!$A:$AD,AQ$2,0)</f>
        <v>#N/A</v>
      </c>
    </row>
    <row r="514" spans="2:43" x14ac:dyDescent="0.2">
      <c r="B514" t="s">
        <v>465</v>
      </c>
      <c r="C514" t="s">
        <v>1231</v>
      </c>
      <c r="D514" s="25">
        <v>0.58333333333333337</v>
      </c>
      <c r="E514" t="s">
        <v>1248</v>
      </c>
      <c r="F514" t="s">
        <v>1249</v>
      </c>
      <c r="H514">
        <v>45.8</v>
      </c>
      <c r="I514">
        <v>27.9</v>
      </c>
      <c r="J514">
        <v>26.3</v>
      </c>
      <c r="K514">
        <v>73.7</v>
      </c>
      <c r="L514">
        <v>54.2</v>
      </c>
      <c r="M514">
        <v>72.099999999999994</v>
      </c>
      <c r="N514">
        <v>34.200000000000003</v>
      </c>
      <c r="O514">
        <v>41.8</v>
      </c>
      <c r="P514">
        <v>24</v>
      </c>
      <c r="Q514">
        <v>71.900000000000006</v>
      </c>
      <c r="R514">
        <v>75.8</v>
      </c>
      <c r="S514">
        <v>49.9</v>
      </c>
      <c r="T514">
        <v>50.1</v>
      </c>
      <c r="U514">
        <v>56</v>
      </c>
      <c r="V514">
        <v>54.4</v>
      </c>
      <c r="W514">
        <v>45.6</v>
      </c>
      <c r="X514" t="str">
        <f>VLOOKUP(E514,'Transform table'!A:B,2,0)</f>
        <v>Rotherham United</v>
      </c>
      <c r="Y514" t="e">
        <f>VLOOKUP(F514,'Transform table'!A:B,2,0)</f>
        <v>#N/A</v>
      </c>
      <c r="Z514" t="e">
        <f t="shared" si="7"/>
        <v>#N/A</v>
      </c>
      <c r="AA514" t="e">
        <f>VLOOKUP($Z514,'oddspedia-matches'!$A:$AD,AA$2,0)</f>
        <v>#N/A</v>
      </c>
      <c r="AB514" t="e">
        <f>VLOOKUP($Z514,'oddspedia-matches'!$A:$AD,AB$2,0)</f>
        <v>#N/A</v>
      </c>
      <c r="AC514" t="e">
        <f>VLOOKUP($Z514,'oddspedia-matches'!$A:$AD,AC$2,0)</f>
        <v>#N/A</v>
      </c>
      <c r="AD514" t="e">
        <f>VLOOKUP($Z514,'oddspedia-matches'!$A:$AD,AD$2,0)</f>
        <v>#N/A</v>
      </c>
      <c r="AE514" t="e">
        <f>VLOOKUP($Z514,'oddspedia-matches'!$A:$AD,AE$2,0)</f>
        <v>#N/A</v>
      </c>
      <c r="AF514" t="e">
        <f>VLOOKUP($Z514,'oddspedia-matches'!$A:$AD,AF$2,0)</f>
        <v>#N/A</v>
      </c>
      <c r="AG514" t="e">
        <f>VLOOKUP($Z514,'oddspedia-matches'!$A:$AD,AG$2,0)</f>
        <v>#N/A</v>
      </c>
      <c r="AH514" t="e">
        <f>VLOOKUP($Z514,'oddspedia-matches'!$A:$AD,AH$2,0)</f>
        <v>#N/A</v>
      </c>
      <c r="AI514" t="e">
        <f>VLOOKUP($Z514,'oddspedia-matches'!$A:$AD,AI$2,0)</f>
        <v>#N/A</v>
      </c>
      <c r="AJ514" t="e">
        <f>VLOOKUP($Z514,'oddspedia-matches'!$A:$AD,AJ$2,0)</f>
        <v>#N/A</v>
      </c>
      <c r="AK514" t="e">
        <f>VLOOKUP($Z514,'oddspedia-matches'!$A:$AD,AK$2,0)</f>
        <v>#N/A</v>
      </c>
      <c r="AL514" t="e">
        <f>VLOOKUP($Z514,'oddspedia-matches'!$A:$AD,AL$2,0)</f>
        <v>#N/A</v>
      </c>
      <c r="AM514" t="e">
        <f>VLOOKUP($Z514,'oddspedia-matches'!$A:$AD,AM$2,0)</f>
        <v>#N/A</v>
      </c>
      <c r="AN514" t="e">
        <f>VLOOKUP($Z514,'oddspedia-matches'!$A:$AD,AN$2,0)</f>
        <v>#N/A</v>
      </c>
      <c r="AO514" t="e">
        <f>VLOOKUP($Z514,'oddspedia-matches'!$A:$AD,AO$2,0)</f>
        <v>#N/A</v>
      </c>
      <c r="AP514" t="e">
        <f>VLOOKUP($Z514,'oddspedia-matches'!$A:$AD,AP$2,0)</f>
        <v>#N/A</v>
      </c>
      <c r="AQ514" t="e">
        <f>VLOOKUP($Z514,'oddspedia-matches'!$A:$AD,AQ$2,0)</f>
        <v>#N/A</v>
      </c>
    </row>
    <row r="515" spans="2:43" x14ac:dyDescent="0.2">
      <c r="B515" t="s">
        <v>638</v>
      </c>
      <c r="C515" t="s">
        <v>1231</v>
      </c>
      <c r="D515" s="25">
        <v>0.58333333333333337</v>
      </c>
      <c r="E515" t="s">
        <v>1250</v>
      </c>
      <c r="F515" t="s">
        <v>1251</v>
      </c>
      <c r="H515">
        <v>56.3</v>
      </c>
      <c r="I515">
        <v>24.2</v>
      </c>
      <c r="J515">
        <v>19.5</v>
      </c>
      <c r="K515">
        <v>80.5</v>
      </c>
      <c r="L515">
        <v>43.7</v>
      </c>
      <c r="M515">
        <v>75.8</v>
      </c>
      <c r="N515">
        <v>37.299999999999997</v>
      </c>
      <c r="O515">
        <v>38.5</v>
      </c>
      <c r="P515">
        <v>24.2</v>
      </c>
      <c r="Q515">
        <v>76.8</v>
      </c>
      <c r="R515">
        <v>84.6</v>
      </c>
      <c r="S515">
        <v>63.3</v>
      </c>
      <c r="T515">
        <v>36.700000000000003</v>
      </c>
      <c r="U515">
        <v>43.7</v>
      </c>
      <c r="V515">
        <v>61.7</v>
      </c>
      <c r="W515">
        <v>38.299999999999997</v>
      </c>
      <c r="X515" t="str">
        <f>VLOOKUP(E515,'Transform table'!A:B,2,0)</f>
        <v>Stamford</v>
      </c>
      <c r="Y515" t="e">
        <f>VLOOKUP(F515,'Transform table'!A:B,2,0)</f>
        <v>#N/A</v>
      </c>
      <c r="Z515" t="e">
        <f t="shared" si="7"/>
        <v>#N/A</v>
      </c>
      <c r="AA515" t="e">
        <f>VLOOKUP($Z515,'oddspedia-matches'!$A:$AD,AA$2,0)</f>
        <v>#N/A</v>
      </c>
      <c r="AB515" t="e">
        <f>VLOOKUP($Z515,'oddspedia-matches'!$A:$AD,AB$2,0)</f>
        <v>#N/A</v>
      </c>
      <c r="AC515" t="e">
        <f>VLOOKUP($Z515,'oddspedia-matches'!$A:$AD,AC$2,0)</f>
        <v>#N/A</v>
      </c>
      <c r="AD515" t="e">
        <f>VLOOKUP($Z515,'oddspedia-matches'!$A:$AD,AD$2,0)</f>
        <v>#N/A</v>
      </c>
      <c r="AE515" t="e">
        <f>VLOOKUP($Z515,'oddspedia-matches'!$A:$AD,AE$2,0)</f>
        <v>#N/A</v>
      </c>
      <c r="AF515" t="e">
        <f>VLOOKUP($Z515,'oddspedia-matches'!$A:$AD,AF$2,0)</f>
        <v>#N/A</v>
      </c>
      <c r="AG515" t="e">
        <f>VLOOKUP($Z515,'oddspedia-matches'!$A:$AD,AG$2,0)</f>
        <v>#N/A</v>
      </c>
      <c r="AH515" t="e">
        <f>VLOOKUP($Z515,'oddspedia-matches'!$A:$AD,AH$2,0)</f>
        <v>#N/A</v>
      </c>
      <c r="AI515" t="e">
        <f>VLOOKUP($Z515,'oddspedia-matches'!$A:$AD,AI$2,0)</f>
        <v>#N/A</v>
      </c>
      <c r="AJ515" t="e">
        <f>VLOOKUP($Z515,'oddspedia-matches'!$A:$AD,AJ$2,0)</f>
        <v>#N/A</v>
      </c>
      <c r="AK515" t="e">
        <f>VLOOKUP($Z515,'oddspedia-matches'!$A:$AD,AK$2,0)</f>
        <v>#N/A</v>
      </c>
      <c r="AL515" t="e">
        <f>VLOOKUP($Z515,'oddspedia-matches'!$A:$AD,AL$2,0)</f>
        <v>#N/A</v>
      </c>
      <c r="AM515" t="e">
        <f>VLOOKUP($Z515,'oddspedia-matches'!$A:$AD,AM$2,0)</f>
        <v>#N/A</v>
      </c>
      <c r="AN515" t="e">
        <f>VLOOKUP($Z515,'oddspedia-matches'!$A:$AD,AN$2,0)</f>
        <v>#N/A</v>
      </c>
      <c r="AO515" t="e">
        <f>VLOOKUP($Z515,'oddspedia-matches'!$A:$AD,AO$2,0)</f>
        <v>#N/A</v>
      </c>
      <c r="AP515" t="e">
        <f>VLOOKUP($Z515,'oddspedia-matches'!$A:$AD,AP$2,0)</f>
        <v>#N/A</v>
      </c>
      <c r="AQ515" t="e">
        <f>VLOOKUP($Z515,'oddspedia-matches'!$A:$AD,AQ$2,0)</f>
        <v>#N/A</v>
      </c>
    </row>
    <row r="516" spans="2:43" x14ac:dyDescent="0.2">
      <c r="B516" t="s">
        <v>1015</v>
      </c>
      <c r="C516" t="s">
        <v>1231</v>
      </c>
      <c r="D516" s="25">
        <v>0.58333333333333337</v>
      </c>
      <c r="E516" t="s">
        <v>1252</v>
      </c>
      <c r="F516" t="s">
        <v>1253</v>
      </c>
      <c r="H516">
        <v>0</v>
      </c>
      <c r="I516">
        <v>100</v>
      </c>
      <c r="J516">
        <v>0</v>
      </c>
      <c r="K516">
        <v>100</v>
      </c>
      <c r="L516">
        <v>100</v>
      </c>
      <c r="M516">
        <v>0</v>
      </c>
      <c r="N516">
        <v>0</v>
      </c>
      <c r="O516">
        <v>100</v>
      </c>
      <c r="P516">
        <v>0</v>
      </c>
      <c r="Q516">
        <v>0</v>
      </c>
      <c r="R516">
        <v>0</v>
      </c>
      <c r="S516">
        <v>0</v>
      </c>
      <c r="T516">
        <v>100</v>
      </c>
      <c r="U516">
        <v>100</v>
      </c>
      <c r="V516">
        <v>0</v>
      </c>
      <c r="W516">
        <v>100</v>
      </c>
      <c r="X516" t="str">
        <f>VLOOKUP(E516,'Transform table'!A:B,2,0)</f>
        <v>Zlatibor Cajetina</v>
      </c>
      <c r="Y516" t="e">
        <f>VLOOKUP(F516,'Transform table'!A:B,2,0)</f>
        <v>#N/A</v>
      </c>
      <c r="Z516" t="e">
        <f t="shared" ref="Z516:Z559" si="8">C516&amp;X516&amp;Y516</f>
        <v>#N/A</v>
      </c>
      <c r="AA516" t="e">
        <f>VLOOKUP($Z516,'oddspedia-matches'!$A:$AD,AA$2,0)</f>
        <v>#N/A</v>
      </c>
      <c r="AB516" t="e">
        <f>VLOOKUP($Z516,'oddspedia-matches'!$A:$AD,AB$2,0)</f>
        <v>#N/A</v>
      </c>
      <c r="AC516" t="e">
        <f>VLOOKUP($Z516,'oddspedia-matches'!$A:$AD,AC$2,0)</f>
        <v>#N/A</v>
      </c>
      <c r="AD516" t="e">
        <f>VLOOKUP($Z516,'oddspedia-matches'!$A:$AD,AD$2,0)</f>
        <v>#N/A</v>
      </c>
      <c r="AE516" t="e">
        <f>VLOOKUP($Z516,'oddspedia-matches'!$A:$AD,AE$2,0)</f>
        <v>#N/A</v>
      </c>
      <c r="AF516" t="e">
        <f>VLOOKUP($Z516,'oddspedia-matches'!$A:$AD,AF$2,0)</f>
        <v>#N/A</v>
      </c>
      <c r="AG516" t="e">
        <f>VLOOKUP($Z516,'oddspedia-matches'!$A:$AD,AG$2,0)</f>
        <v>#N/A</v>
      </c>
      <c r="AH516" t="e">
        <f>VLOOKUP($Z516,'oddspedia-matches'!$A:$AD,AH$2,0)</f>
        <v>#N/A</v>
      </c>
      <c r="AI516" t="e">
        <f>VLOOKUP($Z516,'oddspedia-matches'!$A:$AD,AI$2,0)</f>
        <v>#N/A</v>
      </c>
      <c r="AJ516" t="e">
        <f>VLOOKUP($Z516,'oddspedia-matches'!$A:$AD,AJ$2,0)</f>
        <v>#N/A</v>
      </c>
      <c r="AK516" t="e">
        <f>VLOOKUP($Z516,'oddspedia-matches'!$A:$AD,AK$2,0)</f>
        <v>#N/A</v>
      </c>
      <c r="AL516" t="e">
        <f>VLOOKUP($Z516,'oddspedia-matches'!$A:$AD,AL$2,0)</f>
        <v>#N/A</v>
      </c>
      <c r="AM516" t="e">
        <f>VLOOKUP($Z516,'oddspedia-matches'!$A:$AD,AM$2,0)</f>
        <v>#N/A</v>
      </c>
      <c r="AN516" t="e">
        <f>VLOOKUP($Z516,'oddspedia-matches'!$A:$AD,AN$2,0)</f>
        <v>#N/A</v>
      </c>
      <c r="AO516" t="e">
        <f>VLOOKUP($Z516,'oddspedia-matches'!$A:$AD,AO$2,0)</f>
        <v>#N/A</v>
      </c>
      <c r="AP516" t="e">
        <f>VLOOKUP($Z516,'oddspedia-matches'!$A:$AD,AP$2,0)</f>
        <v>#N/A</v>
      </c>
      <c r="AQ516" t="e">
        <f>VLOOKUP($Z516,'oddspedia-matches'!$A:$AD,AQ$2,0)</f>
        <v>#N/A</v>
      </c>
    </row>
    <row r="517" spans="2:43" x14ac:dyDescent="0.2">
      <c r="B517" t="s">
        <v>1012</v>
      </c>
      <c r="C517" t="s">
        <v>1231</v>
      </c>
      <c r="D517" s="25">
        <v>0.58333333333333337</v>
      </c>
      <c r="E517" t="s">
        <v>1254</v>
      </c>
      <c r="F517" t="s">
        <v>1255</v>
      </c>
      <c r="H517">
        <v>0</v>
      </c>
      <c r="I517">
        <v>100</v>
      </c>
      <c r="J517">
        <v>0</v>
      </c>
      <c r="K517">
        <v>100</v>
      </c>
      <c r="L517">
        <v>100</v>
      </c>
      <c r="M517">
        <v>0</v>
      </c>
      <c r="N517">
        <v>0</v>
      </c>
      <c r="O517">
        <v>100</v>
      </c>
      <c r="P517">
        <v>0</v>
      </c>
      <c r="Q517">
        <v>0</v>
      </c>
      <c r="R517">
        <v>0</v>
      </c>
      <c r="S517">
        <v>0</v>
      </c>
      <c r="T517">
        <v>100</v>
      </c>
      <c r="U517">
        <v>100</v>
      </c>
      <c r="V517">
        <v>0</v>
      </c>
      <c r="W517">
        <v>100</v>
      </c>
      <c r="X517">
        <f>VLOOKUP(E517,'Transform table'!A:B,2,0)</f>
        <v>0</v>
      </c>
      <c r="Y517" t="e">
        <f>VLOOKUP(F517,'Transform table'!A:B,2,0)</f>
        <v>#N/A</v>
      </c>
      <c r="Z517" t="e">
        <f t="shared" si="8"/>
        <v>#N/A</v>
      </c>
      <c r="AA517" t="e">
        <f>VLOOKUP($Z517,'oddspedia-matches'!$A:$AD,AA$2,0)</f>
        <v>#N/A</v>
      </c>
      <c r="AB517" t="e">
        <f>VLOOKUP($Z517,'oddspedia-matches'!$A:$AD,AB$2,0)</f>
        <v>#N/A</v>
      </c>
      <c r="AC517" t="e">
        <f>VLOOKUP($Z517,'oddspedia-matches'!$A:$AD,AC$2,0)</f>
        <v>#N/A</v>
      </c>
      <c r="AD517" t="e">
        <f>VLOOKUP($Z517,'oddspedia-matches'!$A:$AD,AD$2,0)</f>
        <v>#N/A</v>
      </c>
      <c r="AE517" t="e">
        <f>VLOOKUP($Z517,'oddspedia-matches'!$A:$AD,AE$2,0)</f>
        <v>#N/A</v>
      </c>
      <c r="AF517" t="e">
        <f>VLOOKUP($Z517,'oddspedia-matches'!$A:$AD,AF$2,0)</f>
        <v>#N/A</v>
      </c>
      <c r="AG517" t="e">
        <f>VLOOKUP($Z517,'oddspedia-matches'!$A:$AD,AG$2,0)</f>
        <v>#N/A</v>
      </c>
      <c r="AH517" t="e">
        <f>VLOOKUP($Z517,'oddspedia-matches'!$A:$AD,AH$2,0)</f>
        <v>#N/A</v>
      </c>
      <c r="AI517" t="e">
        <f>VLOOKUP($Z517,'oddspedia-matches'!$A:$AD,AI$2,0)</f>
        <v>#N/A</v>
      </c>
      <c r="AJ517" t="e">
        <f>VLOOKUP($Z517,'oddspedia-matches'!$A:$AD,AJ$2,0)</f>
        <v>#N/A</v>
      </c>
      <c r="AK517" t="e">
        <f>VLOOKUP($Z517,'oddspedia-matches'!$A:$AD,AK$2,0)</f>
        <v>#N/A</v>
      </c>
      <c r="AL517" t="e">
        <f>VLOOKUP($Z517,'oddspedia-matches'!$A:$AD,AL$2,0)</f>
        <v>#N/A</v>
      </c>
      <c r="AM517" t="e">
        <f>VLOOKUP($Z517,'oddspedia-matches'!$A:$AD,AM$2,0)</f>
        <v>#N/A</v>
      </c>
      <c r="AN517" t="e">
        <f>VLOOKUP($Z517,'oddspedia-matches'!$A:$AD,AN$2,0)</f>
        <v>#N/A</v>
      </c>
      <c r="AO517" t="e">
        <f>VLOOKUP($Z517,'oddspedia-matches'!$A:$AD,AO$2,0)</f>
        <v>#N/A</v>
      </c>
      <c r="AP517" t="e">
        <f>VLOOKUP($Z517,'oddspedia-matches'!$A:$AD,AP$2,0)</f>
        <v>#N/A</v>
      </c>
      <c r="AQ517" t="e">
        <f>VLOOKUP($Z517,'oddspedia-matches'!$A:$AD,AQ$2,0)</f>
        <v>#N/A</v>
      </c>
    </row>
    <row r="518" spans="2:43" x14ac:dyDescent="0.2">
      <c r="B518" t="s">
        <v>947</v>
      </c>
      <c r="C518" t="s">
        <v>1231</v>
      </c>
      <c r="D518" s="25">
        <v>0.58333333333333337</v>
      </c>
      <c r="E518" t="s">
        <v>1256</v>
      </c>
      <c r="F518" t="s">
        <v>271</v>
      </c>
      <c r="H518">
        <v>33</v>
      </c>
      <c r="I518">
        <v>26.3</v>
      </c>
      <c r="J518">
        <v>40.6</v>
      </c>
      <c r="K518">
        <v>59.4</v>
      </c>
      <c r="L518">
        <v>67</v>
      </c>
      <c r="M518">
        <v>73.7</v>
      </c>
      <c r="N518">
        <v>21.9</v>
      </c>
      <c r="O518">
        <v>33.799999999999997</v>
      </c>
      <c r="P518">
        <v>44.3</v>
      </c>
      <c r="Q518">
        <v>83.6</v>
      </c>
      <c r="R518">
        <v>85.7</v>
      </c>
      <c r="S518">
        <v>64.900000000000006</v>
      </c>
      <c r="T518">
        <v>35.1</v>
      </c>
      <c r="U518">
        <v>40.6</v>
      </c>
      <c r="V518">
        <v>67.099999999999994</v>
      </c>
      <c r="W518">
        <v>32.9</v>
      </c>
      <c r="X518" t="str">
        <f>VLOOKUP(E518,'Transform table'!A:B,2,0)</f>
        <v>KAPYLAN PALLO</v>
      </c>
      <c r="Y518" t="e">
        <f>VLOOKUP(F518,'Transform table'!A:B,2,0)</f>
        <v>#N/A</v>
      </c>
      <c r="Z518" t="e">
        <f t="shared" si="8"/>
        <v>#N/A</v>
      </c>
      <c r="AA518" t="e">
        <f>VLOOKUP($Z518,'oddspedia-matches'!$A:$AD,AA$2,0)</f>
        <v>#N/A</v>
      </c>
      <c r="AB518" t="e">
        <f>VLOOKUP($Z518,'oddspedia-matches'!$A:$AD,AB$2,0)</f>
        <v>#N/A</v>
      </c>
      <c r="AC518" t="e">
        <f>VLOOKUP($Z518,'oddspedia-matches'!$A:$AD,AC$2,0)</f>
        <v>#N/A</v>
      </c>
      <c r="AD518" t="e">
        <f>VLOOKUP($Z518,'oddspedia-matches'!$A:$AD,AD$2,0)</f>
        <v>#N/A</v>
      </c>
      <c r="AE518" t="e">
        <f>VLOOKUP($Z518,'oddspedia-matches'!$A:$AD,AE$2,0)</f>
        <v>#N/A</v>
      </c>
      <c r="AF518" t="e">
        <f>VLOOKUP($Z518,'oddspedia-matches'!$A:$AD,AF$2,0)</f>
        <v>#N/A</v>
      </c>
      <c r="AG518" t="e">
        <f>VLOOKUP($Z518,'oddspedia-matches'!$A:$AD,AG$2,0)</f>
        <v>#N/A</v>
      </c>
      <c r="AH518" t="e">
        <f>VLOOKUP($Z518,'oddspedia-matches'!$A:$AD,AH$2,0)</f>
        <v>#N/A</v>
      </c>
      <c r="AI518" t="e">
        <f>VLOOKUP($Z518,'oddspedia-matches'!$A:$AD,AI$2,0)</f>
        <v>#N/A</v>
      </c>
      <c r="AJ518" t="e">
        <f>VLOOKUP($Z518,'oddspedia-matches'!$A:$AD,AJ$2,0)</f>
        <v>#N/A</v>
      </c>
      <c r="AK518" t="e">
        <f>VLOOKUP($Z518,'oddspedia-matches'!$A:$AD,AK$2,0)</f>
        <v>#N/A</v>
      </c>
      <c r="AL518" t="e">
        <f>VLOOKUP($Z518,'oddspedia-matches'!$A:$AD,AL$2,0)</f>
        <v>#N/A</v>
      </c>
      <c r="AM518" t="e">
        <f>VLOOKUP($Z518,'oddspedia-matches'!$A:$AD,AM$2,0)</f>
        <v>#N/A</v>
      </c>
      <c r="AN518" t="e">
        <f>VLOOKUP($Z518,'oddspedia-matches'!$A:$AD,AN$2,0)</f>
        <v>#N/A</v>
      </c>
      <c r="AO518" t="e">
        <f>VLOOKUP($Z518,'oddspedia-matches'!$A:$AD,AO$2,0)</f>
        <v>#N/A</v>
      </c>
      <c r="AP518" t="e">
        <f>VLOOKUP($Z518,'oddspedia-matches'!$A:$AD,AP$2,0)</f>
        <v>#N/A</v>
      </c>
      <c r="AQ518" t="e">
        <f>VLOOKUP($Z518,'oddspedia-matches'!$A:$AD,AQ$2,0)</f>
        <v>#N/A</v>
      </c>
    </row>
    <row r="519" spans="2:43" x14ac:dyDescent="0.2">
      <c r="B519" t="s">
        <v>476</v>
      </c>
      <c r="C519" t="s">
        <v>1231</v>
      </c>
      <c r="D519" s="25">
        <v>0.58333333333333337</v>
      </c>
      <c r="E519" t="s">
        <v>1257</v>
      </c>
      <c r="F519" t="s">
        <v>1258</v>
      </c>
      <c r="H519">
        <v>48.7</v>
      </c>
      <c r="I519">
        <v>25.2</v>
      </c>
      <c r="J519">
        <v>26.1</v>
      </c>
      <c r="K519">
        <v>73.900000000000006</v>
      </c>
      <c r="L519">
        <v>51.3</v>
      </c>
      <c r="M519">
        <v>74.8</v>
      </c>
      <c r="N519">
        <v>41.4</v>
      </c>
      <c r="O519">
        <v>36</v>
      </c>
      <c r="P519">
        <v>22.6</v>
      </c>
      <c r="Q519">
        <v>80</v>
      </c>
      <c r="R519">
        <v>86.3</v>
      </c>
      <c r="S519">
        <v>66.099999999999994</v>
      </c>
      <c r="T519">
        <v>33.9</v>
      </c>
      <c r="U519">
        <v>39.799999999999997</v>
      </c>
      <c r="V519">
        <v>66.7</v>
      </c>
      <c r="W519">
        <v>33.299999999999997</v>
      </c>
      <c r="X519" t="str">
        <f>VLOOKUP(E519,'Transform table'!A:B,2,0)</f>
        <v>BK Hacken</v>
      </c>
      <c r="Y519" t="e">
        <f>VLOOKUP(F519,'Transform table'!A:B,2,0)</f>
        <v>#N/A</v>
      </c>
      <c r="Z519" t="e">
        <f t="shared" si="8"/>
        <v>#N/A</v>
      </c>
      <c r="AA519" t="e">
        <f>VLOOKUP($Z519,'oddspedia-matches'!$A:$AD,AA$2,0)</f>
        <v>#N/A</v>
      </c>
      <c r="AB519" t="e">
        <f>VLOOKUP($Z519,'oddspedia-matches'!$A:$AD,AB$2,0)</f>
        <v>#N/A</v>
      </c>
      <c r="AC519" t="e">
        <f>VLOOKUP($Z519,'oddspedia-matches'!$A:$AD,AC$2,0)</f>
        <v>#N/A</v>
      </c>
      <c r="AD519" t="e">
        <f>VLOOKUP($Z519,'oddspedia-matches'!$A:$AD,AD$2,0)</f>
        <v>#N/A</v>
      </c>
      <c r="AE519" t="e">
        <f>VLOOKUP($Z519,'oddspedia-matches'!$A:$AD,AE$2,0)</f>
        <v>#N/A</v>
      </c>
      <c r="AF519" t="e">
        <f>VLOOKUP($Z519,'oddspedia-matches'!$A:$AD,AF$2,0)</f>
        <v>#N/A</v>
      </c>
      <c r="AG519" t="e">
        <f>VLOOKUP($Z519,'oddspedia-matches'!$A:$AD,AG$2,0)</f>
        <v>#N/A</v>
      </c>
      <c r="AH519" t="e">
        <f>VLOOKUP($Z519,'oddspedia-matches'!$A:$AD,AH$2,0)</f>
        <v>#N/A</v>
      </c>
      <c r="AI519" t="e">
        <f>VLOOKUP($Z519,'oddspedia-matches'!$A:$AD,AI$2,0)</f>
        <v>#N/A</v>
      </c>
      <c r="AJ519" t="e">
        <f>VLOOKUP($Z519,'oddspedia-matches'!$A:$AD,AJ$2,0)</f>
        <v>#N/A</v>
      </c>
      <c r="AK519" t="e">
        <f>VLOOKUP($Z519,'oddspedia-matches'!$A:$AD,AK$2,0)</f>
        <v>#N/A</v>
      </c>
      <c r="AL519" t="e">
        <f>VLOOKUP($Z519,'oddspedia-matches'!$A:$AD,AL$2,0)</f>
        <v>#N/A</v>
      </c>
      <c r="AM519" t="e">
        <f>VLOOKUP($Z519,'oddspedia-matches'!$A:$AD,AM$2,0)</f>
        <v>#N/A</v>
      </c>
      <c r="AN519" t="e">
        <f>VLOOKUP($Z519,'oddspedia-matches'!$A:$AD,AN$2,0)</f>
        <v>#N/A</v>
      </c>
      <c r="AO519" t="e">
        <f>VLOOKUP($Z519,'oddspedia-matches'!$A:$AD,AO$2,0)</f>
        <v>#N/A</v>
      </c>
      <c r="AP519" t="e">
        <f>VLOOKUP($Z519,'oddspedia-matches'!$A:$AD,AP$2,0)</f>
        <v>#N/A</v>
      </c>
      <c r="AQ519" t="e">
        <f>VLOOKUP($Z519,'oddspedia-matches'!$A:$AD,AQ$2,0)</f>
        <v>#N/A</v>
      </c>
    </row>
    <row r="520" spans="2:43" x14ac:dyDescent="0.2">
      <c r="B520" t="s">
        <v>451</v>
      </c>
      <c r="C520" t="s">
        <v>1231</v>
      </c>
      <c r="D520" s="25">
        <v>0.58333333333333337</v>
      </c>
      <c r="E520" t="s">
        <v>1259</v>
      </c>
      <c r="F520" t="s">
        <v>1260</v>
      </c>
      <c r="H520">
        <v>36.1</v>
      </c>
      <c r="I520">
        <v>27.5</v>
      </c>
      <c r="J520">
        <v>36.4</v>
      </c>
      <c r="K520">
        <v>63.6</v>
      </c>
      <c r="L520">
        <v>63.9</v>
      </c>
      <c r="M520">
        <v>72.5</v>
      </c>
      <c r="N520">
        <v>23.8</v>
      </c>
      <c r="O520">
        <v>43.8</v>
      </c>
      <c r="P520">
        <v>32.4</v>
      </c>
      <c r="Q520">
        <v>69.099999999999994</v>
      </c>
      <c r="R520">
        <v>81</v>
      </c>
      <c r="S520">
        <v>57.3</v>
      </c>
      <c r="T520">
        <v>42.7</v>
      </c>
      <c r="U520">
        <v>48.3</v>
      </c>
      <c r="V520">
        <v>61.4</v>
      </c>
      <c r="W520">
        <v>38.6</v>
      </c>
      <c r="X520" t="str">
        <f>VLOOKUP(E520,'Transform table'!A:B,2,0)</f>
        <v>Oldham</v>
      </c>
      <c r="Y520" t="e">
        <f>VLOOKUP(F520,'Transform table'!A:B,2,0)</f>
        <v>#N/A</v>
      </c>
      <c r="Z520" t="e">
        <f t="shared" si="8"/>
        <v>#N/A</v>
      </c>
      <c r="AA520" t="e">
        <f>VLOOKUP($Z520,'oddspedia-matches'!$A:$AD,AA$2,0)</f>
        <v>#N/A</v>
      </c>
      <c r="AB520" t="e">
        <f>VLOOKUP($Z520,'oddspedia-matches'!$A:$AD,AB$2,0)</f>
        <v>#N/A</v>
      </c>
      <c r="AC520" t="e">
        <f>VLOOKUP($Z520,'oddspedia-matches'!$A:$AD,AC$2,0)</f>
        <v>#N/A</v>
      </c>
      <c r="AD520" t="e">
        <f>VLOOKUP($Z520,'oddspedia-matches'!$A:$AD,AD$2,0)</f>
        <v>#N/A</v>
      </c>
      <c r="AE520" t="e">
        <f>VLOOKUP($Z520,'oddspedia-matches'!$A:$AD,AE$2,0)</f>
        <v>#N/A</v>
      </c>
      <c r="AF520" t="e">
        <f>VLOOKUP($Z520,'oddspedia-matches'!$A:$AD,AF$2,0)</f>
        <v>#N/A</v>
      </c>
      <c r="AG520" t="e">
        <f>VLOOKUP($Z520,'oddspedia-matches'!$A:$AD,AG$2,0)</f>
        <v>#N/A</v>
      </c>
      <c r="AH520" t="e">
        <f>VLOOKUP($Z520,'oddspedia-matches'!$A:$AD,AH$2,0)</f>
        <v>#N/A</v>
      </c>
      <c r="AI520" t="e">
        <f>VLOOKUP($Z520,'oddspedia-matches'!$A:$AD,AI$2,0)</f>
        <v>#N/A</v>
      </c>
      <c r="AJ520" t="e">
        <f>VLOOKUP($Z520,'oddspedia-matches'!$A:$AD,AJ$2,0)</f>
        <v>#N/A</v>
      </c>
      <c r="AK520" t="e">
        <f>VLOOKUP($Z520,'oddspedia-matches'!$A:$AD,AK$2,0)</f>
        <v>#N/A</v>
      </c>
      <c r="AL520" t="e">
        <f>VLOOKUP($Z520,'oddspedia-matches'!$A:$AD,AL$2,0)</f>
        <v>#N/A</v>
      </c>
      <c r="AM520" t="e">
        <f>VLOOKUP($Z520,'oddspedia-matches'!$A:$AD,AM$2,0)</f>
        <v>#N/A</v>
      </c>
      <c r="AN520" t="e">
        <f>VLOOKUP($Z520,'oddspedia-matches'!$A:$AD,AN$2,0)</f>
        <v>#N/A</v>
      </c>
      <c r="AO520" t="e">
        <f>VLOOKUP($Z520,'oddspedia-matches'!$A:$AD,AO$2,0)</f>
        <v>#N/A</v>
      </c>
      <c r="AP520" t="e">
        <f>VLOOKUP($Z520,'oddspedia-matches'!$A:$AD,AP$2,0)</f>
        <v>#N/A</v>
      </c>
      <c r="AQ520" t="e">
        <f>VLOOKUP($Z520,'oddspedia-matches'!$A:$AD,AQ$2,0)</f>
        <v>#N/A</v>
      </c>
    </row>
    <row r="521" spans="2:43" x14ac:dyDescent="0.2">
      <c r="B521" t="s">
        <v>451</v>
      </c>
      <c r="C521" t="s">
        <v>1231</v>
      </c>
      <c r="D521" s="25">
        <v>0.58680555555555558</v>
      </c>
      <c r="E521" t="s">
        <v>1261</v>
      </c>
      <c r="F521" t="s">
        <v>1262</v>
      </c>
      <c r="H521">
        <v>36</v>
      </c>
      <c r="I521">
        <v>26.3</v>
      </c>
      <c r="J521">
        <v>37.6</v>
      </c>
      <c r="K521">
        <v>62.4</v>
      </c>
      <c r="L521">
        <v>64</v>
      </c>
      <c r="M521">
        <v>73.7</v>
      </c>
      <c r="N521">
        <v>30.3</v>
      </c>
      <c r="O521">
        <v>38.299999999999997</v>
      </c>
      <c r="P521">
        <v>31.4</v>
      </c>
      <c r="Q521">
        <v>78</v>
      </c>
      <c r="R521">
        <v>85.7</v>
      </c>
      <c r="S521">
        <v>65</v>
      </c>
      <c r="T521">
        <v>35</v>
      </c>
      <c r="U521">
        <v>40.5</v>
      </c>
      <c r="V521">
        <v>67.2</v>
      </c>
      <c r="W521">
        <v>32.799999999999997</v>
      </c>
      <c r="X521" t="str">
        <f>VLOOKUP(E521,'Transform table'!A:B,2,0)</f>
        <v>Oxford United</v>
      </c>
      <c r="Y521" t="e">
        <f>VLOOKUP(F521,'Transform table'!A:B,2,0)</f>
        <v>#N/A</v>
      </c>
      <c r="Z521" t="e">
        <f t="shared" si="8"/>
        <v>#N/A</v>
      </c>
      <c r="AA521" t="e">
        <f>VLOOKUP($Z521,'oddspedia-matches'!$A:$AD,AA$2,0)</f>
        <v>#N/A</v>
      </c>
      <c r="AB521" t="e">
        <f>VLOOKUP($Z521,'oddspedia-matches'!$A:$AD,AB$2,0)</f>
        <v>#N/A</v>
      </c>
      <c r="AC521" t="e">
        <f>VLOOKUP($Z521,'oddspedia-matches'!$A:$AD,AC$2,0)</f>
        <v>#N/A</v>
      </c>
      <c r="AD521" t="e">
        <f>VLOOKUP($Z521,'oddspedia-matches'!$A:$AD,AD$2,0)</f>
        <v>#N/A</v>
      </c>
      <c r="AE521" t="e">
        <f>VLOOKUP($Z521,'oddspedia-matches'!$A:$AD,AE$2,0)</f>
        <v>#N/A</v>
      </c>
      <c r="AF521" t="e">
        <f>VLOOKUP($Z521,'oddspedia-matches'!$A:$AD,AF$2,0)</f>
        <v>#N/A</v>
      </c>
      <c r="AG521" t="e">
        <f>VLOOKUP($Z521,'oddspedia-matches'!$A:$AD,AG$2,0)</f>
        <v>#N/A</v>
      </c>
      <c r="AH521" t="e">
        <f>VLOOKUP($Z521,'oddspedia-matches'!$A:$AD,AH$2,0)</f>
        <v>#N/A</v>
      </c>
      <c r="AI521" t="e">
        <f>VLOOKUP($Z521,'oddspedia-matches'!$A:$AD,AI$2,0)</f>
        <v>#N/A</v>
      </c>
      <c r="AJ521" t="e">
        <f>VLOOKUP($Z521,'oddspedia-matches'!$A:$AD,AJ$2,0)</f>
        <v>#N/A</v>
      </c>
      <c r="AK521" t="e">
        <f>VLOOKUP($Z521,'oddspedia-matches'!$A:$AD,AK$2,0)</f>
        <v>#N/A</v>
      </c>
      <c r="AL521" t="e">
        <f>VLOOKUP($Z521,'oddspedia-matches'!$A:$AD,AL$2,0)</f>
        <v>#N/A</v>
      </c>
      <c r="AM521" t="e">
        <f>VLOOKUP($Z521,'oddspedia-matches'!$A:$AD,AM$2,0)</f>
        <v>#N/A</v>
      </c>
      <c r="AN521" t="e">
        <f>VLOOKUP($Z521,'oddspedia-matches'!$A:$AD,AN$2,0)</f>
        <v>#N/A</v>
      </c>
      <c r="AO521" t="e">
        <f>VLOOKUP($Z521,'oddspedia-matches'!$A:$AD,AO$2,0)</f>
        <v>#N/A</v>
      </c>
      <c r="AP521" t="e">
        <f>VLOOKUP($Z521,'oddspedia-matches'!$A:$AD,AP$2,0)</f>
        <v>#N/A</v>
      </c>
      <c r="AQ521" t="e">
        <f>VLOOKUP($Z521,'oddspedia-matches'!$A:$AD,AQ$2,0)</f>
        <v>#N/A</v>
      </c>
    </row>
    <row r="522" spans="2:43" x14ac:dyDescent="0.2">
      <c r="B522" t="s">
        <v>650</v>
      </c>
      <c r="C522" t="s">
        <v>1231</v>
      </c>
      <c r="D522" s="25">
        <v>0.625</v>
      </c>
      <c r="E522" t="s">
        <v>655</v>
      </c>
      <c r="F522" t="s">
        <v>656</v>
      </c>
      <c r="H522">
        <v>39.4</v>
      </c>
      <c r="I522">
        <v>34.5</v>
      </c>
      <c r="J522">
        <v>26.1</v>
      </c>
      <c r="K522">
        <v>73.900000000000006</v>
      </c>
      <c r="L522">
        <v>60.6</v>
      </c>
      <c r="M522">
        <v>65.5</v>
      </c>
      <c r="N522">
        <v>25</v>
      </c>
      <c r="O522">
        <v>52.2</v>
      </c>
      <c r="P522">
        <v>22.8</v>
      </c>
      <c r="Q522">
        <v>56.7</v>
      </c>
      <c r="R522">
        <v>56.3</v>
      </c>
      <c r="S522">
        <v>28.1</v>
      </c>
      <c r="T522">
        <v>71.900000000000006</v>
      </c>
      <c r="U522">
        <v>76.3</v>
      </c>
      <c r="V522">
        <v>36.9</v>
      </c>
      <c r="W522">
        <v>63.1</v>
      </c>
      <c r="X522">
        <f>VLOOKUP(E522,'Transform table'!A:B,2,0)</f>
        <v>0</v>
      </c>
      <c r="Y522">
        <f>VLOOKUP(F522,'Transform table'!A:B,2,0)</f>
        <v>0</v>
      </c>
      <c r="Z522" t="str">
        <f t="shared" si="8"/>
        <v>27/07/202600</v>
      </c>
      <c r="AA522" t="e">
        <f>VLOOKUP($Z522,'oddspedia-matches'!$A:$AD,AA$2,0)</f>
        <v>#N/A</v>
      </c>
      <c r="AB522" t="e">
        <f>VLOOKUP($Z522,'oddspedia-matches'!$A:$AD,AB$2,0)</f>
        <v>#N/A</v>
      </c>
      <c r="AC522" t="e">
        <f>VLOOKUP($Z522,'oddspedia-matches'!$A:$AD,AC$2,0)</f>
        <v>#N/A</v>
      </c>
      <c r="AD522" t="e">
        <f>VLOOKUP($Z522,'oddspedia-matches'!$A:$AD,AD$2,0)</f>
        <v>#N/A</v>
      </c>
      <c r="AE522" t="e">
        <f>VLOOKUP($Z522,'oddspedia-matches'!$A:$AD,AE$2,0)</f>
        <v>#N/A</v>
      </c>
      <c r="AF522" t="e">
        <f>VLOOKUP($Z522,'oddspedia-matches'!$A:$AD,AF$2,0)</f>
        <v>#N/A</v>
      </c>
      <c r="AG522" t="e">
        <f>VLOOKUP($Z522,'oddspedia-matches'!$A:$AD,AG$2,0)</f>
        <v>#N/A</v>
      </c>
      <c r="AH522" t="e">
        <f>VLOOKUP($Z522,'oddspedia-matches'!$A:$AD,AH$2,0)</f>
        <v>#N/A</v>
      </c>
      <c r="AI522" t="e">
        <f>VLOOKUP($Z522,'oddspedia-matches'!$A:$AD,AI$2,0)</f>
        <v>#N/A</v>
      </c>
      <c r="AJ522" t="e">
        <f>VLOOKUP($Z522,'oddspedia-matches'!$A:$AD,AJ$2,0)</f>
        <v>#N/A</v>
      </c>
      <c r="AK522" t="e">
        <f>VLOOKUP($Z522,'oddspedia-matches'!$A:$AD,AK$2,0)</f>
        <v>#N/A</v>
      </c>
      <c r="AL522" t="e">
        <f>VLOOKUP($Z522,'oddspedia-matches'!$A:$AD,AL$2,0)</f>
        <v>#N/A</v>
      </c>
      <c r="AM522" t="e">
        <f>VLOOKUP($Z522,'oddspedia-matches'!$A:$AD,AM$2,0)</f>
        <v>#N/A</v>
      </c>
      <c r="AN522" t="e">
        <f>VLOOKUP($Z522,'oddspedia-matches'!$A:$AD,AN$2,0)</f>
        <v>#N/A</v>
      </c>
      <c r="AO522" t="e">
        <f>VLOOKUP($Z522,'oddspedia-matches'!$A:$AD,AO$2,0)</f>
        <v>#N/A</v>
      </c>
      <c r="AP522" t="e">
        <f>VLOOKUP($Z522,'oddspedia-matches'!$A:$AD,AP$2,0)</f>
        <v>#N/A</v>
      </c>
      <c r="AQ522" t="e">
        <f>VLOOKUP($Z522,'oddspedia-matches'!$A:$AD,AQ$2,0)</f>
        <v>#N/A</v>
      </c>
    </row>
    <row r="523" spans="2:43" x14ac:dyDescent="0.2">
      <c r="B523" t="s">
        <v>650</v>
      </c>
      <c r="C523" t="s">
        <v>1231</v>
      </c>
      <c r="D523" s="25">
        <v>0.625</v>
      </c>
      <c r="E523" t="s">
        <v>661</v>
      </c>
      <c r="F523" t="s">
        <v>662</v>
      </c>
      <c r="H523">
        <v>32.5</v>
      </c>
      <c r="I523">
        <v>34.1</v>
      </c>
      <c r="J523">
        <v>33.4</v>
      </c>
      <c r="K523">
        <v>66.599999999999994</v>
      </c>
      <c r="L523">
        <v>67.5</v>
      </c>
      <c r="M523">
        <v>65.900000000000006</v>
      </c>
      <c r="N523">
        <v>25.7</v>
      </c>
      <c r="O523">
        <v>54.7</v>
      </c>
      <c r="P523">
        <v>19.600000000000001</v>
      </c>
      <c r="Q523">
        <v>52.9</v>
      </c>
      <c r="R523">
        <v>59.6</v>
      </c>
      <c r="S523">
        <v>31.2</v>
      </c>
      <c r="T523">
        <v>68.8</v>
      </c>
      <c r="U523">
        <v>73.2</v>
      </c>
      <c r="V523">
        <v>40.4</v>
      </c>
      <c r="W523">
        <v>59.6</v>
      </c>
      <c r="X523">
        <f>VLOOKUP(E523,'Transform table'!A:B,2,0)</f>
        <v>0</v>
      </c>
      <c r="Y523">
        <f>VLOOKUP(F523,'Transform table'!A:B,2,0)</f>
        <v>0</v>
      </c>
      <c r="Z523" t="str">
        <f t="shared" si="8"/>
        <v>27/07/202600</v>
      </c>
      <c r="AA523" t="e">
        <f>VLOOKUP($Z523,'oddspedia-matches'!$A:$AD,AA$2,0)</f>
        <v>#N/A</v>
      </c>
      <c r="AB523" t="e">
        <f>VLOOKUP($Z523,'oddspedia-matches'!$A:$AD,AB$2,0)</f>
        <v>#N/A</v>
      </c>
      <c r="AC523" t="e">
        <f>VLOOKUP($Z523,'oddspedia-matches'!$A:$AD,AC$2,0)</f>
        <v>#N/A</v>
      </c>
      <c r="AD523" t="e">
        <f>VLOOKUP($Z523,'oddspedia-matches'!$A:$AD,AD$2,0)</f>
        <v>#N/A</v>
      </c>
      <c r="AE523" t="e">
        <f>VLOOKUP($Z523,'oddspedia-matches'!$A:$AD,AE$2,0)</f>
        <v>#N/A</v>
      </c>
      <c r="AF523" t="e">
        <f>VLOOKUP($Z523,'oddspedia-matches'!$A:$AD,AF$2,0)</f>
        <v>#N/A</v>
      </c>
      <c r="AG523" t="e">
        <f>VLOOKUP($Z523,'oddspedia-matches'!$A:$AD,AG$2,0)</f>
        <v>#N/A</v>
      </c>
      <c r="AH523" t="e">
        <f>VLOOKUP($Z523,'oddspedia-matches'!$A:$AD,AH$2,0)</f>
        <v>#N/A</v>
      </c>
      <c r="AI523" t="e">
        <f>VLOOKUP($Z523,'oddspedia-matches'!$A:$AD,AI$2,0)</f>
        <v>#N/A</v>
      </c>
      <c r="AJ523" t="e">
        <f>VLOOKUP($Z523,'oddspedia-matches'!$A:$AD,AJ$2,0)</f>
        <v>#N/A</v>
      </c>
      <c r="AK523" t="e">
        <f>VLOOKUP($Z523,'oddspedia-matches'!$A:$AD,AK$2,0)</f>
        <v>#N/A</v>
      </c>
      <c r="AL523" t="e">
        <f>VLOOKUP($Z523,'oddspedia-matches'!$A:$AD,AL$2,0)</f>
        <v>#N/A</v>
      </c>
      <c r="AM523" t="e">
        <f>VLOOKUP($Z523,'oddspedia-matches'!$A:$AD,AM$2,0)</f>
        <v>#N/A</v>
      </c>
      <c r="AN523" t="e">
        <f>VLOOKUP($Z523,'oddspedia-matches'!$A:$AD,AN$2,0)</f>
        <v>#N/A</v>
      </c>
      <c r="AO523" t="e">
        <f>VLOOKUP($Z523,'oddspedia-matches'!$A:$AD,AO$2,0)</f>
        <v>#N/A</v>
      </c>
      <c r="AP523" t="e">
        <f>VLOOKUP($Z523,'oddspedia-matches'!$A:$AD,AP$2,0)</f>
        <v>#N/A</v>
      </c>
      <c r="AQ523" t="e">
        <f>VLOOKUP($Z523,'oddspedia-matches'!$A:$AD,AQ$2,0)</f>
        <v>#N/A</v>
      </c>
    </row>
    <row r="524" spans="2:43" x14ac:dyDescent="0.2">
      <c r="B524" t="s">
        <v>650</v>
      </c>
      <c r="C524" t="s">
        <v>1231</v>
      </c>
      <c r="D524" s="25">
        <v>0.625</v>
      </c>
      <c r="E524" t="s">
        <v>318</v>
      </c>
      <c r="F524" t="s">
        <v>669</v>
      </c>
      <c r="H524">
        <v>54.4</v>
      </c>
      <c r="I524">
        <v>27.6</v>
      </c>
      <c r="J524">
        <v>18.100000000000001</v>
      </c>
      <c r="K524">
        <v>81.900000000000006</v>
      </c>
      <c r="L524">
        <v>45.6</v>
      </c>
      <c r="M524">
        <v>72.400000000000006</v>
      </c>
      <c r="N524">
        <v>43</v>
      </c>
      <c r="O524">
        <v>45.9</v>
      </c>
      <c r="P524">
        <v>11.1</v>
      </c>
      <c r="Q524">
        <v>61.7</v>
      </c>
      <c r="R524">
        <v>69.7</v>
      </c>
      <c r="S524">
        <v>42.2</v>
      </c>
      <c r="T524">
        <v>57.8</v>
      </c>
      <c r="U524">
        <v>64.7</v>
      </c>
      <c r="V524">
        <v>44.8</v>
      </c>
      <c r="W524">
        <v>55.2</v>
      </c>
      <c r="X524">
        <f>VLOOKUP(E524,'Transform table'!A:B,2,0)</f>
        <v>0</v>
      </c>
      <c r="Y524">
        <f>VLOOKUP(F524,'Transform table'!A:B,2,0)</f>
        <v>0</v>
      </c>
      <c r="Z524" t="str">
        <f t="shared" si="8"/>
        <v>27/07/202600</v>
      </c>
      <c r="AA524" t="e">
        <f>VLOOKUP($Z524,'oddspedia-matches'!$A:$AD,AA$2,0)</f>
        <v>#N/A</v>
      </c>
      <c r="AB524" t="e">
        <f>VLOOKUP($Z524,'oddspedia-matches'!$A:$AD,AB$2,0)</f>
        <v>#N/A</v>
      </c>
      <c r="AC524" t="e">
        <f>VLOOKUP($Z524,'oddspedia-matches'!$A:$AD,AC$2,0)</f>
        <v>#N/A</v>
      </c>
      <c r="AD524" t="e">
        <f>VLOOKUP($Z524,'oddspedia-matches'!$A:$AD,AD$2,0)</f>
        <v>#N/A</v>
      </c>
      <c r="AE524" t="e">
        <f>VLOOKUP($Z524,'oddspedia-matches'!$A:$AD,AE$2,0)</f>
        <v>#N/A</v>
      </c>
      <c r="AF524" t="e">
        <f>VLOOKUP($Z524,'oddspedia-matches'!$A:$AD,AF$2,0)</f>
        <v>#N/A</v>
      </c>
      <c r="AG524" t="e">
        <f>VLOOKUP($Z524,'oddspedia-matches'!$A:$AD,AG$2,0)</f>
        <v>#N/A</v>
      </c>
      <c r="AH524" t="e">
        <f>VLOOKUP($Z524,'oddspedia-matches'!$A:$AD,AH$2,0)</f>
        <v>#N/A</v>
      </c>
      <c r="AI524" t="e">
        <f>VLOOKUP($Z524,'oddspedia-matches'!$A:$AD,AI$2,0)</f>
        <v>#N/A</v>
      </c>
      <c r="AJ524" t="e">
        <f>VLOOKUP($Z524,'oddspedia-matches'!$A:$AD,AJ$2,0)</f>
        <v>#N/A</v>
      </c>
      <c r="AK524" t="e">
        <f>VLOOKUP($Z524,'oddspedia-matches'!$A:$AD,AK$2,0)</f>
        <v>#N/A</v>
      </c>
      <c r="AL524" t="e">
        <f>VLOOKUP($Z524,'oddspedia-matches'!$A:$AD,AL$2,0)</f>
        <v>#N/A</v>
      </c>
      <c r="AM524" t="e">
        <f>VLOOKUP($Z524,'oddspedia-matches'!$A:$AD,AM$2,0)</f>
        <v>#N/A</v>
      </c>
      <c r="AN524" t="e">
        <f>VLOOKUP($Z524,'oddspedia-matches'!$A:$AD,AN$2,0)</f>
        <v>#N/A</v>
      </c>
      <c r="AO524" t="e">
        <f>VLOOKUP($Z524,'oddspedia-matches'!$A:$AD,AO$2,0)</f>
        <v>#N/A</v>
      </c>
      <c r="AP524" t="e">
        <f>VLOOKUP($Z524,'oddspedia-matches'!$A:$AD,AP$2,0)</f>
        <v>#N/A</v>
      </c>
      <c r="AQ524" t="e">
        <f>VLOOKUP($Z524,'oddspedia-matches'!$A:$AD,AQ$2,0)</f>
        <v>#N/A</v>
      </c>
    </row>
    <row r="525" spans="2:43" x14ac:dyDescent="0.2">
      <c r="B525" t="s">
        <v>481</v>
      </c>
      <c r="C525" t="s">
        <v>1231</v>
      </c>
      <c r="D525" s="25">
        <v>0.625</v>
      </c>
      <c r="E525" t="s">
        <v>263</v>
      </c>
      <c r="F525" t="s">
        <v>1263</v>
      </c>
      <c r="H525">
        <v>54.6</v>
      </c>
      <c r="I525">
        <v>24.3</v>
      </c>
      <c r="J525">
        <v>21.1</v>
      </c>
      <c r="K525">
        <v>78.900000000000006</v>
      </c>
      <c r="L525">
        <v>45.4</v>
      </c>
      <c r="M525">
        <v>75.7</v>
      </c>
      <c r="N525">
        <v>43.6</v>
      </c>
      <c r="O525">
        <v>34.9</v>
      </c>
      <c r="P525">
        <v>21.6</v>
      </c>
      <c r="Q525">
        <v>81.3</v>
      </c>
      <c r="R525">
        <v>91.9</v>
      </c>
      <c r="S525">
        <v>77</v>
      </c>
      <c r="T525">
        <v>23</v>
      </c>
      <c r="U525">
        <v>28.7</v>
      </c>
      <c r="V525">
        <v>73.599999999999994</v>
      </c>
      <c r="W525">
        <v>26.4</v>
      </c>
      <c r="X525" t="str">
        <f>VLOOKUP(E525,'Transform table'!A:B,2,0)</f>
        <v>Breidablik</v>
      </c>
      <c r="Y525" t="e">
        <f>VLOOKUP(F525,'Transform table'!A:B,2,0)</f>
        <v>#N/A</v>
      </c>
      <c r="Z525" t="e">
        <f t="shared" si="8"/>
        <v>#N/A</v>
      </c>
      <c r="AA525" t="e">
        <f>VLOOKUP($Z525,'oddspedia-matches'!$A:$AD,AA$2,0)</f>
        <v>#N/A</v>
      </c>
      <c r="AB525" t="e">
        <f>VLOOKUP($Z525,'oddspedia-matches'!$A:$AD,AB$2,0)</f>
        <v>#N/A</v>
      </c>
      <c r="AC525" t="e">
        <f>VLOOKUP($Z525,'oddspedia-matches'!$A:$AD,AC$2,0)</f>
        <v>#N/A</v>
      </c>
      <c r="AD525" t="e">
        <f>VLOOKUP($Z525,'oddspedia-matches'!$A:$AD,AD$2,0)</f>
        <v>#N/A</v>
      </c>
      <c r="AE525" t="e">
        <f>VLOOKUP($Z525,'oddspedia-matches'!$A:$AD,AE$2,0)</f>
        <v>#N/A</v>
      </c>
      <c r="AF525" t="e">
        <f>VLOOKUP($Z525,'oddspedia-matches'!$A:$AD,AF$2,0)</f>
        <v>#N/A</v>
      </c>
      <c r="AG525" t="e">
        <f>VLOOKUP($Z525,'oddspedia-matches'!$A:$AD,AG$2,0)</f>
        <v>#N/A</v>
      </c>
      <c r="AH525" t="e">
        <f>VLOOKUP($Z525,'oddspedia-matches'!$A:$AD,AH$2,0)</f>
        <v>#N/A</v>
      </c>
      <c r="AI525" t="e">
        <f>VLOOKUP($Z525,'oddspedia-matches'!$A:$AD,AI$2,0)</f>
        <v>#N/A</v>
      </c>
      <c r="AJ525" t="e">
        <f>VLOOKUP($Z525,'oddspedia-matches'!$A:$AD,AJ$2,0)</f>
        <v>#N/A</v>
      </c>
      <c r="AK525" t="e">
        <f>VLOOKUP($Z525,'oddspedia-matches'!$A:$AD,AK$2,0)</f>
        <v>#N/A</v>
      </c>
      <c r="AL525" t="e">
        <f>VLOOKUP($Z525,'oddspedia-matches'!$A:$AD,AL$2,0)</f>
        <v>#N/A</v>
      </c>
      <c r="AM525" t="e">
        <f>VLOOKUP($Z525,'oddspedia-matches'!$A:$AD,AM$2,0)</f>
        <v>#N/A</v>
      </c>
      <c r="AN525" t="e">
        <f>VLOOKUP($Z525,'oddspedia-matches'!$A:$AD,AN$2,0)</f>
        <v>#N/A</v>
      </c>
      <c r="AO525" t="e">
        <f>VLOOKUP($Z525,'oddspedia-matches'!$A:$AD,AO$2,0)</f>
        <v>#N/A</v>
      </c>
      <c r="AP525" t="e">
        <f>VLOOKUP($Z525,'oddspedia-matches'!$A:$AD,AP$2,0)</f>
        <v>#N/A</v>
      </c>
      <c r="AQ525" t="e">
        <f>VLOOKUP($Z525,'oddspedia-matches'!$A:$AD,AQ$2,0)</f>
        <v>#N/A</v>
      </c>
    </row>
    <row r="526" spans="2:43" x14ac:dyDescent="0.2">
      <c r="B526" t="s">
        <v>1081</v>
      </c>
      <c r="C526" t="s">
        <v>1231</v>
      </c>
      <c r="D526" s="25">
        <v>0.63541666666666663</v>
      </c>
      <c r="E526" t="s">
        <v>1264</v>
      </c>
      <c r="F526" t="s">
        <v>302</v>
      </c>
      <c r="H526">
        <v>23.2</v>
      </c>
      <c r="I526">
        <v>64</v>
      </c>
      <c r="J526">
        <v>12.8</v>
      </c>
      <c r="K526">
        <v>87.2</v>
      </c>
      <c r="L526">
        <v>76.8</v>
      </c>
      <c r="M526">
        <v>36</v>
      </c>
      <c r="N526">
        <v>0</v>
      </c>
      <c r="O526">
        <v>100</v>
      </c>
      <c r="P526">
        <v>0</v>
      </c>
      <c r="Q526">
        <v>0</v>
      </c>
      <c r="R526">
        <v>9.9</v>
      </c>
      <c r="S526">
        <v>1.6</v>
      </c>
      <c r="T526">
        <v>98.4</v>
      </c>
      <c r="U526">
        <v>98.8</v>
      </c>
      <c r="V526">
        <v>5.2</v>
      </c>
      <c r="W526">
        <v>94.8</v>
      </c>
      <c r="X526" t="str">
        <f>VLOOKUP(E526,'Transform table'!A:B,2,0)</f>
        <v>CSKA</v>
      </c>
      <c r="Y526" t="e">
        <f>VLOOKUP(F526,'Transform table'!A:B,2,0)</f>
        <v>#N/A</v>
      </c>
      <c r="Z526" t="e">
        <f t="shared" si="8"/>
        <v>#N/A</v>
      </c>
      <c r="AA526" t="e">
        <f>VLOOKUP($Z526,'oddspedia-matches'!$A:$AD,AA$2,0)</f>
        <v>#N/A</v>
      </c>
      <c r="AB526" t="e">
        <f>VLOOKUP($Z526,'oddspedia-matches'!$A:$AD,AB$2,0)</f>
        <v>#N/A</v>
      </c>
      <c r="AC526" t="e">
        <f>VLOOKUP($Z526,'oddspedia-matches'!$A:$AD,AC$2,0)</f>
        <v>#N/A</v>
      </c>
      <c r="AD526" t="e">
        <f>VLOOKUP($Z526,'oddspedia-matches'!$A:$AD,AD$2,0)</f>
        <v>#N/A</v>
      </c>
      <c r="AE526" t="e">
        <f>VLOOKUP($Z526,'oddspedia-matches'!$A:$AD,AE$2,0)</f>
        <v>#N/A</v>
      </c>
      <c r="AF526" t="e">
        <f>VLOOKUP($Z526,'oddspedia-matches'!$A:$AD,AF$2,0)</f>
        <v>#N/A</v>
      </c>
      <c r="AG526" t="e">
        <f>VLOOKUP($Z526,'oddspedia-matches'!$A:$AD,AG$2,0)</f>
        <v>#N/A</v>
      </c>
      <c r="AH526" t="e">
        <f>VLOOKUP($Z526,'oddspedia-matches'!$A:$AD,AH$2,0)</f>
        <v>#N/A</v>
      </c>
      <c r="AI526" t="e">
        <f>VLOOKUP($Z526,'oddspedia-matches'!$A:$AD,AI$2,0)</f>
        <v>#N/A</v>
      </c>
      <c r="AJ526" t="e">
        <f>VLOOKUP($Z526,'oddspedia-matches'!$A:$AD,AJ$2,0)</f>
        <v>#N/A</v>
      </c>
      <c r="AK526" t="e">
        <f>VLOOKUP($Z526,'oddspedia-matches'!$A:$AD,AK$2,0)</f>
        <v>#N/A</v>
      </c>
      <c r="AL526" t="e">
        <f>VLOOKUP($Z526,'oddspedia-matches'!$A:$AD,AL$2,0)</f>
        <v>#N/A</v>
      </c>
      <c r="AM526" t="e">
        <f>VLOOKUP($Z526,'oddspedia-matches'!$A:$AD,AM$2,0)</f>
        <v>#N/A</v>
      </c>
      <c r="AN526" t="e">
        <f>VLOOKUP($Z526,'oddspedia-matches'!$A:$AD,AN$2,0)</f>
        <v>#N/A</v>
      </c>
      <c r="AO526" t="e">
        <f>VLOOKUP($Z526,'oddspedia-matches'!$A:$AD,AO$2,0)</f>
        <v>#N/A</v>
      </c>
      <c r="AP526" t="e">
        <f>VLOOKUP($Z526,'oddspedia-matches'!$A:$AD,AP$2,0)</f>
        <v>#N/A</v>
      </c>
      <c r="AQ526" t="e">
        <f>VLOOKUP($Z526,'oddspedia-matches'!$A:$AD,AQ$2,0)</f>
        <v>#N/A</v>
      </c>
    </row>
    <row r="527" spans="2:43" x14ac:dyDescent="0.2">
      <c r="B527" t="s">
        <v>1043</v>
      </c>
      <c r="C527" t="s">
        <v>1231</v>
      </c>
      <c r="D527" s="25">
        <v>0.64583333333333337</v>
      </c>
      <c r="E527" t="s">
        <v>1265</v>
      </c>
      <c r="F527" t="s">
        <v>273</v>
      </c>
      <c r="H527">
        <v>30.5</v>
      </c>
      <c r="I527">
        <v>43.5</v>
      </c>
      <c r="J527">
        <v>26</v>
      </c>
      <c r="K527">
        <v>74</v>
      </c>
      <c r="L527">
        <v>69.5</v>
      </c>
      <c r="M527">
        <v>56.5</v>
      </c>
      <c r="N527">
        <v>23.2</v>
      </c>
      <c r="O527">
        <v>64</v>
      </c>
      <c r="P527">
        <v>12.8</v>
      </c>
      <c r="Q527">
        <v>40.200000000000003</v>
      </c>
      <c r="R527">
        <v>35.799999999999997</v>
      </c>
      <c r="S527">
        <v>12.6</v>
      </c>
      <c r="T527">
        <v>87.4</v>
      </c>
      <c r="U527">
        <v>89.6</v>
      </c>
      <c r="V527">
        <v>22.1</v>
      </c>
      <c r="W527">
        <v>77.900000000000006</v>
      </c>
      <c r="X527" t="str">
        <f>VLOOKUP(E527,'Transform table'!A:B,2,0)</f>
        <v>Bohemian</v>
      </c>
      <c r="Y527" t="e">
        <f>VLOOKUP(F527,'Transform table'!A:B,2,0)</f>
        <v>#N/A</v>
      </c>
      <c r="Z527" t="e">
        <f t="shared" si="8"/>
        <v>#N/A</v>
      </c>
      <c r="AA527" t="e">
        <f>VLOOKUP($Z527,'oddspedia-matches'!$A:$AD,AA$2,0)</f>
        <v>#N/A</v>
      </c>
      <c r="AB527" t="e">
        <f>VLOOKUP($Z527,'oddspedia-matches'!$A:$AD,AB$2,0)</f>
        <v>#N/A</v>
      </c>
      <c r="AC527" t="e">
        <f>VLOOKUP($Z527,'oddspedia-matches'!$A:$AD,AC$2,0)</f>
        <v>#N/A</v>
      </c>
      <c r="AD527" t="e">
        <f>VLOOKUP($Z527,'oddspedia-matches'!$A:$AD,AD$2,0)</f>
        <v>#N/A</v>
      </c>
      <c r="AE527" t="e">
        <f>VLOOKUP($Z527,'oddspedia-matches'!$A:$AD,AE$2,0)</f>
        <v>#N/A</v>
      </c>
      <c r="AF527" t="e">
        <f>VLOOKUP($Z527,'oddspedia-matches'!$A:$AD,AF$2,0)</f>
        <v>#N/A</v>
      </c>
      <c r="AG527" t="e">
        <f>VLOOKUP($Z527,'oddspedia-matches'!$A:$AD,AG$2,0)</f>
        <v>#N/A</v>
      </c>
      <c r="AH527" t="e">
        <f>VLOOKUP($Z527,'oddspedia-matches'!$A:$AD,AH$2,0)</f>
        <v>#N/A</v>
      </c>
      <c r="AI527" t="e">
        <f>VLOOKUP($Z527,'oddspedia-matches'!$A:$AD,AI$2,0)</f>
        <v>#N/A</v>
      </c>
      <c r="AJ527" t="e">
        <f>VLOOKUP($Z527,'oddspedia-matches'!$A:$AD,AJ$2,0)</f>
        <v>#N/A</v>
      </c>
      <c r="AK527" t="e">
        <f>VLOOKUP($Z527,'oddspedia-matches'!$A:$AD,AK$2,0)</f>
        <v>#N/A</v>
      </c>
      <c r="AL527" t="e">
        <f>VLOOKUP($Z527,'oddspedia-matches'!$A:$AD,AL$2,0)</f>
        <v>#N/A</v>
      </c>
      <c r="AM527" t="e">
        <f>VLOOKUP($Z527,'oddspedia-matches'!$A:$AD,AM$2,0)</f>
        <v>#N/A</v>
      </c>
      <c r="AN527" t="e">
        <f>VLOOKUP($Z527,'oddspedia-matches'!$A:$AD,AN$2,0)</f>
        <v>#N/A</v>
      </c>
      <c r="AO527" t="e">
        <f>VLOOKUP($Z527,'oddspedia-matches'!$A:$AD,AO$2,0)</f>
        <v>#N/A</v>
      </c>
      <c r="AP527" t="e">
        <f>VLOOKUP($Z527,'oddspedia-matches'!$A:$AD,AP$2,0)</f>
        <v>#N/A</v>
      </c>
      <c r="AQ527" t="e">
        <f>VLOOKUP($Z527,'oddspedia-matches'!$A:$AD,AQ$2,0)</f>
        <v>#N/A</v>
      </c>
    </row>
    <row r="528" spans="2:43" x14ac:dyDescent="0.2">
      <c r="B528" t="s">
        <v>457</v>
      </c>
      <c r="C528" t="s">
        <v>1231</v>
      </c>
      <c r="D528" s="25">
        <v>0.66666666666666663</v>
      </c>
      <c r="E528" t="s">
        <v>1266</v>
      </c>
      <c r="F528" t="s">
        <v>1267</v>
      </c>
      <c r="H528">
        <v>43.6</v>
      </c>
      <c r="I528">
        <v>26.7</v>
      </c>
      <c r="J528">
        <v>29.7</v>
      </c>
      <c r="K528">
        <v>70.3</v>
      </c>
      <c r="L528">
        <v>56.4</v>
      </c>
      <c r="M528">
        <v>73.3</v>
      </c>
      <c r="N528">
        <v>24.7</v>
      </c>
      <c r="O528">
        <v>44.7</v>
      </c>
      <c r="P528">
        <v>30.6</v>
      </c>
      <c r="Q528">
        <v>67.900000000000006</v>
      </c>
      <c r="R528">
        <v>81.900000000000006</v>
      </c>
      <c r="S528">
        <v>58.9</v>
      </c>
      <c r="T528">
        <v>41.1</v>
      </c>
      <c r="U528">
        <v>47</v>
      </c>
      <c r="V528">
        <v>62</v>
      </c>
      <c r="W528">
        <v>38</v>
      </c>
      <c r="X528" t="str">
        <f>VLOOKUP(E528,'Transform table'!A:B,2,0)</f>
        <v>San Antonio Cotacachi</v>
      </c>
      <c r="Y528" t="e">
        <f>VLOOKUP(F528,'Transform table'!A:B,2,0)</f>
        <v>#N/A</v>
      </c>
      <c r="Z528" t="e">
        <f t="shared" si="8"/>
        <v>#N/A</v>
      </c>
      <c r="AA528" t="e">
        <f>VLOOKUP($Z528,'oddspedia-matches'!$A:$AD,AA$2,0)</f>
        <v>#N/A</v>
      </c>
      <c r="AB528" t="e">
        <f>VLOOKUP($Z528,'oddspedia-matches'!$A:$AD,AB$2,0)</f>
        <v>#N/A</v>
      </c>
      <c r="AC528" t="e">
        <f>VLOOKUP($Z528,'oddspedia-matches'!$A:$AD,AC$2,0)</f>
        <v>#N/A</v>
      </c>
      <c r="AD528" t="e">
        <f>VLOOKUP($Z528,'oddspedia-matches'!$A:$AD,AD$2,0)</f>
        <v>#N/A</v>
      </c>
      <c r="AE528" t="e">
        <f>VLOOKUP($Z528,'oddspedia-matches'!$A:$AD,AE$2,0)</f>
        <v>#N/A</v>
      </c>
      <c r="AF528" t="e">
        <f>VLOOKUP($Z528,'oddspedia-matches'!$A:$AD,AF$2,0)</f>
        <v>#N/A</v>
      </c>
      <c r="AG528" t="e">
        <f>VLOOKUP($Z528,'oddspedia-matches'!$A:$AD,AG$2,0)</f>
        <v>#N/A</v>
      </c>
      <c r="AH528" t="e">
        <f>VLOOKUP($Z528,'oddspedia-matches'!$A:$AD,AH$2,0)</f>
        <v>#N/A</v>
      </c>
      <c r="AI528" t="e">
        <f>VLOOKUP($Z528,'oddspedia-matches'!$A:$AD,AI$2,0)</f>
        <v>#N/A</v>
      </c>
      <c r="AJ528" t="e">
        <f>VLOOKUP($Z528,'oddspedia-matches'!$A:$AD,AJ$2,0)</f>
        <v>#N/A</v>
      </c>
      <c r="AK528" t="e">
        <f>VLOOKUP($Z528,'oddspedia-matches'!$A:$AD,AK$2,0)</f>
        <v>#N/A</v>
      </c>
      <c r="AL528" t="e">
        <f>VLOOKUP($Z528,'oddspedia-matches'!$A:$AD,AL$2,0)</f>
        <v>#N/A</v>
      </c>
      <c r="AM528" t="e">
        <f>VLOOKUP($Z528,'oddspedia-matches'!$A:$AD,AM$2,0)</f>
        <v>#N/A</v>
      </c>
      <c r="AN528" t="e">
        <f>VLOOKUP($Z528,'oddspedia-matches'!$A:$AD,AN$2,0)</f>
        <v>#N/A</v>
      </c>
      <c r="AO528" t="e">
        <f>VLOOKUP($Z528,'oddspedia-matches'!$A:$AD,AO$2,0)</f>
        <v>#N/A</v>
      </c>
      <c r="AP528" t="e">
        <f>VLOOKUP($Z528,'oddspedia-matches'!$A:$AD,AP$2,0)</f>
        <v>#N/A</v>
      </c>
      <c r="AQ528" t="e">
        <f>VLOOKUP($Z528,'oddspedia-matches'!$A:$AD,AQ$2,0)</f>
        <v>#N/A</v>
      </c>
    </row>
    <row r="529" spans="2:43" x14ac:dyDescent="0.2">
      <c r="B529" t="s">
        <v>452</v>
      </c>
      <c r="C529" t="s">
        <v>1231</v>
      </c>
      <c r="D529" s="25">
        <v>0.66666666666666663</v>
      </c>
      <c r="E529" t="s">
        <v>117</v>
      </c>
      <c r="F529" t="s">
        <v>228</v>
      </c>
      <c r="H529">
        <v>44.4</v>
      </c>
      <c r="I529">
        <v>29.5</v>
      </c>
      <c r="J529">
        <v>26.1</v>
      </c>
      <c r="K529">
        <v>73.900000000000006</v>
      </c>
      <c r="L529">
        <v>55.6</v>
      </c>
      <c r="M529">
        <v>70.5</v>
      </c>
      <c r="N529">
        <v>39</v>
      </c>
      <c r="O529">
        <v>43.9</v>
      </c>
      <c r="P529">
        <v>17.100000000000001</v>
      </c>
      <c r="Q529">
        <v>67</v>
      </c>
      <c r="R529">
        <v>70.599999999999994</v>
      </c>
      <c r="S529">
        <v>43.3</v>
      </c>
      <c r="T529">
        <v>56.7</v>
      </c>
      <c r="U529">
        <v>62.4</v>
      </c>
      <c r="V529">
        <v>49.3</v>
      </c>
      <c r="W529">
        <v>50.7</v>
      </c>
      <c r="X529" t="str">
        <f>VLOOKUP(E529,'Transform table'!A:B,2,0)</f>
        <v>Mushuc Runa</v>
      </c>
      <c r="Y529" t="str">
        <f>VLOOKUP(F529,'Transform table'!A:B,2,0)</f>
        <v>Libertad Loja</v>
      </c>
      <c r="Z529" t="str">
        <f t="shared" si="8"/>
        <v>27/07/2026Mushuc RunaLibertad Loja</v>
      </c>
      <c r="AA529" t="e">
        <f>VLOOKUP($Z529,'oddspedia-matches'!$A:$AD,AA$2,0)</f>
        <v>#N/A</v>
      </c>
      <c r="AB529" t="e">
        <f>VLOOKUP($Z529,'oddspedia-matches'!$A:$AD,AB$2,0)</f>
        <v>#N/A</v>
      </c>
      <c r="AC529" t="e">
        <f>VLOOKUP($Z529,'oddspedia-matches'!$A:$AD,AC$2,0)</f>
        <v>#N/A</v>
      </c>
      <c r="AD529" t="e">
        <f>VLOOKUP($Z529,'oddspedia-matches'!$A:$AD,AD$2,0)</f>
        <v>#N/A</v>
      </c>
      <c r="AE529" t="e">
        <f>VLOOKUP($Z529,'oddspedia-matches'!$A:$AD,AE$2,0)</f>
        <v>#N/A</v>
      </c>
      <c r="AF529" t="e">
        <f>VLOOKUP($Z529,'oddspedia-matches'!$A:$AD,AF$2,0)</f>
        <v>#N/A</v>
      </c>
      <c r="AG529" t="e">
        <f>VLOOKUP($Z529,'oddspedia-matches'!$A:$AD,AG$2,0)</f>
        <v>#N/A</v>
      </c>
      <c r="AH529" t="e">
        <f>VLOOKUP($Z529,'oddspedia-matches'!$A:$AD,AH$2,0)</f>
        <v>#N/A</v>
      </c>
      <c r="AI529" t="e">
        <f>VLOOKUP($Z529,'oddspedia-matches'!$A:$AD,AI$2,0)</f>
        <v>#N/A</v>
      </c>
      <c r="AJ529" t="e">
        <f>VLOOKUP($Z529,'oddspedia-matches'!$A:$AD,AJ$2,0)</f>
        <v>#N/A</v>
      </c>
      <c r="AK529" t="e">
        <f>VLOOKUP($Z529,'oddspedia-matches'!$A:$AD,AK$2,0)</f>
        <v>#N/A</v>
      </c>
      <c r="AL529" t="e">
        <f>VLOOKUP($Z529,'oddspedia-matches'!$A:$AD,AL$2,0)</f>
        <v>#N/A</v>
      </c>
      <c r="AM529" t="e">
        <f>VLOOKUP($Z529,'oddspedia-matches'!$A:$AD,AM$2,0)</f>
        <v>#N/A</v>
      </c>
      <c r="AN529" t="e">
        <f>VLOOKUP($Z529,'oddspedia-matches'!$A:$AD,AN$2,0)</f>
        <v>#N/A</v>
      </c>
      <c r="AO529" t="e">
        <f>VLOOKUP($Z529,'oddspedia-matches'!$A:$AD,AO$2,0)</f>
        <v>#N/A</v>
      </c>
      <c r="AP529" t="e">
        <f>VLOOKUP($Z529,'oddspedia-matches'!$A:$AD,AP$2,0)</f>
        <v>#N/A</v>
      </c>
      <c r="AQ529" t="e">
        <f>VLOOKUP($Z529,'oddspedia-matches'!$A:$AD,AQ$2,0)</f>
        <v>#N/A</v>
      </c>
    </row>
    <row r="530" spans="2:43" x14ac:dyDescent="0.2">
      <c r="B530" t="s">
        <v>481</v>
      </c>
      <c r="C530" t="s">
        <v>1231</v>
      </c>
      <c r="D530" s="25">
        <v>0.67708333333333337</v>
      </c>
      <c r="E530" t="s">
        <v>1268</v>
      </c>
      <c r="F530" t="s">
        <v>1269</v>
      </c>
      <c r="H530">
        <v>56.4</v>
      </c>
      <c r="I530">
        <v>24</v>
      </c>
      <c r="J530">
        <v>19.600000000000001</v>
      </c>
      <c r="K530">
        <v>80.400000000000006</v>
      </c>
      <c r="L530">
        <v>43.6</v>
      </c>
      <c r="M530">
        <v>76</v>
      </c>
      <c r="N530">
        <v>41</v>
      </c>
      <c r="O530">
        <v>36.4</v>
      </c>
      <c r="P530">
        <v>22.6</v>
      </c>
      <c r="Q530">
        <v>79.5</v>
      </c>
      <c r="R530">
        <v>90.9</v>
      </c>
      <c r="S530">
        <v>75</v>
      </c>
      <c r="T530">
        <v>25</v>
      </c>
      <c r="U530">
        <v>31.1</v>
      </c>
      <c r="V530">
        <v>71.3</v>
      </c>
      <c r="W530">
        <v>28.7</v>
      </c>
      <c r="X530" t="str">
        <f>VLOOKUP(E530,'Transform table'!A:B,2,0)</f>
        <v>KA Hafnarfjordur</v>
      </c>
      <c r="Y530" t="e">
        <f>VLOOKUP(F530,'Transform table'!A:B,2,0)</f>
        <v>#N/A</v>
      </c>
      <c r="Z530" t="e">
        <f t="shared" si="8"/>
        <v>#N/A</v>
      </c>
      <c r="AA530" t="e">
        <f>VLOOKUP($Z530,'oddspedia-matches'!$A:$AD,AA$2,0)</f>
        <v>#N/A</v>
      </c>
      <c r="AB530" t="e">
        <f>VLOOKUP($Z530,'oddspedia-matches'!$A:$AD,AB$2,0)</f>
        <v>#N/A</v>
      </c>
      <c r="AC530" t="e">
        <f>VLOOKUP($Z530,'oddspedia-matches'!$A:$AD,AC$2,0)</f>
        <v>#N/A</v>
      </c>
      <c r="AD530" t="e">
        <f>VLOOKUP($Z530,'oddspedia-matches'!$A:$AD,AD$2,0)</f>
        <v>#N/A</v>
      </c>
      <c r="AE530" t="e">
        <f>VLOOKUP($Z530,'oddspedia-matches'!$A:$AD,AE$2,0)</f>
        <v>#N/A</v>
      </c>
      <c r="AF530" t="e">
        <f>VLOOKUP($Z530,'oddspedia-matches'!$A:$AD,AF$2,0)</f>
        <v>#N/A</v>
      </c>
      <c r="AG530" t="e">
        <f>VLOOKUP($Z530,'oddspedia-matches'!$A:$AD,AG$2,0)</f>
        <v>#N/A</v>
      </c>
      <c r="AH530" t="e">
        <f>VLOOKUP($Z530,'oddspedia-matches'!$A:$AD,AH$2,0)</f>
        <v>#N/A</v>
      </c>
      <c r="AI530" t="e">
        <f>VLOOKUP($Z530,'oddspedia-matches'!$A:$AD,AI$2,0)</f>
        <v>#N/A</v>
      </c>
      <c r="AJ530" t="e">
        <f>VLOOKUP($Z530,'oddspedia-matches'!$A:$AD,AJ$2,0)</f>
        <v>#N/A</v>
      </c>
      <c r="AK530" t="e">
        <f>VLOOKUP($Z530,'oddspedia-matches'!$A:$AD,AK$2,0)</f>
        <v>#N/A</v>
      </c>
      <c r="AL530" t="e">
        <f>VLOOKUP($Z530,'oddspedia-matches'!$A:$AD,AL$2,0)</f>
        <v>#N/A</v>
      </c>
      <c r="AM530" t="e">
        <f>VLOOKUP($Z530,'oddspedia-matches'!$A:$AD,AM$2,0)</f>
        <v>#N/A</v>
      </c>
      <c r="AN530" t="e">
        <f>VLOOKUP($Z530,'oddspedia-matches'!$A:$AD,AN$2,0)</f>
        <v>#N/A</v>
      </c>
      <c r="AO530" t="e">
        <f>VLOOKUP($Z530,'oddspedia-matches'!$A:$AD,AO$2,0)</f>
        <v>#N/A</v>
      </c>
      <c r="AP530" t="e">
        <f>VLOOKUP($Z530,'oddspedia-matches'!$A:$AD,AP$2,0)</f>
        <v>#N/A</v>
      </c>
      <c r="AQ530" t="e">
        <f>VLOOKUP($Z530,'oddspedia-matches'!$A:$AD,AQ$2,0)</f>
        <v>#N/A</v>
      </c>
    </row>
    <row r="531" spans="2:43" x14ac:dyDescent="0.2">
      <c r="B531" t="s">
        <v>483</v>
      </c>
      <c r="C531" t="s">
        <v>1231</v>
      </c>
      <c r="D531" s="25">
        <v>0.72916666666666663</v>
      </c>
      <c r="E531" t="s">
        <v>426</v>
      </c>
      <c r="F531" t="s">
        <v>1270</v>
      </c>
      <c r="H531">
        <v>55.7</v>
      </c>
      <c r="I531">
        <v>27.1</v>
      </c>
      <c r="J531">
        <v>17.2</v>
      </c>
      <c r="K531">
        <v>82.8</v>
      </c>
      <c r="L531">
        <v>44.3</v>
      </c>
      <c r="M531">
        <v>72.900000000000006</v>
      </c>
      <c r="N531">
        <v>46.7</v>
      </c>
      <c r="O531">
        <v>43.4</v>
      </c>
      <c r="P531">
        <v>9.9</v>
      </c>
      <c r="Q531">
        <v>64.2</v>
      </c>
      <c r="R531">
        <v>69.900000000000006</v>
      </c>
      <c r="S531">
        <v>42.5</v>
      </c>
      <c r="T531">
        <v>57.5</v>
      </c>
      <c r="U531">
        <v>64.599999999999994</v>
      </c>
      <c r="V531">
        <v>44.4</v>
      </c>
      <c r="W531">
        <v>55.6</v>
      </c>
      <c r="X531" t="str">
        <f>VLOOKUP(E531,'Transform table'!A:B,2,0)</f>
        <v>Envigado</v>
      </c>
      <c r="Y531" t="e">
        <f>VLOOKUP(F531,'Transform table'!A:B,2,0)</f>
        <v>#N/A</v>
      </c>
      <c r="Z531" t="e">
        <f t="shared" si="8"/>
        <v>#N/A</v>
      </c>
      <c r="AA531" t="e">
        <f>VLOOKUP($Z531,'oddspedia-matches'!$A:$AD,AA$2,0)</f>
        <v>#N/A</v>
      </c>
      <c r="AB531" t="e">
        <f>VLOOKUP($Z531,'oddspedia-matches'!$A:$AD,AB$2,0)</f>
        <v>#N/A</v>
      </c>
      <c r="AC531" t="e">
        <f>VLOOKUP($Z531,'oddspedia-matches'!$A:$AD,AC$2,0)</f>
        <v>#N/A</v>
      </c>
      <c r="AD531" t="e">
        <f>VLOOKUP($Z531,'oddspedia-matches'!$A:$AD,AD$2,0)</f>
        <v>#N/A</v>
      </c>
      <c r="AE531" t="e">
        <f>VLOOKUP($Z531,'oddspedia-matches'!$A:$AD,AE$2,0)</f>
        <v>#N/A</v>
      </c>
      <c r="AF531" t="e">
        <f>VLOOKUP($Z531,'oddspedia-matches'!$A:$AD,AF$2,0)</f>
        <v>#N/A</v>
      </c>
      <c r="AG531" t="e">
        <f>VLOOKUP($Z531,'oddspedia-matches'!$A:$AD,AG$2,0)</f>
        <v>#N/A</v>
      </c>
      <c r="AH531" t="e">
        <f>VLOOKUP($Z531,'oddspedia-matches'!$A:$AD,AH$2,0)</f>
        <v>#N/A</v>
      </c>
      <c r="AI531" t="e">
        <f>VLOOKUP($Z531,'oddspedia-matches'!$A:$AD,AI$2,0)</f>
        <v>#N/A</v>
      </c>
      <c r="AJ531" t="e">
        <f>VLOOKUP($Z531,'oddspedia-matches'!$A:$AD,AJ$2,0)</f>
        <v>#N/A</v>
      </c>
      <c r="AK531" t="e">
        <f>VLOOKUP($Z531,'oddspedia-matches'!$A:$AD,AK$2,0)</f>
        <v>#N/A</v>
      </c>
      <c r="AL531" t="e">
        <f>VLOOKUP($Z531,'oddspedia-matches'!$A:$AD,AL$2,0)</f>
        <v>#N/A</v>
      </c>
      <c r="AM531" t="e">
        <f>VLOOKUP($Z531,'oddspedia-matches'!$A:$AD,AM$2,0)</f>
        <v>#N/A</v>
      </c>
      <c r="AN531" t="e">
        <f>VLOOKUP($Z531,'oddspedia-matches'!$A:$AD,AN$2,0)</f>
        <v>#N/A</v>
      </c>
      <c r="AO531" t="e">
        <f>VLOOKUP($Z531,'oddspedia-matches'!$A:$AD,AO$2,0)</f>
        <v>#N/A</v>
      </c>
      <c r="AP531" t="e">
        <f>VLOOKUP($Z531,'oddspedia-matches'!$A:$AD,AP$2,0)</f>
        <v>#N/A</v>
      </c>
      <c r="AQ531" t="e">
        <f>VLOOKUP($Z531,'oddspedia-matches'!$A:$AD,AQ$2,0)</f>
        <v>#N/A</v>
      </c>
    </row>
    <row r="532" spans="2:43" x14ac:dyDescent="0.2">
      <c r="B532" t="s">
        <v>452</v>
      </c>
      <c r="C532" t="s">
        <v>1231</v>
      </c>
      <c r="D532" s="25">
        <v>0.77083333333333337</v>
      </c>
      <c r="E532" t="s">
        <v>101</v>
      </c>
      <c r="F532" t="s">
        <v>238</v>
      </c>
      <c r="H532">
        <v>30</v>
      </c>
      <c r="I532">
        <v>32.9</v>
      </c>
      <c r="J532">
        <v>37.1</v>
      </c>
      <c r="K532">
        <v>62.9</v>
      </c>
      <c r="L532">
        <v>70</v>
      </c>
      <c r="M532">
        <v>67.099999999999994</v>
      </c>
      <c r="N532">
        <v>25.3</v>
      </c>
      <c r="O532">
        <v>51.1</v>
      </c>
      <c r="P532">
        <v>23.6</v>
      </c>
      <c r="Q532">
        <v>58.3</v>
      </c>
      <c r="R532">
        <v>63.3</v>
      </c>
      <c r="S532">
        <v>34.9</v>
      </c>
      <c r="T532">
        <v>65.099999999999994</v>
      </c>
      <c r="U532">
        <v>69.8</v>
      </c>
      <c r="V532">
        <v>43.4</v>
      </c>
      <c r="W532">
        <v>56.6</v>
      </c>
      <c r="X532" t="str">
        <f>VLOOKUP(E532,'Transform table'!A:B,2,0)</f>
        <v>Guayaquil City FC</v>
      </c>
      <c r="Y532" t="str">
        <f>VLOOKUP(F532,'Transform table'!A:B,2,0)</f>
        <v>CD Uni Catolica del Ecuador</v>
      </c>
      <c r="Z532" t="str">
        <f t="shared" si="8"/>
        <v>27/07/2026Guayaquil City FCCD Uni Catolica del Ecuador</v>
      </c>
      <c r="AA532" t="e">
        <f>VLOOKUP($Z532,'oddspedia-matches'!$A:$AD,AA$2,0)</f>
        <v>#N/A</v>
      </c>
      <c r="AB532" t="e">
        <f>VLOOKUP($Z532,'oddspedia-matches'!$A:$AD,AB$2,0)</f>
        <v>#N/A</v>
      </c>
      <c r="AC532" t="e">
        <f>VLOOKUP($Z532,'oddspedia-matches'!$A:$AD,AC$2,0)</f>
        <v>#N/A</v>
      </c>
      <c r="AD532" t="e">
        <f>VLOOKUP($Z532,'oddspedia-matches'!$A:$AD,AD$2,0)</f>
        <v>#N/A</v>
      </c>
      <c r="AE532" t="e">
        <f>VLOOKUP($Z532,'oddspedia-matches'!$A:$AD,AE$2,0)</f>
        <v>#N/A</v>
      </c>
      <c r="AF532" t="e">
        <f>VLOOKUP($Z532,'oddspedia-matches'!$A:$AD,AF$2,0)</f>
        <v>#N/A</v>
      </c>
      <c r="AG532" t="e">
        <f>VLOOKUP($Z532,'oddspedia-matches'!$A:$AD,AG$2,0)</f>
        <v>#N/A</v>
      </c>
      <c r="AH532" t="e">
        <f>VLOOKUP($Z532,'oddspedia-matches'!$A:$AD,AH$2,0)</f>
        <v>#N/A</v>
      </c>
      <c r="AI532" t="e">
        <f>VLOOKUP($Z532,'oddspedia-matches'!$A:$AD,AI$2,0)</f>
        <v>#N/A</v>
      </c>
      <c r="AJ532" t="e">
        <f>VLOOKUP($Z532,'oddspedia-matches'!$A:$AD,AJ$2,0)</f>
        <v>#N/A</v>
      </c>
      <c r="AK532" t="e">
        <f>VLOOKUP($Z532,'oddspedia-matches'!$A:$AD,AK$2,0)</f>
        <v>#N/A</v>
      </c>
      <c r="AL532" t="e">
        <f>VLOOKUP($Z532,'oddspedia-matches'!$A:$AD,AL$2,0)</f>
        <v>#N/A</v>
      </c>
      <c r="AM532" t="e">
        <f>VLOOKUP($Z532,'oddspedia-matches'!$A:$AD,AM$2,0)</f>
        <v>#N/A</v>
      </c>
      <c r="AN532" t="e">
        <f>VLOOKUP($Z532,'oddspedia-matches'!$A:$AD,AN$2,0)</f>
        <v>#N/A</v>
      </c>
      <c r="AO532" t="e">
        <f>VLOOKUP($Z532,'oddspedia-matches'!$A:$AD,AO$2,0)</f>
        <v>#N/A</v>
      </c>
      <c r="AP532" t="e">
        <f>VLOOKUP($Z532,'oddspedia-matches'!$A:$AD,AP$2,0)</f>
        <v>#N/A</v>
      </c>
      <c r="AQ532" t="e">
        <f>VLOOKUP($Z532,'oddspedia-matches'!$A:$AD,AQ$2,0)</f>
        <v>#N/A</v>
      </c>
    </row>
    <row r="533" spans="2:43" x14ac:dyDescent="0.2">
      <c r="B533" t="s">
        <v>1007</v>
      </c>
      <c r="C533" t="s">
        <v>1231</v>
      </c>
      <c r="D533" s="25">
        <v>0.79166666666666663</v>
      </c>
      <c r="E533" t="s">
        <v>1271</v>
      </c>
      <c r="F533" t="s">
        <v>1272</v>
      </c>
      <c r="H533">
        <v>33.700000000000003</v>
      </c>
      <c r="I533">
        <v>30.7</v>
      </c>
      <c r="J533">
        <v>35.6</v>
      </c>
      <c r="K533">
        <v>64.400000000000006</v>
      </c>
      <c r="L533">
        <v>66.3</v>
      </c>
      <c r="M533">
        <v>69.3</v>
      </c>
      <c r="N533" t="s">
        <v>20</v>
      </c>
      <c r="O533" t="s">
        <v>20</v>
      </c>
      <c r="P533" t="s">
        <v>20</v>
      </c>
      <c r="Q533" t="s">
        <v>20</v>
      </c>
      <c r="R533">
        <v>70.2</v>
      </c>
      <c r="S533">
        <v>42.8</v>
      </c>
      <c r="T533">
        <v>57.2</v>
      </c>
      <c r="U533">
        <v>62.4</v>
      </c>
      <c r="V533">
        <v>50</v>
      </c>
      <c r="W533">
        <v>50</v>
      </c>
      <c r="X533" t="str">
        <f>VLOOKUP(E533,'Transform table'!A:B,2,0)</f>
        <v>Pau</v>
      </c>
      <c r="Y533" t="e">
        <f>VLOOKUP(F533,'Transform table'!A:B,2,0)</f>
        <v>#N/A</v>
      </c>
      <c r="Z533" t="e">
        <f t="shared" si="8"/>
        <v>#N/A</v>
      </c>
      <c r="AA533" t="e">
        <f>VLOOKUP($Z533,'oddspedia-matches'!$A:$AD,AA$2,0)</f>
        <v>#N/A</v>
      </c>
      <c r="AB533" t="e">
        <f>VLOOKUP($Z533,'oddspedia-matches'!$A:$AD,AB$2,0)</f>
        <v>#N/A</v>
      </c>
      <c r="AC533" t="e">
        <f>VLOOKUP($Z533,'oddspedia-matches'!$A:$AD,AC$2,0)</f>
        <v>#N/A</v>
      </c>
      <c r="AD533" t="e">
        <f>VLOOKUP($Z533,'oddspedia-matches'!$A:$AD,AD$2,0)</f>
        <v>#N/A</v>
      </c>
      <c r="AE533" t="e">
        <f>VLOOKUP($Z533,'oddspedia-matches'!$A:$AD,AE$2,0)</f>
        <v>#N/A</v>
      </c>
      <c r="AF533" t="e">
        <f>VLOOKUP($Z533,'oddspedia-matches'!$A:$AD,AF$2,0)</f>
        <v>#N/A</v>
      </c>
      <c r="AG533" t="e">
        <f>VLOOKUP($Z533,'oddspedia-matches'!$A:$AD,AG$2,0)</f>
        <v>#N/A</v>
      </c>
      <c r="AH533" t="e">
        <f>VLOOKUP($Z533,'oddspedia-matches'!$A:$AD,AH$2,0)</f>
        <v>#N/A</v>
      </c>
      <c r="AI533" t="e">
        <f>VLOOKUP($Z533,'oddspedia-matches'!$A:$AD,AI$2,0)</f>
        <v>#N/A</v>
      </c>
      <c r="AJ533" t="e">
        <f>VLOOKUP($Z533,'oddspedia-matches'!$A:$AD,AJ$2,0)</f>
        <v>#N/A</v>
      </c>
      <c r="AK533" t="e">
        <f>VLOOKUP($Z533,'oddspedia-matches'!$A:$AD,AK$2,0)</f>
        <v>#N/A</v>
      </c>
      <c r="AL533" t="e">
        <f>VLOOKUP($Z533,'oddspedia-matches'!$A:$AD,AL$2,0)</f>
        <v>#N/A</v>
      </c>
      <c r="AM533" t="e">
        <f>VLOOKUP($Z533,'oddspedia-matches'!$A:$AD,AM$2,0)</f>
        <v>#N/A</v>
      </c>
      <c r="AN533" t="e">
        <f>VLOOKUP($Z533,'oddspedia-matches'!$A:$AD,AN$2,0)</f>
        <v>#N/A</v>
      </c>
      <c r="AO533" t="e">
        <f>VLOOKUP($Z533,'oddspedia-matches'!$A:$AD,AO$2,0)</f>
        <v>#N/A</v>
      </c>
      <c r="AP533" t="e">
        <f>VLOOKUP($Z533,'oddspedia-matches'!$A:$AD,AP$2,0)</f>
        <v>#N/A</v>
      </c>
      <c r="AQ533" t="e">
        <f>VLOOKUP($Z533,'oddspedia-matches'!$A:$AD,AQ$2,0)</f>
        <v>#N/A</v>
      </c>
    </row>
    <row r="534" spans="2:43" x14ac:dyDescent="0.2">
      <c r="B534" t="s">
        <v>455</v>
      </c>
      <c r="C534" t="s">
        <v>1231</v>
      </c>
      <c r="D534" s="25">
        <v>0.8125</v>
      </c>
      <c r="E534" t="s">
        <v>115</v>
      </c>
      <c r="F534" t="s">
        <v>43</v>
      </c>
      <c r="H534">
        <v>39.200000000000003</v>
      </c>
      <c r="I534">
        <v>30.8</v>
      </c>
      <c r="J534">
        <v>30</v>
      </c>
      <c r="K534">
        <v>70</v>
      </c>
      <c r="L534">
        <v>60.8</v>
      </c>
      <c r="M534">
        <v>69.2</v>
      </c>
      <c r="N534">
        <v>29.5</v>
      </c>
      <c r="O534">
        <v>45.9</v>
      </c>
      <c r="P534">
        <v>24.6</v>
      </c>
      <c r="Q534">
        <v>65.900000000000006</v>
      </c>
      <c r="R534">
        <v>68.5</v>
      </c>
      <c r="S534">
        <v>40.700000000000003</v>
      </c>
      <c r="T534">
        <v>59.3</v>
      </c>
      <c r="U534">
        <v>64.5</v>
      </c>
      <c r="V534">
        <v>48.1</v>
      </c>
      <c r="W534">
        <v>51.9</v>
      </c>
      <c r="X534" t="str">
        <f>VLOOKUP(E534,'Transform table'!A:B,2,0)</f>
        <v>Atletico Goianiense</v>
      </c>
      <c r="Y534" t="str">
        <f>VLOOKUP(F534,'Transform table'!A:B,2,0)</f>
        <v>Operario PR</v>
      </c>
      <c r="Z534" t="str">
        <f t="shared" si="8"/>
        <v>27/07/2026Atletico GoianienseOperario PR</v>
      </c>
      <c r="AA534" t="e">
        <f>VLOOKUP($Z534,'oddspedia-matches'!$A:$AD,AA$2,0)</f>
        <v>#N/A</v>
      </c>
      <c r="AB534" t="e">
        <f>VLOOKUP($Z534,'oddspedia-matches'!$A:$AD,AB$2,0)</f>
        <v>#N/A</v>
      </c>
      <c r="AC534" t="e">
        <f>VLOOKUP($Z534,'oddspedia-matches'!$A:$AD,AC$2,0)</f>
        <v>#N/A</v>
      </c>
      <c r="AD534" t="e">
        <f>VLOOKUP($Z534,'oddspedia-matches'!$A:$AD,AD$2,0)</f>
        <v>#N/A</v>
      </c>
      <c r="AE534" t="e">
        <f>VLOOKUP($Z534,'oddspedia-matches'!$A:$AD,AE$2,0)</f>
        <v>#N/A</v>
      </c>
      <c r="AF534" t="e">
        <f>VLOOKUP($Z534,'oddspedia-matches'!$A:$AD,AF$2,0)</f>
        <v>#N/A</v>
      </c>
      <c r="AG534" t="e">
        <f>VLOOKUP($Z534,'oddspedia-matches'!$A:$AD,AG$2,0)</f>
        <v>#N/A</v>
      </c>
      <c r="AH534" t="e">
        <f>VLOOKUP($Z534,'oddspedia-matches'!$A:$AD,AH$2,0)</f>
        <v>#N/A</v>
      </c>
      <c r="AI534" t="e">
        <f>VLOOKUP($Z534,'oddspedia-matches'!$A:$AD,AI$2,0)</f>
        <v>#N/A</v>
      </c>
      <c r="AJ534" t="e">
        <f>VLOOKUP($Z534,'oddspedia-matches'!$A:$AD,AJ$2,0)</f>
        <v>#N/A</v>
      </c>
      <c r="AK534" t="e">
        <f>VLOOKUP($Z534,'oddspedia-matches'!$A:$AD,AK$2,0)</f>
        <v>#N/A</v>
      </c>
      <c r="AL534" t="e">
        <f>VLOOKUP($Z534,'oddspedia-matches'!$A:$AD,AL$2,0)</f>
        <v>#N/A</v>
      </c>
      <c r="AM534" t="e">
        <f>VLOOKUP($Z534,'oddspedia-matches'!$A:$AD,AM$2,0)</f>
        <v>#N/A</v>
      </c>
      <c r="AN534" t="e">
        <f>VLOOKUP($Z534,'oddspedia-matches'!$A:$AD,AN$2,0)</f>
        <v>#N/A</v>
      </c>
      <c r="AO534" t="e">
        <f>VLOOKUP($Z534,'oddspedia-matches'!$A:$AD,AO$2,0)</f>
        <v>#N/A</v>
      </c>
      <c r="AP534" t="e">
        <f>VLOOKUP($Z534,'oddspedia-matches'!$A:$AD,AP$2,0)</f>
        <v>#N/A</v>
      </c>
      <c r="AQ534" t="e">
        <f>VLOOKUP($Z534,'oddspedia-matches'!$A:$AD,AQ$2,0)</f>
        <v>#N/A</v>
      </c>
    </row>
    <row r="535" spans="2:43" x14ac:dyDescent="0.2">
      <c r="B535" t="s">
        <v>455</v>
      </c>
      <c r="C535" t="s">
        <v>1231</v>
      </c>
      <c r="D535" s="25">
        <v>0.8125</v>
      </c>
      <c r="E535" t="s">
        <v>42</v>
      </c>
      <c r="F535" t="s">
        <v>240</v>
      </c>
      <c r="H535">
        <v>40</v>
      </c>
      <c r="I535">
        <v>27.7</v>
      </c>
      <c r="J535">
        <v>32.200000000000003</v>
      </c>
      <c r="K535">
        <v>67.8</v>
      </c>
      <c r="L535">
        <v>60</v>
      </c>
      <c r="M535">
        <v>72.3</v>
      </c>
      <c r="N535">
        <v>35.5</v>
      </c>
      <c r="O535">
        <v>40</v>
      </c>
      <c r="P535">
        <v>24.5</v>
      </c>
      <c r="Q535">
        <v>74.7</v>
      </c>
      <c r="R535">
        <v>79.3</v>
      </c>
      <c r="S535">
        <v>54.8</v>
      </c>
      <c r="T535">
        <v>45.2</v>
      </c>
      <c r="U535">
        <v>50.9</v>
      </c>
      <c r="V535">
        <v>59.3</v>
      </c>
      <c r="W535">
        <v>40.700000000000003</v>
      </c>
      <c r="X535" t="str">
        <f>VLOOKUP(E535,'Transform table'!A:B,2,0)</f>
        <v>Clube de Regatas Brasil</v>
      </c>
      <c r="Y535" t="str">
        <f>VLOOKUP(F535,'Transform table'!A:B,2,0)</f>
        <v>Vila Nova GO</v>
      </c>
      <c r="Z535" t="str">
        <f t="shared" si="8"/>
        <v>27/07/2026Clube de Regatas BrasilVila Nova GO</v>
      </c>
      <c r="AA535" t="e">
        <f>VLOOKUP($Z535,'oddspedia-matches'!$A:$AD,AA$2,0)</f>
        <v>#N/A</v>
      </c>
      <c r="AB535" t="e">
        <f>VLOOKUP($Z535,'oddspedia-matches'!$A:$AD,AB$2,0)</f>
        <v>#N/A</v>
      </c>
      <c r="AC535" t="e">
        <f>VLOOKUP($Z535,'oddspedia-matches'!$A:$AD,AC$2,0)</f>
        <v>#N/A</v>
      </c>
      <c r="AD535" t="e">
        <f>VLOOKUP($Z535,'oddspedia-matches'!$A:$AD,AD$2,0)</f>
        <v>#N/A</v>
      </c>
      <c r="AE535" t="e">
        <f>VLOOKUP($Z535,'oddspedia-matches'!$A:$AD,AE$2,0)</f>
        <v>#N/A</v>
      </c>
      <c r="AF535" t="e">
        <f>VLOOKUP($Z535,'oddspedia-matches'!$A:$AD,AF$2,0)</f>
        <v>#N/A</v>
      </c>
      <c r="AG535" t="e">
        <f>VLOOKUP($Z535,'oddspedia-matches'!$A:$AD,AG$2,0)</f>
        <v>#N/A</v>
      </c>
      <c r="AH535" t="e">
        <f>VLOOKUP($Z535,'oddspedia-matches'!$A:$AD,AH$2,0)</f>
        <v>#N/A</v>
      </c>
      <c r="AI535" t="e">
        <f>VLOOKUP($Z535,'oddspedia-matches'!$A:$AD,AI$2,0)</f>
        <v>#N/A</v>
      </c>
      <c r="AJ535" t="e">
        <f>VLOOKUP($Z535,'oddspedia-matches'!$A:$AD,AJ$2,0)</f>
        <v>#N/A</v>
      </c>
      <c r="AK535" t="e">
        <f>VLOOKUP($Z535,'oddspedia-matches'!$A:$AD,AK$2,0)</f>
        <v>#N/A</v>
      </c>
      <c r="AL535" t="e">
        <f>VLOOKUP($Z535,'oddspedia-matches'!$A:$AD,AL$2,0)</f>
        <v>#N/A</v>
      </c>
      <c r="AM535" t="e">
        <f>VLOOKUP($Z535,'oddspedia-matches'!$A:$AD,AM$2,0)</f>
        <v>#N/A</v>
      </c>
      <c r="AN535" t="e">
        <f>VLOOKUP($Z535,'oddspedia-matches'!$A:$AD,AN$2,0)</f>
        <v>#N/A</v>
      </c>
      <c r="AO535" t="e">
        <f>VLOOKUP($Z535,'oddspedia-matches'!$A:$AD,AO$2,0)</f>
        <v>#N/A</v>
      </c>
      <c r="AP535" t="e">
        <f>VLOOKUP($Z535,'oddspedia-matches'!$A:$AD,AP$2,0)</f>
        <v>#N/A</v>
      </c>
      <c r="AQ535" t="e">
        <f>VLOOKUP($Z535,'oddspedia-matches'!$A:$AD,AQ$2,0)</f>
        <v>#N/A</v>
      </c>
    </row>
    <row r="536" spans="2:43" x14ac:dyDescent="0.2">
      <c r="B536" t="s">
        <v>455</v>
      </c>
      <c r="C536" t="s">
        <v>1231</v>
      </c>
      <c r="D536" s="25">
        <v>0.8125</v>
      </c>
      <c r="E536" t="s">
        <v>50</v>
      </c>
      <c r="F536" t="s">
        <v>114</v>
      </c>
      <c r="H536">
        <v>42.6</v>
      </c>
      <c r="I536">
        <v>33.700000000000003</v>
      </c>
      <c r="J536">
        <v>23.7</v>
      </c>
      <c r="K536">
        <v>76.3</v>
      </c>
      <c r="L536">
        <v>57.4</v>
      </c>
      <c r="M536">
        <v>66.3</v>
      </c>
      <c r="N536">
        <v>24.8</v>
      </c>
      <c r="O536">
        <v>54.9</v>
      </c>
      <c r="P536">
        <v>20.3</v>
      </c>
      <c r="Q536">
        <v>52.8</v>
      </c>
      <c r="R536">
        <v>56.8</v>
      </c>
      <c r="S536">
        <v>28.6</v>
      </c>
      <c r="T536">
        <v>71.400000000000006</v>
      </c>
      <c r="U536">
        <v>76</v>
      </c>
      <c r="V536">
        <v>36.799999999999997</v>
      </c>
      <c r="W536">
        <v>63.2</v>
      </c>
      <c r="X536" t="str">
        <f>VLOOKUP(E536,'Transform table'!A:B,2,0)</f>
        <v>Sport Recife</v>
      </c>
      <c r="Y536" t="str">
        <f>VLOOKUP(F536,'Transform table'!A:B,2,0)</f>
        <v>Cuiaba</v>
      </c>
      <c r="Z536" t="str">
        <f t="shared" si="8"/>
        <v>27/07/2026Sport RecifeCuiaba</v>
      </c>
      <c r="AA536" t="e">
        <f>VLOOKUP($Z536,'oddspedia-matches'!$A:$AD,AA$2,0)</f>
        <v>#N/A</v>
      </c>
      <c r="AB536" t="e">
        <f>VLOOKUP($Z536,'oddspedia-matches'!$A:$AD,AB$2,0)</f>
        <v>#N/A</v>
      </c>
      <c r="AC536" t="e">
        <f>VLOOKUP($Z536,'oddspedia-matches'!$A:$AD,AC$2,0)</f>
        <v>#N/A</v>
      </c>
      <c r="AD536" t="e">
        <f>VLOOKUP($Z536,'oddspedia-matches'!$A:$AD,AD$2,0)</f>
        <v>#N/A</v>
      </c>
      <c r="AE536" t="e">
        <f>VLOOKUP($Z536,'oddspedia-matches'!$A:$AD,AE$2,0)</f>
        <v>#N/A</v>
      </c>
      <c r="AF536" t="e">
        <f>VLOOKUP($Z536,'oddspedia-matches'!$A:$AD,AF$2,0)</f>
        <v>#N/A</v>
      </c>
      <c r="AG536" t="e">
        <f>VLOOKUP($Z536,'oddspedia-matches'!$A:$AD,AG$2,0)</f>
        <v>#N/A</v>
      </c>
      <c r="AH536" t="e">
        <f>VLOOKUP($Z536,'oddspedia-matches'!$A:$AD,AH$2,0)</f>
        <v>#N/A</v>
      </c>
      <c r="AI536" t="e">
        <f>VLOOKUP($Z536,'oddspedia-matches'!$A:$AD,AI$2,0)</f>
        <v>#N/A</v>
      </c>
      <c r="AJ536" t="e">
        <f>VLOOKUP($Z536,'oddspedia-matches'!$A:$AD,AJ$2,0)</f>
        <v>#N/A</v>
      </c>
      <c r="AK536" t="e">
        <f>VLOOKUP($Z536,'oddspedia-matches'!$A:$AD,AK$2,0)</f>
        <v>#N/A</v>
      </c>
      <c r="AL536" t="e">
        <f>VLOOKUP($Z536,'oddspedia-matches'!$A:$AD,AL$2,0)</f>
        <v>#N/A</v>
      </c>
      <c r="AM536" t="e">
        <f>VLOOKUP($Z536,'oddspedia-matches'!$A:$AD,AM$2,0)</f>
        <v>#N/A</v>
      </c>
      <c r="AN536" t="e">
        <f>VLOOKUP($Z536,'oddspedia-matches'!$A:$AD,AN$2,0)</f>
        <v>#N/A</v>
      </c>
      <c r="AO536" t="e">
        <f>VLOOKUP($Z536,'oddspedia-matches'!$A:$AD,AO$2,0)</f>
        <v>#N/A</v>
      </c>
      <c r="AP536" t="e">
        <f>VLOOKUP($Z536,'oddspedia-matches'!$A:$AD,AP$2,0)</f>
        <v>#N/A</v>
      </c>
      <c r="AQ536" t="e">
        <f>VLOOKUP($Z536,'oddspedia-matches'!$A:$AD,AQ$2,0)</f>
        <v>#N/A</v>
      </c>
    </row>
    <row r="537" spans="2:43" x14ac:dyDescent="0.2">
      <c r="B537" t="s">
        <v>486</v>
      </c>
      <c r="C537" t="s">
        <v>1231</v>
      </c>
      <c r="D537" s="25">
        <v>0.8125</v>
      </c>
      <c r="E537" t="s">
        <v>1273</v>
      </c>
      <c r="F537" t="s">
        <v>1274</v>
      </c>
      <c r="H537">
        <v>45.6</v>
      </c>
      <c r="I537">
        <v>27.7</v>
      </c>
      <c r="J537">
        <v>26.8</v>
      </c>
      <c r="K537">
        <v>73.2</v>
      </c>
      <c r="L537">
        <v>54.4</v>
      </c>
      <c r="M537">
        <v>72.3</v>
      </c>
      <c r="N537">
        <v>31.6</v>
      </c>
      <c r="O537">
        <v>40.9</v>
      </c>
      <c r="P537">
        <v>27.5</v>
      </c>
      <c r="Q537">
        <v>73.8</v>
      </c>
      <c r="R537">
        <v>76.900000000000006</v>
      </c>
      <c r="S537">
        <v>51.5</v>
      </c>
      <c r="T537">
        <v>48.5</v>
      </c>
      <c r="U537">
        <v>54.5</v>
      </c>
      <c r="V537">
        <v>55.7</v>
      </c>
      <c r="W537">
        <v>44.3</v>
      </c>
      <c r="X537" t="str">
        <f>VLOOKUP(E537,'Transform table'!A:B,2,0)</f>
        <v>Liverpool Montevideo</v>
      </c>
      <c r="Y537" t="e">
        <f>VLOOKUP(F537,'Transform table'!A:B,2,0)</f>
        <v>#N/A</v>
      </c>
      <c r="Z537" t="e">
        <f t="shared" si="8"/>
        <v>#N/A</v>
      </c>
      <c r="AA537" t="e">
        <f>VLOOKUP($Z537,'oddspedia-matches'!$A:$AD,AA$2,0)</f>
        <v>#N/A</v>
      </c>
      <c r="AB537" t="e">
        <f>VLOOKUP($Z537,'oddspedia-matches'!$A:$AD,AB$2,0)</f>
        <v>#N/A</v>
      </c>
      <c r="AC537" t="e">
        <f>VLOOKUP($Z537,'oddspedia-matches'!$A:$AD,AC$2,0)</f>
        <v>#N/A</v>
      </c>
      <c r="AD537" t="e">
        <f>VLOOKUP($Z537,'oddspedia-matches'!$A:$AD,AD$2,0)</f>
        <v>#N/A</v>
      </c>
      <c r="AE537" t="e">
        <f>VLOOKUP($Z537,'oddspedia-matches'!$A:$AD,AE$2,0)</f>
        <v>#N/A</v>
      </c>
      <c r="AF537" t="e">
        <f>VLOOKUP($Z537,'oddspedia-matches'!$A:$AD,AF$2,0)</f>
        <v>#N/A</v>
      </c>
      <c r="AG537" t="e">
        <f>VLOOKUP($Z537,'oddspedia-matches'!$A:$AD,AG$2,0)</f>
        <v>#N/A</v>
      </c>
      <c r="AH537" t="e">
        <f>VLOOKUP($Z537,'oddspedia-matches'!$A:$AD,AH$2,0)</f>
        <v>#N/A</v>
      </c>
      <c r="AI537" t="e">
        <f>VLOOKUP($Z537,'oddspedia-matches'!$A:$AD,AI$2,0)</f>
        <v>#N/A</v>
      </c>
      <c r="AJ537" t="e">
        <f>VLOOKUP($Z537,'oddspedia-matches'!$A:$AD,AJ$2,0)</f>
        <v>#N/A</v>
      </c>
      <c r="AK537" t="e">
        <f>VLOOKUP($Z537,'oddspedia-matches'!$A:$AD,AK$2,0)</f>
        <v>#N/A</v>
      </c>
      <c r="AL537" t="e">
        <f>VLOOKUP($Z537,'oddspedia-matches'!$A:$AD,AL$2,0)</f>
        <v>#N/A</v>
      </c>
      <c r="AM537" t="e">
        <f>VLOOKUP($Z537,'oddspedia-matches'!$A:$AD,AM$2,0)</f>
        <v>#N/A</v>
      </c>
      <c r="AN537" t="e">
        <f>VLOOKUP($Z537,'oddspedia-matches'!$A:$AD,AN$2,0)</f>
        <v>#N/A</v>
      </c>
      <c r="AO537" t="e">
        <f>VLOOKUP($Z537,'oddspedia-matches'!$A:$AD,AO$2,0)</f>
        <v>#N/A</v>
      </c>
      <c r="AP537" t="e">
        <f>VLOOKUP($Z537,'oddspedia-matches'!$A:$AD,AP$2,0)</f>
        <v>#N/A</v>
      </c>
      <c r="AQ537" t="e">
        <f>VLOOKUP($Z537,'oddspedia-matches'!$A:$AD,AQ$2,0)</f>
        <v>#N/A</v>
      </c>
    </row>
    <row r="538" spans="2:43" x14ac:dyDescent="0.2">
      <c r="B538" t="s">
        <v>647</v>
      </c>
      <c r="C538" t="s">
        <v>1231</v>
      </c>
      <c r="D538" s="25">
        <v>0.83333333333333337</v>
      </c>
      <c r="E538" t="s">
        <v>702</v>
      </c>
      <c r="F538" t="s">
        <v>700</v>
      </c>
      <c r="H538">
        <v>50.1</v>
      </c>
      <c r="I538">
        <v>31.3</v>
      </c>
      <c r="J538">
        <v>18.600000000000001</v>
      </c>
      <c r="K538">
        <v>81.400000000000006</v>
      </c>
      <c r="L538">
        <v>49.9</v>
      </c>
      <c r="M538">
        <v>68.7</v>
      </c>
      <c r="N538">
        <v>31.7</v>
      </c>
      <c r="O538">
        <v>58.9</v>
      </c>
      <c r="P538">
        <v>9.3000000000000007</v>
      </c>
      <c r="Q538">
        <v>45.4</v>
      </c>
      <c r="R538">
        <v>59.1</v>
      </c>
      <c r="S538">
        <v>30.8</v>
      </c>
      <c r="T538">
        <v>69.2</v>
      </c>
      <c r="U538">
        <v>74.900000000000006</v>
      </c>
      <c r="V538">
        <v>36.299999999999997</v>
      </c>
      <c r="W538">
        <v>63.7</v>
      </c>
      <c r="X538" t="str">
        <f>VLOOKUP(E538,'Transform table'!A:B,2,0)</f>
        <v>CA Atlanta</v>
      </c>
      <c r="Y538" t="str">
        <f>VLOOKUP(F538,'Transform table'!A:B,2,0)</f>
        <v>Club Almagro</v>
      </c>
      <c r="Z538" t="str">
        <f t="shared" si="8"/>
        <v>27/07/2026CA AtlantaClub Almagro</v>
      </c>
      <c r="AA538" t="e">
        <f>VLOOKUP($Z538,'oddspedia-matches'!$A:$AD,AA$2,0)</f>
        <v>#N/A</v>
      </c>
      <c r="AB538" t="e">
        <f>VLOOKUP($Z538,'oddspedia-matches'!$A:$AD,AB$2,0)</f>
        <v>#N/A</v>
      </c>
      <c r="AC538" t="e">
        <f>VLOOKUP($Z538,'oddspedia-matches'!$A:$AD,AC$2,0)</f>
        <v>#N/A</v>
      </c>
      <c r="AD538" t="e">
        <f>VLOOKUP($Z538,'oddspedia-matches'!$A:$AD,AD$2,0)</f>
        <v>#N/A</v>
      </c>
      <c r="AE538" t="e">
        <f>VLOOKUP($Z538,'oddspedia-matches'!$A:$AD,AE$2,0)</f>
        <v>#N/A</v>
      </c>
      <c r="AF538" t="e">
        <f>VLOOKUP($Z538,'oddspedia-matches'!$A:$AD,AF$2,0)</f>
        <v>#N/A</v>
      </c>
      <c r="AG538" t="e">
        <f>VLOOKUP($Z538,'oddspedia-matches'!$A:$AD,AG$2,0)</f>
        <v>#N/A</v>
      </c>
      <c r="AH538" t="e">
        <f>VLOOKUP($Z538,'oddspedia-matches'!$A:$AD,AH$2,0)</f>
        <v>#N/A</v>
      </c>
      <c r="AI538" t="e">
        <f>VLOOKUP($Z538,'oddspedia-matches'!$A:$AD,AI$2,0)</f>
        <v>#N/A</v>
      </c>
      <c r="AJ538" t="e">
        <f>VLOOKUP($Z538,'oddspedia-matches'!$A:$AD,AJ$2,0)</f>
        <v>#N/A</v>
      </c>
      <c r="AK538" t="e">
        <f>VLOOKUP($Z538,'oddspedia-matches'!$A:$AD,AK$2,0)</f>
        <v>#N/A</v>
      </c>
      <c r="AL538" t="e">
        <f>VLOOKUP($Z538,'oddspedia-matches'!$A:$AD,AL$2,0)</f>
        <v>#N/A</v>
      </c>
      <c r="AM538" t="e">
        <f>VLOOKUP($Z538,'oddspedia-matches'!$A:$AD,AM$2,0)</f>
        <v>#N/A</v>
      </c>
      <c r="AN538" t="e">
        <f>VLOOKUP($Z538,'oddspedia-matches'!$A:$AD,AN$2,0)</f>
        <v>#N/A</v>
      </c>
      <c r="AO538" t="e">
        <f>VLOOKUP($Z538,'oddspedia-matches'!$A:$AD,AO$2,0)</f>
        <v>#N/A</v>
      </c>
      <c r="AP538" t="e">
        <f>VLOOKUP($Z538,'oddspedia-matches'!$A:$AD,AP$2,0)</f>
        <v>#N/A</v>
      </c>
      <c r="AQ538" t="e">
        <f>VLOOKUP($Z538,'oddspedia-matches'!$A:$AD,AQ$2,0)</f>
        <v>#N/A</v>
      </c>
    </row>
    <row r="539" spans="2:43" x14ac:dyDescent="0.2">
      <c r="B539" t="s">
        <v>728</v>
      </c>
      <c r="C539" t="s">
        <v>1231</v>
      </c>
      <c r="D539" s="25">
        <v>0.83333333333333337</v>
      </c>
      <c r="E539" t="s">
        <v>1275</v>
      </c>
      <c r="F539" t="s">
        <v>1276</v>
      </c>
      <c r="H539">
        <v>42.7</v>
      </c>
      <c r="I539">
        <v>27.4</v>
      </c>
      <c r="J539">
        <v>30</v>
      </c>
      <c r="K539">
        <v>70</v>
      </c>
      <c r="L539">
        <v>57.3</v>
      </c>
      <c r="M539">
        <v>72.599999999999994</v>
      </c>
      <c r="N539">
        <v>41.3</v>
      </c>
      <c r="O539">
        <v>37.4</v>
      </c>
      <c r="P539">
        <v>21.3</v>
      </c>
      <c r="Q539">
        <v>77.5</v>
      </c>
      <c r="R539">
        <v>79.7</v>
      </c>
      <c r="S539">
        <v>55.4</v>
      </c>
      <c r="T539">
        <v>44.6</v>
      </c>
      <c r="U539">
        <v>50.4</v>
      </c>
      <c r="V539">
        <v>59.4</v>
      </c>
      <c r="W539">
        <v>40.6</v>
      </c>
      <c r="X539" t="str">
        <f>VLOOKUP(E539,'Transform table'!A:B,2,0)</f>
        <v>Floriana</v>
      </c>
      <c r="Y539" t="e">
        <f>VLOOKUP(F539,'Transform table'!A:B,2,0)</f>
        <v>#N/A</v>
      </c>
      <c r="Z539" t="e">
        <f t="shared" si="8"/>
        <v>#N/A</v>
      </c>
      <c r="AA539" t="e">
        <f>VLOOKUP($Z539,'oddspedia-matches'!$A:$AD,AA$2,0)</f>
        <v>#N/A</v>
      </c>
      <c r="AB539" t="e">
        <f>VLOOKUP($Z539,'oddspedia-matches'!$A:$AD,AB$2,0)</f>
        <v>#N/A</v>
      </c>
      <c r="AC539" t="e">
        <f>VLOOKUP($Z539,'oddspedia-matches'!$A:$AD,AC$2,0)</f>
        <v>#N/A</v>
      </c>
      <c r="AD539" t="e">
        <f>VLOOKUP($Z539,'oddspedia-matches'!$A:$AD,AD$2,0)</f>
        <v>#N/A</v>
      </c>
      <c r="AE539" t="e">
        <f>VLOOKUP($Z539,'oddspedia-matches'!$A:$AD,AE$2,0)</f>
        <v>#N/A</v>
      </c>
      <c r="AF539" t="e">
        <f>VLOOKUP($Z539,'oddspedia-matches'!$A:$AD,AF$2,0)</f>
        <v>#N/A</v>
      </c>
      <c r="AG539" t="e">
        <f>VLOOKUP($Z539,'oddspedia-matches'!$A:$AD,AG$2,0)</f>
        <v>#N/A</v>
      </c>
      <c r="AH539" t="e">
        <f>VLOOKUP($Z539,'oddspedia-matches'!$A:$AD,AH$2,0)</f>
        <v>#N/A</v>
      </c>
      <c r="AI539" t="e">
        <f>VLOOKUP($Z539,'oddspedia-matches'!$A:$AD,AI$2,0)</f>
        <v>#N/A</v>
      </c>
      <c r="AJ539" t="e">
        <f>VLOOKUP($Z539,'oddspedia-matches'!$A:$AD,AJ$2,0)</f>
        <v>#N/A</v>
      </c>
      <c r="AK539" t="e">
        <f>VLOOKUP($Z539,'oddspedia-matches'!$A:$AD,AK$2,0)</f>
        <v>#N/A</v>
      </c>
      <c r="AL539" t="e">
        <f>VLOOKUP($Z539,'oddspedia-matches'!$A:$AD,AL$2,0)</f>
        <v>#N/A</v>
      </c>
      <c r="AM539" t="e">
        <f>VLOOKUP($Z539,'oddspedia-matches'!$A:$AD,AM$2,0)</f>
        <v>#N/A</v>
      </c>
      <c r="AN539" t="e">
        <f>VLOOKUP($Z539,'oddspedia-matches'!$A:$AD,AN$2,0)</f>
        <v>#N/A</v>
      </c>
      <c r="AO539" t="e">
        <f>VLOOKUP($Z539,'oddspedia-matches'!$A:$AD,AO$2,0)</f>
        <v>#N/A</v>
      </c>
      <c r="AP539" t="e">
        <f>VLOOKUP($Z539,'oddspedia-matches'!$A:$AD,AP$2,0)</f>
        <v>#N/A</v>
      </c>
      <c r="AQ539" t="e">
        <f>VLOOKUP($Z539,'oddspedia-matches'!$A:$AD,AQ$2,0)</f>
        <v>#N/A</v>
      </c>
    </row>
    <row r="540" spans="2:43" x14ac:dyDescent="0.2">
      <c r="B540" t="s">
        <v>728</v>
      </c>
      <c r="C540" t="s">
        <v>1231</v>
      </c>
      <c r="D540" s="25">
        <v>0.83333333333333337</v>
      </c>
      <c r="E540" t="s">
        <v>1277</v>
      </c>
      <c r="F540" t="s">
        <v>1278</v>
      </c>
      <c r="H540">
        <v>51.6</v>
      </c>
      <c r="I540">
        <v>27</v>
      </c>
      <c r="J540">
        <v>21.4</v>
      </c>
      <c r="K540">
        <v>78.599999999999994</v>
      </c>
      <c r="L540">
        <v>48.4</v>
      </c>
      <c r="M540">
        <v>73</v>
      </c>
      <c r="N540">
        <v>44.8</v>
      </c>
      <c r="O540">
        <v>42.5</v>
      </c>
      <c r="P540">
        <v>12.7</v>
      </c>
      <c r="Q540">
        <v>66.900000000000006</v>
      </c>
      <c r="R540">
        <v>75.099999999999994</v>
      </c>
      <c r="S540">
        <v>49.1</v>
      </c>
      <c r="T540">
        <v>50.9</v>
      </c>
      <c r="U540">
        <v>57.5</v>
      </c>
      <c r="V540">
        <v>51.9</v>
      </c>
      <c r="W540">
        <v>48.1</v>
      </c>
      <c r="X540" t="str">
        <f>VLOOKUP(E540,'Transform table'!A:B,2,0)</f>
        <v>Guarani SC</v>
      </c>
      <c r="Y540" t="e">
        <f>VLOOKUP(F540,'Transform table'!A:B,2,0)</f>
        <v>#N/A</v>
      </c>
      <c r="Z540" t="e">
        <f t="shared" si="8"/>
        <v>#N/A</v>
      </c>
      <c r="AA540" t="e">
        <f>VLOOKUP($Z540,'oddspedia-matches'!$A:$AD,AA$2,0)</f>
        <v>#N/A</v>
      </c>
      <c r="AB540" t="e">
        <f>VLOOKUP($Z540,'oddspedia-matches'!$A:$AD,AB$2,0)</f>
        <v>#N/A</v>
      </c>
      <c r="AC540" t="e">
        <f>VLOOKUP($Z540,'oddspedia-matches'!$A:$AD,AC$2,0)</f>
        <v>#N/A</v>
      </c>
      <c r="AD540" t="e">
        <f>VLOOKUP($Z540,'oddspedia-matches'!$A:$AD,AD$2,0)</f>
        <v>#N/A</v>
      </c>
      <c r="AE540" t="e">
        <f>VLOOKUP($Z540,'oddspedia-matches'!$A:$AD,AE$2,0)</f>
        <v>#N/A</v>
      </c>
      <c r="AF540" t="e">
        <f>VLOOKUP($Z540,'oddspedia-matches'!$A:$AD,AF$2,0)</f>
        <v>#N/A</v>
      </c>
      <c r="AG540" t="e">
        <f>VLOOKUP($Z540,'oddspedia-matches'!$A:$AD,AG$2,0)</f>
        <v>#N/A</v>
      </c>
      <c r="AH540" t="e">
        <f>VLOOKUP($Z540,'oddspedia-matches'!$A:$AD,AH$2,0)</f>
        <v>#N/A</v>
      </c>
      <c r="AI540" t="e">
        <f>VLOOKUP($Z540,'oddspedia-matches'!$A:$AD,AI$2,0)</f>
        <v>#N/A</v>
      </c>
      <c r="AJ540" t="e">
        <f>VLOOKUP($Z540,'oddspedia-matches'!$A:$AD,AJ$2,0)</f>
        <v>#N/A</v>
      </c>
      <c r="AK540" t="e">
        <f>VLOOKUP($Z540,'oddspedia-matches'!$A:$AD,AK$2,0)</f>
        <v>#N/A</v>
      </c>
      <c r="AL540" t="e">
        <f>VLOOKUP($Z540,'oddspedia-matches'!$A:$AD,AL$2,0)</f>
        <v>#N/A</v>
      </c>
      <c r="AM540" t="e">
        <f>VLOOKUP($Z540,'oddspedia-matches'!$A:$AD,AM$2,0)</f>
        <v>#N/A</v>
      </c>
      <c r="AN540" t="e">
        <f>VLOOKUP($Z540,'oddspedia-matches'!$A:$AD,AN$2,0)</f>
        <v>#N/A</v>
      </c>
      <c r="AO540" t="e">
        <f>VLOOKUP($Z540,'oddspedia-matches'!$A:$AD,AO$2,0)</f>
        <v>#N/A</v>
      </c>
      <c r="AP540" t="e">
        <f>VLOOKUP($Z540,'oddspedia-matches'!$A:$AD,AP$2,0)</f>
        <v>#N/A</v>
      </c>
      <c r="AQ540" t="e">
        <f>VLOOKUP($Z540,'oddspedia-matches'!$A:$AD,AQ$2,0)</f>
        <v>#N/A</v>
      </c>
    </row>
    <row r="541" spans="2:43" x14ac:dyDescent="0.2">
      <c r="B541" t="s">
        <v>485</v>
      </c>
      <c r="C541" t="s">
        <v>1231</v>
      </c>
      <c r="D541" s="25">
        <v>0.83333333333333337</v>
      </c>
      <c r="E541" t="s">
        <v>183</v>
      </c>
      <c r="F541" t="s">
        <v>184</v>
      </c>
      <c r="H541">
        <v>36.1</v>
      </c>
      <c r="I541">
        <v>30.4</v>
      </c>
      <c r="J541">
        <v>33.4</v>
      </c>
      <c r="K541">
        <v>66.599999999999994</v>
      </c>
      <c r="L541">
        <v>63.9</v>
      </c>
      <c r="M541">
        <v>69.599999999999994</v>
      </c>
      <c r="N541">
        <v>26.1</v>
      </c>
      <c r="O541">
        <v>45.3</v>
      </c>
      <c r="P541">
        <v>28.6</v>
      </c>
      <c r="Q541">
        <v>67</v>
      </c>
      <c r="R541">
        <v>70.599999999999994</v>
      </c>
      <c r="S541">
        <v>43.2</v>
      </c>
      <c r="T541">
        <v>56.8</v>
      </c>
      <c r="U541">
        <v>62</v>
      </c>
      <c r="V541">
        <v>50.4</v>
      </c>
      <c r="W541">
        <v>49.6</v>
      </c>
      <c r="X541" t="str">
        <f>VLOOKUP(E541,'Transform table'!A:B,2,0)</f>
        <v>Union La Calera</v>
      </c>
      <c r="Y541" t="str">
        <f>VLOOKUP(F541,'Transform table'!A:B,2,0)</f>
        <v>Everton de Vina</v>
      </c>
      <c r="Z541" t="str">
        <f t="shared" si="8"/>
        <v>27/07/2026Union La CaleraEverton de Vina</v>
      </c>
      <c r="AA541" t="e">
        <f>VLOOKUP($Z541,'oddspedia-matches'!$A:$AD,AA$2,0)</f>
        <v>#N/A</v>
      </c>
      <c r="AB541" t="e">
        <f>VLOOKUP($Z541,'oddspedia-matches'!$A:$AD,AB$2,0)</f>
        <v>#N/A</v>
      </c>
      <c r="AC541" t="e">
        <f>VLOOKUP($Z541,'oddspedia-matches'!$A:$AD,AC$2,0)</f>
        <v>#N/A</v>
      </c>
      <c r="AD541" t="e">
        <f>VLOOKUP($Z541,'oddspedia-matches'!$A:$AD,AD$2,0)</f>
        <v>#N/A</v>
      </c>
      <c r="AE541" t="e">
        <f>VLOOKUP($Z541,'oddspedia-matches'!$A:$AD,AE$2,0)</f>
        <v>#N/A</v>
      </c>
      <c r="AF541" t="e">
        <f>VLOOKUP($Z541,'oddspedia-matches'!$A:$AD,AF$2,0)</f>
        <v>#N/A</v>
      </c>
      <c r="AG541" t="e">
        <f>VLOOKUP($Z541,'oddspedia-matches'!$A:$AD,AG$2,0)</f>
        <v>#N/A</v>
      </c>
      <c r="AH541" t="e">
        <f>VLOOKUP($Z541,'oddspedia-matches'!$A:$AD,AH$2,0)</f>
        <v>#N/A</v>
      </c>
      <c r="AI541" t="e">
        <f>VLOOKUP($Z541,'oddspedia-matches'!$A:$AD,AI$2,0)</f>
        <v>#N/A</v>
      </c>
      <c r="AJ541" t="e">
        <f>VLOOKUP($Z541,'oddspedia-matches'!$A:$AD,AJ$2,0)</f>
        <v>#N/A</v>
      </c>
      <c r="AK541" t="e">
        <f>VLOOKUP($Z541,'oddspedia-matches'!$A:$AD,AK$2,0)</f>
        <v>#N/A</v>
      </c>
      <c r="AL541" t="e">
        <f>VLOOKUP($Z541,'oddspedia-matches'!$A:$AD,AL$2,0)</f>
        <v>#N/A</v>
      </c>
      <c r="AM541" t="e">
        <f>VLOOKUP($Z541,'oddspedia-matches'!$A:$AD,AM$2,0)</f>
        <v>#N/A</v>
      </c>
      <c r="AN541" t="e">
        <f>VLOOKUP($Z541,'oddspedia-matches'!$A:$AD,AN$2,0)</f>
        <v>#N/A</v>
      </c>
      <c r="AO541" t="e">
        <f>VLOOKUP($Z541,'oddspedia-matches'!$A:$AD,AO$2,0)</f>
        <v>#N/A</v>
      </c>
      <c r="AP541" t="e">
        <f>VLOOKUP($Z541,'oddspedia-matches'!$A:$AD,AP$2,0)</f>
        <v>#N/A</v>
      </c>
      <c r="AQ541" t="e">
        <f>VLOOKUP($Z541,'oddspedia-matches'!$A:$AD,AQ$2,0)</f>
        <v>#N/A</v>
      </c>
    </row>
    <row r="542" spans="2:43" x14ac:dyDescent="0.2">
      <c r="B542" t="s">
        <v>488</v>
      </c>
      <c r="C542" t="s">
        <v>1231</v>
      </c>
      <c r="D542" s="25">
        <v>0.83333333333333337</v>
      </c>
      <c r="E542" t="s">
        <v>1279</v>
      </c>
      <c r="F542" t="s">
        <v>1280</v>
      </c>
      <c r="H542">
        <v>45.8</v>
      </c>
      <c r="I542">
        <v>26.8</v>
      </c>
      <c r="J542">
        <v>27.4</v>
      </c>
      <c r="K542">
        <v>72.599999999999994</v>
      </c>
      <c r="L542">
        <v>54.2</v>
      </c>
      <c r="M542">
        <v>73.2</v>
      </c>
      <c r="N542">
        <v>37.1</v>
      </c>
      <c r="O542">
        <v>38.4</v>
      </c>
      <c r="P542">
        <v>24.5</v>
      </c>
      <c r="Q542">
        <v>77</v>
      </c>
      <c r="R542">
        <v>80.599999999999994</v>
      </c>
      <c r="S542">
        <v>56.8</v>
      </c>
      <c r="T542">
        <v>43.2</v>
      </c>
      <c r="U542">
        <v>49.2</v>
      </c>
      <c r="V542">
        <v>59.9</v>
      </c>
      <c r="W542">
        <v>40.1</v>
      </c>
      <c r="X542" t="str">
        <f>VLOOKUP(E542,'Transform table'!A:B,2,0)</f>
        <v>Union de Touarga</v>
      </c>
      <c r="Y542" t="e">
        <f>VLOOKUP(F542,'Transform table'!A:B,2,0)</f>
        <v>#N/A</v>
      </c>
      <c r="Z542" t="e">
        <f t="shared" si="8"/>
        <v>#N/A</v>
      </c>
      <c r="AA542" t="e">
        <f>VLOOKUP($Z542,'oddspedia-matches'!$A:$AD,AA$2,0)</f>
        <v>#N/A</v>
      </c>
      <c r="AB542" t="e">
        <f>VLOOKUP($Z542,'oddspedia-matches'!$A:$AD,AB$2,0)</f>
        <v>#N/A</v>
      </c>
      <c r="AC542" t="e">
        <f>VLOOKUP($Z542,'oddspedia-matches'!$A:$AD,AC$2,0)</f>
        <v>#N/A</v>
      </c>
      <c r="AD542" t="e">
        <f>VLOOKUP($Z542,'oddspedia-matches'!$A:$AD,AD$2,0)</f>
        <v>#N/A</v>
      </c>
      <c r="AE542" t="e">
        <f>VLOOKUP($Z542,'oddspedia-matches'!$A:$AD,AE$2,0)</f>
        <v>#N/A</v>
      </c>
      <c r="AF542" t="e">
        <f>VLOOKUP($Z542,'oddspedia-matches'!$A:$AD,AF$2,0)</f>
        <v>#N/A</v>
      </c>
      <c r="AG542" t="e">
        <f>VLOOKUP($Z542,'oddspedia-matches'!$A:$AD,AG$2,0)</f>
        <v>#N/A</v>
      </c>
      <c r="AH542" t="e">
        <f>VLOOKUP($Z542,'oddspedia-matches'!$A:$AD,AH$2,0)</f>
        <v>#N/A</v>
      </c>
      <c r="AI542" t="e">
        <f>VLOOKUP($Z542,'oddspedia-matches'!$A:$AD,AI$2,0)</f>
        <v>#N/A</v>
      </c>
      <c r="AJ542" t="e">
        <f>VLOOKUP($Z542,'oddspedia-matches'!$A:$AD,AJ$2,0)</f>
        <v>#N/A</v>
      </c>
      <c r="AK542" t="e">
        <f>VLOOKUP($Z542,'oddspedia-matches'!$A:$AD,AK$2,0)</f>
        <v>#N/A</v>
      </c>
      <c r="AL542" t="e">
        <f>VLOOKUP($Z542,'oddspedia-matches'!$A:$AD,AL$2,0)</f>
        <v>#N/A</v>
      </c>
      <c r="AM542" t="e">
        <f>VLOOKUP($Z542,'oddspedia-matches'!$A:$AD,AM$2,0)</f>
        <v>#N/A</v>
      </c>
      <c r="AN542" t="e">
        <f>VLOOKUP($Z542,'oddspedia-matches'!$A:$AD,AN$2,0)</f>
        <v>#N/A</v>
      </c>
      <c r="AO542" t="e">
        <f>VLOOKUP($Z542,'oddspedia-matches'!$A:$AD,AO$2,0)</f>
        <v>#N/A</v>
      </c>
      <c r="AP542" t="e">
        <f>VLOOKUP($Z542,'oddspedia-matches'!$A:$AD,AP$2,0)</f>
        <v>#N/A</v>
      </c>
      <c r="AQ542" t="e">
        <f>VLOOKUP($Z542,'oddspedia-matches'!$A:$AD,AQ$2,0)</f>
        <v>#N/A</v>
      </c>
    </row>
    <row r="543" spans="2:43" x14ac:dyDescent="0.2">
      <c r="B543" t="s">
        <v>452</v>
      </c>
      <c r="C543" t="s">
        <v>1231</v>
      </c>
      <c r="D543" s="25">
        <v>0.875</v>
      </c>
      <c r="E543" t="s">
        <v>36</v>
      </c>
      <c r="F543" t="s">
        <v>116</v>
      </c>
      <c r="H543">
        <v>37.4</v>
      </c>
      <c r="I543">
        <v>33.299999999999997</v>
      </c>
      <c r="J543">
        <v>29.3</v>
      </c>
      <c r="K543">
        <v>70.7</v>
      </c>
      <c r="L543">
        <v>62.6</v>
      </c>
      <c r="M543">
        <v>66.7</v>
      </c>
      <c r="N543">
        <v>23.6</v>
      </c>
      <c r="O543">
        <v>54.3</v>
      </c>
      <c r="P543">
        <v>22.2</v>
      </c>
      <c r="Q543">
        <v>53.7</v>
      </c>
      <c r="R543">
        <v>60.8</v>
      </c>
      <c r="S543">
        <v>32.4</v>
      </c>
      <c r="T543">
        <v>67.599999999999994</v>
      </c>
      <c r="U543">
        <v>72.2</v>
      </c>
      <c r="V543">
        <v>41.2</v>
      </c>
      <c r="W543">
        <v>58.8</v>
      </c>
      <c r="X543" t="str">
        <f>VLOOKUP(E543,'Transform table'!A:B,2,0)</f>
        <v>Deportivo Cuenca</v>
      </c>
      <c r="Y543" t="str">
        <f>VLOOKUP(F543,'Transform table'!A:B,2,0)</f>
        <v>Emelec</v>
      </c>
      <c r="Z543" t="str">
        <f t="shared" si="8"/>
        <v>27/07/2026Deportivo CuencaEmelec</v>
      </c>
      <c r="AA543" t="e">
        <f>VLOOKUP($Z543,'oddspedia-matches'!$A:$AD,AA$2,0)</f>
        <v>#N/A</v>
      </c>
      <c r="AB543" t="e">
        <f>VLOOKUP($Z543,'oddspedia-matches'!$A:$AD,AB$2,0)</f>
        <v>#N/A</v>
      </c>
      <c r="AC543" t="e">
        <f>VLOOKUP($Z543,'oddspedia-matches'!$A:$AD,AC$2,0)</f>
        <v>#N/A</v>
      </c>
      <c r="AD543" t="e">
        <f>VLOOKUP($Z543,'oddspedia-matches'!$A:$AD,AD$2,0)</f>
        <v>#N/A</v>
      </c>
      <c r="AE543" t="e">
        <f>VLOOKUP($Z543,'oddspedia-matches'!$A:$AD,AE$2,0)</f>
        <v>#N/A</v>
      </c>
      <c r="AF543" t="e">
        <f>VLOOKUP($Z543,'oddspedia-matches'!$A:$AD,AF$2,0)</f>
        <v>#N/A</v>
      </c>
      <c r="AG543" t="e">
        <f>VLOOKUP($Z543,'oddspedia-matches'!$A:$AD,AG$2,0)</f>
        <v>#N/A</v>
      </c>
      <c r="AH543" t="e">
        <f>VLOOKUP($Z543,'oddspedia-matches'!$A:$AD,AH$2,0)</f>
        <v>#N/A</v>
      </c>
      <c r="AI543" t="e">
        <f>VLOOKUP($Z543,'oddspedia-matches'!$A:$AD,AI$2,0)</f>
        <v>#N/A</v>
      </c>
      <c r="AJ543" t="e">
        <f>VLOOKUP($Z543,'oddspedia-matches'!$A:$AD,AJ$2,0)</f>
        <v>#N/A</v>
      </c>
      <c r="AK543" t="e">
        <f>VLOOKUP($Z543,'oddspedia-matches'!$A:$AD,AK$2,0)</f>
        <v>#N/A</v>
      </c>
      <c r="AL543" t="e">
        <f>VLOOKUP($Z543,'oddspedia-matches'!$A:$AD,AL$2,0)</f>
        <v>#N/A</v>
      </c>
      <c r="AM543" t="e">
        <f>VLOOKUP($Z543,'oddspedia-matches'!$A:$AD,AM$2,0)</f>
        <v>#N/A</v>
      </c>
      <c r="AN543" t="e">
        <f>VLOOKUP($Z543,'oddspedia-matches'!$A:$AD,AN$2,0)</f>
        <v>#N/A</v>
      </c>
      <c r="AO543" t="e">
        <f>VLOOKUP($Z543,'oddspedia-matches'!$A:$AD,AO$2,0)</f>
        <v>#N/A</v>
      </c>
      <c r="AP543" t="e">
        <f>VLOOKUP($Z543,'oddspedia-matches'!$A:$AD,AP$2,0)</f>
        <v>#N/A</v>
      </c>
      <c r="AQ543" t="e">
        <f>VLOOKUP($Z543,'oddspedia-matches'!$A:$AD,AQ$2,0)</f>
        <v>#N/A</v>
      </c>
    </row>
    <row r="544" spans="2:43" x14ac:dyDescent="0.2">
      <c r="B544" t="s">
        <v>483</v>
      </c>
      <c r="C544" t="s">
        <v>1231</v>
      </c>
      <c r="D544" s="25">
        <v>0.89583333333333337</v>
      </c>
      <c r="E544" t="s">
        <v>1281</v>
      </c>
      <c r="F544" t="s">
        <v>1282</v>
      </c>
      <c r="H544">
        <v>34</v>
      </c>
      <c r="I544">
        <v>32.5</v>
      </c>
      <c r="J544">
        <v>33.6</v>
      </c>
      <c r="K544">
        <v>66.400000000000006</v>
      </c>
      <c r="L544">
        <v>66</v>
      </c>
      <c r="M544">
        <v>67.5</v>
      </c>
      <c r="N544">
        <v>20</v>
      </c>
      <c r="O544">
        <v>48.4</v>
      </c>
      <c r="P544">
        <v>31.6</v>
      </c>
      <c r="Q544">
        <v>61.9</v>
      </c>
      <c r="R544">
        <v>64.5</v>
      </c>
      <c r="S544">
        <v>36.200000000000003</v>
      </c>
      <c r="T544">
        <v>63.8</v>
      </c>
      <c r="U544">
        <v>68.599999999999994</v>
      </c>
      <c r="V544">
        <v>44.6</v>
      </c>
      <c r="W544">
        <v>55.4</v>
      </c>
      <c r="X544" t="str">
        <f>VLOOKUP(E544,'Transform table'!A:B,2,0)</f>
        <v>Atletico Argentino</v>
      </c>
      <c r="Y544" t="e">
        <f>VLOOKUP(F544,'Transform table'!A:B,2,0)</f>
        <v>#N/A</v>
      </c>
      <c r="Z544" t="e">
        <f t="shared" si="8"/>
        <v>#N/A</v>
      </c>
      <c r="AA544" t="e">
        <f>VLOOKUP($Z544,'oddspedia-matches'!$A:$AD,AA$2,0)</f>
        <v>#N/A</v>
      </c>
      <c r="AB544" t="e">
        <f>VLOOKUP($Z544,'oddspedia-matches'!$A:$AD,AB$2,0)</f>
        <v>#N/A</v>
      </c>
      <c r="AC544" t="e">
        <f>VLOOKUP($Z544,'oddspedia-matches'!$A:$AD,AC$2,0)</f>
        <v>#N/A</v>
      </c>
      <c r="AD544" t="e">
        <f>VLOOKUP($Z544,'oddspedia-matches'!$A:$AD,AD$2,0)</f>
        <v>#N/A</v>
      </c>
      <c r="AE544" t="e">
        <f>VLOOKUP($Z544,'oddspedia-matches'!$A:$AD,AE$2,0)</f>
        <v>#N/A</v>
      </c>
      <c r="AF544" t="e">
        <f>VLOOKUP($Z544,'oddspedia-matches'!$A:$AD,AF$2,0)</f>
        <v>#N/A</v>
      </c>
      <c r="AG544" t="e">
        <f>VLOOKUP($Z544,'oddspedia-matches'!$A:$AD,AG$2,0)</f>
        <v>#N/A</v>
      </c>
      <c r="AH544" t="e">
        <f>VLOOKUP($Z544,'oddspedia-matches'!$A:$AD,AH$2,0)</f>
        <v>#N/A</v>
      </c>
      <c r="AI544" t="e">
        <f>VLOOKUP($Z544,'oddspedia-matches'!$A:$AD,AI$2,0)</f>
        <v>#N/A</v>
      </c>
      <c r="AJ544" t="e">
        <f>VLOOKUP($Z544,'oddspedia-matches'!$A:$AD,AJ$2,0)</f>
        <v>#N/A</v>
      </c>
      <c r="AK544" t="e">
        <f>VLOOKUP($Z544,'oddspedia-matches'!$A:$AD,AK$2,0)</f>
        <v>#N/A</v>
      </c>
      <c r="AL544" t="e">
        <f>VLOOKUP($Z544,'oddspedia-matches'!$A:$AD,AL$2,0)</f>
        <v>#N/A</v>
      </c>
      <c r="AM544" t="e">
        <f>VLOOKUP($Z544,'oddspedia-matches'!$A:$AD,AM$2,0)</f>
        <v>#N/A</v>
      </c>
      <c r="AN544" t="e">
        <f>VLOOKUP($Z544,'oddspedia-matches'!$A:$AD,AN$2,0)</f>
        <v>#N/A</v>
      </c>
      <c r="AO544" t="e">
        <f>VLOOKUP($Z544,'oddspedia-matches'!$A:$AD,AO$2,0)</f>
        <v>#N/A</v>
      </c>
      <c r="AP544" t="e">
        <f>VLOOKUP($Z544,'oddspedia-matches'!$A:$AD,AP$2,0)</f>
        <v>#N/A</v>
      </c>
      <c r="AQ544" t="e">
        <f>VLOOKUP($Z544,'oddspedia-matches'!$A:$AD,AQ$2,0)</f>
        <v>#N/A</v>
      </c>
    </row>
    <row r="545" spans="2:43" x14ac:dyDescent="0.2">
      <c r="B545" t="s">
        <v>489</v>
      </c>
      <c r="C545" t="s">
        <v>1231</v>
      </c>
      <c r="D545" s="25">
        <v>0.9375</v>
      </c>
      <c r="E545" t="s">
        <v>1283</v>
      </c>
      <c r="F545" t="s">
        <v>1284</v>
      </c>
      <c r="H545">
        <v>47.7</v>
      </c>
      <c r="I545">
        <v>28</v>
      </c>
      <c r="J545">
        <v>24.3</v>
      </c>
      <c r="K545">
        <v>75.7</v>
      </c>
      <c r="L545">
        <v>52.3</v>
      </c>
      <c r="M545">
        <v>72</v>
      </c>
      <c r="N545">
        <v>27</v>
      </c>
      <c r="O545">
        <v>46.5</v>
      </c>
      <c r="P545">
        <v>26.5</v>
      </c>
      <c r="Q545">
        <v>65.2</v>
      </c>
      <c r="R545">
        <v>74.400000000000006</v>
      </c>
      <c r="S545">
        <v>48.1</v>
      </c>
      <c r="T545">
        <v>51.9</v>
      </c>
      <c r="U545">
        <v>58</v>
      </c>
      <c r="V545">
        <v>52.4</v>
      </c>
      <c r="W545">
        <v>47.6</v>
      </c>
      <c r="X545" t="str">
        <f>VLOOKUP(E545,'Transform table'!A:B,2,0)</f>
        <v>Torque</v>
      </c>
      <c r="Y545" t="e">
        <f>VLOOKUP(F545,'Transform table'!A:B,2,0)</f>
        <v>#N/A</v>
      </c>
      <c r="Z545" t="e">
        <f t="shared" si="8"/>
        <v>#N/A</v>
      </c>
      <c r="AA545" t="e">
        <f>VLOOKUP($Z545,'oddspedia-matches'!$A:$AD,AA$2,0)</f>
        <v>#N/A</v>
      </c>
      <c r="AB545" t="e">
        <f>VLOOKUP($Z545,'oddspedia-matches'!$A:$AD,AB$2,0)</f>
        <v>#N/A</v>
      </c>
      <c r="AC545" t="e">
        <f>VLOOKUP($Z545,'oddspedia-matches'!$A:$AD,AC$2,0)</f>
        <v>#N/A</v>
      </c>
      <c r="AD545" t="e">
        <f>VLOOKUP($Z545,'oddspedia-matches'!$A:$AD,AD$2,0)</f>
        <v>#N/A</v>
      </c>
      <c r="AE545" t="e">
        <f>VLOOKUP($Z545,'oddspedia-matches'!$A:$AD,AE$2,0)</f>
        <v>#N/A</v>
      </c>
      <c r="AF545" t="e">
        <f>VLOOKUP($Z545,'oddspedia-matches'!$A:$AD,AF$2,0)</f>
        <v>#N/A</v>
      </c>
      <c r="AG545" t="e">
        <f>VLOOKUP($Z545,'oddspedia-matches'!$A:$AD,AG$2,0)</f>
        <v>#N/A</v>
      </c>
      <c r="AH545" t="e">
        <f>VLOOKUP($Z545,'oddspedia-matches'!$A:$AD,AH$2,0)</f>
        <v>#N/A</v>
      </c>
      <c r="AI545" t="e">
        <f>VLOOKUP($Z545,'oddspedia-matches'!$A:$AD,AI$2,0)</f>
        <v>#N/A</v>
      </c>
      <c r="AJ545" t="e">
        <f>VLOOKUP($Z545,'oddspedia-matches'!$A:$AD,AJ$2,0)</f>
        <v>#N/A</v>
      </c>
      <c r="AK545" t="e">
        <f>VLOOKUP($Z545,'oddspedia-matches'!$A:$AD,AK$2,0)</f>
        <v>#N/A</v>
      </c>
      <c r="AL545" t="e">
        <f>VLOOKUP($Z545,'oddspedia-matches'!$A:$AD,AL$2,0)</f>
        <v>#N/A</v>
      </c>
      <c r="AM545" t="e">
        <f>VLOOKUP($Z545,'oddspedia-matches'!$A:$AD,AM$2,0)</f>
        <v>#N/A</v>
      </c>
      <c r="AN545" t="e">
        <f>VLOOKUP($Z545,'oddspedia-matches'!$A:$AD,AN$2,0)</f>
        <v>#N/A</v>
      </c>
      <c r="AO545" t="e">
        <f>VLOOKUP($Z545,'oddspedia-matches'!$A:$AD,AO$2,0)</f>
        <v>#N/A</v>
      </c>
      <c r="AP545" t="e">
        <f>VLOOKUP($Z545,'oddspedia-matches'!$A:$AD,AP$2,0)</f>
        <v>#N/A</v>
      </c>
      <c r="AQ545" t="e">
        <f>VLOOKUP($Z545,'oddspedia-matches'!$A:$AD,AQ$2,0)</f>
        <v>#N/A</v>
      </c>
    </row>
    <row r="546" spans="2:43" x14ac:dyDescent="0.2">
      <c r="B546" t="s">
        <v>450</v>
      </c>
      <c r="C546" t="s">
        <v>2222</v>
      </c>
      <c r="D546" s="25">
        <v>0.5</v>
      </c>
      <c r="E546" t="s">
        <v>2223</v>
      </c>
      <c r="F546" t="s">
        <v>247</v>
      </c>
      <c r="H546">
        <v>67.5</v>
      </c>
      <c r="I546">
        <v>21.5</v>
      </c>
      <c r="J546">
        <v>11</v>
      </c>
      <c r="K546">
        <v>89</v>
      </c>
      <c r="L546">
        <v>32.5</v>
      </c>
      <c r="M546">
        <v>78.5</v>
      </c>
      <c r="N546">
        <v>43.1</v>
      </c>
      <c r="O546">
        <v>43.3</v>
      </c>
      <c r="P546">
        <v>13.6</v>
      </c>
      <c r="Q546">
        <v>66.400000000000006</v>
      </c>
      <c r="R546">
        <v>83</v>
      </c>
      <c r="S546">
        <v>60.9</v>
      </c>
      <c r="T546">
        <v>39.1</v>
      </c>
      <c r="U546">
        <v>48.6</v>
      </c>
      <c r="V546">
        <v>52.4</v>
      </c>
      <c r="W546">
        <v>47.6</v>
      </c>
      <c r="X546" t="e">
        <f>VLOOKUP(E546,'Transform table'!A:B,2,0)</f>
        <v>#N/A</v>
      </c>
      <c r="Y546" t="str">
        <f>VLOOKUP(F546,'Transform table'!A:B,2,0)</f>
        <v>FK Transinvest II</v>
      </c>
      <c r="Z546" t="e">
        <f t="shared" si="8"/>
        <v>#N/A</v>
      </c>
      <c r="AA546" t="e">
        <f>VLOOKUP($Z546,'oddspedia-matches'!$A:$AD,AA$2,0)</f>
        <v>#N/A</v>
      </c>
      <c r="AB546" t="e">
        <f>VLOOKUP($Z546,'oddspedia-matches'!$A:$AD,AB$2,0)</f>
        <v>#N/A</v>
      </c>
      <c r="AC546" t="e">
        <f>VLOOKUP($Z546,'oddspedia-matches'!$A:$AD,AC$2,0)</f>
        <v>#N/A</v>
      </c>
      <c r="AD546" t="e">
        <f>VLOOKUP($Z546,'oddspedia-matches'!$A:$AD,AD$2,0)</f>
        <v>#N/A</v>
      </c>
      <c r="AE546" t="e">
        <f>VLOOKUP($Z546,'oddspedia-matches'!$A:$AD,AE$2,0)</f>
        <v>#N/A</v>
      </c>
      <c r="AF546" t="e">
        <f>VLOOKUP($Z546,'oddspedia-matches'!$A:$AD,AF$2,0)</f>
        <v>#N/A</v>
      </c>
      <c r="AG546" t="e">
        <f>VLOOKUP($Z546,'oddspedia-matches'!$A:$AD,AG$2,0)</f>
        <v>#N/A</v>
      </c>
      <c r="AH546" t="e">
        <f>VLOOKUP($Z546,'oddspedia-matches'!$A:$AD,AH$2,0)</f>
        <v>#N/A</v>
      </c>
      <c r="AI546" t="e">
        <f>VLOOKUP($Z546,'oddspedia-matches'!$A:$AD,AI$2,0)</f>
        <v>#N/A</v>
      </c>
      <c r="AJ546" t="e">
        <f>VLOOKUP($Z546,'oddspedia-matches'!$A:$AD,AJ$2,0)</f>
        <v>#N/A</v>
      </c>
      <c r="AK546" t="e">
        <f>VLOOKUP($Z546,'oddspedia-matches'!$A:$AD,AK$2,0)</f>
        <v>#N/A</v>
      </c>
      <c r="AL546" t="e">
        <f>VLOOKUP($Z546,'oddspedia-matches'!$A:$AD,AL$2,0)</f>
        <v>#N/A</v>
      </c>
      <c r="AM546" t="e">
        <f>VLOOKUP($Z546,'oddspedia-matches'!$A:$AD,AM$2,0)</f>
        <v>#N/A</v>
      </c>
      <c r="AN546" t="e">
        <f>VLOOKUP($Z546,'oddspedia-matches'!$A:$AD,AN$2,0)</f>
        <v>#N/A</v>
      </c>
      <c r="AO546" t="e">
        <f>VLOOKUP($Z546,'oddspedia-matches'!$A:$AD,AO$2,0)</f>
        <v>#N/A</v>
      </c>
      <c r="AP546" t="e">
        <f>VLOOKUP($Z546,'oddspedia-matches'!$A:$AD,AP$2,0)</f>
        <v>#N/A</v>
      </c>
      <c r="AQ546" t="e">
        <f>VLOOKUP($Z546,'oddspedia-matches'!$A:$AD,AQ$2,0)</f>
        <v>#N/A</v>
      </c>
    </row>
    <row r="547" spans="2:43" x14ac:dyDescent="0.2">
      <c r="B547" t="s">
        <v>450</v>
      </c>
      <c r="C547" t="s">
        <v>2222</v>
      </c>
      <c r="D547" s="25">
        <v>0.54166666666666663</v>
      </c>
      <c r="E547" t="s">
        <v>225</v>
      </c>
      <c r="F547" t="s">
        <v>2224</v>
      </c>
      <c r="H547">
        <v>22.9</v>
      </c>
      <c r="I547">
        <v>27.1</v>
      </c>
      <c r="J547">
        <v>50</v>
      </c>
      <c r="K547">
        <v>50</v>
      </c>
      <c r="L547">
        <v>77.099999999999994</v>
      </c>
      <c r="M547">
        <v>72.900000000000006</v>
      </c>
      <c r="N547">
        <v>23.3</v>
      </c>
      <c r="O547">
        <v>44.8</v>
      </c>
      <c r="P547">
        <v>32</v>
      </c>
      <c r="Q547">
        <v>67.7</v>
      </c>
      <c r="R547">
        <v>80.3</v>
      </c>
      <c r="S547">
        <v>56.3</v>
      </c>
      <c r="T547">
        <v>43.7</v>
      </c>
      <c r="U547">
        <v>50.1</v>
      </c>
      <c r="V547">
        <v>58.3</v>
      </c>
      <c r="W547">
        <v>41.7</v>
      </c>
      <c r="X547" t="str">
        <f>VLOOKUP(E547,'Transform table'!A:B,2,0)</f>
        <v>VMFD Zalgiris Vilnius II</v>
      </c>
      <c r="Y547" t="e">
        <f>VLOOKUP(F547,'Transform table'!A:B,2,0)</f>
        <v>#N/A</v>
      </c>
      <c r="Z547" t="e">
        <f t="shared" si="8"/>
        <v>#N/A</v>
      </c>
      <c r="AA547" t="e">
        <f>VLOOKUP($Z547,'oddspedia-matches'!$A:$AD,AA$2,0)</f>
        <v>#N/A</v>
      </c>
      <c r="AB547" t="e">
        <f>VLOOKUP($Z547,'oddspedia-matches'!$A:$AD,AB$2,0)</f>
        <v>#N/A</v>
      </c>
      <c r="AC547" t="e">
        <f>VLOOKUP($Z547,'oddspedia-matches'!$A:$AD,AC$2,0)</f>
        <v>#N/A</v>
      </c>
      <c r="AD547" t="e">
        <f>VLOOKUP($Z547,'oddspedia-matches'!$A:$AD,AD$2,0)</f>
        <v>#N/A</v>
      </c>
      <c r="AE547" t="e">
        <f>VLOOKUP($Z547,'oddspedia-matches'!$A:$AD,AE$2,0)</f>
        <v>#N/A</v>
      </c>
      <c r="AF547" t="e">
        <f>VLOOKUP($Z547,'oddspedia-matches'!$A:$AD,AF$2,0)</f>
        <v>#N/A</v>
      </c>
      <c r="AG547" t="e">
        <f>VLOOKUP($Z547,'oddspedia-matches'!$A:$AD,AG$2,0)</f>
        <v>#N/A</v>
      </c>
      <c r="AH547" t="e">
        <f>VLOOKUP($Z547,'oddspedia-matches'!$A:$AD,AH$2,0)</f>
        <v>#N/A</v>
      </c>
      <c r="AI547" t="e">
        <f>VLOOKUP($Z547,'oddspedia-matches'!$A:$AD,AI$2,0)</f>
        <v>#N/A</v>
      </c>
      <c r="AJ547" t="e">
        <f>VLOOKUP($Z547,'oddspedia-matches'!$A:$AD,AJ$2,0)</f>
        <v>#N/A</v>
      </c>
      <c r="AK547" t="e">
        <f>VLOOKUP($Z547,'oddspedia-matches'!$A:$AD,AK$2,0)</f>
        <v>#N/A</v>
      </c>
      <c r="AL547" t="e">
        <f>VLOOKUP($Z547,'oddspedia-matches'!$A:$AD,AL$2,0)</f>
        <v>#N/A</v>
      </c>
      <c r="AM547" t="e">
        <f>VLOOKUP($Z547,'oddspedia-matches'!$A:$AD,AM$2,0)</f>
        <v>#N/A</v>
      </c>
      <c r="AN547" t="e">
        <f>VLOOKUP($Z547,'oddspedia-matches'!$A:$AD,AN$2,0)</f>
        <v>#N/A</v>
      </c>
      <c r="AO547" t="e">
        <f>VLOOKUP($Z547,'oddspedia-matches'!$A:$AD,AO$2,0)</f>
        <v>#N/A</v>
      </c>
      <c r="AP547" t="e">
        <f>VLOOKUP($Z547,'oddspedia-matches'!$A:$AD,AP$2,0)</f>
        <v>#N/A</v>
      </c>
      <c r="AQ547" t="e">
        <f>VLOOKUP($Z547,'oddspedia-matches'!$A:$AD,AQ$2,0)</f>
        <v>#N/A</v>
      </c>
    </row>
    <row r="548" spans="2:43" x14ac:dyDescent="0.2">
      <c r="B548" t="s">
        <v>451</v>
      </c>
      <c r="C548" t="s">
        <v>2222</v>
      </c>
      <c r="D548" s="25">
        <v>0.58333333333333337</v>
      </c>
      <c r="E548" t="s">
        <v>227</v>
      </c>
      <c r="F548" t="s">
        <v>2225</v>
      </c>
      <c r="H548">
        <v>43.9</v>
      </c>
      <c r="I548">
        <v>25.5</v>
      </c>
      <c r="J548">
        <v>30.6</v>
      </c>
      <c r="K548">
        <v>69.400000000000006</v>
      </c>
      <c r="L548">
        <v>56.1</v>
      </c>
      <c r="M548">
        <v>74.5</v>
      </c>
      <c r="N548">
        <v>41.3</v>
      </c>
      <c r="O548">
        <v>38.5</v>
      </c>
      <c r="P548">
        <v>20.2</v>
      </c>
      <c r="Q548">
        <v>75.599999999999994</v>
      </c>
      <c r="R548">
        <v>87.8</v>
      </c>
      <c r="S548">
        <v>68.8</v>
      </c>
      <c r="T548">
        <v>31.2</v>
      </c>
      <c r="U548">
        <v>36.700000000000003</v>
      </c>
      <c r="V548">
        <v>69.7</v>
      </c>
      <c r="W548">
        <v>30.3</v>
      </c>
      <c r="X548" t="str">
        <f>VLOOKUP(E548,'Transform table'!A:B,2,0)</f>
        <v>Helsingborg</v>
      </c>
      <c r="Y548" t="e">
        <f>VLOOKUP(F548,'Transform table'!A:B,2,0)</f>
        <v>#N/A</v>
      </c>
      <c r="Z548" t="e">
        <f t="shared" si="8"/>
        <v>#N/A</v>
      </c>
      <c r="AA548" t="e">
        <f>VLOOKUP($Z548,'oddspedia-matches'!$A:$AD,AA$2,0)</f>
        <v>#N/A</v>
      </c>
      <c r="AB548" t="e">
        <f>VLOOKUP($Z548,'oddspedia-matches'!$A:$AD,AB$2,0)</f>
        <v>#N/A</v>
      </c>
      <c r="AC548" t="e">
        <f>VLOOKUP($Z548,'oddspedia-matches'!$A:$AD,AC$2,0)</f>
        <v>#N/A</v>
      </c>
      <c r="AD548" t="e">
        <f>VLOOKUP($Z548,'oddspedia-matches'!$A:$AD,AD$2,0)</f>
        <v>#N/A</v>
      </c>
      <c r="AE548" t="e">
        <f>VLOOKUP($Z548,'oddspedia-matches'!$A:$AD,AE$2,0)</f>
        <v>#N/A</v>
      </c>
      <c r="AF548" t="e">
        <f>VLOOKUP($Z548,'oddspedia-matches'!$A:$AD,AF$2,0)</f>
        <v>#N/A</v>
      </c>
      <c r="AG548" t="e">
        <f>VLOOKUP($Z548,'oddspedia-matches'!$A:$AD,AG$2,0)</f>
        <v>#N/A</v>
      </c>
      <c r="AH548" t="e">
        <f>VLOOKUP($Z548,'oddspedia-matches'!$A:$AD,AH$2,0)</f>
        <v>#N/A</v>
      </c>
      <c r="AI548" t="e">
        <f>VLOOKUP($Z548,'oddspedia-matches'!$A:$AD,AI$2,0)</f>
        <v>#N/A</v>
      </c>
      <c r="AJ548" t="e">
        <f>VLOOKUP($Z548,'oddspedia-matches'!$A:$AD,AJ$2,0)</f>
        <v>#N/A</v>
      </c>
      <c r="AK548" t="e">
        <f>VLOOKUP($Z548,'oddspedia-matches'!$A:$AD,AK$2,0)</f>
        <v>#N/A</v>
      </c>
      <c r="AL548" t="e">
        <f>VLOOKUP($Z548,'oddspedia-matches'!$A:$AD,AL$2,0)</f>
        <v>#N/A</v>
      </c>
      <c r="AM548" t="e">
        <f>VLOOKUP($Z548,'oddspedia-matches'!$A:$AD,AM$2,0)</f>
        <v>#N/A</v>
      </c>
      <c r="AN548" t="e">
        <f>VLOOKUP($Z548,'oddspedia-matches'!$A:$AD,AN$2,0)</f>
        <v>#N/A</v>
      </c>
      <c r="AO548" t="e">
        <f>VLOOKUP($Z548,'oddspedia-matches'!$A:$AD,AO$2,0)</f>
        <v>#N/A</v>
      </c>
      <c r="AP548" t="e">
        <f>VLOOKUP($Z548,'oddspedia-matches'!$A:$AD,AP$2,0)</f>
        <v>#N/A</v>
      </c>
      <c r="AQ548" t="e">
        <f>VLOOKUP($Z548,'oddspedia-matches'!$A:$AD,AQ$2,0)</f>
        <v>#N/A</v>
      </c>
    </row>
    <row r="549" spans="2:43" x14ac:dyDescent="0.2">
      <c r="B549" t="s">
        <v>451</v>
      </c>
      <c r="C549" t="s">
        <v>2222</v>
      </c>
      <c r="D549" s="25">
        <v>0.58333333333333337</v>
      </c>
      <c r="E549" t="s">
        <v>2226</v>
      </c>
      <c r="F549" t="s">
        <v>2227</v>
      </c>
      <c r="H549">
        <v>35.1</v>
      </c>
      <c r="I549">
        <v>30.2</v>
      </c>
      <c r="J549">
        <v>34.700000000000003</v>
      </c>
      <c r="K549">
        <v>65.3</v>
      </c>
      <c r="L549">
        <v>64.900000000000006</v>
      </c>
      <c r="M549">
        <v>69.8</v>
      </c>
      <c r="N549">
        <v>22.3</v>
      </c>
      <c r="O549">
        <v>42.6</v>
      </c>
      <c r="P549">
        <v>35.1</v>
      </c>
      <c r="Q549">
        <v>70.7</v>
      </c>
      <c r="R549">
        <v>71.599999999999994</v>
      </c>
      <c r="S549">
        <v>44.4</v>
      </c>
      <c r="T549">
        <v>55.6</v>
      </c>
      <c r="U549">
        <v>60.9</v>
      </c>
      <c r="V549">
        <v>51.3</v>
      </c>
      <c r="W549">
        <v>48.7</v>
      </c>
      <c r="X549" t="e">
        <f>VLOOKUP(E549,'Transform table'!A:B,2,0)</f>
        <v>#N/A</v>
      </c>
      <c r="Y549" t="e">
        <f>VLOOKUP(F549,'Transform table'!A:B,2,0)</f>
        <v>#N/A</v>
      </c>
      <c r="Z549" t="e">
        <f t="shared" si="8"/>
        <v>#N/A</v>
      </c>
      <c r="AA549" t="e">
        <f>VLOOKUP($Z549,'oddspedia-matches'!$A:$AD,AA$2,0)</f>
        <v>#N/A</v>
      </c>
      <c r="AB549" t="e">
        <f>VLOOKUP($Z549,'oddspedia-matches'!$A:$AD,AB$2,0)</f>
        <v>#N/A</v>
      </c>
      <c r="AC549" t="e">
        <f>VLOOKUP($Z549,'oddspedia-matches'!$A:$AD,AC$2,0)</f>
        <v>#N/A</v>
      </c>
      <c r="AD549" t="e">
        <f>VLOOKUP($Z549,'oddspedia-matches'!$A:$AD,AD$2,0)</f>
        <v>#N/A</v>
      </c>
      <c r="AE549" t="e">
        <f>VLOOKUP($Z549,'oddspedia-matches'!$A:$AD,AE$2,0)</f>
        <v>#N/A</v>
      </c>
      <c r="AF549" t="e">
        <f>VLOOKUP($Z549,'oddspedia-matches'!$A:$AD,AF$2,0)</f>
        <v>#N/A</v>
      </c>
      <c r="AG549" t="e">
        <f>VLOOKUP($Z549,'oddspedia-matches'!$A:$AD,AG$2,0)</f>
        <v>#N/A</v>
      </c>
      <c r="AH549" t="e">
        <f>VLOOKUP($Z549,'oddspedia-matches'!$A:$AD,AH$2,0)</f>
        <v>#N/A</v>
      </c>
      <c r="AI549" t="e">
        <f>VLOOKUP($Z549,'oddspedia-matches'!$A:$AD,AI$2,0)</f>
        <v>#N/A</v>
      </c>
      <c r="AJ549" t="e">
        <f>VLOOKUP($Z549,'oddspedia-matches'!$A:$AD,AJ$2,0)</f>
        <v>#N/A</v>
      </c>
      <c r="AK549" t="e">
        <f>VLOOKUP($Z549,'oddspedia-matches'!$A:$AD,AK$2,0)</f>
        <v>#N/A</v>
      </c>
      <c r="AL549" t="e">
        <f>VLOOKUP($Z549,'oddspedia-matches'!$A:$AD,AL$2,0)</f>
        <v>#N/A</v>
      </c>
      <c r="AM549" t="e">
        <f>VLOOKUP($Z549,'oddspedia-matches'!$A:$AD,AM$2,0)</f>
        <v>#N/A</v>
      </c>
      <c r="AN549" t="e">
        <f>VLOOKUP($Z549,'oddspedia-matches'!$A:$AD,AN$2,0)</f>
        <v>#N/A</v>
      </c>
      <c r="AO549" t="e">
        <f>VLOOKUP($Z549,'oddspedia-matches'!$A:$AD,AO$2,0)</f>
        <v>#N/A</v>
      </c>
      <c r="AP549" t="e">
        <f>VLOOKUP($Z549,'oddspedia-matches'!$A:$AD,AP$2,0)</f>
        <v>#N/A</v>
      </c>
      <c r="AQ549" t="e">
        <f>VLOOKUP($Z549,'oddspedia-matches'!$A:$AD,AQ$2,0)</f>
        <v>#N/A</v>
      </c>
    </row>
    <row r="550" spans="2:43" x14ac:dyDescent="0.2">
      <c r="B550" t="s">
        <v>479</v>
      </c>
      <c r="C550" t="s">
        <v>2222</v>
      </c>
      <c r="D550" s="25">
        <v>0.66666666666666663</v>
      </c>
      <c r="E550" t="s">
        <v>160</v>
      </c>
      <c r="F550" t="s">
        <v>751</v>
      </c>
      <c r="H550">
        <v>29.9</v>
      </c>
      <c r="I550">
        <v>34.200000000000003</v>
      </c>
      <c r="J550">
        <v>35.9</v>
      </c>
      <c r="K550">
        <v>64.099999999999994</v>
      </c>
      <c r="L550">
        <v>70.099999999999994</v>
      </c>
      <c r="M550">
        <v>65.8</v>
      </c>
      <c r="N550">
        <v>19.399999999999999</v>
      </c>
      <c r="O550">
        <v>54.6</v>
      </c>
      <c r="P550">
        <v>26.1</v>
      </c>
      <c r="Q550">
        <v>53.2</v>
      </c>
      <c r="R550">
        <v>59.4</v>
      </c>
      <c r="S550">
        <v>31</v>
      </c>
      <c r="T550">
        <v>69</v>
      </c>
      <c r="U550">
        <v>73.400000000000006</v>
      </c>
      <c r="V550">
        <v>40.1</v>
      </c>
      <c r="W550">
        <v>59.9</v>
      </c>
      <c r="X550" t="str">
        <f>VLOOKUP(E550,'Transform table'!A:B,2,0)</f>
        <v>Rubio Nu</v>
      </c>
      <c r="Y550" t="str">
        <f>VLOOKUP(F550,'Transform table'!A:B,2,0)</f>
        <v>Club Sportivo Ameliano</v>
      </c>
      <c r="Z550" t="str">
        <f t="shared" si="8"/>
        <v>28/07/2026Rubio NuClub Sportivo Ameliano</v>
      </c>
      <c r="AA550" t="e">
        <f>VLOOKUP($Z550,'oddspedia-matches'!$A:$AD,AA$2,0)</f>
        <v>#N/A</v>
      </c>
      <c r="AB550" t="e">
        <f>VLOOKUP($Z550,'oddspedia-matches'!$A:$AD,AB$2,0)</f>
        <v>#N/A</v>
      </c>
      <c r="AC550" t="e">
        <f>VLOOKUP($Z550,'oddspedia-matches'!$A:$AD,AC$2,0)</f>
        <v>#N/A</v>
      </c>
      <c r="AD550" t="e">
        <f>VLOOKUP($Z550,'oddspedia-matches'!$A:$AD,AD$2,0)</f>
        <v>#N/A</v>
      </c>
      <c r="AE550" t="e">
        <f>VLOOKUP($Z550,'oddspedia-matches'!$A:$AD,AE$2,0)</f>
        <v>#N/A</v>
      </c>
      <c r="AF550" t="e">
        <f>VLOOKUP($Z550,'oddspedia-matches'!$A:$AD,AF$2,0)</f>
        <v>#N/A</v>
      </c>
      <c r="AG550" t="e">
        <f>VLOOKUP($Z550,'oddspedia-matches'!$A:$AD,AG$2,0)</f>
        <v>#N/A</v>
      </c>
      <c r="AH550" t="e">
        <f>VLOOKUP($Z550,'oddspedia-matches'!$A:$AD,AH$2,0)</f>
        <v>#N/A</v>
      </c>
      <c r="AI550" t="e">
        <f>VLOOKUP($Z550,'oddspedia-matches'!$A:$AD,AI$2,0)</f>
        <v>#N/A</v>
      </c>
      <c r="AJ550" t="e">
        <f>VLOOKUP($Z550,'oddspedia-matches'!$A:$AD,AJ$2,0)</f>
        <v>#N/A</v>
      </c>
      <c r="AK550" t="e">
        <f>VLOOKUP($Z550,'oddspedia-matches'!$A:$AD,AK$2,0)</f>
        <v>#N/A</v>
      </c>
      <c r="AL550" t="e">
        <f>VLOOKUP($Z550,'oddspedia-matches'!$A:$AD,AL$2,0)</f>
        <v>#N/A</v>
      </c>
      <c r="AM550" t="e">
        <f>VLOOKUP($Z550,'oddspedia-matches'!$A:$AD,AM$2,0)</f>
        <v>#N/A</v>
      </c>
      <c r="AN550" t="e">
        <f>VLOOKUP($Z550,'oddspedia-matches'!$A:$AD,AN$2,0)</f>
        <v>#N/A</v>
      </c>
      <c r="AO550" t="e">
        <f>VLOOKUP($Z550,'oddspedia-matches'!$A:$AD,AO$2,0)</f>
        <v>#N/A</v>
      </c>
      <c r="AP550" t="e">
        <f>VLOOKUP($Z550,'oddspedia-matches'!$A:$AD,AP$2,0)</f>
        <v>#N/A</v>
      </c>
      <c r="AQ550" t="e">
        <f>VLOOKUP($Z550,'oddspedia-matches'!$A:$AD,AQ$2,0)</f>
        <v>#N/A</v>
      </c>
    </row>
    <row r="551" spans="2:43" x14ac:dyDescent="0.2">
      <c r="B551" t="s">
        <v>469</v>
      </c>
      <c r="C551" t="s">
        <v>2222</v>
      </c>
      <c r="D551" s="25">
        <v>0.67708333333333337</v>
      </c>
      <c r="E551" t="s">
        <v>2228</v>
      </c>
      <c r="F551" t="s">
        <v>161</v>
      </c>
      <c r="H551">
        <v>30.6</v>
      </c>
      <c r="I551">
        <v>26.3</v>
      </c>
      <c r="J551">
        <v>43.1</v>
      </c>
      <c r="K551">
        <v>56.9</v>
      </c>
      <c r="L551">
        <v>69.400000000000006</v>
      </c>
      <c r="M551">
        <v>73.7</v>
      </c>
      <c r="N551">
        <v>25.4</v>
      </c>
      <c r="O551">
        <v>38.6</v>
      </c>
      <c r="P551">
        <v>36</v>
      </c>
      <c r="Q551">
        <v>77.3</v>
      </c>
      <c r="R551">
        <v>85.6</v>
      </c>
      <c r="S551">
        <v>64.8</v>
      </c>
      <c r="T551">
        <v>35.200000000000003</v>
      </c>
      <c r="U551">
        <v>40.799999999999997</v>
      </c>
      <c r="V551">
        <v>66.7</v>
      </c>
      <c r="W551">
        <v>33.299999999999997</v>
      </c>
      <c r="X551" t="e">
        <f>VLOOKUP(E551,'Transform table'!A:B,2,0)</f>
        <v>#N/A</v>
      </c>
      <c r="Y551">
        <f>VLOOKUP(F551,'Transform table'!A:B,2,0)</f>
        <v>0</v>
      </c>
      <c r="Z551" t="e">
        <f t="shared" si="8"/>
        <v>#N/A</v>
      </c>
      <c r="AA551" t="e">
        <f>VLOOKUP($Z551,'oddspedia-matches'!$A:$AD,AA$2,0)</f>
        <v>#N/A</v>
      </c>
      <c r="AB551" t="e">
        <f>VLOOKUP($Z551,'oddspedia-matches'!$A:$AD,AB$2,0)</f>
        <v>#N/A</v>
      </c>
      <c r="AC551" t="e">
        <f>VLOOKUP($Z551,'oddspedia-matches'!$A:$AD,AC$2,0)</f>
        <v>#N/A</v>
      </c>
      <c r="AD551" t="e">
        <f>VLOOKUP($Z551,'oddspedia-matches'!$A:$AD,AD$2,0)</f>
        <v>#N/A</v>
      </c>
      <c r="AE551" t="e">
        <f>VLOOKUP($Z551,'oddspedia-matches'!$A:$AD,AE$2,0)</f>
        <v>#N/A</v>
      </c>
      <c r="AF551" t="e">
        <f>VLOOKUP($Z551,'oddspedia-matches'!$A:$AD,AF$2,0)</f>
        <v>#N/A</v>
      </c>
      <c r="AG551" t="e">
        <f>VLOOKUP($Z551,'oddspedia-matches'!$A:$AD,AG$2,0)</f>
        <v>#N/A</v>
      </c>
      <c r="AH551" t="e">
        <f>VLOOKUP($Z551,'oddspedia-matches'!$A:$AD,AH$2,0)</f>
        <v>#N/A</v>
      </c>
      <c r="AI551" t="e">
        <f>VLOOKUP($Z551,'oddspedia-matches'!$A:$AD,AI$2,0)</f>
        <v>#N/A</v>
      </c>
      <c r="AJ551" t="e">
        <f>VLOOKUP($Z551,'oddspedia-matches'!$A:$AD,AJ$2,0)</f>
        <v>#N/A</v>
      </c>
      <c r="AK551" t="e">
        <f>VLOOKUP($Z551,'oddspedia-matches'!$A:$AD,AK$2,0)</f>
        <v>#N/A</v>
      </c>
      <c r="AL551" t="e">
        <f>VLOOKUP($Z551,'oddspedia-matches'!$A:$AD,AL$2,0)</f>
        <v>#N/A</v>
      </c>
      <c r="AM551" t="e">
        <f>VLOOKUP($Z551,'oddspedia-matches'!$A:$AD,AM$2,0)</f>
        <v>#N/A</v>
      </c>
      <c r="AN551" t="e">
        <f>VLOOKUP($Z551,'oddspedia-matches'!$A:$AD,AN$2,0)</f>
        <v>#N/A</v>
      </c>
      <c r="AO551" t="e">
        <f>VLOOKUP($Z551,'oddspedia-matches'!$A:$AD,AO$2,0)</f>
        <v>#N/A</v>
      </c>
      <c r="AP551" t="e">
        <f>VLOOKUP($Z551,'oddspedia-matches'!$A:$AD,AP$2,0)</f>
        <v>#N/A</v>
      </c>
      <c r="AQ551" t="e">
        <f>VLOOKUP($Z551,'oddspedia-matches'!$A:$AD,AQ$2,0)</f>
        <v>#N/A</v>
      </c>
    </row>
    <row r="552" spans="2:43" x14ac:dyDescent="0.2">
      <c r="B552" t="s">
        <v>479</v>
      </c>
      <c r="C552" t="s">
        <v>2222</v>
      </c>
      <c r="D552" s="25">
        <v>0.77083333333333337</v>
      </c>
      <c r="E552" t="s">
        <v>159</v>
      </c>
      <c r="F552" t="s">
        <v>175</v>
      </c>
      <c r="H552">
        <v>28.1</v>
      </c>
      <c r="I552">
        <v>31.3</v>
      </c>
      <c r="J552">
        <v>40.700000000000003</v>
      </c>
      <c r="K552">
        <v>59.3</v>
      </c>
      <c r="L552">
        <v>71.900000000000006</v>
      </c>
      <c r="M552">
        <v>68.7</v>
      </c>
      <c r="N552">
        <v>20.9</v>
      </c>
      <c r="O552">
        <v>50.2</v>
      </c>
      <c r="P552">
        <v>28.9</v>
      </c>
      <c r="Q552">
        <v>59.6</v>
      </c>
      <c r="R552">
        <v>68.2</v>
      </c>
      <c r="S552">
        <v>40.4</v>
      </c>
      <c r="T552">
        <v>59.6</v>
      </c>
      <c r="U552">
        <v>64.900000000000006</v>
      </c>
      <c r="V552">
        <v>47.5</v>
      </c>
      <c r="W552">
        <v>52.5</v>
      </c>
      <c r="X552" t="str">
        <f>VLOOKUP(E552,'Transform table'!A:B,2,0)</f>
        <v>CS 2 de Mayo</v>
      </c>
      <c r="Y552" t="str">
        <f>VLOOKUP(F552,'Transform table'!A:B,2,0)</f>
        <v>Cerro Porteno</v>
      </c>
      <c r="Z552" t="str">
        <f t="shared" si="8"/>
        <v>28/07/2026CS 2 de MayoCerro Porteno</v>
      </c>
      <c r="AA552" t="e">
        <f>VLOOKUP($Z552,'oddspedia-matches'!$A:$AD,AA$2,0)</f>
        <v>#N/A</v>
      </c>
      <c r="AB552" t="e">
        <f>VLOOKUP($Z552,'oddspedia-matches'!$A:$AD,AB$2,0)</f>
        <v>#N/A</v>
      </c>
      <c r="AC552" t="e">
        <f>VLOOKUP($Z552,'oddspedia-matches'!$A:$AD,AC$2,0)</f>
        <v>#N/A</v>
      </c>
      <c r="AD552" t="e">
        <f>VLOOKUP($Z552,'oddspedia-matches'!$A:$AD,AD$2,0)</f>
        <v>#N/A</v>
      </c>
      <c r="AE552" t="e">
        <f>VLOOKUP($Z552,'oddspedia-matches'!$A:$AD,AE$2,0)</f>
        <v>#N/A</v>
      </c>
      <c r="AF552" t="e">
        <f>VLOOKUP($Z552,'oddspedia-matches'!$A:$AD,AF$2,0)</f>
        <v>#N/A</v>
      </c>
      <c r="AG552" t="e">
        <f>VLOOKUP($Z552,'oddspedia-matches'!$A:$AD,AG$2,0)</f>
        <v>#N/A</v>
      </c>
      <c r="AH552" t="e">
        <f>VLOOKUP($Z552,'oddspedia-matches'!$A:$AD,AH$2,0)</f>
        <v>#N/A</v>
      </c>
      <c r="AI552" t="e">
        <f>VLOOKUP($Z552,'oddspedia-matches'!$A:$AD,AI$2,0)</f>
        <v>#N/A</v>
      </c>
      <c r="AJ552" t="e">
        <f>VLOOKUP($Z552,'oddspedia-matches'!$A:$AD,AJ$2,0)</f>
        <v>#N/A</v>
      </c>
      <c r="AK552" t="e">
        <f>VLOOKUP($Z552,'oddspedia-matches'!$A:$AD,AK$2,0)</f>
        <v>#N/A</v>
      </c>
      <c r="AL552" t="e">
        <f>VLOOKUP($Z552,'oddspedia-matches'!$A:$AD,AL$2,0)</f>
        <v>#N/A</v>
      </c>
      <c r="AM552" t="e">
        <f>VLOOKUP($Z552,'oddspedia-matches'!$A:$AD,AM$2,0)</f>
        <v>#N/A</v>
      </c>
      <c r="AN552" t="e">
        <f>VLOOKUP($Z552,'oddspedia-matches'!$A:$AD,AN$2,0)</f>
        <v>#N/A</v>
      </c>
      <c r="AO552" t="e">
        <f>VLOOKUP($Z552,'oddspedia-matches'!$A:$AD,AO$2,0)</f>
        <v>#N/A</v>
      </c>
      <c r="AP552" t="e">
        <f>VLOOKUP($Z552,'oddspedia-matches'!$A:$AD,AP$2,0)</f>
        <v>#N/A</v>
      </c>
      <c r="AQ552" t="e">
        <f>VLOOKUP($Z552,'oddspedia-matches'!$A:$AD,AQ$2,0)</f>
        <v>#N/A</v>
      </c>
    </row>
    <row r="553" spans="2:43" x14ac:dyDescent="0.2">
      <c r="B553" t="s">
        <v>470</v>
      </c>
      <c r="C553" t="s">
        <v>2222</v>
      </c>
      <c r="D553" s="25">
        <v>0.79166666666666663</v>
      </c>
      <c r="E553" t="s">
        <v>198</v>
      </c>
      <c r="F553" t="s">
        <v>106</v>
      </c>
      <c r="H553">
        <v>46.4</v>
      </c>
      <c r="I553">
        <v>30.6</v>
      </c>
      <c r="J553">
        <v>23</v>
      </c>
      <c r="K553">
        <v>77</v>
      </c>
      <c r="L553">
        <v>53.6</v>
      </c>
      <c r="M553">
        <v>69.400000000000006</v>
      </c>
      <c r="N553">
        <v>24.8</v>
      </c>
      <c r="O553">
        <v>49.8</v>
      </c>
      <c r="P553">
        <v>25.3</v>
      </c>
      <c r="Q553">
        <v>60.2</v>
      </c>
      <c r="R553">
        <v>65.2</v>
      </c>
      <c r="S553">
        <v>37.1</v>
      </c>
      <c r="T553">
        <v>62.9</v>
      </c>
      <c r="U553">
        <v>68.5</v>
      </c>
      <c r="V553">
        <v>43.4</v>
      </c>
      <c r="W553">
        <v>56.6</v>
      </c>
      <c r="X553" t="str">
        <f>VLOOKUP(E553,'Transform table'!A:B,2,0)</f>
        <v>Banfield</v>
      </c>
      <c r="Y553" t="str">
        <f>VLOOKUP(F553,'Transform table'!A:B,2,0)</f>
        <v>Sarmiento</v>
      </c>
      <c r="Z553" t="str">
        <f t="shared" si="8"/>
        <v>28/07/2026BanfieldSarmiento</v>
      </c>
      <c r="AA553" t="e">
        <f>VLOOKUP($Z553,'oddspedia-matches'!$A:$AD,AA$2,0)</f>
        <v>#N/A</v>
      </c>
      <c r="AB553" t="e">
        <f>VLOOKUP($Z553,'oddspedia-matches'!$A:$AD,AB$2,0)</f>
        <v>#N/A</v>
      </c>
      <c r="AC553" t="e">
        <f>VLOOKUP($Z553,'oddspedia-matches'!$A:$AD,AC$2,0)</f>
        <v>#N/A</v>
      </c>
      <c r="AD553" t="e">
        <f>VLOOKUP($Z553,'oddspedia-matches'!$A:$AD,AD$2,0)</f>
        <v>#N/A</v>
      </c>
      <c r="AE553" t="e">
        <f>VLOOKUP($Z553,'oddspedia-matches'!$A:$AD,AE$2,0)</f>
        <v>#N/A</v>
      </c>
      <c r="AF553" t="e">
        <f>VLOOKUP($Z553,'oddspedia-matches'!$A:$AD,AF$2,0)</f>
        <v>#N/A</v>
      </c>
      <c r="AG553" t="e">
        <f>VLOOKUP($Z553,'oddspedia-matches'!$A:$AD,AG$2,0)</f>
        <v>#N/A</v>
      </c>
      <c r="AH553" t="e">
        <f>VLOOKUP($Z553,'oddspedia-matches'!$A:$AD,AH$2,0)</f>
        <v>#N/A</v>
      </c>
      <c r="AI553" t="e">
        <f>VLOOKUP($Z553,'oddspedia-matches'!$A:$AD,AI$2,0)</f>
        <v>#N/A</v>
      </c>
      <c r="AJ553" t="e">
        <f>VLOOKUP($Z553,'oddspedia-matches'!$A:$AD,AJ$2,0)</f>
        <v>#N/A</v>
      </c>
      <c r="AK553" t="e">
        <f>VLOOKUP($Z553,'oddspedia-matches'!$A:$AD,AK$2,0)</f>
        <v>#N/A</v>
      </c>
      <c r="AL553" t="e">
        <f>VLOOKUP($Z553,'oddspedia-matches'!$A:$AD,AL$2,0)</f>
        <v>#N/A</v>
      </c>
      <c r="AM553" t="e">
        <f>VLOOKUP($Z553,'oddspedia-matches'!$A:$AD,AM$2,0)</f>
        <v>#N/A</v>
      </c>
      <c r="AN553" t="e">
        <f>VLOOKUP($Z553,'oddspedia-matches'!$A:$AD,AN$2,0)</f>
        <v>#N/A</v>
      </c>
      <c r="AO553" t="e">
        <f>VLOOKUP($Z553,'oddspedia-matches'!$A:$AD,AO$2,0)</f>
        <v>#N/A</v>
      </c>
      <c r="AP553" t="e">
        <f>VLOOKUP($Z553,'oddspedia-matches'!$A:$AD,AP$2,0)</f>
        <v>#N/A</v>
      </c>
      <c r="AQ553" t="e">
        <f>VLOOKUP($Z553,'oddspedia-matches'!$A:$AD,AQ$2,0)</f>
        <v>#N/A</v>
      </c>
    </row>
    <row r="554" spans="2:43" x14ac:dyDescent="0.2">
      <c r="B554" t="s">
        <v>470</v>
      </c>
      <c r="C554" t="s">
        <v>2222</v>
      </c>
      <c r="D554" s="25">
        <v>0.79166666666666663</v>
      </c>
      <c r="E554" t="s">
        <v>783</v>
      </c>
      <c r="F554" t="s">
        <v>165</v>
      </c>
      <c r="H554">
        <v>44.6</v>
      </c>
      <c r="I554">
        <v>32</v>
      </c>
      <c r="J554">
        <v>23.3</v>
      </c>
      <c r="K554">
        <v>76.7</v>
      </c>
      <c r="L554">
        <v>55.4</v>
      </c>
      <c r="M554">
        <v>68</v>
      </c>
      <c r="N554">
        <v>27.8</v>
      </c>
      <c r="O554">
        <v>50.1</v>
      </c>
      <c r="P554">
        <v>22.1</v>
      </c>
      <c r="Q554">
        <v>59.5</v>
      </c>
      <c r="R554">
        <v>61.2</v>
      </c>
      <c r="S554">
        <v>32.9</v>
      </c>
      <c r="T554">
        <v>67.099999999999994</v>
      </c>
      <c r="U554">
        <v>72.3</v>
      </c>
      <c r="V554">
        <v>40.1</v>
      </c>
      <c r="W554">
        <v>59.9</v>
      </c>
      <c r="X554" t="str">
        <f>VLOOKUP(E554,'Transform table'!A:B,2,0)</f>
        <v>San Lorenzo</v>
      </c>
      <c r="Y554" t="str">
        <f>VLOOKUP(F554,'Transform table'!A:B,2,0)</f>
        <v>Gimnasia Mendoza</v>
      </c>
      <c r="Z554" t="str">
        <f t="shared" si="8"/>
        <v>28/07/2026San LorenzoGimnasia Mendoza</v>
      </c>
      <c r="AA554" t="e">
        <f>VLOOKUP($Z554,'oddspedia-matches'!$A:$AD,AA$2,0)</f>
        <v>#N/A</v>
      </c>
      <c r="AB554" t="e">
        <f>VLOOKUP($Z554,'oddspedia-matches'!$A:$AD,AB$2,0)</f>
        <v>#N/A</v>
      </c>
      <c r="AC554" t="e">
        <f>VLOOKUP($Z554,'oddspedia-matches'!$A:$AD,AC$2,0)</f>
        <v>#N/A</v>
      </c>
      <c r="AD554" t="e">
        <f>VLOOKUP($Z554,'oddspedia-matches'!$A:$AD,AD$2,0)</f>
        <v>#N/A</v>
      </c>
      <c r="AE554" t="e">
        <f>VLOOKUP($Z554,'oddspedia-matches'!$A:$AD,AE$2,0)</f>
        <v>#N/A</v>
      </c>
      <c r="AF554" t="e">
        <f>VLOOKUP($Z554,'oddspedia-matches'!$A:$AD,AF$2,0)</f>
        <v>#N/A</v>
      </c>
      <c r="AG554" t="e">
        <f>VLOOKUP($Z554,'oddspedia-matches'!$A:$AD,AG$2,0)</f>
        <v>#N/A</v>
      </c>
      <c r="AH554" t="e">
        <f>VLOOKUP($Z554,'oddspedia-matches'!$A:$AD,AH$2,0)</f>
        <v>#N/A</v>
      </c>
      <c r="AI554" t="e">
        <f>VLOOKUP($Z554,'oddspedia-matches'!$A:$AD,AI$2,0)</f>
        <v>#N/A</v>
      </c>
      <c r="AJ554" t="e">
        <f>VLOOKUP($Z554,'oddspedia-matches'!$A:$AD,AJ$2,0)</f>
        <v>#N/A</v>
      </c>
      <c r="AK554" t="e">
        <f>VLOOKUP($Z554,'oddspedia-matches'!$A:$AD,AK$2,0)</f>
        <v>#N/A</v>
      </c>
      <c r="AL554" t="e">
        <f>VLOOKUP($Z554,'oddspedia-matches'!$A:$AD,AL$2,0)</f>
        <v>#N/A</v>
      </c>
      <c r="AM554" t="e">
        <f>VLOOKUP($Z554,'oddspedia-matches'!$A:$AD,AM$2,0)</f>
        <v>#N/A</v>
      </c>
      <c r="AN554" t="e">
        <f>VLOOKUP($Z554,'oddspedia-matches'!$A:$AD,AN$2,0)</f>
        <v>#N/A</v>
      </c>
      <c r="AO554" t="e">
        <f>VLOOKUP($Z554,'oddspedia-matches'!$A:$AD,AO$2,0)</f>
        <v>#N/A</v>
      </c>
      <c r="AP554" t="e">
        <f>VLOOKUP($Z554,'oddspedia-matches'!$A:$AD,AP$2,0)</f>
        <v>#N/A</v>
      </c>
      <c r="AQ554" t="e">
        <f>VLOOKUP($Z554,'oddspedia-matches'!$A:$AD,AQ$2,0)</f>
        <v>#N/A</v>
      </c>
    </row>
    <row r="555" spans="2:43" x14ac:dyDescent="0.2">
      <c r="B555" t="s">
        <v>455</v>
      </c>
      <c r="C555" t="s">
        <v>2222</v>
      </c>
      <c r="D555" s="25">
        <v>0.8125</v>
      </c>
      <c r="E555" t="s">
        <v>119</v>
      </c>
      <c r="F555" t="s">
        <v>232</v>
      </c>
      <c r="H555">
        <v>50.5</v>
      </c>
      <c r="I555">
        <v>30.1</v>
      </c>
      <c r="J555">
        <v>19.5</v>
      </c>
      <c r="K555">
        <v>80.5</v>
      </c>
      <c r="L555">
        <v>49.5</v>
      </c>
      <c r="M555">
        <v>69.900000000000006</v>
      </c>
      <c r="N555">
        <v>35.799999999999997</v>
      </c>
      <c r="O555">
        <v>49.1</v>
      </c>
      <c r="P555">
        <v>15.1</v>
      </c>
      <c r="Q555">
        <v>59.4</v>
      </c>
      <c r="R555">
        <v>63.6</v>
      </c>
      <c r="S555">
        <v>35.4</v>
      </c>
      <c r="T555">
        <v>64.599999999999994</v>
      </c>
      <c r="U555">
        <v>70.599999999999994</v>
      </c>
      <c r="V555">
        <v>40.4</v>
      </c>
      <c r="W555">
        <v>59.6</v>
      </c>
      <c r="X555" t="str">
        <f>VLOOKUP(E555,'Transform table'!A:B,2,0)</f>
        <v>EC Juventude</v>
      </c>
      <c r="Y555" t="str">
        <f>VLOOKUP(F555,'Transform table'!A:B,2,0)</f>
        <v>Avai</v>
      </c>
      <c r="Z555" t="str">
        <f t="shared" si="8"/>
        <v>28/07/2026EC JuventudeAvai</v>
      </c>
      <c r="AA555" t="e">
        <f>VLOOKUP($Z555,'oddspedia-matches'!$A:$AD,AA$2,0)</f>
        <v>#N/A</v>
      </c>
      <c r="AB555" t="e">
        <f>VLOOKUP($Z555,'oddspedia-matches'!$A:$AD,AB$2,0)</f>
        <v>#N/A</v>
      </c>
      <c r="AC555" t="e">
        <f>VLOOKUP($Z555,'oddspedia-matches'!$A:$AD,AC$2,0)</f>
        <v>#N/A</v>
      </c>
      <c r="AD555" t="e">
        <f>VLOOKUP($Z555,'oddspedia-matches'!$A:$AD,AD$2,0)</f>
        <v>#N/A</v>
      </c>
      <c r="AE555" t="e">
        <f>VLOOKUP($Z555,'oddspedia-matches'!$A:$AD,AE$2,0)</f>
        <v>#N/A</v>
      </c>
      <c r="AF555" t="e">
        <f>VLOOKUP($Z555,'oddspedia-matches'!$A:$AD,AF$2,0)</f>
        <v>#N/A</v>
      </c>
      <c r="AG555" t="e">
        <f>VLOOKUP($Z555,'oddspedia-matches'!$A:$AD,AG$2,0)</f>
        <v>#N/A</v>
      </c>
      <c r="AH555" t="e">
        <f>VLOOKUP($Z555,'oddspedia-matches'!$A:$AD,AH$2,0)</f>
        <v>#N/A</v>
      </c>
      <c r="AI555" t="e">
        <f>VLOOKUP($Z555,'oddspedia-matches'!$A:$AD,AI$2,0)</f>
        <v>#N/A</v>
      </c>
      <c r="AJ555" t="e">
        <f>VLOOKUP($Z555,'oddspedia-matches'!$A:$AD,AJ$2,0)</f>
        <v>#N/A</v>
      </c>
      <c r="AK555" t="e">
        <f>VLOOKUP($Z555,'oddspedia-matches'!$A:$AD,AK$2,0)</f>
        <v>#N/A</v>
      </c>
      <c r="AL555" t="e">
        <f>VLOOKUP($Z555,'oddspedia-matches'!$A:$AD,AL$2,0)</f>
        <v>#N/A</v>
      </c>
      <c r="AM555" t="e">
        <f>VLOOKUP($Z555,'oddspedia-matches'!$A:$AD,AM$2,0)</f>
        <v>#N/A</v>
      </c>
      <c r="AN555" t="e">
        <f>VLOOKUP($Z555,'oddspedia-matches'!$A:$AD,AN$2,0)</f>
        <v>#N/A</v>
      </c>
      <c r="AO555" t="e">
        <f>VLOOKUP($Z555,'oddspedia-matches'!$A:$AD,AO$2,0)</f>
        <v>#N/A</v>
      </c>
      <c r="AP555" t="e">
        <f>VLOOKUP($Z555,'oddspedia-matches'!$A:$AD,AP$2,0)</f>
        <v>#N/A</v>
      </c>
      <c r="AQ555" t="e">
        <f>VLOOKUP($Z555,'oddspedia-matches'!$A:$AD,AQ$2,0)</f>
        <v>#N/A</v>
      </c>
    </row>
    <row r="556" spans="2:43" x14ac:dyDescent="0.2">
      <c r="B556" t="s">
        <v>455</v>
      </c>
      <c r="C556" t="s">
        <v>2222</v>
      </c>
      <c r="D556" s="25">
        <v>0.8125</v>
      </c>
      <c r="E556" t="s">
        <v>44</v>
      </c>
      <c r="F556" t="s">
        <v>112</v>
      </c>
      <c r="H556">
        <v>25.5</v>
      </c>
      <c r="I556">
        <v>31.6</v>
      </c>
      <c r="J556">
        <v>42.9</v>
      </c>
      <c r="K556">
        <v>57.1</v>
      </c>
      <c r="L556">
        <v>74.5</v>
      </c>
      <c r="M556">
        <v>68.400000000000006</v>
      </c>
      <c r="N556">
        <v>21.7</v>
      </c>
      <c r="O556">
        <v>46.7</v>
      </c>
      <c r="P556">
        <v>31.6</v>
      </c>
      <c r="Q556">
        <v>64.7</v>
      </c>
      <c r="R556">
        <v>66.599999999999994</v>
      </c>
      <c r="S556">
        <v>38.5</v>
      </c>
      <c r="T556">
        <v>61.5</v>
      </c>
      <c r="U556">
        <v>66.8</v>
      </c>
      <c r="V556">
        <v>45.5</v>
      </c>
      <c r="W556">
        <v>54.5</v>
      </c>
      <c r="X556" t="str">
        <f>VLOOKUP(E556,'Transform table'!A:B,2,0)</f>
        <v>Ponte Preta</v>
      </c>
      <c r="Y556" t="str">
        <f>VLOOKUP(F556,'Transform table'!A:B,2,0)</f>
        <v>Athletic Club MG</v>
      </c>
      <c r="Z556" t="str">
        <f t="shared" si="8"/>
        <v>28/07/2026Ponte PretaAthletic Club MG</v>
      </c>
      <c r="AA556" t="e">
        <f>VLOOKUP($Z556,'oddspedia-matches'!$A:$AD,AA$2,0)</f>
        <v>#N/A</v>
      </c>
      <c r="AB556" t="e">
        <f>VLOOKUP($Z556,'oddspedia-matches'!$A:$AD,AB$2,0)</f>
        <v>#N/A</v>
      </c>
      <c r="AC556" t="e">
        <f>VLOOKUP($Z556,'oddspedia-matches'!$A:$AD,AC$2,0)</f>
        <v>#N/A</v>
      </c>
      <c r="AD556" t="e">
        <f>VLOOKUP($Z556,'oddspedia-matches'!$A:$AD,AD$2,0)</f>
        <v>#N/A</v>
      </c>
      <c r="AE556" t="e">
        <f>VLOOKUP($Z556,'oddspedia-matches'!$A:$AD,AE$2,0)</f>
        <v>#N/A</v>
      </c>
      <c r="AF556" t="e">
        <f>VLOOKUP($Z556,'oddspedia-matches'!$A:$AD,AF$2,0)</f>
        <v>#N/A</v>
      </c>
      <c r="AG556" t="e">
        <f>VLOOKUP($Z556,'oddspedia-matches'!$A:$AD,AG$2,0)</f>
        <v>#N/A</v>
      </c>
      <c r="AH556" t="e">
        <f>VLOOKUP($Z556,'oddspedia-matches'!$A:$AD,AH$2,0)</f>
        <v>#N/A</v>
      </c>
      <c r="AI556" t="e">
        <f>VLOOKUP($Z556,'oddspedia-matches'!$A:$AD,AI$2,0)</f>
        <v>#N/A</v>
      </c>
      <c r="AJ556" t="e">
        <f>VLOOKUP($Z556,'oddspedia-matches'!$A:$AD,AJ$2,0)</f>
        <v>#N/A</v>
      </c>
      <c r="AK556" t="e">
        <f>VLOOKUP($Z556,'oddspedia-matches'!$A:$AD,AK$2,0)</f>
        <v>#N/A</v>
      </c>
      <c r="AL556" t="e">
        <f>VLOOKUP($Z556,'oddspedia-matches'!$A:$AD,AL$2,0)</f>
        <v>#N/A</v>
      </c>
      <c r="AM556" t="e">
        <f>VLOOKUP($Z556,'oddspedia-matches'!$A:$AD,AM$2,0)</f>
        <v>#N/A</v>
      </c>
      <c r="AN556" t="e">
        <f>VLOOKUP($Z556,'oddspedia-matches'!$A:$AD,AN$2,0)</f>
        <v>#N/A</v>
      </c>
      <c r="AO556" t="e">
        <f>VLOOKUP($Z556,'oddspedia-matches'!$A:$AD,AO$2,0)</f>
        <v>#N/A</v>
      </c>
      <c r="AP556" t="e">
        <f>VLOOKUP($Z556,'oddspedia-matches'!$A:$AD,AP$2,0)</f>
        <v>#N/A</v>
      </c>
      <c r="AQ556" t="e">
        <f>VLOOKUP($Z556,'oddspedia-matches'!$A:$AD,AQ$2,0)</f>
        <v>#N/A</v>
      </c>
    </row>
    <row r="557" spans="2:43" x14ac:dyDescent="0.2">
      <c r="B557" t="s">
        <v>470</v>
      </c>
      <c r="C557" t="s">
        <v>2222</v>
      </c>
      <c r="D557" s="25">
        <v>0.88541666666666663</v>
      </c>
      <c r="E557" t="s">
        <v>107</v>
      </c>
      <c r="F557" t="s">
        <v>645</v>
      </c>
      <c r="H557">
        <v>61.2</v>
      </c>
      <c r="I557">
        <v>27.2</v>
      </c>
      <c r="J557">
        <v>11.6</v>
      </c>
      <c r="K557">
        <v>88.4</v>
      </c>
      <c r="L557">
        <v>38.799999999999997</v>
      </c>
      <c r="M557">
        <v>72.8</v>
      </c>
      <c r="N557">
        <v>35</v>
      </c>
      <c r="O557">
        <v>50.1</v>
      </c>
      <c r="P557">
        <v>14.8</v>
      </c>
      <c r="Q557">
        <v>58</v>
      </c>
      <c r="R557">
        <v>60.8</v>
      </c>
      <c r="S557">
        <v>32.799999999999997</v>
      </c>
      <c r="T557">
        <v>67.2</v>
      </c>
      <c r="U557">
        <v>75.3</v>
      </c>
      <c r="V557">
        <v>31.9</v>
      </c>
      <c r="W557">
        <v>68.099999999999994</v>
      </c>
      <c r="X557" t="str">
        <f>VLOOKUP(E557,'Transform table'!A:B,2,0)</f>
        <v>Argentinos Juniors</v>
      </c>
      <c r="Y557" t="str">
        <f>VLOOKUP(F557,'Transform table'!A:B,2,0)</f>
        <v>Estudiantes Rio Cuarto</v>
      </c>
      <c r="Z557" t="str">
        <f t="shared" si="8"/>
        <v>28/07/2026Argentinos JuniorsEstudiantes Rio Cuarto</v>
      </c>
      <c r="AA557" t="e">
        <f>VLOOKUP($Z557,'oddspedia-matches'!$A:$AD,AA$2,0)</f>
        <v>#N/A</v>
      </c>
      <c r="AB557" t="e">
        <f>VLOOKUP($Z557,'oddspedia-matches'!$A:$AD,AB$2,0)</f>
        <v>#N/A</v>
      </c>
      <c r="AC557" t="e">
        <f>VLOOKUP($Z557,'oddspedia-matches'!$A:$AD,AC$2,0)</f>
        <v>#N/A</v>
      </c>
      <c r="AD557" t="e">
        <f>VLOOKUP($Z557,'oddspedia-matches'!$A:$AD,AD$2,0)</f>
        <v>#N/A</v>
      </c>
      <c r="AE557" t="e">
        <f>VLOOKUP($Z557,'oddspedia-matches'!$A:$AD,AE$2,0)</f>
        <v>#N/A</v>
      </c>
      <c r="AF557" t="e">
        <f>VLOOKUP($Z557,'oddspedia-matches'!$A:$AD,AF$2,0)</f>
        <v>#N/A</v>
      </c>
      <c r="AG557" t="e">
        <f>VLOOKUP($Z557,'oddspedia-matches'!$A:$AD,AG$2,0)</f>
        <v>#N/A</v>
      </c>
      <c r="AH557" t="e">
        <f>VLOOKUP($Z557,'oddspedia-matches'!$A:$AD,AH$2,0)</f>
        <v>#N/A</v>
      </c>
      <c r="AI557" t="e">
        <f>VLOOKUP($Z557,'oddspedia-matches'!$A:$AD,AI$2,0)</f>
        <v>#N/A</v>
      </c>
      <c r="AJ557" t="e">
        <f>VLOOKUP($Z557,'oddspedia-matches'!$A:$AD,AJ$2,0)</f>
        <v>#N/A</v>
      </c>
      <c r="AK557" t="e">
        <f>VLOOKUP($Z557,'oddspedia-matches'!$A:$AD,AK$2,0)</f>
        <v>#N/A</v>
      </c>
      <c r="AL557" t="e">
        <f>VLOOKUP($Z557,'oddspedia-matches'!$A:$AD,AL$2,0)</f>
        <v>#N/A</v>
      </c>
      <c r="AM557" t="e">
        <f>VLOOKUP($Z557,'oddspedia-matches'!$A:$AD,AM$2,0)</f>
        <v>#N/A</v>
      </c>
      <c r="AN557" t="e">
        <f>VLOOKUP($Z557,'oddspedia-matches'!$A:$AD,AN$2,0)</f>
        <v>#N/A</v>
      </c>
      <c r="AO557" t="e">
        <f>VLOOKUP($Z557,'oddspedia-matches'!$A:$AD,AO$2,0)</f>
        <v>#N/A</v>
      </c>
      <c r="AP557" t="e">
        <f>VLOOKUP($Z557,'oddspedia-matches'!$A:$AD,AP$2,0)</f>
        <v>#N/A</v>
      </c>
      <c r="AQ557" t="e">
        <f>VLOOKUP($Z557,'oddspedia-matches'!$A:$AD,AQ$2,0)</f>
        <v>#N/A</v>
      </c>
    </row>
    <row r="558" spans="2:43" x14ac:dyDescent="0.2">
      <c r="B558" t="s">
        <v>470</v>
      </c>
      <c r="C558" t="s">
        <v>2222</v>
      </c>
      <c r="D558" s="25">
        <v>0.88541666666666663</v>
      </c>
      <c r="E558" t="s">
        <v>105</v>
      </c>
      <c r="F558" t="s">
        <v>177</v>
      </c>
      <c r="H558">
        <v>41.5</v>
      </c>
      <c r="I558">
        <v>31.4</v>
      </c>
      <c r="J558">
        <v>27.1</v>
      </c>
      <c r="K558">
        <v>72.900000000000006</v>
      </c>
      <c r="L558">
        <v>58.5</v>
      </c>
      <c r="M558">
        <v>68.599999999999994</v>
      </c>
      <c r="N558">
        <v>27.2</v>
      </c>
      <c r="O558">
        <v>48.6</v>
      </c>
      <c r="P558">
        <v>24.2</v>
      </c>
      <c r="Q558">
        <v>62</v>
      </c>
      <c r="R558">
        <v>65.400000000000006</v>
      </c>
      <c r="S558">
        <v>37.200000000000003</v>
      </c>
      <c r="T558">
        <v>62.8</v>
      </c>
      <c r="U558">
        <v>67.900000000000006</v>
      </c>
      <c r="V558">
        <v>44.8</v>
      </c>
      <c r="W558">
        <v>55.2</v>
      </c>
      <c r="X558" t="str">
        <f>VLOOKUP(E558,'Transform table'!A:B,2,0)</f>
        <v>Rosario Central</v>
      </c>
      <c r="Y558" t="str">
        <f>VLOOKUP(F558,'Transform table'!A:B,2,0)</f>
        <v>Racing Avellaneda</v>
      </c>
      <c r="Z558" t="str">
        <f t="shared" si="8"/>
        <v>28/07/2026Rosario CentralRacing Avellaneda</v>
      </c>
      <c r="AA558" t="e">
        <f>VLOOKUP($Z558,'oddspedia-matches'!$A:$AD,AA$2,0)</f>
        <v>#N/A</v>
      </c>
      <c r="AB558" t="e">
        <f>VLOOKUP($Z558,'oddspedia-matches'!$A:$AD,AB$2,0)</f>
        <v>#N/A</v>
      </c>
      <c r="AC558" t="e">
        <f>VLOOKUP($Z558,'oddspedia-matches'!$A:$AD,AC$2,0)</f>
        <v>#N/A</v>
      </c>
      <c r="AD558" t="e">
        <f>VLOOKUP($Z558,'oddspedia-matches'!$A:$AD,AD$2,0)</f>
        <v>#N/A</v>
      </c>
      <c r="AE558" t="e">
        <f>VLOOKUP($Z558,'oddspedia-matches'!$A:$AD,AE$2,0)</f>
        <v>#N/A</v>
      </c>
      <c r="AF558" t="e">
        <f>VLOOKUP($Z558,'oddspedia-matches'!$A:$AD,AF$2,0)</f>
        <v>#N/A</v>
      </c>
      <c r="AG558" t="e">
        <f>VLOOKUP($Z558,'oddspedia-matches'!$A:$AD,AG$2,0)</f>
        <v>#N/A</v>
      </c>
      <c r="AH558" t="e">
        <f>VLOOKUP($Z558,'oddspedia-matches'!$A:$AD,AH$2,0)</f>
        <v>#N/A</v>
      </c>
      <c r="AI558" t="e">
        <f>VLOOKUP($Z558,'oddspedia-matches'!$A:$AD,AI$2,0)</f>
        <v>#N/A</v>
      </c>
      <c r="AJ558" t="e">
        <f>VLOOKUP($Z558,'oddspedia-matches'!$A:$AD,AJ$2,0)</f>
        <v>#N/A</v>
      </c>
      <c r="AK558" t="e">
        <f>VLOOKUP($Z558,'oddspedia-matches'!$A:$AD,AK$2,0)</f>
        <v>#N/A</v>
      </c>
      <c r="AL558" t="e">
        <f>VLOOKUP($Z558,'oddspedia-matches'!$A:$AD,AL$2,0)</f>
        <v>#N/A</v>
      </c>
      <c r="AM558" t="e">
        <f>VLOOKUP($Z558,'oddspedia-matches'!$A:$AD,AM$2,0)</f>
        <v>#N/A</v>
      </c>
      <c r="AN558" t="e">
        <f>VLOOKUP($Z558,'oddspedia-matches'!$A:$AD,AN$2,0)</f>
        <v>#N/A</v>
      </c>
      <c r="AO558" t="e">
        <f>VLOOKUP($Z558,'oddspedia-matches'!$A:$AD,AO$2,0)</f>
        <v>#N/A</v>
      </c>
      <c r="AP558" t="e">
        <f>VLOOKUP($Z558,'oddspedia-matches'!$A:$AD,AP$2,0)</f>
        <v>#N/A</v>
      </c>
      <c r="AQ558" t="e">
        <f>VLOOKUP($Z558,'oddspedia-matches'!$A:$AD,AQ$2,0)</f>
        <v>#N/A</v>
      </c>
    </row>
    <row r="559" spans="2:43" x14ac:dyDescent="0.2">
      <c r="B559" t="s">
        <v>455</v>
      </c>
      <c r="C559" t="s">
        <v>2222</v>
      </c>
      <c r="D559" s="25">
        <v>0.89930555555555558</v>
      </c>
      <c r="E559" t="s">
        <v>241</v>
      </c>
      <c r="F559" t="s">
        <v>118</v>
      </c>
      <c r="H559">
        <v>41.3</v>
      </c>
      <c r="I559">
        <v>31.1</v>
      </c>
      <c r="J559">
        <v>27.6</v>
      </c>
      <c r="K559">
        <v>72.400000000000006</v>
      </c>
      <c r="L559">
        <v>58.7</v>
      </c>
      <c r="M559">
        <v>68.900000000000006</v>
      </c>
      <c r="N559">
        <v>23.4</v>
      </c>
      <c r="O559">
        <v>49.3</v>
      </c>
      <c r="P559">
        <v>27.3</v>
      </c>
      <c r="Q559">
        <v>60.9</v>
      </c>
      <c r="R559">
        <v>66.599999999999994</v>
      </c>
      <c r="S559">
        <v>38.5</v>
      </c>
      <c r="T559">
        <v>61.5</v>
      </c>
      <c r="U559">
        <v>66.7</v>
      </c>
      <c r="V559">
        <v>45.9</v>
      </c>
      <c r="W559">
        <v>54.1</v>
      </c>
      <c r="X559" t="str">
        <f>VLOOKUP(E559,'Transform table'!A:B,2,0)</f>
        <v>Fortaleza EC</v>
      </c>
      <c r="Y559" t="str">
        <f>VLOOKUP(F559,'Transform table'!A:B,2,0)</f>
        <v>Botafogo SP</v>
      </c>
      <c r="Z559" t="str">
        <f t="shared" si="8"/>
        <v>28/07/2026Fortaleza ECBotafogo SP</v>
      </c>
      <c r="AA559" t="e">
        <f>VLOOKUP($Z559,'oddspedia-matches'!$A:$AD,AA$2,0)</f>
        <v>#N/A</v>
      </c>
      <c r="AB559" t="e">
        <f>VLOOKUP($Z559,'oddspedia-matches'!$A:$AD,AB$2,0)</f>
        <v>#N/A</v>
      </c>
      <c r="AC559" t="e">
        <f>VLOOKUP($Z559,'oddspedia-matches'!$A:$AD,AC$2,0)</f>
        <v>#N/A</v>
      </c>
      <c r="AD559" t="e">
        <f>VLOOKUP($Z559,'oddspedia-matches'!$A:$AD,AD$2,0)</f>
        <v>#N/A</v>
      </c>
      <c r="AE559" t="e">
        <f>VLOOKUP($Z559,'oddspedia-matches'!$A:$AD,AE$2,0)</f>
        <v>#N/A</v>
      </c>
      <c r="AF559" t="e">
        <f>VLOOKUP($Z559,'oddspedia-matches'!$A:$AD,AF$2,0)</f>
        <v>#N/A</v>
      </c>
      <c r="AG559" t="e">
        <f>VLOOKUP($Z559,'oddspedia-matches'!$A:$AD,AG$2,0)</f>
        <v>#N/A</v>
      </c>
      <c r="AH559" t="e">
        <f>VLOOKUP($Z559,'oddspedia-matches'!$A:$AD,AH$2,0)</f>
        <v>#N/A</v>
      </c>
      <c r="AI559" t="e">
        <f>VLOOKUP($Z559,'oddspedia-matches'!$A:$AD,AI$2,0)</f>
        <v>#N/A</v>
      </c>
      <c r="AJ559" t="e">
        <f>VLOOKUP($Z559,'oddspedia-matches'!$A:$AD,AJ$2,0)</f>
        <v>#N/A</v>
      </c>
      <c r="AK559" t="e">
        <f>VLOOKUP($Z559,'oddspedia-matches'!$A:$AD,AK$2,0)</f>
        <v>#N/A</v>
      </c>
      <c r="AL559" t="e">
        <f>VLOOKUP($Z559,'oddspedia-matches'!$A:$AD,AL$2,0)</f>
        <v>#N/A</v>
      </c>
      <c r="AM559" t="e">
        <f>VLOOKUP($Z559,'oddspedia-matches'!$A:$AD,AM$2,0)</f>
        <v>#N/A</v>
      </c>
      <c r="AN559" t="e">
        <f>VLOOKUP($Z559,'oddspedia-matches'!$A:$AD,AN$2,0)</f>
        <v>#N/A</v>
      </c>
      <c r="AO559" t="e">
        <f>VLOOKUP($Z559,'oddspedia-matches'!$A:$AD,AO$2,0)</f>
        <v>#N/A</v>
      </c>
      <c r="AP559" t="e">
        <f>VLOOKUP($Z559,'oddspedia-matches'!$A:$AD,AP$2,0)</f>
        <v>#N/A</v>
      </c>
      <c r="AQ559" t="e">
        <f>VLOOKUP($Z559,'oddspedia-matches'!$A:$AD,AQ$2,0)</f>
        <v>#N/A</v>
      </c>
    </row>
    <row r="560" spans="2:43" x14ac:dyDescent="0.2">
      <c r="B560" t="s">
        <v>445</v>
      </c>
      <c r="C560" t="s">
        <v>4017</v>
      </c>
      <c r="D560" s="25">
        <v>0.27083333333333331</v>
      </c>
      <c r="E560" t="s">
        <v>497</v>
      </c>
      <c r="F560" t="s">
        <v>494</v>
      </c>
      <c r="H560">
        <v>18.3</v>
      </c>
      <c r="I560">
        <v>25</v>
      </c>
      <c r="J560">
        <v>56.7</v>
      </c>
      <c r="K560">
        <v>43.3</v>
      </c>
      <c r="L560">
        <v>81.7</v>
      </c>
      <c r="M560">
        <v>75</v>
      </c>
      <c r="N560">
        <v>15.3</v>
      </c>
      <c r="O560">
        <v>44.2</v>
      </c>
      <c r="P560">
        <v>40.4</v>
      </c>
      <c r="Q560">
        <v>66.599999999999994</v>
      </c>
      <c r="R560">
        <v>86.2</v>
      </c>
      <c r="S560">
        <v>66.099999999999994</v>
      </c>
      <c r="T560">
        <v>33.9</v>
      </c>
      <c r="U560">
        <v>41</v>
      </c>
      <c r="V560">
        <v>63.4</v>
      </c>
      <c r="W560">
        <v>36.6</v>
      </c>
    </row>
    <row r="561" spans="2:23" x14ac:dyDescent="0.2">
      <c r="B561" t="s">
        <v>448</v>
      </c>
      <c r="C561" t="s">
        <v>4017</v>
      </c>
      <c r="D561" s="25">
        <v>0.52083333333333337</v>
      </c>
      <c r="E561" t="s">
        <v>592</v>
      </c>
      <c r="F561" t="s">
        <v>222</v>
      </c>
      <c r="H561">
        <v>46.3</v>
      </c>
      <c r="I561">
        <v>27.8</v>
      </c>
      <c r="J561">
        <v>25.8</v>
      </c>
      <c r="K561">
        <v>74.2</v>
      </c>
      <c r="L561">
        <v>53.7</v>
      </c>
      <c r="M561">
        <v>72.2</v>
      </c>
      <c r="N561">
        <v>37.200000000000003</v>
      </c>
      <c r="O561">
        <v>44</v>
      </c>
      <c r="P561">
        <v>18.8</v>
      </c>
      <c r="Q561">
        <v>67.5</v>
      </c>
      <c r="R561">
        <v>75.8</v>
      </c>
      <c r="S561">
        <v>50</v>
      </c>
      <c r="T561">
        <v>50</v>
      </c>
      <c r="U561">
        <v>56</v>
      </c>
      <c r="V561">
        <v>54.3</v>
      </c>
      <c r="W561">
        <v>45.7</v>
      </c>
    </row>
    <row r="562" spans="2:23" x14ac:dyDescent="0.2">
      <c r="B562" t="s">
        <v>470</v>
      </c>
      <c r="C562" t="s">
        <v>4017</v>
      </c>
      <c r="D562" s="25">
        <v>0.60416666666666663</v>
      </c>
      <c r="E562" t="s">
        <v>755</v>
      </c>
      <c r="F562" t="s">
        <v>121</v>
      </c>
      <c r="H562">
        <v>48.4</v>
      </c>
      <c r="I562">
        <v>33.5</v>
      </c>
      <c r="J562">
        <v>18.100000000000001</v>
      </c>
      <c r="K562">
        <v>81.900000000000006</v>
      </c>
      <c r="L562">
        <v>51.6</v>
      </c>
      <c r="M562">
        <v>66.5</v>
      </c>
      <c r="N562">
        <v>37.9</v>
      </c>
      <c r="O562">
        <v>46.6</v>
      </c>
      <c r="P562">
        <v>15.4</v>
      </c>
      <c r="Q562">
        <v>62.7</v>
      </c>
      <c r="R562">
        <v>53</v>
      </c>
      <c r="S562">
        <v>25.2</v>
      </c>
      <c r="T562">
        <v>74.8</v>
      </c>
      <c r="U562">
        <v>79.900000000000006</v>
      </c>
      <c r="V562">
        <v>31.5</v>
      </c>
      <c r="W562">
        <v>68.5</v>
      </c>
    </row>
    <row r="563" spans="2:23" x14ac:dyDescent="0.2">
      <c r="B563" t="s">
        <v>469</v>
      </c>
      <c r="C563" t="s">
        <v>4017</v>
      </c>
      <c r="D563" s="25">
        <v>0.625</v>
      </c>
      <c r="E563" t="s">
        <v>607</v>
      </c>
      <c r="F563" t="s">
        <v>147</v>
      </c>
      <c r="H563">
        <v>61.6</v>
      </c>
      <c r="I563">
        <v>23</v>
      </c>
      <c r="J563">
        <v>15.5</v>
      </c>
      <c r="K563">
        <v>84.5</v>
      </c>
      <c r="L563">
        <v>38.4</v>
      </c>
      <c r="M563">
        <v>77</v>
      </c>
      <c r="N563">
        <v>54.8</v>
      </c>
      <c r="O563">
        <v>30.5</v>
      </c>
      <c r="P563">
        <v>14.7</v>
      </c>
      <c r="Q563">
        <v>84</v>
      </c>
      <c r="R563">
        <v>89.1</v>
      </c>
      <c r="S563">
        <v>71.400000000000006</v>
      </c>
      <c r="T563">
        <v>28.6</v>
      </c>
      <c r="U563">
        <v>35.9</v>
      </c>
      <c r="V563">
        <v>65.599999999999994</v>
      </c>
      <c r="W563">
        <v>34.4</v>
      </c>
    </row>
    <row r="564" spans="2:23" x14ac:dyDescent="0.2">
      <c r="B564" t="s">
        <v>480</v>
      </c>
      <c r="C564" t="s">
        <v>4017</v>
      </c>
      <c r="D564" s="25">
        <v>0.625</v>
      </c>
      <c r="E564" t="s">
        <v>633</v>
      </c>
      <c r="F564" t="s">
        <v>608</v>
      </c>
      <c r="H564">
        <v>31.7</v>
      </c>
      <c r="I564">
        <v>25.6</v>
      </c>
      <c r="J564">
        <v>42.6</v>
      </c>
      <c r="K564">
        <v>57.4</v>
      </c>
      <c r="L564">
        <v>68.3</v>
      </c>
      <c r="M564">
        <v>74.400000000000006</v>
      </c>
      <c r="N564">
        <v>23.1</v>
      </c>
      <c r="O564">
        <v>33.5</v>
      </c>
      <c r="P564">
        <v>43.4</v>
      </c>
      <c r="Q564">
        <v>84.3</v>
      </c>
      <c r="R564">
        <v>93.5</v>
      </c>
      <c r="S564">
        <v>80.400000000000006</v>
      </c>
      <c r="T564">
        <v>19.600000000000001</v>
      </c>
      <c r="U564">
        <v>24.2</v>
      </c>
      <c r="V564">
        <v>79</v>
      </c>
      <c r="W564">
        <v>21</v>
      </c>
    </row>
    <row r="565" spans="2:23" x14ac:dyDescent="0.2">
      <c r="B565" t="s">
        <v>480</v>
      </c>
      <c r="C565" t="s">
        <v>4017</v>
      </c>
      <c r="D565" s="25">
        <v>0.625</v>
      </c>
      <c r="E565" t="s">
        <v>644</v>
      </c>
      <c r="F565" t="s">
        <v>631</v>
      </c>
      <c r="H565">
        <v>49.1</v>
      </c>
      <c r="I565">
        <v>24.8</v>
      </c>
      <c r="J565">
        <v>26.1</v>
      </c>
      <c r="K565">
        <v>73.900000000000006</v>
      </c>
      <c r="L565">
        <v>50.9</v>
      </c>
      <c r="M565">
        <v>75.2</v>
      </c>
      <c r="N565">
        <v>35.700000000000003</v>
      </c>
      <c r="O565">
        <v>37.4</v>
      </c>
      <c r="P565">
        <v>26.9</v>
      </c>
      <c r="Q565">
        <v>78.900000000000006</v>
      </c>
      <c r="R565">
        <v>89.9</v>
      </c>
      <c r="S565">
        <v>72.8</v>
      </c>
      <c r="T565">
        <v>27.2</v>
      </c>
      <c r="U565">
        <v>32.799999999999997</v>
      </c>
      <c r="V565">
        <v>71.8</v>
      </c>
      <c r="W565">
        <v>28.2</v>
      </c>
    </row>
    <row r="566" spans="2:23" x14ac:dyDescent="0.2">
      <c r="B566" t="s">
        <v>479</v>
      </c>
      <c r="C566" t="s">
        <v>4017</v>
      </c>
      <c r="D566" s="25">
        <v>0.66666666666666663</v>
      </c>
      <c r="E566" t="s">
        <v>1196</v>
      </c>
      <c r="F566" t="s">
        <v>176</v>
      </c>
      <c r="H566">
        <v>33.700000000000003</v>
      </c>
      <c r="I566">
        <v>30</v>
      </c>
      <c r="J566">
        <v>36.299999999999997</v>
      </c>
      <c r="K566">
        <v>63.7</v>
      </c>
      <c r="L566">
        <v>66.3</v>
      </c>
      <c r="M566">
        <v>70</v>
      </c>
      <c r="N566">
        <v>28.3</v>
      </c>
      <c r="O566">
        <v>44.7</v>
      </c>
      <c r="P566">
        <v>27</v>
      </c>
      <c r="Q566">
        <v>67.900000000000006</v>
      </c>
      <c r="R566">
        <v>72.599999999999994</v>
      </c>
      <c r="S566">
        <v>45.6</v>
      </c>
      <c r="T566">
        <v>54.4</v>
      </c>
      <c r="U566">
        <v>59.7</v>
      </c>
      <c r="V566">
        <v>52.3</v>
      </c>
      <c r="W566">
        <v>47.7</v>
      </c>
    </row>
    <row r="567" spans="2:23" x14ac:dyDescent="0.2">
      <c r="B567" t="s">
        <v>469</v>
      </c>
      <c r="C567" t="s">
        <v>4017</v>
      </c>
      <c r="D567" s="25">
        <v>0.67708333333333337</v>
      </c>
      <c r="E567" t="s">
        <v>148</v>
      </c>
      <c r="F567" t="s">
        <v>98</v>
      </c>
      <c r="H567">
        <v>44.6</v>
      </c>
      <c r="I567">
        <v>28.2</v>
      </c>
      <c r="J567">
        <v>27.2</v>
      </c>
      <c r="K567">
        <v>72.8</v>
      </c>
      <c r="L567">
        <v>55.4</v>
      </c>
      <c r="M567">
        <v>71.8</v>
      </c>
      <c r="N567">
        <v>28.3</v>
      </c>
      <c r="O567">
        <v>45.4</v>
      </c>
      <c r="P567">
        <v>26.3</v>
      </c>
      <c r="Q567">
        <v>66.900000000000006</v>
      </c>
      <c r="R567">
        <v>75.3</v>
      </c>
      <c r="S567">
        <v>49.3</v>
      </c>
      <c r="T567">
        <v>50.7</v>
      </c>
      <c r="U567">
        <v>56.6</v>
      </c>
      <c r="V567">
        <v>54.2</v>
      </c>
      <c r="W567">
        <v>45.8</v>
      </c>
    </row>
    <row r="568" spans="2:23" x14ac:dyDescent="0.2">
      <c r="B568" t="s">
        <v>469</v>
      </c>
      <c r="C568" t="s">
        <v>4017</v>
      </c>
      <c r="D568" s="25">
        <v>0.67708333333333337</v>
      </c>
      <c r="E568" t="s">
        <v>99</v>
      </c>
      <c r="F568" t="s">
        <v>604</v>
      </c>
      <c r="H568">
        <v>44.7</v>
      </c>
      <c r="I568">
        <v>25.1</v>
      </c>
      <c r="J568">
        <v>30.2</v>
      </c>
      <c r="K568">
        <v>69.8</v>
      </c>
      <c r="L568">
        <v>55.3</v>
      </c>
      <c r="M568">
        <v>74.900000000000006</v>
      </c>
      <c r="N568">
        <v>37.4</v>
      </c>
      <c r="O568">
        <v>34.299999999999997</v>
      </c>
      <c r="P568">
        <v>28.3</v>
      </c>
      <c r="Q568">
        <v>83.8</v>
      </c>
      <c r="R568">
        <v>91.1</v>
      </c>
      <c r="S568">
        <v>75.099999999999994</v>
      </c>
      <c r="T568">
        <v>24.9</v>
      </c>
      <c r="U568">
        <v>30</v>
      </c>
      <c r="V568">
        <v>74.599999999999994</v>
      </c>
      <c r="W568">
        <v>25.4</v>
      </c>
    </row>
    <row r="569" spans="2:23" x14ac:dyDescent="0.2">
      <c r="B569" t="s">
        <v>480</v>
      </c>
      <c r="C569" t="s">
        <v>4017</v>
      </c>
      <c r="D569" s="25">
        <v>0.67708333333333337</v>
      </c>
      <c r="E569" t="s">
        <v>164</v>
      </c>
      <c r="F569" t="s">
        <v>634</v>
      </c>
      <c r="H569">
        <v>65.8</v>
      </c>
      <c r="I569">
        <v>24.4</v>
      </c>
      <c r="J569">
        <v>9.8000000000000007</v>
      </c>
      <c r="K569">
        <v>90.2</v>
      </c>
      <c r="L569">
        <v>34.200000000000003</v>
      </c>
      <c r="M569">
        <v>75.599999999999994</v>
      </c>
      <c r="N569">
        <v>59.4</v>
      </c>
      <c r="O569">
        <v>27.1</v>
      </c>
      <c r="P569">
        <v>13.5</v>
      </c>
      <c r="Q569">
        <v>88</v>
      </c>
      <c r="R569">
        <v>94</v>
      </c>
      <c r="S569">
        <v>82</v>
      </c>
      <c r="T569">
        <v>18</v>
      </c>
      <c r="U569">
        <v>25.2</v>
      </c>
      <c r="V569">
        <v>70.599999999999994</v>
      </c>
      <c r="W569">
        <v>29.4</v>
      </c>
    </row>
    <row r="570" spans="2:23" x14ac:dyDescent="0.2">
      <c r="B570" t="s">
        <v>480</v>
      </c>
      <c r="C570" t="s">
        <v>4017</v>
      </c>
      <c r="D570" s="25">
        <v>0.67708333333333337</v>
      </c>
      <c r="E570" t="s">
        <v>170</v>
      </c>
      <c r="F570" t="s">
        <v>643</v>
      </c>
      <c r="H570">
        <v>52.8</v>
      </c>
      <c r="I570">
        <v>24.5</v>
      </c>
      <c r="J570">
        <v>22.7</v>
      </c>
      <c r="K570">
        <v>77.3</v>
      </c>
      <c r="L570">
        <v>47.2</v>
      </c>
      <c r="M570">
        <v>75.5</v>
      </c>
      <c r="N570">
        <v>40</v>
      </c>
      <c r="O570">
        <v>37.299999999999997</v>
      </c>
      <c r="P570">
        <v>22.7</v>
      </c>
      <c r="Q570">
        <v>78.2</v>
      </c>
      <c r="R570">
        <v>92</v>
      </c>
      <c r="S570">
        <v>77.2</v>
      </c>
      <c r="T570">
        <v>22.8</v>
      </c>
      <c r="U570">
        <v>28.4</v>
      </c>
      <c r="V570">
        <v>74.400000000000006</v>
      </c>
      <c r="W570">
        <v>25.6</v>
      </c>
    </row>
    <row r="571" spans="2:23" x14ac:dyDescent="0.2">
      <c r="B571" t="s">
        <v>480</v>
      </c>
      <c r="C571" t="s">
        <v>4017</v>
      </c>
      <c r="D571" s="25">
        <v>0.67708333333333337</v>
      </c>
      <c r="E571" t="s">
        <v>609</v>
      </c>
      <c r="F571" t="s">
        <v>169</v>
      </c>
      <c r="H571">
        <v>47.2</v>
      </c>
      <c r="I571">
        <v>25.3</v>
      </c>
      <c r="J571">
        <v>27.5</v>
      </c>
      <c r="K571">
        <v>72.5</v>
      </c>
      <c r="L571">
        <v>52.8</v>
      </c>
      <c r="M571">
        <v>74.7</v>
      </c>
      <c r="N571">
        <v>46.5</v>
      </c>
      <c r="O571">
        <v>35.700000000000003</v>
      </c>
      <c r="P571">
        <v>17.7</v>
      </c>
      <c r="Q571">
        <v>78.599999999999994</v>
      </c>
      <c r="R571">
        <v>86.8</v>
      </c>
      <c r="S571">
        <v>67</v>
      </c>
      <c r="T571">
        <v>33</v>
      </c>
      <c r="U571">
        <v>38.799999999999997</v>
      </c>
      <c r="V571">
        <v>67.7</v>
      </c>
      <c r="W571">
        <v>32.299999999999997</v>
      </c>
    </row>
    <row r="572" spans="2:23" x14ac:dyDescent="0.2">
      <c r="B572" t="s">
        <v>480</v>
      </c>
      <c r="C572" t="s">
        <v>4017</v>
      </c>
      <c r="D572" s="25">
        <v>0.67708333333333337</v>
      </c>
      <c r="E572" t="s">
        <v>632</v>
      </c>
      <c r="F572" t="s">
        <v>163</v>
      </c>
      <c r="H572">
        <v>42.5</v>
      </c>
      <c r="I572">
        <v>25.3</v>
      </c>
      <c r="J572">
        <v>32.200000000000003</v>
      </c>
      <c r="K572">
        <v>67.8</v>
      </c>
      <c r="L572">
        <v>57.5</v>
      </c>
      <c r="M572">
        <v>74.7</v>
      </c>
      <c r="N572">
        <v>30.7</v>
      </c>
      <c r="O572">
        <v>41.2</v>
      </c>
      <c r="P572">
        <v>28.1</v>
      </c>
      <c r="Q572">
        <v>73.400000000000006</v>
      </c>
      <c r="R572">
        <v>90.7</v>
      </c>
      <c r="S572">
        <v>74.400000000000006</v>
      </c>
      <c r="T572">
        <v>25.6</v>
      </c>
      <c r="U572">
        <v>30.8</v>
      </c>
      <c r="V572">
        <v>74.2</v>
      </c>
      <c r="W572">
        <v>25.8</v>
      </c>
    </row>
    <row r="573" spans="2:23" x14ac:dyDescent="0.2">
      <c r="B573" t="s">
        <v>470</v>
      </c>
      <c r="C573" t="s">
        <v>4017</v>
      </c>
      <c r="D573" s="25">
        <v>0.70833333333333337</v>
      </c>
      <c r="E573" t="s">
        <v>120</v>
      </c>
      <c r="F573" t="s">
        <v>1202</v>
      </c>
      <c r="H573">
        <v>43.1</v>
      </c>
      <c r="I573">
        <v>34.4</v>
      </c>
      <c r="J573">
        <v>22.5</v>
      </c>
      <c r="K573">
        <v>77.5</v>
      </c>
      <c r="L573">
        <v>56.9</v>
      </c>
      <c r="M573">
        <v>65.599999999999994</v>
      </c>
      <c r="N573">
        <v>31.9</v>
      </c>
      <c r="O573">
        <v>51.6</v>
      </c>
      <c r="P573">
        <v>16.5</v>
      </c>
      <c r="Q573">
        <v>56.5</v>
      </c>
      <c r="R573">
        <v>54.4</v>
      </c>
      <c r="S573">
        <v>26.4</v>
      </c>
      <c r="T573">
        <v>73.599999999999994</v>
      </c>
      <c r="U573">
        <v>78.099999999999994</v>
      </c>
      <c r="V573">
        <v>34.5</v>
      </c>
      <c r="W573">
        <v>65.5</v>
      </c>
    </row>
    <row r="574" spans="2:23" x14ac:dyDescent="0.2">
      <c r="B574" t="s">
        <v>454</v>
      </c>
      <c r="C574" t="s">
        <v>4017</v>
      </c>
      <c r="D574" s="25">
        <v>0.70833333333333337</v>
      </c>
      <c r="E574" t="s">
        <v>230</v>
      </c>
      <c r="F574" t="s">
        <v>1186</v>
      </c>
      <c r="H574">
        <v>37.700000000000003</v>
      </c>
      <c r="I574">
        <v>30.1</v>
      </c>
      <c r="J574">
        <v>32.200000000000003</v>
      </c>
      <c r="K574">
        <v>67.8</v>
      </c>
      <c r="L574">
        <v>62.3</v>
      </c>
      <c r="M574">
        <v>69.900000000000006</v>
      </c>
      <c r="N574">
        <v>31.8</v>
      </c>
      <c r="O574">
        <v>42.7</v>
      </c>
      <c r="P574">
        <v>25.5</v>
      </c>
      <c r="Q574">
        <v>70.7</v>
      </c>
      <c r="R574">
        <v>71.400000000000006</v>
      </c>
      <c r="S574">
        <v>44.2</v>
      </c>
      <c r="T574">
        <v>55.8</v>
      </c>
      <c r="U574">
        <v>61.1</v>
      </c>
      <c r="V574">
        <v>51.1</v>
      </c>
      <c r="W574">
        <v>48.9</v>
      </c>
    </row>
    <row r="575" spans="2:23" x14ac:dyDescent="0.2">
      <c r="B575" t="s">
        <v>454</v>
      </c>
      <c r="C575" t="s">
        <v>4017</v>
      </c>
      <c r="D575" s="25">
        <v>0.70833333333333337</v>
      </c>
      <c r="E575" t="s">
        <v>108</v>
      </c>
      <c r="F575" t="s">
        <v>1187</v>
      </c>
      <c r="H575">
        <v>48.1</v>
      </c>
      <c r="I575">
        <v>26.5</v>
      </c>
      <c r="J575">
        <v>25.4</v>
      </c>
      <c r="K575">
        <v>74.599999999999994</v>
      </c>
      <c r="L575">
        <v>51.9</v>
      </c>
      <c r="M575">
        <v>73.5</v>
      </c>
      <c r="N575">
        <v>37</v>
      </c>
      <c r="O575">
        <v>42.7</v>
      </c>
      <c r="P575">
        <v>20.3</v>
      </c>
      <c r="Q575">
        <v>69.8</v>
      </c>
      <c r="R575">
        <v>80.2</v>
      </c>
      <c r="S575">
        <v>56.2</v>
      </c>
      <c r="T575">
        <v>43.8</v>
      </c>
      <c r="U575">
        <v>49.9</v>
      </c>
      <c r="V575">
        <v>58.9</v>
      </c>
      <c r="W575">
        <v>41.1</v>
      </c>
    </row>
    <row r="576" spans="2:23" x14ac:dyDescent="0.2">
      <c r="B576" t="s">
        <v>454</v>
      </c>
      <c r="C576" t="s">
        <v>4017</v>
      </c>
      <c r="D576" s="25">
        <v>0.70833333333333337</v>
      </c>
      <c r="E576" t="s">
        <v>65</v>
      </c>
      <c r="F576" t="s">
        <v>776</v>
      </c>
      <c r="H576">
        <v>35.4</v>
      </c>
      <c r="I576">
        <v>28.2</v>
      </c>
      <c r="J576">
        <v>36.5</v>
      </c>
      <c r="K576">
        <v>63.5</v>
      </c>
      <c r="L576">
        <v>64.599999999999994</v>
      </c>
      <c r="M576">
        <v>71.8</v>
      </c>
      <c r="N576">
        <v>28.2</v>
      </c>
      <c r="O576">
        <v>45.3</v>
      </c>
      <c r="P576">
        <v>26.5</v>
      </c>
      <c r="Q576">
        <v>67</v>
      </c>
      <c r="R576">
        <v>78.7</v>
      </c>
      <c r="S576">
        <v>53.9</v>
      </c>
      <c r="T576">
        <v>46.1</v>
      </c>
      <c r="U576">
        <v>51.7</v>
      </c>
      <c r="V576">
        <v>58.8</v>
      </c>
      <c r="W576">
        <v>41.2</v>
      </c>
    </row>
    <row r="577" spans="2:23" x14ac:dyDescent="0.2">
      <c r="B577" t="s">
        <v>454</v>
      </c>
      <c r="C577" t="s">
        <v>4017</v>
      </c>
      <c r="D577" s="25">
        <v>0.70833333333333337</v>
      </c>
      <c r="E577" t="s">
        <v>69</v>
      </c>
      <c r="F577" t="s">
        <v>744</v>
      </c>
      <c r="H577">
        <v>47.8</v>
      </c>
      <c r="I577">
        <v>27.2</v>
      </c>
      <c r="J577">
        <v>25</v>
      </c>
      <c r="K577">
        <v>75</v>
      </c>
      <c r="L577">
        <v>52.2</v>
      </c>
      <c r="M577">
        <v>72.8</v>
      </c>
      <c r="N577">
        <v>28.8</v>
      </c>
      <c r="O577">
        <v>47.7</v>
      </c>
      <c r="P577">
        <v>23.5</v>
      </c>
      <c r="Q577">
        <v>63.2</v>
      </c>
      <c r="R577">
        <v>77.599999999999994</v>
      </c>
      <c r="S577">
        <v>52.4</v>
      </c>
      <c r="T577">
        <v>47.6</v>
      </c>
      <c r="U577">
        <v>53.8</v>
      </c>
      <c r="V577">
        <v>55.9</v>
      </c>
      <c r="W577">
        <v>44.1</v>
      </c>
    </row>
    <row r="578" spans="2:23" x14ac:dyDescent="0.2">
      <c r="B578" t="s">
        <v>479</v>
      </c>
      <c r="C578" t="s">
        <v>4017</v>
      </c>
      <c r="D578" s="25">
        <v>0.77083333333333337</v>
      </c>
      <c r="E578" t="s">
        <v>185</v>
      </c>
      <c r="F578" t="s">
        <v>1156</v>
      </c>
      <c r="H578">
        <v>37.299999999999997</v>
      </c>
      <c r="I578">
        <v>30.5</v>
      </c>
      <c r="J578">
        <v>32.200000000000003</v>
      </c>
      <c r="K578">
        <v>67.8</v>
      </c>
      <c r="L578">
        <v>62.7</v>
      </c>
      <c r="M578">
        <v>69.5</v>
      </c>
      <c r="N578">
        <v>25.4</v>
      </c>
      <c r="O578">
        <v>50</v>
      </c>
      <c r="P578">
        <v>24.6</v>
      </c>
      <c r="Q578">
        <v>59.9</v>
      </c>
      <c r="R578">
        <v>70.2</v>
      </c>
      <c r="S578">
        <v>42.7</v>
      </c>
      <c r="T578">
        <v>57.3</v>
      </c>
      <c r="U578">
        <v>62.5</v>
      </c>
      <c r="V578">
        <v>49.9</v>
      </c>
      <c r="W578">
        <v>50.1</v>
      </c>
    </row>
    <row r="579" spans="2:23" x14ac:dyDescent="0.2">
      <c r="B579" t="s">
        <v>470</v>
      </c>
      <c r="C579" t="s">
        <v>4017</v>
      </c>
      <c r="D579" s="25">
        <v>0.80208333333333337</v>
      </c>
      <c r="E579" t="s">
        <v>178</v>
      </c>
      <c r="F579" t="s">
        <v>754</v>
      </c>
      <c r="H579">
        <v>34</v>
      </c>
      <c r="I579">
        <v>32.200000000000003</v>
      </c>
      <c r="J579">
        <v>33.799999999999997</v>
      </c>
      <c r="K579">
        <v>66.2</v>
      </c>
      <c r="L579">
        <v>66</v>
      </c>
      <c r="M579">
        <v>67.8</v>
      </c>
      <c r="N579">
        <v>41</v>
      </c>
      <c r="O579">
        <v>41.4</v>
      </c>
      <c r="P579">
        <v>17.600000000000001</v>
      </c>
      <c r="Q579">
        <v>70.599999999999994</v>
      </c>
      <c r="R579">
        <v>65.3</v>
      </c>
      <c r="S579">
        <v>37.1</v>
      </c>
      <c r="T579">
        <v>62.9</v>
      </c>
      <c r="U579">
        <v>67.8</v>
      </c>
      <c r="V579">
        <v>45.4</v>
      </c>
      <c r="W579">
        <v>54.6</v>
      </c>
    </row>
    <row r="580" spans="2:23" x14ac:dyDescent="0.2">
      <c r="B580" t="s">
        <v>454</v>
      </c>
      <c r="C580" t="s">
        <v>4017</v>
      </c>
      <c r="D580" s="25">
        <v>0.8125</v>
      </c>
      <c r="E580" t="s">
        <v>67</v>
      </c>
      <c r="F580" t="s">
        <v>66</v>
      </c>
      <c r="H580">
        <v>28.7</v>
      </c>
      <c r="I580">
        <v>29.6</v>
      </c>
      <c r="J580">
        <v>41.7</v>
      </c>
      <c r="K580">
        <v>58.3</v>
      </c>
      <c r="L580">
        <v>71.3</v>
      </c>
      <c r="M580">
        <v>70.400000000000006</v>
      </c>
      <c r="N580">
        <v>17.899999999999999</v>
      </c>
      <c r="O580">
        <v>46.4</v>
      </c>
      <c r="P580">
        <v>35.700000000000003</v>
      </c>
      <c r="Q580">
        <v>64.3</v>
      </c>
      <c r="R580">
        <v>73.7</v>
      </c>
      <c r="S580">
        <v>47.1</v>
      </c>
      <c r="T580">
        <v>52.9</v>
      </c>
      <c r="U580">
        <v>58.5</v>
      </c>
      <c r="V580">
        <v>52.9</v>
      </c>
      <c r="W580">
        <v>47.1</v>
      </c>
    </row>
    <row r="581" spans="2:23" x14ac:dyDescent="0.2">
      <c r="B581" t="s">
        <v>454</v>
      </c>
      <c r="C581" t="s">
        <v>4017</v>
      </c>
      <c r="D581" s="25">
        <v>0.8125</v>
      </c>
      <c r="E581" t="s">
        <v>777</v>
      </c>
      <c r="F581" t="s">
        <v>111</v>
      </c>
      <c r="H581">
        <v>46</v>
      </c>
      <c r="I581">
        <v>28.1</v>
      </c>
      <c r="J581">
        <v>25.9</v>
      </c>
      <c r="K581">
        <v>74.099999999999994</v>
      </c>
      <c r="L581">
        <v>54</v>
      </c>
      <c r="M581">
        <v>71.900000000000006</v>
      </c>
      <c r="N581">
        <v>44.3</v>
      </c>
      <c r="O581">
        <v>39.299999999999997</v>
      </c>
      <c r="P581">
        <v>16.399999999999999</v>
      </c>
      <c r="Q581">
        <v>73</v>
      </c>
      <c r="R581">
        <v>74.900000000000006</v>
      </c>
      <c r="S581">
        <v>48.7</v>
      </c>
      <c r="T581">
        <v>51.3</v>
      </c>
      <c r="U581">
        <v>57.3</v>
      </c>
      <c r="V581">
        <v>53.3</v>
      </c>
      <c r="W581">
        <v>46.7</v>
      </c>
    </row>
    <row r="582" spans="2:23" x14ac:dyDescent="0.2">
      <c r="B582" t="s">
        <v>467</v>
      </c>
      <c r="C582" t="s">
        <v>4017</v>
      </c>
      <c r="D582" s="25">
        <v>0.83333333333333337</v>
      </c>
      <c r="E582" t="s">
        <v>765</v>
      </c>
      <c r="F582" t="s">
        <v>784</v>
      </c>
      <c r="H582">
        <v>40.6</v>
      </c>
      <c r="I582">
        <v>30.3</v>
      </c>
      <c r="J582">
        <v>29.1</v>
      </c>
      <c r="K582">
        <v>70.900000000000006</v>
      </c>
      <c r="L582">
        <v>59.4</v>
      </c>
      <c r="M582">
        <v>69.7</v>
      </c>
      <c r="N582">
        <v>28.3</v>
      </c>
      <c r="O582">
        <v>54.2</v>
      </c>
      <c r="P582">
        <v>17.5</v>
      </c>
      <c r="Q582">
        <v>53.3</v>
      </c>
      <c r="R582">
        <v>69.7</v>
      </c>
      <c r="S582">
        <v>42.2</v>
      </c>
      <c r="T582">
        <v>57.8</v>
      </c>
      <c r="U582">
        <v>63.2</v>
      </c>
      <c r="V582">
        <v>49.1</v>
      </c>
      <c r="W582">
        <v>50.9</v>
      </c>
    </row>
    <row r="583" spans="2:23" x14ac:dyDescent="0.2">
      <c r="B583" t="s">
        <v>467</v>
      </c>
      <c r="C583" t="s">
        <v>4017</v>
      </c>
      <c r="D583" s="25">
        <v>0.85416666666666663</v>
      </c>
      <c r="E583" t="s">
        <v>4018</v>
      </c>
      <c r="F583" t="s">
        <v>195</v>
      </c>
      <c r="H583">
        <v>46.7</v>
      </c>
      <c r="I583">
        <v>26.9</v>
      </c>
      <c r="J583">
        <v>26.4</v>
      </c>
      <c r="K583">
        <v>73.599999999999994</v>
      </c>
      <c r="L583">
        <v>53.3</v>
      </c>
      <c r="M583">
        <v>73.099999999999994</v>
      </c>
      <c r="N583">
        <v>27.1</v>
      </c>
      <c r="O583">
        <v>44.1</v>
      </c>
      <c r="P583">
        <v>28.8</v>
      </c>
      <c r="Q583">
        <v>68.900000000000006</v>
      </c>
      <c r="R583">
        <v>79.599999999999994</v>
      </c>
      <c r="S583">
        <v>55.2</v>
      </c>
      <c r="T583">
        <v>44.8</v>
      </c>
      <c r="U583">
        <v>50.8</v>
      </c>
      <c r="V583">
        <v>58.5</v>
      </c>
      <c r="W583">
        <v>41.5</v>
      </c>
    </row>
    <row r="584" spans="2:23" x14ac:dyDescent="0.2">
      <c r="B584" t="s">
        <v>470</v>
      </c>
      <c r="C584" t="s">
        <v>4017</v>
      </c>
      <c r="D584" s="25">
        <v>0.89583333333333337</v>
      </c>
      <c r="E584" t="s">
        <v>180</v>
      </c>
      <c r="F584" t="s">
        <v>199</v>
      </c>
      <c r="H584">
        <v>42.8</v>
      </c>
      <c r="I584">
        <v>33.200000000000003</v>
      </c>
      <c r="J584">
        <v>24.1</v>
      </c>
      <c r="K584">
        <v>75.900000000000006</v>
      </c>
      <c r="L584">
        <v>57.2</v>
      </c>
      <c r="M584">
        <v>66.8</v>
      </c>
      <c r="N584">
        <v>29.5</v>
      </c>
      <c r="O584">
        <v>55.9</v>
      </c>
      <c r="P584">
        <v>14.6</v>
      </c>
      <c r="Q584">
        <v>50.5</v>
      </c>
      <c r="R584">
        <v>58.6</v>
      </c>
      <c r="S584">
        <v>30.3</v>
      </c>
      <c r="T584">
        <v>69.7</v>
      </c>
      <c r="U584">
        <v>74.5</v>
      </c>
      <c r="V584">
        <v>38.299999999999997</v>
      </c>
      <c r="W584">
        <v>61.7</v>
      </c>
    </row>
    <row r="585" spans="2:23" x14ac:dyDescent="0.2">
      <c r="B585" t="s">
        <v>454</v>
      </c>
      <c r="C585" t="s">
        <v>4017</v>
      </c>
      <c r="D585" s="25">
        <v>0.89583333333333337</v>
      </c>
      <c r="E585" t="s">
        <v>1188</v>
      </c>
      <c r="F585" t="s">
        <v>231</v>
      </c>
      <c r="H585">
        <v>44.2</v>
      </c>
      <c r="I585">
        <v>27.8</v>
      </c>
      <c r="J585">
        <v>28</v>
      </c>
      <c r="K585">
        <v>72</v>
      </c>
      <c r="L585">
        <v>55.8</v>
      </c>
      <c r="M585">
        <v>72.2</v>
      </c>
      <c r="N585">
        <v>38.799999999999997</v>
      </c>
      <c r="O585">
        <v>40.799999999999997</v>
      </c>
      <c r="P585">
        <v>20.399999999999999</v>
      </c>
      <c r="Q585">
        <v>72.5</v>
      </c>
      <c r="R585">
        <v>77.3</v>
      </c>
      <c r="S585">
        <v>51.9</v>
      </c>
      <c r="T585">
        <v>48.1</v>
      </c>
      <c r="U585">
        <v>53.9</v>
      </c>
      <c r="V585">
        <v>56.4</v>
      </c>
      <c r="W585">
        <v>43.6</v>
      </c>
    </row>
    <row r="586" spans="2:23" x14ac:dyDescent="0.2">
      <c r="B586" t="s">
        <v>454</v>
      </c>
      <c r="C586" t="s">
        <v>4017</v>
      </c>
      <c r="D586" s="25">
        <v>0.89583333333333337</v>
      </c>
      <c r="E586" t="s">
        <v>109</v>
      </c>
      <c r="F586" t="s">
        <v>40</v>
      </c>
      <c r="H586">
        <v>29.5</v>
      </c>
      <c r="I586">
        <v>31.1</v>
      </c>
      <c r="J586">
        <v>39.4</v>
      </c>
      <c r="K586">
        <v>60.6</v>
      </c>
      <c r="L586">
        <v>70.5</v>
      </c>
      <c r="M586">
        <v>68.900000000000006</v>
      </c>
      <c r="N586">
        <v>17.100000000000001</v>
      </c>
      <c r="O586">
        <v>43.8</v>
      </c>
      <c r="P586">
        <v>39.1</v>
      </c>
      <c r="Q586">
        <v>67.8</v>
      </c>
      <c r="R586">
        <v>69</v>
      </c>
      <c r="S586">
        <v>41.3</v>
      </c>
      <c r="T586">
        <v>58.7</v>
      </c>
      <c r="U586">
        <v>63.9</v>
      </c>
      <c r="V586">
        <v>48.5</v>
      </c>
      <c r="W586">
        <v>51.5</v>
      </c>
    </row>
  </sheetData>
  <autoFilter ref="A3:AQ586" xr:uid="{00000000-0001-0000-0000-000000000000}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77971-33D1-4306-8C5A-95D06C375743}">
  <dimension ref="A1:M142"/>
  <sheetViews>
    <sheetView workbookViewId="0">
      <selection sqref="A1:L1"/>
    </sheetView>
  </sheetViews>
  <sheetFormatPr baseColWidth="10" defaultColWidth="8.83203125" defaultRowHeight="15" x14ac:dyDescent="0.2"/>
  <cols>
    <col min="1" max="1" width="8.83203125" style="1"/>
    <col min="2" max="2" width="26" style="1" bestFit="1" customWidth="1"/>
    <col min="3" max="3" width="10.33203125" style="1" bestFit="1" customWidth="1"/>
    <col min="4" max="4" width="8.1640625" style="1" bestFit="1" customWidth="1"/>
    <col min="5" max="5" width="20.33203125" style="1" bestFit="1" customWidth="1"/>
    <col min="6" max="6" width="24.33203125" style="1" bestFit="1" customWidth="1"/>
    <col min="7" max="7" width="16.6640625" style="1" customWidth="1"/>
    <col min="8" max="8" width="16" style="1" customWidth="1"/>
    <col min="9" max="9" width="12.5" style="1" customWidth="1"/>
    <col min="10" max="10" width="11.83203125" style="1" customWidth="1"/>
    <col min="11" max="11" width="10.33203125" style="1" bestFit="1" customWidth="1"/>
    <col min="12" max="12" width="8.1640625" style="1" bestFit="1" customWidth="1"/>
    <col min="13" max="13" width="22.5" style="1" bestFit="1" customWidth="1"/>
    <col min="14" max="16384" width="8.83203125" style="1"/>
  </cols>
  <sheetData>
    <row r="1" spans="1:13" x14ac:dyDescent="0.2">
      <c r="A1" s="5" t="s">
        <v>800</v>
      </c>
      <c r="B1" s="5" t="s">
        <v>801</v>
      </c>
      <c r="C1" s="5" t="s">
        <v>349</v>
      </c>
      <c r="D1" s="6" t="s">
        <v>348</v>
      </c>
      <c r="E1" s="6" t="s">
        <v>347</v>
      </c>
      <c r="F1" s="6" t="s">
        <v>346</v>
      </c>
      <c r="G1" s="6" t="s">
        <v>345</v>
      </c>
      <c r="H1" s="6" t="s">
        <v>344</v>
      </c>
      <c r="I1" s="6" t="s">
        <v>343</v>
      </c>
      <c r="J1" s="6" t="s">
        <v>342</v>
      </c>
      <c r="K1" s="6" t="s">
        <v>856</v>
      </c>
      <c r="L1" s="6" t="s">
        <v>350</v>
      </c>
      <c r="M1" s="24"/>
    </row>
    <row r="2" spans="1:13" x14ac:dyDescent="0.2">
      <c r="A2" t="s">
        <v>825</v>
      </c>
      <c r="B2" t="s">
        <v>833</v>
      </c>
      <c r="C2" s="2">
        <v>46223</v>
      </c>
      <c r="D2" s="3">
        <v>0.58333333333333337</v>
      </c>
      <c r="E2" t="s">
        <v>299</v>
      </c>
      <c r="F2" t="s">
        <v>298</v>
      </c>
      <c r="G2">
        <v>1</v>
      </c>
      <c r="H2">
        <v>3</v>
      </c>
      <c r="I2">
        <v>5</v>
      </c>
      <c r="J2">
        <v>4</v>
      </c>
      <c r="K2" s="22" t="str">
        <f t="shared" ref="K2:K33" si="0">DAY(C2)&amp;"/"&amp;"07"&amp;"/"&amp;YEAR(C2)</f>
        <v>20/07/2026</v>
      </c>
      <c r="L2" s="23">
        <f t="shared" ref="L2:L33" si="1">D2-TIME(3,0,0)</f>
        <v>0.45833333333333337</v>
      </c>
    </row>
    <row r="3" spans="1:13" x14ac:dyDescent="0.2">
      <c r="A3" t="s">
        <v>843</v>
      </c>
      <c r="B3" t="s">
        <v>838</v>
      </c>
      <c r="C3" s="2">
        <v>46223</v>
      </c>
      <c r="D3" s="3">
        <v>0.60416666666666663</v>
      </c>
      <c r="E3" t="s">
        <v>287</v>
      </c>
      <c r="F3" t="s">
        <v>286</v>
      </c>
      <c r="G3">
        <v>0</v>
      </c>
      <c r="H3">
        <v>0</v>
      </c>
      <c r="I3">
        <v>2</v>
      </c>
      <c r="J3">
        <v>0</v>
      </c>
      <c r="K3" s="22" t="str">
        <f t="shared" si="0"/>
        <v>20/07/2026</v>
      </c>
      <c r="L3" s="23">
        <f t="shared" si="1"/>
        <v>0.47916666666666663</v>
      </c>
    </row>
    <row r="4" spans="1:13" x14ac:dyDescent="0.2">
      <c r="A4" t="s">
        <v>834</v>
      </c>
      <c r="B4" t="s">
        <v>835</v>
      </c>
      <c r="C4" s="2">
        <v>46223</v>
      </c>
      <c r="D4" s="3">
        <v>0.625</v>
      </c>
      <c r="E4" t="s">
        <v>297</v>
      </c>
      <c r="F4" t="s">
        <v>296</v>
      </c>
      <c r="G4">
        <v>1</v>
      </c>
      <c r="H4">
        <v>2</v>
      </c>
      <c r="I4">
        <v>1</v>
      </c>
      <c r="J4">
        <v>3</v>
      </c>
      <c r="K4" s="22" t="str">
        <f t="shared" si="0"/>
        <v>20/07/2026</v>
      </c>
      <c r="L4" s="23">
        <f t="shared" si="1"/>
        <v>0.5</v>
      </c>
    </row>
    <row r="5" spans="1:13" x14ac:dyDescent="0.2">
      <c r="A5" t="s">
        <v>840</v>
      </c>
      <c r="B5" t="s">
        <v>841</v>
      </c>
      <c r="C5" s="2">
        <v>46223</v>
      </c>
      <c r="D5" s="3">
        <v>0.625</v>
      </c>
      <c r="E5" t="s">
        <v>291</v>
      </c>
      <c r="F5" t="s">
        <v>290</v>
      </c>
      <c r="G5">
        <v>0</v>
      </c>
      <c r="H5">
        <v>1</v>
      </c>
      <c r="I5">
        <v>0</v>
      </c>
      <c r="J5">
        <v>1</v>
      </c>
      <c r="K5" s="22" t="str">
        <f t="shared" si="0"/>
        <v>20/07/2026</v>
      </c>
      <c r="L5" s="23">
        <f t="shared" si="1"/>
        <v>0.5</v>
      </c>
    </row>
    <row r="6" spans="1:13" x14ac:dyDescent="0.2">
      <c r="A6" t="s">
        <v>844</v>
      </c>
      <c r="B6" t="s">
        <v>846</v>
      </c>
      <c r="C6" s="2">
        <v>46223</v>
      </c>
      <c r="D6" s="3">
        <v>0.625</v>
      </c>
      <c r="E6" t="s">
        <v>247</v>
      </c>
      <c r="F6" t="s">
        <v>282</v>
      </c>
      <c r="G6">
        <v>1</v>
      </c>
      <c r="H6">
        <v>1</v>
      </c>
      <c r="I6">
        <v>2</v>
      </c>
      <c r="J6">
        <v>2</v>
      </c>
      <c r="K6" s="22" t="str">
        <f t="shared" si="0"/>
        <v>20/07/2026</v>
      </c>
      <c r="L6" s="23">
        <f t="shared" si="1"/>
        <v>0.5</v>
      </c>
    </row>
    <row r="7" spans="1:13" x14ac:dyDescent="0.2">
      <c r="A7" t="s">
        <v>834</v>
      </c>
      <c r="B7" t="s">
        <v>836</v>
      </c>
      <c r="C7" s="2">
        <v>46223</v>
      </c>
      <c r="D7" s="3">
        <v>0.64583333333333337</v>
      </c>
      <c r="E7" t="s">
        <v>295</v>
      </c>
      <c r="F7" t="s">
        <v>294</v>
      </c>
      <c r="G7">
        <v>1</v>
      </c>
      <c r="H7">
        <v>0</v>
      </c>
      <c r="I7">
        <v>1</v>
      </c>
      <c r="J7">
        <v>1</v>
      </c>
      <c r="K7" s="22" t="str">
        <f t="shared" si="0"/>
        <v>20/07/2026</v>
      </c>
      <c r="L7" s="23">
        <f t="shared" si="1"/>
        <v>0.52083333333333337</v>
      </c>
    </row>
    <row r="8" spans="1:13" x14ac:dyDescent="0.2">
      <c r="A8" t="s">
        <v>851</v>
      </c>
      <c r="B8" t="s">
        <v>852</v>
      </c>
      <c r="C8" s="2">
        <v>46223</v>
      </c>
      <c r="D8" s="3">
        <v>0.64583333333333337</v>
      </c>
      <c r="E8" t="s">
        <v>275</v>
      </c>
      <c r="F8" t="s">
        <v>274</v>
      </c>
      <c r="G8">
        <v>0</v>
      </c>
      <c r="H8">
        <v>0</v>
      </c>
      <c r="I8">
        <v>3</v>
      </c>
      <c r="J8">
        <v>0</v>
      </c>
      <c r="K8" s="22" t="str">
        <f t="shared" si="0"/>
        <v>20/07/2026</v>
      </c>
      <c r="L8" s="23">
        <f t="shared" si="1"/>
        <v>0.52083333333333337</v>
      </c>
    </row>
    <row r="9" spans="1:13" x14ac:dyDescent="0.2">
      <c r="A9" t="s">
        <v>844</v>
      </c>
      <c r="B9" t="s">
        <v>845</v>
      </c>
      <c r="C9" s="2">
        <v>46223</v>
      </c>
      <c r="D9" s="3">
        <v>0.65625</v>
      </c>
      <c r="E9" t="s">
        <v>283</v>
      </c>
      <c r="F9" t="s">
        <v>144</v>
      </c>
      <c r="G9">
        <v>3</v>
      </c>
      <c r="H9">
        <v>0</v>
      </c>
      <c r="I9">
        <v>5</v>
      </c>
      <c r="J9">
        <v>1</v>
      </c>
      <c r="K9" s="22" t="str">
        <f t="shared" si="0"/>
        <v>20/07/2026</v>
      </c>
      <c r="L9" s="23">
        <f t="shared" si="1"/>
        <v>0.53125</v>
      </c>
    </row>
    <row r="10" spans="1:13" x14ac:dyDescent="0.2">
      <c r="A10" t="s">
        <v>834</v>
      </c>
      <c r="B10" t="s">
        <v>835</v>
      </c>
      <c r="C10" s="2">
        <v>46223</v>
      </c>
      <c r="D10" s="3">
        <v>0.66666666666666663</v>
      </c>
      <c r="E10" t="s">
        <v>250</v>
      </c>
      <c r="F10" t="s">
        <v>251</v>
      </c>
      <c r="G10">
        <v>0</v>
      </c>
      <c r="H10">
        <v>1</v>
      </c>
      <c r="I10">
        <v>0</v>
      </c>
      <c r="J10">
        <v>2</v>
      </c>
      <c r="K10" s="22" t="str">
        <f t="shared" si="0"/>
        <v>20/07/2026</v>
      </c>
      <c r="L10" s="23">
        <f t="shared" si="1"/>
        <v>0.54166666666666663</v>
      </c>
    </row>
    <row r="11" spans="1:13" x14ac:dyDescent="0.2">
      <c r="A11" t="s">
        <v>840</v>
      </c>
      <c r="B11" t="s">
        <v>841</v>
      </c>
      <c r="C11" s="2">
        <v>46223</v>
      </c>
      <c r="D11" s="3">
        <v>0.66666666666666663</v>
      </c>
      <c r="E11" t="s">
        <v>252</v>
      </c>
      <c r="F11" t="s">
        <v>253</v>
      </c>
      <c r="G11">
        <v>0</v>
      </c>
      <c r="H11">
        <v>0</v>
      </c>
      <c r="I11">
        <v>2</v>
      </c>
      <c r="J11">
        <v>0</v>
      </c>
      <c r="K11" s="22" t="str">
        <f t="shared" si="0"/>
        <v>20/07/2026</v>
      </c>
      <c r="L11" s="23">
        <f t="shared" si="1"/>
        <v>0.54166666666666663</v>
      </c>
    </row>
    <row r="12" spans="1:13" x14ac:dyDescent="0.2">
      <c r="A12" t="s">
        <v>840</v>
      </c>
      <c r="B12" t="s">
        <v>842</v>
      </c>
      <c r="C12" s="2">
        <v>46223</v>
      </c>
      <c r="D12" s="3">
        <v>0.66666666666666663</v>
      </c>
      <c r="E12" t="s">
        <v>289</v>
      </c>
      <c r="F12" t="s">
        <v>288</v>
      </c>
      <c r="G12">
        <v>0</v>
      </c>
      <c r="H12">
        <v>0</v>
      </c>
      <c r="I12">
        <v>2</v>
      </c>
      <c r="J12">
        <v>0</v>
      </c>
      <c r="K12" s="22" t="str">
        <f t="shared" si="0"/>
        <v>20/07/2026</v>
      </c>
      <c r="L12" s="23">
        <f t="shared" si="1"/>
        <v>0.54166666666666663</v>
      </c>
    </row>
    <row r="13" spans="1:13" x14ac:dyDescent="0.2">
      <c r="A13" t="s">
        <v>849</v>
      </c>
      <c r="B13" t="s">
        <v>850</v>
      </c>
      <c r="C13" s="2">
        <v>46223</v>
      </c>
      <c r="D13" s="3">
        <v>0.66666666666666663</v>
      </c>
      <c r="E13" t="s">
        <v>277</v>
      </c>
      <c r="F13" t="s">
        <v>276</v>
      </c>
      <c r="G13">
        <v>1</v>
      </c>
      <c r="H13">
        <v>2</v>
      </c>
      <c r="I13">
        <v>3</v>
      </c>
      <c r="J13">
        <v>2</v>
      </c>
      <c r="K13" s="22" t="str">
        <f t="shared" si="0"/>
        <v>20/07/2026</v>
      </c>
      <c r="L13" s="23">
        <f t="shared" si="1"/>
        <v>0.54166666666666663</v>
      </c>
    </row>
    <row r="14" spans="1:13" x14ac:dyDescent="0.2">
      <c r="A14" t="s">
        <v>831</v>
      </c>
      <c r="B14" t="s">
        <v>832</v>
      </c>
      <c r="C14" s="2">
        <v>46223</v>
      </c>
      <c r="D14" s="3">
        <v>0.67708333333333337</v>
      </c>
      <c r="E14" t="s">
        <v>304</v>
      </c>
      <c r="F14" t="s">
        <v>303</v>
      </c>
      <c r="G14">
        <v>0</v>
      </c>
      <c r="H14">
        <v>0</v>
      </c>
      <c r="I14">
        <v>0</v>
      </c>
      <c r="J14">
        <v>0</v>
      </c>
      <c r="K14" s="22" t="str">
        <f t="shared" si="0"/>
        <v>20/07/2026</v>
      </c>
      <c r="L14" s="23">
        <f t="shared" si="1"/>
        <v>0.55208333333333337</v>
      </c>
    </row>
    <row r="15" spans="1:13" x14ac:dyDescent="0.2">
      <c r="A15" t="s">
        <v>853</v>
      </c>
      <c r="B15" t="s">
        <v>854</v>
      </c>
      <c r="C15" s="2">
        <v>46223</v>
      </c>
      <c r="D15" s="3">
        <v>0.6875</v>
      </c>
      <c r="E15" t="s">
        <v>271</v>
      </c>
      <c r="F15" t="s">
        <v>270</v>
      </c>
      <c r="G15">
        <v>0</v>
      </c>
      <c r="H15">
        <v>0</v>
      </c>
      <c r="I15">
        <v>1</v>
      </c>
      <c r="J15">
        <v>0</v>
      </c>
      <c r="K15" s="22" t="str">
        <f t="shared" si="0"/>
        <v>20/07/2026</v>
      </c>
      <c r="L15" s="23">
        <f t="shared" si="1"/>
        <v>0.5625</v>
      </c>
    </row>
    <row r="16" spans="1:13" x14ac:dyDescent="0.2">
      <c r="A16" t="s">
        <v>827</v>
      </c>
      <c r="B16" t="s">
        <v>828</v>
      </c>
      <c r="C16" s="2">
        <v>46223</v>
      </c>
      <c r="D16" s="3">
        <v>0.70833333333333337</v>
      </c>
      <c r="E16" t="s">
        <v>341</v>
      </c>
      <c r="F16" t="s">
        <v>340</v>
      </c>
      <c r="G16">
        <v>2</v>
      </c>
      <c r="H16">
        <v>1</v>
      </c>
      <c r="I16">
        <v>2</v>
      </c>
      <c r="J16">
        <v>2</v>
      </c>
      <c r="K16" s="22" t="str">
        <f t="shared" si="0"/>
        <v>20/07/2026</v>
      </c>
      <c r="L16" s="23">
        <f t="shared" si="1"/>
        <v>0.58333333333333337</v>
      </c>
    </row>
    <row r="17" spans="1:12" x14ac:dyDescent="0.2">
      <c r="A17" t="s">
        <v>827</v>
      </c>
      <c r="B17" t="s">
        <v>828</v>
      </c>
      <c r="C17" s="2">
        <v>46223</v>
      </c>
      <c r="D17" s="3">
        <v>0.70833333333333337</v>
      </c>
      <c r="E17" t="s">
        <v>146</v>
      </c>
      <c r="F17" t="s">
        <v>258</v>
      </c>
      <c r="G17">
        <v>0</v>
      </c>
      <c r="H17">
        <v>0</v>
      </c>
      <c r="I17">
        <v>0</v>
      </c>
      <c r="J17">
        <v>0</v>
      </c>
      <c r="K17" s="22" t="str">
        <f t="shared" si="0"/>
        <v>20/07/2026</v>
      </c>
      <c r="L17" s="23">
        <f t="shared" si="1"/>
        <v>0.58333333333333337</v>
      </c>
    </row>
    <row r="18" spans="1:12" x14ac:dyDescent="0.2">
      <c r="A18" t="s">
        <v>827</v>
      </c>
      <c r="B18" t="s">
        <v>855</v>
      </c>
      <c r="C18" s="2">
        <v>46223</v>
      </c>
      <c r="D18" s="3">
        <v>0.70833333333333337</v>
      </c>
      <c r="E18" t="s">
        <v>269</v>
      </c>
      <c r="F18" t="s">
        <v>268</v>
      </c>
      <c r="G18">
        <v>0</v>
      </c>
      <c r="H18">
        <v>0</v>
      </c>
      <c r="I18">
        <v>3</v>
      </c>
      <c r="J18">
        <v>1</v>
      </c>
      <c r="K18" s="22" t="str">
        <f t="shared" si="0"/>
        <v>20/07/2026</v>
      </c>
      <c r="L18" s="23">
        <f t="shared" si="1"/>
        <v>0.58333333333333337</v>
      </c>
    </row>
    <row r="19" spans="1:12" x14ac:dyDescent="0.2">
      <c r="A19" t="s">
        <v>806</v>
      </c>
      <c r="B19" t="s">
        <v>807</v>
      </c>
      <c r="C19" s="2">
        <v>46223</v>
      </c>
      <c r="D19" s="3">
        <v>0.75</v>
      </c>
      <c r="E19" t="s">
        <v>339</v>
      </c>
      <c r="F19" t="s">
        <v>338</v>
      </c>
      <c r="G19"/>
      <c r="H19"/>
      <c r="I19"/>
      <c r="J19"/>
      <c r="K19" s="22" t="str">
        <f t="shared" si="0"/>
        <v>20/07/2026</v>
      </c>
      <c r="L19" s="23">
        <f t="shared" si="1"/>
        <v>0.625</v>
      </c>
    </row>
    <row r="20" spans="1:12" x14ac:dyDescent="0.2">
      <c r="A20" t="s">
        <v>806</v>
      </c>
      <c r="B20" t="s">
        <v>807</v>
      </c>
      <c r="C20" s="2">
        <v>46223</v>
      </c>
      <c r="D20" s="3">
        <v>0.75</v>
      </c>
      <c r="E20" t="s">
        <v>337</v>
      </c>
      <c r="F20" t="s">
        <v>336</v>
      </c>
      <c r="G20"/>
      <c r="H20"/>
      <c r="I20"/>
      <c r="J20"/>
      <c r="K20" s="22" t="str">
        <f t="shared" si="0"/>
        <v>20/07/2026</v>
      </c>
      <c r="L20" s="23">
        <f t="shared" si="1"/>
        <v>0.625</v>
      </c>
    </row>
    <row r="21" spans="1:12" x14ac:dyDescent="0.2">
      <c r="A21" t="s">
        <v>806</v>
      </c>
      <c r="B21" t="s">
        <v>807</v>
      </c>
      <c r="C21" s="2">
        <v>46223</v>
      </c>
      <c r="D21" s="3">
        <v>0.75</v>
      </c>
      <c r="E21" t="s">
        <v>335</v>
      </c>
      <c r="F21" t="s">
        <v>334</v>
      </c>
      <c r="G21"/>
      <c r="H21"/>
      <c r="I21"/>
      <c r="J21"/>
      <c r="K21" s="22" t="str">
        <f t="shared" si="0"/>
        <v>20/07/2026</v>
      </c>
      <c r="L21" s="23">
        <f t="shared" si="1"/>
        <v>0.625</v>
      </c>
    </row>
    <row r="22" spans="1:12" x14ac:dyDescent="0.2">
      <c r="A22" t="s">
        <v>806</v>
      </c>
      <c r="B22" t="s">
        <v>807</v>
      </c>
      <c r="C22" s="2">
        <v>46223</v>
      </c>
      <c r="D22" s="3">
        <v>0.75</v>
      </c>
      <c r="E22" t="s">
        <v>333</v>
      </c>
      <c r="F22" t="s">
        <v>332</v>
      </c>
      <c r="G22"/>
      <c r="H22"/>
      <c r="I22"/>
      <c r="J22"/>
      <c r="K22" s="22" t="str">
        <f t="shared" si="0"/>
        <v>20/07/2026</v>
      </c>
      <c r="L22" s="23">
        <f t="shared" si="1"/>
        <v>0.625</v>
      </c>
    </row>
    <row r="23" spans="1:12" x14ac:dyDescent="0.2">
      <c r="A23" t="s">
        <v>806</v>
      </c>
      <c r="B23" t="s">
        <v>808</v>
      </c>
      <c r="C23" s="2">
        <v>46223</v>
      </c>
      <c r="D23" s="3">
        <v>0.75</v>
      </c>
      <c r="E23" t="s">
        <v>321</v>
      </c>
      <c r="F23" t="s">
        <v>320</v>
      </c>
      <c r="G23">
        <v>0</v>
      </c>
      <c r="H23">
        <v>0</v>
      </c>
      <c r="I23">
        <v>0</v>
      </c>
      <c r="J23">
        <v>0</v>
      </c>
      <c r="K23" s="22" t="str">
        <f t="shared" si="0"/>
        <v>20/07/2026</v>
      </c>
      <c r="L23" s="23">
        <f t="shared" si="1"/>
        <v>0.625</v>
      </c>
    </row>
    <row r="24" spans="1:12" x14ac:dyDescent="0.2">
      <c r="A24" t="s">
        <v>806</v>
      </c>
      <c r="B24" t="s">
        <v>808</v>
      </c>
      <c r="C24" s="2">
        <v>46223</v>
      </c>
      <c r="D24" s="3">
        <v>0.75</v>
      </c>
      <c r="E24" t="s">
        <v>319</v>
      </c>
      <c r="F24" t="s">
        <v>318</v>
      </c>
      <c r="G24"/>
      <c r="H24"/>
      <c r="I24"/>
      <c r="J24"/>
      <c r="K24" s="22" t="str">
        <f t="shared" si="0"/>
        <v>20/07/2026</v>
      </c>
      <c r="L24" s="23">
        <f t="shared" si="1"/>
        <v>0.625</v>
      </c>
    </row>
    <row r="25" spans="1:12" x14ac:dyDescent="0.2">
      <c r="A25" t="s">
        <v>806</v>
      </c>
      <c r="B25" t="s">
        <v>808</v>
      </c>
      <c r="C25" s="2">
        <v>46223</v>
      </c>
      <c r="D25" s="3">
        <v>0.75</v>
      </c>
      <c r="E25" t="s">
        <v>317</v>
      </c>
      <c r="F25" t="s">
        <v>316</v>
      </c>
      <c r="G25"/>
      <c r="H25"/>
      <c r="I25"/>
      <c r="J25"/>
      <c r="K25" s="22" t="str">
        <f t="shared" si="0"/>
        <v>20/07/2026</v>
      </c>
      <c r="L25" s="23">
        <f t="shared" si="1"/>
        <v>0.625</v>
      </c>
    </row>
    <row r="26" spans="1:12" x14ac:dyDescent="0.2">
      <c r="A26" t="s">
        <v>806</v>
      </c>
      <c r="B26" t="s">
        <v>808</v>
      </c>
      <c r="C26" s="2">
        <v>46223</v>
      </c>
      <c r="D26" s="3">
        <v>0.75</v>
      </c>
      <c r="E26" t="s">
        <v>315</v>
      </c>
      <c r="F26" t="s">
        <v>314</v>
      </c>
      <c r="G26"/>
      <c r="H26"/>
      <c r="I26"/>
      <c r="J26"/>
      <c r="K26" s="22" t="str">
        <f t="shared" si="0"/>
        <v>20/07/2026</v>
      </c>
      <c r="L26" s="23">
        <f t="shared" si="1"/>
        <v>0.625</v>
      </c>
    </row>
    <row r="27" spans="1:12" x14ac:dyDescent="0.2">
      <c r="A27" t="s">
        <v>806</v>
      </c>
      <c r="B27" t="s">
        <v>808</v>
      </c>
      <c r="C27" s="2">
        <v>46223</v>
      </c>
      <c r="D27" s="3">
        <v>0.75</v>
      </c>
      <c r="E27" t="s">
        <v>313</v>
      </c>
      <c r="F27" t="s">
        <v>312</v>
      </c>
      <c r="G27"/>
      <c r="H27"/>
      <c r="I27"/>
      <c r="J27"/>
      <c r="K27" s="22" t="str">
        <f t="shared" si="0"/>
        <v>20/07/2026</v>
      </c>
      <c r="L27" s="23">
        <f t="shared" si="1"/>
        <v>0.625</v>
      </c>
    </row>
    <row r="28" spans="1:12" x14ac:dyDescent="0.2">
      <c r="A28" t="s">
        <v>804</v>
      </c>
      <c r="B28" t="s">
        <v>830</v>
      </c>
      <c r="C28" s="2">
        <v>46223</v>
      </c>
      <c r="D28" s="3">
        <v>0.75</v>
      </c>
      <c r="E28" t="s">
        <v>306</v>
      </c>
      <c r="F28" t="s">
        <v>305</v>
      </c>
      <c r="G28">
        <v>1</v>
      </c>
      <c r="H28">
        <v>2</v>
      </c>
      <c r="I28">
        <v>1</v>
      </c>
      <c r="J28">
        <v>2</v>
      </c>
      <c r="K28" s="22" t="str">
        <f t="shared" si="0"/>
        <v>20/07/2026</v>
      </c>
      <c r="L28" s="23">
        <f t="shared" si="1"/>
        <v>0.625</v>
      </c>
    </row>
    <row r="29" spans="1:12" x14ac:dyDescent="0.2">
      <c r="A29" t="s">
        <v>831</v>
      </c>
      <c r="B29" t="s">
        <v>832</v>
      </c>
      <c r="C29" s="2">
        <v>46223</v>
      </c>
      <c r="D29" s="3">
        <v>0.77083333333333337</v>
      </c>
      <c r="E29" t="s">
        <v>302</v>
      </c>
      <c r="F29" t="s">
        <v>301</v>
      </c>
      <c r="G29">
        <v>0</v>
      </c>
      <c r="H29">
        <v>0</v>
      </c>
      <c r="I29">
        <v>0</v>
      </c>
      <c r="J29">
        <v>0</v>
      </c>
      <c r="K29" s="22" t="str">
        <f t="shared" si="0"/>
        <v>20/07/2026</v>
      </c>
      <c r="L29" s="23">
        <f t="shared" si="1"/>
        <v>0.64583333333333337</v>
      </c>
    </row>
    <row r="30" spans="1:12" x14ac:dyDescent="0.2">
      <c r="A30" t="s">
        <v>843</v>
      </c>
      <c r="B30" t="s">
        <v>838</v>
      </c>
      <c r="C30" s="2">
        <v>46223</v>
      </c>
      <c r="D30" s="3">
        <v>0.77083333333333337</v>
      </c>
      <c r="E30" t="s">
        <v>285</v>
      </c>
      <c r="F30" t="s">
        <v>284</v>
      </c>
      <c r="G30">
        <v>0</v>
      </c>
      <c r="H30">
        <v>0</v>
      </c>
      <c r="I30">
        <v>1</v>
      </c>
      <c r="J30">
        <v>1</v>
      </c>
      <c r="K30" s="22" t="str">
        <f t="shared" si="0"/>
        <v>20/07/2026</v>
      </c>
      <c r="L30" s="23">
        <f t="shared" si="1"/>
        <v>0.64583333333333337</v>
      </c>
    </row>
    <row r="31" spans="1:12" x14ac:dyDescent="0.2">
      <c r="A31" t="s">
        <v>851</v>
      </c>
      <c r="B31" t="s">
        <v>852</v>
      </c>
      <c r="C31" s="2">
        <v>46223</v>
      </c>
      <c r="D31" s="3">
        <v>0.77083333333333337</v>
      </c>
      <c r="E31" t="s">
        <v>273</v>
      </c>
      <c r="F31" t="s">
        <v>272</v>
      </c>
      <c r="G31">
        <v>0</v>
      </c>
      <c r="H31">
        <v>0</v>
      </c>
      <c r="I31">
        <v>1</v>
      </c>
      <c r="J31">
        <v>0</v>
      </c>
      <c r="K31" s="22" t="str">
        <f t="shared" si="0"/>
        <v>20/07/2026</v>
      </c>
      <c r="L31" s="23">
        <f t="shared" si="1"/>
        <v>0.64583333333333337</v>
      </c>
    </row>
    <row r="32" spans="1:12" x14ac:dyDescent="0.2">
      <c r="A32" t="s">
        <v>815</v>
      </c>
      <c r="B32" t="s">
        <v>816</v>
      </c>
      <c r="C32" s="2">
        <v>46223</v>
      </c>
      <c r="D32" s="3">
        <v>0.79166666666666663</v>
      </c>
      <c r="E32" t="s">
        <v>311</v>
      </c>
      <c r="F32" t="s">
        <v>310</v>
      </c>
      <c r="G32">
        <v>1</v>
      </c>
      <c r="H32">
        <v>1</v>
      </c>
      <c r="I32">
        <v>2</v>
      </c>
      <c r="J32">
        <v>1</v>
      </c>
      <c r="K32" s="22" t="str">
        <f t="shared" si="0"/>
        <v>20/07/2026</v>
      </c>
      <c r="L32" s="23">
        <f t="shared" si="1"/>
        <v>0.66666666666666663</v>
      </c>
    </row>
    <row r="33" spans="1:12" x14ac:dyDescent="0.2">
      <c r="A33" t="s">
        <v>823</v>
      </c>
      <c r="B33" t="s">
        <v>824</v>
      </c>
      <c r="C33" s="2">
        <v>46223</v>
      </c>
      <c r="D33" s="3">
        <v>0.79166666666666663</v>
      </c>
      <c r="E33" t="s">
        <v>117</v>
      </c>
      <c r="F33" t="s">
        <v>300</v>
      </c>
      <c r="G33">
        <v>1</v>
      </c>
      <c r="H33">
        <v>1</v>
      </c>
      <c r="I33">
        <v>2</v>
      </c>
      <c r="J33">
        <v>1</v>
      </c>
      <c r="K33" s="22" t="str">
        <f t="shared" si="0"/>
        <v>20/07/2026</v>
      </c>
      <c r="L33" s="23">
        <f t="shared" si="1"/>
        <v>0.66666666666666663</v>
      </c>
    </row>
    <row r="34" spans="1:12" x14ac:dyDescent="0.2">
      <c r="A34" t="s">
        <v>837</v>
      </c>
      <c r="B34" t="s">
        <v>838</v>
      </c>
      <c r="C34" s="2">
        <v>46223</v>
      </c>
      <c r="D34" s="3">
        <v>0.80208333333333337</v>
      </c>
      <c r="E34" t="s">
        <v>293</v>
      </c>
      <c r="F34" t="s">
        <v>263</v>
      </c>
      <c r="G34">
        <v>0</v>
      </c>
      <c r="H34">
        <v>0</v>
      </c>
      <c r="I34">
        <v>0</v>
      </c>
      <c r="J34">
        <v>0</v>
      </c>
      <c r="K34" s="22" t="str">
        <f t="shared" ref="K34:K65" si="2">DAY(C34)&amp;"/"&amp;"07"&amp;"/"&amp;YEAR(C34)</f>
        <v>20/07/2026</v>
      </c>
      <c r="L34" s="23">
        <f t="shared" ref="L34:L65" si="3">D34-TIME(3,0,0)</f>
        <v>0.67708333333333337</v>
      </c>
    </row>
    <row r="35" spans="1:12" x14ac:dyDescent="0.2">
      <c r="A35" t="s">
        <v>837</v>
      </c>
      <c r="B35" t="s">
        <v>838</v>
      </c>
      <c r="C35" s="2">
        <v>46223</v>
      </c>
      <c r="D35" s="3">
        <v>0.80208333333333337</v>
      </c>
      <c r="E35" t="s">
        <v>168</v>
      </c>
      <c r="F35" t="s">
        <v>264</v>
      </c>
      <c r="G35">
        <v>2</v>
      </c>
      <c r="H35">
        <v>0</v>
      </c>
      <c r="I35">
        <v>5</v>
      </c>
      <c r="J35">
        <v>2</v>
      </c>
      <c r="K35" s="22" t="str">
        <f t="shared" si="2"/>
        <v>20/07/2026</v>
      </c>
      <c r="L35" s="23">
        <f t="shared" si="3"/>
        <v>0.67708333333333337</v>
      </c>
    </row>
    <row r="36" spans="1:12" x14ac:dyDescent="0.2">
      <c r="A36" t="s">
        <v>837</v>
      </c>
      <c r="B36" t="s">
        <v>839</v>
      </c>
      <c r="C36" s="2">
        <v>46223</v>
      </c>
      <c r="D36" s="3">
        <v>0.80208333333333337</v>
      </c>
      <c r="E36" t="s">
        <v>292</v>
      </c>
      <c r="F36" t="s">
        <v>265</v>
      </c>
      <c r="G36">
        <v>4</v>
      </c>
      <c r="H36">
        <v>0</v>
      </c>
      <c r="I36">
        <v>6</v>
      </c>
      <c r="J36">
        <v>2</v>
      </c>
      <c r="K36" s="22" t="str">
        <f t="shared" si="2"/>
        <v>20/07/2026</v>
      </c>
      <c r="L36" s="23">
        <f t="shared" si="3"/>
        <v>0.67708333333333337</v>
      </c>
    </row>
    <row r="37" spans="1:12" x14ac:dyDescent="0.2">
      <c r="A37" t="s">
        <v>847</v>
      </c>
      <c r="B37" t="s">
        <v>848</v>
      </c>
      <c r="C37" s="2">
        <v>46223</v>
      </c>
      <c r="D37" s="3">
        <v>0.83333333333333337</v>
      </c>
      <c r="E37" t="s">
        <v>281</v>
      </c>
      <c r="F37" t="s">
        <v>280</v>
      </c>
      <c r="G37">
        <v>0</v>
      </c>
      <c r="H37">
        <v>0</v>
      </c>
      <c r="I37">
        <v>0</v>
      </c>
      <c r="J37">
        <v>0</v>
      </c>
      <c r="K37" s="22" t="str">
        <f t="shared" si="2"/>
        <v>20/07/2026</v>
      </c>
      <c r="L37" s="23">
        <f t="shared" si="3"/>
        <v>0.70833333333333337</v>
      </c>
    </row>
    <row r="38" spans="1:12" x14ac:dyDescent="0.2">
      <c r="A38" t="s">
        <v>804</v>
      </c>
      <c r="B38" t="s">
        <v>829</v>
      </c>
      <c r="C38" s="2">
        <v>46223</v>
      </c>
      <c r="D38" s="3">
        <v>0.91666666666666663</v>
      </c>
      <c r="E38" t="s">
        <v>308</v>
      </c>
      <c r="F38" t="s">
        <v>307</v>
      </c>
      <c r="G38">
        <v>0</v>
      </c>
      <c r="H38">
        <v>0</v>
      </c>
      <c r="I38">
        <v>0</v>
      </c>
      <c r="J38">
        <v>0</v>
      </c>
      <c r="K38" s="22" t="str">
        <f t="shared" si="2"/>
        <v>20/07/2026</v>
      </c>
      <c r="L38" s="23">
        <f t="shared" si="3"/>
        <v>0.79166666666666663</v>
      </c>
    </row>
    <row r="39" spans="1:12" x14ac:dyDescent="0.2">
      <c r="A39" t="s">
        <v>806</v>
      </c>
      <c r="B39" t="s">
        <v>807</v>
      </c>
      <c r="C39" s="2">
        <v>46223</v>
      </c>
      <c r="D39" s="3">
        <v>0.95833333333333337</v>
      </c>
      <c r="E39" t="s">
        <v>331</v>
      </c>
      <c r="F39" t="s">
        <v>330</v>
      </c>
      <c r="G39"/>
      <c r="H39"/>
      <c r="I39"/>
      <c r="J39"/>
      <c r="K39" s="22" t="str">
        <f t="shared" si="2"/>
        <v>20/07/2026</v>
      </c>
      <c r="L39" s="23">
        <f t="shared" si="3"/>
        <v>0.83333333333333337</v>
      </c>
    </row>
    <row r="40" spans="1:12" x14ac:dyDescent="0.2">
      <c r="A40" t="s">
        <v>806</v>
      </c>
      <c r="B40" t="s">
        <v>807</v>
      </c>
      <c r="C40" s="2">
        <v>46223</v>
      </c>
      <c r="D40" s="3">
        <v>0.95833333333333337</v>
      </c>
      <c r="E40" t="s">
        <v>329</v>
      </c>
      <c r="F40" t="s">
        <v>328</v>
      </c>
      <c r="G40"/>
      <c r="H40"/>
      <c r="I40"/>
      <c r="J40"/>
      <c r="K40" s="22" t="str">
        <f t="shared" si="2"/>
        <v>20/07/2026</v>
      </c>
      <c r="L40" s="23">
        <f t="shared" si="3"/>
        <v>0.83333333333333337</v>
      </c>
    </row>
    <row r="41" spans="1:12" x14ac:dyDescent="0.2">
      <c r="A41" t="s">
        <v>806</v>
      </c>
      <c r="B41" t="s">
        <v>807</v>
      </c>
      <c r="C41" s="2">
        <v>46223</v>
      </c>
      <c r="D41" s="3">
        <v>0.95833333333333337</v>
      </c>
      <c r="E41" t="s">
        <v>327</v>
      </c>
      <c r="F41" t="s">
        <v>326</v>
      </c>
      <c r="G41"/>
      <c r="H41"/>
      <c r="I41"/>
      <c r="J41"/>
      <c r="K41" s="22" t="str">
        <f t="shared" si="2"/>
        <v>20/07/2026</v>
      </c>
      <c r="L41" s="23">
        <f t="shared" si="3"/>
        <v>0.83333333333333337</v>
      </c>
    </row>
    <row r="42" spans="1:12" x14ac:dyDescent="0.2">
      <c r="A42" t="s">
        <v>815</v>
      </c>
      <c r="B42" t="s">
        <v>816</v>
      </c>
      <c r="C42" s="2">
        <v>46223</v>
      </c>
      <c r="D42" s="3">
        <v>0.95833333333333337</v>
      </c>
      <c r="E42" t="s">
        <v>309</v>
      </c>
      <c r="F42" t="s">
        <v>267</v>
      </c>
      <c r="G42">
        <v>0</v>
      </c>
      <c r="H42">
        <v>2</v>
      </c>
      <c r="I42">
        <v>1</v>
      </c>
      <c r="J42">
        <v>4</v>
      </c>
      <c r="K42" s="22" t="str">
        <f t="shared" si="2"/>
        <v>20/07/2026</v>
      </c>
      <c r="L42" s="23">
        <f t="shared" si="3"/>
        <v>0.83333333333333337</v>
      </c>
    </row>
    <row r="43" spans="1:12" x14ac:dyDescent="0.2">
      <c r="A43" t="s">
        <v>806</v>
      </c>
      <c r="B43" t="s">
        <v>807</v>
      </c>
      <c r="C43" s="2">
        <v>46224</v>
      </c>
      <c r="D43" s="3">
        <v>0</v>
      </c>
      <c r="E43" t="s">
        <v>325</v>
      </c>
      <c r="F43" t="s">
        <v>324</v>
      </c>
      <c r="G43"/>
      <c r="H43"/>
      <c r="I43"/>
      <c r="J43"/>
      <c r="K43" s="22" t="str">
        <f t="shared" si="2"/>
        <v>21/07/2026</v>
      </c>
      <c r="L43" s="23">
        <f t="shared" si="3"/>
        <v>-0.125</v>
      </c>
    </row>
    <row r="44" spans="1:12" x14ac:dyDescent="0.2">
      <c r="A44" t="s">
        <v>847</v>
      </c>
      <c r="B44" t="s">
        <v>848</v>
      </c>
      <c r="C44" s="2">
        <v>46224</v>
      </c>
      <c r="D44" s="3">
        <v>0</v>
      </c>
      <c r="E44" t="s">
        <v>279</v>
      </c>
      <c r="F44" t="s">
        <v>278</v>
      </c>
      <c r="G44">
        <v>0</v>
      </c>
      <c r="H44">
        <v>1</v>
      </c>
      <c r="I44">
        <v>2</v>
      </c>
      <c r="J44">
        <v>3</v>
      </c>
      <c r="K44" s="22" t="str">
        <f t="shared" si="2"/>
        <v>21/07/2026</v>
      </c>
      <c r="L44" s="23">
        <f t="shared" si="3"/>
        <v>-0.125</v>
      </c>
    </row>
    <row r="45" spans="1:12" x14ac:dyDescent="0.2">
      <c r="A45" t="s">
        <v>806</v>
      </c>
      <c r="B45" t="s">
        <v>807</v>
      </c>
      <c r="C45" s="2">
        <v>46224</v>
      </c>
      <c r="D45" s="3">
        <v>2.0833333333333332E-2</v>
      </c>
      <c r="E45" t="s">
        <v>323</v>
      </c>
      <c r="F45" t="s">
        <v>322</v>
      </c>
      <c r="G45"/>
      <c r="H45"/>
      <c r="I45"/>
      <c r="J45"/>
      <c r="K45" s="22" t="str">
        <f t="shared" si="2"/>
        <v>21/07/2026</v>
      </c>
      <c r="L45" s="23">
        <f t="shared" si="3"/>
        <v>-0.10416666666666667</v>
      </c>
    </row>
    <row r="46" spans="1:12" x14ac:dyDescent="0.2">
      <c r="A46" t="s">
        <v>819</v>
      </c>
      <c r="B46" t="s">
        <v>820</v>
      </c>
      <c r="C46" s="2">
        <v>46224</v>
      </c>
      <c r="D46" s="3">
        <v>0.33333333333333331</v>
      </c>
      <c r="E46" t="s">
        <v>402</v>
      </c>
      <c r="F46" t="s">
        <v>403</v>
      </c>
      <c r="G46">
        <v>0</v>
      </c>
      <c r="H46">
        <v>1</v>
      </c>
      <c r="I46">
        <v>1</v>
      </c>
      <c r="J46">
        <v>2</v>
      </c>
      <c r="K46" s="22" t="str">
        <f t="shared" si="2"/>
        <v>21/07/2026</v>
      </c>
      <c r="L46" s="23">
        <f t="shared" si="3"/>
        <v>0.20833333333333331</v>
      </c>
    </row>
    <row r="47" spans="1:12" x14ac:dyDescent="0.2">
      <c r="A47" t="s">
        <v>810</v>
      </c>
      <c r="B47" t="s">
        <v>813</v>
      </c>
      <c r="C47" s="2">
        <v>46224</v>
      </c>
      <c r="D47" s="3">
        <v>0.34375</v>
      </c>
      <c r="E47" t="s">
        <v>386</v>
      </c>
      <c r="F47" t="s">
        <v>387</v>
      </c>
      <c r="G47">
        <v>4</v>
      </c>
      <c r="H47">
        <v>0</v>
      </c>
      <c r="I47">
        <v>5</v>
      </c>
      <c r="J47">
        <v>0</v>
      </c>
      <c r="K47" s="22" t="str">
        <f t="shared" si="2"/>
        <v>21/07/2026</v>
      </c>
      <c r="L47" s="23">
        <f t="shared" si="3"/>
        <v>0.21875</v>
      </c>
    </row>
    <row r="48" spans="1:12" x14ac:dyDescent="0.2">
      <c r="A48" t="s">
        <v>810</v>
      </c>
      <c r="B48" t="s">
        <v>811</v>
      </c>
      <c r="C48" s="2">
        <v>46224</v>
      </c>
      <c r="D48" s="3">
        <v>0.39583333333333331</v>
      </c>
      <c r="E48" t="s">
        <v>382</v>
      </c>
      <c r="F48" t="s">
        <v>383</v>
      </c>
      <c r="G48">
        <v>0</v>
      </c>
      <c r="H48">
        <v>3</v>
      </c>
      <c r="I48">
        <v>2</v>
      </c>
      <c r="J48">
        <v>5</v>
      </c>
      <c r="K48" s="22" t="str">
        <f t="shared" si="2"/>
        <v>21/07/2026</v>
      </c>
      <c r="L48" s="23">
        <f t="shared" si="3"/>
        <v>0.27083333333333331</v>
      </c>
    </row>
    <row r="49" spans="1:12" x14ac:dyDescent="0.2">
      <c r="A49" t="s">
        <v>810</v>
      </c>
      <c r="B49" t="s">
        <v>814</v>
      </c>
      <c r="C49" s="2">
        <v>46224</v>
      </c>
      <c r="D49" s="3">
        <v>0.39583333333333331</v>
      </c>
      <c r="E49" t="s">
        <v>133</v>
      </c>
      <c r="F49" t="s">
        <v>388</v>
      </c>
      <c r="G49">
        <v>0</v>
      </c>
      <c r="H49">
        <v>2</v>
      </c>
      <c r="I49">
        <v>3</v>
      </c>
      <c r="J49">
        <v>2</v>
      </c>
      <c r="K49" s="22" t="str">
        <f t="shared" si="2"/>
        <v>21/07/2026</v>
      </c>
      <c r="L49" s="23">
        <f t="shared" si="3"/>
        <v>0.27083333333333331</v>
      </c>
    </row>
    <row r="50" spans="1:12" x14ac:dyDescent="0.2">
      <c r="A50" t="s">
        <v>810</v>
      </c>
      <c r="B50" t="s">
        <v>814</v>
      </c>
      <c r="C50" s="2">
        <v>46224</v>
      </c>
      <c r="D50" s="3">
        <v>0.39583333333333331</v>
      </c>
      <c r="E50" t="s">
        <v>389</v>
      </c>
      <c r="F50" t="s">
        <v>390</v>
      </c>
      <c r="G50">
        <v>0</v>
      </c>
      <c r="H50">
        <v>0</v>
      </c>
      <c r="I50">
        <v>1</v>
      </c>
      <c r="J50">
        <v>1</v>
      </c>
      <c r="K50" s="22" t="str">
        <f t="shared" si="2"/>
        <v>21/07/2026</v>
      </c>
      <c r="L50" s="23">
        <f t="shared" si="3"/>
        <v>0.27083333333333331</v>
      </c>
    </row>
    <row r="51" spans="1:12" x14ac:dyDescent="0.2">
      <c r="A51" t="s">
        <v>810</v>
      </c>
      <c r="B51" t="s">
        <v>812</v>
      </c>
      <c r="C51" s="2">
        <v>46224</v>
      </c>
      <c r="D51" s="3">
        <v>0.41666666666666669</v>
      </c>
      <c r="E51" t="s">
        <v>384</v>
      </c>
      <c r="F51" t="s">
        <v>385</v>
      </c>
      <c r="G51">
        <v>0</v>
      </c>
      <c r="H51">
        <v>1</v>
      </c>
      <c r="I51">
        <v>0</v>
      </c>
      <c r="J51">
        <v>1</v>
      </c>
      <c r="K51" s="22" t="str">
        <f t="shared" si="2"/>
        <v>21/07/2026</v>
      </c>
      <c r="L51" s="23">
        <f t="shared" si="3"/>
        <v>0.29166666666666669</v>
      </c>
    </row>
    <row r="52" spans="1:12" x14ac:dyDescent="0.2">
      <c r="A52" t="s">
        <v>810</v>
      </c>
      <c r="B52" t="s">
        <v>814</v>
      </c>
      <c r="C52" s="2">
        <v>46224</v>
      </c>
      <c r="D52" s="3">
        <v>0.41666666666666669</v>
      </c>
      <c r="E52" t="s">
        <v>391</v>
      </c>
      <c r="F52" t="s">
        <v>392</v>
      </c>
      <c r="G52">
        <v>0</v>
      </c>
      <c r="H52">
        <v>2</v>
      </c>
      <c r="I52">
        <v>0</v>
      </c>
      <c r="J52">
        <v>3</v>
      </c>
      <c r="K52" s="22" t="str">
        <f t="shared" si="2"/>
        <v>21/07/2026</v>
      </c>
      <c r="L52" s="23">
        <f t="shared" si="3"/>
        <v>0.29166666666666669</v>
      </c>
    </row>
    <row r="53" spans="1:12" x14ac:dyDescent="0.2">
      <c r="A53" t="s">
        <v>810</v>
      </c>
      <c r="B53" t="s">
        <v>814</v>
      </c>
      <c r="C53" s="2">
        <v>46224</v>
      </c>
      <c r="D53" s="3">
        <v>0.4375</v>
      </c>
      <c r="E53" t="s">
        <v>393</v>
      </c>
      <c r="F53" t="s">
        <v>394</v>
      </c>
      <c r="G53">
        <v>1</v>
      </c>
      <c r="H53">
        <v>2</v>
      </c>
      <c r="I53">
        <v>1</v>
      </c>
      <c r="J53">
        <v>5</v>
      </c>
      <c r="K53" s="22" t="str">
        <f t="shared" si="2"/>
        <v>21/07/2026</v>
      </c>
      <c r="L53" s="23">
        <f t="shared" si="3"/>
        <v>0.3125</v>
      </c>
    </row>
    <row r="54" spans="1:12" x14ac:dyDescent="0.2">
      <c r="A54" t="s">
        <v>819</v>
      </c>
      <c r="B54" t="s">
        <v>820</v>
      </c>
      <c r="C54" s="2">
        <v>46224</v>
      </c>
      <c r="D54" s="3">
        <v>0.45833333333333331</v>
      </c>
      <c r="E54" t="s">
        <v>404</v>
      </c>
      <c r="F54" t="s">
        <v>405</v>
      </c>
      <c r="G54">
        <v>1</v>
      </c>
      <c r="H54">
        <v>0</v>
      </c>
      <c r="I54">
        <v>1</v>
      </c>
      <c r="J54">
        <v>1</v>
      </c>
      <c r="K54" s="22" t="str">
        <f t="shared" si="2"/>
        <v>21/07/2026</v>
      </c>
      <c r="L54" s="23">
        <f t="shared" si="3"/>
        <v>0.33333333333333331</v>
      </c>
    </row>
    <row r="55" spans="1:12" x14ac:dyDescent="0.2">
      <c r="A55" t="s">
        <v>819</v>
      </c>
      <c r="B55" t="s">
        <v>820</v>
      </c>
      <c r="C55" s="2">
        <v>46224</v>
      </c>
      <c r="D55" s="3">
        <v>0.4826388888888889</v>
      </c>
      <c r="E55" t="s">
        <v>406</v>
      </c>
      <c r="F55" t="s">
        <v>407</v>
      </c>
      <c r="G55">
        <v>1</v>
      </c>
      <c r="H55">
        <v>0</v>
      </c>
      <c r="I55">
        <v>2</v>
      </c>
      <c r="J55">
        <v>0</v>
      </c>
      <c r="K55" s="22" t="str">
        <f t="shared" si="2"/>
        <v>21/07/2026</v>
      </c>
      <c r="L55" s="23">
        <f t="shared" si="3"/>
        <v>0.3576388888888889</v>
      </c>
    </row>
    <row r="56" spans="1:12" x14ac:dyDescent="0.2">
      <c r="A56" t="s">
        <v>819</v>
      </c>
      <c r="B56" t="s">
        <v>820</v>
      </c>
      <c r="C56" s="2">
        <v>46224</v>
      </c>
      <c r="D56" s="3">
        <v>0.4826388888888889</v>
      </c>
      <c r="E56" t="s">
        <v>408</v>
      </c>
      <c r="F56" t="s">
        <v>409</v>
      </c>
      <c r="G56">
        <v>4</v>
      </c>
      <c r="H56">
        <v>1</v>
      </c>
      <c r="I56">
        <v>4</v>
      </c>
      <c r="J56">
        <v>1</v>
      </c>
      <c r="K56" s="22" t="str">
        <f t="shared" si="2"/>
        <v>21/07/2026</v>
      </c>
      <c r="L56" s="23">
        <f t="shared" si="3"/>
        <v>0.3576388888888889</v>
      </c>
    </row>
    <row r="57" spans="1:12" x14ac:dyDescent="0.2">
      <c r="A57" t="s">
        <v>819</v>
      </c>
      <c r="B57" t="s">
        <v>820</v>
      </c>
      <c r="C57" s="2">
        <v>46224</v>
      </c>
      <c r="D57" s="3">
        <v>0.4826388888888889</v>
      </c>
      <c r="E57" t="s">
        <v>410</v>
      </c>
      <c r="F57" t="s">
        <v>411</v>
      </c>
      <c r="G57">
        <v>1</v>
      </c>
      <c r="H57">
        <v>0</v>
      </c>
      <c r="I57">
        <v>2</v>
      </c>
      <c r="J57">
        <v>2</v>
      </c>
      <c r="K57" s="22" t="str">
        <f t="shared" si="2"/>
        <v>21/07/2026</v>
      </c>
      <c r="L57" s="23">
        <f t="shared" si="3"/>
        <v>0.3576388888888889</v>
      </c>
    </row>
    <row r="58" spans="1:12" x14ac:dyDescent="0.2">
      <c r="A58" t="s">
        <v>819</v>
      </c>
      <c r="B58" t="s">
        <v>820</v>
      </c>
      <c r="C58" s="2">
        <v>46224</v>
      </c>
      <c r="D58" s="3">
        <v>0.5</v>
      </c>
      <c r="E58" t="s">
        <v>412</v>
      </c>
      <c r="F58" t="s">
        <v>413</v>
      </c>
      <c r="G58">
        <v>1</v>
      </c>
      <c r="H58">
        <v>1</v>
      </c>
      <c r="I58">
        <v>1</v>
      </c>
      <c r="J58">
        <v>1</v>
      </c>
      <c r="K58" s="22" t="str">
        <f t="shared" si="2"/>
        <v>21/07/2026</v>
      </c>
      <c r="L58" s="23">
        <f t="shared" si="3"/>
        <v>0.375</v>
      </c>
    </row>
    <row r="59" spans="1:12" x14ac:dyDescent="0.2">
      <c r="A59" t="s">
        <v>819</v>
      </c>
      <c r="B59" t="s">
        <v>820</v>
      </c>
      <c r="C59" s="2">
        <v>46224</v>
      </c>
      <c r="D59" s="3">
        <v>0.5</v>
      </c>
      <c r="E59" t="s">
        <v>414</v>
      </c>
      <c r="F59" t="s">
        <v>415</v>
      </c>
      <c r="G59">
        <v>2</v>
      </c>
      <c r="H59">
        <v>2</v>
      </c>
      <c r="I59">
        <v>3</v>
      </c>
      <c r="J59">
        <v>3</v>
      </c>
      <c r="K59" s="22" t="str">
        <f t="shared" si="2"/>
        <v>21/07/2026</v>
      </c>
      <c r="L59" s="23">
        <f t="shared" si="3"/>
        <v>0.375</v>
      </c>
    </row>
    <row r="60" spans="1:12" x14ac:dyDescent="0.2">
      <c r="A60" t="s">
        <v>802</v>
      </c>
      <c r="B60" t="s">
        <v>803</v>
      </c>
      <c r="C60" s="2">
        <v>46224</v>
      </c>
      <c r="D60" s="3">
        <v>0.54166666666666663</v>
      </c>
      <c r="E60" t="s">
        <v>351</v>
      </c>
      <c r="F60" t="s">
        <v>352</v>
      </c>
      <c r="G60"/>
      <c r="H60"/>
      <c r="I60"/>
      <c r="J60"/>
      <c r="K60" s="22" t="str">
        <f t="shared" si="2"/>
        <v>21/07/2026</v>
      </c>
      <c r="L60" s="23">
        <f t="shared" si="3"/>
        <v>0.41666666666666663</v>
      </c>
    </row>
    <row r="61" spans="1:12" x14ac:dyDescent="0.2">
      <c r="A61" t="s">
        <v>802</v>
      </c>
      <c r="B61" t="s">
        <v>803</v>
      </c>
      <c r="C61" s="2">
        <v>46224</v>
      </c>
      <c r="D61" s="3">
        <v>0.66666666666666663</v>
      </c>
      <c r="E61" t="s">
        <v>353</v>
      </c>
      <c r="F61" t="s">
        <v>354</v>
      </c>
      <c r="G61">
        <v>0</v>
      </c>
      <c r="H61">
        <v>0</v>
      </c>
      <c r="I61">
        <v>2</v>
      </c>
      <c r="J61">
        <v>0</v>
      </c>
      <c r="K61" s="22" t="str">
        <f t="shared" si="2"/>
        <v>21/07/2026</v>
      </c>
      <c r="L61" s="23">
        <f t="shared" si="3"/>
        <v>0.54166666666666663</v>
      </c>
    </row>
    <row r="62" spans="1:12" x14ac:dyDescent="0.2">
      <c r="A62" t="s">
        <v>802</v>
      </c>
      <c r="B62" t="s">
        <v>803</v>
      </c>
      <c r="C62" s="2">
        <v>46224</v>
      </c>
      <c r="D62" s="3">
        <v>0.66666666666666663</v>
      </c>
      <c r="E62" t="s">
        <v>355</v>
      </c>
      <c r="F62" t="s">
        <v>356</v>
      </c>
      <c r="G62">
        <v>3</v>
      </c>
      <c r="H62">
        <v>0</v>
      </c>
      <c r="I62">
        <v>3</v>
      </c>
      <c r="J62">
        <v>0</v>
      </c>
      <c r="K62" s="22" t="str">
        <f t="shared" si="2"/>
        <v>21/07/2026</v>
      </c>
      <c r="L62" s="23">
        <f t="shared" si="3"/>
        <v>0.54166666666666663</v>
      </c>
    </row>
    <row r="63" spans="1:12" x14ac:dyDescent="0.2">
      <c r="A63" t="s">
        <v>802</v>
      </c>
      <c r="B63" t="s">
        <v>803</v>
      </c>
      <c r="C63" s="2">
        <v>46224</v>
      </c>
      <c r="D63" s="3">
        <v>0.66666666666666663</v>
      </c>
      <c r="E63" t="s">
        <v>351</v>
      </c>
      <c r="F63" t="s">
        <v>357</v>
      </c>
      <c r="G63">
        <v>1</v>
      </c>
      <c r="H63">
        <v>0</v>
      </c>
      <c r="I63">
        <v>1</v>
      </c>
      <c r="J63">
        <v>0</v>
      </c>
      <c r="K63" s="22" t="str">
        <f t="shared" si="2"/>
        <v>21/07/2026</v>
      </c>
      <c r="L63" s="23">
        <f t="shared" si="3"/>
        <v>0.54166666666666663</v>
      </c>
    </row>
    <row r="64" spans="1:12" x14ac:dyDescent="0.2">
      <c r="A64" t="s">
        <v>802</v>
      </c>
      <c r="B64" t="s">
        <v>803</v>
      </c>
      <c r="C64" s="2">
        <v>46224</v>
      </c>
      <c r="D64" s="3">
        <v>0.66666666666666663</v>
      </c>
      <c r="E64" t="s">
        <v>358</v>
      </c>
      <c r="F64" t="s">
        <v>359</v>
      </c>
      <c r="G64">
        <v>0</v>
      </c>
      <c r="H64">
        <v>2</v>
      </c>
      <c r="I64">
        <v>0</v>
      </c>
      <c r="J64">
        <v>2</v>
      </c>
      <c r="K64" s="22" t="str">
        <f t="shared" si="2"/>
        <v>21/07/2026</v>
      </c>
      <c r="L64" s="23">
        <f t="shared" si="3"/>
        <v>0.54166666666666663</v>
      </c>
    </row>
    <row r="65" spans="1:12" x14ac:dyDescent="0.2">
      <c r="A65" t="s">
        <v>802</v>
      </c>
      <c r="B65" t="s">
        <v>803</v>
      </c>
      <c r="C65" s="2">
        <v>46224</v>
      </c>
      <c r="D65" s="3">
        <v>0.70833333333333337</v>
      </c>
      <c r="E65" t="s">
        <v>360</v>
      </c>
      <c r="F65" t="s">
        <v>361</v>
      </c>
      <c r="G65">
        <v>0</v>
      </c>
      <c r="H65">
        <v>2</v>
      </c>
      <c r="I65">
        <v>1</v>
      </c>
      <c r="J65">
        <v>4</v>
      </c>
      <c r="K65" s="22" t="str">
        <f t="shared" si="2"/>
        <v>21/07/2026</v>
      </c>
      <c r="L65" s="23">
        <f t="shared" si="3"/>
        <v>0.58333333333333337</v>
      </c>
    </row>
    <row r="66" spans="1:12" x14ac:dyDescent="0.2">
      <c r="A66" t="s">
        <v>825</v>
      </c>
      <c r="B66" t="s">
        <v>826</v>
      </c>
      <c r="C66" s="2">
        <v>46224</v>
      </c>
      <c r="D66" s="3">
        <v>0.70833333333333337</v>
      </c>
      <c r="E66" t="s">
        <v>433</v>
      </c>
      <c r="F66" t="s">
        <v>434</v>
      </c>
      <c r="G66">
        <v>1</v>
      </c>
      <c r="H66">
        <v>1</v>
      </c>
      <c r="I66">
        <v>1</v>
      </c>
      <c r="J66">
        <v>4</v>
      </c>
      <c r="K66" s="22" t="str">
        <f t="shared" ref="K66:K97" si="4">DAY(C66)&amp;"/"&amp;"07"&amp;"/"&amp;YEAR(C66)</f>
        <v>21/07/2026</v>
      </c>
      <c r="L66" s="23">
        <f t="shared" ref="L66:L97" si="5">D66-TIME(3,0,0)</f>
        <v>0.58333333333333337</v>
      </c>
    </row>
    <row r="67" spans="1:12" x14ac:dyDescent="0.2">
      <c r="A67" t="s">
        <v>825</v>
      </c>
      <c r="B67" t="s">
        <v>826</v>
      </c>
      <c r="C67" s="2">
        <v>46224</v>
      </c>
      <c r="D67" s="3">
        <v>0.72916666666666663</v>
      </c>
      <c r="E67" t="s">
        <v>435</v>
      </c>
      <c r="F67" t="s">
        <v>436</v>
      </c>
      <c r="G67">
        <v>5</v>
      </c>
      <c r="H67">
        <v>1</v>
      </c>
      <c r="I67">
        <v>8</v>
      </c>
      <c r="J67">
        <v>3</v>
      </c>
      <c r="K67" s="22" t="str">
        <f t="shared" si="4"/>
        <v>21/07/2026</v>
      </c>
      <c r="L67" s="23">
        <f t="shared" si="5"/>
        <v>0.60416666666666663</v>
      </c>
    </row>
    <row r="68" spans="1:12" x14ac:dyDescent="0.2">
      <c r="A68" t="s">
        <v>802</v>
      </c>
      <c r="B68" t="s">
        <v>803</v>
      </c>
      <c r="C68" s="2">
        <v>46224</v>
      </c>
      <c r="D68" s="3">
        <v>0.75</v>
      </c>
      <c r="E68" t="s">
        <v>362</v>
      </c>
      <c r="F68" t="s">
        <v>363</v>
      </c>
      <c r="G68">
        <v>1</v>
      </c>
      <c r="H68">
        <v>0</v>
      </c>
      <c r="I68">
        <v>1</v>
      </c>
      <c r="J68">
        <v>1</v>
      </c>
      <c r="K68" s="22" t="str">
        <f t="shared" si="4"/>
        <v>21/07/2026</v>
      </c>
      <c r="L68" s="23">
        <f t="shared" si="5"/>
        <v>0.625</v>
      </c>
    </row>
    <row r="69" spans="1:12" x14ac:dyDescent="0.2">
      <c r="A69" t="s">
        <v>802</v>
      </c>
      <c r="B69" t="s">
        <v>803</v>
      </c>
      <c r="C69" s="2">
        <v>46224</v>
      </c>
      <c r="D69" s="3">
        <v>0.75</v>
      </c>
      <c r="E69" t="s">
        <v>364</v>
      </c>
      <c r="F69" t="s">
        <v>365</v>
      </c>
      <c r="G69">
        <v>1</v>
      </c>
      <c r="H69">
        <v>0</v>
      </c>
      <c r="I69">
        <v>1</v>
      </c>
      <c r="J69">
        <v>0</v>
      </c>
      <c r="K69" s="22" t="str">
        <f t="shared" si="4"/>
        <v>21/07/2026</v>
      </c>
      <c r="L69" s="23">
        <f t="shared" si="5"/>
        <v>0.625</v>
      </c>
    </row>
    <row r="70" spans="1:12" x14ac:dyDescent="0.2">
      <c r="A70" t="s">
        <v>806</v>
      </c>
      <c r="B70" t="s">
        <v>807</v>
      </c>
      <c r="C70" s="2">
        <v>46224</v>
      </c>
      <c r="D70" s="3">
        <v>0.75</v>
      </c>
      <c r="E70" t="s">
        <v>374</v>
      </c>
      <c r="F70" t="s">
        <v>375</v>
      </c>
      <c r="G70"/>
      <c r="H70"/>
      <c r="I70"/>
      <c r="J70"/>
      <c r="K70" s="22" t="str">
        <f t="shared" si="4"/>
        <v>21/07/2026</v>
      </c>
      <c r="L70" s="23">
        <f t="shared" si="5"/>
        <v>0.625</v>
      </c>
    </row>
    <row r="71" spans="1:12" x14ac:dyDescent="0.2">
      <c r="A71" t="s">
        <v>806</v>
      </c>
      <c r="B71" t="s">
        <v>808</v>
      </c>
      <c r="C71" s="2">
        <v>46224</v>
      </c>
      <c r="D71" s="3">
        <v>0.75</v>
      </c>
      <c r="E71" t="s">
        <v>378</v>
      </c>
      <c r="F71" t="s">
        <v>379</v>
      </c>
      <c r="G71"/>
      <c r="H71"/>
      <c r="I71"/>
      <c r="J71"/>
      <c r="K71" s="22" t="str">
        <f t="shared" si="4"/>
        <v>21/07/2026</v>
      </c>
      <c r="L71" s="23">
        <f t="shared" si="5"/>
        <v>0.625</v>
      </c>
    </row>
    <row r="72" spans="1:12" x14ac:dyDescent="0.2">
      <c r="A72" t="s">
        <v>804</v>
      </c>
      <c r="B72" t="s">
        <v>818</v>
      </c>
      <c r="C72" s="2">
        <v>46224</v>
      </c>
      <c r="D72" s="3">
        <v>0.75</v>
      </c>
      <c r="E72" t="s">
        <v>437</v>
      </c>
      <c r="F72" t="s">
        <v>438</v>
      </c>
      <c r="G72">
        <v>0</v>
      </c>
      <c r="H72">
        <v>0</v>
      </c>
      <c r="I72">
        <v>5</v>
      </c>
      <c r="J72">
        <v>1</v>
      </c>
      <c r="K72" s="22" t="str">
        <f t="shared" si="4"/>
        <v>21/07/2026</v>
      </c>
      <c r="L72" s="23">
        <f t="shared" si="5"/>
        <v>0.625</v>
      </c>
    </row>
    <row r="73" spans="1:12" x14ac:dyDescent="0.2">
      <c r="A73" t="s">
        <v>802</v>
      </c>
      <c r="B73" t="s">
        <v>803</v>
      </c>
      <c r="C73" s="2">
        <v>46224</v>
      </c>
      <c r="D73" s="3">
        <v>0.77083333333333337</v>
      </c>
      <c r="E73" t="s">
        <v>366</v>
      </c>
      <c r="F73" t="s">
        <v>367</v>
      </c>
      <c r="G73">
        <v>1</v>
      </c>
      <c r="H73">
        <v>0</v>
      </c>
      <c r="I73">
        <v>4</v>
      </c>
      <c r="J73">
        <v>0</v>
      </c>
      <c r="K73" s="22" t="str">
        <f t="shared" si="4"/>
        <v>21/07/2026</v>
      </c>
      <c r="L73" s="23">
        <f t="shared" si="5"/>
        <v>0.64583333333333337</v>
      </c>
    </row>
    <row r="74" spans="1:12" x14ac:dyDescent="0.2">
      <c r="A74" t="s">
        <v>802</v>
      </c>
      <c r="B74" t="s">
        <v>803</v>
      </c>
      <c r="C74" s="2">
        <v>46224</v>
      </c>
      <c r="D74" s="3">
        <v>0.78125</v>
      </c>
      <c r="E74" t="s">
        <v>368</v>
      </c>
      <c r="F74" t="s">
        <v>369</v>
      </c>
      <c r="G74">
        <v>0</v>
      </c>
      <c r="H74">
        <v>0</v>
      </c>
      <c r="I74">
        <v>0</v>
      </c>
      <c r="J74">
        <v>0</v>
      </c>
      <c r="K74" s="22" t="str">
        <f t="shared" si="4"/>
        <v>21/07/2026</v>
      </c>
      <c r="L74" s="23">
        <f t="shared" si="5"/>
        <v>0.65625</v>
      </c>
    </row>
    <row r="75" spans="1:12" x14ac:dyDescent="0.2">
      <c r="A75" t="s">
        <v>802</v>
      </c>
      <c r="B75" t="s">
        <v>803</v>
      </c>
      <c r="C75" s="2">
        <v>46224</v>
      </c>
      <c r="D75" s="3">
        <v>0.79166666666666663</v>
      </c>
      <c r="E75" t="s">
        <v>370</v>
      </c>
      <c r="F75" t="s">
        <v>371</v>
      </c>
      <c r="G75">
        <v>0</v>
      </c>
      <c r="H75">
        <v>1</v>
      </c>
      <c r="I75">
        <v>0</v>
      </c>
      <c r="J75">
        <v>4</v>
      </c>
      <c r="K75" s="22" t="str">
        <f t="shared" si="4"/>
        <v>21/07/2026</v>
      </c>
      <c r="L75" s="23">
        <f t="shared" si="5"/>
        <v>0.66666666666666663</v>
      </c>
    </row>
    <row r="76" spans="1:12" x14ac:dyDescent="0.2">
      <c r="A76" t="s">
        <v>802</v>
      </c>
      <c r="B76" t="s">
        <v>803</v>
      </c>
      <c r="C76" s="2">
        <v>46224</v>
      </c>
      <c r="D76" s="3">
        <v>0.79166666666666663</v>
      </c>
      <c r="E76" t="s">
        <v>167</v>
      </c>
      <c r="F76" t="s">
        <v>372</v>
      </c>
      <c r="G76">
        <v>0</v>
      </c>
      <c r="H76">
        <v>0</v>
      </c>
      <c r="I76">
        <v>2</v>
      </c>
      <c r="J76">
        <v>1</v>
      </c>
      <c r="K76" s="22" t="str">
        <f t="shared" si="4"/>
        <v>21/07/2026</v>
      </c>
      <c r="L76" s="23">
        <f t="shared" si="5"/>
        <v>0.66666666666666663</v>
      </c>
    </row>
    <row r="77" spans="1:12" x14ac:dyDescent="0.2">
      <c r="A77" t="s">
        <v>806</v>
      </c>
      <c r="B77" t="s">
        <v>809</v>
      </c>
      <c r="C77" s="2">
        <v>46224</v>
      </c>
      <c r="D77" s="3">
        <v>0.875</v>
      </c>
      <c r="E77" t="s">
        <v>380</v>
      </c>
      <c r="F77" t="s">
        <v>381</v>
      </c>
      <c r="G77"/>
      <c r="H77"/>
      <c r="I77"/>
      <c r="J77"/>
      <c r="K77" s="22" t="str">
        <f t="shared" si="4"/>
        <v>21/07/2026</v>
      </c>
      <c r="L77" s="23">
        <f t="shared" si="5"/>
        <v>0.75</v>
      </c>
    </row>
    <row r="78" spans="1:12" x14ac:dyDescent="0.2">
      <c r="A78" t="s">
        <v>821</v>
      </c>
      <c r="B78" t="s">
        <v>822</v>
      </c>
      <c r="C78" s="2">
        <v>46224</v>
      </c>
      <c r="D78" s="3">
        <v>0.875</v>
      </c>
      <c r="E78" t="s">
        <v>416</v>
      </c>
      <c r="F78" t="s">
        <v>189</v>
      </c>
      <c r="G78">
        <v>2</v>
      </c>
      <c r="H78">
        <v>0</v>
      </c>
      <c r="I78">
        <v>2</v>
      </c>
      <c r="J78">
        <v>0</v>
      </c>
      <c r="K78" s="22" t="str">
        <f t="shared" si="4"/>
        <v>21/07/2026</v>
      </c>
      <c r="L78" s="23">
        <f t="shared" si="5"/>
        <v>0.75</v>
      </c>
    </row>
    <row r="79" spans="1:12" x14ac:dyDescent="0.2">
      <c r="A79" t="s">
        <v>823</v>
      </c>
      <c r="B79" t="s">
        <v>824</v>
      </c>
      <c r="C79" s="2">
        <v>46224</v>
      </c>
      <c r="D79" s="3">
        <v>0.89583333333333337</v>
      </c>
      <c r="E79" t="s">
        <v>429</v>
      </c>
      <c r="F79" t="s">
        <v>430</v>
      </c>
      <c r="G79">
        <v>0</v>
      </c>
      <c r="H79">
        <v>0</v>
      </c>
      <c r="I79">
        <v>1</v>
      </c>
      <c r="J79">
        <v>0</v>
      </c>
      <c r="K79" s="22" t="str">
        <f t="shared" si="4"/>
        <v>21/07/2026</v>
      </c>
      <c r="L79" s="23">
        <f t="shared" si="5"/>
        <v>0.77083333333333337</v>
      </c>
    </row>
    <row r="80" spans="1:12" x14ac:dyDescent="0.2">
      <c r="A80" t="s">
        <v>806</v>
      </c>
      <c r="B80" t="s">
        <v>807</v>
      </c>
      <c r="C80" s="2">
        <v>46224</v>
      </c>
      <c r="D80" s="3">
        <v>0.91666666666666663</v>
      </c>
      <c r="E80" t="s">
        <v>376</v>
      </c>
      <c r="F80" t="s">
        <v>377</v>
      </c>
      <c r="G80"/>
      <c r="H80"/>
      <c r="I80"/>
      <c r="J80"/>
      <c r="K80" s="22" t="str">
        <f t="shared" si="4"/>
        <v>21/07/2026</v>
      </c>
      <c r="L80" s="23">
        <f t="shared" si="5"/>
        <v>0.79166666666666663</v>
      </c>
    </row>
    <row r="81" spans="1:12" x14ac:dyDescent="0.2">
      <c r="A81" t="s">
        <v>821</v>
      </c>
      <c r="B81" t="s">
        <v>822</v>
      </c>
      <c r="C81" s="2">
        <v>46224</v>
      </c>
      <c r="D81" s="3">
        <v>0.91666666666666663</v>
      </c>
      <c r="E81" t="s">
        <v>417</v>
      </c>
      <c r="F81" t="s">
        <v>418</v>
      </c>
      <c r="G81">
        <v>0</v>
      </c>
      <c r="H81">
        <v>0</v>
      </c>
      <c r="I81">
        <v>1</v>
      </c>
      <c r="J81">
        <v>0</v>
      </c>
      <c r="K81" s="22" t="str">
        <f t="shared" si="4"/>
        <v>21/07/2026</v>
      </c>
      <c r="L81" s="23">
        <f t="shared" si="5"/>
        <v>0.79166666666666663</v>
      </c>
    </row>
    <row r="82" spans="1:12" x14ac:dyDescent="0.2">
      <c r="A82" t="s">
        <v>804</v>
      </c>
      <c r="B82" t="s">
        <v>805</v>
      </c>
      <c r="C82" s="2">
        <v>46224</v>
      </c>
      <c r="D82" s="3">
        <v>0.9375</v>
      </c>
      <c r="E82" t="s">
        <v>373</v>
      </c>
      <c r="F82" t="s">
        <v>231</v>
      </c>
      <c r="G82">
        <v>1</v>
      </c>
      <c r="H82">
        <v>0</v>
      </c>
      <c r="I82">
        <v>1</v>
      </c>
      <c r="J82">
        <v>1</v>
      </c>
      <c r="K82" s="22" t="str">
        <f t="shared" si="4"/>
        <v>21/07/2026</v>
      </c>
      <c r="L82" s="23">
        <f t="shared" si="5"/>
        <v>0.8125</v>
      </c>
    </row>
    <row r="83" spans="1:12" x14ac:dyDescent="0.2">
      <c r="A83" t="s">
        <v>804</v>
      </c>
      <c r="B83" t="s">
        <v>817</v>
      </c>
      <c r="C83" s="2">
        <v>46224</v>
      </c>
      <c r="D83" s="3">
        <v>0.9375</v>
      </c>
      <c r="E83" t="s">
        <v>396</v>
      </c>
      <c r="F83" t="s">
        <v>397</v>
      </c>
      <c r="G83">
        <v>0</v>
      </c>
      <c r="H83">
        <v>1</v>
      </c>
      <c r="I83">
        <v>2</v>
      </c>
      <c r="J83">
        <v>1</v>
      </c>
      <c r="K83" s="22" t="str">
        <f t="shared" si="4"/>
        <v>21/07/2026</v>
      </c>
      <c r="L83" s="23">
        <f t="shared" si="5"/>
        <v>0.8125</v>
      </c>
    </row>
    <row r="84" spans="1:12" x14ac:dyDescent="0.2">
      <c r="A84" t="s">
        <v>804</v>
      </c>
      <c r="B84" t="s">
        <v>817</v>
      </c>
      <c r="C84" s="2">
        <v>46224</v>
      </c>
      <c r="D84" s="3">
        <v>0.9375</v>
      </c>
      <c r="E84" t="s">
        <v>398</v>
      </c>
      <c r="F84" t="s">
        <v>399</v>
      </c>
      <c r="G84">
        <v>0</v>
      </c>
      <c r="H84">
        <v>0</v>
      </c>
      <c r="I84">
        <v>0</v>
      </c>
      <c r="J84">
        <v>1</v>
      </c>
      <c r="K84" s="22" t="str">
        <f t="shared" si="4"/>
        <v>21/07/2026</v>
      </c>
      <c r="L84" s="23">
        <f t="shared" si="5"/>
        <v>0.8125</v>
      </c>
    </row>
    <row r="85" spans="1:12" x14ac:dyDescent="0.2">
      <c r="A85" t="s">
        <v>815</v>
      </c>
      <c r="B85" t="s">
        <v>816</v>
      </c>
      <c r="C85" s="2">
        <v>46224</v>
      </c>
      <c r="D85" s="3">
        <v>0.95833333333333337</v>
      </c>
      <c r="E85" t="s">
        <v>236</v>
      </c>
      <c r="F85" t="s">
        <v>395</v>
      </c>
      <c r="G85">
        <v>1</v>
      </c>
      <c r="H85">
        <v>1</v>
      </c>
      <c r="I85">
        <v>1</v>
      </c>
      <c r="J85">
        <v>2</v>
      </c>
      <c r="K85" s="22" t="str">
        <f t="shared" si="4"/>
        <v>21/07/2026</v>
      </c>
      <c r="L85" s="23">
        <f t="shared" si="5"/>
        <v>0.83333333333333337</v>
      </c>
    </row>
    <row r="86" spans="1:12" x14ac:dyDescent="0.2">
      <c r="A86" t="s">
        <v>821</v>
      </c>
      <c r="B86" t="s">
        <v>822</v>
      </c>
      <c r="C86" s="2">
        <v>46224</v>
      </c>
      <c r="D86" s="3">
        <v>0.95833333333333337</v>
      </c>
      <c r="E86" t="s">
        <v>419</v>
      </c>
      <c r="F86" t="s">
        <v>420</v>
      </c>
      <c r="G86">
        <v>0</v>
      </c>
      <c r="H86">
        <v>1</v>
      </c>
      <c r="I86">
        <v>2</v>
      </c>
      <c r="J86">
        <v>1</v>
      </c>
      <c r="K86" s="22" t="str">
        <f t="shared" si="4"/>
        <v>21/07/2026</v>
      </c>
      <c r="L86" s="23">
        <f t="shared" si="5"/>
        <v>0.83333333333333337</v>
      </c>
    </row>
    <row r="87" spans="1:12" x14ac:dyDescent="0.2">
      <c r="A87" t="s">
        <v>821</v>
      </c>
      <c r="B87" t="s">
        <v>822</v>
      </c>
      <c r="C87" s="2">
        <v>46224</v>
      </c>
      <c r="D87" s="3">
        <v>0.95833333333333337</v>
      </c>
      <c r="E87" t="s">
        <v>421</v>
      </c>
      <c r="F87" t="s">
        <v>422</v>
      </c>
      <c r="G87"/>
      <c r="H87"/>
      <c r="I87"/>
      <c r="J87"/>
      <c r="K87" s="22" t="str">
        <f t="shared" si="4"/>
        <v>21/07/2026</v>
      </c>
      <c r="L87" s="23">
        <f t="shared" si="5"/>
        <v>0.83333333333333337</v>
      </c>
    </row>
    <row r="88" spans="1:12" x14ac:dyDescent="0.2">
      <c r="A88" t="s">
        <v>821</v>
      </c>
      <c r="B88" t="s">
        <v>822</v>
      </c>
      <c r="C88" s="2">
        <v>46225</v>
      </c>
      <c r="D88" s="3">
        <v>0</v>
      </c>
      <c r="E88" t="s">
        <v>423</v>
      </c>
      <c r="F88" t="s">
        <v>424</v>
      </c>
      <c r="G88">
        <v>0</v>
      </c>
      <c r="H88">
        <v>0</v>
      </c>
      <c r="I88">
        <v>0</v>
      </c>
      <c r="J88">
        <v>1</v>
      </c>
      <c r="K88" s="22" t="str">
        <f t="shared" si="4"/>
        <v>22/07/2026</v>
      </c>
      <c r="L88" s="23">
        <f t="shared" si="5"/>
        <v>-0.125</v>
      </c>
    </row>
    <row r="89" spans="1:12" x14ac:dyDescent="0.2">
      <c r="A89" t="s">
        <v>821</v>
      </c>
      <c r="B89" t="s">
        <v>822</v>
      </c>
      <c r="C89" s="2">
        <v>46225</v>
      </c>
      <c r="D89" s="3">
        <v>0</v>
      </c>
      <c r="E89" t="s">
        <v>425</v>
      </c>
      <c r="F89" t="s">
        <v>426</v>
      </c>
      <c r="G89">
        <v>2</v>
      </c>
      <c r="H89">
        <v>0</v>
      </c>
      <c r="I89">
        <v>3</v>
      </c>
      <c r="J89">
        <v>0</v>
      </c>
      <c r="K89" s="22" t="str">
        <f t="shared" si="4"/>
        <v>22/07/2026</v>
      </c>
      <c r="L89" s="23">
        <f t="shared" si="5"/>
        <v>-0.125</v>
      </c>
    </row>
    <row r="90" spans="1:12" x14ac:dyDescent="0.2">
      <c r="A90" t="s">
        <v>823</v>
      </c>
      <c r="B90" t="s">
        <v>824</v>
      </c>
      <c r="C90" s="2">
        <v>46225</v>
      </c>
      <c r="D90" s="3">
        <v>0</v>
      </c>
      <c r="E90" t="s">
        <v>431</v>
      </c>
      <c r="F90" t="s">
        <v>432</v>
      </c>
      <c r="G90">
        <v>1</v>
      </c>
      <c r="H90">
        <v>0</v>
      </c>
      <c r="I90">
        <v>2</v>
      </c>
      <c r="J90">
        <v>1</v>
      </c>
      <c r="K90" s="22" t="str">
        <f t="shared" si="4"/>
        <v>22/07/2026</v>
      </c>
      <c r="L90" s="23">
        <f t="shared" si="5"/>
        <v>-0.125</v>
      </c>
    </row>
    <row r="91" spans="1:12" x14ac:dyDescent="0.2">
      <c r="A91" t="s">
        <v>821</v>
      </c>
      <c r="B91" t="s">
        <v>822</v>
      </c>
      <c r="C91" s="2">
        <v>46225</v>
      </c>
      <c r="D91" s="3">
        <v>2.0833333333333332E-2</v>
      </c>
      <c r="E91" t="s">
        <v>427</v>
      </c>
      <c r="F91" t="s">
        <v>428</v>
      </c>
      <c r="G91">
        <v>1</v>
      </c>
      <c r="H91">
        <v>0</v>
      </c>
      <c r="I91">
        <v>2</v>
      </c>
      <c r="J91">
        <v>1</v>
      </c>
      <c r="K91" s="22" t="str">
        <f t="shared" si="4"/>
        <v>22/07/2026</v>
      </c>
      <c r="L91" s="23">
        <f t="shared" si="5"/>
        <v>-0.10416666666666667</v>
      </c>
    </row>
    <row r="92" spans="1:12" x14ac:dyDescent="0.2">
      <c r="A92" t="s">
        <v>804</v>
      </c>
      <c r="B92" t="s">
        <v>817</v>
      </c>
      <c r="C92" s="2">
        <v>46225</v>
      </c>
      <c r="D92" s="3">
        <v>2.4305555555555556E-2</v>
      </c>
      <c r="E92" t="s">
        <v>400</v>
      </c>
      <c r="F92" t="s">
        <v>401</v>
      </c>
      <c r="G92">
        <v>2</v>
      </c>
      <c r="H92">
        <v>0</v>
      </c>
      <c r="I92">
        <v>2</v>
      </c>
      <c r="J92">
        <v>1</v>
      </c>
      <c r="K92" s="22" t="str">
        <f t="shared" si="4"/>
        <v>22/07/2026</v>
      </c>
      <c r="L92" s="23">
        <f t="shared" si="5"/>
        <v>-0.10069444444444445</v>
      </c>
    </row>
    <row r="93" spans="1:12" x14ac:dyDescent="0.2">
      <c r="A93" t="s">
        <v>810</v>
      </c>
      <c r="B93" t="s">
        <v>909</v>
      </c>
      <c r="C93" s="2">
        <v>46225</v>
      </c>
      <c r="D93" s="3">
        <v>0.3125</v>
      </c>
      <c r="E93" t="s">
        <v>910</v>
      </c>
      <c r="F93" t="s">
        <v>911</v>
      </c>
      <c r="G93">
        <v>2</v>
      </c>
      <c r="H93">
        <v>0</v>
      </c>
      <c r="I93">
        <v>3</v>
      </c>
      <c r="J93">
        <v>2</v>
      </c>
      <c r="K93" s="22" t="str">
        <f t="shared" si="4"/>
        <v>22/07/2026</v>
      </c>
      <c r="L93" s="23">
        <f t="shared" si="5"/>
        <v>0.1875</v>
      </c>
    </row>
    <row r="94" spans="1:12" x14ac:dyDescent="0.2">
      <c r="A94" t="s">
        <v>810</v>
      </c>
      <c r="B94" t="s">
        <v>893</v>
      </c>
      <c r="C94" s="2">
        <v>46225</v>
      </c>
      <c r="D94" s="3">
        <v>0.375</v>
      </c>
      <c r="E94" t="s">
        <v>894</v>
      </c>
      <c r="F94" t="s">
        <v>19</v>
      </c>
      <c r="G94">
        <v>4</v>
      </c>
      <c r="H94">
        <v>1</v>
      </c>
      <c r="I94">
        <v>5</v>
      </c>
      <c r="J94">
        <v>2</v>
      </c>
      <c r="K94" s="22" t="str">
        <f t="shared" si="4"/>
        <v>22/07/2026</v>
      </c>
      <c r="L94" s="23">
        <f t="shared" si="5"/>
        <v>0.25</v>
      </c>
    </row>
    <row r="95" spans="1:12" x14ac:dyDescent="0.2">
      <c r="A95" t="s">
        <v>810</v>
      </c>
      <c r="B95" t="s">
        <v>813</v>
      </c>
      <c r="C95" s="2">
        <v>46225</v>
      </c>
      <c r="D95" s="3">
        <v>0.375</v>
      </c>
      <c r="E95" t="s">
        <v>896</v>
      </c>
      <c r="F95" t="s">
        <v>897</v>
      </c>
      <c r="G95">
        <v>0</v>
      </c>
      <c r="H95">
        <v>1</v>
      </c>
      <c r="I95">
        <v>2</v>
      </c>
      <c r="J95">
        <v>2</v>
      </c>
      <c r="K95" s="22" t="str">
        <f t="shared" si="4"/>
        <v>22/07/2026</v>
      </c>
      <c r="L95" s="23">
        <f t="shared" si="5"/>
        <v>0.25</v>
      </c>
    </row>
    <row r="96" spans="1:12" x14ac:dyDescent="0.2">
      <c r="A96" t="s">
        <v>810</v>
      </c>
      <c r="B96" t="s">
        <v>898</v>
      </c>
      <c r="C96" s="2">
        <v>46225</v>
      </c>
      <c r="D96" s="3">
        <v>0.375</v>
      </c>
      <c r="E96" t="s">
        <v>899</v>
      </c>
      <c r="F96" t="s">
        <v>900</v>
      </c>
      <c r="G96"/>
      <c r="H96"/>
      <c r="I96"/>
      <c r="J96"/>
      <c r="K96" s="22" t="str">
        <f t="shared" si="4"/>
        <v>22/07/2026</v>
      </c>
      <c r="L96" s="23">
        <f t="shared" si="5"/>
        <v>0.25</v>
      </c>
    </row>
    <row r="97" spans="1:12" x14ac:dyDescent="0.2">
      <c r="A97" t="s">
        <v>810</v>
      </c>
      <c r="B97" t="s">
        <v>811</v>
      </c>
      <c r="C97" s="2">
        <v>46225</v>
      </c>
      <c r="D97" s="3">
        <v>0.39583333333333331</v>
      </c>
      <c r="E97" t="s">
        <v>892</v>
      </c>
      <c r="F97" t="s">
        <v>22</v>
      </c>
      <c r="G97">
        <v>1</v>
      </c>
      <c r="H97">
        <v>1</v>
      </c>
      <c r="I97">
        <v>2</v>
      </c>
      <c r="J97">
        <v>1</v>
      </c>
      <c r="K97" s="22" t="str">
        <f t="shared" si="4"/>
        <v>22/07/2026</v>
      </c>
      <c r="L97" s="23">
        <f t="shared" si="5"/>
        <v>0.27083333333333331</v>
      </c>
    </row>
    <row r="98" spans="1:12" x14ac:dyDescent="0.2">
      <c r="A98" t="s">
        <v>810</v>
      </c>
      <c r="B98" t="s">
        <v>814</v>
      </c>
      <c r="C98" s="2">
        <v>46225</v>
      </c>
      <c r="D98" s="3">
        <v>0.39583333333333331</v>
      </c>
      <c r="E98" t="s">
        <v>903</v>
      </c>
      <c r="F98" t="s">
        <v>904</v>
      </c>
      <c r="G98">
        <v>0</v>
      </c>
      <c r="H98">
        <v>0</v>
      </c>
      <c r="I98">
        <v>0</v>
      </c>
      <c r="J98">
        <v>2</v>
      </c>
      <c r="K98" s="22" t="str">
        <f t="shared" ref="K98:K129" si="6">DAY(C98)&amp;"/"&amp;"07"&amp;"/"&amp;YEAR(C98)</f>
        <v>22/07/2026</v>
      </c>
      <c r="L98" s="23">
        <f t="shared" ref="L98:L129" si="7">D98-TIME(3,0,0)</f>
        <v>0.27083333333333331</v>
      </c>
    </row>
    <row r="99" spans="1:12" x14ac:dyDescent="0.2">
      <c r="A99" t="s">
        <v>810</v>
      </c>
      <c r="B99" t="s">
        <v>814</v>
      </c>
      <c r="C99" s="2">
        <v>46225</v>
      </c>
      <c r="D99" s="3">
        <v>0.39583333333333331</v>
      </c>
      <c r="E99" t="s">
        <v>513</v>
      </c>
      <c r="F99" t="s">
        <v>905</v>
      </c>
      <c r="G99">
        <v>0</v>
      </c>
      <c r="H99">
        <v>0</v>
      </c>
      <c r="I99">
        <v>1</v>
      </c>
      <c r="J99">
        <v>2</v>
      </c>
      <c r="K99" s="22" t="str">
        <f t="shared" si="6"/>
        <v>22/07/2026</v>
      </c>
      <c r="L99" s="23">
        <f t="shared" si="7"/>
        <v>0.27083333333333331</v>
      </c>
    </row>
    <row r="100" spans="1:12" x14ac:dyDescent="0.2">
      <c r="A100" t="s">
        <v>810</v>
      </c>
      <c r="B100" t="s">
        <v>814</v>
      </c>
      <c r="C100" s="2">
        <v>46225</v>
      </c>
      <c r="D100" s="3">
        <v>0.39583333333333331</v>
      </c>
      <c r="E100" t="s">
        <v>542</v>
      </c>
      <c r="F100" t="s">
        <v>906</v>
      </c>
      <c r="G100">
        <v>0</v>
      </c>
      <c r="H100">
        <v>0</v>
      </c>
      <c r="I100">
        <v>1</v>
      </c>
      <c r="J100">
        <v>1</v>
      </c>
      <c r="K100" s="22" t="str">
        <f t="shared" si="6"/>
        <v>22/07/2026</v>
      </c>
      <c r="L100" s="23">
        <f t="shared" si="7"/>
        <v>0.27083333333333331</v>
      </c>
    </row>
    <row r="101" spans="1:12" x14ac:dyDescent="0.2">
      <c r="A101" t="s">
        <v>810</v>
      </c>
      <c r="B101" t="s">
        <v>814</v>
      </c>
      <c r="C101" s="2">
        <v>46225</v>
      </c>
      <c r="D101" s="3">
        <v>0.41666666666666669</v>
      </c>
      <c r="E101" t="s">
        <v>907</v>
      </c>
      <c r="F101" t="s">
        <v>908</v>
      </c>
      <c r="G101">
        <v>0</v>
      </c>
      <c r="H101">
        <v>1</v>
      </c>
      <c r="I101">
        <v>0</v>
      </c>
      <c r="J101">
        <v>3</v>
      </c>
      <c r="K101" s="22" t="str">
        <f t="shared" si="6"/>
        <v>22/07/2026</v>
      </c>
      <c r="L101" s="23">
        <f t="shared" si="7"/>
        <v>0.29166666666666669</v>
      </c>
    </row>
    <row r="102" spans="1:12" x14ac:dyDescent="0.2">
      <c r="A102" t="s">
        <v>810</v>
      </c>
      <c r="B102" t="s">
        <v>895</v>
      </c>
      <c r="C102" s="2">
        <v>46225</v>
      </c>
      <c r="D102" s="3">
        <v>0.42708333333333331</v>
      </c>
      <c r="E102" t="s">
        <v>23</v>
      </c>
      <c r="F102" t="s">
        <v>24</v>
      </c>
      <c r="G102">
        <v>2</v>
      </c>
      <c r="H102">
        <v>1</v>
      </c>
      <c r="I102">
        <v>4</v>
      </c>
      <c r="J102">
        <v>2</v>
      </c>
      <c r="K102" s="22" t="str">
        <f t="shared" si="6"/>
        <v>22/07/2026</v>
      </c>
      <c r="L102" s="23">
        <f t="shared" si="7"/>
        <v>0.30208333333333331</v>
      </c>
    </row>
    <row r="103" spans="1:12" x14ac:dyDescent="0.2">
      <c r="A103" t="s">
        <v>810</v>
      </c>
      <c r="B103" t="s">
        <v>898</v>
      </c>
      <c r="C103" s="2">
        <v>46225</v>
      </c>
      <c r="D103" s="3">
        <v>0.45833333333333331</v>
      </c>
      <c r="E103" t="s">
        <v>901</v>
      </c>
      <c r="F103" t="s">
        <v>902</v>
      </c>
      <c r="G103"/>
      <c r="H103"/>
      <c r="I103"/>
      <c r="J103"/>
      <c r="K103" s="22" t="str">
        <f t="shared" si="6"/>
        <v>22/07/2026</v>
      </c>
      <c r="L103" s="23">
        <f t="shared" si="7"/>
        <v>0.33333333333333331</v>
      </c>
    </row>
    <row r="104" spans="1:12" x14ac:dyDescent="0.2">
      <c r="A104" t="s">
        <v>806</v>
      </c>
      <c r="B104" t="s">
        <v>879</v>
      </c>
      <c r="C104" s="2">
        <v>46225</v>
      </c>
      <c r="D104" s="3">
        <v>0.58333333333333337</v>
      </c>
      <c r="E104" t="s">
        <v>880</v>
      </c>
      <c r="F104" t="s">
        <v>881</v>
      </c>
      <c r="G104">
        <v>0</v>
      </c>
      <c r="H104">
        <v>0</v>
      </c>
      <c r="I104">
        <v>1</v>
      </c>
      <c r="J104">
        <v>1</v>
      </c>
      <c r="K104" s="22" t="str">
        <f t="shared" si="6"/>
        <v>22/07/2026</v>
      </c>
      <c r="L104" s="23">
        <f t="shared" si="7"/>
        <v>0.45833333333333337</v>
      </c>
    </row>
    <row r="105" spans="1:12" x14ac:dyDescent="0.2">
      <c r="A105" t="s">
        <v>806</v>
      </c>
      <c r="B105" t="s">
        <v>879</v>
      </c>
      <c r="C105" s="2">
        <v>46225</v>
      </c>
      <c r="D105" s="3">
        <v>0.625</v>
      </c>
      <c r="E105" t="s">
        <v>882</v>
      </c>
      <c r="F105" t="s">
        <v>883</v>
      </c>
      <c r="G105">
        <v>0</v>
      </c>
      <c r="H105">
        <v>0</v>
      </c>
      <c r="I105">
        <v>2</v>
      </c>
      <c r="J105">
        <v>0</v>
      </c>
      <c r="K105" s="22" t="str">
        <f t="shared" si="6"/>
        <v>22/07/2026</v>
      </c>
      <c r="L105" s="23">
        <f t="shared" si="7"/>
        <v>0.5</v>
      </c>
    </row>
    <row r="106" spans="1:12" x14ac:dyDescent="0.2">
      <c r="A106" t="s">
        <v>802</v>
      </c>
      <c r="B106" t="s">
        <v>803</v>
      </c>
      <c r="C106" s="2">
        <v>46225</v>
      </c>
      <c r="D106" s="3">
        <v>0.70833333333333337</v>
      </c>
      <c r="E106" t="s">
        <v>869</v>
      </c>
      <c r="F106" t="s">
        <v>870</v>
      </c>
      <c r="G106">
        <v>1</v>
      </c>
      <c r="H106">
        <v>0</v>
      </c>
      <c r="I106">
        <v>1</v>
      </c>
      <c r="J106">
        <v>0</v>
      </c>
      <c r="K106" s="22" t="str">
        <f t="shared" si="6"/>
        <v>22/07/2026</v>
      </c>
      <c r="L106" s="23">
        <f t="shared" si="7"/>
        <v>0.58333333333333337</v>
      </c>
    </row>
    <row r="107" spans="1:12" x14ac:dyDescent="0.2">
      <c r="A107" t="s">
        <v>802</v>
      </c>
      <c r="B107" t="s">
        <v>803</v>
      </c>
      <c r="C107" s="2">
        <v>46225</v>
      </c>
      <c r="D107" s="3">
        <v>0.72916666666666663</v>
      </c>
      <c r="E107" t="s">
        <v>871</v>
      </c>
      <c r="F107" t="s">
        <v>872</v>
      </c>
      <c r="G107">
        <v>1</v>
      </c>
      <c r="H107">
        <v>0</v>
      </c>
      <c r="I107">
        <v>1</v>
      </c>
      <c r="J107">
        <v>0</v>
      </c>
      <c r="K107" s="22" t="str">
        <f t="shared" si="6"/>
        <v>22/07/2026</v>
      </c>
      <c r="L107" s="23">
        <f t="shared" si="7"/>
        <v>0.60416666666666663</v>
      </c>
    </row>
    <row r="108" spans="1:12" x14ac:dyDescent="0.2">
      <c r="A108" t="s">
        <v>806</v>
      </c>
      <c r="B108" t="s">
        <v>879</v>
      </c>
      <c r="C108" s="2">
        <v>46225</v>
      </c>
      <c r="D108" s="3">
        <v>0.75</v>
      </c>
      <c r="E108" t="s">
        <v>884</v>
      </c>
      <c r="F108" t="s">
        <v>885</v>
      </c>
      <c r="G108">
        <v>0</v>
      </c>
      <c r="H108">
        <v>0</v>
      </c>
      <c r="I108">
        <v>1</v>
      </c>
      <c r="J108">
        <v>2</v>
      </c>
      <c r="K108" s="22" t="str">
        <f t="shared" si="6"/>
        <v>22/07/2026</v>
      </c>
      <c r="L108" s="23">
        <f t="shared" si="7"/>
        <v>0.625</v>
      </c>
    </row>
    <row r="109" spans="1:12" x14ac:dyDescent="0.2">
      <c r="A109" t="s">
        <v>806</v>
      </c>
      <c r="B109" t="s">
        <v>879</v>
      </c>
      <c r="C109" s="2">
        <v>46225</v>
      </c>
      <c r="D109" s="3">
        <v>0.75</v>
      </c>
      <c r="E109" t="s">
        <v>886</v>
      </c>
      <c r="F109" t="s">
        <v>887</v>
      </c>
      <c r="G109">
        <v>0</v>
      </c>
      <c r="H109">
        <v>0</v>
      </c>
      <c r="I109">
        <v>1</v>
      </c>
      <c r="J109">
        <v>0</v>
      </c>
      <c r="K109" s="22" t="str">
        <f t="shared" si="6"/>
        <v>22/07/2026</v>
      </c>
      <c r="L109" s="23">
        <f t="shared" si="7"/>
        <v>0.625</v>
      </c>
    </row>
    <row r="110" spans="1:12" x14ac:dyDescent="0.2">
      <c r="A110" t="s">
        <v>806</v>
      </c>
      <c r="B110" t="s">
        <v>879</v>
      </c>
      <c r="C110" s="2">
        <v>46225</v>
      </c>
      <c r="D110" s="3">
        <v>0.75</v>
      </c>
      <c r="E110" t="s">
        <v>888</v>
      </c>
      <c r="F110" t="s">
        <v>889</v>
      </c>
      <c r="G110">
        <v>0</v>
      </c>
      <c r="H110">
        <v>0</v>
      </c>
      <c r="I110">
        <v>0</v>
      </c>
      <c r="J110">
        <v>2</v>
      </c>
      <c r="K110" s="22" t="str">
        <f t="shared" si="6"/>
        <v>22/07/2026</v>
      </c>
      <c r="L110" s="23">
        <f t="shared" si="7"/>
        <v>0.625</v>
      </c>
    </row>
    <row r="111" spans="1:12" x14ac:dyDescent="0.2">
      <c r="A111" t="s">
        <v>806</v>
      </c>
      <c r="B111" t="s">
        <v>879</v>
      </c>
      <c r="C111" s="2">
        <v>46225</v>
      </c>
      <c r="D111" s="3">
        <v>0.75</v>
      </c>
      <c r="E111" t="s">
        <v>890</v>
      </c>
      <c r="F111" t="s">
        <v>891</v>
      </c>
      <c r="G111">
        <v>0</v>
      </c>
      <c r="H111">
        <v>0</v>
      </c>
      <c r="I111">
        <v>0</v>
      </c>
      <c r="J111">
        <v>2</v>
      </c>
      <c r="K111" s="22" t="str">
        <f t="shared" si="6"/>
        <v>22/07/2026</v>
      </c>
      <c r="L111" s="23">
        <f t="shared" si="7"/>
        <v>0.625</v>
      </c>
    </row>
    <row r="112" spans="1:12" x14ac:dyDescent="0.2">
      <c r="A112" t="s">
        <v>804</v>
      </c>
      <c r="B112" t="s">
        <v>917</v>
      </c>
      <c r="C112" s="2">
        <v>46225</v>
      </c>
      <c r="D112" s="3">
        <v>0.75</v>
      </c>
      <c r="E112" t="s">
        <v>918</v>
      </c>
      <c r="F112" t="s">
        <v>919</v>
      </c>
      <c r="G112">
        <v>0</v>
      </c>
      <c r="H112">
        <v>0</v>
      </c>
      <c r="I112">
        <v>0</v>
      </c>
      <c r="J112">
        <v>2</v>
      </c>
      <c r="K112" s="22" t="str">
        <f t="shared" si="6"/>
        <v>22/07/2026</v>
      </c>
      <c r="L112" s="23">
        <f t="shared" si="7"/>
        <v>0.625</v>
      </c>
    </row>
    <row r="113" spans="1:12" x14ac:dyDescent="0.2">
      <c r="A113" t="s">
        <v>804</v>
      </c>
      <c r="B113" t="s">
        <v>917</v>
      </c>
      <c r="C113" s="2">
        <v>46225</v>
      </c>
      <c r="D113" s="3">
        <v>0.75</v>
      </c>
      <c r="E113" t="s">
        <v>920</v>
      </c>
      <c r="F113" t="s">
        <v>921</v>
      </c>
      <c r="G113">
        <v>0</v>
      </c>
      <c r="H113">
        <v>0</v>
      </c>
      <c r="I113">
        <v>2</v>
      </c>
      <c r="J113">
        <v>1</v>
      </c>
      <c r="K113" s="22" t="str">
        <f t="shared" si="6"/>
        <v>22/07/2026</v>
      </c>
      <c r="L113" s="23">
        <f t="shared" si="7"/>
        <v>0.625</v>
      </c>
    </row>
    <row r="114" spans="1:12" x14ac:dyDescent="0.2">
      <c r="A114" t="s">
        <v>804</v>
      </c>
      <c r="B114" t="s">
        <v>917</v>
      </c>
      <c r="C114" s="2">
        <v>46225</v>
      </c>
      <c r="D114" s="3">
        <v>0.75</v>
      </c>
      <c r="E114" t="s">
        <v>922</v>
      </c>
      <c r="F114" t="s">
        <v>923</v>
      </c>
      <c r="G114">
        <v>0</v>
      </c>
      <c r="H114">
        <v>0</v>
      </c>
      <c r="I114">
        <v>0</v>
      </c>
      <c r="J114">
        <v>2</v>
      </c>
      <c r="K114" s="22" t="str">
        <f t="shared" si="6"/>
        <v>22/07/2026</v>
      </c>
      <c r="L114" s="23">
        <f t="shared" si="7"/>
        <v>0.625</v>
      </c>
    </row>
    <row r="115" spans="1:12" x14ac:dyDescent="0.2">
      <c r="A115" t="s">
        <v>804</v>
      </c>
      <c r="B115" t="s">
        <v>917</v>
      </c>
      <c r="C115" s="2">
        <v>46225</v>
      </c>
      <c r="D115" s="3">
        <v>0.75</v>
      </c>
      <c r="E115" t="s">
        <v>924</v>
      </c>
      <c r="F115" t="s">
        <v>925</v>
      </c>
      <c r="G115">
        <v>0</v>
      </c>
      <c r="H115">
        <v>0</v>
      </c>
      <c r="I115">
        <v>7</v>
      </c>
      <c r="J115">
        <v>0</v>
      </c>
      <c r="K115" s="22" t="str">
        <f t="shared" si="6"/>
        <v>22/07/2026</v>
      </c>
      <c r="L115" s="23">
        <f t="shared" si="7"/>
        <v>0.625</v>
      </c>
    </row>
    <row r="116" spans="1:12" x14ac:dyDescent="0.2">
      <c r="A116" t="s">
        <v>804</v>
      </c>
      <c r="B116" t="s">
        <v>818</v>
      </c>
      <c r="C116" s="2">
        <v>46225</v>
      </c>
      <c r="D116" s="3">
        <v>0.75</v>
      </c>
      <c r="E116" t="s">
        <v>928</v>
      </c>
      <c r="F116" t="s">
        <v>929</v>
      </c>
      <c r="G116">
        <v>0</v>
      </c>
      <c r="H116">
        <v>0</v>
      </c>
      <c r="I116">
        <v>2</v>
      </c>
      <c r="J116">
        <v>0</v>
      </c>
      <c r="K116" s="22" t="str">
        <f t="shared" si="6"/>
        <v>22/07/2026</v>
      </c>
      <c r="L116" s="23">
        <f t="shared" si="7"/>
        <v>0.625</v>
      </c>
    </row>
    <row r="117" spans="1:12" x14ac:dyDescent="0.2">
      <c r="A117" t="s">
        <v>806</v>
      </c>
      <c r="B117" t="s">
        <v>879</v>
      </c>
      <c r="C117" s="2">
        <v>46225</v>
      </c>
      <c r="D117" s="3">
        <v>0.75002314814814819</v>
      </c>
      <c r="E117" t="s">
        <v>884</v>
      </c>
      <c r="F117" t="s">
        <v>885</v>
      </c>
      <c r="G117">
        <v>1</v>
      </c>
      <c r="H117">
        <v>1</v>
      </c>
      <c r="I117">
        <v>1</v>
      </c>
      <c r="J117">
        <v>2</v>
      </c>
      <c r="K117" s="22" t="str">
        <f t="shared" si="6"/>
        <v>22/07/2026</v>
      </c>
      <c r="L117" s="23">
        <f t="shared" si="7"/>
        <v>0.62502314814814819</v>
      </c>
    </row>
    <row r="118" spans="1:12" x14ac:dyDescent="0.2">
      <c r="A118" t="s">
        <v>802</v>
      </c>
      <c r="B118" t="s">
        <v>803</v>
      </c>
      <c r="C118" s="2">
        <v>46225</v>
      </c>
      <c r="D118" s="3">
        <v>0.79166666666666663</v>
      </c>
      <c r="E118" t="s">
        <v>873</v>
      </c>
      <c r="F118" t="s">
        <v>874</v>
      </c>
      <c r="G118">
        <v>1</v>
      </c>
      <c r="H118">
        <v>1</v>
      </c>
      <c r="I118">
        <v>3</v>
      </c>
      <c r="J118">
        <v>3</v>
      </c>
      <c r="K118" s="22" t="str">
        <f t="shared" si="6"/>
        <v>22/07/2026</v>
      </c>
      <c r="L118" s="23">
        <f t="shared" si="7"/>
        <v>0.66666666666666663</v>
      </c>
    </row>
    <row r="119" spans="1:12" x14ac:dyDescent="0.2">
      <c r="A119" t="s">
        <v>804</v>
      </c>
      <c r="B119" t="s">
        <v>805</v>
      </c>
      <c r="C119" s="2">
        <v>46225</v>
      </c>
      <c r="D119" s="3">
        <v>0.9375</v>
      </c>
      <c r="E119" t="s">
        <v>875</v>
      </c>
      <c r="F119" t="s">
        <v>40</v>
      </c>
      <c r="G119">
        <v>0</v>
      </c>
      <c r="H119">
        <v>2</v>
      </c>
      <c r="I119">
        <v>1</v>
      </c>
      <c r="J119">
        <v>3</v>
      </c>
      <c r="K119" s="22" t="str">
        <f t="shared" si="6"/>
        <v>22/07/2026</v>
      </c>
      <c r="L119" s="23">
        <f t="shared" si="7"/>
        <v>0.8125</v>
      </c>
    </row>
    <row r="120" spans="1:12" x14ac:dyDescent="0.2">
      <c r="A120" t="s">
        <v>804</v>
      </c>
      <c r="B120" t="s">
        <v>817</v>
      </c>
      <c r="C120" s="2">
        <v>46225</v>
      </c>
      <c r="D120" s="3">
        <v>0.9375</v>
      </c>
      <c r="E120" t="s">
        <v>912</v>
      </c>
      <c r="F120" t="s">
        <v>913</v>
      </c>
      <c r="G120">
        <v>0</v>
      </c>
      <c r="H120">
        <v>1</v>
      </c>
      <c r="I120">
        <v>0</v>
      </c>
      <c r="J120">
        <v>1</v>
      </c>
      <c r="K120" s="22" t="str">
        <f t="shared" si="6"/>
        <v>22/07/2026</v>
      </c>
      <c r="L120" s="23">
        <f t="shared" si="7"/>
        <v>0.8125</v>
      </c>
    </row>
    <row r="121" spans="1:12" x14ac:dyDescent="0.2">
      <c r="A121" t="s">
        <v>804</v>
      </c>
      <c r="B121" t="s">
        <v>817</v>
      </c>
      <c r="C121" s="2">
        <v>46225</v>
      </c>
      <c r="D121" s="3">
        <v>0.9375</v>
      </c>
      <c r="E121" t="s">
        <v>914</v>
      </c>
      <c r="F121" t="s">
        <v>44</v>
      </c>
      <c r="G121">
        <v>1</v>
      </c>
      <c r="H121">
        <v>1</v>
      </c>
      <c r="I121">
        <v>3</v>
      </c>
      <c r="J121">
        <v>2</v>
      </c>
      <c r="K121" s="22" t="str">
        <f t="shared" si="6"/>
        <v>22/07/2026</v>
      </c>
      <c r="L121" s="23">
        <f t="shared" si="7"/>
        <v>0.8125</v>
      </c>
    </row>
    <row r="122" spans="1:12" x14ac:dyDescent="0.2">
      <c r="A122" t="s">
        <v>804</v>
      </c>
      <c r="B122" t="s">
        <v>917</v>
      </c>
      <c r="C122" s="2">
        <v>46225</v>
      </c>
      <c r="D122" s="3">
        <v>0.95833333333333337</v>
      </c>
      <c r="E122" t="s">
        <v>926</v>
      </c>
      <c r="F122" t="s">
        <v>927</v>
      </c>
      <c r="G122">
        <v>0</v>
      </c>
      <c r="H122">
        <v>0</v>
      </c>
      <c r="I122">
        <v>0</v>
      </c>
      <c r="J122">
        <v>0</v>
      </c>
      <c r="K122" s="22" t="str">
        <f t="shared" si="6"/>
        <v>22/07/2026</v>
      </c>
      <c r="L122" s="23">
        <f t="shared" si="7"/>
        <v>0.83333333333333337</v>
      </c>
    </row>
    <row r="123" spans="1:12" x14ac:dyDescent="0.2">
      <c r="A123" t="s">
        <v>858</v>
      </c>
      <c r="B123" t="s">
        <v>859</v>
      </c>
      <c r="C123" s="2">
        <v>46225</v>
      </c>
      <c r="D123" s="3">
        <v>0.97916666666666663</v>
      </c>
      <c r="E123" t="s">
        <v>860</v>
      </c>
      <c r="F123" t="s">
        <v>861</v>
      </c>
      <c r="G123">
        <v>0</v>
      </c>
      <c r="H123">
        <v>1</v>
      </c>
      <c r="I123">
        <v>1</v>
      </c>
      <c r="J123">
        <v>2</v>
      </c>
      <c r="K123" s="22" t="str">
        <f t="shared" si="6"/>
        <v>22/07/2026</v>
      </c>
      <c r="L123" s="23">
        <f t="shared" si="7"/>
        <v>0.85416666666666663</v>
      </c>
    </row>
    <row r="124" spans="1:12" x14ac:dyDescent="0.2">
      <c r="A124" t="s">
        <v>858</v>
      </c>
      <c r="B124" t="s">
        <v>859</v>
      </c>
      <c r="C124" s="2">
        <v>46225</v>
      </c>
      <c r="D124" s="3">
        <v>0.97916666666666663</v>
      </c>
      <c r="E124" t="s">
        <v>53</v>
      </c>
      <c r="F124" t="s">
        <v>54</v>
      </c>
      <c r="G124">
        <v>3</v>
      </c>
      <c r="H124">
        <v>2</v>
      </c>
      <c r="I124">
        <v>4</v>
      </c>
      <c r="J124">
        <v>3</v>
      </c>
      <c r="K124" s="22" t="str">
        <f t="shared" si="6"/>
        <v>22/07/2026</v>
      </c>
      <c r="L124" s="23">
        <f t="shared" si="7"/>
        <v>0.85416666666666663</v>
      </c>
    </row>
    <row r="125" spans="1:12" x14ac:dyDescent="0.2">
      <c r="A125" t="s">
        <v>858</v>
      </c>
      <c r="B125" t="s">
        <v>859</v>
      </c>
      <c r="C125" s="2">
        <v>46225</v>
      </c>
      <c r="D125" s="3">
        <v>0.97916666666666663</v>
      </c>
      <c r="E125" t="s">
        <v>55</v>
      </c>
      <c r="F125" t="s">
        <v>56</v>
      </c>
      <c r="G125">
        <v>1</v>
      </c>
      <c r="H125">
        <v>1</v>
      </c>
      <c r="I125">
        <v>3</v>
      </c>
      <c r="J125">
        <v>2</v>
      </c>
      <c r="K125" s="22" t="str">
        <f t="shared" si="6"/>
        <v>22/07/2026</v>
      </c>
      <c r="L125" s="23">
        <f t="shared" si="7"/>
        <v>0.85416666666666663</v>
      </c>
    </row>
    <row r="126" spans="1:12" x14ac:dyDescent="0.2">
      <c r="A126" t="s">
        <v>858</v>
      </c>
      <c r="B126" t="s">
        <v>859</v>
      </c>
      <c r="C126" s="2">
        <v>46225</v>
      </c>
      <c r="D126" s="3">
        <v>0.97916666666666663</v>
      </c>
      <c r="E126" t="s">
        <v>57</v>
      </c>
      <c r="F126" t="s">
        <v>58</v>
      </c>
      <c r="G126">
        <v>0</v>
      </c>
      <c r="H126">
        <v>0</v>
      </c>
      <c r="I126">
        <v>0</v>
      </c>
      <c r="J126">
        <v>0</v>
      </c>
      <c r="K126" s="22" t="str">
        <f t="shared" si="6"/>
        <v>22/07/2026</v>
      </c>
      <c r="L126" s="23">
        <f t="shared" si="7"/>
        <v>0.85416666666666663</v>
      </c>
    </row>
    <row r="127" spans="1:12" x14ac:dyDescent="0.2">
      <c r="A127" t="s">
        <v>858</v>
      </c>
      <c r="B127" t="s">
        <v>859</v>
      </c>
      <c r="C127" s="2">
        <v>46225</v>
      </c>
      <c r="D127" s="3">
        <v>0.97916666666666663</v>
      </c>
      <c r="E127" t="s">
        <v>59</v>
      </c>
      <c r="F127" t="s">
        <v>60</v>
      </c>
      <c r="G127">
        <v>1</v>
      </c>
      <c r="H127">
        <v>1</v>
      </c>
      <c r="I127">
        <v>3</v>
      </c>
      <c r="J127">
        <v>1</v>
      </c>
      <c r="K127" s="22" t="str">
        <f t="shared" si="6"/>
        <v>22/07/2026</v>
      </c>
      <c r="L127" s="23">
        <f t="shared" si="7"/>
        <v>0.85416666666666663</v>
      </c>
    </row>
    <row r="128" spans="1:12" x14ac:dyDescent="0.2">
      <c r="A128" t="s">
        <v>804</v>
      </c>
      <c r="B128" t="s">
        <v>817</v>
      </c>
      <c r="C128" s="2">
        <v>46225</v>
      </c>
      <c r="D128" s="3">
        <v>0.97916666666666663</v>
      </c>
      <c r="E128" t="s">
        <v>915</v>
      </c>
      <c r="F128" t="s">
        <v>50</v>
      </c>
      <c r="G128">
        <v>0</v>
      </c>
      <c r="H128">
        <v>1</v>
      </c>
      <c r="I128">
        <v>1</v>
      </c>
      <c r="J128">
        <v>1</v>
      </c>
      <c r="K128" s="22" t="str">
        <f t="shared" si="6"/>
        <v>22/07/2026</v>
      </c>
      <c r="L128" s="23">
        <f t="shared" si="7"/>
        <v>0.85416666666666663</v>
      </c>
    </row>
    <row r="129" spans="1:12" x14ac:dyDescent="0.2">
      <c r="A129" t="s">
        <v>858</v>
      </c>
      <c r="B129" t="s">
        <v>859</v>
      </c>
      <c r="C129" s="2">
        <v>46226</v>
      </c>
      <c r="D129" s="3">
        <v>1.0416666666666666E-2</v>
      </c>
      <c r="E129" t="s">
        <v>63</v>
      </c>
      <c r="F129" t="s">
        <v>862</v>
      </c>
      <c r="G129">
        <v>2</v>
      </c>
      <c r="H129">
        <v>0</v>
      </c>
      <c r="I129">
        <v>2</v>
      </c>
      <c r="J129">
        <v>2</v>
      </c>
      <c r="K129" s="22" t="str">
        <f t="shared" si="6"/>
        <v>23/07/2026</v>
      </c>
      <c r="L129" s="23">
        <f t="shared" si="7"/>
        <v>-0.11458333333333333</v>
      </c>
    </row>
    <row r="130" spans="1:12" x14ac:dyDescent="0.2">
      <c r="A130" t="s">
        <v>858</v>
      </c>
      <c r="B130" t="s">
        <v>859</v>
      </c>
      <c r="C130" s="2">
        <v>46226</v>
      </c>
      <c r="D130" s="3">
        <v>2.0833333333333332E-2</v>
      </c>
      <c r="E130" t="s">
        <v>75</v>
      </c>
      <c r="F130" t="s">
        <v>76</v>
      </c>
      <c r="G130">
        <v>1</v>
      </c>
      <c r="H130">
        <v>0</v>
      </c>
      <c r="I130">
        <v>1</v>
      </c>
      <c r="J130">
        <v>1</v>
      </c>
      <c r="K130" s="22" t="str">
        <f t="shared" ref="K130:K142" si="8">DAY(C130)&amp;"/"&amp;"07"&amp;"/"&amp;YEAR(C130)</f>
        <v>23/07/2026</v>
      </c>
      <c r="L130" s="23">
        <f t="shared" ref="L130:L142" si="9">D130-TIME(3,0,0)</f>
        <v>-0.10416666666666667</v>
      </c>
    </row>
    <row r="131" spans="1:12" x14ac:dyDescent="0.2">
      <c r="A131" t="s">
        <v>858</v>
      </c>
      <c r="B131" t="s">
        <v>859</v>
      </c>
      <c r="C131" s="2">
        <v>46226</v>
      </c>
      <c r="D131" s="3">
        <v>2.0833333333333332E-2</v>
      </c>
      <c r="E131" t="s">
        <v>863</v>
      </c>
      <c r="F131" t="s">
        <v>864</v>
      </c>
      <c r="G131">
        <v>0</v>
      </c>
      <c r="H131">
        <v>0</v>
      </c>
      <c r="I131">
        <v>1</v>
      </c>
      <c r="J131">
        <v>0</v>
      </c>
      <c r="K131" s="22" t="str">
        <f t="shared" si="8"/>
        <v>23/07/2026</v>
      </c>
      <c r="L131" s="23">
        <f t="shared" si="9"/>
        <v>-0.10416666666666667</v>
      </c>
    </row>
    <row r="132" spans="1:12" x14ac:dyDescent="0.2">
      <c r="A132" t="s">
        <v>858</v>
      </c>
      <c r="B132" t="s">
        <v>859</v>
      </c>
      <c r="C132" s="2">
        <v>46226</v>
      </c>
      <c r="D132" s="3">
        <v>2.0833333333333332E-2</v>
      </c>
      <c r="E132" t="s">
        <v>79</v>
      </c>
      <c r="F132" t="s">
        <v>865</v>
      </c>
      <c r="G132">
        <v>1</v>
      </c>
      <c r="H132">
        <v>0</v>
      </c>
      <c r="I132">
        <v>2</v>
      </c>
      <c r="J132">
        <v>1</v>
      </c>
      <c r="K132" s="22" t="str">
        <f t="shared" si="8"/>
        <v>23/07/2026</v>
      </c>
      <c r="L132" s="23">
        <f t="shared" si="9"/>
        <v>-0.10416666666666667</v>
      </c>
    </row>
    <row r="133" spans="1:12" x14ac:dyDescent="0.2">
      <c r="A133" t="s">
        <v>804</v>
      </c>
      <c r="B133" t="s">
        <v>805</v>
      </c>
      <c r="C133" s="2">
        <v>46226</v>
      </c>
      <c r="D133" s="3">
        <v>2.0833333333333332E-2</v>
      </c>
      <c r="E133" t="s">
        <v>65</v>
      </c>
      <c r="F133" t="s">
        <v>876</v>
      </c>
      <c r="G133">
        <v>0</v>
      </c>
      <c r="H133">
        <v>2</v>
      </c>
      <c r="I133">
        <v>0</v>
      </c>
      <c r="J133">
        <v>4</v>
      </c>
      <c r="K133" s="22" t="str">
        <f t="shared" si="8"/>
        <v>23/07/2026</v>
      </c>
      <c r="L133" s="23">
        <f t="shared" si="9"/>
        <v>-0.10416666666666667</v>
      </c>
    </row>
    <row r="134" spans="1:12" x14ac:dyDescent="0.2">
      <c r="A134" t="s">
        <v>804</v>
      </c>
      <c r="B134" t="s">
        <v>805</v>
      </c>
      <c r="C134" s="2">
        <v>46226</v>
      </c>
      <c r="D134" s="3">
        <v>2.0833333333333332E-2</v>
      </c>
      <c r="E134" t="s">
        <v>67</v>
      </c>
      <c r="F134" t="s">
        <v>68</v>
      </c>
      <c r="G134">
        <v>0</v>
      </c>
      <c r="H134">
        <v>1</v>
      </c>
      <c r="I134">
        <v>1</v>
      </c>
      <c r="J134">
        <v>2</v>
      </c>
      <c r="K134" s="22" t="str">
        <f t="shared" si="8"/>
        <v>23/07/2026</v>
      </c>
      <c r="L134" s="23">
        <f t="shared" si="9"/>
        <v>-0.10416666666666667</v>
      </c>
    </row>
    <row r="135" spans="1:12" x14ac:dyDescent="0.2">
      <c r="A135" t="s">
        <v>804</v>
      </c>
      <c r="B135" t="s">
        <v>805</v>
      </c>
      <c r="C135" s="2">
        <v>46226</v>
      </c>
      <c r="D135" s="3">
        <v>2.0833333333333332E-2</v>
      </c>
      <c r="E135" t="s">
        <v>877</v>
      </c>
      <c r="F135" t="s">
        <v>878</v>
      </c>
      <c r="G135">
        <v>1</v>
      </c>
      <c r="H135">
        <v>0</v>
      </c>
      <c r="I135">
        <v>1</v>
      </c>
      <c r="J135">
        <v>2</v>
      </c>
      <c r="K135" s="22" t="str">
        <f t="shared" si="8"/>
        <v>23/07/2026</v>
      </c>
      <c r="L135" s="23">
        <f t="shared" si="9"/>
        <v>-0.10416666666666667</v>
      </c>
    </row>
    <row r="136" spans="1:12" x14ac:dyDescent="0.2">
      <c r="A136" t="s">
        <v>804</v>
      </c>
      <c r="B136" t="s">
        <v>817</v>
      </c>
      <c r="C136" s="2">
        <v>46226</v>
      </c>
      <c r="D136" s="3">
        <v>2.0833333333333332E-2</v>
      </c>
      <c r="E136" t="s">
        <v>71</v>
      </c>
      <c r="F136" t="s">
        <v>916</v>
      </c>
      <c r="G136">
        <v>1</v>
      </c>
      <c r="H136">
        <v>0</v>
      </c>
      <c r="I136">
        <v>2</v>
      </c>
      <c r="J136">
        <v>1</v>
      </c>
      <c r="K136" s="22" t="str">
        <f t="shared" si="8"/>
        <v>23/07/2026</v>
      </c>
      <c r="L136" s="23">
        <f t="shared" si="9"/>
        <v>-0.10416666666666667</v>
      </c>
    </row>
    <row r="137" spans="1:12" x14ac:dyDescent="0.2">
      <c r="A137" t="s">
        <v>858</v>
      </c>
      <c r="B137" t="s">
        <v>859</v>
      </c>
      <c r="C137" s="2">
        <v>46226</v>
      </c>
      <c r="D137" s="3">
        <v>6.25E-2</v>
      </c>
      <c r="E137" t="s">
        <v>73</v>
      </c>
      <c r="F137" t="s">
        <v>74</v>
      </c>
      <c r="G137">
        <v>1</v>
      </c>
      <c r="H137">
        <v>1</v>
      </c>
      <c r="I137">
        <v>3</v>
      </c>
      <c r="J137">
        <v>1</v>
      </c>
      <c r="K137" s="22" t="str">
        <f t="shared" si="8"/>
        <v>23/07/2026</v>
      </c>
      <c r="L137" s="23">
        <f t="shared" si="9"/>
        <v>-6.25E-2</v>
      </c>
    </row>
    <row r="138" spans="1:12" x14ac:dyDescent="0.2">
      <c r="A138" t="s">
        <v>858</v>
      </c>
      <c r="B138" t="s">
        <v>859</v>
      </c>
      <c r="C138" s="2">
        <v>46226</v>
      </c>
      <c r="D138" s="3">
        <v>6.25E-2</v>
      </c>
      <c r="E138" t="s">
        <v>85</v>
      </c>
      <c r="F138" t="s">
        <v>86</v>
      </c>
      <c r="G138">
        <v>0</v>
      </c>
      <c r="H138">
        <v>0</v>
      </c>
      <c r="I138">
        <v>1</v>
      </c>
      <c r="J138">
        <v>0</v>
      </c>
      <c r="K138" s="22" t="str">
        <f t="shared" si="8"/>
        <v>23/07/2026</v>
      </c>
      <c r="L138" s="23">
        <f t="shared" si="9"/>
        <v>-6.25E-2</v>
      </c>
    </row>
    <row r="139" spans="1:12" x14ac:dyDescent="0.2">
      <c r="A139" t="s">
        <v>858</v>
      </c>
      <c r="B139" t="s">
        <v>859</v>
      </c>
      <c r="C139" s="2">
        <v>46226</v>
      </c>
      <c r="D139" s="3">
        <v>0.10416666666666667</v>
      </c>
      <c r="E139" t="s">
        <v>87</v>
      </c>
      <c r="F139" t="s">
        <v>866</v>
      </c>
      <c r="G139">
        <v>0</v>
      </c>
      <c r="H139">
        <v>2</v>
      </c>
      <c r="I139">
        <v>1</v>
      </c>
      <c r="J139">
        <v>3</v>
      </c>
      <c r="K139" s="22" t="str">
        <f t="shared" si="8"/>
        <v>23/07/2026</v>
      </c>
      <c r="L139" s="23">
        <f t="shared" si="9"/>
        <v>-2.0833333333333329E-2</v>
      </c>
    </row>
    <row r="140" spans="1:12" x14ac:dyDescent="0.2">
      <c r="A140" t="s">
        <v>858</v>
      </c>
      <c r="B140" t="s">
        <v>859</v>
      </c>
      <c r="C140" s="2">
        <v>46226</v>
      </c>
      <c r="D140" s="3">
        <v>0.10416666666666667</v>
      </c>
      <c r="E140" t="s">
        <v>89</v>
      </c>
      <c r="F140" t="s">
        <v>90</v>
      </c>
      <c r="G140">
        <v>2</v>
      </c>
      <c r="H140">
        <v>0</v>
      </c>
      <c r="I140">
        <v>3</v>
      </c>
      <c r="J140">
        <v>1</v>
      </c>
      <c r="K140" s="22" t="str">
        <f t="shared" si="8"/>
        <v>23/07/2026</v>
      </c>
      <c r="L140" s="23">
        <f t="shared" si="9"/>
        <v>-2.0833333333333329E-2</v>
      </c>
    </row>
    <row r="141" spans="1:12" x14ac:dyDescent="0.2">
      <c r="A141" t="s">
        <v>858</v>
      </c>
      <c r="B141" t="s">
        <v>859</v>
      </c>
      <c r="C141" s="2">
        <v>46226</v>
      </c>
      <c r="D141" s="3">
        <v>0.10416666666666667</v>
      </c>
      <c r="E141" t="s">
        <v>91</v>
      </c>
      <c r="F141" t="s">
        <v>867</v>
      </c>
      <c r="G141">
        <v>0</v>
      </c>
      <c r="H141">
        <v>1</v>
      </c>
      <c r="I141">
        <v>2</v>
      </c>
      <c r="J141">
        <v>2</v>
      </c>
      <c r="K141" s="22" t="str">
        <f t="shared" si="8"/>
        <v>23/07/2026</v>
      </c>
      <c r="L141" s="23">
        <f t="shared" si="9"/>
        <v>-2.0833333333333329E-2</v>
      </c>
    </row>
    <row r="142" spans="1:12" x14ac:dyDescent="0.2">
      <c r="A142" t="s">
        <v>858</v>
      </c>
      <c r="B142" t="s">
        <v>859</v>
      </c>
      <c r="C142" s="2">
        <v>46226</v>
      </c>
      <c r="D142" s="3">
        <v>0.10416666666666667</v>
      </c>
      <c r="E142" t="s">
        <v>93</v>
      </c>
      <c r="F142" t="s">
        <v>868</v>
      </c>
      <c r="G142">
        <v>0</v>
      </c>
      <c r="H142">
        <v>2</v>
      </c>
      <c r="I142">
        <v>0</v>
      </c>
      <c r="J142">
        <v>4</v>
      </c>
      <c r="K142" s="22" t="str">
        <f t="shared" si="8"/>
        <v>23/07/2026</v>
      </c>
      <c r="L142" s="23">
        <f t="shared" si="9"/>
        <v>-2.0833333333333329E-2</v>
      </c>
    </row>
  </sheetData>
  <autoFilter ref="A1:L92" xr:uid="{12C77971-33D1-4306-8C5A-95D06C375743}"/>
  <sortState xmlns:xlrd2="http://schemas.microsoft.com/office/spreadsheetml/2017/richdata2" ref="A2:L142">
    <sortCondition ref="C2:C142"/>
    <sortCondition ref="D2:D14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2443A-C45A-4803-B471-E97A0AB3DE22}">
  <dimension ref="A1:AD1773"/>
  <sheetViews>
    <sheetView topLeftCell="G1" workbookViewId="0">
      <pane ySplit="1" topLeftCell="A1723" activePane="bottomLeft" state="frozen"/>
      <selection pane="bottomLeft" activeCell="U1723" sqref="U1723"/>
    </sheetView>
  </sheetViews>
  <sheetFormatPr baseColWidth="10" defaultColWidth="8.83203125" defaultRowHeight="15" x14ac:dyDescent="0.2"/>
  <cols>
    <col min="2" max="2" width="14" bestFit="1" customWidth="1"/>
    <col min="3" max="3" width="28.1640625" bestFit="1" customWidth="1"/>
    <col min="4" max="4" width="10.5" bestFit="1" customWidth="1"/>
    <col min="5" max="5" width="8.1640625" bestFit="1" customWidth="1"/>
    <col min="6" max="6" width="31.83203125" bestFit="1" customWidth="1"/>
    <col min="7" max="7" width="35" bestFit="1" customWidth="1"/>
    <col min="8" max="8" width="14.6640625" bestFit="1" customWidth="1"/>
    <col min="9" max="9" width="14" bestFit="1" customWidth="1"/>
    <col min="10" max="10" width="10.5" bestFit="1" customWidth="1"/>
    <col min="11" max="11" width="9.6640625" bestFit="1" customWidth="1"/>
    <col min="12" max="12" width="10.5" bestFit="1" customWidth="1"/>
    <col min="13" max="13" width="8.1640625" bestFit="1" customWidth="1"/>
    <col min="24" max="24" width="8.1640625" bestFit="1" customWidth="1"/>
    <col min="25" max="28" width="5.5" bestFit="1" customWidth="1"/>
    <col min="29" max="29" width="8.6640625" bestFit="1" customWidth="1"/>
    <col min="30" max="30" width="9" bestFit="1" customWidth="1"/>
  </cols>
  <sheetData>
    <row r="1" spans="1:30" x14ac:dyDescent="0.2">
      <c r="A1" s="5" t="s">
        <v>442</v>
      </c>
      <c r="B1" s="5" t="s">
        <v>800</v>
      </c>
      <c r="C1" s="5" t="s">
        <v>801</v>
      </c>
      <c r="D1" s="5" t="s">
        <v>349</v>
      </c>
      <c r="E1" s="5" t="s">
        <v>348</v>
      </c>
      <c r="F1" s="5" t="s">
        <v>347</v>
      </c>
      <c r="G1" s="5" t="s">
        <v>346</v>
      </c>
      <c r="H1" s="5" t="s">
        <v>345</v>
      </c>
      <c r="I1" s="5" t="s">
        <v>344</v>
      </c>
      <c r="J1" s="5" t="s">
        <v>343</v>
      </c>
      <c r="K1" s="5" t="s">
        <v>342</v>
      </c>
      <c r="L1" s="5" t="s">
        <v>856</v>
      </c>
      <c r="M1" s="5" t="s">
        <v>350</v>
      </c>
      <c r="N1" s="46" t="s">
        <v>444</v>
      </c>
      <c r="O1" s="47" t="s">
        <v>439</v>
      </c>
      <c r="P1" s="47" t="s">
        <v>4</v>
      </c>
      <c r="Q1" s="47" t="s">
        <v>440</v>
      </c>
      <c r="R1" s="47" t="s">
        <v>5</v>
      </c>
      <c r="S1" s="47" t="s">
        <v>6</v>
      </c>
      <c r="T1" s="47" t="s">
        <v>441</v>
      </c>
      <c r="U1" s="47" t="s">
        <v>7</v>
      </c>
      <c r="V1" s="47" t="s">
        <v>8</v>
      </c>
      <c r="W1" s="47" t="s">
        <v>9</v>
      </c>
      <c r="X1" s="47" t="s">
        <v>2112</v>
      </c>
      <c r="Y1" s="47" t="s">
        <v>2113</v>
      </c>
      <c r="Z1" s="47" t="s">
        <v>2114</v>
      </c>
      <c r="AA1" s="47" t="s">
        <v>2115</v>
      </c>
      <c r="AB1" s="47" t="s">
        <v>2116</v>
      </c>
      <c r="AC1" s="47" t="s">
        <v>15</v>
      </c>
      <c r="AD1" s="47" t="s">
        <v>16</v>
      </c>
    </row>
    <row r="2" spans="1:30" x14ac:dyDescent="0.2">
      <c r="A2" t="str">
        <f t="shared" ref="A2:A65" si="0">L2&amp;F2&amp;G2</f>
        <v>20/07/2026Hapoel Petah TikvaBnei Yehuda Tel Aviv</v>
      </c>
      <c r="D2" s="2">
        <v>46223</v>
      </c>
      <c r="E2" s="42">
        <v>0.33333333333333331</v>
      </c>
      <c r="F2" s="43" t="s">
        <v>1285</v>
      </c>
      <c r="G2" s="43" t="s">
        <v>1286</v>
      </c>
      <c r="H2" s="43">
        <v>1</v>
      </c>
      <c r="I2" s="43">
        <v>0</v>
      </c>
      <c r="J2" s="43">
        <v>1</v>
      </c>
      <c r="K2" s="43">
        <v>1</v>
      </c>
      <c r="L2" s="44" t="str">
        <f t="shared" ref="L2:L33" si="1">DAY(D2)&amp;"/"&amp;"07"&amp;"/"&amp;YEAR(D2)</f>
        <v>20/07/2026</v>
      </c>
      <c r="M2" s="45">
        <f t="shared" ref="M2:M33" si="2">E2-TIME(3,0,0)</f>
        <v>0.20833333333333331</v>
      </c>
      <c r="N2" s="43" t="str">
        <f t="shared" ref="N2:N65" si="3">J2&amp;" - "&amp;K2</f>
        <v>1 - 1</v>
      </c>
      <c r="O2" s="43" t="str">
        <f t="shared" ref="O2:O65" si="4">IF($J2&gt;$K2,"Green","Red")</f>
        <v>Red</v>
      </c>
      <c r="P2" s="43" t="str">
        <f t="shared" ref="P2:P65" si="5">IF($J2=$K2,"Green","Red")</f>
        <v>Green</v>
      </c>
      <c r="Q2" s="43" t="str">
        <f t="shared" ref="Q2:Q65" si="6">IF($J2&lt;$K2,"Green","Red")</f>
        <v>Red</v>
      </c>
      <c r="R2" s="43" t="str">
        <f t="shared" ref="R2:R65" si="7">IF($J2&gt;=$K2,"Green","Red")</f>
        <v>Green</v>
      </c>
      <c r="S2" s="43" t="str">
        <f t="shared" ref="S2:S65" si="8">IF($J2&lt;=$K2,"Green","Red")</f>
        <v>Green</v>
      </c>
      <c r="T2" s="43" t="str">
        <f t="shared" ref="T2:T65" si="9">IF(OR($J2&gt;$K2,$J2&lt;$K2),"Green","Red")</f>
        <v>Red</v>
      </c>
      <c r="U2" s="43" t="str">
        <f t="shared" ref="U2:U65" si="10">IF($H2&gt;$I2,"Green","Red")</f>
        <v>Green</v>
      </c>
      <c r="V2" s="43" t="str">
        <f t="shared" ref="V2:V65" si="11">IF($H2=$I2,"Green","Red")</f>
        <v>Red</v>
      </c>
      <c r="W2" s="43" t="str">
        <f t="shared" ref="W2:W65" si="12">IF($H2&lt;$I2,"Green","Red")</f>
        <v>Red</v>
      </c>
      <c r="X2" s="43" t="str">
        <f t="shared" ref="X2:X65" si="13">IF($H2+$I2&gt;0,"Green","Red")</f>
        <v>Green</v>
      </c>
      <c r="Y2" s="43" t="str">
        <f t="shared" ref="Y2:Y65" si="14">IF($J2+$K2&gt;1.5,"Green","Red")</f>
        <v>Green</v>
      </c>
      <c r="Z2" s="43" t="str">
        <f t="shared" ref="Z2:Z65" si="15">IF($J2+$K2&gt;2.5,"Green","Red")</f>
        <v>Red</v>
      </c>
      <c r="AA2" s="43" t="str">
        <f t="shared" ref="AA2:AA65" si="16">IF($J2+$K2&lt;2.5,"Green","Red")</f>
        <v>Green</v>
      </c>
      <c r="AB2" s="43" t="str">
        <f t="shared" ref="AB2:AB65" si="17">IF($J2+$K2&lt;3.5,"Green","Red")</f>
        <v>Green</v>
      </c>
      <c r="AC2" s="43" t="str">
        <f t="shared" ref="AC2:AC65" si="18">IF(AND($J2&gt;0,$K2&gt;0),"Green","Red")</f>
        <v>Green</v>
      </c>
      <c r="AD2" s="43" t="str">
        <f t="shared" ref="AD2:AD65" si="19">IF(OR($J2=0,$K2=0),"Green","Red")</f>
        <v>Red</v>
      </c>
    </row>
    <row r="3" spans="1:30" x14ac:dyDescent="0.2">
      <c r="A3" t="str">
        <f t="shared" si="0"/>
        <v>20/07/2026Playford CityAdelaide United</v>
      </c>
      <c r="D3" s="2">
        <v>46223</v>
      </c>
      <c r="E3" s="3">
        <v>0.375</v>
      </c>
      <c r="F3" t="s">
        <v>1287</v>
      </c>
      <c r="G3" t="s">
        <v>1288</v>
      </c>
      <c r="H3">
        <v>0</v>
      </c>
      <c r="I3">
        <v>1</v>
      </c>
      <c r="J3">
        <v>0</v>
      </c>
      <c r="K3">
        <v>2</v>
      </c>
      <c r="L3" s="22" t="str">
        <f t="shared" si="1"/>
        <v>20/07/2026</v>
      </c>
      <c r="M3" s="23">
        <f t="shared" si="2"/>
        <v>0.25</v>
      </c>
      <c r="N3" t="str">
        <f t="shared" si="3"/>
        <v>0 - 2</v>
      </c>
      <c r="O3" t="str">
        <f t="shared" si="4"/>
        <v>Red</v>
      </c>
      <c r="P3" t="str">
        <f t="shared" si="5"/>
        <v>Red</v>
      </c>
      <c r="Q3" t="str">
        <f t="shared" si="6"/>
        <v>Green</v>
      </c>
      <c r="R3" t="str">
        <f t="shared" si="7"/>
        <v>Red</v>
      </c>
      <c r="S3" t="str">
        <f t="shared" si="8"/>
        <v>Green</v>
      </c>
      <c r="T3" t="str">
        <f t="shared" si="9"/>
        <v>Green</v>
      </c>
      <c r="U3" t="str">
        <f t="shared" si="10"/>
        <v>Red</v>
      </c>
      <c r="V3" t="str">
        <f t="shared" si="11"/>
        <v>Red</v>
      </c>
      <c r="W3" t="str">
        <f t="shared" si="12"/>
        <v>Green</v>
      </c>
      <c r="X3" t="str">
        <f t="shared" si="13"/>
        <v>Green</v>
      </c>
      <c r="Y3" t="str">
        <f t="shared" si="14"/>
        <v>Green</v>
      </c>
      <c r="Z3" t="str">
        <f t="shared" si="15"/>
        <v>Red</v>
      </c>
      <c r="AA3" t="str">
        <f t="shared" si="16"/>
        <v>Green</v>
      </c>
      <c r="AB3" t="str">
        <f t="shared" si="17"/>
        <v>Green</v>
      </c>
      <c r="AC3" t="str">
        <f t="shared" si="18"/>
        <v>Red</v>
      </c>
      <c r="AD3" t="str">
        <f t="shared" si="19"/>
        <v>Green</v>
      </c>
    </row>
    <row r="4" spans="1:30" x14ac:dyDescent="0.2">
      <c r="A4" t="str">
        <f t="shared" si="0"/>
        <v>20/07/2026Cambridge UnitedBraintree Town</v>
      </c>
      <c r="D4" s="2">
        <v>46223</v>
      </c>
      <c r="E4" s="3">
        <v>0.45833333333333331</v>
      </c>
      <c r="F4" t="s">
        <v>1289</v>
      </c>
      <c r="G4" t="s">
        <v>1290</v>
      </c>
      <c r="L4" s="22" t="str">
        <f t="shared" si="1"/>
        <v>20/07/2026</v>
      </c>
      <c r="M4" s="23">
        <f t="shared" si="2"/>
        <v>0.33333333333333331</v>
      </c>
      <c r="N4" t="str">
        <f t="shared" si="3"/>
        <v xml:space="preserve"> - </v>
      </c>
      <c r="O4" t="str">
        <f t="shared" si="4"/>
        <v>Red</v>
      </c>
      <c r="P4" t="str">
        <f t="shared" si="5"/>
        <v>Green</v>
      </c>
      <c r="Q4" t="str">
        <f t="shared" si="6"/>
        <v>Red</v>
      </c>
      <c r="R4" t="str">
        <f t="shared" si="7"/>
        <v>Green</v>
      </c>
      <c r="S4" t="str">
        <f t="shared" si="8"/>
        <v>Green</v>
      </c>
      <c r="T4" t="str">
        <f t="shared" si="9"/>
        <v>Red</v>
      </c>
      <c r="U4" t="str">
        <f t="shared" si="10"/>
        <v>Red</v>
      </c>
      <c r="V4" t="str">
        <f t="shared" si="11"/>
        <v>Green</v>
      </c>
      <c r="W4" t="str">
        <f t="shared" si="12"/>
        <v>Red</v>
      </c>
      <c r="X4" t="str">
        <f t="shared" si="13"/>
        <v>Red</v>
      </c>
      <c r="Y4" t="str">
        <f t="shared" si="14"/>
        <v>Red</v>
      </c>
      <c r="Z4" t="str">
        <f t="shared" si="15"/>
        <v>Red</v>
      </c>
      <c r="AA4" t="str">
        <f t="shared" si="16"/>
        <v>Green</v>
      </c>
      <c r="AB4" t="str">
        <f t="shared" si="17"/>
        <v>Green</v>
      </c>
      <c r="AC4" t="str">
        <f t="shared" si="18"/>
        <v>Red</v>
      </c>
      <c r="AD4" t="str">
        <f t="shared" si="19"/>
        <v>Green</v>
      </c>
    </row>
    <row r="5" spans="1:30" x14ac:dyDescent="0.2">
      <c r="A5" t="str">
        <f t="shared" si="0"/>
        <v>20/07/2026Brommapojkarna U19Kalmar U19</v>
      </c>
      <c r="B5" t="s">
        <v>827</v>
      </c>
      <c r="D5" s="2">
        <v>46223</v>
      </c>
      <c r="E5" s="3">
        <v>0.52083333333333337</v>
      </c>
      <c r="F5" t="s">
        <v>1291</v>
      </c>
      <c r="G5" t="s">
        <v>1292</v>
      </c>
      <c r="H5">
        <v>0</v>
      </c>
      <c r="I5">
        <v>0</v>
      </c>
      <c r="J5">
        <v>5</v>
      </c>
      <c r="K5">
        <v>0</v>
      </c>
      <c r="L5" s="22" t="str">
        <f t="shared" si="1"/>
        <v>20/07/2026</v>
      </c>
      <c r="M5" s="23">
        <f t="shared" si="2"/>
        <v>0.39583333333333337</v>
      </c>
      <c r="N5" t="str">
        <f t="shared" si="3"/>
        <v>5 - 0</v>
      </c>
      <c r="O5" t="str">
        <f t="shared" si="4"/>
        <v>Green</v>
      </c>
      <c r="P5" t="str">
        <f t="shared" si="5"/>
        <v>Red</v>
      </c>
      <c r="Q5" t="str">
        <f t="shared" si="6"/>
        <v>Red</v>
      </c>
      <c r="R5" t="str">
        <f t="shared" si="7"/>
        <v>Green</v>
      </c>
      <c r="S5" t="str">
        <f t="shared" si="8"/>
        <v>Red</v>
      </c>
      <c r="T5" t="str">
        <f t="shared" si="9"/>
        <v>Green</v>
      </c>
      <c r="U5" t="str">
        <f t="shared" si="10"/>
        <v>Red</v>
      </c>
      <c r="V5" t="str">
        <f t="shared" si="11"/>
        <v>Green</v>
      </c>
      <c r="W5" t="str">
        <f t="shared" si="12"/>
        <v>Red</v>
      </c>
      <c r="X5" t="str">
        <f t="shared" si="13"/>
        <v>Red</v>
      </c>
      <c r="Y5" t="str">
        <f t="shared" si="14"/>
        <v>Green</v>
      </c>
      <c r="Z5" t="str">
        <f t="shared" si="15"/>
        <v>Green</v>
      </c>
      <c r="AA5" t="str">
        <f t="shared" si="16"/>
        <v>Red</v>
      </c>
      <c r="AB5" t="str">
        <f t="shared" si="17"/>
        <v>Red</v>
      </c>
      <c r="AC5" t="str">
        <f t="shared" si="18"/>
        <v>Red</v>
      </c>
      <c r="AD5" t="str">
        <f t="shared" si="19"/>
        <v>Green</v>
      </c>
    </row>
    <row r="6" spans="1:30" x14ac:dyDescent="0.2">
      <c r="A6" t="str">
        <f t="shared" si="0"/>
        <v>20/07/2026CD Recoleta WomenRubio Nu Women</v>
      </c>
      <c r="B6" t="s">
        <v>847</v>
      </c>
      <c r="C6" t="s">
        <v>1293</v>
      </c>
      <c r="D6" s="2">
        <v>46223</v>
      </c>
      <c r="E6" s="3">
        <v>0.54166666666666663</v>
      </c>
      <c r="F6" t="s">
        <v>1294</v>
      </c>
      <c r="G6" t="s">
        <v>1295</v>
      </c>
      <c r="H6">
        <v>0</v>
      </c>
      <c r="I6">
        <v>0</v>
      </c>
      <c r="J6">
        <v>1</v>
      </c>
      <c r="K6">
        <v>1</v>
      </c>
      <c r="L6" s="22" t="str">
        <f t="shared" si="1"/>
        <v>20/07/2026</v>
      </c>
      <c r="M6" s="23">
        <f t="shared" si="2"/>
        <v>0.41666666666666663</v>
      </c>
      <c r="N6" t="str">
        <f t="shared" si="3"/>
        <v>1 - 1</v>
      </c>
      <c r="O6" t="str">
        <f t="shared" si="4"/>
        <v>Red</v>
      </c>
      <c r="P6" t="str">
        <f t="shared" si="5"/>
        <v>Green</v>
      </c>
      <c r="Q6" t="str">
        <f t="shared" si="6"/>
        <v>Red</v>
      </c>
      <c r="R6" t="str">
        <f t="shared" si="7"/>
        <v>Green</v>
      </c>
      <c r="S6" t="str">
        <f t="shared" si="8"/>
        <v>Green</v>
      </c>
      <c r="T6" t="str">
        <f t="shared" si="9"/>
        <v>Red</v>
      </c>
      <c r="U6" t="str">
        <f t="shared" si="10"/>
        <v>Red</v>
      </c>
      <c r="V6" t="str">
        <f t="shared" si="11"/>
        <v>Green</v>
      </c>
      <c r="W6" t="str">
        <f t="shared" si="12"/>
        <v>Red</v>
      </c>
      <c r="X6" t="str">
        <f t="shared" si="13"/>
        <v>Red</v>
      </c>
      <c r="Y6" t="str">
        <f t="shared" si="14"/>
        <v>Green</v>
      </c>
      <c r="Z6" t="str">
        <f t="shared" si="15"/>
        <v>Red</v>
      </c>
      <c r="AA6" t="str">
        <f t="shared" si="16"/>
        <v>Green</v>
      </c>
      <c r="AB6" t="str">
        <f t="shared" si="17"/>
        <v>Green</v>
      </c>
      <c r="AC6" t="str">
        <f t="shared" si="18"/>
        <v>Green</v>
      </c>
      <c r="AD6" t="str">
        <f t="shared" si="19"/>
        <v>Red</v>
      </c>
    </row>
    <row r="7" spans="1:30" x14ac:dyDescent="0.2">
      <c r="A7" t="str">
        <f t="shared" si="0"/>
        <v>20/07/2026Tartu JK Tammeka IIJK Tallinna Kalev II</v>
      </c>
      <c r="B7" t="s">
        <v>825</v>
      </c>
      <c r="C7" t="s">
        <v>833</v>
      </c>
      <c r="D7" s="2">
        <v>46223</v>
      </c>
      <c r="E7" s="3">
        <v>0.58333333333333337</v>
      </c>
      <c r="F7" t="s">
        <v>299</v>
      </c>
      <c r="G7" t="s">
        <v>298</v>
      </c>
      <c r="H7">
        <v>1</v>
      </c>
      <c r="I7">
        <v>3</v>
      </c>
      <c r="J7">
        <v>5</v>
      </c>
      <c r="K7">
        <v>4</v>
      </c>
      <c r="L7" s="22" t="str">
        <f t="shared" si="1"/>
        <v>20/07/2026</v>
      </c>
      <c r="M7" s="23">
        <f t="shared" si="2"/>
        <v>0.45833333333333337</v>
      </c>
      <c r="N7" t="str">
        <f t="shared" si="3"/>
        <v>5 - 4</v>
      </c>
      <c r="O7" t="str">
        <f t="shared" si="4"/>
        <v>Green</v>
      </c>
      <c r="P7" t="str">
        <f t="shared" si="5"/>
        <v>Red</v>
      </c>
      <c r="Q7" t="str">
        <f t="shared" si="6"/>
        <v>Red</v>
      </c>
      <c r="R7" t="str">
        <f t="shared" si="7"/>
        <v>Green</v>
      </c>
      <c r="S7" t="str">
        <f t="shared" si="8"/>
        <v>Red</v>
      </c>
      <c r="T7" t="str">
        <f t="shared" si="9"/>
        <v>Green</v>
      </c>
      <c r="U7" t="str">
        <f t="shared" si="10"/>
        <v>Red</v>
      </c>
      <c r="V7" t="str">
        <f t="shared" si="11"/>
        <v>Red</v>
      </c>
      <c r="W7" t="str">
        <f t="shared" si="12"/>
        <v>Green</v>
      </c>
      <c r="X7" t="str">
        <f t="shared" si="13"/>
        <v>Green</v>
      </c>
      <c r="Y7" t="str">
        <f t="shared" si="14"/>
        <v>Green</v>
      </c>
      <c r="Z7" t="str">
        <f t="shared" si="15"/>
        <v>Green</v>
      </c>
      <c r="AA7" t="str">
        <f t="shared" si="16"/>
        <v>Red</v>
      </c>
      <c r="AB7" t="str">
        <f t="shared" si="17"/>
        <v>Red</v>
      </c>
      <c r="AC7" t="str">
        <f t="shared" si="18"/>
        <v>Green</v>
      </c>
      <c r="AD7" t="str">
        <f t="shared" si="19"/>
        <v>Red</v>
      </c>
    </row>
    <row r="8" spans="1:30" x14ac:dyDescent="0.2">
      <c r="A8" t="str">
        <f t="shared" si="0"/>
        <v>20/07/2026JwayaAl Ahed</v>
      </c>
      <c r="B8" t="s">
        <v>843</v>
      </c>
      <c r="C8" t="s">
        <v>838</v>
      </c>
      <c r="D8" s="2">
        <v>46223</v>
      </c>
      <c r="E8" s="3">
        <v>0.60416666666666663</v>
      </c>
      <c r="F8" t="s">
        <v>287</v>
      </c>
      <c r="G8" t="s">
        <v>286</v>
      </c>
      <c r="H8">
        <v>0</v>
      </c>
      <c r="I8">
        <v>0</v>
      </c>
      <c r="J8">
        <v>2</v>
      </c>
      <c r="K8">
        <v>0</v>
      </c>
      <c r="L8" s="22" t="str">
        <f t="shared" si="1"/>
        <v>20/07/2026</v>
      </c>
      <c r="M8" s="23">
        <f t="shared" si="2"/>
        <v>0.47916666666666663</v>
      </c>
      <c r="N8" t="str">
        <f t="shared" si="3"/>
        <v>2 - 0</v>
      </c>
      <c r="O8" t="str">
        <f t="shared" si="4"/>
        <v>Green</v>
      </c>
      <c r="P8" t="str">
        <f t="shared" si="5"/>
        <v>Red</v>
      </c>
      <c r="Q8" t="str">
        <f t="shared" si="6"/>
        <v>Red</v>
      </c>
      <c r="R8" t="str">
        <f t="shared" si="7"/>
        <v>Green</v>
      </c>
      <c r="S8" t="str">
        <f t="shared" si="8"/>
        <v>Red</v>
      </c>
      <c r="T8" t="str">
        <f t="shared" si="9"/>
        <v>Green</v>
      </c>
      <c r="U8" t="str">
        <f t="shared" si="10"/>
        <v>Red</v>
      </c>
      <c r="V8" t="str">
        <f t="shared" si="11"/>
        <v>Green</v>
      </c>
      <c r="W8" t="str">
        <f t="shared" si="12"/>
        <v>Red</v>
      </c>
      <c r="X8" t="str">
        <f t="shared" si="13"/>
        <v>Red</v>
      </c>
      <c r="Y8" t="str">
        <f t="shared" si="14"/>
        <v>Green</v>
      </c>
      <c r="Z8" t="str">
        <f t="shared" si="15"/>
        <v>Red</v>
      </c>
      <c r="AA8" t="str">
        <f t="shared" si="16"/>
        <v>Green</v>
      </c>
      <c r="AB8" t="str">
        <f t="shared" si="17"/>
        <v>Green</v>
      </c>
      <c r="AC8" t="str">
        <f t="shared" si="18"/>
        <v>Red</v>
      </c>
      <c r="AD8" t="str">
        <f t="shared" si="19"/>
        <v>Green</v>
      </c>
    </row>
    <row r="9" spans="1:30" x14ac:dyDescent="0.2">
      <c r="A9" t="str">
        <f t="shared" si="0"/>
        <v>20/07/2026Turku PSIlves</v>
      </c>
      <c r="B9" t="s">
        <v>834</v>
      </c>
      <c r="C9" t="s">
        <v>835</v>
      </c>
      <c r="D9" s="2">
        <v>46223</v>
      </c>
      <c r="E9" s="3">
        <v>0.625</v>
      </c>
      <c r="F9" t="s">
        <v>297</v>
      </c>
      <c r="G9" t="s">
        <v>296</v>
      </c>
      <c r="H9">
        <v>1</v>
      </c>
      <c r="I9">
        <v>2</v>
      </c>
      <c r="J9">
        <v>1</v>
      </c>
      <c r="K9">
        <v>3</v>
      </c>
      <c r="L9" s="22" t="str">
        <f t="shared" si="1"/>
        <v>20/07/2026</v>
      </c>
      <c r="M9" s="23">
        <f t="shared" si="2"/>
        <v>0.5</v>
      </c>
      <c r="N9" t="str">
        <f t="shared" si="3"/>
        <v>1 - 3</v>
      </c>
      <c r="O9" t="str">
        <f t="shared" si="4"/>
        <v>Red</v>
      </c>
      <c r="P9" t="str">
        <f t="shared" si="5"/>
        <v>Red</v>
      </c>
      <c r="Q9" t="str">
        <f t="shared" si="6"/>
        <v>Green</v>
      </c>
      <c r="R9" t="str">
        <f t="shared" si="7"/>
        <v>Red</v>
      </c>
      <c r="S9" t="str">
        <f t="shared" si="8"/>
        <v>Green</v>
      </c>
      <c r="T9" t="str">
        <f t="shared" si="9"/>
        <v>Green</v>
      </c>
      <c r="U9" t="str">
        <f t="shared" si="10"/>
        <v>Red</v>
      </c>
      <c r="V9" t="str">
        <f t="shared" si="11"/>
        <v>Red</v>
      </c>
      <c r="W9" t="str">
        <f t="shared" si="12"/>
        <v>Green</v>
      </c>
      <c r="X9" t="str">
        <f t="shared" si="13"/>
        <v>Green</v>
      </c>
      <c r="Y9" t="str">
        <f t="shared" si="14"/>
        <v>Green</v>
      </c>
      <c r="Z9" t="str">
        <f t="shared" si="15"/>
        <v>Green</v>
      </c>
      <c r="AA9" t="str">
        <f t="shared" si="16"/>
        <v>Red</v>
      </c>
      <c r="AB9" t="str">
        <f t="shared" si="17"/>
        <v>Red</v>
      </c>
      <c r="AC9" t="str">
        <f t="shared" si="18"/>
        <v>Green</v>
      </c>
      <c r="AD9" t="str">
        <f t="shared" si="19"/>
        <v>Red</v>
      </c>
    </row>
    <row r="10" spans="1:30" x14ac:dyDescent="0.2">
      <c r="A10" t="str">
        <f t="shared" si="0"/>
        <v>20/07/2026JelgavaRigas Futbola Skola</v>
      </c>
      <c r="B10" t="s">
        <v>840</v>
      </c>
      <c r="C10" t="s">
        <v>841</v>
      </c>
      <c r="D10" s="2">
        <v>46223</v>
      </c>
      <c r="E10" s="3">
        <v>0.625</v>
      </c>
      <c r="F10" t="s">
        <v>291</v>
      </c>
      <c r="G10" t="s">
        <v>290</v>
      </c>
      <c r="H10">
        <v>0</v>
      </c>
      <c r="I10">
        <v>1</v>
      </c>
      <c r="J10">
        <v>0</v>
      </c>
      <c r="K10">
        <v>1</v>
      </c>
      <c r="L10" s="22" t="str">
        <f t="shared" si="1"/>
        <v>20/07/2026</v>
      </c>
      <c r="M10" s="23">
        <f t="shared" si="2"/>
        <v>0.5</v>
      </c>
      <c r="N10" t="str">
        <f t="shared" si="3"/>
        <v>0 - 1</v>
      </c>
      <c r="O10" t="str">
        <f t="shared" si="4"/>
        <v>Red</v>
      </c>
      <c r="P10" t="str">
        <f t="shared" si="5"/>
        <v>Red</v>
      </c>
      <c r="Q10" t="str">
        <f t="shared" si="6"/>
        <v>Green</v>
      </c>
      <c r="R10" t="str">
        <f t="shared" si="7"/>
        <v>Red</v>
      </c>
      <c r="S10" t="str">
        <f t="shared" si="8"/>
        <v>Green</v>
      </c>
      <c r="T10" t="str">
        <f t="shared" si="9"/>
        <v>Green</v>
      </c>
      <c r="U10" t="str">
        <f t="shared" si="10"/>
        <v>Red</v>
      </c>
      <c r="V10" t="str">
        <f t="shared" si="11"/>
        <v>Red</v>
      </c>
      <c r="W10" t="str">
        <f t="shared" si="12"/>
        <v>Green</v>
      </c>
      <c r="X10" t="str">
        <f t="shared" si="13"/>
        <v>Green</v>
      </c>
      <c r="Y10" t="str">
        <f t="shared" si="14"/>
        <v>Red</v>
      </c>
      <c r="Z10" t="str">
        <f t="shared" si="15"/>
        <v>Red</v>
      </c>
      <c r="AA10" t="str">
        <f t="shared" si="16"/>
        <v>Green</v>
      </c>
      <c r="AB10" t="str">
        <f t="shared" si="17"/>
        <v>Green</v>
      </c>
      <c r="AC10" t="str">
        <f t="shared" si="18"/>
        <v>Red</v>
      </c>
      <c r="AD10" t="str">
        <f t="shared" si="19"/>
        <v>Green</v>
      </c>
    </row>
    <row r="11" spans="1:30" x14ac:dyDescent="0.2">
      <c r="A11" t="str">
        <f t="shared" si="0"/>
        <v>20/07/2026FK Transinvest IINeptunas Klaipeda</v>
      </c>
      <c r="B11" t="s">
        <v>844</v>
      </c>
      <c r="C11" t="s">
        <v>846</v>
      </c>
      <c r="D11" s="2">
        <v>46223</v>
      </c>
      <c r="E11" s="3">
        <v>0.625</v>
      </c>
      <c r="F11" t="s">
        <v>247</v>
      </c>
      <c r="G11" t="s">
        <v>282</v>
      </c>
      <c r="H11">
        <v>1</v>
      </c>
      <c r="I11">
        <v>1</v>
      </c>
      <c r="J11">
        <v>2</v>
      </c>
      <c r="K11">
        <v>2</v>
      </c>
      <c r="L11" s="22" t="str">
        <f t="shared" si="1"/>
        <v>20/07/2026</v>
      </c>
      <c r="M11" s="23">
        <f t="shared" si="2"/>
        <v>0.5</v>
      </c>
      <c r="N11" t="str">
        <f t="shared" si="3"/>
        <v>2 - 2</v>
      </c>
      <c r="O11" t="str">
        <f t="shared" si="4"/>
        <v>Red</v>
      </c>
      <c r="P11" t="str">
        <f t="shared" si="5"/>
        <v>Green</v>
      </c>
      <c r="Q11" t="str">
        <f t="shared" si="6"/>
        <v>Red</v>
      </c>
      <c r="R11" t="str">
        <f t="shared" si="7"/>
        <v>Green</v>
      </c>
      <c r="S11" t="str">
        <f t="shared" si="8"/>
        <v>Green</v>
      </c>
      <c r="T11" t="str">
        <f t="shared" si="9"/>
        <v>Red</v>
      </c>
      <c r="U11" t="str">
        <f t="shared" si="10"/>
        <v>Red</v>
      </c>
      <c r="V11" t="str">
        <f t="shared" si="11"/>
        <v>Green</v>
      </c>
      <c r="W11" t="str">
        <f t="shared" si="12"/>
        <v>Red</v>
      </c>
      <c r="X11" t="str">
        <f t="shared" si="13"/>
        <v>Green</v>
      </c>
      <c r="Y11" t="str">
        <f t="shared" si="14"/>
        <v>Green</v>
      </c>
      <c r="Z11" t="str">
        <f t="shared" si="15"/>
        <v>Green</v>
      </c>
      <c r="AA11" t="str">
        <f t="shared" si="16"/>
        <v>Red</v>
      </c>
      <c r="AB11" t="str">
        <f t="shared" si="17"/>
        <v>Red</v>
      </c>
      <c r="AC11" t="str">
        <f t="shared" si="18"/>
        <v>Green</v>
      </c>
      <c r="AD11" t="str">
        <f t="shared" si="19"/>
        <v>Red</v>
      </c>
    </row>
    <row r="12" spans="1:30" x14ac:dyDescent="0.2">
      <c r="A12" t="str">
        <f t="shared" si="0"/>
        <v>20/07/2026KPV KokkolaRovaniemi PS</v>
      </c>
      <c r="B12" t="s">
        <v>834</v>
      </c>
      <c r="C12" t="s">
        <v>836</v>
      </c>
      <c r="D12" s="2">
        <v>46223</v>
      </c>
      <c r="E12" s="3">
        <v>0.64583333333333337</v>
      </c>
      <c r="F12" t="s">
        <v>295</v>
      </c>
      <c r="G12" t="s">
        <v>294</v>
      </c>
      <c r="H12">
        <v>1</v>
      </c>
      <c r="I12">
        <v>0</v>
      </c>
      <c r="J12">
        <v>1</v>
      </c>
      <c r="K12">
        <v>1</v>
      </c>
      <c r="L12" s="22" t="str">
        <f t="shared" si="1"/>
        <v>20/07/2026</v>
      </c>
      <c r="M12" s="23">
        <f t="shared" si="2"/>
        <v>0.52083333333333337</v>
      </c>
      <c r="N12" t="str">
        <f t="shared" si="3"/>
        <v>1 - 1</v>
      </c>
      <c r="O12" t="str">
        <f t="shared" si="4"/>
        <v>Red</v>
      </c>
      <c r="P12" t="str">
        <f t="shared" si="5"/>
        <v>Green</v>
      </c>
      <c r="Q12" t="str">
        <f t="shared" si="6"/>
        <v>Red</v>
      </c>
      <c r="R12" t="str">
        <f t="shared" si="7"/>
        <v>Green</v>
      </c>
      <c r="S12" t="str">
        <f t="shared" si="8"/>
        <v>Green</v>
      </c>
      <c r="T12" t="str">
        <f t="shared" si="9"/>
        <v>Red</v>
      </c>
      <c r="U12" t="str">
        <f t="shared" si="10"/>
        <v>Green</v>
      </c>
      <c r="V12" t="str">
        <f t="shared" si="11"/>
        <v>Red</v>
      </c>
      <c r="W12" t="str">
        <f t="shared" si="12"/>
        <v>Red</v>
      </c>
      <c r="X12" t="str">
        <f t="shared" si="13"/>
        <v>Green</v>
      </c>
      <c r="Y12" t="str">
        <f t="shared" si="14"/>
        <v>Green</v>
      </c>
      <c r="Z12" t="str">
        <f t="shared" si="15"/>
        <v>Red</v>
      </c>
      <c r="AA12" t="str">
        <f t="shared" si="16"/>
        <v>Green</v>
      </c>
      <c r="AB12" t="str">
        <f t="shared" si="17"/>
        <v>Green</v>
      </c>
      <c r="AC12" t="str">
        <f t="shared" si="18"/>
        <v>Green</v>
      </c>
      <c r="AD12" t="str">
        <f t="shared" si="19"/>
        <v>Red</v>
      </c>
    </row>
    <row r="13" spans="1:30" x14ac:dyDescent="0.2">
      <c r="A13" t="str">
        <f t="shared" si="0"/>
        <v>20/07/2026HunedoaraCsikszereda Miercurea Ciuc</v>
      </c>
      <c r="B13" t="s">
        <v>851</v>
      </c>
      <c r="C13" t="s">
        <v>852</v>
      </c>
      <c r="D13" s="2">
        <v>46223</v>
      </c>
      <c r="E13" s="3">
        <v>0.64583333333333337</v>
      </c>
      <c r="F13" t="s">
        <v>275</v>
      </c>
      <c r="G13" t="s">
        <v>274</v>
      </c>
      <c r="H13">
        <v>0</v>
      </c>
      <c r="I13">
        <v>0</v>
      </c>
      <c r="J13">
        <v>3</v>
      </c>
      <c r="K13">
        <v>0</v>
      </c>
      <c r="L13" s="22" t="str">
        <f t="shared" si="1"/>
        <v>20/07/2026</v>
      </c>
      <c r="M13" s="23">
        <f t="shared" si="2"/>
        <v>0.52083333333333337</v>
      </c>
      <c r="N13" t="str">
        <f t="shared" si="3"/>
        <v>3 - 0</v>
      </c>
      <c r="O13" t="str">
        <f t="shared" si="4"/>
        <v>Green</v>
      </c>
      <c r="P13" t="str">
        <f t="shared" si="5"/>
        <v>Red</v>
      </c>
      <c r="Q13" t="str">
        <f t="shared" si="6"/>
        <v>Red</v>
      </c>
      <c r="R13" t="str">
        <f t="shared" si="7"/>
        <v>Green</v>
      </c>
      <c r="S13" t="str">
        <f t="shared" si="8"/>
        <v>Red</v>
      </c>
      <c r="T13" t="str">
        <f t="shared" si="9"/>
        <v>Green</v>
      </c>
      <c r="U13" t="str">
        <f t="shared" si="10"/>
        <v>Red</v>
      </c>
      <c r="V13" t="str">
        <f t="shared" si="11"/>
        <v>Green</v>
      </c>
      <c r="W13" t="str">
        <f t="shared" si="12"/>
        <v>Red</v>
      </c>
      <c r="X13" t="str">
        <f t="shared" si="13"/>
        <v>Red</v>
      </c>
      <c r="Y13" t="str">
        <f t="shared" si="14"/>
        <v>Green</v>
      </c>
      <c r="Z13" t="str">
        <f t="shared" si="15"/>
        <v>Green</v>
      </c>
      <c r="AA13" t="str">
        <f t="shared" si="16"/>
        <v>Red</v>
      </c>
      <c r="AB13" t="str">
        <f t="shared" si="17"/>
        <v>Green</v>
      </c>
      <c r="AC13" t="str">
        <f t="shared" si="18"/>
        <v>Red</v>
      </c>
      <c r="AD13" t="str">
        <f t="shared" si="19"/>
        <v>Green</v>
      </c>
    </row>
    <row r="14" spans="1:30" x14ac:dyDescent="0.2">
      <c r="A14" t="str">
        <f t="shared" si="0"/>
        <v>20/07/2026FK Suduva MarijampoleHegelmann Litauen</v>
      </c>
      <c r="B14" t="s">
        <v>844</v>
      </c>
      <c r="C14" t="s">
        <v>845</v>
      </c>
      <c r="D14" s="2">
        <v>46223</v>
      </c>
      <c r="E14" s="3">
        <v>0.65625</v>
      </c>
      <c r="F14" t="s">
        <v>283</v>
      </c>
      <c r="G14" t="s">
        <v>144</v>
      </c>
      <c r="H14">
        <v>3</v>
      </c>
      <c r="I14">
        <v>0</v>
      </c>
      <c r="J14">
        <v>5</v>
      </c>
      <c r="K14">
        <v>1</v>
      </c>
      <c r="L14" s="22" t="str">
        <f t="shared" si="1"/>
        <v>20/07/2026</v>
      </c>
      <c r="M14" s="23">
        <f t="shared" si="2"/>
        <v>0.53125</v>
      </c>
      <c r="N14" t="str">
        <f t="shared" si="3"/>
        <v>5 - 1</v>
      </c>
      <c r="O14" t="str">
        <f t="shared" si="4"/>
        <v>Green</v>
      </c>
      <c r="P14" t="str">
        <f t="shared" si="5"/>
        <v>Red</v>
      </c>
      <c r="Q14" t="str">
        <f t="shared" si="6"/>
        <v>Red</v>
      </c>
      <c r="R14" t="str">
        <f t="shared" si="7"/>
        <v>Green</v>
      </c>
      <c r="S14" t="str">
        <f t="shared" si="8"/>
        <v>Red</v>
      </c>
      <c r="T14" t="str">
        <f t="shared" si="9"/>
        <v>Green</v>
      </c>
      <c r="U14" t="str">
        <f t="shared" si="10"/>
        <v>Green</v>
      </c>
      <c r="V14" t="str">
        <f t="shared" si="11"/>
        <v>Red</v>
      </c>
      <c r="W14" t="str">
        <f t="shared" si="12"/>
        <v>Red</v>
      </c>
      <c r="X14" t="str">
        <f t="shared" si="13"/>
        <v>Green</v>
      </c>
      <c r="Y14" t="str">
        <f t="shared" si="14"/>
        <v>Green</v>
      </c>
      <c r="Z14" t="str">
        <f t="shared" si="15"/>
        <v>Green</v>
      </c>
      <c r="AA14" t="str">
        <f t="shared" si="16"/>
        <v>Red</v>
      </c>
      <c r="AB14" t="str">
        <f t="shared" si="17"/>
        <v>Red</v>
      </c>
      <c r="AC14" t="str">
        <f t="shared" si="18"/>
        <v>Green</v>
      </c>
      <c r="AD14" t="str">
        <f t="shared" si="19"/>
        <v>Red</v>
      </c>
    </row>
    <row r="15" spans="1:30" x14ac:dyDescent="0.2">
      <c r="A15" t="str">
        <f t="shared" si="0"/>
        <v>20/07/2026IFK MariehamnFC Lahti</v>
      </c>
      <c r="B15" t="s">
        <v>834</v>
      </c>
      <c r="C15" t="s">
        <v>835</v>
      </c>
      <c r="D15" s="2">
        <v>46223</v>
      </c>
      <c r="E15" s="3">
        <v>0.66666666666666663</v>
      </c>
      <c r="F15" t="s">
        <v>250</v>
      </c>
      <c r="G15" t="s">
        <v>251</v>
      </c>
      <c r="H15">
        <v>0</v>
      </c>
      <c r="I15">
        <v>1</v>
      </c>
      <c r="J15">
        <v>0</v>
      </c>
      <c r="K15">
        <v>2</v>
      </c>
      <c r="L15" s="22" t="str">
        <f t="shared" si="1"/>
        <v>20/07/2026</v>
      </c>
      <c r="M15" s="23">
        <f t="shared" si="2"/>
        <v>0.54166666666666663</v>
      </c>
      <c r="N15" t="str">
        <f t="shared" si="3"/>
        <v>0 - 2</v>
      </c>
      <c r="O15" t="str">
        <f t="shared" si="4"/>
        <v>Red</v>
      </c>
      <c r="P15" t="str">
        <f t="shared" si="5"/>
        <v>Red</v>
      </c>
      <c r="Q15" t="str">
        <f t="shared" si="6"/>
        <v>Green</v>
      </c>
      <c r="R15" t="str">
        <f t="shared" si="7"/>
        <v>Red</v>
      </c>
      <c r="S15" t="str">
        <f t="shared" si="8"/>
        <v>Green</v>
      </c>
      <c r="T15" t="str">
        <f t="shared" si="9"/>
        <v>Green</v>
      </c>
      <c r="U15" t="str">
        <f t="shared" si="10"/>
        <v>Red</v>
      </c>
      <c r="V15" t="str">
        <f t="shared" si="11"/>
        <v>Red</v>
      </c>
      <c r="W15" t="str">
        <f t="shared" si="12"/>
        <v>Green</v>
      </c>
      <c r="X15" t="str">
        <f t="shared" si="13"/>
        <v>Green</v>
      </c>
      <c r="Y15" t="str">
        <f t="shared" si="14"/>
        <v>Green</v>
      </c>
      <c r="Z15" t="str">
        <f t="shared" si="15"/>
        <v>Red</v>
      </c>
      <c r="AA15" t="str">
        <f t="shared" si="16"/>
        <v>Green</v>
      </c>
      <c r="AB15" t="str">
        <f t="shared" si="17"/>
        <v>Green</v>
      </c>
      <c r="AC15" t="str">
        <f t="shared" si="18"/>
        <v>Red</v>
      </c>
      <c r="AD15" t="str">
        <f t="shared" si="19"/>
        <v>Green</v>
      </c>
    </row>
    <row r="16" spans="1:30" x14ac:dyDescent="0.2">
      <c r="A16" t="str">
        <f t="shared" si="0"/>
        <v>20/07/2026SK Super NovaSC Grobinas</v>
      </c>
      <c r="B16" t="s">
        <v>840</v>
      </c>
      <c r="C16" t="s">
        <v>841</v>
      </c>
      <c r="D16" s="2">
        <v>46223</v>
      </c>
      <c r="E16" s="3">
        <v>0.66666666666666663</v>
      </c>
      <c r="F16" t="s">
        <v>252</v>
      </c>
      <c r="G16" t="s">
        <v>253</v>
      </c>
      <c r="H16">
        <v>0</v>
      </c>
      <c r="I16">
        <v>0</v>
      </c>
      <c r="J16">
        <v>2</v>
      </c>
      <c r="K16">
        <v>0</v>
      </c>
      <c r="L16" s="22" t="str">
        <f t="shared" si="1"/>
        <v>20/07/2026</v>
      </c>
      <c r="M16" s="23">
        <f t="shared" si="2"/>
        <v>0.54166666666666663</v>
      </c>
      <c r="N16" t="str">
        <f t="shared" si="3"/>
        <v>2 - 0</v>
      </c>
      <c r="O16" t="str">
        <f t="shared" si="4"/>
        <v>Green</v>
      </c>
      <c r="P16" t="str">
        <f t="shared" si="5"/>
        <v>Red</v>
      </c>
      <c r="Q16" t="str">
        <f t="shared" si="6"/>
        <v>Red</v>
      </c>
      <c r="R16" t="str">
        <f t="shared" si="7"/>
        <v>Green</v>
      </c>
      <c r="S16" t="str">
        <f t="shared" si="8"/>
        <v>Red</v>
      </c>
      <c r="T16" t="str">
        <f t="shared" si="9"/>
        <v>Green</v>
      </c>
      <c r="U16" t="str">
        <f t="shared" si="10"/>
        <v>Red</v>
      </c>
      <c r="V16" t="str">
        <f t="shared" si="11"/>
        <v>Green</v>
      </c>
      <c r="W16" t="str">
        <f t="shared" si="12"/>
        <v>Red</v>
      </c>
      <c r="X16" t="str">
        <f t="shared" si="13"/>
        <v>Red</v>
      </c>
      <c r="Y16" t="str">
        <f t="shared" si="14"/>
        <v>Green</v>
      </c>
      <c r="Z16" t="str">
        <f t="shared" si="15"/>
        <v>Red</v>
      </c>
      <c r="AA16" t="str">
        <f t="shared" si="16"/>
        <v>Green</v>
      </c>
      <c r="AB16" t="str">
        <f t="shared" si="17"/>
        <v>Green</v>
      </c>
      <c r="AC16" t="str">
        <f t="shared" si="18"/>
        <v>Red</v>
      </c>
      <c r="AD16" t="str">
        <f t="shared" si="19"/>
        <v>Green</v>
      </c>
    </row>
    <row r="17" spans="1:30" x14ac:dyDescent="0.2">
      <c r="A17" t="str">
        <f t="shared" si="0"/>
        <v>20/07/2026FK Tukums 2000 IIRigas Futbola Skola II</v>
      </c>
      <c r="B17" t="s">
        <v>840</v>
      </c>
      <c r="C17" t="s">
        <v>842</v>
      </c>
      <c r="D17" s="2">
        <v>46223</v>
      </c>
      <c r="E17" s="3">
        <v>0.66666666666666663</v>
      </c>
      <c r="F17" t="s">
        <v>289</v>
      </c>
      <c r="G17" t="s">
        <v>288</v>
      </c>
      <c r="H17">
        <v>0</v>
      </c>
      <c r="I17">
        <v>0</v>
      </c>
      <c r="J17">
        <v>2</v>
      </c>
      <c r="K17">
        <v>0</v>
      </c>
      <c r="L17" s="22" t="str">
        <f t="shared" si="1"/>
        <v>20/07/2026</v>
      </c>
      <c r="M17" s="23">
        <f t="shared" si="2"/>
        <v>0.54166666666666663</v>
      </c>
      <c r="N17" t="str">
        <f t="shared" si="3"/>
        <v>2 - 0</v>
      </c>
      <c r="O17" t="str">
        <f t="shared" si="4"/>
        <v>Green</v>
      </c>
      <c r="P17" t="str">
        <f t="shared" si="5"/>
        <v>Red</v>
      </c>
      <c r="Q17" t="str">
        <f t="shared" si="6"/>
        <v>Red</v>
      </c>
      <c r="R17" t="str">
        <f t="shared" si="7"/>
        <v>Green</v>
      </c>
      <c r="S17" t="str">
        <f t="shared" si="8"/>
        <v>Red</v>
      </c>
      <c r="T17" t="str">
        <f t="shared" si="9"/>
        <v>Green</v>
      </c>
      <c r="U17" t="str">
        <f t="shared" si="10"/>
        <v>Red</v>
      </c>
      <c r="V17" t="str">
        <f t="shared" si="11"/>
        <v>Green</v>
      </c>
      <c r="W17" t="str">
        <f t="shared" si="12"/>
        <v>Red</v>
      </c>
      <c r="X17" t="str">
        <f t="shared" si="13"/>
        <v>Red</v>
      </c>
      <c r="Y17" t="str">
        <f t="shared" si="14"/>
        <v>Green</v>
      </c>
      <c r="Z17" t="str">
        <f t="shared" si="15"/>
        <v>Red</v>
      </c>
      <c r="AA17" t="str">
        <f t="shared" si="16"/>
        <v>Green</v>
      </c>
      <c r="AB17" t="str">
        <f t="shared" si="17"/>
        <v>Green</v>
      </c>
      <c r="AC17" t="str">
        <f t="shared" si="18"/>
        <v>Red</v>
      </c>
      <c r="AD17" t="str">
        <f t="shared" si="19"/>
        <v>Green</v>
      </c>
    </row>
    <row r="18" spans="1:30" x14ac:dyDescent="0.2">
      <c r="A18" t="str">
        <f t="shared" si="0"/>
        <v>20/07/2026Molinos El PirataDeportivo San Martin</v>
      </c>
      <c r="B18" t="s">
        <v>849</v>
      </c>
      <c r="C18" t="s">
        <v>850</v>
      </c>
      <c r="D18" s="2">
        <v>46223</v>
      </c>
      <c r="E18" s="3">
        <v>0.66666666666666663</v>
      </c>
      <c r="F18" t="s">
        <v>277</v>
      </c>
      <c r="G18" t="s">
        <v>276</v>
      </c>
      <c r="H18">
        <v>1</v>
      </c>
      <c r="I18">
        <v>2</v>
      </c>
      <c r="J18">
        <v>3</v>
      </c>
      <c r="K18">
        <v>2</v>
      </c>
      <c r="L18" s="22" t="str">
        <f t="shared" si="1"/>
        <v>20/07/2026</v>
      </c>
      <c r="M18" s="23">
        <f t="shared" si="2"/>
        <v>0.54166666666666663</v>
      </c>
      <c r="N18" t="str">
        <f t="shared" si="3"/>
        <v>3 - 2</v>
      </c>
      <c r="O18" t="str">
        <f t="shared" si="4"/>
        <v>Green</v>
      </c>
      <c r="P18" t="str">
        <f t="shared" si="5"/>
        <v>Red</v>
      </c>
      <c r="Q18" t="str">
        <f t="shared" si="6"/>
        <v>Red</v>
      </c>
      <c r="R18" t="str">
        <f t="shared" si="7"/>
        <v>Green</v>
      </c>
      <c r="S18" t="str">
        <f t="shared" si="8"/>
        <v>Red</v>
      </c>
      <c r="T18" t="str">
        <f t="shared" si="9"/>
        <v>Green</v>
      </c>
      <c r="U18" t="str">
        <f t="shared" si="10"/>
        <v>Red</v>
      </c>
      <c r="V18" t="str">
        <f t="shared" si="11"/>
        <v>Red</v>
      </c>
      <c r="W18" t="str">
        <f t="shared" si="12"/>
        <v>Green</v>
      </c>
      <c r="X18" t="str">
        <f t="shared" si="13"/>
        <v>Green</v>
      </c>
      <c r="Y18" t="str">
        <f t="shared" si="14"/>
        <v>Green</v>
      </c>
      <c r="Z18" t="str">
        <f t="shared" si="15"/>
        <v>Green</v>
      </c>
      <c r="AA18" t="str">
        <f t="shared" si="16"/>
        <v>Red</v>
      </c>
      <c r="AB18" t="str">
        <f t="shared" si="17"/>
        <v>Red</v>
      </c>
      <c r="AC18" t="str">
        <f t="shared" si="18"/>
        <v>Green</v>
      </c>
      <c r="AD18" t="str">
        <f t="shared" si="19"/>
        <v>Red</v>
      </c>
    </row>
    <row r="19" spans="1:30" x14ac:dyDescent="0.2">
      <c r="A19" t="str">
        <f t="shared" si="0"/>
        <v>20/07/2026ATUS VeldenWolfsberger AC</v>
      </c>
      <c r="D19" s="2">
        <v>46223</v>
      </c>
      <c r="E19" s="3">
        <v>0.66666666666666663</v>
      </c>
      <c r="F19" t="s">
        <v>1296</v>
      </c>
      <c r="G19" t="s">
        <v>1297</v>
      </c>
      <c r="H19">
        <v>0</v>
      </c>
      <c r="I19">
        <v>2</v>
      </c>
      <c r="J19">
        <v>0</v>
      </c>
      <c r="K19">
        <v>4</v>
      </c>
      <c r="L19" s="22" t="str">
        <f t="shared" si="1"/>
        <v>20/07/2026</v>
      </c>
      <c r="M19" s="23">
        <f t="shared" si="2"/>
        <v>0.54166666666666663</v>
      </c>
      <c r="N19" t="str">
        <f t="shared" si="3"/>
        <v>0 - 4</v>
      </c>
      <c r="O19" t="str">
        <f t="shared" si="4"/>
        <v>Red</v>
      </c>
      <c r="P19" t="str">
        <f t="shared" si="5"/>
        <v>Red</v>
      </c>
      <c r="Q19" t="str">
        <f t="shared" si="6"/>
        <v>Green</v>
      </c>
      <c r="R19" t="str">
        <f t="shared" si="7"/>
        <v>Red</v>
      </c>
      <c r="S19" t="str">
        <f t="shared" si="8"/>
        <v>Green</v>
      </c>
      <c r="T19" t="str">
        <f t="shared" si="9"/>
        <v>Green</v>
      </c>
      <c r="U19" t="str">
        <f t="shared" si="10"/>
        <v>Red</v>
      </c>
      <c r="V19" t="str">
        <f t="shared" si="11"/>
        <v>Red</v>
      </c>
      <c r="W19" t="str">
        <f t="shared" si="12"/>
        <v>Green</v>
      </c>
      <c r="X19" t="str">
        <f t="shared" si="13"/>
        <v>Green</v>
      </c>
      <c r="Y19" t="str">
        <f t="shared" si="14"/>
        <v>Green</v>
      </c>
      <c r="Z19" t="str">
        <f t="shared" si="15"/>
        <v>Green</v>
      </c>
      <c r="AA19" t="str">
        <f t="shared" si="16"/>
        <v>Red</v>
      </c>
      <c r="AB19" t="str">
        <f t="shared" si="17"/>
        <v>Red</v>
      </c>
      <c r="AC19" t="str">
        <f t="shared" si="18"/>
        <v>Red</v>
      </c>
      <c r="AD19" t="str">
        <f t="shared" si="19"/>
        <v>Green</v>
      </c>
    </row>
    <row r="20" spans="1:30" x14ac:dyDescent="0.2">
      <c r="A20" t="str">
        <f t="shared" si="0"/>
        <v>20/07/2026LazioLazio U20</v>
      </c>
      <c r="D20" s="2">
        <v>46223</v>
      </c>
      <c r="E20" s="3">
        <v>0.66666666666666663</v>
      </c>
      <c r="F20" t="s">
        <v>1298</v>
      </c>
      <c r="G20" t="s">
        <v>1299</v>
      </c>
      <c r="H20">
        <v>0</v>
      </c>
      <c r="I20">
        <v>1</v>
      </c>
      <c r="J20">
        <v>3</v>
      </c>
      <c r="K20">
        <v>1</v>
      </c>
      <c r="L20" s="22" t="str">
        <f t="shared" si="1"/>
        <v>20/07/2026</v>
      </c>
      <c r="M20" s="23">
        <f t="shared" si="2"/>
        <v>0.54166666666666663</v>
      </c>
      <c r="N20" t="str">
        <f t="shared" si="3"/>
        <v>3 - 1</v>
      </c>
      <c r="O20" t="str">
        <f t="shared" si="4"/>
        <v>Green</v>
      </c>
      <c r="P20" t="str">
        <f t="shared" si="5"/>
        <v>Red</v>
      </c>
      <c r="Q20" t="str">
        <f t="shared" si="6"/>
        <v>Red</v>
      </c>
      <c r="R20" t="str">
        <f t="shared" si="7"/>
        <v>Green</v>
      </c>
      <c r="S20" t="str">
        <f t="shared" si="8"/>
        <v>Red</v>
      </c>
      <c r="T20" t="str">
        <f t="shared" si="9"/>
        <v>Green</v>
      </c>
      <c r="U20" t="str">
        <f t="shared" si="10"/>
        <v>Red</v>
      </c>
      <c r="V20" t="str">
        <f t="shared" si="11"/>
        <v>Red</v>
      </c>
      <c r="W20" t="str">
        <f t="shared" si="12"/>
        <v>Green</v>
      </c>
      <c r="X20" t="str">
        <f t="shared" si="13"/>
        <v>Green</v>
      </c>
      <c r="Y20" t="str">
        <f t="shared" si="14"/>
        <v>Green</v>
      </c>
      <c r="Z20" t="str">
        <f t="shared" si="15"/>
        <v>Green</v>
      </c>
      <c r="AA20" t="str">
        <f t="shared" si="16"/>
        <v>Red</v>
      </c>
      <c r="AB20" t="str">
        <f t="shared" si="17"/>
        <v>Red</v>
      </c>
      <c r="AC20" t="str">
        <f t="shared" si="18"/>
        <v>Green</v>
      </c>
      <c r="AD20" t="str">
        <f t="shared" si="19"/>
        <v>Red</v>
      </c>
    </row>
    <row r="21" spans="1:30" x14ac:dyDescent="0.2">
      <c r="A21" t="str">
        <f t="shared" si="0"/>
        <v>20/07/2026SlaviaCSKA</v>
      </c>
      <c r="B21" t="s">
        <v>831</v>
      </c>
      <c r="C21" t="s">
        <v>832</v>
      </c>
      <c r="D21" s="2">
        <v>46223</v>
      </c>
      <c r="E21" s="3">
        <v>0.67708333333333337</v>
      </c>
      <c r="F21" t="s">
        <v>304</v>
      </c>
      <c r="G21" t="s">
        <v>303</v>
      </c>
      <c r="H21">
        <v>0</v>
      </c>
      <c r="I21">
        <v>0</v>
      </c>
      <c r="J21">
        <v>0</v>
      </c>
      <c r="K21">
        <v>0</v>
      </c>
      <c r="L21" s="22" t="str">
        <f t="shared" si="1"/>
        <v>20/07/2026</v>
      </c>
      <c r="M21" s="23">
        <f t="shared" si="2"/>
        <v>0.55208333333333337</v>
      </c>
      <c r="N21" t="str">
        <f t="shared" si="3"/>
        <v>0 - 0</v>
      </c>
      <c r="O21" t="str">
        <f t="shared" si="4"/>
        <v>Red</v>
      </c>
      <c r="P21" t="str">
        <f t="shared" si="5"/>
        <v>Green</v>
      </c>
      <c r="Q21" t="str">
        <f t="shared" si="6"/>
        <v>Red</v>
      </c>
      <c r="R21" t="str">
        <f t="shared" si="7"/>
        <v>Green</v>
      </c>
      <c r="S21" t="str">
        <f t="shared" si="8"/>
        <v>Green</v>
      </c>
      <c r="T21" t="str">
        <f t="shared" si="9"/>
        <v>Red</v>
      </c>
      <c r="U21" t="str">
        <f t="shared" si="10"/>
        <v>Red</v>
      </c>
      <c r="V21" t="str">
        <f t="shared" si="11"/>
        <v>Green</v>
      </c>
      <c r="W21" t="str">
        <f t="shared" si="12"/>
        <v>Red</v>
      </c>
      <c r="X21" t="str">
        <f t="shared" si="13"/>
        <v>Red</v>
      </c>
      <c r="Y21" t="str">
        <f t="shared" si="14"/>
        <v>Red</v>
      </c>
      <c r="Z21" t="str">
        <f t="shared" si="15"/>
        <v>Red</v>
      </c>
      <c r="AA21" t="str">
        <f t="shared" si="16"/>
        <v>Green</v>
      </c>
      <c r="AB21" t="str">
        <f t="shared" si="17"/>
        <v>Green</v>
      </c>
      <c r="AC21" t="str">
        <f t="shared" si="18"/>
        <v>Red</v>
      </c>
      <c r="AD21" t="str">
        <f t="shared" si="19"/>
        <v>Green</v>
      </c>
    </row>
    <row r="22" spans="1:30" x14ac:dyDescent="0.2">
      <c r="A22" t="str">
        <f t="shared" si="0"/>
        <v>20/07/2026Rotor VolgogradEnergiya Khabarovsk</v>
      </c>
      <c r="B22" t="s">
        <v>853</v>
      </c>
      <c r="C22" t="s">
        <v>854</v>
      </c>
      <c r="D22" s="2">
        <v>46223</v>
      </c>
      <c r="E22" s="3">
        <v>0.6875</v>
      </c>
      <c r="F22" t="s">
        <v>271</v>
      </c>
      <c r="G22" t="s">
        <v>270</v>
      </c>
      <c r="H22">
        <v>0</v>
      </c>
      <c r="I22">
        <v>0</v>
      </c>
      <c r="J22">
        <v>1</v>
      </c>
      <c r="K22">
        <v>0</v>
      </c>
      <c r="L22" s="22" t="str">
        <f t="shared" si="1"/>
        <v>20/07/2026</v>
      </c>
      <c r="M22" s="23">
        <f t="shared" si="2"/>
        <v>0.5625</v>
      </c>
      <c r="N22" t="str">
        <f t="shared" si="3"/>
        <v>1 - 0</v>
      </c>
      <c r="O22" t="str">
        <f t="shared" si="4"/>
        <v>Green</v>
      </c>
      <c r="P22" t="str">
        <f t="shared" si="5"/>
        <v>Red</v>
      </c>
      <c r="Q22" t="str">
        <f t="shared" si="6"/>
        <v>Red</v>
      </c>
      <c r="R22" t="str">
        <f t="shared" si="7"/>
        <v>Green</v>
      </c>
      <c r="S22" t="str">
        <f t="shared" si="8"/>
        <v>Red</v>
      </c>
      <c r="T22" t="str">
        <f t="shared" si="9"/>
        <v>Green</v>
      </c>
      <c r="U22" t="str">
        <f t="shared" si="10"/>
        <v>Red</v>
      </c>
      <c r="V22" t="str">
        <f t="shared" si="11"/>
        <v>Green</v>
      </c>
      <c r="W22" t="str">
        <f t="shared" si="12"/>
        <v>Red</v>
      </c>
      <c r="X22" t="str">
        <f t="shared" si="13"/>
        <v>Red</v>
      </c>
      <c r="Y22" t="str">
        <f t="shared" si="14"/>
        <v>Red</v>
      </c>
      <c r="Z22" t="str">
        <f t="shared" si="15"/>
        <v>Red</v>
      </c>
      <c r="AA22" t="str">
        <f t="shared" si="16"/>
        <v>Green</v>
      </c>
      <c r="AB22" t="str">
        <f t="shared" si="17"/>
        <v>Green</v>
      </c>
      <c r="AC22" t="str">
        <f t="shared" si="18"/>
        <v>Red</v>
      </c>
      <c r="AD22" t="str">
        <f t="shared" si="19"/>
        <v>Green</v>
      </c>
    </row>
    <row r="23" spans="1:30" x14ac:dyDescent="0.2">
      <c r="A23" t="str">
        <f t="shared" si="0"/>
        <v>20/07/2026KalmarMalmo</v>
      </c>
      <c r="B23" t="s">
        <v>827</v>
      </c>
      <c r="C23" t="s">
        <v>828</v>
      </c>
      <c r="D23" s="2">
        <v>46223</v>
      </c>
      <c r="E23" s="3">
        <v>0.70833333333333337</v>
      </c>
      <c r="F23" t="s">
        <v>341</v>
      </c>
      <c r="G23" t="s">
        <v>340</v>
      </c>
      <c r="H23">
        <v>2</v>
      </c>
      <c r="I23">
        <v>1</v>
      </c>
      <c r="J23">
        <v>2</v>
      </c>
      <c r="K23">
        <v>2</v>
      </c>
      <c r="L23" s="22" t="str">
        <f t="shared" si="1"/>
        <v>20/07/2026</v>
      </c>
      <c r="M23" s="23">
        <f t="shared" si="2"/>
        <v>0.58333333333333337</v>
      </c>
      <c r="N23" t="str">
        <f t="shared" si="3"/>
        <v>2 - 2</v>
      </c>
      <c r="O23" t="str">
        <f t="shared" si="4"/>
        <v>Red</v>
      </c>
      <c r="P23" t="str">
        <f t="shared" si="5"/>
        <v>Green</v>
      </c>
      <c r="Q23" t="str">
        <f t="shared" si="6"/>
        <v>Red</v>
      </c>
      <c r="R23" t="str">
        <f t="shared" si="7"/>
        <v>Green</v>
      </c>
      <c r="S23" t="str">
        <f t="shared" si="8"/>
        <v>Green</v>
      </c>
      <c r="T23" t="str">
        <f t="shared" si="9"/>
        <v>Red</v>
      </c>
      <c r="U23" t="str">
        <f t="shared" si="10"/>
        <v>Green</v>
      </c>
      <c r="V23" t="str">
        <f t="shared" si="11"/>
        <v>Red</v>
      </c>
      <c r="W23" t="str">
        <f t="shared" si="12"/>
        <v>Red</v>
      </c>
      <c r="X23" t="str">
        <f t="shared" si="13"/>
        <v>Green</v>
      </c>
      <c r="Y23" t="str">
        <f t="shared" si="14"/>
        <v>Green</v>
      </c>
      <c r="Z23" t="str">
        <f t="shared" si="15"/>
        <v>Green</v>
      </c>
      <c r="AA23" t="str">
        <f t="shared" si="16"/>
        <v>Red</v>
      </c>
      <c r="AB23" t="str">
        <f t="shared" si="17"/>
        <v>Red</v>
      </c>
      <c r="AC23" t="str">
        <f t="shared" si="18"/>
        <v>Green</v>
      </c>
      <c r="AD23" t="str">
        <f t="shared" si="19"/>
        <v>Red</v>
      </c>
    </row>
    <row r="24" spans="1:30" x14ac:dyDescent="0.2">
      <c r="A24" t="str">
        <f t="shared" si="0"/>
        <v>20/07/2026Orgryte ISDjurgardens IF</v>
      </c>
      <c r="B24" t="s">
        <v>827</v>
      </c>
      <c r="C24" t="s">
        <v>828</v>
      </c>
      <c r="D24" s="2">
        <v>46223</v>
      </c>
      <c r="E24" s="3">
        <v>0.70833333333333337</v>
      </c>
      <c r="F24" t="s">
        <v>146</v>
      </c>
      <c r="G24" t="s">
        <v>258</v>
      </c>
      <c r="H24">
        <v>0</v>
      </c>
      <c r="I24">
        <v>0</v>
      </c>
      <c r="J24">
        <v>0</v>
      </c>
      <c r="K24">
        <v>0</v>
      </c>
      <c r="L24" s="22" t="str">
        <f t="shared" si="1"/>
        <v>20/07/2026</v>
      </c>
      <c r="M24" s="23">
        <f t="shared" si="2"/>
        <v>0.58333333333333337</v>
      </c>
      <c r="N24" t="str">
        <f t="shared" si="3"/>
        <v>0 - 0</v>
      </c>
      <c r="O24" t="str">
        <f t="shared" si="4"/>
        <v>Red</v>
      </c>
      <c r="P24" t="str">
        <f t="shared" si="5"/>
        <v>Green</v>
      </c>
      <c r="Q24" t="str">
        <f t="shared" si="6"/>
        <v>Red</v>
      </c>
      <c r="R24" t="str">
        <f t="shared" si="7"/>
        <v>Green</v>
      </c>
      <c r="S24" t="str">
        <f t="shared" si="8"/>
        <v>Green</v>
      </c>
      <c r="T24" t="str">
        <f t="shared" si="9"/>
        <v>Red</v>
      </c>
      <c r="U24" t="str">
        <f t="shared" si="10"/>
        <v>Red</v>
      </c>
      <c r="V24" t="str">
        <f t="shared" si="11"/>
        <v>Green</v>
      </c>
      <c r="W24" t="str">
        <f t="shared" si="12"/>
        <v>Red</v>
      </c>
      <c r="X24" t="str">
        <f t="shared" si="13"/>
        <v>Red</v>
      </c>
      <c r="Y24" t="str">
        <f t="shared" si="14"/>
        <v>Red</v>
      </c>
      <c r="Z24" t="str">
        <f t="shared" si="15"/>
        <v>Red</v>
      </c>
      <c r="AA24" t="str">
        <f t="shared" si="16"/>
        <v>Green</v>
      </c>
      <c r="AB24" t="str">
        <f t="shared" si="17"/>
        <v>Green</v>
      </c>
      <c r="AC24" t="str">
        <f t="shared" si="18"/>
        <v>Red</v>
      </c>
      <c r="AD24" t="str">
        <f t="shared" si="19"/>
        <v>Green</v>
      </c>
    </row>
    <row r="25" spans="1:30" x14ac:dyDescent="0.2">
      <c r="A25" t="str">
        <f t="shared" si="0"/>
        <v>20/07/2026NorrbySundsvall</v>
      </c>
      <c r="B25" t="s">
        <v>827</v>
      </c>
      <c r="C25" t="s">
        <v>855</v>
      </c>
      <c r="D25" s="2">
        <v>46223</v>
      </c>
      <c r="E25" s="3">
        <v>0.70833333333333337</v>
      </c>
      <c r="F25" t="s">
        <v>269</v>
      </c>
      <c r="G25" t="s">
        <v>268</v>
      </c>
      <c r="H25">
        <v>0</v>
      </c>
      <c r="I25">
        <v>0</v>
      </c>
      <c r="J25">
        <v>3</v>
      </c>
      <c r="K25">
        <v>1</v>
      </c>
      <c r="L25" s="22" t="str">
        <f t="shared" si="1"/>
        <v>20/07/2026</v>
      </c>
      <c r="M25" s="23">
        <f t="shared" si="2"/>
        <v>0.58333333333333337</v>
      </c>
      <c r="N25" t="str">
        <f t="shared" si="3"/>
        <v>3 - 1</v>
      </c>
      <c r="O25" t="str">
        <f t="shared" si="4"/>
        <v>Green</v>
      </c>
      <c r="P25" t="str">
        <f t="shared" si="5"/>
        <v>Red</v>
      </c>
      <c r="Q25" t="str">
        <f t="shared" si="6"/>
        <v>Red</v>
      </c>
      <c r="R25" t="str">
        <f t="shared" si="7"/>
        <v>Green</v>
      </c>
      <c r="S25" t="str">
        <f t="shared" si="8"/>
        <v>Red</v>
      </c>
      <c r="T25" t="str">
        <f t="shared" si="9"/>
        <v>Green</v>
      </c>
      <c r="U25" t="str">
        <f t="shared" si="10"/>
        <v>Red</v>
      </c>
      <c r="V25" t="str">
        <f t="shared" si="11"/>
        <v>Green</v>
      </c>
      <c r="W25" t="str">
        <f t="shared" si="12"/>
        <v>Red</v>
      </c>
      <c r="X25" t="str">
        <f t="shared" si="13"/>
        <v>Red</v>
      </c>
      <c r="Y25" t="str">
        <f t="shared" si="14"/>
        <v>Green</v>
      </c>
      <c r="Z25" t="str">
        <f t="shared" si="15"/>
        <v>Green</v>
      </c>
      <c r="AA25" t="str">
        <f t="shared" si="16"/>
        <v>Red</v>
      </c>
      <c r="AB25" t="str">
        <f t="shared" si="17"/>
        <v>Red</v>
      </c>
      <c r="AC25" t="str">
        <f t="shared" si="18"/>
        <v>Green</v>
      </c>
      <c r="AD25" t="str">
        <f t="shared" si="19"/>
        <v>Red</v>
      </c>
    </row>
    <row r="26" spans="1:30" x14ac:dyDescent="0.2">
      <c r="A26" t="str">
        <f t="shared" si="0"/>
        <v>20/07/2026Cerro Porteno WomenSportivo San Lorenzo Women</v>
      </c>
      <c r="B26" t="s">
        <v>847</v>
      </c>
      <c r="C26" t="s">
        <v>1293</v>
      </c>
      <c r="D26" s="2">
        <v>46223</v>
      </c>
      <c r="E26" s="3">
        <v>0.72916666666666663</v>
      </c>
      <c r="F26" t="s">
        <v>1300</v>
      </c>
      <c r="G26" t="s">
        <v>1301</v>
      </c>
      <c r="H26">
        <v>0</v>
      </c>
      <c r="I26">
        <v>0</v>
      </c>
      <c r="J26">
        <v>2</v>
      </c>
      <c r="K26">
        <v>2</v>
      </c>
      <c r="L26" s="22" t="str">
        <f t="shared" si="1"/>
        <v>20/07/2026</v>
      </c>
      <c r="M26" s="23">
        <f t="shared" si="2"/>
        <v>0.60416666666666663</v>
      </c>
      <c r="N26" t="str">
        <f t="shared" si="3"/>
        <v>2 - 2</v>
      </c>
      <c r="O26" t="str">
        <f t="shared" si="4"/>
        <v>Red</v>
      </c>
      <c r="P26" t="str">
        <f t="shared" si="5"/>
        <v>Green</v>
      </c>
      <c r="Q26" t="str">
        <f t="shared" si="6"/>
        <v>Red</v>
      </c>
      <c r="R26" t="str">
        <f t="shared" si="7"/>
        <v>Green</v>
      </c>
      <c r="S26" t="str">
        <f t="shared" si="8"/>
        <v>Green</v>
      </c>
      <c r="T26" t="str">
        <f t="shared" si="9"/>
        <v>Red</v>
      </c>
      <c r="U26" t="str">
        <f t="shared" si="10"/>
        <v>Red</v>
      </c>
      <c r="V26" t="str">
        <f t="shared" si="11"/>
        <v>Green</v>
      </c>
      <c r="W26" t="str">
        <f t="shared" si="12"/>
        <v>Red</v>
      </c>
      <c r="X26" t="str">
        <f t="shared" si="13"/>
        <v>Red</v>
      </c>
      <c r="Y26" t="str">
        <f t="shared" si="14"/>
        <v>Green</v>
      </c>
      <c r="Z26" t="str">
        <f t="shared" si="15"/>
        <v>Green</v>
      </c>
      <c r="AA26" t="str">
        <f t="shared" si="16"/>
        <v>Red</v>
      </c>
      <c r="AB26" t="str">
        <f t="shared" si="17"/>
        <v>Red</v>
      </c>
      <c r="AC26" t="str">
        <f t="shared" si="18"/>
        <v>Green</v>
      </c>
      <c r="AD26" t="str">
        <f t="shared" si="19"/>
        <v>Red</v>
      </c>
    </row>
    <row r="27" spans="1:30" x14ac:dyDescent="0.2">
      <c r="A27" t="str">
        <f t="shared" si="0"/>
        <v>20/07/2026Chacarita JuniorsCA Guemes</v>
      </c>
      <c r="B27" t="s">
        <v>806</v>
      </c>
      <c r="C27" t="s">
        <v>807</v>
      </c>
      <c r="D27" s="2">
        <v>46223</v>
      </c>
      <c r="E27" s="3">
        <v>0.75</v>
      </c>
      <c r="F27" t="s">
        <v>339</v>
      </c>
      <c r="G27" t="s">
        <v>338</v>
      </c>
      <c r="L27" s="22" t="str">
        <f t="shared" si="1"/>
        <v>20/07/2026</v>
      </c>
      <c r="M27" s="23">
        <f t="shared" si="2"/>
        <v>0.625</v>
      </c>
      <c r="N27" t="str">
        <f t="shared" si="3"/>
        <v xml:space="preserve"> - </v>
      </c>
      <c r="O27" t="str">
        <f t="shared" si="4"/>
        <v>Red</v>
      </c>
      <c r="P27" t="str">
        <f t="shared" si="5"/>
        <v>Green</v>
      </c>
      <c r="Q27" t="str">
        <f t="shared" si="6"/>
        <v>Red</v>
      </c>
      <c r="R27" t="str">
        <f t="shared" si="7"/>
        <v>Green</v>
      </c>
      <c r="S27" t="str">
        <f t="shared" si="8"/>
        <v>Green</v>
      </c>
      <c r="T27" t="str">
        <f t="shared" si="9"/>
        <v>Red</v>
      </c>
      <c r="U27" t="str">
        <f t="shared" si="10"/>
        <v>Red</v>
      </c>
      <c r="V27" t="str">
        <f t="shared" si="11"/>
        <v>Green</v>
      </c>
      <c r="W27" t="str">
        <f t="shared" si="12"/>
        <v>Red</v>
      </c>
      <c r="X27" t="str">
        <f t="shared" si="13"/>
        <v>Red</v>
      </c>
      <c r="Y27" t="str">
        <f t="shared" si="14"/>
        <v>Red</v>
      </c>
      <c r="Z27" t="str">
        <f t="shared" si="15"/>
        <v>Red</v>
      </c>
      <c r="AA27" t="str">
        <f t="shared" si="16"/>
        <v>Green</v>
      </c>
      <c r="AB27" t="str">
        <f t="shared" si="17"/>
        <v>Green</v>
      </c>
      <c r="AC27" t="str">
        <f t="shared" si="18"/>
        <v>Red</v>
      </c>
      <c r="AD27" t="str">
        <f t="shared" si="19"/>
        <v>Green</v>
      </c>
    </row>
    <row r="28" spans="1:30" x14ac:dyDescent="0.2">
      <c r="A28" t="str">
        <f t="shared" si="0"/>
        <v>20/07/2026Club Atletico AcassusoSan Telmo</v>
      </c>
      <c r="B28" t="s">
        <v>806</v>
      </c>
      <c r="C28" t="s">
        <v>807</v>
      </c>
      <c r="D28" s="2">
        <v>46223</v>
      </c>
      <c r="E28" s="3">
        <v>0.75</v>
      </c>
      <c r="F28" t="s">
        <v>337</v>
      </c>
      <c r="G28" t="s">
        <v>336</v>
      </c>
      <c r="L28" s="22" t="str">
        <f t="shared" si="1"/>
        <v>20/07/2026</v>
      </c>
      <c r="M28" s="23">
        <f t="shared" si="2"/>
        <v>0.625</v>
      </c>
      <c r="N28" t="str">
        <f t="shared" si="3"/>
        <v xml:space="preserve"> - </v>
      </c>
      <c r="O28" t="str">
        <f t="shared" si="4"/>
        <v>Red</v>
      </c>
      <c r="P28" t="str">
        <f t="shared" si="5"/>
        <v>Green</v>
      </c>
      <c r="Q28" t="str">
        <f t="shared" si="6"/>
        <v>Red</v>
      </c>
      <c r="R28" t="str">
        <f t="shared" si="7"/>
        <v>Green</v>
      </c>
      <c r="S28" t="str">
        <f t="shared" si="8"/>
        <v>Green</v>
      </c>
      <c r="T28" t="str">
        <f t="shared" si="9"/>
        <v>Red</v>
      </c>
      <c r="U28" t="str">
        <f t="shared" si="10"/>
        <v>Red</v>
      </c>
      <c r="V28" t="str">
        <f t="shared" si="11"/>
        <v>Green</v>
      </c>
      <c r="W28" t="str">
        <f t="shared" si="12"/>
        <v>Red</v>
      </c>
      <c r="X28" t="str">
        <f t="shared" si="13"/>
        <v>Red</v>
      </c>
      <c r="Y28" t="str">
        <f t="shared" si="14"/>
        <v>Red</v>
      </c>
      <c r="Z28" t="str">
        <f t="shared" si="15"/>
        <v>Red</v>
      </c>
      <c r="AA28" t="str">
        <f t="shared" si="16"/>
        <v>Green</v>
      </c>
      <c r="AB28" t="str">
        <f t="shared" si="17"/>
        <v>Green</v>
      </c>
      <c r="AC28" t="str">
        <f t="shared" si="18"/>
        <v>Red</v>
      </c>
      <c r="AD28" t="str">
        <f t="shared" si="19"/>
        <v>Green</v>
      </c>
    </row>
    <row r="29" spans="1:30" x14ac:dyDescent="0.2">
      <c r="A29" t="str">
        <f t="shared" si="0"/>
        <v>20/07/2026Defensores de BelgranoLos Andes</v>
      </c>
      <c r="B29" t="s">
        <v>806</v>
      </c>
      <c r="C29" t="s">
        <v>807</v>
      </c>
      <c r="D29" s="2">
        <v>46223</v>
      </c>
      <c r="E29" s="3">
        <v>0.75</v>
      </c>
      <c r="F29" t="s">
        <v>335</v>
      </c>
      <c r="G29" t="s">
        <v>334</v>
      </c>
      <c r="L29" s="22" t="str">
        <f t="shared" si="1"/>
        <v>20/07/2026</v>
      </c>
      <c r="M29" s="23">
        <f t="shared" si="2"/>
        <v>0.625</v>
      </c>
      <c r="N29" t="str">
        <f t="shared" si="3"/>
        <v xml:space="preserve"> - </v>
      </c>
      <c r="O29" t="str">
        <f t="shared" si="4"/>
        <v>Red</v>
      </c>
      <c r="P29" t="str">
        <f t="shared" si="5"/>
        <v>Green</v>
      </c>
      <c r="Q29" t="str">
        <f t="shared" si="6"/>
        <v>Red</v>
      </c>
      <c r="R29" t="str">
        <f t="shared" si="7"/>
        <v>Green</v>
      </c>
      <c r="S29" t="str">
        <f t="shared" si="8"/>
        <v>Green</v>
      </c>
      <c r="T29" t="str">
        <f t="shared" si="9"/>
        <v>Red</v>
      </c>
      <c r="U29" t="str">
        <f t="shared" si="10"/>
        <v>Red</v>
      </c>
      <c r="V29" t="str">
        <f t="shared" si="11"/>
        <v>Green</v>
      </c>
      <c r="W29" t="str">
        <f t="shared" si="12"/>
        <v>Red</v>
      </c>
      <c r="X29" t="str">
        <f t="shared" si="13"/>
        <v>Red</v>
      </c>
      <c r="Y29" t="str">
        <f t="shared" si="14"/>
        <v>Red</v>
      </c>
      <c r="Z29" t="str">
        <f t="shared" si="15"/>
        <v>Red</v>
      </c>
      <c r="AA29" t="str">
        <f t="shared" si="16"/>
        <v>Green</v>
      </c>
      <c r="AB29" t="str">
        <f t="shared" si="17"/>
        <v>Green</v>
      </c>
      <c r="AC29" t="str">
        <f t="shared" si="18"/>
        <v>Red</v>
      </c>
      <c r="AD29" t="str">
        <f t="shared" si="19"/>
        <v>Green</v>
      </c>
    </row>
    <row r="30" spans="1:30" x14ac:dyDescent="0.2">
      <c r="A30" t="str">
        <f t="shared" si="0"/>
        <v>20/07/2026San Martin de San JuanCSD Tristan Suarez</v>
      </c>
      <c r="B30" t="s">
        <v>806</v>
      </c>
      <c r="C30" t="s">
        <v>807</v>
      </c>
      <c r="D30" s="2">
        <v>46223</v>
      </c>
      <c r="E30" s="3">
        <v>0.75</v>
      </c>
      <c r="F30" t="s">
        <v>333</v>
      </c>
      <c r="G30" t="s">
        <v>332</v>
      </c>
      <c r="L30" s="22" t="str">
        <f t="shared" si="1"/>
        <v>20/07/2026</v>
      </c>
      <c r="M30" s="23">
        <f t="shared" si="2"/>
        <v>0.625</v>
      </c>
      <c r="N30" t="str">
        <f t="shared" si="3"/>
        <v xml:space="preserve"> - </v>
      </c>
      <c r="O30" t="str">
        <f t="shared" si="4"/>
        <v>Red</v>
      </c>
      <c r="P30" t="str">
        <f t="shared" si="5"/>
        <v>Green</v>
      </c>
      <c r="Q30" t="str">
        <f t="shared" si="6"/>
        <v>Red</v>
      </c>
      <c r="R30" t="str">
        <f t="shared" si="7"/>
        <v>Green</v>
      </c>
      <c r="S30" t="str">
        <f t="shared" si="8"/>
        <v>Green</v>
      </c>
      <c r="T30" t="str">
        <f t="shared" si="9"/>
        <v>Red</v>
      </c>
      <c r="U30" t="str">
        <f t="shared" si="10"/>
        <v>Red</v>
      </c>
      <c r="V30" t="str">
        <f t="shared" si="11"/>
        <v>Green</v>
      </c>
      <c r="W30" t="str">
        <f t="shared" si="12"/>
        <v>Red</v>
      </c>
      <c r="X30" t="str">
        <f t="shared" si="13"/>
        <v>Red</v>
      </c>
      <c r="Y30" t="str">
        <f t="shared" si="14"/>
        <v>Red</v>
      </c>
      <c r="Z30" t="str">
        <f t="shared" si="15"/>
        <v>Red</v>
      </c>
      <c r="AA30" t="str">
        <f t="shared" si="16"/>
        <v>Green</v>
      </c>
      <c r="AB30" t="str">
        <f t="shared" si="17"/>
        <v>Green</v>
      </c>
      <c r="AC30" t="str">
        <f t="shared" si="18"/>
        <v>Red</v>
      </c>
      <c r="AD30" t="str">
        <f t="shared" si="19"/>
        <v>Green</v>
      </c>
    </row>
    <row r="31" spans="1:30" x14ac:dyDescent="0.2">
      <c r="A31" t="str">
        <f t="shared" si="0"/>
        <v>20/07/2026BerazateguiCentral Cordoba de Rosario</v>
      </c>
      <c r="B31" t="s">
        <v>806</v>
      </c>
      <c r="C31" t="s">
        <v>808</v>
      </c>
      <c r="D31" s="2">
        <v>46223</v>
      </c>
      <c r="E31" s="3">
        <v>0.75</v>
      </c>
      <c r="F31" t="s">
        <v>321</v>
      </c>
      <c r="G31" t="s">
        <v>320</v>
      </c>
      <c r="H31">
        <v>0</v>
      </c>
      <c r="I31">
        <v>0</v>
      </c>
      <c r="J31">
        <v>0</v>
      </c>
      <c r="K31">
        <v>0</v>
      </c>
      <c r="L31" s="22" t="str">
        <f t="shared" si="1"/>
        <v>20/07/2026</v>
      </c>
      <c r="M31" s="23">
        <f t="shared" si="2"/>
        <v>0.625</v>
      </c>
      <c r="N31" t="str">
        <f t="shared" si="3"/>
        <v>0 - 0</v>
      </c>
      <c r="O31" t="str">
        <f t="shared" si="4"/>
        <v>Red</v>
      </c>
      <c r="P31" t="str">
        <f t="shared" si="5"/>
        <v>Green</v>
      </c>
      <c r="Q31" t="str">
        <f t="shared" si="6"/>
        <v>Red</v>
      </c>
      <c r="R31" t="str">
        <f t="shared" si="7"/>
        <v>Green</v>
      </c>
      <c r="S31" t="str">
        <f t="shared" si="8"/>
        <v>Green</v>
      </c>
      <c r="T31" t="str">
        <f t="shared" si="9"/>
        <v>Red</v>
      </c>
      <c r="U31" t="str">
        <f t="shared" si="10"/>
        <v>Red</v>
      </c>
      <c r="V31" t="str">
        <f t="shared" si="11"/>
        <v>Green</v>
      </c>
      <c r="W31" t="str">
        <f t="shared" si="12"/>
        <v>Red</v>
      </c>
      <c r="X31" t="str">
        <f t="shared" si="13"/>
        <v>Red</v>
      </c>
      <c r="Y31" t="str">
        <f t="shared" si="14"/>
        <v>Red</v>
      </c>
      <c r="Z31" t="str">
        <f t="shared" si="15"/>
        <v>Red</v>
      </c>
      <c r="AA31" t="str">
        <f t="shared" si="16"/>
        <v>Green</v>
      </c>
      <c r="AB31" t="str">
        <f t="shared" si="17"/>
        <v>Green</v>
      </c>
      <c r="AC31" t="str">
        <f t="shared" si="18"/>
        <v>Red</v>
      </c>
      <c r="AD31" t="str">
        <f t="shared" si="19"/>
        <v>Green</v>
      </c>
    </row>
    <row r="32" spans="1:30" x14ac:dyDescent="0.2">
      <c r="A32" t="str">
        <f t="shared" si="0"/>
        <v>20/07/2026CA AtlasSacachispas</v>
      </c>
      <c r="B32" t="s">
        <v>806</v>
      </c>
      <c r="C32" t="s">
        <v>808</v>
      </c>
      <c r="D32" s="2">
        <v>46223</v>
      </c>
      <c r="E32" s="3">
        <v>0.75</v>
      </c>
      <c r="F32" t="s">
        <v>319</v>
      </c>
      <c r="G32" t="s">
        <v>318</v>
      </c>
      <c r="L32" s="22" t="str">
        <f t="shared" si="1"/>
        <v>20/07/2026</v>
      </c>
      <c r="M32" s="23">
        <f t="shared" si="2"/>
        <v>0.625</v>
      </c>
      <c r="N32" t="str">
        <f t="shared" si="3"/>
        <v xml:space="preserve"> - </v>
      </c>
      <c r="O32" t="str">
        <f t="shared" si="4"/>
        <v>Red</v>
      </c>
      <c r="P32" t="str">
        <f t="shared" si="5"/>
        <v>Green</v>
      </c>
      <c r="Q32" t="str">
        <f t="shared" si="6"/>
        <v>Red</v>
      </c>
      <c r="R32" t="str">
        <f t="shared" si="7"/>
        <v>Green</v>
      </c>
      <c r="S32" t="str">
        <f t="shared" si="8"/>
        <v>Green</v>
      </c>
      <c r="T32" t="str">
        <f t="shared" si="9"/>
        <v>Red</v>
      </c>
      <c r="U32" t="str">
        <f t="shared" si="10"/>
        <v>Red</v>
      </c>
      <c r="V32" t="str">
        <f t="shared" si="11"/>
        <v>Green</v>
      </c>
      <c r="W32" t="str">
        <f t="shared" si="12"/>
        <v>Red</v>
      </c>
      <c r="X32" t="str">
        <f t="shared" si="13"/>
        <v>Red</v>
      </c>
      <c r="Y32" t="str">
        <f t="shared" si="14"/>
        <v>Red</v>
      </c>
      <c r="Z32" t="str">
        <f t="shared" si="15"/>
        <v>Red</v>
      </c>
      <c r="AA32" t="str">
        <f t="shared" si="16"/>
        <v>Green</v>
      </c>
      <c r="AB32" t="str">
        <f t="shared" si="17"/>
        <v>Green</v>
      </c>
      <c r="AC32" t="str">
        <f t="shared" si="18"/>
        <v>Red</v>
      </c>
      <c r="AD32" t="str">
        <f t="shared" si="19"/>
        <v>Green</v>
      </c>
    </row>
    <row r="33" spans="1:30" x14ac:dyDescent="0.2">
      <c r="A33" t="str">
        <f t="shared" si="0"/>
        <v>20/07/2026Centro EspanolLeones de Rosario</v>
      </c>
      <c r="B33" t="s">
        <v>806</v>
      </c>
      <c r="C33" t="s">
        <v>808</v>
      </c>
      <c r="D33" s="2">
        <v>46223</v>
      </c>
      <c r="E33" s="3">
        <v>0.75</v>
      </c>
      <c r="F33" t="s">
        <v>317</v>
      </c>
      <c r="G33" t="s">
        <v>316</v>
      </c>
      <c r="L33" s="22" t="str">
        <f t="shared" si="1"/>
        <v>20/07/2026</v>
      </c>
      <c r="M33" s="23">
        <f t="shared" si="2"/>
        <v>0.625</v>
      </c>
      <c r="N33" t="str">
        <f t="shared" si="3"/>
        <v xml:space="preserve"> - </v>
      </c>
      <c r="O33" t="str">
        <f t="shared" si="4"/>
        <v>Red</v>
      </c>
      <c r="P33" t="str">
        <f t="shared" si="5"/>
        <v>Green</v>
      </c>
      <c r="Q33" t="str">
        <f t="shared" si="6"/>
        <v>Red</v>
      </c>
      <c r="R33" t="str">
        <f t="shared" si="7"/>
        <v>Green</v>
      </c>
      <c r="S33" t="str">
        <f t="shared" si="8"/>
        <v>Green</v>
      </c>
      <c r="T33" t="str">
        <f t="shared" si="9"/>
        <v>Red</v>
      </c>
      <c r="U33" t="str">
        <f t="shared" si="10"/>
        <v>Red</v>
      </c>
      <c r="V33" t="str">
        <f t="shared" si="11"/>
        <v>Green</v>
      </c>
      <c r="W33" t="str">
        <f t="shared" si="12"/>
        <v>Red</v>
      </c>
      <c r="X33" t="str">
        <f t="shared" si="13"/>
        <v>Red</v>
      </c>
      <c r="Y33" t="str">
        <f t="shared" si="14"/>
        <v>Red</v>
      </c>
      <c r="Z33" t="str">
        <f t="shared" si="15"/>
        <v>Red</v>
      </c>
      <c r="AA33" t="str">
        <f t="shared" si="16"/>
        <v>Green</v>
      </c>
      <c r="AB33" t="str">
        <f t="shared" si="17"/>
        <v>Green</v>
      </c>
      <c r="AC33" t="str">
        <f t="shared" si="18"/>
        <v>Red</v>
      </c>
      <c r="AD33" t="str">
        <f t="shared" si="19"/>
        <v>Green</v>
      </c>
    </row>
    <row r="34" spans="1:30" x14ac:dyDescent="0.2">
      <c r="A34" t="str">
        <f t="shared" si="0"/>
        <v>20/07/2026Deportivo ParaguayoCentral Ballester</v>
      </c>
      <c r="B34" t="s">
        <v>806</v>
      </c>
      <c r="C34" t="s">
        <v>808</v>
      </c>
      <c r="D34" s="2">
        <v>46223</v>
      </c>
      <c r="E34" s="3">
        <v>0.75</v>
      </c>
      <c r="F34" t="s">
        <v>315</v>
      </c>
      <c r="G34" t="s">
        <v>314</v>
      </c>
      <c r="L34" s="22" t="str">
        <f t="shared" ref="L34:L59" si="20">DAY(D34)&amp;"/"&amp;"07"&amp;"/"&amp;YEAR(D34)</f>
        <v>20/07/2026</v>
      </c>
      <c r="M34" s="23">
        <f t="shared" ref="M34:M59" si="21">E34-TIME(3,0,0)</f>
        <v>0.625</v>
      </c>
      <c r="N34" t="str">
        <f t="shared" si="3"/>
        <v xml:space="preserve"> - </v>
      </c>
      <c r="O34" t="str">
        <f t="shared" si="4"/>
        <v>Red</v>
      </c>
      <c r="P34" t="str">
        <f t="shared" si="5"/>
        <v>Green</v>
      </c>
      <c r="Q34" t="str">
        <f t="shared" si="6"/>
        <v>Red</v>
      </c>
      <c r="R34" t="str">
        <f t="shared" si="7"/>
        <v>Green</v>
      </c>
      <c r="S34" t="str">
        <f t="shared" si="8"/>
        <v>Green</v>
      </c>
      <c r="T34" t="str">
        <f t="shared" si="9"/>
        <v>Red</v>
      </c>
      <c r="U34" t="str">
        <f t="shared" si="10"/>
        <v>Red</v>
      </c>
      <c r="V34" t="str">
        <f t="shared" si="11"/>
        <v>Green</v>
      </c>
      <c r="W34" t="str">
        <f t="shared" si="12"/>
        <v>Red</v>
      </c>
      <c r="X34" t="str">
        <f t="shared" si="13"/>
        <v>Red</v>
      </c>
      <c r="Y34" t="str">
        <f t="shared" si="14"/>
        <v>Red</v>
      </c>
      <c r="Z34" t="str">
        <f t="shared" si="15"/>
        <v>Red</v>
      </c>
      <c r="AA34" t="str">
        <f t="shared" si="16"/>
        <v>Green</v>
      </c>
      <c r="AB34" t="str">
        <f t="shared" si="17"/>
        <v>Green</v>
      </c>
      <c r="AC34" t="str">
        <f t="shared" si="18"/>
        <v>Red</v>
      </c>
      <c r="AD34" t="str">
        <f t="shared" si="19"/>
        <v>Green</v>
      </c>
    </row>
    <row r="35" spans="1:30" x14ac:dyDescent="0.2">
      <c r="A35" t="str">
        <f t="shared" si="0"/>
        <v>20/07/2026Estrella del SurClub Lujan</v>
      </c>
      <c r="B35" t="s">
        <v>806</v>
      </c>
      <c r="C35" t="s">
        <v>808</v>
      </c>
      <c r="D35" s="2">
        <v>46223</v>
      </c>
      <c r="E35" s="3">
        <v>0.75</v>
      </c>
      <c r="F35" t="s">
        <v>313</v>
      </c>
      <c r="G35" t="s">
        <v>312</v>
      </c>
      <c r="L35" s="22" t="str">
        <f t="shared" si="20"/>
        <v>20/07/2026</v>
      </c>
      <c r="M35" s="23">
        <f t="shared" si="21"/>
        <v>0.625</v>
      </c>
      <c r="N35" t="str">
        <f t="shared" si="3"/>
        <v xml:space="preserve"> - </v>
      </c>
      <c r="O35" t="str">
        <f t="shared" si="4"/>
        <v>Red</v>
      </c>
      <c r="P35" t="str">
        <f t="shared" si="5"/>
        <v>Green</v>
      </c>
      <c r="Q35" t="str">
        <f t="shared" si="6"/>
        <v>Red</v>
      </c>
      <c r="R35" t="str">
        <f t="shared" si="7"/>
        <v>Green</v>
      </c>
      <c r="S35" t="str">
        <f t="shared" si="8"/>
        <v>Green</v>
      </c>
      <c r="T35" t="str">
        <f t="shared" si="9"/>
        <v>Red</v>
      </c>
      <c r="U35" t="str">
        <f t="shared" si="10"/>
        <v>Red</v>
      </c>
      <c r="V35" t="str">
        <f t="shared" si="11"/>
        <v>Green</v>
      </c>
      <c r="W35" t="str">
        <f t="shared" si="12"/>
        <v>Red</v>
      </c>
      <c r="X35" t="str">
        <f t="shared" si="13"/>
        <v>Red</v>
      </c>
      <c r="Y35" t="str">
        <f t="shared" si="14"/>
        <v>Red</v>
      </c>
      <c r="Z35" t="str">
        <f t="shared" si="15"/>
        <v>Red</v>
      </c>
      <c r="AA35" t="str">
        <f t="shared" si="16"/>
        <v>Green</v>
      </c>
      <c r="AB35" t="str">
        <f t="shared" si="17"/>
        <v>Green</v>
      </c>
      <c r="AC35" t="str">
        <f t="shared" si="18"/>
        <v>Red</v>
      </c>
      <c r="AD35" t="str">
        <f t="shared" si="19"/>
        <v>Green</v>
      </c>
    </row>
    <row r="36" spans="1:30" x14ac:dyDescent="0.2">
      <c r="A36" t="str">
        <f t="shared" si="0"/>
        <v>20/07/2026Sao Caetano SPSao Jose Esporte Clube</v>
      </c>
      <c r="B36" t="s">
        <v>804</v>
      </c>
      <c r="C36" t="s">
        <v>830</v>
      </c>
      <c r="D36" s="2">
        <v>46223</v>
      </c>
      <c r="E36" s="3">
        <v>0.75</v>
      </c>
      <c r="F36" t="s">
        <v>306</v>
      </c>
      <c r="G36" t="s">
        <v>305</v>
      </c>
      <c r="H36">
        <v>1</v>
      </c>
      <c r="I36">
        <v>2</v>
      </c>
      <c r="J36">
        <v>1</v>
      </c>
      <c r="K36">
        <v>2</v>
      </c>
      <c r="L36" s="22" t="str">
        <f t="shared" si="20"/>
        <v>20/07/2026</v>
      </c>
      <c r="M36" s="23">
        <f t="shared" si="21"/>
        <v>0.625</v>
      </c>
      <c r="N36" t="str">
        <f t="shared" si="3"/>
        <v>1 - 2</v>
      </c>
      <c r="O36" t="str">
        <f t="shared" si="4"/>
        <v>Red</v>
      </c>
      <c r="P36" t="str">
        <f t="shared" si="5"/>
        <v>Red</v>
      </c>
      <c r="Q36" t="str">
        <f t="shared" si="6"/>
        <v>Green</v>
      </c>
      <c r="R36" t="str">
        <f t="shared" si="7"/>
        <v>Red</v>
      </c>
      <c r="S36" t="str">
        <f t="shared" si="8"/>
        <v>Green</v>
      </c>
      <c r="T36" t="str">
        <f t="shared" si="9"/>
        <v>Green</v>
      </c>
      <c r="U36" t="str">
        <f t="shared" si="10"/>
        <v>Red</v>
      </c>
      <c r="V36" t="str">
        <f t="shared" si="11"/>
        <v>Red</v>
      </c>
      <c r="W36" t="str">
        <f t="shared" si="12"/>
        <v>Green</v>
      </c>
      <c r="X36" t="str">
        <f t="shared" si="13"/>
        <v>Green</v>
      </c>
      <c r="Y36" t="str">
        <f t="shared" si="14"/>
        <v>Green</v>
      </c>
      <c r="Z36" t="str">
        <f t="shared" si="15"/>
        <v>Green</v>
      </c>
      <c r="AA36" t="str">
        <f t="shared" si="16"/>
        <v>Red</v>
      </c>
      <c r="AB36" t="str">
        <f t="shared" si="17"/>
        <v>Green</v>
      </c>
      <c r="AC36" t="str">
        <f t="shared" si="18"/>
        <v>Green</v>
      </c>
      <c r="AD36" t="str">
        <f t="shared" si="19"/>
        <v>Red</v>
      </c>
    </row>
    <row r="37" spans="1:30" x14ac:dyDescent="0.2">
      <c r="A37" t="str">
        <f t="shared" si="0"/>
        <v>20/07/2026Botev PlovdivLokomotiv Sofia</v>
      </c>
      <c r="B37" t="s">
        <v>831</v>
      </c>
      <c r="C37" t="s">
        <v>832</v>
      </c>
      <c r="D37" s="2">
        <v>46223</v>
      </c>
      <c r="E37" s="3">
        <v>0.77083333333333337</v>
      </c>
      <c r="F37" t="s">
        <v>302</v>
      </c>
      <c r="G37" t="s">
        <v>301</v>
      </c>
      <c r="H37">
        <v>0</v>
      </c>
      <c r="I37">
        <v>0</v>
      </c>
      <c r="J37">
        <v>1</v>
      </c>
      <c r="K37">
        <v>1</v>
      </c>
      <c r="L37" s="22" t="str">
        <f t="shared" si="20"/>
        <v>20/07/2026</v>
      </c>
      <c r="M37" s="23">
        <f t="shared" si="21"/>
        <v>0.64583333333333337</v>
      </c>
      <c r="N37" t="str">
        <f t="shared" si="3"/>
        <v>1 - 1</v>
      </c>
      <c r="O37" t="str">
        <f t="shared" si="4"/>
        <v>Red</v>
      </c>
      <c r="P37" t="str">
        <f t="shared" si="5"/>
        <v>Green</v>
      </c>
      <c r="Q37" t="str">
        <f t="shared" si="6"/>
        <v>Red</v>
      </c>
      <c r="R37" t="str">
        <f t="shared" si="7"/>
        <v>Green</v>
      </c>
      <c r="S37" t="str">
        <f t="shared" si="8"/>
        <v>Green</v>
      </c>
      <c r="T37" t="str">
        <f t="shared" si="9"/>
        <v>Red</v>
      </c>
      <c r="U37" t="str">
        <f t="shared" si="10"/>
        <v>Red</v>
      </c>
      <c r="V37" t="str">
        <f t="shared" si="11"/>
        <v>Green</v>
      </c>
      <c r="W37" t="str">
        <f t="shared" si="12"/>
        <v>Red</v>
      </c>
      <c r="X37" t="str">
        <f t="shared" si="13"/>
        <v>Red</v>
      </c>
      <c r="Y37" t="str">
        <f t="shared" si="14"/>
        <v>Green</v>
      </c>
      <c r="Z37" t="str">
        <f t="shared" si="15"/>
        <v>Red</v>
      </c>
      <c r="AA37" t="str">
        <f t="shared" si="16"/>
        <v>Green</v>
      </c>
      <c r="AB37" t="str">
        <f t="shared" si="17"/>
        <v>Green</v>
      </c>
      <c r="AC37" t="str">
        <f t="shared" si="18"/>
        <v>Green</v>
      </c>
      <c r="AD37" t="str">
        <f t="shared" si="19"/>
        <v>Red</v>
      </c>
    </row>
    <row r="38" spans="1:30" x14ac:dyDescent="0.2">
      <c r="A38" t="str">
        <f t="shared" si="0"/>
        <v>20/07/2026Al AnsarAl Nejmeh</v>
      </c>
      <c r="B38" t="s">
        <v>843</v>
      </c>
      <c r="C38" t="s">
        <v>838</v>
      </c>
      <c r="D38" s="2">
        <v>46223</v>
      </c>
      <c r="E38" s="3">
        <v>0.77083333333333337</v>
      </c>
      <c r="F38" t="s">
        <v>285</v>
      </c>
      <c r="G38" t="s">
        <v>284</v>
      </c>
      <c r="H38">
        <v>0</v>
      </c>
      <c r="I38">
        <v>0</v>
      </c>
      <c r="J38">
        <v>1</v>
      </c>
      <c r="K38">
        <v>1</v>
      </c>
      <c r="L38" s="22" t="str">
        <f t="shared" si="20"/>
        <v>20/07/2026</v>
      </c>
      <c r="M38" s="23">
        <f t="shared" si="21"/>
        <v>0.64583333333333337</v>
      </c>
      <c r="N38" t="str">
        <f t="shared" si="3"/>
        <v>1 - 1</v>
      </c>
      <c r="O38" t="str">
        <f t="shared" si="4"/>
        <v>Red</v>
      </c>
      <c r="P38" t="str">
        <f t="shared" si="5"/>
        <v>Green</v>
      </c>
      <c r="Q38" t="str">
        <f t="shared" si="6"/>
        <v>Red</v>
      </c>
      <c r="R38" t="str">
        <f t="shared" si="7"/>
        <v>Green</v>
      </c>
      <c r="S38" t="str">
        <f t="shared" si="8"/>
        <v>Green</v>
      </c>
      <c r="T38" t="str">
        <f t="shared" si="9"/>
        <v>Red</v>
      </c>
      <c r="U38" t="str">
        <f t="shared" si="10"/>
        <v>Red</v>
      </c>
      <c r="V38" t="str">
        <f t="shared" si="11"/>
        <v>Green</v>
      </c>
      <c r="W38" t="str">
        <f t="shared" si="12"/>
        <v>Red</v>
      </c>
      <c r="X38" t="str">
        <f t="shared" si="13"/>
        <v>Red</v>
      </c>
      <c r="Y38" t="str">
        <f t="shared" si="14"/>
        <v>Green</v>
      </c>
      <c r="Z38" t="str">
        <f t="shared" si="15"/>
        <v>Red</v>
      </c>
      <c r="AA38" t="str">
        <f t="shared" si="16"/>
        <v>Green</v>
      </c>
      <c r="AB38" t="str">
        <f t="shared" si="17"/>
        <v>Green</v>
      </c>
      <c r="AC38" t="str">
        <f t="shared" si="18"/>
        <v>Green</v>
      </c>
      <c r="AD38" t="str">
        <f t="shared" si="19"/>
        <v>Red</v>
      </c>
    </row>
    <row r="39" spans="1:30" x14ac:dyDescent="0.2">
      <c r="A39" t="str">
        <f t="shared" si="0"/>
        <v>20/07/2026Rapid BucurestiSepsi OSK</v>
      </c>
      <c r="B39" t="s">
        <v>851</v>
      </c>
      <c r="C39" t="s">
        <v>852</v>
      </c>
      <c r="D39" s="2">
        <v>46223</v>
      </c>
      <c r="E39" s="3">
        <v>0.77083333333333337</v>
      </c>
      <c r="F39" t="s">
        <v>273</v>
      </c>
      <c r="G39" t="s">
        <v>272</v>
      </c>
      <c r="H39">
        <v>0</v>
      </c>
      <c r="I39">
        <v>0</v>
      </c>
      <c r="J39">
        <v>1</v>
      </c>
      <c r="K39">
        <v>0</v>
      </c>
      <c r="L39" s="22" t="str">
        <f t="shared" si="20"/>
        <v>20/07/2026</v>
      </c>
      <c r="M39" s="23">
        <f t="shared" si="21"/>
        <v>0.64583333333333337</v>
      </c>
      <c r="N39" t="str">
        <f t="shared" si="3"/>
        <v>1 - 0</v>
      </c>
      <c r="O39" t="str">
        <f t="shared" si="4"/>
        <v>Green</v>
      </c>
      <c r="P39" t="str">
        <f t="shared" si="5"/>
        <v>Red</v>
      </c>
      <c r="Q39" t="str">
        <f t="shared" si="6"/>
        <v>Red</v>
      </c>
      <c r="R39" t="str">
        <f t="shared" si="7"/>
        <v>Green</v>
      </c>
      <c r="S39" t="str">
        <f t="shared" si="8"/>
        <v>Red</v>
      </c>
      <c r="T39" t="str">
        <f t="shared" si="9"/>
        <v>Green</v>
      </c>
      <c r="U39" t="str">
        <f t="shared" si="10"/>
        <v>Red</v>
      </c>
      <c r="V39" t="str">
        <f t="shared" si="11"/>
        <v>Green</v>
      </c>
      <c r="W39" t="str">
        <f t="shared" si="12"/>
        <v>Red</v>
      </c>
      <c r="X39" t="str">
        <f t="shared" si="13"/>
        <v>Red</v>
      </c>
      <c r="Y39" t="str">
        <f t="shared" si="14"/>
        <v>Red</v>
      </c>
      <c r="Z39" t="str">
        <f t="shared" si="15"/>
        <v>Red</v>
      </c>
      <c r="AA39" t="str">
        <f t="shared" si="16"/>
        <v>Green</v>
      </c>
      <c r="AB39" t="str">
        <f t="shared" si="17"/>
        <v>Green</v>
      </c>
      <c r="AC39" t="str">
        <f t="shared" si="18"/>
        <v>Red</v>
      </c>
      <c r="AD39" t="str">
        <f t="shared" si="19"/>
        <v>Green</v>
      </c>
    </row>
    <row r="40" spans="1:30" x14ac:dyDescent="0.2">
      <c r="A40" t="str">
        <f t="shared" si="0"/>
        <v>20/07/2026RedbridgeWelwyn Garden City</v>
      </c>
      <c r="D40" s="2">
        <v>46223</v>
      </c>
      <c r="E40" s="3">
        <v>0.78125</v>
      </c>
      <c r="F40" t="s">
        <v>1302</v>
      </c>
      <c r="G40" t="s">
        <v>1303</v>
      </c>
      <c r="H40">
        <v>0</v>
      </c>
      <c r="I40">
        <v>1</v>
      </c>
      <c r="J40">
        <v>0</v>
      </c>
      <c r="K40">
        <v>1</v>
      </c>
      <c r="L40" s="22" t="str">
        <f t="shared" si="20"/>
        <v>20/07/2026</v>
      </c>
      <c r="M40" s="23">
        <f t="shared" si="21"/>
        <v>0.65625</v>
      </c>
      <c r="N40" t="str">
        <f t="shared" si="3"/>
        <v>0 - 1</v>
      </c>
      <c r="O40" t="str">
        <f t="shared" si="4"/>
        <v>Red</v>
      </c>
      <c r="P40" t="str">
        <f t="shared" si="5"/>
        <v>Red</v>
      </c>
      <c r="Q40" t="str">
        <f t="shared" si="6"/>
        <v>Green</v>
      </c>
      <c r="R40" t="str">
        <f t="shared" si="7"/>
        <v>Red</v>
      </c>
      <c r="S40" t="str">
        <f t="shared" si="8"/>
        <v>Green</v>
      </c>
      <c r="T40" t="str">
        <f t="shared" si="9"/>
        <v>Green</v>
      </c>
      <c r="U40" t="str">
        <f t="shared" si="10"/>
        <v>Red</v>
      </c>
      <c r="V40" t="str">
        <f t="shared" si="11"/>
        <v>Red</v>
      </c>
      <c r="W40" t="str">
        <f t="shared" si="12"/>
        <v>Green</v>
      </c>
      <c r="X40" t="str">
        <f t="shared" si="13"/>
        <v>Green</v>
      </c>
      <c r="Y40" t="str">
        <f t="shared" si="14"/>
        <v>Red</v>
      </c>
      <c r="Z40" t="str">
        <f t="shared" si="15"/>
        <v>Red</v>
      </c>
      <c r="AA40" t="str">
        <f t="shared" si="16"/>
        <v>Green</v>
      </c>
      <c r="AB40" t="str">
        <f t="shared" si="17"/>
        <v>Green</v>
      </c>
      <c r="AC40" t="str">
        <f t="shared" si="18"/>
        <v>Red</v>
      </c>
      <c r="AD40" t="str">
        <f t="shared" si="19"/>
        <v>Green</v>
      </c>
    </row>
    <row r="41" spans="1:30" x14ac:dyDescent="0.2">
      <c r="A41" t="str">
        <f t="shared" si="0"/>
        <v>20/07/2026TraffordFC United of Manchester</v>
      </c>
      <c r="D41" s="2">
        <v>46223</v>
      </c>
      <c r="E41" s="3">
        <v>0.78125</v>
      </c>
      <c r="F41" t="s">
        <v>1304</v>
      </c>
      <c r="G41" t="s">
        <v>1305</v>
      </c>
      <c r="H41">
        <v>0</v>
      </c>
      <c r="I41">
        <v>2</v>
      </c>
      <c r="J41">
        <v>0</v>
      </c>
      <c r="K41">
        <v>3</v>
      </c>
      <c r="L41" s="22" t="str">
        <f t="shared" si="20"/>
        <v>20/07/2026</v>
      </c>
      <c r="M41" s="23">
        <f t="shared" si="21"/>
        <v>0.65625</v>
      </c>
      <c r="N41" t="str">
        <f t="shared" si="3"/>
        <v>0 - 3</v>
      </c>
      <c r="O41" t="str">
        <f t="shared" si="4"/>
        <v>Red</v>
      </c>
      <c r="P41" t="str">
        <f t="shared" si="5"/>
        <v>Red</v>
      </c>
      <c r="Q41" t="str">
        <f t="shared" si="6"/>
        <v>Green</v>
      </c>
      <c r="R41" t="str">
        <f t="shared" si="7"/>
        <v>Red</v>
      </c>
      <c r="S41" t="str">
        <f t="shared" si="8"/>
        <v>Green</v>
      </c>
      <c r="T41" t="str">
        <f t="shared" si="9"/>
        <v>Green</v>
      </c>
      <c r="U41" t="str">
        <f t="shared" si="10"/>
        <v>Red</v>
      </c>
      <c r="V41" t="str">
        <f t="shared" si="11"/>
        <v>Red</v>
      </c>
      <c r="W41" t="str">
        <f t="shared" si="12"/>
        <v>Green</v>
      </c>
      <c r="X41" t="str">
        <f t="shared" si="13"/>
        <v>Green</v>
      </c>
      <c r="Y41" t="str">
        <f t="shared" si="14"/>
        <v>Green</v>
      </c>
      <c r="Z41" t="str">
        <f t="shared" si="15"/>
        <v>Green</v>
      </c>
      <c r="AA41" t="str">
        <f t="shared" si="16"/>
        <v>Red</v>
      </c>
      <c r="AB41" t="str">
        <f t="shared" si="17"/>
        <v>Green</v>
      </c>
      <c r="AC41" t="str">
        <f t="shared" si="18"/>
        <v>Red</v>
      </c>
      <c r="AD41" t="str">
        <f t="shared" si="19"/>
        <v>Green</v>
      </c>
    </row>
    <row r="42" spans="1:30" x14ac:dyDescent="0.2">
      <c r="A42" t="str">
        <f t="shared" si="0"/>
        <v>20/07/2026SA Bulo BuloABB</v>
      </c>
      <c r="B42" t="s">
        <v>815</v>
      </c>
      <c r="C42" t="s">
        <v>816</v>
      </c>
      <c r="D42" s="2">
        <v>46223</v>
      </c>
      <c r="E42" s="3">
        <v>0.79166666666666663</v>
      </c>
      <c r="F42" t="s">
        <v>311</v>
      </c>
      <c r="G42" t="s">
        <v>310</v>
      </c>
      <c r="H42">
        <v>1</v>
      </c>
      <c r="I42">
        <v>1</v>
      </c>
      <c r="J42">
        <v>2</v>
      </c>
      <c r="K42">
        <v>1</v>
      </c>
      <c r="L42" s="22" t="str">
        <f t="shared" si="20"/>
        <v>20/07/2026</v>
      </c>
      <c r="M42" s="23">
        <f t="shared" si="21"/>
        <v>0.66666666666666663</v>
      </c>
      <c r="N42" t="str">
        <f t="shared" si="3"/>
        <v>2 - 1</v>
      </c>
      <c r="O42" t="str">
        <f t="shared" si="4"/>
        <v>Green</v>
      </c>
      <c r="P42" t="str">
        <f t="shared" si="5"/>
        <v>Red</v>
      </c>
      <c r="Q42" t="str">
        <f t="shared" si="6"/>
        <v>Red</v>
      </c>
      <c r="R42" t="str">
        <f t="shared" si="7"/>
        <v>Green</v>
      </c>
      <c r="S42" t="str">
        <f t="shared" si="8"/>
        <v>Red</v>
      </c>
      <c r="T42" t="str">
        <f t="shared" si="9"/>
        <v>Green</v>
      </c>
      <c r="U42" t="str">
        <f t="shared" si="10"/>
        <v>Red</v>
      </c>
      <c r="V42" t="str">
        <f t="shared" si="11"/>
        <v>Green</v>
      </c>
      <c r="W42" t="str">
        <f t="shared" si="12"/>
        <v>Red</v>
      </c>
      <c r="X42" t="str">
        <f t="shared" si="13"/>
        <v>Green</v>
      </c>
      <c r="Y42" t="str">
        <f t="shared" si="14"/>
        <v>Green</v>
      </c>
      <c r="Z42" t="str">
        <f t="shared" si="15"/>
        <v>Green</v>
      </c>
      <c r="AA42" t="str">
        <f t="shared" si="16"/>
        <v>Red</v>
      </c>
      <c r="AB42" t="str">
        <f t="shared" si="17"/>
        <v>Green</v>
      </c>
      <c r="AC42" t="str">
        <f t="shared" si="18"/>
        <v>Green</v>
      </c>
      <c r="AD42" t="str">
        <f t="shared" si="19"/>
        <v>Red</v>
      </c>
    </row>
    <row r="43" spans="1:30" x14ac:dyDescent="0.2">
      <c r="A43" t="str">
        <f t="shared" si="0"/>
        <v>20/07/2026Coritiba PR WomenInternacional RS Women</v>
      </c>
      <c r="B43" t="s">
        <v>804</v>
      </c>
      <c r="C43" t="s">
        <v>1306</v>
      </c>
      <c r="D43" s="2">
        <v>46223</v>
      </c>
      <c r="E43" s="3">
        <v>0.79166666666666663</v>
      </c>
      <c r="F43" t="s">
        <v>1307</v>
      </c>
      <c r="G43" t="s">
        <v>1308</v>
      </c>
      <c r="H43">
        <v>0</v>
      </c>
      <c r="I43">
        <v>0</v>
      </c>
      <c r="J43">
        <v>0</v>
      </c>
      <c r="K43">
        <v>1</v>
      </c>
      <c r="L43" s="22" t="str">
        <f t="shared" si="20"/>
        <v>20/07/2026</v>
      </c>
      <c r="M43" s="23">
        <f t="shared" si="21"/>
        <v>0.66666666666666663</v>
      </c>
      <c r="N43" t="str">
        <f t="shared" si="3"/>
        <v>0 - 1</v>
      </c>
      <c r="O43" t="str">
        <f t="shared" si="4"/>
        <v>Red</v>
      </c>
      <c r="P43" t="str">
        <f t="shared" si="5"/>
        <v>Red</v>
      </c>
      <c r="Q43" t="str">
        <f t="shared" si="6"/>
        <v>Green</v>
      </c>
      <c r="R43" t="str">
        <f t="shared" si="7"/>
        <v>Red</v>
      </c>
      <c r="S43" t="str">
        <f t="shared" si="8"/>
        <v>Green</v>
      </c>
      <c r="T43" t="str">
        <f t="shared" si="9"/>
        <v>Green</v>
      </c>
      <c r="U43" t="str">
        <f t="shared" si="10"/>
        <v>Red</v>
      </c>
      <c r="V43" t="str">
        <f t="shared" si="11"/>
        <v>Green</v>
      </c>
      <c r="W43" t="str">
        <f t="shared" si="12"/>
        <v>Red</v>
      </c>
      <c r="X43" t="str">
        <f t="shared" si="13"/>
        <v>Red</v>
      </c>
      <c r="Y43" t="str">
        <f t="shared" si="14"/>
        <v>Red</v>
      </c>
      <c r="Z43" t="str">
        <f t="shared" si="15"/>
        <v>Red</v>
      </c>
      <c r="AA43" t="str">
        <f t="shared" si="16"/>
        <v>Green</v>
      </c>
      <c r="AB43" t="str">
        <f t="shared" si="17"/>
        <v>Green</v>
      </c>
      <c r="AC43" t="str">
        <f t="shared" si="18"/>
        <v>Red</v>
      </c>
      <c r="AD43" t="str">
        <f t="shared" si="19"/>
        <v>Green</v>
      </c>
    </row>
    <row r="44" spans="1:30" x14ac:dyDescent="0.2">
      <c r="A44" t="str">
        <f t="shared" si="0"/>
        <v>20/07/2026Mushuc RunaOrense SC</v>
      </c>
      <c r="B44" t="s">
        <v>823</v>
      </c>
      <c r="C44" t="s">
        <v>824</v>
      </c>
      <c r="D44" s="2">
        <v>46223</v>
      </c>
      <c r="E44" s="3">
        <v>0.79166666666666663</v>
      </c>
      <c r="F44" t="s">
        <v>117</v>
      </c>
      <c r="G44" t="s">
        <v>300</v>
      </c>
      <c r="H44">
        <v>1</v>
      </c>
      <c r="I44">
        <v>1</v>
      </c>
      <c r="J44">
        <v>2</v>
      </c>
      <c r="K44">
        <v>1</v>
      </c>
      <c r="L44" s="22" t="str">
        <f t="shared" si="20"/>
        <v>20/07/2026</v>
      </c>
      <c r="M44" s="23">
        <f t="shared" si="21"/>
        <v>0.66666666666666663</v>
      </c>
      <c r="N44" t="str">
        <f t="shared" si="3"/>
        <v>2 - 1</v>
      </c>
      <c r="O44" t="str">
        <f t="shared" si="4"/>
        <v>Green</v>
      </c>
      <c r="P44" t="str">
        <f t="shared" si="5"/>
        <v>Red</v>
      </c>
      <c r="Q44" t="str">
        <f t="shared" si="6"/>
        <v>Red</v>
      </c>
      <c r="R44" t="str">
        <f t="shared" si="7"/>
        <v>Green</v>
      </c>
      <c r="S44" t="str">
        <f t="shared" si="8"/>
        <v>Red</v>
      </c>
      <c r="T44" t="str">
        <f t="shared" si="9"/>
        <v>Green</v>
      </c>
      <c r="U44" t="str">
        <f t="shared" si="10"/>
        <v>Red</v>
      </c>
      <c r="V44" t="str">
        <f t="shared" si="11"/>
        <v>Green</v>
      </c>
      <c r="W44" t="str">
        <f t="shared" si="12"/>
        <v>Red</v>
      </c>
      <c r="X44" t="str">
        <f t="shared" si="13"/>
        <v>Green</v>
      </c>
      <c r="Y44" t="str">
        <f t="shared" si="14"/>
        <v>Green</v>
      </c>
      <c r="Z44" t="str">
        <f t="shared" si="15"/>
        <v>Green</v>
      </c>
      <c r="AA44" t="str">
        <f t="shared" si="16"/>
        <v>Red</v>
      </c>
      <c r="AB44" t="str">
        <f t="shared" si="17"/>
        <v>Green</v>
      </c>
      <c r="AC44" t="str">
        <f t="shared" si="18"/>
        <v>Green</v>
      </c>
      <c r="AD44" t="str">
        <f t="shared" si="19"/>
        <v>Red</v>
      </c>
    </row>
    <row r="45" spans="1:30" x14ac:dyDescent="0.2">
      <c r="A45" t="str">
        <f t="shared" si="0"/>
        <v>20/07/2026HafnarfjordurBreidablik</v>
      </c>
      <c r="B45" t="s">
        <v>837</v>
      </c>
      <c r="C45" t="s">
        <v>838</v>
      </c>
      <c r="D45" s="2">
        <v>46223</v>
      </c>
      <c r="E45" s="3">
        <v>0.80208333333333337</v>
      </c>
      <c r="F45" t="s">
        <v>293</v>
      </c>
      <c r="G45" t="s">
        <v>263</v>
      </c>
      <c r="H45">
        <v>0</v>
      </c>
      <c r="I45">
        <v>0</v>
      </c>
      <c r="J45">
        <v>0</v>
      </c>
      <c r="K45">
        <v>0</v>
      </c>
      <c r="L45" s="22" t="str">
        <f t="shared" si="20"/>
        <v>20/07/2026</v>
      </c>
      <c r="M45" s="23">
        <f t="shared" si="21"/>
        <v>0.67708333333333337</v>
      </c>
      <c r="N45" t="str">
        <f t="shared" si="3"/>
        <v>0 - 0</v>
      </c>
      <c r="O45" t="str">
        <f t="shared" si="4"/>
        <v>Red</v>
      </c>
      <c r="P45" t="str">
        <f t="shared" si="5"/>
        <v>Green</v>
      </c>
      <c r="Q45" t="str">
        <f t="shared" si="6"/>
        <v>Red</v>
      </c>
      <c r="R45" t="str">
        <f t="shared" si="7"/>
        <v>Green</v>
      </c>
      <c r="S45" t="str">
        <f t="shared" si="8"/>
        <v>Green</v>
      </c>
      <c r="T45" t="str">
        <f t="shared" si="9"/>
        <v>Red</v>
      </c>
      <c r="U45" t="str">
        <f t="shared" si="10"/>
        <v>Red</v>
      </c>
      <c r="V45" t="str">
        <f t="shared" si="11"/>
        <v>Green</v>
      </c>
      <c r="W45" t="str">
        <f t="shared" si="12"/>
        <v>Red</v>
      </c>
      <c r="X45" t="str">
        <f t="shared" si="13"/>
        <v>Red</v>
      </c>
      <c r="Y45" t="str">
        <f t="shared" si="14"/>
        <v>Red</v>
      </c>
      <c r="Z45" t="str">
        <f t="shared" si="15"/>
        <v>Red</v>
      </c>
      <c r="AA45" t="str">
        <f t="shared" si="16"/>
        <v>Green</v>
      </c>
      <c r="AB45" t="str">
        <f t="shared" si="17"/>
        <v>Green</v>
      </c>
      <c r="AC45" t="str">
        <f t="shared" si="18"/>
        <v>Red</v>
      </c>
      <c r="AD45" t="str">
        <f t="shared" si="19"/>
        <v>Green</v>
      </c>
    </row>
    <row r="46" spans="1:30" x14ac:dyDescent="0.2">
      <c r="A46" t="str">
        <f t="shared" si="0"/>
        <v>20/07/2026KeflavikIA Akranes</v>
      </c>
      <c r="B46" t="s">
        <v>837</v>
      </c>
      <c r="C46" t="s">
        <v>838</v>
      </c>
      <c r="D46" s="2">
        <v>46223</v>
      </c>
      <c r="E46" s="3">
        <v>0.80208333333333337</v>
      </c>
      <c r="F46" t="s">
        <v>168</v>
      </c>
      <c r="G46" t="s">
        <v>264</v>
      </c>
      <c r="H46">
        <v>2</v>
      </c>
      <c r="I46">
        <v>0</v>
      </c>
      <c r="J46">
        <v>5</v>
      </c>
      <c r="K46">
        <v>2</v>
      </c>
      <c r="L46" s="22" t="str">
        <f t="shared" si="20"/>
        <v>20/07/2026</v>
      </c>
      <c r="M46" s="23">
        <f t="shared" si="21"/>
        <v>0.67708333333333337</v>
      </c>
      <c r="N46" t="str">
        <f t="shared" si="3"/>
        <v>5 - 2</v>
      </c>
      <c r="O46" t="str">
        <f t="shared" si="4"/>
        <v>Green</v>
      </c>
      <c r="P46" t="str">
        <f t="shared" si="5"/>
        <v>Red</v>
      </c>
      <c r="Q46" t="str">
        <f t="shared" si="6"/>
        <v>Red</v>
      </c>
      <c r="R46" t="str">
        <f t="shared" si="7"/>
        <v>Green</v>
      </c>
      <c r="S46" t="str">
        <f t="shared" si="8"/>
        <v>Red</v>
      </c>
      <c r="T46" t="str">
        <f t="shared" si="9"/>
        <v>Green</v>
      </c>
      <c r="U46" t="str">
        <f t="shared" si="10"/>
        <v>Green</v>
      </c>
      <c r="V46" t="str">
        <f t="shared" si="11"/>
        <v>Red</v>
      </c>
      <c r="W46" t="str">
        <f t="shared" si="12"/>
        <v>Red</v>
      </c>
      <c r="X46" t="str">
        <f t="shared" si="13"/>
        <v>Green</v>
      </c>
      <c r="Y46" t="str">
        <f t="shared" si="14"/>
        <v>Green</v>
      </c>
      <c r="Z46" t="str">
        <f t="shared" si="15"/>
        <v>Green</v>
      </c>
      <c r="AA46" t="str">
        <f t="shared" si="16"/>
        <v>Red</v>
      </c>
      <c r="AB46" t="str">
        <f t="shared" si="17"/>
        <v>Red</v>
      </c>
      <c r="AC46" t="str">
        <f t="shared" si="18"/>
        <v>Green</v>
      </c>
      <c r="AD46" t="str">
        <f t="shared" si="19"/>
        <v>Red</v>
      </c>
    </row>
    <row r="47" spans="1:30" x14ac:dyDescent="0.2">
      <c r="A47" t="str">
        <f t="shared" si="0"/>
        <v>20/07/2026KopavogsIF Vestri</v>
      </c>
      <c r="B47" t="s">
        <v>837</v>
      </c>
      <c r="C47" t="s">
        <v>839</v>
      </c>
      <c r="D47" s="2">
        <v>46223</v>
      </c>
      <c r="E47" s="3">
        <v>0.80208333333333337</v>
      </c>
      <c r="F47" t="s">
        <v>292</v>
      </c>
      <c r="G47" t="s">
        <v>265</v>
      </c>
      <c r="H47">
        <v>4</v>
      </c>
      <c r="I47">
        <v>0</v>
      </c>
      <c r="J47">
        <v>6</v>
      </c>
      <c r="K47">
        <v>2</v>
      </c>
      <c r="L47" s="22" t="str">
        <f t="shared" si="20"/>
        <v>20/07/2026</v>
      </c>
      <c r="M47" s="23">
        <f t="shared" si="21"/>
        <v>0.67708333333333337</v>
      </c>
      <c r="N47" t="str">
        <f t="shared" si="3"/>
        <v>6 - 2</v>
      </c>
      <c r="O47" t="str">
        <f t="shared" si="4"/>
        <v>Green</v>
      </c>
      <c r="P47" t="str">
        <f t="shared" si="5"/>
        <v>Red</v>
      </c>
      <c r="Q47" t="str">
        <f t="shared" si="6"/>
        <v>Red</v>
      </c>
      <c r="R47" t="str">
        <f t="shared" si="7"/>
        <v>Green</v>
      </c>
      <c r="S47" t="str">
        <f t="shared" si="8"/>
        <v>Red</v>
      </c>
      <c r="T47" t="str">
        <f t="shared" si="9"/>
        <v>Green</v>
      </c>
      <c r="U47" t="str">
        <f t="shared" si="10"/>
        <v>Green</v>
      </c>
      <c r="V47" t="str">
        <f t="shared" si="11"/>
        <v>Red</v>
      </c>
      <c r="W47" t="str">
        <f t="shared" si="12"/>
        <v>Red</v>
      </c>
      <c r="X47" t="str">
        <f t="shared" si="13"/>
        <v>Green</v>
      </c>
      <c r="Y47" t="str">
        <f t="shared" si="14"/>
        <v>Green</v>
      </c>
      <c r="Z47" t="str">
        <f t="shared" si="15"/>
        <v>Green</v>
      </c>
      <c r="AA47" t="str">
        <f t="shared" si="16"/>
        <v>Red</v>
      </c>
      <c r="AB47" t="str">
        <f t="shared" si="17"/>
        <v>Red</v>
      </c>
      <c r="AC47" t="str">
        <f t="shared" si="18"/>
        <v>Green</v>
      </c>
      <c r="AD47" t="str">
        <f t="shared" si="19"/>
        <v>Red</v>
      </c>
    </row>
    <row r="48" spans="1:30" x14ac:dyDescent="0.2">
      <c r="A48" t="str">
        <f t="shared" si="0"/>
        <v>20/07/2026Grindavik WomenThrottur Women</v>
      </c>
      <c r="B48" t="s">
        <v>837</v>
      </c>
      <c r="C48" t="s">
        <v>1309</v>
      </c>
      <c r="D48" s="2">
        <v>46223</v>
      </c>
      <c r="E48" s="3">
        <v>0.80208333333333337</v>
      </c>
      <c r="F48" t="s">
        <v>1310</v>
      </c>
      <c r="G48" t="s">
        <v>1311</v>
      </c>
      <c r="H48">
        <v>1</v>
      </c>
      <c r="I48">
        <v>1</v>
      </c>
      <c r="J48">
        <v>4</v>
      </c>
      <c r="K48">
        <v>2</v>
      </c>
      <c r="L48" s="22" t="str">
        <f t="shared" si="20"/>
        <v>20/07/2026</v>
      </c>
      <c r="M48" s="23">
        <f t="shared" si="21"/>
        <v>0.67708333333333337</v>
      </c>
      <c r="N48" t="str">
        <f t="shared" si="3"/>
        <v>4 - 2</v>
      </c>
      <c r="O48" t="str">
        <f t="shared" si="4"/>
        <v>Green</v>
      </c>
      <c r="P48" t="str">
        <f t="shared" si="5"/>
        <v>Red</v>
      </c>
      <c r="Q48" t="str">
        <f t="shared" si="6"/>
        <v>Red</v>
      </c>
      <c r="R48" t="str">
        <f t="shared" si="7"/>
        <v>Green</v>
      </c>
      <c r="S48" t="str">
        <f t="shared" si="8"/>
        <v>Red</v>
      </c>
      <c r="T48" t="str">
        <f t="shared" si="9"/>
        <v>Green</v>
      </c>
      <c r="U48" t="str">
        <f t="shared" si="10"/>
        <v>Red</v>
      </c>
      <c r="V48" t="str">
        <f t="shared" si="11"/>
        <v>Green</v>
      </c>
      <c r="W48" t="str">
        <f t="shared" si="12"/>
        <v>Red</v>
      </c>
      <c r="X48" t="str">
        <f t="shared" si="13"/>
        <v>Green</v>
      </c>
      <c r="Y48" t="str">
        <f t="shared" si="14"/>
        <v>Green</v>
      </c>
      <c r="Z48" t="str">
        <f t="shared" si="15"/>
        <v>Green</v>
      </c>
      <c r="AA48" t="str">
        <f t="shared" si="16"/>
        <v>Red</v>
      </c>
      <c r="AB48" t="str">
        <f t="shared" si="17"/>
        <v>Red</v>
      </c>
      <c r="AC48" t="str">
        <f t="shared" si="18"/>
        <v>Green</v>
      </c>
      <c r="AD48" t="str">
        <f t="shared" si="19"/>
        <v>Red</v>
      </c>
    </row>
    <row r="49" spans="1:30" x14ac:dyDescent="0.2">
      <c r="A49" t="str">
        <f t="shared" si="0"/>
        <v>20/07/2026Sporting CPStrasbourg</v>
      </c>
      <c r="D49" s="2">
        <v>46223</v>
      </c>
      <c r="E49" s="3">
        <v>0.80208333333333337</v>
      </c>
      <c r="F49" t="s">
        <v>1312</v>
      </c>
      <c r="G49" t="s">
        <v>1313</v>
      </c>
      <c r="H49">
        <v>2</v>
      </c>
      <c r="I49">
        <v>0</v>
      </c>
      <c r="J49">
        <v>7</v>
      </c>
      <c r="K49">
        <v>0</v>
      </c>
      <c r="L49" s="22" t="str">
        <f t="shared" si="20"/>
        <v>20/07/2026</v>
      </c>
      <c r="M49" s="23">
        <f t="shared" si="21"/>
        <v>0.67708333333333337</v>
      </c>
      <c r="N49" t="str">
        <f t="shared" si="3"/>
        <v>7 - 0</v>
      </c>
      <c r="O49" t="str">
        <f t="shared" si="4"/>
        <v>Green</v>
      </c>
      <c r="P49" t="str">
        <f t="shared" si="5"/>
        <v>Red</v>
      </c>
      <c r="Q49" t="str">
        <f t="shared" si="6"/>
        <v>Red</v>
      </c>
      <c r="R49" t="str">
        <f t="shared" si="7"/>
        <v>Green</v>
      </c>
      <c r="S49" t="str">
        <f t="shared" si="8"/>
        <v>Red</v>
      </c>
      <c r="T49" t="str">
        <f t="shared" si="9"/>
        <v>Green</v>
      </c>
      <c r="U49" t="str">
        <f t="shared" si="10"/>
        <v>Green</v>
      </c>
      <c r="V49" t="str">
        <f t="shared" si="11"/>
        <v>Red</v>
      </c>
      <c r="W49" t="str">
        <f t="shared" si="12"/>
        <v>Red</v>
      </c>
      <c r="X49" t="str">
        <f t="shared" si="13"/>
        <v>Green</v>
      </c>
      <c r="Y49" t="str">
        <f t="shared" si="14"/>
        <v>Green</v>
      </c>
      <c r="Z49" t="str">
        <f t="shared" si="15"/>
        <v>Green</v>
      </c>
      <c r="AA49" t="str">
        <f t="shared" si="16"/>
        <v>Red</v>
      </c>
      <c r="AB49" t="str">
        <f t="shared" si="17"/>
        <v>Red</v>
      </c>
      <c r="AC49" t="str">
        <f t="shared" si="18"/>
        <v>Red</v>
      </c>
      <c r="AD49" t="str">
        <f t="shared" si="19"/>
        <v>Green</v>
      </c>
    </row>
    <row r="50" spans="1:30" x14ac:dyDescent="0.2">
      <c r="A50" t="str">
        <f t="shared" si="0"/>
        <v>20/07/2026TacuaryDeportivo Capiata</v>
      </c>
      <c r="B50" t="s">
        <v>847</v>
      </c>
      <c r="C50" t="s">
        <v>848</v>
      </c>
      <c r="D50" s="2">
        <v>46223</v>
      </c>
      <c r="E50" s="3">
        <v>0.83333333333333337</v>
      </c>
      <c r="F50" t="s">
        <v>281</v>
      </c>
      <c r="G50" t="s">
        <v>280</v>
      </c>
      <c r="H50">
        <v>0</v>
      </c>
      <c r="I50">
        <v>0</v>
      </c>
      <c r="J50">
        <v>0</v>
      </c>
      <c r="K50">
        <v>0</v>
      </c>
      <c r="L50" s="22" t="str">
        <f t="shared" si="20"/>
        <v>20/07/2026</v>
      </c>
      <c r="M50" s="23">
        <f t="shared" si="21"/>
        <v>0.70833333333333337</v>
      </c>
      <c r="N50" t="str">
        <f t="shared" si="3"/>
        <v>0 - 0</v>
      </c>
      <c r="O50" t="str">
        <f t="shared" si="4"/>
        <v>Red</v>
      </c>
      <c r="P50" t="str">
        <f t="shared" si="5"/>
        <v>Green</v>
      </c>
      <c r="Q50" t="str">
        <f t="shared" si="6"/>
        <v>Red</v>
      </c>
      <c r="R50" t="str">
        <f t="shared" si="7"/>
        <v>Green</v>
      </c>
      <c r="S50" t="str">
        <f t="shared" si="8"/>
        <v>Green</v>
      </c>
      <c r="T50" t="str">
        <f t="shared" si="9"/>
        <v>Red</v>
      </c>
      <c r="U50" t="str">
        <f t="shared" si="10"/>
        <v>Red</v>
      </c>
      <c r="V50" t="str">
        <f t="shared" si="11"/>
        <v>Green</v>
      </c>
      <c r="W50" t="str">
        <f t="shared" si="12"/>
        <v>Red</v>
      </c>
      <c r="X50" t="str">
        <f t="shared" si="13"/>
        <v>Red</v>
      </c>
      <c r="Y50" t="str">
        <f t="shared" si="14"/>
        <v>Red</v>
      </c>
      <c r="Z50" t="str">
        <f t="shared" si="15"/>
        <v>Red</v>
      </c>
      <c r="AA50" t="str">
        <f t="shared" si="16"/>
        <v>Green</v>
      </c>
      <c r="AB50" t="str">
        <f t="shared" si="17"/>
        <v>Green</v>
      </c>
      <c r="AC50" t="str">
        <f t="shared" si="18"/>
        <v>Red</v>
      </c>
      <c r="AD50" t="str">
        <f t="shared" si="19"/>
        <v>Green</v>
      </c>
    </row>
    <row r="51" spans="1:30" x14ac:dyDescent="0.2">
      <c r="A51" t="str">
        <f t="shared" si="0"/>
        <v>20/07/2026TorqueDanubio</v>
      </c>
      <c r="D51" s="2">
        <v>46223</v>
      </c>
      <c r="E51" s="3">
        <v>0.83333333333333337</v>
      </c>
      <c r="F51" t="s">
        <v>1314</v>
      </c>
      <c r="G51" t="s">
        <v>1315</v>
      </c>
      <c r="L51" s="22" t="str">
        <f t="shared" si="20"/>
        <v>20/07/2026</v>
      </c>
      <c r="M51" s="23">
        <f t="shared" si="21"/>
        <v>0.70833333333333337</v>
      </c>
      <c r="N51" t="str">
        <f t="shared" si="3"/>
        <v xml:space="preserve"> - </v>
      </c>
      <c r="O51" t="str">
        <f t="shared" si="4"/>
        <v>Red</v>
      </c>
      <c r="P51" t="str">
        <f t="shared" si="5"/>
        <v>Green</v>
      </c>
      <c r="Q51" t="str">
        <f t="shared" si="6"/>
        <v>Red</v>
      </c>
      <c r="R51" t="str">
        <f t="shared" si="7"/>
        <v>Green</v>
      </c>
      <c r="S51" t="str">
        <f t="shared" si="8"/>
        <v>Green</v>
      </c>
      <c r="T51" t="str">
        <f t="shared" si="9"/>
        <v>Red</v>
      </c>
      <c r="U51" t="str">
        <f t="shared" si="10"/>
        <v>Red</v>
      </c>
      <c r="V51" t="str">
        <f t="shared" si="11"/>
        <v>Green</v>
      </c>
      <c r="W51" t="str">
        <f t="shared" si="12"/>
        <v>Red</v>
      </c>
      <c r="X51" t="str">
        <f t="shared" si="13"/>
        <v>Red</v>
      </c>
      <c r="Y51" t="str">
        <f t="shared" si="14"/>
        <v>Red</v>
      </c>
      <c r="Z51" t="str">
        <f t="shared" si="15"/>
        <v>Red</v>
      </c>
      <c r="AA51" t="str">
        <f t="shared" si="16"/>
        <v>Green</v>
      </c>
      <c r="AB51" t="str">
        <f t="shared" si="17"/>
        <v>Green</v>
      </c>
      <c r="AC51" t="str">
        <f t="shared" si="18"/>
        <v>Red</v>
      </c>
      <c r="AD51" t="str">
        <f t="shared" si="19"/>
        <v>Green</v>
      </c>
    </row>
    <row r="52" spans="1:30" x14ac:dyDescent="0.2">
      <c r="A52" t="str">
        <f t="shared" si="0"/>
        <v>20/07/2026Volta RedondaSao Goncalo</v>
      </c>
      <c r="B52" t="s">
        <v>804</v>
      </c>
      <c r="C52" t="s">
        <v>829</v>
      </c>
      <c r="D52" s="2">
        <v>46223</v>
      </c>
      <c r="E52" s="3">
        <v>0.91666666666666663</v>
      </c>
      <c r="F52" t="s">
        <v>308</v>
      </c>
      <c r="G52" t="s">
        <v>307</v>
      </c>
      <c r="H52">
        <v>0</v>
      </c>
      <c r="I52">
        <v>0</v>
      </c>
      <c r="J52">
        <v>0</v>
      </c>
      <c r="K52">
        <v>0</v>
      </c>
      <c r="L52" s="22" t="str">
        <f t="shared" si="20"/>
        <v>20/07/2026</v>
      </c>
      <c r="M52" s="23">
        <f t="shared" si="21"/>
        <v>0.79166666666666663</v>
      </c>
      <c r="N52" t="str">
        <f t="shared" si="3"/>
        <v>0 - 0</v>
      </c>
      <c r="O52" t="str">
        <f t="shared" si="4"/>
        <v>Red</v>
      </c>
      <c r="P52" t="str">
        <f t="shared" si="5"/>
        <v>Green</v>
      </c>
      <c r="Q52" t="str">
        <f t="shared" si="6"/>
        <v>Red</v>
      </c>
      <c r="R52" t="str">
        <f t="shared" si="7"/>
        <v>Green</v>
      </c>
      <c r="S52" t="str">
        <f t="shared" si="8"/>
        <v>Green</v>
      </c>
      <c r="T52" t="str">
        <f t="shared" si="9"/>
        <v>Red</v>
      </c>
      <c r="U52" t="str">
        <f t="shared" si="10"/>
        <v>Red</v>
      </c>
      <c r="V52" t="str">
        <f t="shared" si="11"/>
        <v>Green</v>
      </c>
      <c r="W52" t="str">
        <f t="shared" si="12"/>
        <v>Red</v>
      </c>
      <c r="X52" t="str">
        <f t="shared" si="13"/>
        <v>Red</v>
      </c>
      <c r="Y52" t="str">
        <f t="shared" si="14"/>
        <v>Red</v>
      </c>
      <c r="Z52" t="str">
        <f t="shared" si="15"/>
        <v>Red</v>
      </c>
      <c r="AA52" t="str">
        <f t="shared" si="16"/>
        <v>Green</v>
      </c>
      <c r="AB52" t="str">
        <f t="shared" si="17"/>
        <v>Green</v>
      </c>
      <c r="AC52" t="str">
        <f t="shared" si="18"/>
        <v>Red</v>
      </c>
      <c r="AD52" t="str">
        <f t="shared" si="19"/>
        <v>Green</v>
      </c>
    </row>
    <row r="53" spans="1:30" x14ac:dyDescent="0.2">
      <c r="A53" t="str">
        <f t="shared" si="0"/>
        <v>20/07/2026Flamengo Women3B Sport AM Women</v>
      </c>
      <c r="B53" t="s">
        <v>804</v>
      </c>
      <c r="C53" t="s">
        <v>1306</v>
      </c>
      <c r="D53" s="2">
        <v>46223</v>
      </c>
      <c r="E53" s="3">
        <v>0.91666666666666663</v>
      </c>
      <c r="F53" t="s">
        <v>1316</v>
      </c>
      <c r="G53" t="s">
        <v>1317</v>
      </c>
      <c r="H53">
        <v>0</v>
      </c>
      <c r="I53">
        <v>0</v>
      </c>
      <c r="J53">
        <v>1</v>
      </c>
      <c r="K53">
        <v>0</v>
      </c>
      <c r="L53" s="22" t="str">
        <f t="shared" si="20"/>
        <v>20/07/2026</v>
      </c>
      <c r="M53" s="23">
        <f t="shared" si="21"/>
        <v>0.79166666666666663</v>
      </c>
      <c r="N53" t="str">
        <f t="shared" si="3"/>
        <v>1 - 0</v>
      </c>
      <c r="O53" t="str">
        <f t="shared" si="4"/>
        <v>Green</v>
      </c>
      <c r="P53" t="str">
        <f t="shared" si="5"/>
        <v>Red</v>
      </c>
      <c r="Q53" t="str">
        <f t="shared" si="6"/>
        <v>Red</v>
      </c>
      <c r="R53" t="str">
        <f t="shared" si="7"/>
        <v>Green</v>
      </c>
      <c r="S53" t="str">
        <f t="shared" si="8"/>
        <v>Red</v>
      </c>
      <c r="T53" t="str">
        <f t="shared" si="9"/>
        <v>Green</v>
      </c>
      <c r="U53" t="str">
        <f t="shared" si="10"/>
        <v>Red</v>
      </c>
      <c r="V53" t="str">
        <f t="shared" si="11"/>
        <v>Green</v>
      </c>
      <c r="W53" t="str">
        <f t="shared" si="12"/>
        <v>Red</v>
      </c>
      <c r="X53" t="str">
        <f t="shared" si="13"/>
        <v>Red</v>
      </c>
      <c r="Y53" t="str">
        <f t="shared" si="14"/>
        <v>Red</v>
      </c>
      <c r="Z53" t="str">
        <f t="shared" si="15"/>
        <v>Red</v>
      </c>
      <c r="AA53" t="str">
        <f t="shared" si="16"/>
        <v>Green</v>
      </c>
      <c r="AB53" t="str">
        <f t="shared" si="17"/>
        <v>Green</v>
      </c>
      <c r="AC53" t="str">
        <f t="shared" si="18"/>
        <v>Red</v>
      </c>
      <c r="AD53" t="str">
        <f t="shared" si="19"/>
        <v>Green</v>
      </c>
    </row>
    <row r="54" spans="1:30" x14ac:dyDescent="0.2">
      <c r="A54" t="str">
        <f t="shared" si="0"/>
        <v>20/07/2026CA ColegialesFerrocarril Midland</v>
      </c>
      <c r="B54" t="s">
        <v>806</v>
      </c>
      <c r="C54" t="s">
        <v>807</v>
      </c>
      <c r="D54" s="2">
        <v>46223</v>
      </c>
      <c r="E54" s="3">
        <v>0.95833333333333337</v>
      </c>
      <c r="F54" t="s">
        <v>331</v>
      </c>
      <c r="G54" t="s">
        <v>330</v>
      </c>
      <c r="L54" s="22" t="str">
        <f t="shared" si="20"/>
        <v>20/07/2026</v>
      </c>
      <c r="M54" s="23">
        <f t="shared" si="21"/>
        <v>0.83333333333333337</v>
      </c>
      <c r="N54" t="str">
        <f t="shared" si="3"/>
        <v xml:space="preserve"> - </v>
      </c>
      <c r="O54" t="str">
        <f t="shared" si="4"/>
        <v>Red</v>
      </c>
      <c r="P54" t="str">
        <f t="shared" si="5"/>
        <v>Green</v>
      </c>
      <c r="Q54" t="str">
        <f t="shared" si="6"/>
        <v>Red</v>
      </c>
      <c r="R54" t="str">
        <f t="shared" si="7"/>
        <v>Green</v>
      </c>
      <c r="S54" t="str">
        <f t="shared" si="8"/>
        <v>Green</v>
      </c>
      <c r="T54" t="str">
        <f t="shared" si="9"/>
        <v>Red</v>
      </c>
      <c r="U54" t="str">
        <f t="shared" si="10"/>
        <v>Red</v>
      </c>
      <c r="V54" t="str">
        <f t="shared" si="11"/>
        <v>Green</v>
      </c>
      <c r="W54" t="str">
        <f t="shared" si="12"/>
        <v>Red</v>
      </c>
      <c r="X54" t="str">
        <f t="shared" si="13"/>
        <v>Red</v>
      </c>
      <c r="Y54" t="str">
        <f t="shared" si="14"/>
        <v>Red</v>
      </c>
      <c r="Z54" t="str">
        <f t="shared" si="15"/>
        <v>Red</v>
      </c>
      <c r="AA54" t="str">
        <f t="shared" si="16"/>
        <v>Green</v>
      </c>
      <c r="AB54" t="str">
        <f t="shared" si="17"/>
        <v>Green</v>
      </c>
      <c r="AC54" t="str">
        <f t="shared" si="18"/>
        <v>Red</v>
      </c>
      <c r="AD54" t="str">
        <f t="shared" si="19"/>
        <v>Green</v>
      </c>
    </row>
    <row r="55" spans="1:30" x14ac:dyDescent="0.2">
      <c r="A55" t="str">
        <f t="shared" si="0"/>
        <v>20/07/2026Club Atletico PatronatoCA Atlanta</v>
      </c>
      <c r="B55" t="s">
        <v>806</v>
      </c>
      <c r="C55" t="s">
        <v>807</v>
      </c>
      <c r="D55" s="2">
        <v>46223</v>
      </c>
      <c r="E55" s="3">
        <v>0.95833333333333337</v>
      </c>
      <c r="F55" t="s">
        <v>329</v>
      </c>
      <c r="G55" t="s">
        <v>328</v>
      </c>
      <c r="L55" s="22" t="str">
        <f t="shared" si="20"/>
        <v>20/07/2026</v>
      </c>
      <c r="M55" s="23">
        <f t="shared" si="21"/>
        <v>0.83333333333333337</v>
      </c>
      <c r="N55" t="str">
        <f t="shared" si="3"/>
        <v xml:space="preserve"> - </v>
      </c>
      <c r="O55" t="str">
        <f t="shared" si="4"/>
        <v>Red</v>
      </c>
      <c r="P55" t="str">
        <f t="shared" si="5"/>
        <v>Green</v>
      </c>
      <c r="Q55" t="str">
        <f t="shared" si="6"/>
        <v>Red</v>
      </c>
      <c r="R55" t="str">
        <f t="shared" si="7"/>
        <v>Green</v>
      </c>
      <c r="S55" t="str">
        <f t="shared" si="8"/>
        <v>Green</v>
      </c>
      <c r="T55" t="str">
        <f t="shared" si="9"/>
        <v>Red</v>
      </c>
      <c r="U55" t="str">
        <f t="shared" si="10"/>
        <v>Red</v>
      </c>
      <c r="V55" t="str">
        <f t="shared" si="11"/>
        <v>Green</v>
      </c>
      <c r="W55" t="str">
        <f t="shared" si="12"/>
        <v>Red</v>
      </c>
      <c r="X55" t="str">
        <f t="shared" si="13"/>
        <v>Red</v>
      </c>
      <c r="Y55" t="str">
        <f t="shared" si="14"/>
        <v>Red</v>
      </c>
      <c r="Z55" t="str">
        <f t="shared" si="15"/>
        <v>Red</v>
      </c>
      <c r="AA55" t="str">
        <f t="shared" si="16"/>
        <v>Green</v>
      </c>
      <c r="AB55" t="str">
        <f t="shared" si="17"/>
        <v>Green</v>
      </c>
      <c r="AC55" t="str">
        <f t="shared" si="18"/>
        <v>Red</v>
      </c>
      <c r="AD55" t="str">
        <f t="shared" si="19"/>
        <v>Green</v>
      </c>
    </row>
    <row r="56" spans="1:30" x14ac:dyDescent="0.2">
      <c r="A56" t="str">
        <f t="shared" si="0"/>
        <v>20/07/2026QuilmesGimnasia Jujuy</v>
      </c>
      <c r="B56" t="s">
        <v>806</v>
      </c>
      <c r="C56" t="s">
        <v>807</v>
      </c>
      <c r="D56" s="2">
        <v>46223</v>
      </c>
      <c r="E56" s="3">
        <v>0.95833333333333337</v>
      </c>
      <c r="F56" t="s">
        <v>327</v>
      </c>
      <c r="G56" t="s">
        <v>326</v>
      </c>
      <c r="L56" s="22" t="str">
        <f t="shared" si="20"/>
        <v>20/07/2026</v>
      </c>
      <c r="M56" s="23">
        <f t="shared" si="21"/>
        <v>0.83333333333333337</v>
      </c>
      <c r="N56" t="str">
        <f t="shared" si="3"/>
        <v xml:space="preserve"> - </v>
      </c>
      <c r="O56" t="str">
        <f t="shared" si="4"/>
        <v>Red</v>
      </c>
      <c r="P56" t="str">
        <f t="shared" si="5"/>
        <v>Green</v>
      </c>
      <c r="Q56" t="str">
        <f t="shared" si="6"/>
        <v>Red</v>
      </c>
      <c r="R56" t="str">
        <f t="shared" si="7"/>
        <v>Green</v>
      </c>
      <c r="S56" t="str">
        <f t="shared" si="8"/>
        <v>Green</v>
      </c>
      <c r="T56" t="str">
        <f t="shared" si="9"/>
        <v>Red</v>
      </c>
      <c r="U56" t="str">
        <f t="shared" si="10"/>
        <v>Red</v>
      </c>
      <c r="V56" t="str">
        <f t="shared" si="11"/>
        <v>Green</v>
      </c>
      <c r="W56" t="str">
        <f t="shared" si="12"/>
        <v>Red</v>
      </c>
      <c r="X56" t="str">
        <f t="shared" si="13"/>
        <v>Red</v>
      </c>
      <c r="Y56" t="str">
        <f t="shared" si="14"/>
        <v>Red</v>
      </c>
      <c r="Z56" t="str">
        <f t="shared" si="15"/>
        <v>Red</v>
      </c>
      <c r="AA56" t="str">
        <f t="shared" si="16"/>
        <v>Green</v>
      </c>
      <c r="AB56" t="str">
        <f t="shared" si="17"/>
        <v>Green</v>
      </c>
      <c r="AC56" t="str">
        <f t="shared" si="18"/>
        <v>Red</v>
      </c>
      <c r="AD56" t="str">
        <f t="shared" si="19"/>
        <v>Green</v>
      </c>
    </row>
    <row r="57" spans="1:30" x14ac:dyDescent="0.2">
      <c r="A57" t="str">
        <f t="shared" si="0"/>
        <v>20/07/2026Nacional PotosiReal Oruro</v>
      </c>
      <c r="B57" t="s">
        <v>815</v>
      </c>
      <c r="C57" t="s">
        <v>816</v>
      </c>
      <c r="D57" s="2">
        <v>46223</v>
      </c>
      <c r="E57" s="3">
        <v>0.95833333333333337</v>
      </c>
      <c r="F57" t="s">
        <v>309</v>
      </c>
      <c r="G57" t="s">
        <v>267</v>
      </c>
      <c r="H57">
        <v>0</v>
      </c>
      <c r="I57">
        <v>2</v>
      </c>
      <c r="J57">
        <v>1</v>
      </c>
      <c r="K57">
        <v>4</v>
      </c>
      <c r="L57" s="22" t="str">
        <f t="shared" si="20"/>
        <v>20/07/2026</v>
      </c>
      <c r="M57" s="23">
        <f t="shared" si="21"/>
        <v>0.83333333333333337</v>
      </c>
      <c r="N57" t="str">
        <f t="shared" si="3"/>
        <v>1 - 4</v>
      </c>
      <c r="O57" t="str">
        <f t="shared" si="4"/>
        <v>Red</v>
      </c>
      <c r="P57" t="str">
        <f t="shared" si="5"/>
        <v>Red</v>
      </c>
      <c r="Q57" t="str">
        <f t="shared" si="6"/>
        <v>Green</v>
      </c>
      <c r="R57" t="str">
        <f t="shared" si="7"/>
        <v>Red</v>
      </c>
      <c r="S57" t="str">
        <f t="shared" si="8"/>
        <v>Green</v>
      </c>
      <c r="T57" t="str">
        <f t="shared" si="9"/>
        <v>Green</v>
      </c>
      <c r="U57" t="str">
        <f t="shared" si="10"/>
        <v>Red</v>
      </c>
      <c r="V57" t="str">
        <f t="shared" si="11"/>
        <v>Red</v>
      </c>
      <c r="W57" t="str">
        <f t="shared" si="12"/>
        <v>Green</v>
      </c>
      <c r="X57" t="str">
        <f t="shared" si="13"/>
        <v>Green</v>
      </c>
      <c r="Y57" t="str">
        <f t="shared" si="14"/>
        <v>Green</v>
      </c>
      <c r="Z57" t="str">
        <f t="shared" si="15"/>
        <v>Green</v>
      </c>
      <c r="AA57" t="str">
        <f t="shared" si="16"/>
        <v>Red</v>
      </c>
      <c r="AB57" t="str">
        <f t="shared" si="17"/>
        <v>Red</v>
      </c>
      <c r="AC57" t="str">
        <f t="shared" si="18"/>
        <v>Green</v>
      </c>
      <c r="AD57" t="str">
        <f t="shared" si="19"/>
        <v>Red</v>
      </c>
    </row>
    <row r="58" spans="1:30" x14ac:dyDescent="0.2">
      <c r="A58" t="str">
        <f t="shared" si="0"/>
        <v>20/07/2026Ferroviaria SP WomenCorinthians SP Women</v>
      </c>
      <c r="B58" t="s">
        <v>804</v>
      </c>
      <c r="C58" t="s">
        <v>1306</v>
      </c>
      <c r="D58" s="2">
        <v>46223</v>
      </c>
      <c r="E58" s="3">
        <v>0.95833333333333337</v>
      </c>
      <c r="F58" t="s">
        <v>1318</v>
      </c>
      <c r="G58" t="s">
        <v>1319</v>
      </c>
      <c r="H58">
        <v>0</v>
      </c>
      <c r="I58">
        <v>0</v>
      </c>
      <c r="J58">
        <v>1</v>
      </c>
      <c r="K58">
        <v>0</v>
      </c>
      <c r="L58" s="22" t="str">
        <f t="shared" si="20"/>
        <v>20/07/2026</v>
      </c>
      <c r="M58" s="23">
        <f t="shared" si="21"/>
        <v>0.83333333333333337</v>
      </c>
      <c r="N58" t="str">
        <f t="shared" si="3"/>
        <v>1 - 0</v>
      </c>
      <c r="O58" t="str">
        <f t="shared" si="4"/>
        <v>Green</v>
      </c>
      <c r="P58" t="str">
        <f t="shared" si="5"/>
        <v>Red</v>
      </c>
      <c r="Q58" t="str">
        <f t="shared" si="6"/>
        <v>Red</v>
      </c>
      <c r="R58" t="str">
        <f t="shared" si="7"/>
        <v>Green</v>
      </c>
      <c r="S58" t="str">
        <f t="shared" si="8"/>
        <v>Red</v>
      </c>
      <c r="T58" t="str">
        <f t="shared" si="9"/>
        <v>Green</v>
      </c>
      <c r="U58" t="str">
        <f t="shared" si="10"/>
        <v>Red</v>
      </c>
      <c r="V58" t="str">
        <f t="shared" si="11"/>
        <v>Green</v>
      </c>
      <c r="W58" t="str">
        <f t="shared" si="12"/>
        <v>Red</v>
      </c>
      <c r="X58" t="str">
        <f t="shared" si="13"/>
        <v>Red</v>
      </c>
      <c r="Y58" t="str">
        <f t="shared" si="14"/>
        <v>Red</v>
      </c>
      <c r="Z58" t="str">
        <f t="shared" si="15"/>
        <v>Red</v>
      </c>
      <c r="AA58" t="str">
        <f t="shared" si="16"/>
        <v>Green</v>
      </c>
      <c r="AB58" t="str">
        <f t="shared" si="17"/>
        <v>Green</v>
      </c>
      <c r="AC58" t="str">
        <f t="shared" si="18"/>
        <v>Red</v>
      </c>
      <c r="AD58" t="str">
        <f t="shared" si="19"/>
        <v>Green</v>
      </c>
    </row>
    <row r="59" spans="1:30" x14ac:dyDescent="0.2">
      <c r="A59" t="str">
        <f t="shared" si="0"/>
        <v>20/07/2026Defensor SportingLiverpool Montevideo</v>
      </c>
      <c r="D59" s="2">
        <v>46223</v>
      </c>
      <c r="E59" s="3">
        <v>0.95833333333333337</v>
      </c>
      <c r="F59" t="s">
        <v>676</v>
      </c>
      <c r="G59" t="s">
        <v>1320</v>
      </c>
      <c r="L59" s="22" t="str">
        <f t="shared" si="20"/>
        <v>20/07/2026</v>
      </c>
      <c r="M59" s="23">
        <f t="shared" si="21"/>
        <v>0.83333333333333337</v>
      </c>
      <c r="N59" t="str">
        <f t="shared" si="3"/>
        <v xml:space="preserve"> - </v>
      </c>
      <c r="O59" t="str">
        <f t="shared" si="4"/>
        <v>Red</v>
      </c>
      <c r="P59" t="str">
        <f t="shared" si="5"/>
        <v>Green</v>
      </c>
      <c r="Q59" t="str">
        <f t="shared" si="6"/>
        <v>Red</v>
      </c>
      <c r="R59" t="str">
        <f t="shared" si="7"/>
        <v>Green</v>
      </c>
      <c r="S59" t="str">
        <f t="shared" si="8"/>
        <v>Green</v>
      </c>
      <c r="T59" t="str">
        <f t="shared" si="9"/>
        <v>Red</v>
      </c>
      <c r="U59" t="str">
        <f t="shared" si="10"/>
        <v>Red</v>
      </c>
      <c r="V59" t="str">
        <f t="shared" si="11"/>
        <v>Green</v>
      </c>
      <c r="W59" t="str">
        <f t="shared" si="12"/>
        <v>Red</v>
      </c>
      <c r="X59" t="str">
        <f t="shared" si="13"/>
        <v>Red</v>
      </c>
      <c r="Y59" t="str">
        <f t="shared" si="14"/>
        <v>Red</v>
      </c>
      <c r="Z59" t="str">
        <f t="shared" si="15"/>
        <v>Red</v>
      </c>
      <c r="AA59" t="str">
        <f t="shared" si="16"/>
        <v>Green</v>
      </c>
      <c r="AB59" t="str">
        <f t="shared" si="17"/>
        <v>Green</v>
      </c>
      <c r="AC59" t="str">
        <f t="shared" si="18"/>
        <v>Red</v>
      </c>
      <c r="AD59" t="str">
        <f t="shared" si="19"/>
        <v>Green</v>
      </c>
    </row>
    <row r="60" spans="1:30" x14ac:dyDescent="0.2">
      <c r="A60" t="str">
        <f t="shared" si="0"/>
        <v>20/07/2026CA Chaco For EverCA San Miguel</v>
      </c>
      <c r="B60" t="s">
        <v>806</v>
      </c>
      <c r="C60" t="s">
        <v>807</v>
      </c>
      <c r="D60" s="2">
        <v>46224</v>
      </c>
      <c r="E60" s="3">
        <v>0</v>
      </c>
      <c r="F60" t="s">
        <v>325</v>
      </c>
      <c r="G60" t="s">
        <v>324</v>
      </c>
      <c r="L60" s="29" t="s">
        <v>242</v>
      </c>
      <c r="M60" s="23">
        <v>0.875</v>
      </c>
      <c r="N60" t="str">
        <f t="shared" si="3"/>
        <v xml:space="preserve"> - </v>
      </c>
      <c r="O60" t="str">
        <f t="shared" si="4"/>
        <v>Red</v>
      </c>
      <c r="P60" t="str">
        <f t="shared" si="5"/>
        <v>Green</v>
      </c>
      <c r="Q60" t="str">
        <f t="shared" si="6"/>
        <v>Red</v>
      </c>
      <c r="R60" t="str">
        <f t="shared" si="7"/>
        <v>Green</v>
      </c>
      <c r="S60" t="str">
        <f t="shared" si="8"/>
        <v>Green</v>
      </c>
      <c r="T60" t="str">
        <f t="shared" si="9"/>
        <v>Red</v>
      </c>
      <c r="U60" t="str">
        <f t="shared" si="10"/>
        <v>Red</v>
      </c>
      <c r="V60" t="str">
        <f t="shared" si="11"/>
        <v>Green</v>
      </c>
      <c r="W60" t="str">
        <f t="shared" si="12"/>
        <v>Red</v>
      </c>
      <c r="X60" t="str">
        <f t="shared" si="13"/>
        <v>Red</v>
      </c>
      <c r="Y60" t="str">
        <f t="shared" si="14"/>
        <v>Red</v>
      </c>
      <c r="Z60" t="str">
        <f t="shared" si="15"/>
        <v>Red</v>
      </c>
      <c r="AA60" t="str">
        <f t="shared" si="16"/>
        <v>Green</v>
      </c>
      <c r="AB60" t="str">
        <f t="shared" si="17"/>
        <v>Green</v>
      </c>
      <c r="AC60" t="str">
        <f t="shared" si="18"/>
        <v>Red</v>
      </c>
      <c r="AD60" t="str">
        <f t="shared" si="19"/>
        <v>Green</v>
      </c>
    </row>
    <row r="61" spans="1:30" x14ac:dyDescent="0.2">
      <c r="A61" t="str">
        <f t="shared" si="0"/>
        <v>21/07/2026Deportivo SantaniFernando de la Mora</v>
      </c>
      <c r="B61" t="s">
        <v>847</v>
      </c>
      <c r="C61" t="s">
        <v>848</v>
      </c>
      <c r="D61" s="2">
        <v>46224</v>
      </c>
      <c r="E61" s="3">
        <v>0</v>
      </c>
      <c r="F61" t="s">
        <v>279</v>
      </c>
      <c r="G61" t="s">
        <v>278</v>
      </c>
      <c r="H61">
        <v>0</v>
      </c>
      <c r="I61">
        <v>1</v>
      </c>
      <c r="J61">
        <v>2</v>
      </c>
      <c r="K61">
        <v>3</v>
      </c>
      <c r="L61" s="22" t="str">
        <f>DAY(D61)&amp;"/"&amp;"07"&amp;"/"&amp;YEAR(D61)</f>
        <v>21/07/2026</v>
      </c>
      <c r="M61" s="23">
        <v>0.875</v>
      </c>
      <c r="N61" t="str">
        <f t="shared" si="3"/>
        <v>2 - 3</v>
      </c>
      <c r="O61" t="str">
        <f t="shared" si="4"/>
        <v>Red</v>
      </c>
      <c r="P61" t="str">
        <f t="shared" si="5"/>
        <v>Red</v>
      </c>
      <c r="Q61" t="str">
        <f t="shared" si="6"/>
        <v>Green</v>
      </c>
      <c r="R61" t="str">
        <f t="shared" si="7"/>
        <v>Red</v>
      </c>
      <c r="S61" t="str">
        <f t="shared" si="8"/>
        <v>Green</v>
      </c>
      <c r="T61" t="str">
        <f t="shared" si="9"/>
        <v>Green</v>
      </c>
      <c r="U61" t="str">
        <f t="shared" si="10"/>
        <v>Red</v>
      </c>
      <c r="V61" t="str">
        <f t="shared" si="11"/>
        <v>Red</v>
      </c>
      <c r="W61" t="str">
        <f t="shared" si="12"/>
        <v>Green</v>
      </c>
      <c r="X61" t="str">
        <f t="shared" si="13"/>
        <v>Green</v>
      </c>
      <c r="Y61" t="str">
        <f t="shared" si="14"/>
        <v>Green</v>
      </c>
      <c r="Z61" t="str">
        <f t="shared" si="15"/>
        <v>Green</v>
      </c>
      <c r="AA61" t="str">
        <f t="shared" si="16"/>
        <v>Red</v>
      </c>
      <c r="AB61" t="str">
        <f t="shared" si="17"/>
        <v>Red</v>
      </c>
      <c r="AC61" t="str">
        <f t="shared" si="18"/>
        <v>Green</v>
      </c>
      <c r="AD61" t="str">
        <f t="shared" si="19"/>
        <v>Red</v>
      </c>
    </row>
    <row r="62" spans="1:30" x14ac:dyDescent="0.2">
      <c r="A62" t="str">
        <f t="shared" si="0"/>
        <v>20/07/2026Central NorteDeportivo Moron</v>
      </c>
      <c r="B62" t="s">
        <v>806</v>
      </c>
      <c r="C62" t="s">
        <v>807</v>
      </c>
      <c r="D62" s="2">
        <v>46224</v>
      </c>
      <c r="E62" s="3">
        <v>2.0833333333333332E-2</v>
      </c>
      <c r="F62" t="s">
        <v>323</v>
      </c>
      <c r="G62" t="s">
        <v>322</v>
      </c>
      <c r="L62" s="30" t="str">
        <f>DAY(D62)-1&amp;"/"&amp;"07"&amp;"/"&amp;YEAR(D62)</f>
        <v>20/07/2026</v>
      </c>
      <c r="M62" s="31">
        <f>E62-TIME(3,0,0)+TIME(12,0,0)+TIME(12,0,0)</f>
        <v>0.89583333333333326</v>
      </c>
      <c r="N62" t="str">
        <f t="shared" si="3"/>
        <v xml:space="preserve"> - </v>
      </c>
      <c r="O62" t="str">
        <f t="shared" si="4"/>
        <v>Red</v>
      </c>
      <c r="P62" t="str">
        <f t="shared" si="5"/>
        <v>Green</v>
      </c>
      <c r="Q62" t="str">
        <f t="shared" si="6"/>
        <v>Red</v>
      </c>
      <c r="R62" t="str">
        <f t="shared" si="7"/>
        <v>Green</v>
      </c>
      <c r="S62" t="str">
        <f t="shared" si="8"/>
        <v>Green</v>
      </c>
      <c r="T62" t="str">
        <f t="shared" si="9"/>
        <v>Red</v>
      </c>
      <c r="U62" t="str">
        <f t="shared" si="10"/>
        <v>Red</v>
      </c>
      <c r="V62" t="str">
        <f t="shared" si="11"/>
        <v>Green</v>
      </c>
      <c r="W62" t="str">
        <f t="shared" si="12"/>
        <v>Red</v>
      </c>
      <c r="X62" t="str">
        <f t="shared" si="13"/>
        <v>Red</v>
      </c>
      <c r="Y62" t="str">
        <f t="shared" si="14"/>
        <v>Red</v>
      </c>
      <c r="Z62" t="str">
        <f t="shared" si="15"/>
        <v>Red</v>
      </c>
      <c r="AA62" t="str">
        <f t="shared" si="16"/>
        <v>Green</v>
      </c>
      <c r="AB62" t="str">
        <f t="shared" si="17"/>
        <v>Green</v>
      </c>
      <c r="AC62" t="str">
        <f t="shared" si="18"/>
        <v>Red</v>
      </c>
      <c r="AD62" t="str">
        <f t="shared" si="19"/>
        <v>Green</v>
      </c>
    </row>
    <row r="63" spans="1:30" x14ac:dyDescent="0.2">
      <c r="A63" t="str">
        <f t="shared" si="0"/>
        <v>21/07/2026Gungahlin Juventus U23Canberra Croatia U23</v>
      </c>
      <c r="B63" t="s">
        <v>810</v>
      </c>
      <c r="C63" t="s">
        <v>909</v>
      </c>
      <c r="D63" s="2">
        <v>46224</v>
      </c>
      <c r="E63" s="3">
        <v>0.3125</v>
      </c>
      <c r="F63" t="s">
        <v>1335</v>
      </c>
      <c r="G63" t="s">
        <v>1336</v>
      </c>
      <c r="H63">
        <v>2</v>
      </c>
      <c r="I63">
        <v>0</v>
      </c>
      <c r="J63">
        <v>2</v>
      </c>
      <c r="K63">
        <v>1</v>
      </c>
      <c r="L63" s="22" t="str">
        <f t="shared" ref="L63:L94" si="22">DAY(D63)&amp;"/"&amp;"07"&amp;"/"&amp;YEAR(D63)</f>
        <v>21/07/2026</v>
      </c>
      <c r="M63" s="23">
        <f t="shared" ref="M63:M94" si="23">E63-TIME(3,0,0)</f>
        <v>0.1875</v>
      </c>
      <c r="N63" t="str">
        <f t="shared" si="3"/>
        <v>2 - 1</v>
      </c>
      <c r="O63" t="str">
        <f t="shared" si="4"/>
        <v>Green</v>
      </c>
      <c r="P63" t="str">
        <f t="shared" si="5"/>
        <v>Red</v>
      </c>
      <c r="Q63" t="str">
        <f t="shared" si="6"/>
        <v>Red</v>
      </c>
      <c r="R63" t="str">
        <f t="shared" si="7"/>
        <v>Green</v>
      </c>
      <c r="S63" t="str">
        <f t="shared" si="8"/>
        <v>Red</v>
      </c>
      <c r="T63" t="str">
        <f t="shared" si="9"/>
        <v>Green</v>
      </c>
      <c r="U63" t="str">
        <f t="shared" si="10"/>
        <v>Green</v>
      </c>
      <c r="V63" t="str">
        <f t="shared" si="11"/>
        <v>Red</v>
      </c>
      <c r="W63" t="str">
        <f t="shared" si="12"/>
        <v>Red</v>
      </c>
      <c r="X63" t="str">
        <f t="shared" si="13"/>
        <v>Green</v>
      </c>
      <c r="Y63" t="str">
        <f t="shared" si="14"/>
        <v>Green</v>
      </c>
      <c r="Z63" t="str">
        <f t="shared" si="15"/>
        <v>Green</v>
      </c>
      <c r="AA63" t="str">
        <f t="shared" si="16"/>
        <v>Red</v>
      </c>
      <c r="AB63" t="str">
        <f t="shared" si="17"/>
        <v>Green</v>
      </c>
      <c r="AC63" t="str">
        <f t="shared" si="18"/>
        <v>Green</v>
      </c>
      <c r="AD63" t="str">
        <f t="shared" si="19"/>
        <v>Red</v>
      </c>
    </row>
    <row r="64" spans="1:30" x14ac:dyDescent="0.2">
      <c r="A64" t="str">
        <f t="shared" si="0"/>
        <v>21/07/2026Dalian KeweiBeijing Guoan</v>
      </c>
      <c r="B64" t="s">
        <v>819</v>
      </c>
      <c r="C64" t="s">
        <v>820</v>
      </c>
      <c r="D64" s="2">
        <v>46224</v>
      </c>
      <c r="E64" s="3">
        <v>0.33333333333333331</v>
      </c>
      <c r="F64" t="s">
        <v>402</v>
      </c>
      <c r="G64" t="s">
        <v>403</v>
      </c>
      <c r="H64">
        <v>0</v>
      </c>
      <c r="I64">
        <v>1</v>
      </c>
      <c r="J64">
        <v>1</v>
      </c>
      <c r="K64">
        <v>2</v>
      </c>
      <c r="L64" s="22" t="str">
        <f t="shared" si="22"/>
        <v>21/07/2026</v>
      </c>
      <c r="M64" s="23">
        <f t="shared" si="23"/>
        <v>0.20833333333333331</v>
      </c>
      <c r="N64" t="str">
        <f t="shared" si="3"/>
        <v>1 - 2</v>
      </c>
      <c r="O64" t="str">
        <f t="shared" si="4"/>
        <v>Red</v>
      </c>
      <c r="P64" t="str">
        <f t="shared" si="5"/>
        <v>Red</v>
      </c>
      <c r="Q64" t="str">
        <f t="shared" si="6"/>
        <v>Green</v>
      </c>
      <c r="R64" t="str">
        <f t="shared" si="7"/>
        <v>Red</v>
      </c>
      <c r="S64" t="str">
        <f t="shared" si="8"/>
        <v>Green</v>
      </c>
      <c r="T64" t="str">
        <f t="shared" si="9"/>
        <v>Green</v>
      </c>
      <c r="U64" t="str">
        <f t="shared" si="10"/>
        <v>Red</v>
      </c>
      <c r="V64" t="str">
        <f t="shared" si="11"/>
        <v>Red</v>
      </c>
      <c r="W64" t="str">
        <f t="shared" si="12"/>
        <v>Green</v>
      </c>
      <c r="X64" t="str">
        <f t="shared" si="13"/>
        <v>Green</v>
      </c>
      <c r="Y64" t="str">
        <f t="shared" si="14"/>
        <v>Green</v>
      </c>
      <c r="Z64" t="str">
        <f t="shared" si="15"/>
        <v>Green</v>
      </c>
      <c r="AA64" t="str">
        <f t="shared" si="16"/>
        <v>Red</v>
      </c>
      <c r="AB64" t="str">
        <f t="shared" si="17"/>
        <v>Green</v>
      </c>
      <c r="AC64" t="str">
        <f t="shared" si="18"/>
        <v>Green</v>
      </c>
      <c r="AD64" t="str">
        <f t="shared" si="19"/>
        <v>Red</v>
      </c>
    </row>
    <row r="65" spans="1:30" x14ac:dyDescent="0.2">
      <c r="A65" t="str">
        <f t="shared" si="0"/>
        <v>21/07/2026Newcastle Olympic ReservesBelmont Swansea United SC Reserves</v>
      </c>
      <c r="B65" t="s">
        <v>810</v>
      </c>
      <c r="C65" t="s">
        <v>813</v>
      </c>
      <c r="D65" s="2">
        <v>46224</v>
      </c>
      <c r="E65" s="3">
        <v>0.34375</v>
      </c>
      <c r="F65" t="s">
        <v>386</v>
      </c>
      <c r="G65" t="s">
        <v>387</v>
      </c>
      <c r="H65">
        <v>4</v>
      </c>
      <c r="I65">
        <v>0</v>
      </c>
      <c r="J65">
        <v>5</v>
      </c>
      <c r="K65">
        <v>0</v>
      </c>
      <c r="L65" s="22" t="str">
        <f t="shared" si="22"/>
        <v>21/07/2026</v>
      </c>
      <c r="M65" s="23">
        <f t="shared" si="23"/>
        <v>0.21875</v>
      </c>
      <c r="N65" t="str">
        <f t="shared" si="3"/>
        <v>5 - 0</v>
      </c>
      <c r="O65" t="str">
        <f t="shared" si="4"/>
        <v>Green</v>
      </c>
      <c r="P65" t="str">
        <f t="shared" si="5"/>
        <v>Red</v>
      </c>
      <c r="Q65" t="str">
        <f t="shared" si="6"/>
        <v>Red</v>
      </c>
      <c r="R65" t="str">
        <f t="shared" si="7"/>
        <v>Green</v>
      </c>
      <c r="S65" t="str">
        <f t="shared" si="8"/>
        <v>Red</v>
      </c>
      <c r="T65" t="str">
        <f t="shared" si="9"/>
        <v>Green</v>
      </c>
      <c r="U65" t="str">
        <f t="shared" si="10"/>
        <v>Green</v>
      </c>
      <c r="V65" t="str">
        <f t="shared" si="11"/>
        <v>Red</v>
      </c>
      <c r="W65" t="str">
        <f t="shared" si="12"/>
        <v>Red</v>
      </c>
      <c r="X65" t="str">
        <f t="shared" si="13"/>
        <v>Green</v>
      </c>
      <c r="Y65" t="str">
        <f t="shared" si="14"/>
        <v>Green</v>
      </c>
      <c r="Z65" t="str">
        <f t="shared" si="15"/>
        <v>Green</v>
      </c>
      <c r="AA65" t="str">
        <f t="shared" si="16"/>
        <v>Red</v>
      </c>
      <c r="AB65" t="str">
        <f t="shared" si="17"/>
        <v>Red</v>
      </c>
      <c r="AC65" t="str">
        <f t="shared" si="18"/>
        <v>Red</v>
      </c>
      <c r="AD65" t="str">
        <f t="shared" si="19"/>
        <v>Green</v>
      </c>
    </row>
    <row r="66" spans="1:30" x14ac:dyDescent="0.2">
      <c r="A66" t="str">
        <f t="shared" ref="A66:A129" si="24">L66&amp;F66&amp;G66</f>
        <v>21/07/2026Gungahlin JuventusCanberra</v>
      </c>
      <c r="B66" t="s">
        <v>810</v>
      </c>
      <c r="C66" t="s">
        <v>811</v>
      </c>
      <c r="D66" s="2">
        <v>46224</v>
      </c>
      <c r="E66" s="3">
        <v>0.39583333333333331</v>
      </c>
      <c r="F66" t="s">
        <v>382</v>
      </c>
      <c r="G66" t="s">
        <v>383</v>
      </c>
      <c r="H66">
        <v>0</v>
      </c>
      <c r="I66">
        <v>3</v>
      </c>
      <c r="J66">
        <v>2</v>
      </c>
      <c r="K66">
        <v>5</v>
      </c>
      <c r="L66" s="22" t="str">
        <f t="shared" si="22"/>
        <v>21/07/2026</v>
      </c>
      <c r="M66" s="23">
        <f t="shared" si="23"/>
        <v>0.27083333333333331</v>
      </c>
      <c r="N66" t="str">
        <f t="shared" ref="N66:N129" si="25">J66&amp;" - "&amp;K66</f>
        <v>2 - 5</v>
      </c>
      <c r="O66" t="str">
        <f t="shared" ref="O66:O129" si="26">IF($J66&gt;$K66,"Green","Red")</f>
        <v>Red</v>
      </c>
      <c r="P66" t="str">
        <f t="shared" ref="P66:P129" si="27">IF($J66=$K66,"Green","Red")</f>
        <v>Red</v>
      </c>
      <c r="Q66" t="str">
        <f t="shared" ref="Q66:Q129" si="28">IF($J66&lt;$K66,"Green","Red")</f>
        <v>Green</v>
      </c>
      <c r="R66" t="str">
        <f t="shared" ref="R66:R129" si="29">IF($J66&gt;=$K66,"Green","Red")</f>
        <v>Red</v>
      </c>
      <c r="S66" t="str">
        <f t="shared" ref="S66:S129" si="30">IF($J66&lt;=$K66,"Green","Red")</f>
        <v>Green</v>
      </c>
      <c r="T66" t="str">
        <f t="shared" ref="T66:T129" si="31">IF(OR($J66&gt;$K66,$J66&lt;$K66),"Green","Red")</f>
        <v>Green</v>
      </c>
      <c r="U66" t="str">
        <f t="shared" ref="U66:U129" si="32">IF($H66&gt;$I66,"Green","Red")</f>
        <v>Red</v>
      </c>
      <c r="V66" t="str">
        <f t="shared" ref="V66:V129" si="33">IF($H66=$I66,"Green","Red")</f>
        <v>Red</v>
      </c>
      <c r="W66" t="str">
        <f t="shared" ref="W66:W129" si="34">IF($H66&lt;$I66,"Green","Red")</f>
        <v>Green</v>
      </c>
      <c r="X66" t="str">
        <f t="shared" ref="X66:X129" si="35">IF($H66+$I66&gt;0,"Green","Red")</f>
        <v>Green</v>
      </c>
      <c r="Y66" t="str">
        <f t="shared" ref="Y66:Y129" si="36">IF($J66+$K66&gt;1.5,"Green","Red")</f>
        <v>Green</v>
      </c>
      <c r="Z66" t="str">
        <f t="shared" ref="Z66:Z129" si="37">IF($J66+$K66&gt;2.5,"Green","Red")</f>
        <v>Green</v>
      </c>
      <c r="AA66" t="str">
        <f t="shared" ref="AA66:AA129" si="38">IF($J66+$K66&lt;2.5,"Green","Red")</f>
        <v>Red</v>
      </c>
      <c r="AB66" t="str">
        <f t="shared" ref="AB66:AB129" si="39">IF($J66+$K66&lt;3.5,"Green","Red")</f>
        <v>Red</v>
      </c>
      <c r="AC66" t="str">
        <f t="shared" ref="AC66:AC129" si="40">IF(AND($J66&gt;0,$K66&gt;0),"Green","Red")</f>
        <v>Green</v>
      </c>
      <c r="AD66" t="str">
        <f t="shared" ref="AD66:AD129" si="41">IF(OR($J66=0,$K66=0),"Green","Red")</f>
        <v>Red</v>
      </c>
    </row>
    <row r="67" spans="1:30" x14ac:dyDescent="0.2">
      <c r="A67" t="str">
        <f t="shared" si="24"/>
        <v>21/07/2026Preston LionsNewcastle Jets</v>
      </c>
      <c r="B67" t="s">
        <v>810</v>
      </c>
      <c r="C67" t="s">
        <v>814</v>
      </c>
      <c r="D67" s="2">
        <v>46224</v>
      </c>
      <c r="E67" s="3">
        <v>0.39583333333333331</v>
      </c>
      <c r="F67" t="s">
        <v>133</v>
      </c>
      <c r="G67" t="s">
        <v>388</v>
      </c>
      <c r="H67">
        <v>0</v>
      </c>
      <c r="I67">
        <v>2</v>
      </c>
      <c r="J67">
        <v>3</v>
      </c>
      <c r="K67">
        <v>2</v>
      </c>
      <c r="L67" s="22" t="str">
        <f t="shared" si="22"/>
        <v>21/07/2026</v>
      </c>
      <c r="M67" s="23">
        <f t="shared" si="23"/>
        <v>0.27083333333333331</v>
      </c>
      <c r="N67" t="str">
        <f t="shared" si="25"/>
        <v>3 - 2</v>
      </c>
      <c r="O67" t="str">
        <f t="shared" si="26"/>
        <v>Green</v>
      </c>
      <c r="P67" t="str">
        <f t="shared" si="27"/>
        <v>Red</v>
      </c>
      <c r="Q67" t="str">
        <f t="shared" si="28"/>
        <v>Red</v>
      </c>
      <c r="R67" t="str">
        <f t="shared" si="29"/>
        <v>Green</v>
      </c>
      <c r="S67" t="str">
        <f t="shared" si="30"/>
        <v>Red</v>
      </c>
      <c r="T67" t="str">
        <f t="shared" si="31"/>
        <v>Green</v>
      </c>
      <c r="U67" t="str">
        <f t="shared" si="32"/>
        <v>Red</v>
      </c>
      <c r="V67" t="str">
        <f t="shared" si="33"/>
        <v>Red</v>
      </c>
      <c r="W67" t="str">
        <f t="shared" si="34"/>
        <v>Green</v>
      </c>
      <c r="X67" t="str">
        <f t="shared" si="35"/>
        <v>Green</v>
      </c>
      <c r="Y67" t="str">
        <f t="shared" si="36"/>
        <v>Green</v>
      </c>
      <c r="Z67" t="str">
        <f t="shared" si="37"/>
        <v>Green</v>
      </c>
      <c r="AA67" t="str">
        <f t="shared" si="38"/>
        <v>Red</v>
      </c>
      <c r="AB67" t="str">
        <f t="shared" si="39"/>
        <v>Red</v>
      </c>
      <c r="AC67" t="str">
        <f t="shared" si="40"/>
        <v>Green</v>
      </c>
      <c r="AD67" t="str">
        <f t="shared" si="41"/>
        <v>Red</v>
      </c>
    </row>
    <row r="68" spans="1:30" x14ac:dyDescent="0.2">
      <c r="A68" t="str">
        <f t="shared" si="24"/>
        <v>21/07/2026Queensland LionsPerth Glory</v>
      </c>
      <c r="B68" t="s">
        <v>810</v>
      </c>
      <c r="C68" t="s">
        <v>814</v>
      </c>
      <c r="D68" s="2">
        <v>46224</v>
      </c>
      <c r="E68" s="3">
        <v>0.39583333333333331</v>
      </c>
      <c r="F68" t="s">
        <v>389</v>
      </c>
      <c r="G68" t="s">
        <v>390</v>
      </c>
      <c r="H68">
        <v>0</v>
      </c>
      <c r="I68">
        <v>0</v>
      </c>
      <c r="J68">
        <v>1</v>
      </c>
      <c r="K68">
        <v>1</v>
      </c>
      <c r="L68" s="22" t="str">
        <f t="shared" si="22"/>
        <v>21/07/2026</v>
      </c>
      <c r="M68" s="23">
        <f t="shared" si="23"/>
        <v>0.27083333333333331</v>
      </c>
      <c r="N68" t="str">
        <f t="shared" si="25"/>
        <v>1 - 1</v>
      </c>
      <c r="O68" t="str">
        <f t="shared" si="26"/>
        <v>Red</v>
      </c>
      <c r="P68" t="str">
        <f t="shared" si="27"/>
        <v>Green</v>
      </c>
      <c r="Q68" t="str">
        <f t="shared" si="28"/>
        <v>Red</v>
      </c>
      <c r="R68" t="str">
        <f t="shared" si="29"/>
        <v>Green</v>
      </c>
      <c r="S68" t="str">
        <f t="shared" si="30"/>
        <v>Green</v>
      </c>
      <c r="T68" t="str">
        <f t="shared" si="31"/>
        <v>Red</v>
      </c>
      <c r="U68" t="str">
        <f t="shared" si="32"/>
        <v>Red</v>
      </c>
      <c r="V68" t="str">
        <f t="shared" si="33"/>
        <v>Green</v>
      </c>
      <c r="W68" t="str">
        <f t="shared" si="34"/>
        <v>Red</v>
      </c>
      <c r="X68" t="str">
        <f t="shared" si="35"/>
        <v>Red</v>
      </c>
      <c r="Y68" t="str">
        <f t="shared" si="36"/>
        <v>Green</v>
      </c>
      <c r="Z68" t="str">
        <f t="shared" si="37"/>
        <v>Red</v>
      </c>
      <c r="AA68" t="str">
        <f t="shared" si="38"/>
        <v>Green</v>
      </c>
      <c r="AB68" t="str">
        <f t="shared" si="39"/>
        <v>Green</v>
      </c>
      <c r="AC68" t="str">
        <f t="shared" si="40"/>
        <v>Green</v>
      </c>
      <c r="AD68" t="str">
        <f t="shared" si="41"/>
        <v>Red</v>
      </c>
    </row>
    <row r="69" spans="1:30" x14ac:dyDescent="0.2">
      <c r="A69" t="str">
        <f t="shared" si="24"/>
        <v>21/07/2026Adelaide HillsVipers FC Adelaide</v>
      </c>
      <c r="B69" t="s">
        <v>810</v>
      </c>
      <c r="C69" t="s">
        <v>812</v>
      </c>
      <c r="D69" s="2">
        <v>46224</v>
      </c>
      <c r="E69" s="3">
        <v>0.41666666666666669</v>
      </c>
      <c r="F69" t="s">
        <v>384</v>
      </c>
      <c r="G69" t="s">
        <v>385</v>
      </c>
      <c r="H69">
        <v>0</v>
      </c>
      <c r="I69">
        <v>1</v>
      </c>
      <c r="J69">
        <v>0</v>
      </c>
      <c r="K69">
        <v>1</v>
      </c>
      <c r="L69" s="22" t="str">
        <f t="shared" si="22"/>
        <v>21/07/2026</v>
      </c>
      <c r="M69" s="23">
        <f t="shared" si="23"/>
        <v>0.29166666666666669</v>
      </c>
      <c r="N69" t="str">
        <f t="shared" si="25"/>
        <v>0 - 1</v>
      </c>
      <c r="O69" t="str">
        <f t="shared" si="26"/>
        <v>Red</v>
      </c>
      <c r="P69" t="str">
        <f t="shared" si="27"/>
        <v>Red</v>
      </c>
      <c r="Q69" t="str">
        <f t="shared" si="28"/>
        <v>Green</v>
      </c>
      <c r="R69" t="str">
        <f t="shared" si="29"/>
        <v>Red</v>
      </c>
      <c r="S69" t="str">
        <f t="shared" si="30"/>
        <v>Green</v>
      </c>
      <c r="T69" t="str">
        <f t="shared" si="31"/>
        <v>Green</v>
      </c>
      <c r="U69" t="str">
        <f t="shared" si="32"/>
        <v>Red</v>
      </c>
      <c r="V69" t="str">
        <f t="shared" si="33"/>
        <v>Red</v>
      </c>
      <c r="W69" t="str">
        <f t="shared" si="34"/>
        <v>Green</v>
      </c>
      <c r="X69" t="str">
        <f t="shared" si="35"/>
        <v>Green</v>
      </c>
      <c r="Y69" t="str">
        <f t="shared" si="36"/>
        <v>Red</v>
      </c>
      <c r="Z69" t="str">
        <f t="shared" si="37"/>
        <v>Red</v>
      </c>
      <c r="AA69" t="str">
        <f t="shared" si="38"/>
        <v>Green</v>
      </c>
      <c r="AB69" t="str">
        <f t="shared" si="39"/>
        <v>Green</v>
      </c>
      <c r="AC69" t="str">
        <f t="shared" si="40"/>
        <v>Red</v>
      </c>
      <c r="AD69" t="str">
        <f t="shared" si="41"/>
        <v>Green</v>
      </c>
    </row>
    <row r="70" spans="1:30" x14ac:dyDescent="0.2">
      <c r="A70" t="str">
        <f t="shared" si="24"/>
        <v>21/07/2026Cumberland UnitedHeidelberg United</v>
      </c>
      <c r="B70" t="s">
        <v>810</v>
      </c>
      <c r="C70" t="s">
        <v>814</v>
      </c>
      <c r="D70" s="2">
        <v>46224</v>
      </c>
      <c r="E70" s="3">
        <v>0.41666666666666669</v>
      </c>
      <c r="F70" t="s">
        <v>391</v>
      </c>
      <c r="G70" t="s">
        <v>392</v>
      </c>
      <c r="H70">
        <v>0</v>
      </c>
      <c r="I70">
        <v>2</v>
      </c>
      <c r="J70">
        <v>0</v>
      </c>
      <c r="K70">
        <v>3</v>
      </c>
      <c r="L70" s="22" t="str">
        <f t="shared" si="22"/>
        <v>21/07/2026</v>
      </c>
      <c r="M70" s="23">
        <f t="shared" si="23"/>
        <v>0.29166666666666669</v>
      </c>
      <c r="N70" t="str">
        <f t="shared" si="25"/>
        <v>0 - 3</v>
      </c>
      <c r="O70" t="str">
        <f t="shared" si="26"/>
        <v>Red</v>
      </c>
      <c r="P70" t="str">
        <f t="shared" si="27"/>
        <v>Red</v>
      </c>
      <c r="Q70" t="str">
        <f t="shared" si="28"/>
        <v>Green</v>
      </c>
      <c r="R70" t="str">
        <f t="shared" si="29"/>
        <v>Red</v>
      </c>
      <c r="S70" t="str">
        <f t="shared" si="30"/>
        <v>Green</v>
      </c>
      <c r="T70" t="str">
        <f t="shared" si="31"/>
        <v>Green</v>
      </c>
      <c r="U70" t="str">
        <f t="shared" si="32"/>
        <v>Red</v>
      </c>
      <c r="V70" t="str">
        <f t="shared" si="33"/>
        <v>Red</v>
      </c>
      <c r="W70" t="str">
        <f t="shared" si="34"/>
        <v>Green</v>
      </c>
      <c r="X70" t="str">
        <f t="shared" si="35"/>
        <v>Green</v>
      </c>
      <c r="Y70" t="str">
        <f t="shared" si="36"/>
        <v>Green</v>
      </c>
      <c r="Z70" t="str">
        <f t="shared" si="37"/>
        <v>Green</v>
      </c>
      <c r="AA70" t="str">
        <f t="shared" si="38"/>
        <v>Red</v>
      </c>
      <c r="AB70" t="str">
        <f t="shared" si="39"/>
        <v>Green</v>
      </c>
      <c r="AC70" t="str">
        <f t="shared" si="40"/>
        <v>Red</v>
      </c>
      <c r="AD70" t="str">
        <f t="shared" si="41"/>
        <v>Green</v>
      </c>
    </row>
    <row r="71" spans="1:30" x14ac:dyDescent="0.2">
      <c r="A71" t="str">
        <f t="shared" si="24"/>
        <v>21/07/2026Bayswater CitySydney</v>
      </c>
      <c r="B71" t="s">
        <v>810</v>
      </c>
      <c r="C71" t="s">
        <v>814</v>
      </c>
      <c r="D71" s="2">
        <v>46224</v>
      </c>
      <c r="E71" s="3">
        <v>0.4375</v>
      </c>
      <c r="F71" t="s">
        <v>393</v>
      </c>
      <c r="G71" t="s">
        <v>394</v>
      </c>
      <c r="H71">
        <v>1</v>
      </c>
      <c r="I71">
        <v>2</v>
      </c>
      <c r="J71">
        <v>1</v>
      </c>
      <c r="K71">
        <v>5</v>
      </c>
      <c r="L71" s="22" t="str">
        <f t="shared" si="22"/>
        <v>21/07/2026</v>
      </c>
      <c r="M71" s="23">
        <f t="shared" si="23"/>
        <v>0.3125</v>
      </c>
      <c r="N71" t="str">
        <f t="shared" si="25"/>
        <v>1 - 5</v>
      </c>
      <c r="O71" t="str">
        <f t="shared" si="26"/>
        <v>Red</v>
      </c>
      <c r="P71" t="str">
        <f t="shared" si="27"/>
        <v>Red</v>
      </c>
      <c r="Q71" t="str">
        <f t="shared" si="28"/>
        <v>Green</v>
      </c>
      <c r="R71" t="str">
        <f t="shared" si="29"/>
        <v>Red</v>
      </c>
      <c r="S71" t="str">
        <f t="shared" si="30"/>
        <v>Green</v>
      </c>
      <c r="T71" t="str">
        <f t="shared" si="31"/>
        <v>Green</v>
      </c>
      <c r="U71" t="str">
        <f t="shared" si="32"/>
        <v>Red</v>
      </c>
      <c r="V71" t="str">
        <f t="shared" si="33"/>
        <v>Red</v>
      </c>
      <c r="W71" t="str">
        <f t="shared" si="34"/>
        <v>Green</v>
      </c>
      <c r="X71" t="str">
        <f t="shared" si="35"/>
        <v>Green</v>
      </c>
      <c r="Y71" t="str">
        <f t="shared" si="36"/>
        <v>Green</v>
      </c>
      <c r="Z71" t="str">
        <f t="shared" si="37"/>
        <v>Green</v>
      </c>
      <c r="AA71" t="str">
        <f t="shared" si="38"/>
        <v>Red</v>
      </c>
      <c r="AB71" t="str">
        <f t="shared" si="39"/>
        <v>Red</v>
      </c>
      <c r="AC71" t="str">
        <f t="shared" si="40"/>
        <v>Green</v>
      </c>
      <c r="AD71" t="str">
        <f t="shared" si="41"/>
        <v>Red</v>
      </c>
    </row>
    <row r="72" spans="1:30" x14ac:dyDescent="0.2">
      <c r="A72" t="str">
        <f t="shared" si="24"/>
        <v>21/07/2026Jeju UnitedGangwon</v>
      </c>
      <c r="D72" s="2">
        <v>46224</v>
      </c>
      <c r="E72" s="3">
        <v>0.4375</v>
      </c>
      <c r="F72" t="s">
        <v>216</v>
      </c>
      <c r="G72" t="s">
        <v>1413</v>
      </c>
      <c r="H72">
        <v>1</v>
      </c>
      <c r="I72">
        <v>1</v>
      </c>
      <c r="J72">
        <v>1</v>
      </c>
      <c r="K72">
        <v>1</v>
      </c>
      <c r="L72" s="22" t="str">
        <f t="shared" si="22"/>
        <v>21/07/2026</v>
      </c>
      <c r="M72" s="23">
        <f t="shared" si="23"/>
        <v>0.3125</v>
      </c>
      <c r="N72" t="str">
        <f t="shared" si="25"/>
        <v>1 - 1</v>
      </c>
      <c r="O72" t="str">
        <f t="shared" si="26"/>
        <v>Red</v>
      </c>
      <c r="P72" t="str">
        <f t="shared" si="27"/>
        <v>Green</v>
      </c>
      <c r="Q72" t="str">
        <f t="shared" si="28"/>
        <v>Red</v>
      </c>
      <c r="R72" t="str">
        <f t="shared" si="29"/>
        <v>Green</v>
      </c>
      <c r="S72" t="str">
        <f t="shared" si="30"/>
        <v>Green</v>
      </c>
      <c r="T72" t="str">
        <f t="shared" si="31"/>
        <v>Red</v>
      </c>
      <c r="U72" t="str">
        <f t="shared" si="32"/>
        <v>Red</v>
      </c>
      <c r="V72" t="str">
        <f t="shared" si="33"/>
        <v>Green</v>
      </c>
      <c r="W72" t="str">
        <f t="shared" si="34"/>
        <v>Red</v>
      </c>
      <c r="X72" t="str">
        <f t="shared" si="35"/>
        <v>Green</v>
      </c>
      <c r="Y72" t="str">
        <f t="shared" si="36"/>
        <v>Green</v>
      </c>
      <c r="Z72" t="str">
        <f t="shared" si="37"/>
        <v>Red</v>
      </c>
      <c r="AA72" t="str">
        <f t="shared" si="38"/>
        <v>Green</v>
      </c>
      <c r="AB72" t="str">
        <f t="shared" si="39"/>
        <v>Green</v>
      </c>
      <c r="AC72" t="str">
        <f t="shared" si="40"/>
        <v>Green</v>
      </c>
      <c r="AD72" t="str">
        <f t="shared" si="41"/>
        <v>Red</v>
      </c>
    </row>
    <row r="73" spans="1:30" x14ac:dyDescent="0.2">
      <c r="A73" t="str">
        <f t="shared" si="24"/>
        <v>21/07/2026Jeonbuk Hyundai MotorsDaejeon Citizen</v>
      </c>
      <c r="D73" s="2">
        <v>46224</v>
      </c>
      <c r="E73" s="3">
        <v>0.4375</v>
      </c>
      <c r="F73" t="s">
        <v>1414</v>
      </c>
      <c r="G73" t="s">
        <v>1415</v>
      </c>
      <c r="H73">
        <v>0</v>
      </c>
      <c r="I73">
        <v>0</v>
      </c>
      <c r="J73">
        <v>0</v>
      </c>
      <c r="K73">
        <v>0</v>
      </c>
      <c r="L73" s="22" t="str">
        <f t="shared" si="22"/>
        <v>21/07/2026</v>
      </c>
      <c r="M73" s="23">
        <f t="shared" si="23"/>
        <v>0.3125</v>
      </c>
      <c r="N73" t="str">
        <f t="shared" si="25"/>
        <v>0 - 0</v>
      </c>
      <c r="O73" t="str">
        <f t="shared" si="26"/>
        <v>Red</v>
      </c>
      <c r="P73" t="str">
        <f t="shared" si="27"/>
        <v>Green</v>
      </c>
      <c r="Q73" t="str">
        <f t="shared" si="28"/>
        <v>Red</v>
      </c>
      <c r="R73" t="str">
        <f t="shared" si="29"/>
        <v>Green</v>
      </c>
      <c r="S73" t="str">
        <f t="shared" si="30"/>
        <v>Green</v>
      </c>
      <c r="T73" t="str">
        <f t="shared" si="31"/>
        <v>Red</v>
      </c>
      <c r="U73" t="str">
        <f t="shared" si="32"/>
        <v>Red</v>
      </c>
      <c r="V73" t="str">
        <f t="shared" si="33"/>
        <v>Green</v>
      </c>
      <c r="W73" t="str">
        <f t="shared" si="34"/>
        <v>Red</v>
      </c>
      <c r="X73" t="str">
        <f t="shared" si="35"/>
        <v>Red</v>
      </c>
      <c r="Y73" t="str">
        <f t="shared" si="36"/>
        <v>Red</v>
      </c>
      <c r="Z73" t="str">
        <f t="shared" si="37"/>
        <v>Red</v>
      </c>
      <c r="AA73" t="str">
        <f t="shared" si="38"/>
        <v>Green</v>
      </c>
      <c r="AB73" t="str">
        <f t="shared" si="39"/>
        <v>Green</v>
      </c>
      <c r="AC73" t="str">
        <f t="shared" si="40"/>
        <v>Red</v>
      </c>
      <c r="AD73" t="str">
        <f t="shared" si="41"/>
        <v>Green</v>
      </c>
    </row>
    <row r="74" spans="1:30" x14ac:dyDescent="0.2">
      <c r="A74" t="str">
        <f t="shared" si="24"/>
        <v>21/07/2026Ulsan HyundaiIncheon United</v>
      </c>
      <c r="D74" s="2">
        <v>46224</v>
      </c>
      <c r="E74" s="3">
        <v>0.4375</v>
      </c>
      <c r="F74" t="s">
        <v>1416</v>
      </c>
      <c r="G74" t="s">
        <v>1417</v>
      </c>
      <c r="H74">
        <v>1</v>
      </c>
      <c r="I74">
        <v>1</v>
      </c>
      <c r="J74">
        <v>1</v>
      </c>
      <c r="K74">
        <v>2</v>
      </c>
      <c r="L74" s="22" t="str">
        <f t="shared" si="22"/>
        <v>21/07/2026</v>
      </c>
      <c r="M74" s="23">
        <f t="shared" si="23"/>
        <v>0.3125</v>
      </c>
      <c r="N74" t="str">
        <f t="shared" si="25"/>
        <v>1 - 2</v>
      </c>
      <c r="O74" t="str">
        <f t="shared" si="26"/>
        <v>Red</v>
      </c>
      <c r="P74" t="str">
        <f t="shared" si="27"/>
        <v>Red</v>
      </c>
      <c r="Q74" t="str">
        <f t="shared" si="28"/>
        <v>Green</v>
      </c>
      <c r="R74" t="str">
        <f t="shared" si="29"/>
        <v>Red</v>
      </c>
      <c r="S74" t="str">
        <f t="shared" si="30"/>
        <v>Green</v>
      </c>
      <c r="T74" t="str">
        <f t="shared" si="31"/>
        <v>Green</v>
      </c>
      <c r="U74" t="str">
        <f t="shared" si="32"/>
        <v>Red</v>
      </c>
      <c r="V74" t="str">
        <f t="shared" si="33"/>
        <v>Green</v>
      </c>
      <c r="W74" t="str">
        <f t="shared" si="34"/>
        <v>Red</v>
      </c>
      <c r="X74" t="str">
        <f t="shared" si="35"/>
        <v>Green</v>
      </c>
      <c r="Y74" t="str">
        <f t="shared" si="36"/>
        <v>Green</v>
      </c>
      <c r="Z74" t="str">
        <f t="shared" si="37"/>
        <v>Green</v>
      </c>
      <c r="AA74" t="str">
        <f t="shared" si="38"/>
        <v>Red</v>
      </c>
      <c r="AB74" t="str">
        <f t="shared" si="39"/>
        <v>Green</v>
      </c>
      <c r="AC74" t="str">
        <f t="shared" si="40"/>
        <v>Green</v>
      </c>
      <c r="AD74" t="str">
        <f t="shared" si="41"/>
        <v>Red</v>
      </c>
    </row>
    <row r="75" spans="1:30" x14ac:dyDescent="0.2">
      <c r="A75" t="str">
        <f t="shared" si="24"/>
        <v>21/07/2026Cockburn City ReservesUWA-Nedlands FC Reserves</v>
      </c>
      <c r="B75" t="s">
        <v>810</v>
      </c>
      <c r="C75" t="s">
        <v>1332</v>
      </c>
      <c r="D75" s="2">
        <v>46224</v>
      </c>
      <c r="E75" s="3">
        <v>0.45833333333333331</v>
      </c>
      <c r="F75" t="s">
        <v>1333</v>
      </c>
      <c r="G75" t="s">
        <v>1334</v>
      </c>
      <c r="L75" s="22" t="str">
        <f t="shared" si="22"/>
        <v>21/07/2026</v>
      </c>
      <c r="M75" s="23">
        <f t="shared" si="23"/>
        <v>0.33333333333333331</v>
      </c>
      <c r="N75" t="str">
        <f t="shared" si="25"/>
        <v xml:space="preserve"> - </v>
      </c>
      <c r="O75" t="str">
        <f t="shared" si="26"/>
        <v>Red</v>
      </c>
      <c r="P75" t="str">
        <f t="shared" si="27"/>
        <v>Green</v>
      </c>
      <c r="Q75" t="str">
        <f t="shared" si="28"/>
        <v>Red</v>
      </c>
      <c r="R75" t="str">
        <f t="shared" si="29"/>
        <v>Green</v>
      </c>
      <c r="S75" t="str">
        <f t="shared" si="30"/>
        <v>Green</v>
      </c>
      <c r="T75" t="str">
        <f t="shared" si="31"/>
        <v>Red</v>
      </c>
      <c r="U75" t="str">
        <f t="shared" si="32"/>
        <v>Red</v>
      </c>
      <c r="V75" t="str">
        <f t="shared" si="33"/>
        <v>Green</v>
      </c>
      <c r="W75" t="str">
        <f t="shared" si="34"/>
        <v>Red</v>
      </c>
      <c r="X75" t="str">
        <f t="shared" si="35"/>
        <v>Red</v>
      </c>
      <c r="Y75" t="str">
        <f t="shared" si="36"/>
        <v>Red</v>
      </c>
      <c r="Z75" t="str">
        <f t="shared" si="37"/>
        <v>Red</v>
      </c>
      <c r="AA75" t="str">
        <f t="shared" si="38"/>
        <v>Green</v>
      </c>
      <c r="AB75" t="str">
        <f t="shared" si="39"/>
        <v>Green</v>
      </c>
      <c r="AC75" t="str">
        <f t="shared" si="40"/>
        <v>Red</v>
      </c>
      <c r="AD75" t="str">
        <f t="shared" si="41"/>
        <v>Green</v>
      </c>
    </row>
    <row r="76" spans="1:30" x14ac:dyDescent="0.2">
      <c r="A76" t="str">
        <f t="shared" si="24"/>
        <v>21/07/2026Shanghai PortShenzhen Peng City</v>
      </c>
      <c r="B76" t="s">
        <v>819</v>
      </c>
      <c r="C76" t="s">
        <v>820</v>
      </c>
      <c r="D76" s="2">
        <v>46224</v>
      </c>
      <c r="E76" s="3">
        <v>0.45833333333333331</v>
      </c>
      <c r="F76" t="s">
        <v>404</v>
      </c>
      <c r="G76" t="s">
        <v>405</v>
      </c>
      <c r="H76">
        <v>1</v>
      </c>
      <c r="I76">
        <v>0</v>
      </c>
      <c r="J76">
        <v>1</v>
      </c>
      <c r="K76">
        <v>1</v>
      </c>
      <c r="L76" s="22" t="str">
        <f t="shared" si="22"/>
        <v>21/07/2026</v>
      </c>
      <c r="M76" s="23">
        <f t="shared" si="23"/>
        <v>0.33333333333333331</v>
      </c>
      <c r="N76" t="str">
        <f t="shared" si="25"/>
        <v>1 - 1</v>
      </c>
      <c r="O76" t="str">
        <f t="shared" si="26"/>
        <v>Red</v>
      </c>
      <c r="P76" t="str">
        <f t="shared" si="27"/>
        <v>Green</v>
      </c>
      <c r="Q76" t="str">
        <f t="shared" si="28"/>
        <v>Red</v>
      </c>
      <c r="R76" t="str">
        <f t="shared" si="29"/>
        <v>Green</v>
      </c>
      <c r="S76" t="str">
        <f t="shared" si="30"/>
        <v>Green</v>
      </c>
      <c r="T76" t="str">
        <f t="shared" si="31"/>
        <v>Red</v>
      </c>
      <c r="U76" t="str">
        <f t="shared" si="32"/>
        <v>Green</v>
      </c>
      <c r="V76" t="str">
        <f t="shared" si="33"/>
        <v>Red</v>
      </c>
      <c r="W76" t="str">
        <f t="shared" si="34"/>
        <v>Red</v>
      </c>
      <c r="X76" t="str">
        <f t="shared" si="35"/>
        <v>Green</v>
      </c>
      <c r="Y76" t="str">
        <f t="shared" si="36"/>
        <v>Green</v>
      </c>
      <c r="Z76" t="str">
        <f t="shared" si="37"/>
        <v>Red</v>
      </c>
      <c r="AA76" t="str">
        <f t="shared" si="38"/>
        <v>Green</v>
      </c>
      <c r="AB76" t="str">
        <f t="shared" si="39"/>
        <v>Green</v>
      </c>
      <c r="AC76" t="str">
        <f t="shared" si="40"/>
        <v>Green</v>
      </c>
      <c r="AD76" t="str">
        <f t="shared" si="41"/>
        <v>Red</v>
      </c>
    </row>
    <row r="77" spans="1:30" x14ac:dyDescent="0.2">
      <c r="A77" t="str">
        <f t="shared" si="24"/>
        <v>21/07/2026Sheffield UnitedHuddersfield Town</v>
      </c>
      <c r="D77" s="2">
        <v>46224</v>
      </c>
      <c r="E77" s="3">
        <v>0.45833333333333331</v>
      </c>
      <c r="F77" t="s">
        <v>1425</v>
      </c>
      <c r="G77" t="s">
        <v>1426</v>
      </c>
      <c r="H77">
        <v>0</v>
      </c>
      <c r="I77">
        <v>1</v>
      </c>
      <c r="J77">
        <v>3</v>
      </c>
      <c r="K77">
        <v>1</v>
      </c>
      <c r="L77" s="22" t="str">
        <f t="shared" si="22"/>
        <v>21/07/2026</v>
      </c>
      <c r="M77" s="23">
        <f t="shared" si="23"/>
        <v>0.33333333333333331</v>
      </c>
      <c r="N77" t="str">
        <f t="shared" si="25"/>
        <v>3 - 1</v>
      </c>
      <c r="O77" t="str">
        <f t="shared" si="26"/>
        <v>Green</v>
      </c>
      <c r="P77" t="str">
        <f t="shared" si="27"/>
        <v>Red</v>
      </c>
      <c r="Q77" t="str">
        <f t="shared" si="28"/>
        <v>Red</v>
      </c>
      <c r="R77" t="str">
        <f t="shared" si="29"/>
        <v>Green</v>
      </c>
      <c r="S77" t="str">
        <f t="shared" si="30"/>
        <v>Red</v>
      </c>
      <c r="T77" t="str">
        <f t="shared" si="31"/>
        <v>Green</v>
      </c>
      <c r="U77" t="str">
        <f t="shared" si="32"/>
        <v>Red</v>
      </c>
      <c r="V77" t="str">
        <f t="shared" si="33"/>
        <v>Red</v>
      </c>
      <c r="W77" t="str">
        <f t="shared" si="34"/>
        <v>Green</v>
      </c>
      <c r="X77" t="str">
        <f t="shared" si="35"/>
        <v>Green</v>
      </c>
      <c r="Y77" t="str">
        <f t="shared" si="36"/>
        <v>Green</v>
      </c>
      <c r="Z77" t="str">
        <f t="shared" si="37"/>
        <v>Green</v>
      </c>
      <c r="AA77" t="str">
        <f t="shared" si="38"/>
        <v>Red</v>
      </c>
      <c r="AB77" t="str">
        <f t="shared" si="39"/>
        <v>Red</v>
      </c>
      <c r="AC77" t="str">
        <f t="shared" si="40"/>
        <v>Green</v>
      </c>
      <c r="AD77" t="str">
        <f t="shared" si="41"/>
        <v>Red</v>
      </c>
    </row>
    <row r="78" spans="1:30" x14ac:dyDescent="0.2">
      <c r="A78" t="str">
        <f t="shared" si="24"/>
        <v>21/07/2026Chongqing TonglianglongQingdao Kangtine</v>
      </c>
      <c r="B78" t="s">
        <v>819</v>
      </c>
      <c r="C78" t="s">
        <v>820</v>
      </c>
      <c r="D78" s="2">
        <v>46224</v>
      </c>
      <c r="E78" s="3">
        <v>0.4826388888888889</v>
      </c>
      <c r="F78" t="s">
        <v>406</v>
      </c>
      <c r="G78" t="s">
        <v>407</v>
      </c>
      <c r="H78">
        <v>1</v>
      </c>
      <c r="I78">
        <v>0</v>
      </c>
      <c r="J78">
        <v>2</v>
      </c>
      <c r="K78">
        <v>0</v>
      </c>
      <c r="L78" s="22" t="str">
        <f t="shared" si="22"/>
        <v>21/07/2026</v>
      </c>
      <c r="M78" s="23">
        <f t="shared" si="23"/>
        <v>0.3576388888888889</v>
      </c>
      <c r="N78" t="str">
        <f t="shared" si="25"/>
        <v>2 - 0</v>
      </c>
      <c r="O78" t="str">
        <f t="shared" si="26"/>
        <v>Green</v>
      </c>
      <c r="P78" t="str">
        <f t="shared" si="27"/>
        <v>Red</v>
      </c>
      <c r="Q78" t="str">
        <f t="shared" si="28"/>
        <v>Red</v>
      </c>
      <c r="R78" t="str">
        <f t="shared" si="29"/>
        <v>Green</v>
      </c>
      <c r="S78" t="str">
        <f t="shared" si="30"/>
        <v>Red</v>
      </c>
      <c r="T78" t="str">
        <f t="shared" si="31"/>
        <v>Green</v>
      </c>
      <c r="U78" t="str">
        <f t="shared" si="32"/>
        <v>Green</v>
      </c>
      <c r="V78" t="str">
        <f t="shared" si="33"/>
        <v>Red</v>
      </c>
      <c r="W78" t="str">
        <f t="shared" si="34"/>
        <v>Red</v>
      </c>
      <c r="X78" t="str">
        <f t="shared" si="35"/>
        <v>Green</v>
      </c>
      <c r="Y78" t="str">
        <f t="shared" si="36"/>
        <v>Green</v>
      </c>
      <c r="Z78" t="str">
        <f t="shared" si="37"/>
        <v>Red</v>
      </c>
      <c r="AA78" t="str">
        <f t="shared" si="38"/>
        <v>Green</v>
      </c>
      <c r="AB78" t="str">
        <f t="shared" si="39"/>
        <v>Green</v>
      </c>
      <c r="AC78" t="str">
        <f t="shared" si="40"/>
        <v>Red</v>
      </c>
      <c r="AD78" t="str">
        <f t="shared" si="41"/>
        <v>Green</v>
      </c>
    </row>
    <row r="79" spans="1:30" x14ac:dyDescent="0.2">
      <c r="A79" t="str">
        <f t="shared" si="24"/>
        <v>21/07/2026Shanghai Greenland ShenhuaQingdao Jonoon</v>
      </c>
      <c r="B79" t="s">
        <v>819</v>
      </c>
      <c r="C79" t="s">
        <v>820</v>
      </c>
      <c r="D79" s="2">
        <v>46224</v>
      </c>
      <c r="E79" s="3">
        <v>0.4826388888888889</v>
      </c>
      <c r="F79" t="s">
        <v>408</v>
      </c>
      <c r="G79" t="s">
        <v>409</v>
      </c>
      <c r="H79">
        <v>4</v>
      </c>
      <c r="I79">
        <v>1</v>
      </c>
      <c r="J79">
        <v>4</v>
      </c>
      <c r="K79">
        <v>1</v>
      </c>
      <c r="L79" s="22" t="str">
        <f t="shared" si="22"/>
        <v>21/07/2026</v>
      </c>
      <c r="M79" s="23">
        <f t="shared" si="23"/>
        <v>0.3576388888888889</v>
      </c>
      <c r="N79" t="str">
        <f t="shared" si="25"/>
        <v>4 - 1</v>
      </c>
      <c r="O79" t="str">
        <f t="shared" si="26"/>
        <v>Green</v>
      </c>
      <c r="P79" t="str">
        <f t="shared" si="27"/>
        <v>Red</v>
      </c>
      <c r="Q79" t="str">
        <f t="shared" si="28"/>
        <v>Red</v>
      </c>
      <c r="R79" t="str">
        <f t="shared" si="29"/>
        <v>Green</v>
      </c>
      <c r="S79" t="str">
        <f t="shared" si="30"/>
        <v>Red</v>
      </c>
      <c r="T79" t="str">
        <f t="shared" si="31"/>
        <v>Green</v>
      </c>
      <c r="U79" t="str">
        <f t="shared" si="32"/>
        <v>Green</v>
      </c>
      <c r="V79" t="str">
        <f t="shared" si="33"/>
        <v>Red</v>
      </c>
      <c r="W79" t="str">
        <f t="shared" si="34"/>
        <v>Red</v>
      </c>
      <c r="X79" t="str">
        <f t="shared" si="35"/>
        <v>Green</v>
      </c>
      <c r="Y79" t="str">
        <f t="shared" si="36"/>
        <v>Green</v>
      </c>
      <c r="Z79" t="str">
        <f t="shared" si="37"/>
        <v>Green</v>
      </c>
      <c r="AA79" t="str">
        <f t="shared" si="38"/>
        <v>Red</v>
      </c>
      <c r="AB79" t="str">
        <f t="shared" si="39"/>
        <v>Red</v>
      </c>
      <c r="AC79" t="str">
        <f t="shared" si="40"/>
        <v>Green</v>
      </c>
      <c r="AD79" t="str">
        <f t="shared" si="41"/>
        <v>Red</v>
      </c>
    </row>
    <row r="80" spans="1:30" x14ac:dyDescent="0.2">
      <c r="A80" t="str">
        <f t="shared" si="24"/>
        <v>21/07/2026Wuhan Three TownsShandong Luneng Taishan</v>
      </c>
      <c r="B80" t="s">
        <v>819</v>
      </c>
      <c r="C80" t="s">
        <v>820</v>
      </c>
      <c r="D80" s="2">
        <v>46224</v>
      </c>
      <c r="E80" s="3">
        <v>0.4826388888888889</v>
      </c>
      <c r="F80" t="s">
        <v>410</v>
      </c>
      <c r="G80" t="s">
        <v>411</v>
      </c>
      <c r="H80">
        <v>1</v>
      </c>
      <c r="I80">
        <v>0</v>
      </c>
      <c r="J80">
        <v>2</v>
      </c>
      <c r="K80">
        <v>2</v>
      </c>
      <c r="L80" s="22" t="str">
        <f t="shared" si="22"/>
        <v>21/07/2026</v>
      </c>
      <c r="M80" s="23">
        <f t="shared" si="23"/>
        <v>0.3576388888888889</v>
      </c>
      <c r="N80" t="str">
        <f t="shared" si="25"/>
        <v>2 - 2</v>
      </c>
      <c r="O80" t="str">
        <f t="shared" si="26"/>
        <v>Red</v>
      </c>
      <c r="P80" t="str">
        <f t="shared" si="27"/>
        <v>Green</v>
      </c>
      <c r="Q80" t="str">
        <f t="shared" si="28"/>
        <v>Red</v>
      </c>
      <c r="R80" t="str">
        <f t="shared" si="29"/>
        <v>Green</v>
      </c>
      <c r="S80" t="str">
        <f t="shared" si="30"/>
        <v>Green</v>
      </c>
      <c r="T80" t="str">
        <f t="shared" si="31"/>
        <v>Red</v>
      </c>
      <c r="U80" t="str">
        <f t="shared" si="32"/>
        <v>Green</v>
      </c>
      <c r="V80" t="str">
        <f t="shared" si="33"/>
        <v>Red</v>
      </c>
      <c r="W80" t="str">
        <f t="shared" si="34"/>
        <v>Red</v>
      </c>
      <c r="X80" t="str">
        <f t="shared" si="35"/>
        <v>Green</v>
      </c>
      <c r="Y80" t="str">
        <f t="shared" si="36"/>
        <v>Green</v>
      </c>
      <c r="Z80" t="str">
        <f t="shared" si="37"/>
        <v>Green</v>
      </c>
      <c r="AA80" t="str">
        <f t="shared" si="38"/>
        <v>Red</v>
      </c>
      <c r="AB80" t="str">
        <f t="shared" si="39"/>
        <v>Red</v>
      </c>
      <c r="AC80" t="str">
        <f t="shared" si="40"/>
        <v>Green</v>
      </c>
      <c r="AD80" t="str">
        <f t="shared" si="41"/>
        <v>Red</v>
      </c>
    </row>
    <row r="81" spans="1:30" x14ac:dyDescent="0.2">
      <c r="A81" t="str">
        <f t="shared" si="24"/>
        <v>21/07/2026Henan JianyeDalian Young Boy</v>
      </c>
      <c r="B81" t="s">
        <v>819</v>
      </c>
      <c r="C81" t="s">
        <v>820</v>
      </c>
      <c r="D81" s="2">
        <v>46224</v>
      </c>
      <c r="E81" s="3">
        <v>0.5</v>
      </c>
      <c r="F81" t="s">
        <v>412</v>
      </c>
      <c r="G81" t="s">
        <v>413</v>
      </c>
      <c r="H81">
        <v>1</v>
      </c>
      <c r="I81">
        <v>1</v>
      </c>
      <c r="J81">
        <v>1</v>
      </c>
      <c r="K81">
        <v>1</v>
      </c>
      <c r="L81" s="22" t="str">
        <f t="shared" si="22"/>
        <v>21/07/2026</v>
      </c>
      <c r="M81" s="23">
        <f t="shared" si="23"/>
        <v>0.375</v>
      </c>
      <c r="N81" t="str">
        <f t="shared" si="25"/>
        <v>1 - 1</v>
      </c>
      <c r="O81" t="str">
        <f t="shared" si="26"/>
        <v>Red</v>
      </c>
      <c r="P81" t="str">
        <f t="shared" si="27"/>
        <v>Green</v>
      </c>
      <c r="Q81" t="str">
        <f t="shared" si="28"/>
        <v>Red</v>
      </c>
      <c r="R81" t="str">
        <f t="shared" si="29"/>
        <v>Green</v>
      </c>
      <c r="S81" t="str">
        <f t="shared" si="30"/>
        <v>Green</v>
      </c>
      <c r="T81" t="str">
        <f t="shared" si="31"/>
        <v>Red</v>
      </c>
      <c r="U81" t="str">
        <f t="shared" si="32"/>
        <v>Red</v>
      </c>
      <c r="V81" t="str">
        <f t="shared" si="33"/>
        <v>Green</v>
      </c>
      <c r="W81" t="str">
        <f t="shared" si="34"/>
        <v>Red</v>
      </c>
      <c r="X81" t="str">
        <f t="shared" si="35"/>
        <v>Green</v>
      </c>
      <c r="Y81" t="str">
        <f t="shared" si="36"/>
        <v>Green</v>
      </c>
      <c r="Z81" t="str">
        <f t="shared" si="37"/>
        <v>Red</v>
      </c>
      <c r="AA81" t="str">
        <f t="shared" si="38"/>
        <v>Green</v>
      </c>
      <c r="AB81" t="str">
        <f t="shared" si="39"/>
        <v>Green</v>
      </c>
      <c r="AC81" t="str">
        <f t="shared" si="40"/>
        <v>Green</v>
      </c>
      <c r="AD81" t="str">
        <f t="shared" si="41"/>
        <v>Red</v>
      </c>
    </row>
    <row r="82" spans="1:30" x14ac:dyDescent="0.2">
      <c r="A82" t="str">
        <f t="shared" si="24"/>
        <v>21/07/2026Yunnan YukunChengdu Qianbao</v>
      </c>
      <c r="B82" t="s">
        <v>819</v>
      </c>
      <c r="C82" t="s">
        <v>820</v>
      </c>
      <c r="D82" s="2">
        <v>46224</v>
      </c>
      <c r="E82" s="3">
        <v>0.5</v>
      </c>
      <c r="F82" t="s">
        <v>414</v>
      </c>
      <c r="G82" t="s">
        <v>415</v>
      </c>
      <c r="H82">
        <v>2</v>
      </c>
      <c r="I82">
        <v>2</v>
      </c>
      <c r="J82">
        <v>3</v>
      </c>
      <c r="K82">
        <v>3</v>
      </c>
      <c r="L82" s="22" t="str">
        <f t="shared" si="22"/>
        <v>21/07/2026</v>
      </c>
      <c r="M82" s="23">
        <f t="shared" si="23"/>
        <v>0.375</v>
      </c>
      <c r="N82" t="str">
        <f t="shared" si="25"/>
        <v>3 - 3</v>
      </c>
      <c r="O82" t="str">
        <f t="shared" si="26"/>
        <v>Red</v>
      </c>
      <c r="P82" t="str">
        <f t="shared" si="27"/>
        <v>Green</v>
      </c>
      <c r="Q82" t="str">
        <f t="shared" si="28"/>
        <v>Red</v>
      </c>
      <c r="R82" t="str">
        <f t="shared" si="29"/>
        <v>Green</v>
      </c>
      <c r="S82" t="str">
        <f t="shared" si="30"/>
        <v>Green</v>
      </c>
      <c r="T82" t="str">
        <f t="shared" si="31"/>
        <v>Red</v>
      </c>
      <c r="U82" t="str">
        <f t="shared" si="32"/>
        <v>Red</v>
      </c>
      <c r="V82" t="str">
        <f t="shared" si="33"/>
        <v>Green</v>
      </c>
      <c r="W82" t="str">
        <f t="shared" si="34"/>
        <v>Red</v>
      </c>
      <c r="X82" t="str">
        <f t="shared" si="35"/>
        <v>Green</v>
      </c>
      <c r="Y82" t="str">
        <f t="shared" si="36"/>
        <v>Green</v>
      </c>
      <c r="Z82" t="str">
        <f t="shared" si="37"/>
        <v>Green</v>
      </c>
      <c r="AA82" t="str">
        <f t="shared" si="38"/>
        <v>Red</v>
      </c>
      <c r="AB82" t="str">
        <f t="shared" si="39"/>
        <v>Red</v>
      </c>
      <c r="AC82" t="str">
        <f t="shared" si="40"/>
        <v>Green</v>
      </c>
      <c r="AD82" t="str">
        <f t="shared" si="41"/>
        <v>Red</v>
      </c>
    </row>
    <row r="83" spans="1:30" x14ac:dyDescent="0.2">
      <c r="A83" t="str">
        <f t="shared" si="24"/>
        <v>21/07/2026Queens Park RangersWycombe Wanderers</v>
      </c>
      <c r="D83" s="2">
        <v>46224</v>
      </c>
      <c r="E83" s="3">
        <v>0.5</v>
      </c>
      <c r="F83" t="s">
        <v>1427</v>
      </c>
      <c r="G83" t="s">
        <v>1428</v>
      </c>
      <c r="H83">
        <v>0</v>
      </c>
      <c r="I83">
        <v>0</v>
      </c>
      <c r="J83">
        <v>1</v>
      </c>
      <c r="K83">
        <v>0</v>
      </c>
      <c r="L83" s="22" t="str">
        <f t="shared" si="22"/>
        <v>21/07/2026</v>
      </c>
      <c r="M83" s="23">
        <f t="shared" si="23"/>
        <v>0.375</v>
      </c>
      <c r="N83" t="str">
        <f t="shared" si="25"/>
        <v>1 - 0</v>
      </c>
      <c r="O83" t="str">
        <f t="shared" si="26"/>
        <v>Green</v>
      </c>
      <c r="P83" t="str">
        <f t="shared" si="27"/>
        <v>Red</v>
      </c>
      <c r="Q83" t="str">
        <f t="shared" si="28"/>
        <v>Red</v>
      </c>
      <c r="R83" t="str">
        <f t="shared" si="29"/>
        <v>Green</v>
      </c>
      <c r="S83" t="str">
        <f t="shared" si="30"/>
        <v>Red</v>
      </c>
      <c r="T83" t="str">
        <f t="shared" si="31"/>
        <v>Green</v>
      </c>
      <c r="U83" t="str">
        <f t="shared" si="32"/>
        <v>Red</v>
      </c>
      <c r="V83" t="str">
        <f t="shared" si="33"/>
        <v>Green</v>
      </c>
      <c r="W83" t="str">
        <f t="shared" si="34"/>
        <v>Red</v>
      </c>
      <c r="X83" t="str">
        <f t="shared" si="35"/>
        <v>Red</v>
      </c>
      <c r="Y83" t="str">
        <f t="shared" si="36"/>
        <v>Red</v>
      </c>
      <c r="Z83" t="str">
        <f t="shared" si="37"/>
        <v>Red</v>
      </c>
      <c r="AA83" t="str">
        <f t="shared" si="38"/>
        <v>Green</v>
      </c>
      <c r="AB83" t="str">
        <f t="shared" si="39"/>
        <v>Green</v>
      </c>
      <c r="AC83" t="str">
        <f t="shared" si="40"/>
        <v>Red</v>
      </c>
      <c r="AD83" t="str">
        <f t="shared" si="41"/>
        <v>Green</v>
      </c>
    </row>
    <row r="84" spans="1:30" x14ac:dyDescent="0.2">
      <c r="A84" t="str">
        <f t="shared" si="24"/>
        <v>21/07/2026Sabah BakuFK Vardar Skopje</v>
      </c>
      <c r="B84" t="s">
        <v>802</v>
      </c>
      <c r="C84" t="s">
        <v>803</v>
      </c>
      <c r="D84" s="2">
        <v>46224</v>
      </c>
      <c r="E84" s="3">
        <v>0.54166666666666663</v>
      </c>
      <c r="F84" t="s">
        <v>351</v>
      </c>
      <c r="G84" t="s">
        <v>352</v>
      </c>
      <c r="L84" s="22" t="str">
        <f t="shared" si="22"/>
        <v>21/07/2026</v>
      </c>
      <c r="M84" s="23">
        <f t="shared" si="23"/>
        <v>0.41666666666666663</v>
      </c>
      <c r="N84" t="str">
        <f t="shared" si="25"/>
        <v xml:space="preserve"> - </v>
      </c>
      <c r="O84" t="str">
        <f t="shared" si="26"/>
        <v>Red</v>
      </c>
      <c r="P84" t="str">
        <f t="shared" si="27"/>
        <v>Green</v>
      </c>
      <c r="Q84" t="str">
        <f t="shared" si="28"/>
        <v>Red</v>
      </c>
      <c r="R84" t="str">
        <f t="shared" si="29"/>
        <v>Green</v>
      </c>
      <c r="S84" t="str">
        <f t="shared" si="30"/>
        <v>Green</v>
      </c>
      <c r="T84" t="str">
        <f t="shared" si="31"/>
        <v>Red</v>
      </c>
      <c r="U84" t="str">
        <f t="shared" si="32"/>
        <v>Red</v>
      </c>
      <c r="V84" t="str">
        <f t="shared" si="33"/>
        <v>Green</v>
      </c>
      <c r="W84" t="str">
        <f t="shared" si="34"/>
        <v>Red</v>
      </c>
      <c r="X84" t="str">
        <f t="shared" si="35"/>
        <v>Red</v>
      </c>
      <c r="Y84" t="str">
        <f t="shared" si="36"/>
        <v>Red</v>
      </c>
      <c r="Z84" t="str">
        <f t="shared" si="37"/>
        <v>Red</v>
      </c>
      <c r="AA84" t="str">
        <f t="shared" si="38"/>
        <v>Green</v>
      </c>
      <c r="AB84" t="str">
        <f t="shared" si="39"/>
        <v>Green</v>
      </c>
      <c r="AC84" t="str">
        <f t="shared" si="40"/>
        <v>Red</v>
      </c>
      <c r="AD84" t="str">
        <f t="shared" si="41"/>
        <v>Green</v>
      </c>
    </row>
    <row r="85" spans="1:30" x14ac:dyDescent="0.2">
      <c r="A85" t="str">
        <f t="shared" si="24"/>
        <v>21/07/2026Al Tadamon SourRacing Beirut</v>
      </c>
      <c r="D85" s="2">
        <v>46224</v>
      </c>
      <c r="E85" s="3">
        <v>0.54166666666666663</v>
      </c>
      <c r="F85" t="s">
        <v>1366</v>
      </c>
      <c r="G85" t="s">
        <v>1367</v>
      </c>
      <c r="H85">
        <v>0</v>
      </c>
      <c r="I85">
        <v>0</v>
      </c>
      <c r="J85">
        <v>1</v>
      </c>
      <c r="K85">
        <v>0</v>
      </c>
      <c r="L85" s="22" t="str">
        <f t="shared" si="22"/>
        <v>21/07/2026</v>
      </c>
      <c r="M85" s="23">
        <f t="shared" si="23"/>
        <v>0.41666666666666663</v>
      </c>
      <c r="N85" t="str">
        <f t="shared" si="25"/>
        <v>1 - 0</v>
      </c>
      <c r="O85" t="str">
        <f t="shared" si="26"/>
        <v>Green</v>
      </c>
      <c r="P85" t="str">
        <f t="shared" si="27"/>
        <v>Red</v>
      </c>
      <c r="Q85" t="str">
        <f t="shared" si="28"/>
        <v>Red</v>
      </c>
      <c r="R85" t="str">
        <f t="shared" si="29"/>
        <v>Green</v>
      </c>
      <c r="S85" t="str">
        <f t="shared" si="30"/>
        <v>Red</v>
      </c>
      <c r="T85" t="str">
        <f t="shared" si="31"/>
        <v>Green</v>
      </c>
      <c r="U85" t="str">
        <f t="shared" si="32"/>
        <v>Red</v>
      </c>
      <c r="V85" t="str">
        <f t="shared" si="33"/>
        <v>Green</v>
      </c>
      <c r="W85" t="str">
        <f t="shared" si="34"/>
        <v>Red</v>
      </c>
      <c r="X85" t="str">
        <f t="shared" si="35"/>
        <v>Red</v>
      </c>
      <c r="Y85" t="str">
        <f t="shared" si="36"/>
        <v>Red</v>
      </c>
      <c r="Z85" t="str">
        <f t="shared" si="37"/>
        <v>Red</v>
      </c>
      <c r="AA85" t="str">
        <f t="shared" si="38"/>
        <v>Green</v>
      </c>
      <c r="AB85" t="str">
        <f t="shared" si="39"/>
        <v>Green</v>
      </c>
      <c r="AC85" t="str">
        <f t="shared" si="40"/>
        <v>Red</v>
      </c>
      <c r="AD85" t="str">
        <f t="shared" si="41"/>
        <v>Green</v>
      </c>
    </row>
    <row r="86" spans="1:30" x14ac:dyDescent="0.2">
      <c r="A86" t="str">
        <f t="shared" si="24"/>
        <v>21/07/2026Zlatibor CajetinaMetalac Gornji Milanovac</v>
      </c>
      <c r="D86" s="2">
        <v>46224</v>
      </c>
      <c r="E86" s="3">
        <v>0.54166666666666663</v>
      </c>
      <c r="F86" t="s">
        <v>1429</v>
      </c>
      <c r="G86" t="s">
        <v>1430</v>
      </c>
      <c r="L86" s="22" t="str">
        <f t="shared" si="22"/>
        <v>21/07/2026</v>
      </c>
      <c r="M86" s="23">
        <f t="shared" si="23"/>
        <v>0.41666666666666663</v>
      </c>
      <c r="N86" t="str">
        <f t="shared" si="25"/>
        <v xml:space="preserve"> - </v>
      </c>
      <c r="O86" t="str">
        <f t="shared" si="26"/>
        <v>Red</v>
      </c>
      <c r="P86" t="str">
        <f t="shared" si="27"/>
        <v>Green</v>
      </c>
      <c r="Q86" t="str">
        <f t="shared" si="28"/>
        <v>Red</v>
      </c>
      <c r="R86" t="str">
        <f t="shared" si="29"/>
        <v>Green</v>
      </c>
      <c r="S86" t="str">
        <f t="shared" si="30"/>
        <v>Green</v>
      </c>
      <c r="T86" t="str">
        <f t="shared" si="31"/>
        <v>Red</v>
      </c>
      <c r="U86" t="str">
        <f t="shared" si="32"/>
        <v>Red</v>
      </c>
      <c r="V86" t="str">
        <f t="shared" si="33"/>
        <v>Green</v>
      </c>
      <c r="W86" t="str">
        <f t="shared" si="34"/>
        <v>Red</v>
      </c>
      <c r="X86" t="str">
        <f t="shared" si="35"/>
        <v>Red</v>
      </c>
      <c r="Y86" t="str">
        <f t="shared" si="36"/>
        <v>Red</v>
      </c>
      <c r="Z86" t="str">
        <f t="shared" si="37"/>
        <v>Red</v>
      </c>
      <c r="AA86" t="str">
        <f t="shared" si="38"/>
        <v>Green</v>
      </c>
      <c r="AB86" t="str">
        <f t="shared" si="39"/>
        <v>Green</v>
      </c>
      <c r="AC86" t="str">
        <f t="shared" si="40"/>
        <v>Red</v>
      </c>
      <c r="AD86" t="str">
        <f t="shared" si="41"/>
        <v>Green</v>
      </c>
    </row>
    <row r="87" spans="1:30" x14ac:dyDescent="0.2">
      <c r="A87" t="str">
        <f t="shared" si="24"/>
        <v>21/07/2026VC HerentalsManica Diamonds</v>
      </c>
      <c r="D87" s="2">
        <v>46224</v>
      </c>
      <c r="E87" s="3">
        <v>0.54166666666666663</v>
      </c>
      <c r="F87" t="s">
        <v>1582</v>
      </c>
      <c r="G87" t="s">
        <v>1583</v>
      </c>
      <c r="H87">
        <v>0</v>
      </c>
      <c r="I87">
        <v>0</v>
      </c>
      <c r="J87">
        <v>1</v>
      </c>
      <c r="K87">
        <v>0</v>
      </c>
      <c r="L87" s="22" t="str">
        <f t="shared" si="22"/>
        <v>21/07/2026</v>
      </c>
      <c r="M87" s="23">
        <f t="shared" si="23"/>
        <v>0.41666666666666663</v>
      </c>
      <c r="N87" t="str">
        <f t="shared" si="25"/>
        <v>1 - 0</v>
      </c>
      <c r="O87" t="str">
        <f t="shared" si="26"/>
        <v>Green</v>
      </c>
      <c r="P87" t="str">
        <f t="shared" si="27"/>
        <v>Red</v>
      </c>
      <c r="Q87" t="str">
        <f t="shared" si="28"/>
        <v>Red</v>
      </c>
      <c r="R87" t="str">
        <f t="shared" si="29"/>
        <v>Green</v>
      </c>
      <c r="S87" t="str">
        <f t="shared" si="30"/>
        <v>Red</v>
      </c>
      <c r="T87" t="str">
        <f t="shared" si="31"/>
        <v>Green</v>
      </c>
      <c r="U87" t="str">
        <f t="shared" si="32"/>
        <v>Red</v>
      </c>
      <c r="V87" t="str">
        <f t="shared" si="33"/>
        <v>Green</v>
      </c>
      <c r="W87" t="str">
        <f t="shared" si="34"/>
        <v>Red</v>
      </c>
      <c r="X87" t="str">
        <f t="shared" si="35"/>
        <v>Red</v>
      </c>
      <c r="Y87" t="str">
        <f t="shared" si="36"/>
        <v>Red</v>
      </c>
      <c r="Z87" t="str">
        <f t="shared" si="37"/>
        <v>Red</v>
      </c>
      <c r="AA87" t="str">
        <f t="shared" si="38"/>
        <v>Green</v>
      </c>
      <c r="AB87" t="str">
        <f t="shared" si="39"/>
        <v>Green</v>
      </c>
      <c r="AC87" t="str">
        <f t="shared" si="40"/>
        <v>Red</v>
      </c>
      <c r="AD87" t="str">
        <f t="shared" si="41"/>
        <v>Green</v>
      </c>
    </row>
    <row r="88" spans="1:30" x14ac:dyDescent="0.2">
      <c r="A88" t="str">
        <f t="shared" si="24"/>
        <v>21/07/2026Fremad AmagerSundby</v>
      </c>
      <c r="D88" s="2">
        <v>46224</v>
      </c>
      <c r="E88" s="3">
        <v>0.58333333333333337</v>
      </c>
      <c r="F88" t="s">
        <v>1431</v>
      </c>
      <c r="G88" t="s">
        <v>1432</v>
      </c>
      <c r="H88">
        <v>2</v>
      </c>
      <c r="I88">
        <v>1</v>
      </c>
      <c r="J88">
        <v>3</v>
      </c>
      <c r="K88">
        <v>1</v>
      </c>
      <c r="L88" s="22" t="str">
        <f t="shared" si="22"/>
        <v>21/07/2026</v>
      </c>
      <c r="M88" s="23">
        <f t="shared" si="23"/>
        <v>0.45833333333333337</v>
      </c>
      <c r="N88" t="str">
        <f t="shared" si="25"/>
        <v>3 - 1</v>
      </c>
      <c r="O88" t="str">
        <f t="shared" si="26"/>
        <v>Green</v>
      </c>
      <c r="P88" t="str">
        <f t="shared" si="27"/>
        <v>Red</v>
      </c>
      <c r="Q88" t="str">
        <f t="shared" si="28"/>
        <v>Red</v>
      </c>
      <c r="R88" t="str">
        <f t="shared" si="29"/>
        <v>Green</v>
      </c>
      <c r="S88" t="str">
        <f t="shared" si="30"/>
        <v>Red</v>
      </c>
      <c r="T88" t="str">
        <f t="shared" si="31"/>
        <v>Green</v>
      </c>
      <c r="U88" t="str">
        <f t="shared" si="32"/>
        <v>Green</v>
      </c>
      <c r="V88" t="str">
        <f t="shared" si="33"/>
        <v>Red</v>
      </c>
      <c r="W88" t="str">
        <f t="shared" si="34"/>
        <v>Red</v>
      </c>
      <c r="X88" t="str">
        <f t="shared" si="35"/>
        <v>Green</v>
      </c>
      <c r="Y88" t="str">
        <f t="shared" si="36"/>
        <v>Green</v>
      </c>
      <c r="Z88" t="str">
        <f t="shared" si="37"/>
        <v>Green</v>
      </c>
      <c r="AA88" t="str">
        <f t="shared" si="38"/>
        <v>Red</v>
      </c>
      <c r="AB88" t="str">
        <f t="shared" si="39"/>
        <v>Red</v>
      </c>
      <c r="AC88" t="str">
        <f t="shared" si="40"/>
        <v>Green</v>
      </c>
      <c r="AD88" t="str">
        <f t="shared" si="41"/>
        <v>Red</v>
      </c>
    </row>
    <row r="89" spans="1:30" x14ac:dyDescent="0.2">
      <c r="A89" t="str">
        <f t="shared" si="24"/>
        <v>21/07/2026Cruz Azul U21Puebla U21</v>
      </c>
      <c r="D89" s="2">
        <v>46224</v>
      </c>
      <c r="E89" s="3">
        <v>0.625</v>
      </c>
      <c r="F89" t="s">
        <v>1374</v>
      </c>
      <c r="G89" t="s">
        <v>1375</v>
      </c>
      <c r="H89">
        <v>0</v>
      </c>
      <c r="I89">
        <v>0</v>
      </c>
      <c r="J89">
        <v>1</v>
      </c>
      <c r="K89">
        <v>1</v>
      </c>
      <c r="L89" s="22" t="str">
        <f t="shared" si="22"/>
        <v>21/07/2026</v>
      </c>
      <c r="M89" s="23">
        <f t="shared" si="23"/>
        <v>0.5</v>
      </c>
      <c r="N89" t="str">
        <f t="shared" si="25"/>
        <v>1 - 1</v>
      </c>
      <c r="O89" t="str">
        <f t="shared" si="26"/>
        <v>Red</v>
      </c>
      <c r="P89" t="str">
        <f t="shared" si="27"/>
        <v>Green</v>
      </c>
      <c r="Q89" t="str">
        <f t="shared" si="28"/>
        <v>Red</v>
      </c>
      <c r="R89" t="str">
        <f t="shared" si="29"/>
        <v>Green</v>
      </c>
      <c r="S89" t="str">
        <f t="shared" si="30"/>
        <v>Green</v>
      </c>
      <c r="T89" t="str">
        <f t="shared" si="31"/>
        <v>Red</v>
      </c>
      <c r="U89" t="str">
        <f t="shared" si="32"/>
        <v>Red</v>
      </c>
      <c r="V89" t="str">
        <f t="shared" si="33"/>
        <v>Green</v>
      </c>
      <c r="W89" t="str">
        <f t="shared" si="34"/>
        <v>Red</v>
      </c>
      <c r="X89" t="str">
        <f t="shared" si="35"/>
        <v>Red</v>
      </c>
      <c r="Y89" t="str">
        <f t="shared" si="36"/>
        <v>Green</v>
      </c>
      <c r="Z89" t="str">
        <f t="shared" si="37"/>
        <v>Red</v>
      </c>
      <c r="AA89" t="str">
        <f t="shared" si="38"/>
        <v>Green</v>
      </c>
      <c r="AB89" t="str">
        <f t="shared" si="39"/>
        <v>Green</v>
      </c>
      <c r="AC89" t="str">
        <f t="shared" si="40"/>
        <v>Green</v>
      </c>
      <c r="AD89" t="str">
        <f t="shared" si="41"/>
        <v>Red</v>
      </c>
    </row>
    <row r="90" spans="1:30" x14ac:dyDescent="0.2">
      <c r="A90" t="str">
        <f t="shared" si="24"/>
        <v>21/07/2026Deportivo Toluca U21Pumas UNAM U21</v>
      </c>
      <c r="D90" s="2">
        <v>46224</v>
      </c>
      <c r="E90" s="3">
        <v>0.625</v>
      </c>
      <c r="F90" t="s">
        <v>1376</v>
      </c>
      <c r="G90" t="s">
        <v>1377</v>
      </c>
      <c r="H90">
        <v>0</v>
      </c>
      <c r="I90">
        <v>0</v>
      </c>
      <c r="J90">
        <v>1</v>
      </c>
      <c r="K90">
        <v>1</v>
      </c>
      <c r="L90" s="22" t="str">
        <f t="shared" si="22"/>
        <v>21/07/2026</v>
      </c>
      <c r="M90" s="23">
        <f t="shared" si="23"/>
        <v>0.5</v>
      </c>
      <c r="N90" t="str">
        <f t="shared" si="25"/>
        <v>1 - 1</v>
      </c>
      <c r="O90" t="str">
        <f t="shared" si="26"/>
        <v>Red</v>
      </c>
      <c r="P90" t="str">
        <f t="shared" si="27"/>
        <v>Green</v>
      </c>
      <c r="Q90" t="str">
        <f t="shared" si="28"/>
        <v>Red</v>
      </c>
      <c r="R90" t="str">
        <f t="shared" si="29"/>
        <v>Green</v>
      </c>
      <c r="S90" t="str">
        <f t="shared" si="30"/>
        <v>Green</v>
      </c>
      <c r="T90" t="str">
        <f t="shared" si="31"/>
        <v>Red</v>
      </c>
      <c r="U90" t="str">
        <f t="shared" si="32"/>
        <v>Red</v>
      </c>
      <c r="V90" t="str">
        <f t="shared" si="33"/>
        <v>Green</v>
      </c>
      <c r="W90" t="str">
        <f t="shared" si="34"/>
        <v>Red</v>
      </c>
      <c r="X90" t="str">
        <f t="shared" si="35"/>
        <v>Red</v>
      </c>
      <c r="Y90" t="str">
        <f t="shared" si="36"/>
        <v>Green</v>
      </c>
      <c r="Z90" t="str">
        <f t="shared" si="37"/>
        <v>Red</v>
      </c>
      <c r="AA90" t="str">
        <f t="shared" si="38"/>
        <v>Green</v>
      </c>
      <c r="AB90" t="str">
        <f t="shared" si="39"/>
        <v>Green</v>
      </c>
      <c r="AC90" t="str">
        <f t="shared" si="40"/>
        <v>Green</v>
      </c>
      <c r="AD90" t="str">
        <f t="shared" si="41"/>
        <v>Red</v>
      </c>
    </row>
    <row r="91" spans="1:30" x14ac:dyDescent="0.2">
      <c r="A91" t="str">
        <f t="shared" si="24"/>
        <v>21/07/2026BuxoroBunyodkor</v>
      </c>
      <c r="D91" s="2">
        <v>46224</v>
      </c>
      <c r="E91" s="3">
        <v>0.625</v>
      </c>
      <c r="F91" t="s">
        <v>1419</v>
      </c>
      <c r="G91" t="s">
        <v>1420</v>
      </c>
      <c r="H91">
        <v>1</v>
      </c>
      <c r="I91">
        <v>0</v>
      </c>
      <c r="J91">
        <v>1</v>
      </c>
      <c r="K91">
        <v>0</v>
      </c>
      <c r="L91" s="22" t="str">
        <f t="shared" si="22"/>
        <v>21/07/2026</v>
      </c>
      <c r="M91" s="23">
        <f t="shared" si="23"/>
        <v>0.5</v>
      </c>
      <c r="N91" t="str">
        <f t="shared" si="25"/>
        <v>1 - 0</v>
      </c>
      <c r="O91" t="str">
        <f t="shared" si="26"/>
        <v>Green</v>
      </c>
      <c r="P91" t="str">
        <f t="shared" si="27"/>
        <v>Red</v>
      </c>
      <c r="Q91" t="str">
        <f t="shared" si="28"/>
        <v>Red</v>
      </c>
      <c r="R91" t="str">
        <f t="shared" si="29"/>
        <v>Green</v>
      </c>
      <c r="S91" t="str">
        <f t="shared" si="30"/>
        <v>Red</v>
      </c>
      <c r="T91" t="str">
        <f t="shared" si="31"/>
        <v>Green</v>
      </c>
      <c r="U91" t="str">
        <f t="shared" si="32"/>
        <v>Green</v>
      </c>
      <c r="V91" t="str">
        <f t="shared" si="33"/>
        <v>Red</v>
      </c>
      <c r="W91" t="str">
        <f t="shared" si="34"/>
        <v>Red</v>
      </c>
      <c r="X91" t="str">
        <f t="shared" si="35"/>
        <v>Green</v>
      </c>
      <c r="Y91" t="str">
        <f t="shared" si="36"/>
        <v>Red</v>
      </c>
      <c r="Z91" t="str">
        <f t="shared" si="37"/>
        <v>Red</v>
      </c>
      <c r="AA91" t="str">
        <f t="shared" si="38"/>
        <v>Green</v>
      </c>
      <c r="AB91" t="str">
        <f t="shared" si="39"/>
        <v>Green</v>
      </c>
      <c r="AC91" t="str">
        <f t="shared" si="40"/>
        <v>Red</v>
      </c>
      <c r="AD91" t="str">
        <f t="shared" si="41"/>
        <v>Green</v>
      </c>
    </row>
    <row r="92" spans="1:30" x14ac:dyDescent="0.2">
      <c r="A92" t="str">
        <f t="shared" si="24"/>
        <v>21/07/2026Pakhtakor TashkentXorazm Urganch</v>
      </c>
      <c r="D92" s="2">
        <v>46224</v>
      </c>
      <c r="E92" s="3">
        <v>0.625</v>
      </c>
      <c r="F92" t="s">
        <v>1421</v>
      </c>
      <c r="G92" t="s">
        <v>1422</v>
      </c>
      <c r="H92">
        <v>1</v>
      </c>
      <c r="I92">
        <v>1</v>
      </c>
      <c r="J92">
        <v>2</v>
      </c>
      <c r="K92">
        <v>1</v>
      </c>
      <c r="L92" s="22" t="str">
        <f t="shared" si="22"/>
        <v>21/07/2026</v>
      </c>
      <c r="M92" s="23">
        <f t="shared" si="23"/>
        <v>0.5</v>
      </c>
      <c r="N92" t="str">
        <f t="shared" si="25"/>
        <v>2 - 1</v>
      </c>
      <c r="O92" t="str">
        <f t="shared" si="26"/>
        <v>Green</v>
      </c>
      <c r="P92" t="str">
        <f t="shared" si="27"/>
        <v>Red</v>
      </c>
      <c r="Q92" t="str">
        <f t="shared" si="28"/>
        <v>Red</v>
      </c>
      <c r="R92" t="str">
        <f t="shared" si="29"/>
        <v>Green</v>
      </c>
      <c r="S92" t="str">
        <f t="shared" si="30"/>
        <v>Red</v>
      </c>
      <c r="T92" t="str">
        <f t="shared" si="31"/>
        <v>Green</v>
      </c>
      <c r="U92" t="str">
        <f t="shared" si="32"/>
        <v>Red</v>
      </c>
      <c r="V92" t="str">
        <f t="shared" si="33"/>
        <v>Green</v>
      </c>
      <c r="W92" t="str">
        <f t="shared" si="34"/>
        <v>Red</v>
      </c>
      <c r="X92" t="str">
        <f t="shared" si="35"/>
        <v>Green</v>
      </c>
      <c r="Y92" t="str">
        <f t="shared" si="36"/>
        <v>Green</v>
      </c>
      <c r="Z92" t="str">
        <f t="shared" si="37"/>
        <v>Green</v>
      </c>
      <c r="AA92" t="str">
        <f t="shared" si="38"/>
        <v>Red</v>
      </c>
      <c r="AB92" t="str">
        <f t="shared" si="39"/>
        <v>Green</v>
      </c>
      <c r="AC92" t="str">
        <f t="shared" si="40"/>
        <v>Green</v>
      </c>
      <c r="AD92" t="str">
        <f t="shared" si="41"/>
        <v>Red</v>
      </c>
    </row>
    <row r="93" spans="1:30" x14ac:dyDescent="0.2">
      <c r="A93" t="str">
        <f t="shared" si="24"/>
        <v>21/07/2026Sogdiana JizzakhNeftchi Fargona</v>
      </c>
      <c r="D93" s="2">
        <v>46224</v>
      </c>
      <c r="E93" s="3">
        <v>0.625</v>
      </c>
      <c r="F93" t="s">
        <v>1423</v>
      </c>
      <c r="G93" t="s">
        <v>1424</v>
      </c>
      <c r="H93">
        <v>1</v>
      </c>
      <c r="I93">
        <v>3</v>
      </c>
      <c r="J93">
        <v>1</v>
      </c>
      <c r="K93">
        <v>5</v>
      </c>
      <c r="L93" s="22" t="str">
        <f t="shared" si="22"/>
        <v>21/07/2026</v>
      </c>
      <c r="M93" s="23">
        <f t="shared" si="23"/>
        <v>0.5</v>
      </c>
      <c r="N93" t="str">
        <f t="shared" si="25"/>
        <v>1 - 5</v>
      </c>
      <c r="O93" t="str">
        <f t="shared" si="26"/>
        <v>Red</v>
      </c>
      <c r="P93" t="str">
        <f t="shared" si="27"/>
        <v>Red</v>
      </c>
      <c r="Q93" t="str">
        <f t="shared" si="28"/>
        <v>Green</v>
      </c>
      <c r="R93" t="str">
        <f t="shared" si="29"/>
        <v>Red</v>
      </c>
      <c r="S93" t="str">
        <f t="shared" si="30"/>
        <v>Green</v>
      </c>
      <c r="T93" t="str">
        <f t="shared" si="31"/>
        <v>Green</v>
      </c>
      <c r="U93" t="str">
        <f t="shared" si="32"/>
        <v>Red</v>
      </c>
      <c r="V93" t="str">
        <f t="shared" si="33"/>
        <v>Red</v>
      </c>
      <c r="W93" t="str">
        <f t="shared" si="34"/>
        <v>Green</v>
      </c>
      <c r="X93" t="str">
        <f t="shared" si="35"/>
        <v>Green</v>
      </c>
      <c r="Y93" t="str">
        <f t="shared" si="36"/>
        <v>Green</v>
      </c>
      <c r="Z93" t="str">
        <f t="shared" si="37"/>
        <v>Green</v>
      </c>
      <c r="AA93" t="str">
        <f t="shared" si="38"/>
        <v>Red</v>
      </c>
      <c r="AB93" t="str">
        <f t="shared" si="39"/>
        <v>Red</v>
      </c>
      <c r="AC93" t="str">
        <f t="shared" si="40"/>
        <v>Green</v>
      </c>
      <c r="AD93" t="str">
        <f t="shared" si="41"/>
        <v>Red</v>
      </c>
    </row>
    <row r="94" spans="1:30" x14ac:dyDescent="0.2">
      <c r="A94" t="str">
        <f t="shared" si="24"/>
        <v>21/07/2026ACS ASU Politehnica TimisoaraAl Shabab Riyadh</v>
      </c>
      <c r="D94" s="2">
        <v>46224</v>
      </c>
      <c r="E94" s="3">
        <v>0.625</v>
      </c>
      <c r="F94" t="s">
        <v>1433</v>
      </c>
      <c r="G94" t="s">
        <v>1434</v>
      </c>
      <c r="H94">
        <v>0</v>
      </c>
      <c r="I94">
        <v>0</v>
      </c>
      <c r="J94">
        <v>0</v>
      </c>
      <c r="K94">
        <v>0</v>
      </c>
      <c r="L94" s="22" t="str">
        <f t="shared" si="22"/>
        <v>21/07/2026</v>
      </c>
      <c r="M94" s="23">
        <f t="shared" si="23"/>
        <v>0.5</v>
      </c>
      <c r="N94" t="str">
        <f t="shared" si="25"/>
        <v>0 - 0</v>
      </c>
      <c r="O94" t="str">
        <f t="shared" si="26"/>
        <v>Red</v>
      </c>
      <c r="P94" t="str">
        <f t="shared" si="27"/>
        <v>Green</v>
      </c>
      <c r="Q94" t="str">
        <f t="shared" si="28"/>
        <v>Red</v>
      </c>
      <c r="R94" t="str">
        <f t="shared" si="29"/>
        <v>Green</v>
      </c>
      <c r="S94" t="str">
        <f t="shared" si="30"/>
        <v>Green</v>
      </c>
      <c r="T94" t="str">
        <f t="shared" si="31"/>
        <v>Red</v>
      </c>
      <c r="U94" t="str">
        <f t="shared" si="32"/>
        <v>Red</v>
      </c>
      <c r="V94" t="str">
        <f t="shared" si="33"/>
        <v>Green</v>
      </c>
      <c r="W94" t="str">
        <f t="shared" si="34"/>
        <v>Red</v>
      </c>
      <c r="X94" t="str">
        <f t="shared" si="35"/>
        <v>Red</v>
      </c>
      <c r="Y94" t="str">
        <f t="shared" si="36"/>
        <v>Red</v>
      </c>
      <c r="Z94" t="str">
        <f t="shared" si="37"/>
        <v>Red</v>
      </c>
      <c r="AA94" t="str">
        <f t="shared" si="38"/>
        <v>Green</v>
      </c>
      <c r="AB94" t="str">
        <f t="shared" si="39"/>
        <v>Green</v>
      </c>
      <c r="AC94" t="str">
        <f t="shared" si="40"/>
        <v>Red</v>
      </c>
      <c r="AD94" t="str">
        <f t="shared" si="41"/>
        <v>Green</v>
      </c>
    </row>
    <row r="95" spans="1:30" x14ac:dyDescent="0.2">
      <c r="A95" t="str">
        <f t="shared" si="24"/>
        <v>21/07/2026Hertha BSCMamelodi Sundowns</v>
      </c>
      <c r="D95" s="2">
        <v>46224</v>
      </c>
      <c r="E95" s="3">
        <v>0.625</v>
      </c>
      <c r="F95" t="s">
        <v>1435</v>
      </c>
      <c r="G95" t="s">
        <v>1436</v>
      </c>
      <c r="H95">
        <v>1</v>
      </c>
      <c r="I95">
        <v>1</v>
      </c>
      <c r="J95">
        <v>1</v>
      </c>
      <c r="K95">
        <v>1</v>
      </c>
      <c r="L95" s="22" t="str">
        <f t="shared" ref="L95:L126" si="42">DAY(D95)&amp;"/"&amp;"07"&amp;"/"&amp;YEAR(D95)</f>
        <v>21/07/2026</v>
      </c>
      <c r="M95" s="23">
        <f t="shared" ref="M95:M126" si="43">E95-TIME(3,0,0)</f>
        <v>0.5</v>
      </c>
      <c r="N95" t="str">
        <f t="shared" si="25"/>
        <v>1 - 1</v>
      </c>
      <c r="O95" t="str">
        <f t="shared" si="26"/>
        <v>Red</v>
      </c>
      <c r="P95" t="str">
        <f t="shared" si="27"/>
        <v>Green</v>
      </c>
      <c r="Q95" t="str">
        <f t="shared" si="28"/>
        <v>Red</v>
      </c>
      <c r="R95" t="str">
        <f t="shared" si="29"/>
        <v>Green</v>
      </c>
      <c r="S95" t="str">
        <f t="shared" si="30"/>
        <v>Green</v>
      </c>
      <c r="T95" t="str">
        <f t="shared" si="31"/>
        <v>Red</v>
      </c>
      <c r="U95" t="str">
        <f t="shared" si="32"/>
        <v>Red</v>
      </c>
      <c r="V95" t="str">
        <f t="shared" si="33"/>
        <v>Green</v>
      </c>
      <c r="W95" t="str">
        <f t="shared" si="34"/>
        <v>Red</v>
      </c>
      <c r="X95" t="str">
        <f t="shared" si="35"/>
        <v>Green</v>
      </c>
      <c r="Y95" t="str">
        <f t="shared" si="36"/>
        <v>Green</v>
      </c>
      <c r="Z95" t="str">
        <f t="shared" si="37"/>
        <v>Red</v>
      </c>
      <c r="AA95" t="str">
        <f t="shared" si="38"/>
        <v>Green</v>
      </c>
      <c r="AB95" t="str">
        <f t="shared" si="39"/>
        <v>Green</v>
      </c>
      <c r="AC95" t="str">
        <f t="shared" si="40"/>
        <v>Green</v>
      </c>
      <c r="AD95" t="str">
        <f t="shared" si="41"/>
        <v>Red</v>
      </c>
    </row>
    <row r="96" spans="1:30" x14ac:dyDescent="0.2">
      <c r="A96" t="str">
        <f t="shared" si="24"/>
        <v>21/07/2026BrabrandVSK Arhus</v>
      </c>
      <c r="D96" s="2">
        <v>46224</v>
      </c>
      <c r="E96" s="3">
        <v>0.64583333333333337</v>
      </c>
      <c r="F96" t="s">
        <v>1437</v>
      </c>
      <c r="G96" t="s">
        <v>1438</v>
      </c>
      <c r="H96">
        <v>0</v>
      </c>
      <c r="I96">
        <v>0</v>
      </c>
      <c r="J96">
        <v>0</v>
      </c>
      <c r="K96">
        <v>0</v>
      </c>
      <c r="L96" s="22" t="str">
        <f t="shared" si="42"/>
        <v>21/07/2026</v>
      </c>
      <c r="M96" s="23">
        <f t="shared" si="43"/>
        <v>0.52083333333333337</v>
      </c>
      <c r="N96" t="str">
        <f t="shared" si="25"/>
        <v>0 - 0</v>
      </c>
      <c r="O96" t="str">
        <f t="shared" si="26"/>
        <v>Red</v>
      </c>
      <c r="P96" t="str">
        <f t="shared" si="27"/>
        <v>Green</v>
      </c>
      <c r="Q96" t="str">
        <f t="shared" si="28"/>
        <v>Red</v>
      </c>
      <c r="R96" t="str">
        <f t="shared" si="29"/>
        <v>Green</v>
      </c>
      <c r="S96" t="str">
        <f t="shared" si="30"/>
        <v>Green</v>
      </c>
      <c r="T96" t="str">
        <f t="shared" si="31"/>
        <v>Red</v>
      </c>
      <c r="U96" t="str">
        <f t="shared" si="32"/>
        <v>Red</v>
      </c>
      <c r="V96" t="str">
        <f t="shared" si="33"/>
        <v>Green</v>
      </c>
      <c r="W96" t="str">
        <f t="shared" si="34"/>
        <v>Red</v>
      </c>
      <c r="X96" t="str">
        <f t="shared" si="35"/>
        <v>Red</v>
      </c>
      <c r="Y96" t="str">
        <f t="shared" si="36"/>
        <v>Red</v>
      </c>
      <c r="Z96" t="str">
        <f t="shared" si="37"/>
        <v>Red</v>
      </c>
      <c r="AA96" t="str">
        <f t="shared" si="38"/>
        <v>Green</v>
      </c>
      <c r="AB96" t="str">
        <f t="shared" si="39"/>
        <v>Green</v>
      </c>
      <c r="AC96" t="str">
        <f t="shared" si="40"/>
        <v>Red</v>
      </c>
      <c r="AD96" t="str">
        <f t="shared" si="41"/>
        <v>Green</v>
      </c>
    </row>
    <row r="97" spans="1:30" x14ac:dyDescent="0.2">
      <c r="A97" t="str">
        <f t="shared" si="24"/>
        <v>21/07/2026Dukla Prague IIBanik Sous</v>
      </c>
      <c r="D97" s="2">
        <v>46224</v>
      </c>
      <c r="E97" s="3">
        <v>0.64583333333333337</v>
      </c>
      <c r="F97" t="s">
        <v>1439</v>
      </c>
      <c r="G97" t="s">
        <v>1440</v>
      </c>
      <c r="H97">
        <v>1</v>
      </c>
      <c r="I97">
        <v>1</v>
      </c>
      <c r="J97">
        <v>3</v>
      </c>
      <c r="K97">
        <v>1</v>
      </c>
      <c r="L97" s="22" t="str">
        <f t="shared" si="42"/>
        <v>21/07/2026</v>
      </c>
      <c r="M97" s="23">
        <f t="shared" si="43"/>
        <v>0.52083333333333337</v>
      </c>
      <c r="N97" t="str">
        <f t="shared" si="25"/>
        <v>3 - 1</v>
      </c>
      <c r="O97" t="str">
        <f t="shared" si="26"/>
        <v>Green</v>
      </c>
      <c r="P97" t="str">
        <f t="shared" si="27"/>
        <v>Red</v>
      </c>
      <c r="Q97" t="str">
        <f t="shared" si="28"/>
        <v>Red</v>
      </c>
      <c r="R97" t="str">
        <f t="shared" si="29"/>
        <v>Green</v>
      </c>
      <c r="S97" t="str">
        <f t="shared" si="30"/>
        <v>Red</v>
      </c>
      <c r="T97" t="str">
        <f t="shared" si="31"/>
        <v>Green</v>
      </c>
      <c r="U97" t="str">
        <f t="shared" si="32"/>
        <v>Red</v>
      </c>
      <c r="V97" t="str">
        <f t="shared" si="33"/>
        <v>Green</v>
      </c>
      <c r="W97" t="str">
        <f t="shared" si="34"/>
        <v>Red</v>
      </c>
      <c r="X97" t="str">
        <f t="shared" si="35"/>
        <v>Green</v>
      </c>
      <c r="Y97" t="str">
        <f t="shared" si="36"/>
        <v>Green</v>
      </c>
      <c r="Z97" t="str">
        <f t="shared" si="37"/>
        <v>Green</v>
      </c>
      <c r="AA97" t="str">
        <f t="shared" si="38"/>
        <v>Red</v>
      </c>
      <c r="AB97" t="str">
        <f t="shared" si="39"/>
        <v>Red</v>
      </c>
      <c r="AC97" t="str">
        <f t="shared" si="40"/>
        <v>Green</v>
      </c>
      <c r="AD97" t="str">
        <f t="shared" si="41"/>
        <v>Red</v>
      </c>
    </row>
    <row r="98" spans="1:30" x14ac:dyDescent="0.2">
      <c r="A98" t="str">
        <f t="shared" si="24"/>
        <v>21/07/2026VfL BochumSwansea City</v>
      </c>
      <c r="D98" s="2">
        <v>46224</v>
      </c>
      <c r="E98" s="3">
        <v>0.66319444444444442</v>
      </c>
      <c r="F98" t="s">
        <v>1441</v>
      </c>
      <c r="G98" t="s">
        <v>1442</v>
      </c>
      <c r="H98">
        <v>2</v>
      </c>
      <c r="I98">
        <v>0</v>
      </c>
      <c r="J98">
        <v>2</v>
      </c>
      <c r="K98">
        <v>0</v>
      </c>
      <c r="L98" s="22" t="str">
        <f t="shared" si="42"/>
        <v>21/07/2026</v>
      </c>
      <c r="M98" s="23">
        <f t="shared" si="43"/>
        <v>0.53819444444444442</v>
      </c>
      <c r="N98" t="str">
        <f t="shared" si="25"/>
        <v>2 - 0</v>
      </c>
      <c r="O98" t="str">
        <f t="shared" si="26"/>
        <v>Green</v>
      </c>
      <c r="P98" t="str">
        <f t="shared" si="27"/>
        <v>Red</v>
      </c>
      <c r="Q98" t="str">
        <f t="shared" si="28"/>
        <v>Red</v>
      </c>
      <c r="R98" t="str">
        <f t="shared" si="29"/>
        <v>Green</v>
      </c>
      <c r="S98" t="str">
        <f t="shared" si="30"/>
        <v>Red</v>
      </c>
      <c r="T98" t="str">
        <f t="shared" si="31"/>
        <v>Green</v>
      </c>
      <c r="U98" t="str">
        <f t="shared" si="32"/>
        <v>Green</v>
      </c>
      <c r="V98" t="str">
        <f t="shared" si="33"/>
        <v>Red</v>
      </c>
      <c r="W98" t="str">
        <f t="shared" si="34"/>
        <v>Red</v>
      </c>
      <c r="X98" t="str">
        <f t="shared" si="35"/>
        <v>Green</v>
      </c>
      <c r="Y98" t="str">
        <f t="shared" si="36"/>
        <v>Green</v>
      </c>
      <c r="Z98" t="str">
        <f t="shared" si="37"/>
        <v>Red</v>
      </c>
      <c r="AA98" t="str">
        <f t="shared" si="38"/>
        <v>Green</v>
      </c>
      <c r="AB98" t="str">
        <f t="shared" si="39"/>
        <v>Green</v>
      </c>
      <c r="AC98" t="str">
        <f t="shared" si="40"/>
        <v>Red</v>
      </c>
      <c r="AD98" t="str">
        <f t="shared" si="41"/>
        <v>Green</v>
      </c>
    </row>
    <row r="99" spans="1:30" x14ac:dyDescent="0.2">
      <c r="A99" t="str">
        <f t="shared" si="24"/>
        <v>21/07/2026Ararat ArmeniaShamrock Rovers</v>
      </c>
      <c r="B99" t="s">
        <v>802</v>
      </c>
      <c r="C99" t="s">
        <v>803</v>
      </c>
      <c r="D99" s="2">
        <v>46224</v>
      </c>
      <c r="E99" s="3">
        <v>0.66666666666666663</v>
      </c>
      <c r="F99" t="s">
        <v>353</v>
      </c>
      <c r="G99" t="s">
        <v>354</v>
      </c>
      <c r="H99">
        <v>0</v>
      </c>
      <c r="I99">
        <v>0</v>
      </c>
      <c r="J99">
        <v>2</v>
      </c>
      <c r="K99">
        <v>0</v>
      </c>
      <c r="L99" s="22" t="str">
        <f t="shared" si="42"/>
        <v>21/07/2026</v>
      </c>
      <c r="M99" s="23">
        <f t="shared" si="43"/>
        <v>0.54166666666666663</v>
      </c>
      <c r="N99" t="str">
        <f t="shared" si="25"/>
        <v>2 - 0</v>
      </c>
      <c r="O99" t="str">
        <f t="shared" si="26"/>
        <v>Green</v>
      </c>
      <c r="P99" t="str">
        <f t="shared" si="27"/>
        <v>Red</v>
      </c>
      <c r="Q99" t="str">
        <f t="shared" si="28"/>
        <v>Red</v>
      </c>
      <c r="R99" t="str">
        <f t="shared" si="29"/>
        <v>Green</v>
      </c>
      <c r="S99" t="str">
        <f t="shared" si="30"/>
        <v>Red</v>
      </c>
      <c r="T99" t="str">
        <f t="shared" si="31"/>
        <v>Green</v>
      </c>
      <c r="U99" t="str">
        <f t="shared" si="32"/>
        <v>Red</v>
      </c>
      <c r="V99" t="str">
        <f t="shared" si="33"/>
        <v>Green</v>
      </c>
      <c r="W99" t="str">
        <f t="shared" si="34"/>
        <v>Red</v>
      </c>
      <c r="X99" t="str">
        <f t="shared" si="35"/>
        <v>Red</v>
      </c>
      <c r="Y99" t="str">
        <f t="shared" si="36"/>
        <v>Green</v>
      </c>
      <c r="Z99" t="str">
        <f t="shared" si="37"/>
        <v>Red</v>
      </c>
      <c r="AA99" t="str">
        <f t="shared" si="38"/>
        <v>Green</v>
      </c>
      <c r="AB99" t="str">
        <f t="shared" si="39"/>
        <v>Green</v>
      </c>
      <c r="AC99" t="str">
        <f t="shared" si="40"/>
        <v>Red</v>
      </c>
      <c r="AD99" t="str">
        <f t="shared" si="41"/>
        <v>Green</v>
      </c>
    </row>
    <row r="100" spans="1:30" x14ac:dyDescent="0.2">
      <c r="A100" t="str">
        <f t="shared" si="24"/>
        <v>21/07/2026MjallbyLincoln Red Imps</v>
      </c>
      <c r="B100" t="s">
        <v>802</v>
      </c>
      <c r="C100" t="s">
        <v>803</v>
      </c>
      <c r="D100" s="2">
        <v>46224</v>
      </c>
      <c r="E100" s="3">
        <v>0.66666666666666663</v>
      </c>
      <c r="F100" t="s">
        <v>355</v>
      </c>
      <c r="G100" t="s">
        <v>356</v>
      </c>
      <c r="H100">
        <v>3</v>
      </c>
      <c r="I100">
        <v>0</v>
      </c>
      <c r="J100">
        <v>3</v>
      </c>
      <c r="K100">
        <v>0</v>
      </c>
      <c r="L100" s="22" t="str">
        <f t="shared" si="42"/>
        <v>21/07/2026</v>
      </c>
      <c r="M100" s="23">
        <f t="shared" si="43"/>
        <v>0.54166666666666663</v>
      </c>
      <c r="N100" t="str">
        <f t="shared" si="25"/>
        <v>3 - 0</v>
      </c>
      <c r="O100" t="str">
        <f t="shared" si="26"/>
        <v>Green</v>
      </c>
      <c r="P100" t="str">
        <f t="shared" si="27"/>
        <v>Red</v>
      </c>
      <c r="Q100" t="str">
        <f t="shared" si="28"/>
        <v>Red</v>
      </c>
      <c r="R100" t="str">
        <f t="shared" si="29"/>
        <v>Green</v>
      </c>
      <c r="S100" t="str">
        <f t="shared" si="30"/>
        <v>Red</v>
      </c>
      <c r="T100" t="str">
        <f t="shared" si="31"/>
        <v>Green</v>
      </c>
      <c r="U100" t="str">
        <f t="shared" si="32"/>
        <v>Green</v>
      </c>
      <c r="V100" t="str">
        <f t="shared" si="33"/>
        <v>Red</v>
      </c>
      <c r="W100" t="str">
        <f t="shared" si="34"/>
        <v>Red</v>
      </c>
      <c r="X100" t="str">
        <f t="shared" si="35"/>
        <v>Green</v>
      </c>
      <c r="Y100" t="str">
        <f t="shared" si="36"/>
        <v>Green</v>
      </c>
      <c r="Z100" t="str">
        <f t="shared" si="37"/>
        <v>Green</v>
      </c>
      <c r="AA100" t="str">
        <f t="shared" si="38"/>
        <v>Red</v>
      </c>
      <c r="AB100" t="str">
        <f t="shared" si="39"/>
        <v>Green</v>
      </c>
      <c r="AC100" t="str">
        <f t="shared" si="40"/>
        <v>Red</v>
      </c>
      <c r="AD100" t="str">
        <f t="shared" si="41"/>
        <v>Green</v>
      </c>
    </row>
    <row r="101" spans="1:30" x14ac:dyDescent="0.2">
      <c r="A101" t="str">
        <f t="shared" si="24"/>
        <v>21/07/2026Sabah BakuKuopio PS</v>
      </c>
      <c r="B101" t="s">
        <v>802</v>
      </c>
      <c r="C101" t="s">
        <v>803</v>
      </c>
      <c r="D101" s="2">
        <v>46224</v>
      </c>
      <c r="E101" s="3">
        <v>0.66666666666666663</v>
      </c>
      <c r="F101" t="s">
        <v>351</v>
      </c>
      <c r="G101" t="s">
        <v>357</v>
      </c>
      <c r="H101">
        <v>1</v>
      </c>
      <c r="I101">
        <v>0</v>
      </c>
      <c r="J101">
        <v>1</v>
      </c>
      <c r="K101">
        <v>0</v>
      </c>
      <c r="L101" s="22" t="str">
        <f t="shared" si="42"/>
        <v>21/07/2026</v>
      </c>
      <c r="M101" s="23">
        <f t="shared" si="43"/>
        <v>0.54166666666666663</v>
      </c>
      <c r="N101" t="str">
        <f t="shared" si="25"/>
        <v>1 - 0</v>
      </c>
      <c r="O101" t="str">
        <f t="shared" si="26"/>
        <v>Green</v>
      </c>
      <c r="P101" t="str">
        <f t="shared" si="27"/>
        <v>Red</v>
      </c>
      <c r="Q101" t="str">
        <f t="shared" si="28"/>
        <v>Red</v>
      </c>
      <c r="R101" t="str">
        <f t="shared" si="29"/>
        <v>Green</v>
      </c>
      <c r="S101" t="str">
        <f t="shared" si="30"/>
        <v>Red</v>
      </c>
      <c r="T101" t="str">
        <f t="shared" si="31"/>
        <v>Green</v>
      </c>
      <c r="U101" t="str">
        <f t="shared" si="32"/>
        <v>Green</v>
      </c>
      <c r="V101" t="str">
        <f t="shared" si="33"/>
        <v>Red</v>
      </c>
      <c r="W101" t="str">
        <f t="shared" si="34"/>
        <v>Red</v>
      </c>
      <c r="X101" t="str">
        <f t="shared" si="35"/>
        <v>Green</v>
      </c>
      <c r="Y101" t="str">
        <f t="shared" si="36"/>
        <v>Red</v>
      </c>
      <c r="Z101" t="str">
        <f t="shared" si="37"/>
        <v>Red</v>
      </c>
      <c r="AA101" t="str">
        <f t="shared" si="38"/>
        <v>Green</v>
      </c>
      <c r="AB101" t="str">
        <f t="shared" si="39"/>
        <v>Green</v>
      </c>
      <c r="AC101" t="str">
        <f t="shared" si="40"/>
        <v>Red</v>
      </c>
      <c r="AD101" t="str">
        <f t="shared" si="41"/>
        <v>Green</v>
      </c>
    </row>
    <row r="102" spans="1:30" x14ac:dyDescent="0.2">
      <c r="A102" t="str">
        <f t="shared" si="24"/>
        <v>21/07/2026Iberia 1999Slovan Bratislava</v>
      </c>
      <c r="B102" t="s">
        <v>802</v>
      </c>
      <c r="C102" t="s">
        <v>803</v>
      </c>
      <c r="D102" s="2">
        <v>46224</v>
      </c>
      <c r="E102" s="3">
        <v>0.66666666666666663</v>
      </c>
      <c r="F102" t="s">
        <v>358</v>
      </c>
      <c r="G102" t="s">
        <v>359</v>
      </c>
      <c r="H102">
        <v>0</v>
      </c>
      <c r="I102">
        <v>2</v>
      </c>
      <c r="J102">
        <v>0</v>
      </c>
      <c r="K102">
        <v>2</v>
      </c>
      <c r="L102" s="22" t="str">
        <f t="shared" si="42"/>
        <v>21/07/2026</v>
      </c>
      <c r="M102" s="23">
        <f t="shared" si="43"/>
        <v>0.54166666666666663</v>
      </c>
      <c r="N102" t="str">
        <f t="shared" si="25"/>
        <v>0 - 2</v>
      </c>
      <c r="O102" t="str">
        <f t="shared" si="26"/>
        <v>Red</v>
      </c>
      <c r="P102" t="str">
        <f t="shared" si="27"/>
        <v>Red</v>
      </c>
      <c r="Q102" t="str">
        <f t="shared" si="28"/>
        <v>Green</v>
      </c>
      <c r="R102" t="str">
        <f t="shared" si="29"/>
        <v>Red</v>
      </c>
      <c r="S102" t="str">
        <f t="shared" si="30"/>
        <v>Green</v>
      </c>
      <c r="T102" t="str">
        <f t="shared" si="31"/>
        <v>Green</v>
      </c>
      <c r="U102" t="str">
        <f t="shared" si="32"/>
        <v>Red</v>
      </c>
      <c r="V102" t="str">
        <f t="shared" si="33"/>
        <v>Red</v>
      </c>
      <c r="W102" t="str">
        <f t="shared" si="34"/>
        <v>Green</v>
      </c>
      <c r="X102" t="str">
        <f t="shared" si="35"/>
        <v>Green</v>
      </c>
      <c r="Y102" t="str">
        <f t="shared" si="36"/>
        <v>Green</v>
      </c>
      <c r="Z102" t="str">
        <f t="shared" si="37"/>
        <v>Red</v>
      </c>
      <c r="AA102" t="str">
        <f t="shared" si="38"/>
        <v>Green</v>
      </c>
      <c r="AB102" t="str">
        <f t="shared" si="39"/>
        <v>Green</v>
      </c>
      <c r="AC102" t="str">
        <f t="shared" si="40"/>
        <v>Red</v>
      </c>
      <c r="AD102" t="str">
        <f t="shared" si="41"/>
        <v>Green</v>
      </c>
    </row>
    <row r="103" spans="1:30" x14ac:dyDescent="0.2">
      <c r="A103" t="str">
        <f t="shared" si="24"/>
        <v>21/07/2026Kapylan PalloKlubi 04</v>
      </c>
      <c r="D103" s="2">
        <v>46224</v>
      </c>
      <c r="E103" s="3">
        <v>0.66666666666666663</v>
      </c>
      <c r="F103" t="s">
        <v>1343</v>
      </c>
      <c r="G103" t="s">
        <v>1344</v>
      </c>
      <c r="H103">
        <v>0</v>
      </c>
      <c r="I103">
        <v>2</v>
      </c>
      <c r="J103">
        <v>0</v>
      </c>
      <c r="K103">
        <v>2</v>
      </c>
      <c r="L103" s="22" t="str">
        <f t="shared" si="42"/>
        <v>21/07/2026</v>
      </c>
      <c r="M103" s="23">
        <f t="shared" si="43"/>
        <v>0.54166666666666663</v>
      </c>
      <c r="N103" t="str">
        <f t="shared" si="25"/>
        <v>0 - 2</v>
      </c>
      <c r="O103" t="str">
        <f t="shared" si="26"/>
        <v>Red</v>
      </c>
      <c r="P103" t="str">
        <f t="shared" si="27"/>
        <v>Red</v>
      </c>
      <c r="Q103" t="str">
        <f t="shared" si="28"/>
        <v>Green</v>
      </c>
      <c r="R103" t="str">
        <f t="shared" si="29"/>
        <v>Red</v>
      </c>
      <c r="S103" t="str">
        <f t="shared" si="30"/>
        <v>Green</v>
      </c>
      <c r="T103" t="str">
        <f t="shared" si="31"/>
        <v>Green</v>
      </c>
      <c r="U103" t="str">
        <f t="shared" si="32"/>
        <v>Red</v>
      </c>
      <c r="V103" t="str">
        <f t="shared" si="33"/>
        <v>Red</v>
      </c>
      <c r="W103" t="str">
        <f t="shared" si="34"/>
        <v>Green</v>
      </c>
      <c r="X103" t="str">
        <f t="shared" si="35"/>
        <v>Green</v>
      </c>
      <c r="Y103" t="str">
        <f t="shared" si="36"/>
        <v>Green</v>
      </c>
      <c r="Z103" t="str">
        <f t="shared" si="37"/>
        <v>Red</v>
      </c>
      <c r="AA103" t="str">
        <f t="shared" si="38"/>
        <v>Green</v>
      </c>
      <c r="AB103" t="str">
        <f t="shared" si="39"/>
        <v>Green</v>
      </c>
      <c r="AC103" t="str">
        <f t="shared" si="40"/>
        <v>Red</v>
      </c>
      <c r="AD103" t="str">
        <f t="shared" si="41"/>
        <v>Green</v>
      </c>
    </row>
    <row r="104" spans="1:30" x14ac:dyDescent="0.2">
      <c r="A104" t="str">
        <f t="shared" si="24"/>
        <v>21/07/2026Hegelmann Litauen IIVMFD Zalgiris Vilnius II</v>
      </c>
      <c r="D104" s="2">
        <v>46224</v>
      </c>
      <c r="E104" s="3">
        <v>0.66666666666666663</v>
      </c>
      <c r="F104" t="s">
        <v>1368</v>
      </c>
      <c r="G104" t="s">
        <v>1369</v>
      </c>
      <c r="H104">
        <v>0</v>
      </c>
      <c r="I104">
        <v>1</v>
      </c>
      <c r="J104">
        <v>0</v>
      </c>
      <c r="K104">
        <v>2</v>
      </c>
      <c r="L104" s="22" t="str">
        <f t="shared" si="42"/>
        <v>21/07/2026</v>
      </c>
      <c r="M104" s="23">
        <f t="shared" si="43"/>
        <v>0.54166666666666663</v>
      </c>
      <c r="N104" t="str">
        <f t="shared" si="25"/>
        <v>0 - 2</v>
      </c>
      <c r="O104" t="str">
        <f t="shared" si="26"/>
        <v>Red</v>
      </c>
      <c r="P104" t="str">
        <f t="shared" si="27"/>
        <v>Red</v>
      </c>
      <c r="Q104" t="str">
        <f t="shared" si="28"/>
        <v>Green</v>
      </c>
      <c r="R104" t="str">
        <f t="shared" si="29"/>
        <v>Red</v>
      </c>
      <c r="S104" t="str">
        <f t="shared" si="30"/>
        <v>Green</v>
      </c>
      <c r="T104" t="str">
        <f t="shared" si="31"/>
        <v>Green</v>
      </c>
      <c r="U104" t="str">
        <f t="shared" si="32"/>
        <v>Red</v>
      </c>
      <c r="V104" t="str">
        <f t="shared" si="33"/>
        <v>Red</v>
      </c>
      <c r="W104" t="str">
        <f t="shared" si="34"/>
        <v>Green</v>
      </c>
      <c r="X104" t="str">
        <f t="shared" si="35"/>
        <v>Green</v>
      </c>
      <c r="Y104" t="str">
        <f t="shared" si="36"/>
        <v>Green</v>
      </c>
      <c r="Z104" t="str">
        <f t="shared" si="37"/>
        <v>Red</v>
      </c>
      <c r="AA104" t="str">
        <f t="shared" si="38"/>
        <v>Green</v>
      </c>
      <c r="AB104" t="str">
        <f t="shared" si="39"/>
        <v>Green</v>
      </c>
      <c r="AC104" t="str">
        <f t="shared" si="40"/>
        <v>Red</v>
      </c>
      <c r="AD104" t="str">
        <f t="shared" si="41"/>
        <v>Green</v>
      </c>
    </row>
    <row r="105" spans="1:30" x14ac:dyDescent="0.2">
      <c r="A105" t="str">
        <f t="shared" si="24"/>
        <v>21/07/202629 de Setiembre12 De Junio</v>
      </c>
      <c r="D105" s="2">
        <v>46224</v>
      </c>
      <c r="E105" s="3">
        <v>0.66666666666666663</v>
      </c>
      <c r="F105" t="s">
        <v>1382</v>
      </c>
      <c r="G105" t="s">
        <v>1383</v>
      </c>
      <c r="H105">
        <v>0</v>
      </c>
      <c r="I105">
        <v>0</v>
      </c>
      <c r="J105">
        <v>1</v>
      </c>
      <c r="K105">
        <v>1</v>
      </c>
      <c r="L105" s="22" t="str">
        <f t="shared" si="42"/>
        <v>21/07/2026</v>
      </c>
      <c r="M105" s="23">
        <f t="shared" si="43"/>
        <v>0.54166666666666663</v>
      </c>
      <c r="N105" t="str">
        <f t="shared" si="25"/>
        <v>1 - 1</v>
      </c>
      <c r="O105" t="str">
        <f t="shared" si="26"/>
        <v>Red</v>
      </c>
      <c r="P105" t="str">
        <f t="shared" si="27"/>
        <v>Green</v>
      </c>
      <c r="Q105" t="str">
        <f t="shared" si="28"/>
        <v>Red</v>
      </c>
      <c r="R105" t="str">
        <f t="shared" si="29"/>
        <v>Green</v>
      </c>
      <c r="S105" t="str">
        <f t="shared" si="30"/>
        <v>Green</v>
      </c>
      <c r="T105" t="str">
        <f t="shared" si="31"/>
        <v>Red</v>
      </c>
      <c r="U105" t="str">
        <f t="shared" si="32"/>
        <v>Red</v>
      </c>
      <c r="V105" t="str">
        <f t="shared" si="33"/>
        <v>Green</v>
      </c>
      <c r="W105" t="str">
        <f t="shared" si="34"/>
        <v>Red</v>
      </c>
      <c r="X105" t="str">
        <f t="shared" si="35"/>
        <v>Red</v>
      </c>
      <c r="Y105" t="str">
        <f t="shared" si="36"/>
        <v>Green</v>
      </c>
      <c r="Z105" t="str">
        <f t="shared" si="37"/>
        <v>Red</v>
      </c>
      <c r="AA105" t="str">
        <f t="shared" si="38"/>
        <v>Green</v>
      </c>
      <c r="AB105" t="str">
        <f t="shared" si="39"/>
        <v>Green</v>
      </c>
      <c r="AC105" t="str">
        <f t="shared" si="40"/>
        <v>Green</v>
      </c>
      <c r="AD105" t="str">
        <f t="shared" si="41"/>
        <v>Red</v>
      </c>
    </row>
    <row r="106" spans="1:30" x14ac:dyDescent="0.2">
      <c r="A106" t="str">
        <f t="shared" si="24"/>
        <v>21/07/2026Fagiano OkayamaFC Metalist 1925</v>
      </c>
      <c r="D106" s="2">
        <v>46224</v>
      </c>
      <c r="E106" s="3">
        <v>0.66666666666666663</v>
      </c>
      <c r="F106" t="s">
        <v>1443</v>
      </c>
      <c r="G106" t="s">
        <v>1444</v>
      </c>
      <c r="H106">
        <v>1</v>
      </c>
      <c r="I106">
        <v>0</v>
      </c>
      <c r="J106">
        <v>2</v>
      </c>
      <c r="K106">
        <v>1</v>
      </c>
      <c r="L106" s="22" t="str">
        <f t="shared" si="42"/>
        <v>21/07/2026</v>
      </c>
      <c r="M106" s="23">
        <f t="shared" si="43"/>
        <v>0.54166666666666663</v>
      </c>
      <c r="N106" t="str">
        <f t="shared" si="25"/>
        <v>2 - 1</v>
      </c>
      <c r="O106" t="str">
        <f t="shared" si="26"/>
        <v>Green</v>
      </c>
      <c r="P106" t="str">
        <f t="shared" si="27"/>
        <v>Red</v>
      </c>
      <c r="Q106" t="str">
        <f t="shared" si="28"/>
        <v>Red</v>
      </c>
      <c r="R106" t="str">
        <f t="shared" si="29"/>
        <v>Green</v>
      </c>
      <c r="S106" t="str">
        <f t="shared" si="30"/>
        <v>Red</v>
      </c>
      <c r="T106" t="str">
        <f t="shared" si="31"/>
        <v>Green</v>
      </c>
      <c r="U106" t="str">
        <f t="shared" si="32"/>
        <v>Green</v>
      </c>
      <c r="V106" t="str">
        <f t="shared" si="33"/>
        <v>Red</v>
      </c>
      <c r="W106" t="str">
        <f t="shared" si="34"/>
        <v>Red</v>
      </c>
      <c r="X106" t="str">
        <f t="shared" si="35"/>
        <v>Green</v>
      </c>
      <c r="Y106" t="str">
        <f t="shared" si="36"/>
        <v>Green</v>
      </c>
      <c r="Z106" t="str">
        <f t="shared" si="37"/>
        <v>Green</v>
      </c>
      <c r="AA106" t="str">
        <f t="shared" si="38"/>
        <v>Red</v>
      </c>
      <c r="AB106" t="str">
        <f t="shared" si="39"/>
        <v>Green</v>
      </c>
      <c r="AC106" t="str">
        <f t="shared" si="40"/>
        <v>Green</v>
      </c>
      <c r="AD106" t="str">
        <f t="shared" si="41"/>
        <v>Red</v>
      </c>
    </row>
    <row r="107" spans="1:30" x14ac:dyDescent="0.2">
      <c r="A107" t="str">
        <f t="shared" si="24"/>
        <v>21/07/2026Petro LuandaAl Ittihad Jeddah U21</v>
      </c>
      <c r="D107" s="2">
        <v>46224</v>
      </c>
      <c r="E107" s="3">
        <v>0.66666666666666663</v>
      </c>
      <c r="F107" t="s">
        <v>1445</v>
      </c>
      <c r="G107" t="s">
        <v>1446</v>
      </c>
      <c r="L107" s="22" t="str">
        <f t="shared" si="42"/>
        <v>21/07/2026</v>
      </c>
      <c r="M107" s="23">
        <f t="shared" si="43"/>
        <v>0.54166666666666663</v>
      </c>
      <c r="N107" t="str">
        <f t="shared" si="25"/>
        <v xml:space="preserve"> - </v>
      </c>
      <c r="O107" t="str">
        <f t="shared" si="26"/>
        <v>Red</v>
      </c>
      <c r="P107" t="str">
        <f t="shared" si="27"/>
        <v>Green</v>
      </c>
      <c r="Q107" t="str">
        <f t="shared" si="28"/>
        <v>Red</v>
      </c>
      <c r="R107" t="str">
        <f t="shared" si="29"/>
        <v>Green</v>
      </c>
      <c r="S107" t="str">
        <f t="shared" si="30"/>
        <v>Green</v>
      </c>
      <c r="T107" t="str">
        <f t="shared" si="31"/>
        <v>Red</v>
      </c>
      <c r="U107" t="str">
        <f t="shared" si="32"/>
        <v>Red</v>
      </c>
      <c r="V107" t="str">
        <f t="shared" si="33"/>
        <v>Green</v>
      </c>
      <c r="W107" t="str">
        <f t="shared" si="34"/>
        <v>Red</v>
      </c>
      <c r="X107" t="str">
        <f t="shared" si="35"/>
        <v>Red</v>
      </c>
      <c r="Y107" t="str">
        <f t="shared" si="36"/>
        <v>Red</v>
      </c>
      <c r="Z107" t="str">
        <f t="shared" si="37"/>
        <v>Red</v>
      </c>
      <c r="AA107" t="str">
        <f t="shared" si="38"/>
        <v>Green</v>
      </c>
      <c r="AB107" t="str">
        <f t="shared" si="39"/>
        <v>Green</v>
      </c>
      <c r="AC107" t="str">
        <f t="shared" si="40"/>
        <v>Red</v>
      </c>
      <c r="AD107" t="str">
        <f t="shared" si="41"/>
        <v>Green</v>
      </c>
    </row>
    <row r="108" spans="1:30" x14ac:dyDescent="0.2">
      <c r="A108" t="str">
        <f t="shared" si="24"/>
        <v>21/07/2026Shakhtar DonetskSlaven Belupo</v>
      </c>
      <c r="D108" s="2">
        <v>46224</v>
      </c>
      <c r="E108" s="3">
        <v>0.66666666666666663</v>
      </c>
      <c r="F108" t="s">
        <v>1447</v>
      </c>
      <c r="G108" t="s">
        <v>1448</v>
      </c>
      <c r="H108">
        <v>0</v>
      </c>
      <c r="I108">
        <v>0</v>
      </c>
      <c r="J108">
        <v>2</v>
      </c>
      <c r="K108">
        <v>2</v>
      </c>
      <c r="L108" s="22" t="str">
        <f t="shared" si="42"/>
        <v>21/07/2026</v>
      </c>
      <c r="M108" s="23">
        <f t="shared" si="43"/>
        <v>0.54166666666666663</v>
      </c>
      <c r="N108" t="str">
        <f t="shared" si="25"/>
        <v>2 - 2</v>
      </c>
      <c r="O108" t="str">
        <f t="shared" si="26"/>
        <v>Red</v>
      </c>
      <c r="P108" t="str">
        <f t="shared" si="27"/>
        <v>Green</v>
      </c>
      <c r="Q108" t="str">
        <f t="shared" si="28"/>
        <v>Red</v>
      </c>
      <c r="R108" t="str">
        <f t="shared" si="29"/>
        <v>Green</v>
      </c>
      <c r="S108" t="str">
        <f t="shared" si="30"/>
        <v>Green</v>
      </c>
      <c r="T108" t="str">
        <f t="shared" si="31"/>
        <v>Red</v>
      </c>
      <c r="U108" t="str">
        <f t="shared" si="32"/>
        <v>Red</v>
      </c>
      <c r="V108" t="str">
        <f t="shared" si="33"/>
        <v>Green</v>
      </c>
      <c r="W108" t="str">
        <f t="shared" si="34"/>
        <v>Red</v>
      </c>
      <c r="X108" t="str">
        <f t="shared" si="35"/>
        <v>Red</v>
      </c>
      <c r="Y108" t="str">
        <f t="shared" si="36"/>
        <v>Green</v>
      </c>
      <c r="Z108" t="str">
        <f t="shared" si="37"/>
        <v>Green</v>
      </c>
      <c r="AA108" t="str">
        <f t="shared" si="38"/>
        <v>Red</v>
      </c>
      <c r="AB108" t="str">
        <f t="shared" si="39"/>
        <v>Red</v>
      </c>
      <c r="AC108" t="str">
        <f t="shared" si="40"/>
        <v>Green</v>
      </c>
      <c r="AD108" t="str">
        <f t="shared" si="41"/>
        <v>Red</v>
      </c>
    </row>
    <row r="109" spans="1:30" x14ac:dyDescent="0.2">
      <c r="A109" t="str">
        <f t="shared" si="24"/>
        <v>21/07/2026Eintracht BambergWeiden</v>
      </c>
      <c r="D109" s="2">
        <v>46224</v>
      </c>
      <c r="E109" s="3">
        <v>0.6875</v>
      </c>
      <c r="F109" t="s">
        <v>1345</v>
      </c>
      <c r="G109" t="s">
        <v>1346</v>
      </c>
      <c r="H109">
        <v>1</v>
      </c>
      <c r="I109">
        <v>0</v>
      </c>
      <c r="J109">
        <v>4</v>
      </c>
      <c r="K109">
        <v>1</v>
      </c>
      <c r="L109" s="22" t="str">
        <f t="shared" si="42"/>
        <v>21/07/2026</v>
      </c>
      <c r="M109" s="23">
        <f t="shared" si="43"/>
        <v>0.5625</v>
      </c>
      <c r="N109" t="str">
        <f t="shared" si="25"/>
        <v>4 - 1</v>
      </c>
      <c r="O109" t="str">
        <f t="shared" si="26"/>
        <v>Green</v>
      </c>
      <c r="P109" t="str">
        <f t="shared" si="27"/>
        <v>Red</v>
      </c>
      <c r="Q109" t="str">
        <f t="shared" si="28"/>
        <v>Red</v>
      </c>
      <c r="R109" t="str">
        <f t="shared" si="29"/>
        <v>Green</v>
      </c>
      <c r="S109" t="str">
        <f t="shared" si="30"/>
        <v>Red</v>
      </c>
      <c r="T109" t="str">
        <f t="shared" si="31"/>
        <v>Green</v>
      </c>
      <c r="U109" t="str">
        <f t="shared" si="32"/>
        <v>Green</v>
      </c>
      <c r="V109" t="str">
        <f t="shared" si="33"/>
        <v>Red</v>
      </c>
      <c r="W109" t="str">
        <f t="shared" si="34"/>
        <v>Red</v>
      </c>
      <c r="X109" t="str">
        <f t="shared" si="35"/>
        <v>Green</v>
      </c>
      <c r="Y109" t="str">
        <f t="shared" si="36"/>
        <v>Green</v>
      </c>
      <c r="Z109" t="str">
        <f t="shared" si="37"/>
        <v>Green</v>
      </c>
      <c r="AA109" t="str">
        <f t="shared" si="38"/>
        <v>Red</v>
      </c>
      <c r="AB109" t="str">
        <f t="shared" si="39"/>
        <v>Red</v>
      </c>
      <c r="AC109" t="str">
        <f t="shared" si="40"/>
        <v>Green</v>
      </c>
      <c r="AD109" t="str">
        <f t="shared" si="41"/>
        <v>Red</v>
      </c>
    </row>
    <row r="110" spans="1:30" x14ac:dyDescent="0.2">
      <c r="A110" t="str">
        <f t="shared" si="24"/>
        <v>21/07/2026FC PipinsriedHeimstetten</v>
      </c>
      <c r="D110" s="2">
        <v>46224</v>
      </c>
      <c r="E110" s="3">
        <v>0.6875</v>
      </c>
      <c r="F110" t="s">
        <v>1353</v>
      </c>
      <c r="G110" t="s">
        <v>1354</v>
      </c>
      <c r="H110">
        <v>1</v>
      </c>
      <c r="I110">
        <v>2</v>
      </c>
      <c r="J110">
        <v>3</v>
      </c>
      <c r="K110">
        <v>2</v>
      </c>
      <c r="L110" s="22" t="str">
        <f t="shared" si="42"/>
        <v>21/07/2026</v>
      </c>
      <c r="M110" s="23">
        <f t="shared" si="43"/>
        <v>0.5625</v>
      </c>
      <c r="N110" t="str">
        <f t="shared" si="25"/>
        <v>3 - 2</v>
      </c>
      <c r="O110" t="str">
        <f t="shared" si="26"/>
        <v>Green</v>
      </c>
      <c r="P110" t="str">
        <f t="shared" si="27"/>
        <v>Red</v>
      </c>
      <c r="Q110" t="str">
        <f t="shared" si="28"/>
        <v>Red</v>
      </c>
      <c r="R110" t="str">
        <f t="shared" si="29"/>
        <v>Green</v>
      </c>
      <c r="S110" t="str">
        <f t="shared" si="30"/>
        <v>Red</v>
      </c>
      <c r="T110" t="str">
        <f t="shared" si="31"/>
        <v>Green</v>
      </c>
      <c r="U110" t="str">
        <f t="shared" si="32"/>
        <v>Red</v>
      </c>
      <c r="V110" t="str">
        <f t="shared" si="33"/>
        <v>Red</v>
      </c>
      <c r="W110" t="str">
        <f t="shared" si="34"/>
        <v>Green</v>
      </c>
      <c r="X110" t="str">
        <f t="shared" si="35"/>
        <v>Green</v>
      </c>
      <c r="Y110" t="str">
        <f t="shared" si="36"/>
        <v>Green</v>
      </c>
      <c r="Z110" t="str">
        <f t="shared" si="37"/>
        <v>Green</v>
      </c>
      <c r="AA110" t="str">
        <f t="shared" si="38"/>
        <v>Red</v>
      </c>
      <c r="AB110" t="str">
        <f t="shared" si="39"/>
        <v>Red</v>
      </c>
      <c r="AC110" t="str">
        <f t="shared" si="40"/>
        <v>Green</v>
      </c>
      <c r="AD110" t="str">
        <f t="shared" si="41"/>
        <v>Red</v>
      </c>
    </row>
    <row r="111" spans="1:30" x14ac:dyDescent="0.2">
      <c r="A111" t="str">
        <f t="shared" si="24"/>
        <v>21/07/2026Sportfreunde SchwaigTSV 1860 Wasserburg</v>
      </c>
      <c r="D111" s="2">
        <v>46224</v>
      </c>
      <c r="E111" s="3">
        <v>0.6875</v>
      </c>
      <c r="F111" t="s">
        <v>1355</v>
      </c>
      <c r="G111" t="s">
        <v>1356</v>
      </c>
      <c r="L111" s="22" t="str">
        <f t="shared" si="42"/>
        <v>21/07/2026</v>
      </c>
      <c r="M111" s="23">
        <f t="shared" si="43"/>
        <v>0.5625</v>
      </c>
      <c r="N111" t="str">
        <f t="shared" si="25"/>
        <v xml:space="preserve"> - </v>
      </c>
      <c r="O111" t="str">
        <f t="shared" si="26"/>
        <v>Red</v>
      </c>
      <c r="P111" t="str">
        <f t="shared" si="27"/>
        <v>Green</v>
      </c>
      <c r="Q111" t="str">
        <f t="shared" si="28"/>
        <v>Red</v>
      </c>
      <c r="R111" t="str">
        <f t="shared" si="29"/>
        <v>Green</v>
      </c>
      <c r="S111" t="str">
        <f t="shared" si="30"/>
        <v>Green</v>
      </c>
      <c r="T111" t="str">
        <f t="shared" si="31"/>
        <v>Red</v>
      </c>
      <c r="U111" t="str">
        <f t="shared" si="32"/>
        <v>Red</v>
      </c>
      <c r="V111" t="str">
        <f t="shared" si="33"/>
        <v>Green</v>
      </c>
      <c r="W111" t="str">
        <f t="shared" si="34"/>
        <v>Red</v>
      </c>
      <c r="X111" t="str">
        <f t="shared" si="35"/>
        <v>Red</v>
      </c>
      <c r="Y111" t="str">
        <f t="shared" si="36"/>
        <v>Red</v>
      </c>
      <c r="Z111" t="str">
        <f t="shared" si="37"/>
        <v>Red</v>
      </c>
      <c r="AA111" t="str">
        <f t="shared" si="38"/>
        <v>Green</v>
      </c>
      <c r="AB111" t="str">
        <f t="shared" si="39"/>
        <v>Green</v>
      </c>
      <c r="AC111" t="str">
        <f t="shared" si="40"/>
        <v>Red</v>
      </c>
      <c r="AD111" t="str">
        <f t="shared" si="41"/>
        <v>Green</v>
      </c>
    </row>
    <row r="112" spans="1:30" x14ac:dyDescent="0.2">
      <c r="A112" t="str">
        <f t="shared" si="24"/>
        <v>21/07/2026TSV 1860 RosenheimSchalding Heining</v>
      </c>
      <c r="D112" s="2">
        <v>46224</v>
      </c>
      <c r="E112" s="3">
        <v>0.6875</v>
      </c>
      <c r="F112" t="s">
        <v>1357</v>
      </c>
      <c r="G112" t="s">
        <v>1358</v>
      </c>
      <c r="H112">
        <v>1</v>
      </c>
      <c r="I112">
        <v>1</v>
      </c>
      <c r="J112">
        <v>2</v>
      </c>
      <c r="K112">
        <v>2</v>
      </c>
      <c r="L112" s="22" t="str">
        <f t="shared" si="42"/>
        <v>21/07/2026</v>
      </c>
      <c r="M112" s="23">
        <f t="shared" si="43"/>
        <v>0.5625</v>
      </c>
      <c r="N112" t="str">
        <f t="shared" si="25"/>
        <v>2 - 2</v>
      </c>
      <c r="O112" t="str">
        <f t="shared" si="26"/>
        <v>Red</v>
      </c>
      <c r="P112" t="str">
        <f t="shared" si="27"/>
        <v>Green</v>
      </c>
      <c r="Q112" t="str">
        <f t="shared" si="28"/>
        <v>Red</v>
      </c>
      <c r="R112" t="str">
        <f t="shared" si="29"/>
        <v>Green</v>
      </c>
      <c r="S112" t="str">
        <f t="shared" si="30"/>
        <v>Green</v>
      </c>
      <c r="T112" t="str">
        <f t="shared" si="31"/>
        <v>Red</v>
      </c>
      <c r="U112" t="str">
        <f t="shared" si="32"/>
        <v>Red</v>
      </c>
      <c r="V112" t="str">
        <f t="shared" si="33"/>
        <v>Green</v>
      </c>
      <c r="W112" t="str">
        <f t="shared" si="34"/>
        <v>Red</v>
      </c>
      <c r="X112" t="str">
        <f t="shared" si="35"/>
        <v>Green</v>
      </c>
      <c r="Y112" t="str">
        <f t="shared" si="36"/>
        <v>Green</v>
      </c>
      <c r="Z112" t="str">
        <f t="shared" si="37"/>
        <v>Green</v>
      </c>
      <c r="AA112" t="str">
        <f t="shared" si="38"/>
        <v>Red</v>
      </c>
      <c r="AB112" t="str">
        <f t="shared" si="39"/>
        <v>Red</v>
      </c>
      <c r="AC112" t="str">
        <f t="shared" si="40"/>
        <v>Green</v>
      </c>
      <c r="AD112" t="str">
        <f t="shared" si="41"/>
        <v>Red</v>
      </c>
    </row>
    <row r="113" spans="1:30" x14ac:dyDescent="0.2">
      <c r="A113" t="str">
        <f t="shared" si="24"/>
        <v>21/07/2026TSV KotternTSV Schwabmunchen</v>
      </c>
      <c r="D113" s="2">
        <v>46224</v>
      </c>
      <c r="E113" s="3">
        <v>0.6875</v>
      </c>
      <c r="F113" t="s">
        <v>1359</v>
      </c>
      <c r="G113" t="s">
        <v>1360</v>
      </c>
      <c r="H113">
        <v>1</v>
      </c>
      <c r="I113">
        <v>0</v>
      </c>
      <c r="J113">
        <v>1</v>
      </c>
      <c r="K113">
        <v>0</v>
      </c>
      <c r="L113" s="22" t="str">
        <f t="shared" si="42"/>
        <v>21/07/2026</v>
      </c>
      <c r="M113" s="23">
        <f t="shared" si="43"/>
        <v>0.5625</v>
      </c>
      <c r="N113" t="str">
        <f t="shared" si="25"/>
        <v>1 - 0</v>
      </c>
      <c r="O113" t="str">
        <f t="shared" si="26"/>
        <v>Green</v>
      </c>
      <c r="P113" t="str">
        <f t="shared" si="27"/>
        <v>Red</v>
      </c>
      <c r="Q113" t="str">
        <f t="shared" si="28"/>
        <v>Red</v>
      </c>
      <c r="R113" t="str">
        <f t="shared" si="29"/>
        <v>Green</v>
      </c>
      <c r="S113" t="str">
        <f t="shared" si="30"/>
        <v>Red</v>
      </c>
      <c r="T113" t="str">
        <f t="shared" si="31"/>
        <v>Green</v>
      </c>
      <c r="U113" t="str">
        <f t="shared" si="32"/>
        <v>Green</v>
      </c>
      <c r="V113" t="str">
        <f t="shared" si="33"/>
        <v>Red</v>
      </c>
      <c r="W113" t="str">
        <f t="shared" si="34"/>
        <v>Red</v>
      </c>
      <c r="X113" t="str">
        <f t="shared" si="35"/>
        <v>Green</v>
      </c>
      <c r="Y113" t="str">
        <f t="shared" si="36"/>
        <v>Red</v>
      </c>
      <c r="Z113" t="str">
        <f t="shared" si="37"/>
        <v>Red</v>
      </c>
      <c r="AA113" t="str">
        <f t="shared" si="38"/>
        <v>Green</v>
      </c>
      <c r="AB113" t="str">
        <f t="shared" si="39"/>
        <v>Green</v>
      </c>
      <c r="AC113" t="str">
        <f t="shared" si="40"/>
        <v>Red</v>
      </c>
      <c r="AD113" t="str">
        <f t="shared" si="41"/>
        <v>Green</v>
      </c>
    </row>
    <row r="114" spans="1:30" x14ac:dyDescent="0.2">
      <c r="A114" t="str">
        <f t="shared" si="24"/>
        <v>21/07/2026NK Istra 1961Orijent</v>
      </c>
      <c r="D114" s="2">
        <v>46224</v>
      </c>
      <c r="E114" s="3">
        <v>0.6875</v>
      </c>
      <c r="F114" t="s">
        <v>1449</v>
      </c>
      <c r="G114" t="s">
        <v>1450</v>
      </c>
      <c r="H114">
        <v>2</v>
      </c>
      <c r="I114">
        <v>1</v>
      </c>
      <c r="J114">
        <v>5</v>
      </c>
      <c r="K114">
        <v>2</v>
      </c>
      <c r="L114" s="22" t="str">
        <f t="shared" si="42"/>
        <v>21/07/2026</v>
      </c>
      <c r="M114" s="23">
        <f t="shared" si="43"/>
        <v>0.5625</v>
      </c>
      <c r="N114" t="str">
        <f t="shared" si="25"/>
        <v>5 - 2</v>
      </c>
      <c r="O114" t="str">
        <f t="shared" si="26"/>
        <v>Green</v>
      </c>
      <c r="P114" t="str">
        <f t="shared" si="27"/>
        <v>Red</v>
      </c>
      <c r="Q114" t="str">
        <f t="shared" si="28"/>
        <v>Red</v>
      </c>
      <c r="R114" t="str">
        <f t="shared" si="29"/>
        <v>Green</v>
      </c>
      <c r="S114" t="str">
        <f t="shared" si="30"/>
        <v>Red</v>
      </c>
      <c r="T114" t="str">
        <f t="shared" si="31"/>
        <v>Green</v>
      </c>
      <c r="U114" t="str">
        <f t="shared" si="32"/>
        <v>Green</v>
      </c>
      <c r="V114" t="str">
        <f t="shared" si="33"/>
        <v>Red</v>
      </c>
      <c r="W114" t="str">
        <f t="shared" si="34"/>
        <v>Red</v>
      </c>
      <c r="X114" t="str">
        <f t="shared" si="35"/>
        <v>Green</v>
      </c>
      <c r="Y114" t="str">
        <f t="shared" si="36"/>
        <v>Green</v>
      </c>
      <c r="Z114" t="str">
        <f t="shared" si="37"/>
        <v>Green</v>
      </c>
      <c r="AA114" t="str">
        <f t="shared" si="38"/>
        <v>Red</v>
      </c>
      <c r="AB114" t="str">
        <f t="shared" si="39"/>
        <v>Red</v>
      </c>
      <c r="AC114" t="str">
        <f t="shared" si="40"/>
        <v>Green</v>
      </c>
      <c r="AD114" t="str">
        <f t="shared" si="41"/>
        <v>Red</v>
      </c>
    </row>
    <row r="115" spans="1:30" x14ac:dyDescent="0.2">
      <c r="A115" t="str">
        <f t="shared" si="24"/>
        <v>21/07/2026VfR AalenSonnenhof Grossaspach</v>
      </c>
      <c r="D115" s="2">
        <v>46224</v>
      </c>
      <c r="E115" s="3">
        <v>0.6875</v>
      </c>
      <c r="F115" t="s">
        <v>1451</v>
      </c>
      <c r="G115" t="s">
        <v>1452</v>
      </c>
      <c r="H115">
        <v>1</v>
      </c>
      <c r="I115">
        <v>1</v>
      </c>
      <c r="J115">
        <v>2</v>
      </c>
      <c r="K115">
        <v>2</v>
      </c>
      <c r="L115" s="22" t="str">
        <f t="shared" si="42"/>
        <v>21/07/2026</v>
      </c>
      <c r="M115" s="23">
        <f t="shared" si="43"/>
        <v>0.5625</v>
      </c>
      <c r="N115" t="str">
        <f t="shared" si="25"/>
        <v>2 - 2</v>
      </c>
      <c r="O115" t="str">
        <f t="shared" si="26"/>
        <v>Red</v>
      </c>
      <c r="P115" t="str">
        <f t="shared" si="27"/>
        <v>Green</v>
      </c>
      <c r="Q115" t="str">
        <f t="shared" si="28"/>
        <v>Red</v>
      </c>
      <c r="R115" t="str">
        <f t="shared" si="29"/>
        <v>Green</v>
      </c>
      <c r="S115" t="str">
        <f t="shared" si="30"/>
        <v>Green</v>
      </c>
      <c r="T115" t="str">
        <f t="shared" si="31"/>
        <v>Red</v>
      </c>
      <c r="U115" t="str">
        <f t="shared" si="32"/>
        <v>Red</v>
      </c>
      <c r="V115" t="str">
        <f t="shared" si="33"/>
        <v>Green</v>
      </c>
      <c r="W115" t="str">
        <f t="shared" si="34"/>
        <v>Red</v>
      </c>
      <c r="X115" t="str">
        <f t="shared" si="35"/>
        <v>Green</v>
      </c>
      <c r="Y115" t="str">
        <f t="shared" si="36"/>
        <v>Green</v>
      </c>
      <c r="Z115" t="str">
        <f t="shared" si="37"/>
        <v>Green</v>
      </c>
      <c r="AA115" t="str">
        <f t="shared" si="38"/>
        <v>Red</v>
      </c>
      <c r="AB115" t="str">
        <f t="shared" si="39"/>
        <v>Red</v>
      </c>
      <c r="AC115" t="str">
        <f t="shared" si="40"/>
        <v>Green</v>
      </c>
      <c r="AD115" t="str">
        <f t="shared" si="41"/>
        <v>Red</v>
      </c>
    </row>
    <row r="116" spans="1:30" x14ac:dyDescent="0.2">
      <c r="A116" t="str">
        <f t="shared" si="24"/>
        <v>21/07/2026AGF AarhusLech Poznan</v>
      </c>
      <c r="B116" t="s">
        <v>802</v>
      </c>
      <c r="C116" t="s">
        <v>803</v>
      </c>
      <c r="D116" s="2">
        <v>46224</v>
      </c>
      <c r="E116" s="3">
        <v>0.70833333333333337</v>
      </c>
      <c r="F116" t="s">
        <v>360</v>
      </c>
      <c r="G116" t="s">
        <v>361</v>
      </c>
      <c r="H116">
        <v>0</v>
      </c>
      <c r="I116">
        <v>2</v>
      </c>
      <c r="J116">
        <v>1</v>
      </c>
      <c r="K116">
        <v>4</v>
      </c>
      <c r="L116" s="22" t="str">
        <f t="shared" si="42"/>
        <v>21/07/2026</v>
      </c>
      <c r="M116" s="23">
        <f t="shared" si="43"/>
        <v>0.58333333333333337</v>
      </c>
      <c r="N116" t="str">
        <f t="shared" si="25"/>
        <v>1 - 4</v>
      </c>
      <c r="O116" t="str">
        <f t="shared" si="26"/>
        <v>Red</v>
      </c>
      <c r="P116" t="str">
        <f t="shared" si="27"/>
        <v>Red</v>
      </c>
      <c r="Q116" t="str">
        <f t="shared" si="28"/>
        <v>Green</v>
      </c>
      <c r="R116" t="str">
        <f t="shared" si="29"/>
        <v>Red</v>
      </c>
      <c r="S116" t="str">
        <f t="shared" si="30"/>
        <v>Green</v>
      </c>
      <c r="T116" t="str">
        <f t="shared" si="31"/>
        <v>Green</v>
      </c>
      <c r="U116" t="str">
        <f t="shared" si="32"/>
        <v>Red</v>
      </c>
      <c r="V116" t="str">
        <f t="shared" si="33"/>
        <v>Red</v>
      </c>
      <c r="W116" t="str">
        <f t="shared" si="34"/>
        <v>Green</v>
      </c>
      <c r="X116" t="str">
        <f t="shared" si="35"/>
        <v>Green</v>
      </c>
      <c r="Y116" t="str">
        <f t="shared" si="36"/>
        <v>Green</v>
      </c>
      <c r="Z116" t="str">
        <f t="shared" si="37"/>
        <v>Green</v>
      </c>
      <c r="AA116" t="str">
        <f t="shared" si="38"/>
        <v>Red</v>
      </c>
      <c r="AB116" t="str">
        <f t="shared" si="39"/>
        <v>Red</v>
      </c>
      <c r="AC116" t="str">
        <f t="shared" si="40"/>
        <v>Green</v>
      </c>
      <c r="AD116" t="str">
        <f t="shared" si="41"/>
        <v>Red</v>
      </c>
    </row>
    <row r="117" spans="1:30" x14ac:dyDescent="0.2">
      <c r="A117" t="str">
        <f t="shared" si="24"/>
        <v>21/07/2026IFK GoteborgLevadia Tallinn</v>
      </c>
      <c r="B117" t="s">
        <v>802</v>
      </c>
      <c r="C117" t="s">
        <v>1326</v>
      </c>
      <c r="D117" s="2">
        <v>46224</v>
      </c>
      <c r="E117" s="3">
        <v>0.70833333333333337</v>
      </c>
      <c r="F117" t="s">
        <v>1327</v>
      </c>
      <c r="G117" t="s">
        <v>1328</v>
      </c>
      <c r="H117">
        <v>0</v>
      </c>
      <c r="I117">
        <v>2</v>
      </c>
      <c r="J117">
        <v>1</v>
      </c>
      <c r="K117">
        <v>2</v>
      </c>
      <c r="L117" s="22" t="str">
        <f t="shared" si="42"/>
        <v>21/07/2026</v>
      </c>
      <c r="M117" s="23">
        <f t="shared" si="43"/>
        <v>0.58333333333333337</v>
      </c>
      <c r="N117" t="str">
        <f t="shared" si="25"/>
        <v>1 - 2</v>
      </c>
      <c r="O117" t="str">
        <f t="shared" si="26"/>
        <v>Red</v>
      </c>
      <c r="P117" t="str">
        <f t="shared" si="27"/>
        <v>Red</v>
      </c>
      <c r="Q117" t="str">
        <f t="shared" si="28"/>
        <v>Green</v>
      </c>
      <c r="R117" t="str">
        <f t="shared" si="29"/>
        <v>Red</v>
      </c>
      <c r="S117" t="str">
        <f t="shared" si="30"/>
        <v>Green</v>
      </c>
      <c r="T117" t="str">
        <f t="shared" si="31"/>
        <v>Green</v>
      </c>
      <c r="U117" t="str">
        <f t="shared" si="32"/>
        <v>Red</v>
      </c>
      <c r="V117" t="str">
        <f t="shared" si="33"/>
        <v>Red</v>
      </c>
      <c r="W117" t="str">
        <f t="shared" si="34"/>
        <v>Green</v>
      </c>
      <c r="X117" t="str">
        <f t="shared" si="35"/>
        <v>Green</v>
      </c>
      <c r="Y117" t="str">
        <f t="shared" si="36"/>
        <v>Green</v>
      </c>
      <c r="Z117" t="str">
        <f t="shared" si="37"/>
        <v>Green</v>
      </c>
      <c r="AA117" t="str">
        <f t="shared" si="38"/>
        <v>Red</v>
      </c>
      <c r="AB117" t="str">
        <f t="shared" si="39"/>
        <v>Green</v>
      </c>
      <c r="AC117" t="str">
        <f t="shared" si="40"/>
        <v>Green</v>
      </c>
      <c r="AD117" t="str">
        <f t="shared" si="41"/>
        <v>Red</v>
      </c>
    </row>
    <row r="118" spans="1:30" x14ac:dyDescent="0.2">
      <c r="A118" t="str">
        <f t="shared" si="24"/>
        <v>21/07/2026Tabasalu UlasabatParnu JK Vaprus</v>
      </c>
      <c r="D118" s="2">
        <v>46224</v>
      </c>
      <c r="E118" s="3">
        <v>0.70833333333333337</v>
      </c>
      <c r="F118" t="s">
        <v>433</v>
      </c>
      <c r="G118" t="s">
        <v>434</v>
      </c>
      <c r="H118">
        <v>1</v>
      </c>
      <c r="I118">
        <v>1</v>
      </c>
      <c r="J118">
        <v>1</v>
      </c>
      <c r="K118">
        <v>4</v>
      </c>
      <c r="L118" s="22" t="str">
        <f t="shared" si="42"/>
        <v>21/07/2026</v>
      </c>
      <c r="M118" s="23">
        <f t="shared" si="43"/>
        <v>0.58333333333333337</v>
      </c>
      <c r="N118" t="str">
        <f t="shared" si="25"/>
        <v>1 - 4</v>
      </c>
      <c r="O118" t="str">
        <f t="shared" si="26"/>
        <v>Red</v>
      </c>
      <c r="P118" t="str">
        <f t="shared" si="27"/>
        <v>Red</v>
      </c>
      <c r="Q118" t="str">
        <f t="shared" si="28"/>
        <v>Green</v>
      </c>
      <c r="R118" t="str">
        <f t="shared" si="29"/>
        <v>Red</v>
      </c>
      <c r="S118" t="str">
        <f t="shared" si="30"/>
        <v>Green</v>
      </c>
      <c r="T118" t="str">
        <f t="shared" si="31"/>
        <v>Green</v>
      </c>
      <c r="U118" t="str">
        <f t="shared" si="32"/>
        <v>Red</v>
      </c>
      <c r="V118" t="str">
        <f t="shared" si="33"/>
        <v>Green</v>
      </c>
      <c r="W118" t="str">
        <f t="shared" si="34"/>
        <v>Red</v>
      </c>
      <c r="X118" t="str">
        <f t="shared" si="35"/>
        <v>Green</v>
      </c>
      <c r="Y118" t="str">
        <f t="shared" si="36"/>
        <v>Green</v>
      </c>
      <c r="Z118" t="str">
        <f t="shared" si="37"/>
        <v>Green</v>
      </c>
      <c r="AA118" t="str">
        <f t="shared" si="38"/>
        <v>Red</v>
      </c>
      <c r="AB118" t="str">
        <f t="shared" si="39"/>
        <v>Red</v>
      </c>
      <c r="AC118" t="str">
        <f t="shared" si="40"/>
        <v>Green</v>
      </c>
      <c r="AD118" t="str">
        <f t="shared" si="41"/>
        <v>Red</v>
      </c>
    </row>
    <row r="119" spans="1:30" x14ac:dyDescent="0.2">
      <c r="A119" t="str">
        <f t="shared" si="24"/>
        <v>21/07/2026DJK Don Bosco BambergTSV Kornburg</v>
      </c>
      <c r="D119" s="2">
        <v>46224</v>
      </c>
      <c r="E119" s="3">
        <v>0.70833333333333337</v>
      </c>
      <c r="F119" t="s">
        <v>1347</v>
      </c>
      <c r="G119" t="s">
        <v>1348</v>
      </c>
      <c r="H119">
        <v>1</v>
      </c>
      <c r="I119">
        <v>1</v>
      </c>
      <c r="J119">
        <v>2</v>
      </c>
      <c r="K119">
        <v>2</v>
      </c>
      <c r="L119" s="22" t="str">
        <f t="shared" si="42"/>
        <v>21/07/2026</v>
      </c>
      <c r="M119" s="23">
        <f t="shared" si="43"/>
        <v>0.58333333333333337</v>
      </c>
      <c r="N119" t="str">
        <f t="shared" si="25"/>
        <v>2 - 2</v>
      </c>
      <c r="O119" t="str">
        <f t="shared" si="26"/>
        <v>Red</v>
      </c>
      <c r="P119" t="str">
        <f t="shared" si="27"/>
        <v>Green</v>
      </c>
      <c r="Q119" t="str">
        <f t="shared" si="28"/>
        <v>Red</v>
      </c>
      <c r="R119" t="str">
        <f t="shared" si="29"/>
        <v>Green</v>
      </c>
      <c r="S119" t="str">
        <f t="shared" si="30"/>
        <v>Green</v>
      </c>
      <c r="T119" t="str">
        <f t="shared" si="31"/>
        <v>Red</v>
      </c>
      <c r="U119" t="str">
        <f t="shared" si="32"/>
        <v>Red</v>
      </c>
      <c r="V119" t="str">
        <f t="shared" si="33"/>
        <v>Green</v>
      </c>
      <c r="W119" t="str">
        <f t="shared" si="34"/>
        <v>Red</v>
      </c>
      <c r="X119" t="str">
        <f t="shared" si="35"/>
        <v>Green</v>
      </c>
      <c r="Y119" t="str">
        <f t="shared" si="36"/>
        <v>Green</v>
      </c>
      <c r="Z119" t="str">
        <f t="shared" si="37"/>
        <v>Green</v>
      </c>
      <c r="AA119" t="str">
        <f t="shared" si="38"/>
        <v>Red</v>
      </c>
      <c r="AB119" t="str">
        <f t="shared" si="39"/>
        <v>Red</v>
      </c>
      <c r="AC119" t="str">
        <f t="shared" si="40"/>
        <v>Green</v>
      </c>
      <c r="AD119" t="str">
        <f t="shared" si="41"/>
        <v>Red</v>
      </c>
    </row>
    <row r="120" spans="1:30" x14ac:dyDescent="0.2">
      <c r="A120" t="str">
        <f t="shared" si="24"/>
        <v>21/07/2026NeudrossenfeldSV Fortuna Regensburg</v>
      </c>
      <c r="D120" s="2">
        <v>46224</v>
      </c>
      <c r="E120" s="3">
        <v>0.70833333333333337</v>
      </c>
      <c r="F120" t="s">
        <v>1349</v>
      </c>
      <c r="G120" t="s">
        <v>1350</v>
      </c>
      <c r="H120">
        <v>0</v>
      </c>
      <c r="I120">
        <v>0</v>
      </c>
      <c r="J120">
        <v>1</v>
      </c>
      <c r="K120">
        <v>0</v>
      </c>
      <c r="L120" s="22" t="str">
        <f t="shared" si="42"/>
        <v>21/07/2026</v>
      </c>
      <c r="M120" s="23">
        <f t="shared" si="43"/>
        <v>0.58333333333333337</v>
      </c>
      <c r="N120" t="str">
        <f t="shared" si="25"/>
        <v>1 - 0</v>
      </c>
      <c r="O120" t="str">
        <f t="shared" si="26"/>
        <v>Green</v>
      </c>
      <c r="P120" t="str">
        <f t="shared" si="27"/>
        <v>Red</v>
      </c>
      <c r="Q120" t="str">
        <f t="shared" si="28"/>
        <v>Red</v>
      </c>
      <c r="R120" t="str">
        <f t="shared" si="29"/>
        <v>Green</v>
      </c>
      <c r="S120" t="str">
        <f t="shared" si="30"/>
        <v>Red</v>
      </c>
      <c r="T120" t="str">
        <f t="shared" si="31"/>
        <v>Green</v>
      </c>
      <c r="U120" t="str">
        <f t="shared" si="32"/>
        <v>Red</v>
      </c>
      <c r="V120" t="str">
        <f t="shared" si="33"/>
        <v>Green</v>
      </c>
      <c r="W120" t="str">
        <f t="shared" si="34"/>
        <v>Red</v>
      </c>
      <c r="X120" t="str">
        <f t="shared" si="35"/>
        <v>Red</v>
      </c>
      <c r="Y120" t="str">
        <f t="shared" si="36"/>
        <v>Red</v>
      </c>
      <c r="Z120" t="str">
        <f t="shared" si="37"/>
        <v>Red</v>
      </c>
      <c r="AA120" t="str">
        <f t="shared" si="38"/>
        <v>Green</v>
      </c>
      <c r="AB120" t="str">
        <f t="shared" si="39"/>
        <v>Green</v>
      </c>
      <c r="AC120" t="str">
        <f t="shared" si="40"/>
        <v>Red</v>
      </c>
      <c r="AD120" t="str">
        <f t="shared" si="41"/>
        <v>Green</v>
      </c>
    </row>
    <row r="121" spans="1:30" x14ac:dyDescent="0.2">
      <c r="A121" t="str">
        <f t="shared" si="24"/>
        <v>21/07/2026TSV GrossbardorfWÃ¼rzburger FV</v>
      </c>
      <c r="D121" s="2">
        <v>46224</v>
      </c>
      <c r="E121" s="3">
        <v>0.70833333333333337</v>
      </c>
      <c r="F121" t="s">
        <v>1351</v>
      </c>
      <c r="G121" t="s">
        <v>1352</v>
      </c>
      <c r="H121">
        <v>0</v>
      </c>
      <c r="I121">
        <v>2</v>
      </c>
      <c r="J121">
        <v>0</v>
      </c>
      <c r="K121">
        <v>2</v>
      </c>
      <c r="L121" s="22" t="str">
        <f t="shared" si="42"/>
        <v>21/07/2026</v>
      </c>
      <c r="M121" s="23">
        <f t="shared" si="43"/>
        <v>0.58333333333333337</v>
      </c>
      <c r="N121" t="str">
        <f t="shared" si="25"/>
        <v>0 - 2</v>
      </c>
      <c r="O121" t="str">
        <f t="shared" si="26"/>
        <v>Red</v>
      </c>
      <c r="P121" t="str">
        <f t="shared" si="27"/>
        <v>Red</v>
      </c>
      <c r="Q121" t="str">
        <f t="shared" si="28"/>
        <v>Green</v>
      </c>
      <c r="R121" t="str">
        <f t="shared" si="29"/>
        <v>Red</v>
      </c>
      <c r="S121" t="str">
        <f t="shared" si="30"/>
        <v>Green</v>
      </c>
      <c r="T121" t="str">
        <f t="shared" si="31"/>
        <v>Green</v>
      </c>
      <c r="U121" t="str">
        <f t="shared" si="32"/>
        <v>Red</v>
      </c>
      <c r="V121" t="str">
        <f t="shared" si="33"/>
        <v>Red</v>
      </c>
      <c r="W121" t="str">
        <f t="shared" si="34"/>
        <v>Green</v>
      </c>
      <c r="X121" t="str">
        <f t="shared" si="35"/>
        <v>Green</v>
      </c>
      <c r="Y121" t="str">
        <f t="shared" si="36"/>
        <v>Green</v>
      </c>
      <c r="Z121" t="str">
        <f t="shared" si="37"/>
        <v>Red</v>
      </c>
      <c r="AA121" t="str">
        <f t="shared" si="38"/>
        <v>Green</v>
      </c>
      <c r="AB121" t="str">
        <f t="shared" si="39"/>
        <v>Green</v>
      </c>
      <c r="AC121" t="str">
        <f t="shared" si="40"/>
        <v>Red</v>
      </c>
      <c r="AD121" t="str">
        <f t="shared" si="41"/>
        <v>Green</v>
      </c>
    </row>
    <row r="122" spans="1:30" x14ac:dyDescent="0.2">
      <c r="A122" t="str">
        <f t="shared" si="24"/>
        <v>21/07/2026FalkenbergHelsingborg</v>
      </c>
      <c r="D122" s="2">
        <v>46224</v>
      </c>
      <c r="E122" s="3">
        <v>0.70833333333333337</v>
      </c>
      <c r="F122" t="s">
        <v>1418</v>
      </c>
      <c r="G122" t="s">
        <v>227</v>
      </c>
      <c r="H122">
        <v>2</v>
      </c>
      <c r="I122">
        <v>3</v>
      </c>
      <c r="J122">
        <v>2</v>
      </c>
      <c r="K122">
        <v>3</v>
      </c>
      <c r="L122" s="22" t="str">
        <f t="shared" si="42"/>
        <v>21/07/2026</v>
      </c>
      <c r="M122" s="23">
        <f t="shared" si="43"/>
        <v>0.58333333333333337</v>
      </c>
      <c r="N122" t="str">
        <f t="shared" si="25"/>
        <v>2 - 3</v>
      </c>
      <c r="O122" t="str">
        <f t="shared" si="26"/>
        <v>Red</v>
      </c>
      <c r="P122" t="str">
        <f t="shared" si="27"/>
        <v>Red</v>
      </c>
      <c r="Q122" t="str">
        <f t="shared" si="28"/>
        <v>Green</v>
      </c>
      <c r="R122" t="str">
        <f t="shared" si="29"/>
        <v>Red</v>
      </c>
      <c r="S122" t="str">
        <f t="shared" si="30"/>
        <v>Green</v>
      </c>
      <c r="T122" t="str">
        <f t="shared" si="31"/>
        <v>Green</v>
      </c>
      <c r="U122" t="str">
        <f t="shared" si="32"/>
        <v>Red</v>
      </c>
      <c r="V122" t="str">
        <f t="shared" si="33"/>
        <v>Red</v>
      </c>
      <c r="W122" t="str">
        <f t="shared" si="34"/>
        <v>Green</v>
      </c>
      <c r="X122" t="str">
        <f t="shared" si="35"/>
        <v>Green</v>
      </c>
      <c r="Y122" t="str">
        <f t="shared" si="36"/>
        <v>Green</v>
      </c>
      <c r="Z122" t="str">
        <f t="shared" si="37"/>
        <v>Green</v>
      </c>
      <c r="AA122" t="str">
        <f t="shared" si="38"/>
        <v>Red</v>
      </c>
      <c r="AB122" t="str">
        <f t="shared" si="39"/>
        <v>Red</v>
      </c>
      <c r="AC122" t="str">
        <f t="shared" si="40"/>
        <v>Green</v>
      </c>
      <c r="AD122" t="str">
        <f t="shared" si="41"/>
        <v>Red</v>
      </c>
    </row>
    <row r="123" spans="1:30" x14ac:dyDescent="0.2">
      <c r="A123" t="str">
        <f t="shared" si="24"/>
        <v>21/07/2026Al Ittihad JeddahOrlando Pirates</v>
      </c>
      <c r="D123" s="2">
        <v>46224</v>
      </c>
      <c r="E123" s="3">
        <v>0.70833333333333337</v>
      </c>
      <c r="F123" t="s">
        <v>1453</v>
      </c>
      <c r="G123" t="s">
        <v>1454</v>
      </c>
      <c r="H123">
        <v>2</v>
      </c>
      <c r="I123">
        <v>1</v>
      </c>
      <c r="J123">
        <v>3</v>
      </c>
      <c r="K123">
        <v>2</v>
      </c>
      <c r="L123" s="22" t="str">
        <f t="shared" si="42"/>
        <v>21/07/2026</v>
      </c>
      <c r="M123" s="23">
        <f t="shared" si="43"/>
        <v>0.58333333333333337</v>
      </c>
      <c r="N123" t="str">
        <f t="shared" si="25"/>
        <v>3 - 2</v>
      </c>
      <c r="O123" t="str">
        <f t="shared" si="26"/>
        <v>Green</v>
      </c>
      <c r="P123" t="str">
        <f t="shared" si="27"/>
        <v>Red</v>
      </c>
      <c r="Q123" t="str">
        <f t="shared" si="28"/>
        <v>Red</v>
      </c>
      <c r="R123" t="str">
        <f t="shared" si="29"/>
        <v>Green</v>
      </c>
      <c r="S123" t="str">
        <f t="shared" si="30"/>
        <v>Red</v>
      </c>
      <c r="T123" t="str">
        <f t="shared" si="31"/>
        <v>Green</v>
      </c>
      <c r="U123" t="str">
        <f t="shared" si="32"/>
        <v>Green</v>
      </c>
      <c r="V123" t="str">
        <f t="shared" si="33"/>
        <v>Red</v>
      </c>
      <c r="W123" t="str">
        <f t="shared" si="34"/>
        <v>Red</v>
      </c>
      <c r="X123" t="str">
        <f t="shared" si="35"/>
        <v>Green</v>
      </c>
      <c r="Y123" t="str">
        <f t="shared" si="36"/>
        <v>Green</v>
      </c>
      <c r="Z123" t="str">
        <f t="shared" si="37"/>
        <v>Green</v>
      </c>
      <c r="AA123" t="str">
        <f t="shared" si="38"/>
        <v>Red</v>
      </c>
      <c r="AB123" t="str">
        <f t="shared" si="39"/>
        <v>Red</v>
      </c>
      <c r="AC123" t="str">
        <f t="shared" si="40"/>
        <v>Green</v>
      </c>
      <c r="AD123" t="str">
        <f t="shared" si="41"/>
        <v>Red</v>
      </c>
    </row>
    <row r="124" spans="1:30" x14ac:dyDescent="0.2">
      <c r="A124" t="str">
        <f t="shared" si="24"/>
        <v>21/07/2026EVV EchtMVV Maastricht</v>
      </c>
      <c r="D124" s="2">
        <v>46224</v>
      </c>
      <c r="E124" s="3">
        <v>0.70833333333333337</v>
      </c>
      <c r="F124" t="s">
        <v>1455</v>
      </c>
      <c r="G124" t="s">
        <v>1456</v>
      </c>
      <c r="H124">
        <v>1</v>
      </c>
      <c r="I124">
        <v>2</v>
      </c>
      <c r="J124">
        <v>2</v>
      </c>
      <c r="K124">
        <v>2</v>
      </c>
      <c r="L124" s="22" t="str">
        <f t="shared" si="42"/>
        <v>21/07/2026</v>
      </c>
      <c r="M124" s="23">
        <f t="shared" si="43"/>
        <v>0.58333333333333337</v>
      </c>
      <c r="N124" t="str">
        <f t="shared" si="25"/>
        <v>2 - 2</v>
      </c>
      <c r="O124" t="str">
        <f t="shared" si="26"/>
        <v>Red</v>
      </c>
      <c r="P124" t="str">
        <f t="shared" si="27"/>
        <v>Green</v>
      </c>
      <c r="Q124" t="str">
        <f t="shared" si="28"/>
        <v>Red</v>
      </c>
      <c r="R124" t="str">
        <f t="shared" si="29"/>
        <v>Green</v>
      </c>
      <c r="S124" t="str">
        <f t="shared" si="30"/>
        <v>Green</v>
      </c>
      <c r="T124" t="str">
        <f t="shared" si="31"/>
        <v>Red</v>
      </c>
      <c r="U124" t="str">
        <f t="shared" si="32"/>
        <v>Red</v>
      </c>
      <c r="V124" t="str">
        <f t="shared" si="33"/>
        <v>Red</v>
      </c>
      <c r="W124" t="str">
        <f t="shared" si="34"/>
        <v>Green</v>
      </c>
      <c r="X124" t="str">
        <f t="shared" si="35"/>
        <v>Green</v>
      </c>
      <c r="Y124" t="str">
        <f t="shared" si="36"/>
        <v>Green</v>
      </c>
      <c r="Z124" t="str">
        <f t="shared" si="37"/>
        <v>Green</v>
      </c>
      <c r="AA124" t="str">
        <f t="shared" si="38"/>
        <v>Red</v>
      </c>
      <c r="AB124" t="str">
        <f t="shared" si="39"/>
        <v>Red</v>
      </c>
      <c r="AC124" t="str">
        <f t="shared" si="40"/>
        <v>Green</v>
      </c>
      <c r="AD124" t="str">
        <f t="shared" si="41"/>
        <v>Red</v>
      </c>
    </row>
    <row r="125" spans="1:30" x14ac:dyDescent="0.2">
      <c r="A125" t="str">
        <f t="shared" si="24"/>
        <v>21/07/2026Sollentuna FFKarlbergs BK</v>
      </c>
      <c r="D125" s="2">
        <v>46224</v>
      </c>
      <c r="E125" s="3">
        <v>0.70833333333333337</v>
      </c>
      <c r="F125" t="s">
        <v>1457</v>
      </c>
      <c r="G125" t="s">
        <v>1458</v>
      </c>
      <c r="H125">
        <v>1</v>
      </c>
      <c r="I125">
        <v>1</v>
      </c>
      <c r="J125">
        <v>1</v>
      </c>
      <c r="K125">
        <v>2</v>
      </c>
      <c r="L125" s="22" t="str">
        <f t="shared" si="42"/>
        <v>21/07/2026</v>
      </c>
      <c r="M125" s="23">
        <f t="shared" si="43"/>
        <v>0.58333333333333337</v>
      </c>
      <c r="N125" t="str">
        <f t="shared" si="25"/>
        <v>1 - 2</v>
      </c>
      <c r="O125" t="str">
        <f t="shared" si="26"/>
        <v>Red</v>
      </c>
      <c r="P125" t="str">
        <f t="shared" si="27"/>
        <v>Red</v>
      </c>
      <c r="Q125" t="str">
        <f t="shared" si="28"/>
        <v>Green</v>
      </c>
      <c r="R125" t="str">
        <f t="shared" si="29"/>
        <v>Red</v>
      </c>
      <c r="S125" t="str">
        <f t="shared" si="30"/>
        <v>Green</v>
      </c>
      <c r="T125" t="str">
        <f t="shared" si="31"/>
        <v>Green</v>
      </c>
      <c r="U125" t="str">
        <f t="shared" si="32"/>
        <v>Red</v>
      </c>
      <c r="V125" t="str">
        <f t="shared" si="33"/>
        <v>Green</v>
      </c>
      <c r="W125" t="str">
        <f t="shared" si="34"/>
        <v>Red</v>
      </c>
      <c r="X125" t="str">
        <f t="shared" si="35"/>
        <v>Green</v>
      </c>
      <c r="Y125" t="str">
        <f t="shared" si="36"/>
        <v>Green</v>
      </c>
      <c r="Z125" t="str">
        <f t="shared" si="37"/>
        <v>Green</v>
      </c>
      <c r="AA125" t="str">
        <f t="shared" si="38"/>
        <v>Red</v>
      </c>
      <c r="AB125" t="str">
        <f t="shared" si="39"/>
        <v>Green</v>
      </c>
      <c r="AC125" t="str">
        <f t="shared" si="40"/>
        <v>Green</v>
      </c>
      <c r="AD125" t="str">
        <f t="shared" si="41"/>
        <v>Red</v>
      </c>
    </row>
    <row r="126" spans="1:30" x14ac:dyDescent="0.2">
      <c r="A126" t="str">
        <f t="shared" si="24"/>
        <v>21/07/2026SV DonauSimmeringer SC</v>
      </c>
      <c r="D126" s="2">
        <v>46224</v>
      </c>
      <c r="E126" s="3">
        <v>0.70833333333333337</v>
      </c>
      <c r="F126" t="s">
        <v>1459</v>
      </c>
      <c r="G126" t="s">
        <v>1460</v>
      </c>
      <c r="H126">
        <v>2</v>
      </c>
      <c r="I126">
        <v>0</v>
      </c>
      <c r="J126">
        <v>5</v>
      </c>
      <c r="K126">
        <v>0</v>
      </c>
      <c r="L126" s="22" t="str">
        <f t="shared" si="42"/>
        <v>21/07/2026</v>
      </c>
      <c r="M126" s="23">
        <f t="shared" si="43"/>
        <v>0.58333333333333337</v>
      </c>
      <c r="N126" t="str">
        <f t="shared" si="25"/>
        <v>5 - 0</v>
      </c>
      <c r="O126" t="str">
        <f t="shared" si="26"/>
        <v>Green</v>
      </c>
      <c r="P126" t="str">
        <f t="shared" si="27"/>
        <v>Red</v>
      </c>
      <c r="Q126" t="str">
        <f t="shared" si="28"/>
        <v>Red</v>
      </c>
      <c r="R126" t="str">
        <f t="shared" si="29"/>
        <v>Green</v>
      </c>
      <c r="S126" t="str">
        <f t="shared" si="30"/>
        <v>Red</v>
      </c>
      <c r="T126" t="str">
        <f t="shared" si="31"/>
        <v>Green</v>
      </c>
      <c r="U126" t="str">
        <f t="shared" si="32"/>
        <v>Green</v>
      </c>
      <c r="V126" t="str">
        <f t="shared" si="33"/>
        <v>Red</v>
      </c>
      <c r="W126" t="str">
        <f t="shared" si="34"/>
        <v>Red</v>
      </c>
      <c r="X126" t="str">
        <f t="shared" si="35"/>
        <v>Green</v>
      </c>
      <c r="Y126" t="str">
        <f t="shared" si="36"/>
        <v>Green</v>
      </c>
      <c r="Z126" t="str">
        <f t="shared" si="37"/>
        <v>Green</v>
      </c>
      <c r="AA126" t="str">
        <f t="shared" si="38"/>
        <v>Red</v>
      </c>
      <c r="AB126" t="str">
        <f t="shared" si="39"/>
        <v>Red</v>
      </c>
      <c r="AC126" t="str">
        <f t="shared" si="40"/>
        <v>Red</v>
      </c>
      <c r="AD126" t="str">
        <f t="shared" si="41"/>
        <v>Green</v>
      </c>
    </row>
    <row r="127" spans="1:30" x14ac:dyDescent="0.2">
      <c r="A127" t="str">
        <f t="shared" si="24"/>
        <v>21/07/2026TreibachSirnitz</v>
      </c>
      <c r="D127" s="2">
        <v>46224</v>
      </c>
      <c r="E127" s="3">
        <v>0.70833333333333337</v>
      </c>
      <c r="F127" t="s">
        <v>1461</v>
      </c>
      <c r="G127" t="s">
        <v>1462</v>
      </c>
      <c r="H127">
        <v>7</v>
      </c>
      <c r="I127">
        <v>0</v>
      </c>
      <c r="J127">
        <v>12</v>
      </c>
      <c r="K127">
        <v>0</v>
      </c>
      <c r="L127" s="22" t="str">
        <f t="shared" ref="L127:L158" si="44">DAY(D127)&amp;"/"&amp;"07"&amp;"/"&amp;YEAR(D127)</f>
        <v>21/07/2026</v>
      </c>
      <c r="M127" s="23">
        <f t="shared" ref="M127:M158" si="45">E127-TIME(3,0,0)</f>
        <v>0.58333333333333337</v>
      </c>
      <c r="N127" t="str">
        <f t="shared" si="25"/>
        <v>12 - 0</v>
      </c>
      <c r="O127" t="str">
        <f t="shared" si="26"/>
        <v>Green</v>
      </c>
      <c r="P127" t="str">
        <f t="shared" si="27"/>
        <v>Red</v>
      </c>
      <c r="Q127" t="str">
        <f t="shared" si="28"/>
        <v>Red</v>
      </c>
      <c r="R127" t="str">
        <f t="shared" si="29"/>
        <v>Green</v>
      </c>
      <c r="S127" t="str">
        <f t="shared" si="30"/>
        <v>Red</v>
      </c>
      <c r="T127" t="str">
        <f t="shared" si="31"/>
        <v>Green</v>
      </c>
      <c r="U127" t="str">
        <f t="shared" si="32"/>
        <v>Green</v>
      </c>
      <c r="V127" t="str">
        <f t="shared" si="33"/>
        <v>Red</v>
      </c>
      <c r="W127" t="str">
        <f t="shared" si="34"/>
        <v>Red</v>
      </c>
      <c r="X127" t="str">
        <f t="shared" si="35"/>
        <v>Green</v>
      </c>
      <c r="Y127" t="str">
        <f t="shared" si="36"/>
        <v>Green</v>
      </c>
      <c r="Z127" t="str">
        <f t="shared" si="37"/>
        <v>Green</v>
      </c>
      <c r="AA127" t="str">
        <f t="shared" si="38"/>
        <v>Red</v>
      </c>
      <c r="AB127" t="str">
        <f t="shared" si="39"/>
        <v>Red</v>
      </c>
      <c r="AC127" t="str">
        <f t="shared" si="40"/>
        <v>Red</v>
      </c>
      <c r="AD127" t="str">
        <f t="shared" si="41"/>
        <v>Green</v>
      </c>
    </row>
    <row r="128" spans="1:30" x14ac:dyDescent="0.2">
      <c r="A128" t="str">
        <f t="shared" si="24"/>
        <v>21/07/2026LangenrohrRed Star Penzing</v>
      </c>
      <c r="D128" s="2">
        <v>46224</v>
      </c>
      <c r="E128" s="3">
        <v>0.71875</v>
      </c>
      <c r="F128" t="s">
        <v>1463</v>
      </c>
      <c r="G128" t="s">
        <v>1464</v>
      </c>
      <c r="H128">
        <v>2</v>
      </c>
      <c r="I128">
        <v>0</v>
      </c>
      <c r="J128">
        <v>2</v>
      </c>
      <c r="K128">
        <v>4</v>
      </c>
      <c r="L128" s="22" t="str">
        <f t="shared" si="44"/>
        <v>21/07/2026</v>
      </c>
      <c r="M128" s="23">
        <f t="shared" si="45"/>
        <v>0.59375</v>
      </c>
      <c r="N128" t="str">
        <f t="shared" si="25"/>
        <v>2 - 4</v>
      </c>
      <c r="O128" t="str">
        <f t="shared" si="26"/>
        <v>Red</v>
      </c>
      <c r="P128" t="str">
        <f t="shared" si="27"/>
        <v>Red</v>
      </c>
      <c r="Q128" t="str">
        <f t="shared" si="28"/>
        <v>Green</v>
      </c>
      <c r="R128" t="str">
        <f t="shared" si="29"/>
        <v>Red</v>
      </c>
      <c r="S128" t="str">
        <f t="shared" si="30"/>
        <v>Green</v>
      </c>
      <c r="T128" t="str">
        <f t="shared" si="31"/>
        <v>Green</v>
      </c>
      <c r="U128" t="str">
        <f t="shared" si="32"/>
        <v>Green</v>
      </c>
      <c r="V128" t="str">
        <f t="shared" si="33"/>
        <v>Red</v>
      </c>
      <c r="W128" t="str">
        <f t="shared" si="34"/>
        <v>Red</v>
      </c>
      <c r="X128" t="str">
        <f t="shared" si="35"/>
        <v>Green</v>
      </c>
      <c r="Y128" t="str">
        <f t="shared" si="36"/>
        <v>Green</v>
      </c>
      <c r="Z128" t="str">
        <f t="shared" si="37"/>
        <v>Green</v>
      </c>
      <c r="AA128" t="str">
        <f t="shared" si="38"/>
        <v>Red</v>
      </c>
      <c r="AB128" t="str">
        <f t="shared" si="39"/>
        <v>Red</v>
      </c>
      <c r="AC128" t="str">
        <f t="shared" si="40"/>
        <v>Green</v>
      </c>
      <c r="AD128" t="str">
        <f t="shared" si="41"/>
        <v>Red</v>
      </c>
    </row>
    <row r="129" spans="1:30" x14ac:dyDescent="0.2">
      <c r="A129" t="str">
        <f t="shared" si="24"/>
        <v>21/07/2026FlorianaKF Drita</v>
      </c>
      <c r="B129" t="s">
        <v>802</v>
      </c>
      <c r="C129" t="s">
        <v>1326</v>
      </c>
      <c r="D129" s="2">
        <v>46224</v>
      </c>
      <c r="E129" s="3">
        <v>0.72916666666666663</v>
      </c>
      <c r="F129" t="s">
        <v>1329</v>
      </c>
      <c r="G129" t="s">
        <v>1330</v>
      </c>
      <c r="H129">
        <v>0</v>
      </c>
      <c r="I129">
        <v>0</v>
      </c>
      <c r="J129">
        <v>1</v>
      </c>
      <c r="K129">
        <v>1</v>
      </c>
      <c r="L129" s="22" t="str">
        <f t="shared" si="44"/>
        <v>21/07/2026</v>
      </c>
      <c r="M129" s="23">
        <f t="shared" si="45"/>
        <v>0.60416666666666663</v>
      </c>
      <c r="N129" t="str">
        <f t="shared" si="25"/>
        <v>1 - 1</v>
      </c>
      <c r="O129" t="str">
        <f t="shared" si="26"/>
        <v>Red</v>
      </c>
      <c r="P129" t="str">
        <f t="shared" si="27"/>
        <v>Green</v>
      </c>
      <c r="Q129" t="str">
        <f t="shared" si="28"/>
        <v>Red</v>
      </c>
      <c r="R129" t="str">
        <f t="shared" si="29"/>
        <v>Green</v>
      </c>
      <c r="S129" t="str">
        <f t="shared" si="30"/>
        <v>Green</v>
      </c>
      <c r="T129" t="str">
        <f t="shared" si="31"/>
        <v>Red</v>
      </c>
      <c r="U129" t="str">
        <f t="shared" si="32"/>
        <v>Red</v>
      </c>
      <c r="V129" t="str">
        <f t="shared" si="33"/>
        <v>Green</v>
      </c>
      <c r="W129" t="str">
        <f t="shared" si="34"/>
        <v>Red</v>
      </c>
      <c r="X129" t="str">
        <f t="shared" si="35"/>
        <v>Red</v>
      </c>
      <c r="Y129" t="str">
        <f t="shared" si="36"/>
        <v>Green</v>
      </c>
      <c r="Z129" t="str">
        <f t="shared" si="37"/>
        <v>Red</v>
      </c>
      <c r="AA129" t="str">
        <f t="shared" si="38"/>
        <v>Green</v>
      </c>
      <c r="AB129" t="str">
        <f t="shared" si="39"/>
        <v>Green</v>
      </c>
      <c r="AC129" t="str">
        <f t="shared" si="40"/>
        <v>Green</v>
      </c>
      <c r="AD129" t="str">
        <f t="shared" si="41"/>
        <v>Red</v>
      </c>
    </row>
    <row r="130" spans="1:30" x14ac:dyDescent="0.2">
      <c r="A130" t="str">
        <f t="shared" ref="A130:A193" si="46">L130&amp;F130&amp;G130</f>
        <v>21/07/2026Kristiine JKJogeva Wolves</v>
      </c>
      <c r="D130" s="2">
        <v>46224</v>
      </c>
      <c r="E130" s="3">
        <v>0.72916666666666663</v>
      </c>
      <c r="F130" t="s">
        <v>435</v>
      </c>
      <c r="G130" t="s">
        <v>436</v>
      </c>
      <c r="H130">
        <v>5</v>
      </c>
      <c r="I130">
        <v>1</v>
      </c>
      <c r="J130">
        <v>8</v>
      </c>
      <c r="K130">
        <v>3</v>
      </c>
      <c r="L130" s="22" t="str">
        <f t="shared" si="44"/>
        <v>21/07/2026</v>
      </c>
      <c r="M130" s="23">
        <f t="shared" si="45"/>
        <v>0.60416666666666663</v>
      </c>
      <c r="N130" t="str">
        <f t="shared" ref="N130:N193" si="47">J130&amp;" - "&amp;K130</f>
        <v>8 - 3</v>
      </c>
      <c r="O130" t="str">
        <f t="shared" ref="O130:O193" si="48">IF($J130&gt;$K130,"Green","Red")</f>
        <v>Green</v>
      </c>
      <c r="P130" t="str">
        <f t="shared" ref="P130:P193" si="49">IF($J130=$K130,"Green","Red")</f>
        <v>Red</v>
      </c>
      <c r="Q130" t="str">
        <f t="shared" ref="Q130:Q193" si="50">IF($J130&lt;$K130,"Green","Red")</f>
        <v>Red</v>
      </c>
      <c r="R130" t="str">
        <f t="shared" ref="R130:R193" si="51">IF($J130&gt;=$K130,"Green","Red")</f>
        <v>Green</v>
      </c>
      <c r="S130" t="str">
        <f t="shared" ref="S130:S193" si="52">IF($J130&lt;=$K130,"Green","Red")</f>
        <v>Red</v>
      </c>
      <c r="T130" t="str">
        <f t="shared" ref="T130:T193" si="53">IF(OR($J130&gt;$K130,$J130&lt;$K130),"Green","Red")</f>
        <v>Green</v>
      </c>
      <c r="U130" t="str">
        <f t="shared" ref="U130:U193" si="54">IF($H130&gt;$I130,"Green","Red")</f>
        <v>Green</v>
      </c>
      <c r="V130" t="str">
        <f t="shared" ref="V130:V193" si="55">IF($H130=$I130,"Green","Red")</f>
        <v>Red</v>
      </c>
      <c r="W130" t="str">
        <f t="shared" ref="W130:W193" si="56">IF($H130&lt;$I130,"Green","Red")</f>
        <v>Red</v>
      </c>
      <c r="X130" t="str">
        <f t="shared" ref="X130:X193" si="57">IF($H130+$I130&gt;0,"Green","Red")</f>
        <v>Green</v>
      </c>
      <c r="Y130" t="str">
        <f t="shared" ref="Y130:Y193" si="58">IF($J130+$K130&gt;1.5,"Green","Red")</f>
        <v>Green</v>
      </c>
      <c r="Z130" t="str">
        <f t="shared" ref="Z130:Z193" si="59">IF($J130+$K130&gt;2.5,"Green","Red")</f>
        <v>Green</v>
      </c>
      <c r="AA130" t="str">
        <f t="shared" ref="AA130:AA193" si="60">IF($J130+$K130&lt;2.5,"Green","Red")</f>
        <v>Red</v>
      </c>
      <c r="AB130" t="str">
        <f t="shared" ref="AB130:AB193" si="61">IF($J130+$K130&lt;3.5,"Green","Red")</f>
        <v>Red</v>
      </c>
      <c r="AC130" t="str">
        <f t="shared" ref="AC130:AC193" si="62">IF(AND($J130&gt;0,$K130&gt;0),"Green","Red")</f>
        <v>Green</v>
      </c>
      <c r="AD130" t="str">
        <f t="shared" ref="AD130:AD193" si="63">IF(OR($J130=0,$K130=0),"Green","Red")</f>
        <v>Red</v>
      </c>
    </row>
    <row r="131" spans="1:30" x14ac:dyDescent="0.2">
      <c r="A131" t="str">
        <f t="shared" si="46"/>
        <v>21/07/2026PauEspanyol</v>
      </c>
      <c r="D131" s="2">
        <v>46224</v>
      </c>
      <c r="E131" s="3">
        <v>0.72916666666666663</v>
      </c>
      <c r="F131" t="s">
        <v>1465</v>
      </c>
      <c r="G131" t="s">
        <v>1466</v>
      </c>
      <c r="H131">
        <v>0</v>
      </c>
      <c r="I131">
        <v>2</v>
      </c>
      <c r="J131">
        <v>0</v>
      </c>
      <c r="K131">
        <v>4</v>
      </c>
      <c r="L131" s="22" t="str">
        <f t="shared" si="44"/>
        <v>21/07/2026</v>
      </c>
      <c r="M131" s="23">
        <f t="shared" si="45"/>
        <v>0.60416666666666663</v>
      </c>
      <c r="N131" t="str">
        <f t="shared" si="47"/>
        <v>0 - 4</v>
      </c>
      <c r="O131" t="str">
        <f t="shared" si="48"/>
        <v>Red</v>
      </c>
      <c r="P131" t="str">
        <f t="shared" si="49"/>
        <v>Red</v>
      </c>
      <c r="Q131" t="str">
        <f t="shared" si="50"/>
        <v>Green</v>
      </c>
      <c r="R131" t="str">
        <f t="shared" si="51"/>
        <v>Red</v>
      </c>
      <c r="S131" t="str">
        <f t="shared" si="52"/>
        <v>Green</v>
      </c>
      <c r="T131" t="str">
        <f t="shared" si="53"/>
        <v>Green</v>
      </c>
      <c r="U131" t="str">
        <f t="shared" si="54"/>
        <v>Red</v>
      </c>
      <c r="V131" t="str">
        <f t="shared" si="55"/>
        <v>Red</v>
      </c>
      <c r="W131" t="str">
        <f t="shared" si="56"/>
        <v>Green</v>
      </c>
      <c r="X131" t="str">
        <f t="shared" si="57"/>
        <v>Green</v>
      </c>
      <c r="Y131" t="str">
        <f t="shared" si="58"/>
        <v>Green</v>
      </c>
      <c r="Z131" t="str">
        <f t="shared" si="59"/>
        <v>Green</v>
      </c>
      <c r="AA131" t="str">
        <f t="shared" si="60"/>
        <v>Red</v>
      </c>
      <c r="AB131" t="str">
        <f t="shared" si="61"/>
        <v>Red</v>
      </c>
      <c r="AC131" t="str">
        <f t="shared" si="62"/>
        <v>Red</v>
      </c>
      <c r="AD131" t="str">
        <f t="shared" si="63"/>
        <v>Green</v>
      </c>
    </row>
    <row r="132" spans="1:30" x14ac:dyDescent="0.2">
      <c r="A132" t="str">
        <f t="shared" si="46"/>
        <v>21/07/2026FC ThunDinamo Zagreb</v>
      </c>
      <c r="B132" t="s">
        <v>802</v>
      </c>
      <c r="C132" t="s">
        <v>803</v>
      </c>
      <c r="D132" s="2">
        <v>46224</v>
      </c>
      <c r="E132" s="3">
        <v>0.75</v>
      </c>
      <c r="F132" t="s">
        <v>362</v>
      </c>
      <c r="G132" t="s">
        <v>363</v>
      </c>
      <c r="H132">
        <v>1</v>
      </c>
      <c r="I132">
        <v>0</v>
      </c>
      <c r="J132">
        <v>1</v>
      </c>
      <c r="K132">
        <v>1</v>
      </c>
      <c r="L132" s="22" t="str">
        <f t="shared" si="44"/>
        <v>21/07/2026</v>
      </c>
      <c r="M132" s="23">
        <f t="shared" si="45"/>
        <v>0.625</v>
      </c>
      <c r="N132" t="str">
        <f t="shared" si="47"/>
        <v>1 - 1</v>
      </c>
      <c r="O132" t="str">
        <f t="shared" si="48"/>
        <v>Red</v>
      </c>
      <c r="P132" t="str">
        <f t="shared" si="49"/>
        <v>Green</v>
      </c>
      <c r="Q132" t="str">
        <f t="shared" si="50"/>
        <v>Red</v>
      </c>
      <c r="R132" t="str">
        <f t="shared" si="51"/>
        <v>Green</v>
      </c>
      <c r="S132" t="str">
        <f t="shared" si="52"/>
        <v>Green</v>
      </c>
      <c r="T132" t="str">
        <f t="shared" si="53"/>
        <v>Red</v>
      </c>
      <c r="U132" t="str">
        <f t="shared" si="54"/>
        <v>Green</v>
      </c>
      <c r="V132" t="str">
        <f t="shared" si="55"/>
        <v>Red</v>
      </c>
      <c r="W132" t="str">
        <f t="shared" si="56"/>
        <v>Red</v>
      </c>
      <c r="X132" t="str">
        <f t="shared" si="57"/>
        <v>Green</v>
      </c>
      <c r="Y132" t="str">
        <f t="shared" si="58"/>
        <v>Green</v>
      </c>
      <c r="Z132" t="str">
        <f t="shared" si="59"/>
        <v>Red</v>
      </c>
      <c r="AA132" t="str">
        <f t="shared" si="60"/>
        <v>Green</v>
      </c>
      <c r="AB132" t="str">
        <f t="shared" si="61"/>
        <v>Green</v>
      </c>
      <c r="AC132" t="str">
        <f t="shared" si="62"/>
        <v>Green</v>
      </c>
      <c r="AD132" t="str">
        <f t="shared" si="63"/>
        <v>Red</v>
      </c>
    </row>
    <row r="133" spans="1:30" x14ac:dyDescent="0.2">
      <c r="A133" t="str">
        <f t="shared" si="46"/>
        <v>21/07/2026FenerbahceGornik Zabrze</v>
      </c>
      <c r="B133" t="s">
        <v>802</v>
      </c>
      <c r="C133" t="s">
        <v>803</v>
      </c>
      <c r="D133" s="2">
        <v>46224</v>
      </c>
      <c r="E133" s="3">
        <v>0.75</v>
      </c>
      <c r="F133" t="s">
        <v>364</v>
      </c>
      <c r="G133" t="s">
        <v>365</v>
      </c>
      <c r="H133">
        <v>1</v>
      </c>
      <c r="I133">
        <v>0</v>
      </c>
      <c r="J133">
        <v>1</v>
      </c>
      <c r="K133">
        <v>0</v>
      </c>
      <c r="L133" s="22" t="str">
        <f t="shared" si="44"/>
        <v>21/07/2026</v>
      </c>
      <c r="M133" s="23">
        <f t="shared" si="45"/>
        <v>0.625</v>
      </c>
      <c r="N133" t="str">
        <f t="shared" si="47"/>
        <v>1 - 0</v>
      </c>
      <c r="O133" t="str">
        <f t="shared" si="48"/>
        <v>Green</v>
      </c>
      <c r="P133" t="str">
        <f t="shared" si="49"/>
        <v>Red</v>
      </c>
      <c r="Q133" t="str">
        <f t="shared" si="50"/>
        <v>Red</v>
      </c>
      <c r="R133" t="str">
        <f t="shared" si="51"/>
        <v>Green</v>
      </c>
      <c r="S133" t="str">
        <f t="shared" si="52"/>
        <v>Red</v>
      </c>
      <c r="T133" t="str">
        <f t="shared" si="53"/>
        <v>Green</v>
      </c>
      <c r="U133" t="str">
        <f t="shared" si="54"/>
        <v>Green</v>
      </c>
      <c r="V133" t="str">
        <f t="shared" si="55"/>
        <v>Red</v>
      </c>
      <c r="W133" t="str">
        <f t="shared" si="56"/>
        <v>Red</v>
      </c>
      <c r="X133" t="str">
        <f t="shared" si="57"/>
        <v>Green</v>
      </c>
      <c r="Y133" t="str">
        <f t="shared" si="58"/>
        <v>Red</v>
      </c>
      <c r="Z133" t="str">
        <f t="shared" si="59"/>
        <v>Red</v>
      </c>
      <c r="AA133" t="str">
        <f t="shared" si="60"/>
        <v>Green</v>
      </c>
      <c r="AB133" t="str">
        <f t="shared" si="61"/>
        <v>Green</v>
      </c>
      <c r="AC133" t="str">
        <f t="shared" si="62"/>
        <v>Red</v>
      </c>
      <c r="AD133" t="str">
        <f t="shared" si="63"/>
        <v>Green</v>
      </c>
    </row>
    <row r="134" spans="1:30" x14ac:dyDescent="0.2">
      <c r="A134" t="str">
        <f t="shared" si="46"/>
        <v>21/07/2026Club AlmagroGimnasia y Tiro</v>
      </c>
      <c r="B134" t="s">
        <v>806</v>
      </c>
      <c r="C134" t="s">
        <v>807</v>
      </c>
      <c r="D134" s="2">
        <v>46224</v>
      </c>
      <c r="E134" s="3">
        <v>0.75</v>
      </c>
      <c r="F134" t="s">
        <v>374</v>
      </c>
      <c r="G134" t="s">
        <v>375</v>
      </c>
      <c r="L134" s="22" t="str">
        <f t="shared" si="44"/>
        <v>21/07/2026</v>
      </c>
      <c r="M134" s="23">
        <f t="shared" si="45"/>
        <v>0.625</v>
      </c>
      <c r="N134" t="str">
        <f t="shared" si="47"/>
        <v xml:space="preserve"> - </v>
      </c>
      <c r="O134" t="str">
        <f t="shared" si="48"/>
        <v>Red</v>
      </c>
      <c r="P134" t="str">
        <f t="shared" si="49"/>
        <v>Green</v>
      </c>
      <c r="Q134" t="str">
        <f t="shared" si="50"/>
        <v>Red</v>
      </c>
      <c r="R134" t="str">
        <f t="shared" si="51"/>
        <v>Green</v>
      </c>
      <c r="S134" t="str">
        <f t="shared" si="52"/>
        <v>Green</v>
      </c>
      <c r="T134" t="str">
        <f t="shared" si="53"/>
        <v>Red</v>
      </c>
      <c r="U134" t="str">
        <f t="shared" si="54"/>
        <v>Red</v>
      </c>
      <c r="V134" t="str">
        <f t="shared" si="55"/>
        <v>Green</v>
      </c>
      <c r="W134" t="str">
        <f t="shared" si="56"/>
        <v>Red</v>
      </c>
      <c r="X134" t="str">
        <f t="shared" si="57"/>
        <v>Red</v>
      </c>
      <c r="Y134" t="str">
        <f t="shared" si="58"/>
        <v>Red</v>
      </c>
      <c r="Z134" t="str">
        <f t="shared" si="59"/>
        <v>Red</v>
      </c>
      <c r="AA134" t="str">
        <f t="shared" si="60"/>
        <v>Green</v>
      </c>
      <c r="AB134" t="str">
        <f t="shared" si="61"/>
        <v>Green</v>
      </c>
      <c r="AC134" t="str">
        <f t="shared" si="62"/>
        <v>Red</v>
      </c>
      <c r="AD134" t="str">
        <f t="shared" si="63"/>
        <v>Green</v>
      </c>
    </row>
    <row r="135" spans="1:30" x14ac:dyDescent="0.2">
      <c r="A135" t="str">
        <f t="shared" si="46"/>
        <v>21/07/2026CA ClaypoleJuventud Unida San Miguel</v>
      </c>
      <c r="B135" t="s">
        <v>806</v>
      </c>
      <c r="C135" t="s">
        <v>808</v>
      </c>
      <c r="D135" s="2">
        <v>46224</v>
      </c>
      <c r="E135" s="3">
        <v>0.75</v>
      </c>
      <c r="F135" t="s">
        <v>378</v>
      </c>
      <c r="G135" t="s">
        <v>379</v>
      </c>
      <c r="L135" s="22" t="str">
        <f t="shared" si="44"/>
        <v>21/07/2026</v>
      </c>
      <c r="M135" s="23">
        <f t="shared" si="45"/>
        <v>0.625</v>
      </c>
      <c r="N135" t="str">
        <f t="shared" si="47"/>
        <v xml:space="preserve"> - </v>
      </c>
      <c r="O135" t="str">
        <f t="shared" si="48"/>
        <v>Red</v>
      </c>
      <c r="P135" t="str">
        <f t="shared" si="49"/>
        <v>Green</v>
      </c>
      <c r="Q135" t="str">
        <f t="shared" si="50"/>
        <v>Red</v>
      </c>
      <c r="R135" t="str">
        <f t="shared" si="51"/>
        <v>Green</v>
      </c>
      <c r="S135" t="str">
        <f t="shared" si="52"/>
        <v>Green</v>
      </c>
      <c r="T135" t="str">
        <f t="shared" si="53"/>
        <v>Red</v>
      </c>
      <c r="U135" t="str">
        <f t="shared" si="54"/>
        <v>Red</v>
      </c>
      <c r="V135" t="str">
        <f t="shared" si="55"/>
        <v>Green</v>
      </c>
      <c r="W135" t="str">
        <f t="shared" si="56"/>
        <v>Red</v>
      </c>
      <c r="X135" t="str">
        <f t="shared" si="57"/>
        <v>Red</v>
      </c>
      <c r="Y135" t="str">
        <f t="shared" si="58"/>
        <v>Red</v>
      </c>
      <c r="Z135" t="str">
        <f t="shared" si="59"/>
        <v>Red</v>
      </c>
      <c r="AA135" t="str">
        <f t="shared" si="60"/>
        <v>Green</v>
      </c>
      <c r="AB135" t="str">
        <f t="shared" si="61"/>
        <v>Green</v>
      </c>
      <c r="AC135" t="str">
        <f t="shared" si="62"/>
        <v>Red</v>
      </c>
      <c r="AD135" t="str">
        <f t="shared" si="63"/>
        <v>Green</v>
      </c>
    </row>
    <row r="136" spans="1:30" x14ac:dyDescent="0.2">
      <c r="A136" t="str">
        <f t="shared" si="46"/>
        <v>21/07/2026SC Brasil CapixabaEC Tupy</v>
      </c>
      <c r="B136" t="s">
        <v>804</v>
      </c>
      <c r="C136" t="s">
        <v>818</v>
      </c>
      <c r="D136" s="2">
        <v>46224</v>
      </c>
      <c r="E136" s="3">
        <v>0.75</v>
      </c>
      <c r="F136" t="s">
        <v>437</v>
      </c>
      <c r="G136" t="s">
        <v>438</v>
      </c>
      <c r="H136">
        <v>0</v>
      </c>
      <c r="I136">
        <v>0</v>
      </c>
      <c r="J136">
        <v>5</v>
      </c>
      <c r="K136">
        <v>1</v>
      </c>
      <c r="L136" s="22" t="str">
        <f t="shared" si="44"/>
        <v>21/07/2026</v>
      </c>
      <c r="M136" s="23">
        <f t="shared" si="45"/>
        <v>0.625</v>
      </c>
      <c r="N136" t="str">
        <f t="shared" si="47"/>
        <v>5 - 1</v>
      </c>
      <c r="O136" t="str">
        <f t="shared" si="48"/>
        <v>Green</v>
      </c>
      <c r="P136" t="str">
        <f t="shared" si="49"/>
        <v>Red</v>
      </c>
      <c r="Q136" t="str">
        <f t="shared" si="50"/>
        <v>Red</v>
      </c>
      <c r="R136" t="str">
        <f t="shared" si="51"/>
        <v>Green</v>
      </c>
      <c r="S136" t="str">
        <f t="shared" si="52"/>
        <v>Red</v>
      </c>
      <c r="T136" t="str">
        <f t="shared" si="53"/>
        <v>Green</v>
      </c>
      <c r="U136" t="str">
        <f t="shared" si="54"/>
        <v>Red</v>
      </c>
      <c r="V136" t="str">
        <f t="shared" si="55"/>
        <v>Green</v>
      </c>
      <c r="W136" t="str">
        <f t="shared" si="56"/>
        <v>Red</v>
      </c>
      <c r="X136" t="str">
        <f t="shared" si="57"/>
        <v>Red</v>
      </c>
      <c r="Y136" t="str">
        <f t="shared" si="58"/>
        <v>Green</v>
      </c>
      <c r="Z136" t="str">
        <f t="shared" si="59"/>
        <v>Green</v>
      </c>
      <c r="AA136" t="str">
        <f t="shared" si="60"/>
        <v>Red</v>
      </c>
      <c r="AB136" t="str">
        <f t="shared" si="61"/>
        <v>Red</v>
      </c>
      <c r="AC136" t="str">
        <f t="shared" si="62"/>
        <v>Green</v>
      </c>
      <c r="AD136" t="str">
        <f t="shared" si="63"/>
        <v>Red</v>
      </c>
    </row>
    <row r="137" spans="1:30" x14ac:dyDescent="0.2">
      <c r="A137" t="str">
        <f t="shared" si="46"/>
        <v>21/07/2026Olympique DcheiraUS Amal Tiznit</v>
      </c>
      <c r="D137" s="2">
        <v>46224</v>
      </c>
      <c r="E137" s="3">
        <v>0.75</v>
      </c>
      <c r="F137" t="s">
        <v>1378</v>
      </c>
      <c r="G137" t="s">
        <v>1379</v>
      </c>
      <c r="H137">
        <v>0</v>
      </c>
      <c r="I137">
        <v>0</v>
      </c>
      <c r="J137">
        <v>1</v>
      </c>
      <c r="K137">
        <v>1</v>
      </c>
      <c r="L137" s="22" t="str">
        <f t="shared" si="44"/>
        <v>21/07/2026</v>
      </c>
      <c r="M137" s="23">
        <f t="shared" si="45"/>
        <v>0.625</v>
      </c>
      <c r="N137" t="str">
        <f t="shared" si="47"/>
        <v>1 - 1</v>
      </c>
      <c r="O137" t="str">
        <f t="shared" si="48"/>
        <v>Red</v>
      </c>
      <c r="P137" t="str">
        <f t="shared" si="49"/>
        <v>Green</v>
      </c>
      <c r="Q137" t="str">
        <f t="shared" si="50"/>
        <v>Red</v>
      </c>
      <c r="R137" t="str">
        <f t="shared" si="51"/>
        <v>Green</v>
      </c>
      <c r="S137" t="str">
        <f t="shared" si="52"/>
        <v>Green</v>
      </c>
      <c r="T137" t="str">
        <f t="shared" si="53"/>
        <v>Red</v>
      </c>
      <c r="U137" t="str">
        <f t="shared" si="54"/>
        <v>Red</v>
      </c>
      <c r="V137" t="str">
        <f t="shared" si="55"/>
        <v>Green</v>
      </c>
      <c r="W137" t="str">
        <f t="shared" si="56"/>
        <v>Red</v>
      </c>
      <c r="X137" t="str">
        <f t="shared" si="57"/>
        <v>Red</v>
      </c>
      <c r="Y137" t="str">
        <f t="shared" si="58"/>
        <v>Green</v>
      </c>
      <c r="Z137" t="str">
        <f t="shared" si="59"/>
        <v>Red</v>
      </c>
      <c r="AA137" t="str">
        <f t="shared" si="60"/>
        <v>Green</v>
      </c>
      <c r="AB137" t="str">
        <f t="shared" si="61"/>
        <v>Green</v>
      </c>
      <c r="AC137" t="str">
        <f t="shared" si="62"/>
        <v>Green</v>
      </c>
      <c r="AD137" t="str">
        <f t="shared" si="63"/>
        <v>Red</v>
      </c>
    </row>
    <row r="138" spans="1:30" x14ac:dyDescent="0.2">
      <c r="A138" t="str">
        <f t="shared" si="46"/>
        <v>21/07/2026Union de TouargaJSM Massira</v>
      </c>
      <c r="D138" s="2">
        <v>46224</v>
      </c>
      <c r="E138" s="3">
        <v>0.75</v>
      </c>
      <c r="F138" t="s">
        <v>1380</v>
      </c>
      <c r="G138" t="s">
        <v>1381</v>
      </c>
      <c r="H138">
        <v>0</v>
      </c>
      <c r="I138">
        <v>0</v>
      </c>
      <c r="J138">
        <v>3</v>
      </c>
      <c r="K138">
        <v>0</v>
      </c>
      <c r="L138" s="22" t="str">
        <f t="shared" si="44"/>
        <v>21/07/2026</v>
      </c>
      <c r="M138" s="23">
        <f t="shared" si="45"/>
        <v>0.625</v>
      </c>
      <c r="N138" t="str">
        <f t="shared" si="47"/>
        <v>3 - 0</v>
      </c>
      <c r="O138" t="str">
        <f t="shared" si="48"/>
        <v>Green</v>
      </c>
      <c r="P138" t="str">
        <f t="shared" si="49"/>
        <v>Red</v>
      </c>
      <c r="Q138" t="str">
        <f t="shared" si="50"/>
        <v>Red</v>
      </c>
      <c r="R138" t="str">
        <f t="shared" si="51"/>
        <v>Green</v>
      </c>
      <c r="S138" t="str">
        <f t="shared" si="52"/>
        <v>Red</v>
      </c>
      <c r="T138" t="str">
        <f t="shared" si="53"/>
        <v>Green</v>
      </c>
      <c r="U138" t="str">
        <f t="shared" si="54"/>
        <v>Red</v>
      </c>
      <c r="V138" t="str">
        <f t="shared" si="55"/>
        <v>Green</v>
      </c>
      <c r="W138" t="str">
        <f t="shared" si="56"/>
        <v>Red</v>
      </c>
      <c r="X138" t="str">
        <f t="shared" si="57"/>
        <v>Red</v>
      </c>
      <c r="Y138" t="str">
        <f t="shared" si="58"/>
        <v>Green</v>
      </c>
      <c r="Z138" t="str">
        <f t="shared" si="59"/>
        <v>Green</v>
      </c>
      <c r="AA138" t="str">
        <f t="shared" si="60"/>
        <v>Red</v>
      </c>
      <c r="AB138" t="str">
        <f t="shared" si="61"/>
        <v>Green</v>
      </c>
      <c r="AC138" t="str">
        <f t="shared" si="62"/>
        <v>Red</v>
      </c>
      <c r="AD138" t="str">
        <f t="shared" si="63"/>
        <v>Green</v>
      </c>
    </row>
    <row r="139" spans="1:30" x14ac:dyDescent="0.2">
      <c r="A139" t="str">
        <f t="shared" si="46"/>
        <v>21/07/2026AlbaceteAl Kholood</v>
      </c>
      <c r="D139" s="2">
        <v>46224</v>
      </c>
      <c r="E139" s="3">
        <v>0.75</v>
      </c>
      <c r="F139" t="s">
        <v>1467</v>
      </c>
      <c r="G139" t="s">
        <v>1468</v>
      </c>
      <c r="H139">
        <v>0</v>
      </c>
      <c r="I139">
        <v>1</v>
      </c>
      <c r="J139">
        <v>2</v>
      </c>
      <c r="K139">
        <v>1</v>
      </c>
      <c r="L139" s="22" t="str">
        <f t="shared" si="44"/>
        <v>21/07/2026</v>
      </c>
      <c r="M139" s="23">
        <f t="shared" si="45"/>
        <v>0.625</v>
      </c>
      <c r="N139" t="str">
        <f t="shared" si="47"/>
        <v>2 - 1</v>
      </c>
      <c r="O139" t="str">
        <f t="shared" si="48"/>
        <v>Green</v>
      </c>
      <c r="P139" t="str">
        <f t="shared" si="49"/>
        <v>Red</v>
      </c>
      <c r="Q139" t="str">
        <f t="shared" si="50"/>
        <v>Red</v>
      </c>
      <c r="R139" t="str">
        <f t="shared" si="51"/>
        <v>Green</v>
      </c>
      <c r="S139" t="str">
        <f t="shared" si="52"/>
        <v>Red</v>
      </c>
      <c r="T139" t="str">
        <f t="shared" si="53"/>
        <v>Green</v>
      </c>
      <c r="U139" t="str">
        <f t="shared" si="54"/>
        <v>Red</v>
      </c>
      <c r="V139" t="str">
        <f t="shared" si="55"/>
        <v>Red</v>
      </c>
      <c r="W139" t="str">
        <f t="shared" si="56"/>
        <v>Green</v>
      </c>
      <c r="X139" t="str">
        <f t="shared" si="57"/>
        <v>Green</v>
      </c>
      <c r="Y139" t="str">
        <f t="shared" si="58"/>
        <v>Green</v>
      </c>
      <c r="Z139" t="str">
        <f t="shared" si="59"/>
        <v>Green</v>
      </c>
      <c r="AA139" t="str">
        <f t="shared" si="60"/>
        <v>Red</v>
      </c>
      <c r="AB139" t="str">
        <f t="shared" si="61"/>
        <v>Green</v>
      </c>
      <c r="AC139" t="str">
        <f t="shared" si="62"/>
        <v>Green</v>
      </c>
      <c r="AD139" t="str">
        <f t="shared" si="63"/>
        <v>Red</v>
      </c>
    </row>
    <row r="140" spans="1:30" x14ac:dyDescent="0.2">
      <c r="A140" t="str">
        <f t="shared" si="46"/>
        <v>21/07/2026Aldershot TownOxford United</v>
      </c>
      <c r="D140" s="2">
        <v>46224</v>
      </c>
      <c r="E140" s="3">
        <v>0.75</v>
      </c>
      <c r="F140" t="s">
        <v>1469</v>
      </c>
      <c r="G140" t="s">
        <v>1470</v>
      </c>
      <c r="H140">
        <v>1</v>
      </c>
      <c r="I140">
        <v>2</v>
      </c>
      <c r="J140">
        <v>1</v>
      </c>
      <c r="K140">
        <v>3</v>
      </c>
      <c r="L140" s="22" t="str">
        <f t="shared" si="44"/>
        <v>21/07/2026</v>
      </c>
      <c r="M140" s="23">
        <f t="shared" si="45"/>
        <v>0.625</v>
      </c>
      <c r="N140" t="str">
        <f t="shared" si="47"/>
        <v>1 - 3</v>
      </c>
      <c r="O140" t="str">
        <f t="shared" si="48"/>
        <v>Red</v>
      </c>
      <c r="P140" t="str">
        <f t="shared" si="49"/>
        <v>Red</v>
      </c>
      <c r="Q140" t="str">
        <f t="shared" si="50"/>
        <v>Green</v>
      </c>
      <c r="R140" t="str">
        <f t="shared" si="51"/>
        <v>Red</v>
      </c>
      <c r="S140" t="str">
        <f t="shared" si="52"/>
        <v>Green</v>
      </c>
      <c r="T140" t="str">
        <f t="shared" si="53"/>
        <v>Green</v>
      </c>
      <c r="U140" t="str">
        <f t="shared" si="54"/>
        <v>Red</v>
      </c>
      <c r="V140" t="str">
        <f t="shared" si="55"/>
        <v>Red</v>
      </c>
      <c r="W140" t="str">
        <f t="shared" si="56"/>
        <v>Green</v>
      </c>
      <c r="X140" t="str">
        <f t="shared" si="57"/>
        <v>Green</v>
      </c>
      <c r="Y140" t="str">
        <f t="shared" si="58"/>
        <v>Green</v>
      </c>
      <c r="Z140" t="str">
        <f t="shared" si="59"/>
        <v>Green</v>
      </c>
      <c r="AA140" t="str">
        <f t="shared" si="60"/>
        <v>Red</v>
      </c>
      <c r="AB140" t="str">
        <f t="shared" si="61"/>
        <v>Red</v>
      </c>
      <c r="AC140" t="str">
        <f t="shared" si="62"/>
        <v>Green</v>
      </c>
      <c r="AD140" t="str">
        <f t="shared" si="63"/>
        <v>Red</v>
      </c>
    </row>
    <row r="141" spans="1:30" x14ac:dyDescent="0.2">
      <c r="A141" t="str">
        <f t="shared" si="46"/>
        <v>21/07/2026CheshuntLeyton Orient</v>
      </c>
      <c r="D141" s="2">
        <v>46224</v>
      </c>
      <c r="E141" s="3">
        <v>0.75</v>
      </c>
      <c r="F141" t="s">
        <v>1471</v>
      </c>
      <c r="G141" t="s">
        <v>1472</v>
      </c>
      <c r="H141">
        <v>1</v>
      </c>
      <c r="I141">
        <v>0</v>
      </c>
      <c r="J141">
        <v>2</v>
      </c>
      <c r="K141">
        <v>1</v>
      </c>
      <c r="L141" s="22" t="str">
        <f t="shared" si="44"/>
        <v>21/07/2026</v>
      </c>
      <c r="M141" s="23">
        <f t="shared" si="45"/>
        <v>0.625</v>
      </c>
      <c r="N141" t="str">
        <f t="shared" si="47"/>
        <v>2 - 1</v>
      </c>
      <c r="O141" t="str">
        <f t="shared" si="48"/>
        <v>Green</v>
      </c>
      <c r="P141" t="str">
        <f t="shared" si="49"/>
        <v>Red</v>
      </c>
      <c r="Q141" t="str">
        <f t="shared" si="50"/>
        <v>Red</v>
      </c>
      <c r="R141" t="str">
        <f t="shared" si="51"/>
        <v>Green</v>
      </c>
      <c r="S141" t="str">
        <f t="shared" si="52"/>
        <v>Red</v>
      </c>
      <c r="T141" t="str">
        <f t="shared" si="53"/>
        <v>Green</v>
      </c>
      <c r="U141" t="str">
        <f t="shared" si="54"/>
        <v>Green</v>
      </c>
      <c r="V141" t="str">
        <f t="shared" si="55"/>
        <v>Red</v>
      </c>
      <c r="W141" t="str">
        <f t="shared" si="56"/>
        <v>Red</v>
      </c>
      <c r="X141" t="str">
        <f t="shared" si="57"/>
        <v>Green</v>
      </c>
      <c r="Y141" t="str">
        <f t="shared" si="58"/>
        <v>Green</v>
      </c>
      <c r="Z141" t="str">
        <f t="shared" si="59"/>
        <v>Green</v>
      </c>
      <c r="AA141" t="str">
        <f t="shared" si="60"/>
        <v>Red</v>
      </c>
      <c r="AB141" t="str">
        <f t="shared" si="61"/>
        <v>Green</v>
      </c>
      <c r="AC141" t="str">
        <f t="shared" si="62"/>
        <v>Green</v>
      </c>
      <c r="AD141" t="str">
        <f t="shared" si="63"/>
        <v>Red</v>
      </c>
    </row>
    <row r="142" spans="1:30" x14ac:dyDescent="0.2">
      <c r="A142" t="str">
        <f t="shared" si="46"/>
        <v>21/07/2026Ebbsfleet UnitedWest Ham U21</v>
      </c>
      <c r="D142" s="2">
        <v>46224</v>
      </c>
      <c r="E142" s="3">
        <v>0.75</v>
      </c>
      <c r="F142" t="s">
        <v>1473</v>
      </c>
      <c r="G142" t="s">
        <v>1474</v>
      </c>
      <c r="H142">
        <v>1</v>
      </c>
      <c r="I142">
        <v>2</v>
      </c>
      <c r="J142">
        <v>1</v>
      </c>
      <c r="K142">
        <v>2</v>
      </c>
      <c r="L142" s="22" t="str">
        <f t="shared" si="44"/>
        <v>21/07/2026</v>
      </c>
      <c r="M142" s="23">
        <f t="shared" si="45"/>
        <v>0.625</v>
      </c>
      <c r="N142" t="str">
        <f t="shared" si="47"/>
        <v>1 - 2</v>
      </c>
      <c r="O142" t="str">
        <f t="shared" si="48"/>
        <v>Red</v>
      </c>
      <c r="P142" t="str">
        <f t="shared" si="49"/>
        <v>Red</v>
      </c>
      <c r="Q142" t="str">
        <f t="shared" si="50"/>
        <v>Green</v>
      </c>
      <c r="R142" t="str">
        <f t="shared" si="51"/>
        <v>Red</v>
      </c>
      <c r="S142" t="str">
        <f t="shared" si="52"/>
        <v>Green</v>
      </c>
      <c r="T142" t="str">
        <f t="shared" si="53"/>
        <v>Green</v>
      </c>
      <c r="U142" t="str">
        <f t="shared" si="54"/>
        <v>Red</v>
      </c>
      <c r="V142" t="str">
        <f t="shared" si="55"/>
        <v>Red</v>
      </c>
      <c r="W142" t="str">
        <f t="shared" si="56"/>
        <v>Green</v>
      </c>
      <c r="X142" t="str">
        <f t="shared" si="57"/>
        <v>Green</v>
      </c>
      <c r="Y142" t="str">
        <f t="shared" si="58"/>
        <v>Green</v>
      </c>
      <c r="Z142" t="str">
        <f t="shared" si="59"/>
        <v>Green</v>
      </c>
      <c r="AA142" t="str">
        <f t="shared" si="60"/>
        <v>Red</v>
      </c>
      <c r="AB142" t="str">
        <f t="shared" si="61"/>
        <v>Green</v>
      </c>
      <c r="AC142" t="str">
        <f t="shared" si="62"/>
        <v>Green</v>
      </c>
      <c r="AD142" t="str">
        <f t="shared" si="63"/>
        <v>Red</v>
      </c>
    </row>
    <row r="143" spans="1:30" x14ac:dyDescent="0.2">
      <c r="A143" t="str">
        <f t="shared" si="46"/>
        <v>21/07/2026Forest Green RoversBristol Rovers</v>
      </c>
      <c r="D143" s="2">
        <v>46224</v>
      </c>
      <c r="E143" s="3">
        <v>0.75</v>
      </c>
      <c r="F143" t="s">
        <v>1475</v>
      </c>
      <c r="G143" t="s">
        <v>1476</v>
      </c>
      <c r="H143">
        <v>2</v>
      </c>
      <c r="I143">
        <v>0</v>
      </c>
      <c r="J143">
        <v>2</v>
      </c>
      <c r="K143">
        <v>2</v>
      </c>
      <c r="L143" s="22" t="str">
        <f t="shared" si="44"/>
        <v>21/07/2026</v>
      </c>
      <c r="M143" s="23">
        <f t="shared" si="45"/>
        <v>0.625</v>
      </c>
      <c r="N143" t="str">
        <f t="shared" si="47"/>
        <v>2 - 2</v>
      </c>
      <c r="O143" t="str">
        <f t="shared" si="48"/>
        <v>Red</v>
      </c>
      <c r="P143" t="str">
        <f t="shared" si="49"/>
        <v>Green</v>
      </c>
      <c r="Q143" t="str">
        <f t="shared" si="50"/>
        <v>Red</v>
      </c>
      <c r="R143" t="str">
        <f t="shared" si="51"/>
        <v>Green</v>
      </c>
      <c r="S143" t="str">
        <f t="shared" si="52"/>
        <v>Green</v>
      </c>
      <c r="T143" t="str">
        <f t="shared" si="53"/>
        <v>Red</v>
      </c>
      <c r="U143" t="str">
        <f t="shared" si="54"/>
        <v>Green</v>
      </c>
      <c r="V143" t="str">
        <f t="shared" si="55"/>
        <v>Red</v>
      </c>
      <c r="W143" t="str">
        <f t="shared" si="56"/>
        <v>Red</v>
      </c>
      <c r="X143" t="str">
        <f t="shared" si="57"/>
        <v>Green</v>
      </c>
      <c r="Y143" t="str">
        <f t="shared" si="58"/>
        <v>Green</v>
      </c>
      <c r="Z143" t="str">
        <f t="shared" si="59"/>
        <v>Green</v>
      </c>
      <c r="AA143" t="str">
        <f t="shared" si="60"/>
        <v>Red</v>
      </c>
      <c r="AB143" t="str">
        <f t="shared" si="61"/>
        <v>Red</v>
      </c>
      <c r="AC143" t="str">
        <f t="shared" si="62"/>
        <v>Green</v>
      </c>
      <c r="AD143" t="str">
        <f t="shared" si="63"/>
        <v>Red</v>
      </c>
    </row>
    <row r="144" spans="1:30" x14ac:dyDescent="0.2">
      <c r="A144" t="str">
        <f t="shared" si="46"/>
        <v>21/07/2026GillinghamMillwall</v>
      </c>
      <c r="D144" s="2">
        <v>46224</v>
      </c>
      <c r="E144" s="3">
        <v>0.75</v>
      </c>
      <c r="F144" t="s">
        <v>1477</v>
      </c>
      <c r="G144" t="s">
        <v>1478</v>
      </c>
      <c r="H144">
        <v>1</v>
      </c>
      <c r="I144">
        <v>0</v>
      </c>
      <c r="J144">
        <v>1</v>
      </c>
      <c r="K144">
        <v>0</v>
      </c>
      <c r="L144" s="22" t="str">
        <f t="shared" si="44"/>
        <v>21/07/2026</v>
      </c>
      <c r="M144" s="23">
        <f t="shared" si="45"/>
        <v>0.625</v>
      </c>
      <c r="N144" t="str">
        <f t="shared" si="47"/>
        <v>1 - 0</v>
      </c>
      <c r="O144" t="str">
        <f t="shared" si="48"/>
        <v>Green</v>
      </c>
      <c r="P144" t="str">
        <f t="shared" si="49"/>
        <v>Red</v>
      </c>
      <c r="Q144" t="str">
        <f t="shared" si="50"/>
        <v>Red</v>
      </c>
      <c r="R144" t="str">
        <f t="shared" si="51"/>
        <v>Green</v>
      </c>
      <c r="S144" t="str">
        <f t="shared" si="52"/>
        <v>Red</v>
      </c>
      <c r="T144" t="str">
        <f t="shared" si="53"/>
        <v>Green</v>
      </c>
      <c r="U144" t="str">
        <f t="shared" si="54"/>
        <v>Green</v>
      </c>
      <c r="V144" t="str">
        <f t="shared" si="55"/>
        <v>Red</v>
      </c>
      <c r="W144" t="str">
        <f t="shared" si="56"/>
        <v>Red</v>
      </c>
      <c r="X144" t="str">
        <f t="shared" si="57"/>
        <v>Green</v>
      </c>
      <c r="Y144" t="str">
        <f t="shared" si="58"/>
        <v>Red</v>
      </c>
      <c r="Z144" t="str">
        <f t="shared" si="59"/>
        <v>Red</v>
      </c>
      <c r="AA144" t="str">
        <f t="shared" si="60"/>
        <v>Green</v>
      </c>
      <c r="AB144" t="str">
        <f t="shared" si="61"/>
        <v>Green</v>
      </c>
      <c r="AC144" t="str">
        <f t="shared" si="62"/>
        <v>Red</v>
      </c>
      <c r="AD144" t="str">
        <f t="shared" si="63"/>
        <v>Green</v>
      </c>
    </row>
    <row r="145" spans="1:30" x14ac:dyDescent="0.2">
      <c r="A145" t="str">
        <f t="shared" si="46"/>
        <v>21/07/2026Hebburn TownHartlepool</v>
      </c>
      <c r="D145" s="2">
        <v>46224</v>
      </c>
      <c r="E145" s="3">
        <v>0.75</v>
      </c>
      <c r="F145" t="s">
        <v>1479</v>
      </c>
      <c r="G145" t="s">
        <v>1480</v>
      </c>
      <c r="H145">
        <v>1</v>
      </c>
      <c r="I145">
        <v>1</v>
      </c>
      <c r="J145">
        <v>2</v>
      </c>
      <c r="K145">
        <v>3</v>
      </c>
      <c r="L145" s="22" t="str">
        <f t="shared" si="44"/>
        <v>21/07/2026</v>
      </c>
      <c r="M145" s="23">
        <f t="shared" si="45"/>
        <v>0.625</v>
      </c>
      <c r="N145" t="str">
        <f t="shared" si="47"/>
        <v>2 - 3</v>
      </c>
      <c r="O145" t="str">
        <f t="shared" si="48"/>
        <v>Red</v>
      </c>
      <c r="P145" t="str">
        <f t="shared" si="49"/>
        <v>Red</v>
      </c>
      <c r="Q145" t="str">
        <f t="shared" si="50"/>
        <v>Green</v>
      </c>
      <c r="R145" t="str">
        <f t="shared" si="51"/>
        <v>Red</v>
      </c>
      <c r="S145" t="str">
        <f t="shared" si="52"/>
        <v>Green</v>
      </c>
      <c r="T145" t="str">
        <f t="shared" si="53"/>
        <v>Green</v>
      </c>
      <c r="U145" t="str">
        <f t="shared" si="54"/>
        <v>Red</v>
      </c>
      <c r="V145" t="str">
        <f t="shared" si="55"/>
        <v>Green</v>
      </c>
      <c r="W145" t="str">
        <f t="shared" si="56"/>
        <v>Red</v>
      </c>
      <c r="X145" t="str">
        <f t="shared" si="57"/>
        <v>Green</v>
      </c>
      <c r="Y145" t="str">
        <f t="shared" si="58"/>
        <v>Green</v>
      </c>
      <c r="Z145" t="str">
        <f t="shared" si="59"/>
        <v>Green</v>
      </c>
      <c r="AA145" t="str">
        <f t="shared" si="60"/>
        <v>Red</v>
      </c>
      <c r="AB145" t="str">
        <f t="shared" si="61"/>
        <v>Red</v>
      </c>
      <c r="AC145" t="str">
        <f t="shared" si="62"/>
        <v>Green</v>
      </c>
      <c r="AD145" t="str">
        <f t="shared" si="63"/>
        <v>Red</v>
      </c>
    </row>
    <row r="146" spans="1:30" x14ac:dyDescent="0.2">
      <c r="A146" t="str">
        <f t="shared" si="46"/>
        <v>21/07/2026LeamingtonWalsall</v>
      </c>
      <c r="D146" s="2">
        <v>46224</v>
      </c>
      <c r="E146" s="3">
        <v>0.75</v>
      </c>
      <c r="F146" t="s">
        <v>1481</v>
      </c>
      <c r="G146" t="s">
        <v>1482</v>
      </c>
      <c r="L146" s="22" t="str">
        <f t="shared" si="44"/>
        <v>21/07/2026</v>
      </c>
      <c r="M146" s="23">
        <f t="shared" si="45"/>
        <v>0.625</v>
      </c>
      <c r="N146" t="str">
        <f t="shared" si="47"/>
        <v xml:space="preserve"> - </v>
      </c>
      <c r="O146" t="str">
        <f t="shared" si="48"/>
        <v>Red</v>
      </c>
      <c r="P146" t="str">
        <f t="shared" si="49"/>
        <v>Green</v>
      </c>
      <c r="Q146" t="str">
        <f t="shared" si="50"/>
        <v>Red</v>
      </c>
      <c r="R146" t="str">
        <f t="shared" si="51"/>
        <v>Green</v>
      </c>
      <c r="S146" t="str">
        <f t="shared" si="52"/>
        <v>Green</v>
      </c>
      <c r="T146" t="str">
        <f t="shared" si="53"/>
        <v>Red</v>
      </c>
      <c r="U146" t="str">
        <f t="shared" si="54"/>
        <v>Red</v>
      </c>
      <c r="V146" t="str">
        <f t="shared" si="55"/>
        <v>Green</v>
      </c>
      <c r="W146" t="str">
        <f t="shared" si="56"/>
        <v>Red</v>
      </c>
      <c r="X146" t="str">
        <f t="shared" si="57"/>
        <v>Red</v>
      </c>
      <c r="Y146" t="str">
        <f t="shared" si="58"/>
        <v>Red</v>
      </c>
      <c r="Z146" t="str">
        <f t="shared" si="59"/>
        <v>Red</v>
      </c>
      <c r="AA146" t="str">
        <f t="shared" si="60"/>
        <v>Green</v>
      </c>
      <c r="AB146" t="str">
        <f t="shared" si="61"/>
        <v>Green</v>
      </c>
      <c r="AC146" t="str">
        <f t="shared" si="62"/>
        <v>Red</v>
      </c>
      <c r="AD146" t="str">
        <f t="shared" si="63"/>
        <v>Green</v>
      </c>
    </row>
    <row r="147" spans="1:30" x14ac:dyDescent="0.2">
      <c r="A147" t="str">
        <f t="shared" si="46"/>
        <v>21/07/2026OldhamBolton Wanderers</v>
      </c>
      <c r="D147" s="2">
        <v>46224</v>
      </c>
      <c r="E147" s="3">
        <v>0.75</v>
      </c>
      <c r="F147" t="s">
        <v>1483</v>
      </c>
      <c r="G147" t="s">
        <v>1484</v>
      </c>
      <c r="H147">
        <v>0</v>
      </c>
      <c r="I147">
        <v>2</v>
      </c>
      <c r="J147">
        <v>1</v>
      </c>
      <c r="K147">
        <v>3</v>
      </c>
      <c r="L147" s="22" t="str">
        <f t="shared" si="44"/>
        <v>21/07/2026</v>
      </c>
      <c r="M147" s="23">
        <f t="shared" si="45"/>
        <v>0.625</v>
      </c>
      <c r="N147" t="str">
        <f t="shared" si="47"/>
        <v>1 - 3</v>
      </c>
      <c r="O147" t="str">
        <f t="shared" si="48"/>
        <v>Red</v>
      </c>
      <c r="P147" t="str">
        <f t="shared" si="49"/>
        <v>Red</v>
      </c>
      <c r="Q147" t="str">
        <f t="shared" si="50"/>
        <v>Green</v>
      </c>
      <c r="R147" t="str">
        <f t="shared" si="51"/>
        <v>Red</v>
      </c>
      <c r="S147" t="str">
        <f t="shared" si="52"/>
        <v>Green</v>
      </c>
      <c r="T147" t="str">
        <f t="shared" si="53"/>
        <v>Green</v>
      </c>
      <c r="U147" t="str">
        <f t="shared" si="54"/>
        <v>Red</v>
      </c>
      <c r="V147" t="str">
        <f t="shared" si="55"/>
        <v>Red</v>
      </c>
      <c r="W147" t="str">
        <f t="shared" si="56"/>
        <v>Green</v>
      </c>
      <c r="X147" t="str">
        <f t="shared" si="57"/>
        <v>Green</v>
      </c>
      <c r="Y147" t="str">
        <f t="shared" si="58"/>
        <v>Green</v>
      </c>
      <c r="Z147" t="str">
        <f t="shared" si="59"/>
        <v>Green</v>
      </c>
      <c r="AA147" t="str">
        <f t="shared" si="60"/>
        <v>Red</v>
      </c>
      <c r="AB147" t="str">
        <f t="shared" si="61"/>
        <v>Red</v>
      </c>
      <c r="AC147" t="str">
        <f t="shared" si="62"/>
        <v>Green</v>
      </c>
      <c r="AD147" t="str">
        <f t="shared" si="63"/>
        <v>Red</v>
      </c>
    </row>
    <row r="148" spans="1:30" x14ac:dyDescent="0.2">
      <c r="A148" t="str">
        <f t="shared" si="46"/>
        <v>21/07/2026WokingSwindon Town</v>
      </c>
      <c r="D148" s="2">
        <v>46224</v>
      </c>
      <c r="E148" s="3">
        <v>0.75</v>
      </c>
      <c r="F148" t="s">
        <v>1485</v>
      </c>
      <c r="G148" t="s">
        <v>1486</v>
      </c>
      <c r="L148" s="22" t="str">
        <f t="shared" si="44"/>
        <v>21/07/2026</v>
      </c>
      <c r="M148" s="23">
        <f t="shared" si="45"/>
        <v>0.625</v>
      </c>
      <c r="N148" t="str">
        <f t="shared" si="47"/>
        <v xml:space="preserve"> - </v>
      </c>
      <c r="O148" t="str">
        <f t="shared" si="48"/>
        <v>Red</v>
      </c>
      <c r="P148" t="str">
        <f t="shared" si="49"/>
        <v>Green</v>
      </c>
      <c r="Q148" t="str">
        <f t="shared" si="50"/>
        <v>Red</v>
      </c>
      <c r="R148" t="str">
        <f t="shared" si="51"/>
        <v>Green</v>
      </c>
      <c r="S148" t="str">
        <f t="shared" si="52"/>
        <v>Green</v>
      </c>
      <c r="T148" t="str">
        <f t="shared" si="53"/>
        <v>Red</v>
      </c>
      <c r="U148" t="str">
        <f t="shared" si="54"/>
        <v>Red</v>
      </c>
      <c r="V148" t="str">
        <f t="shared" si="55"/>
        <v>Green</v>
      </c>
      <c r="W148" t="str">
        <f t="shared" si="56"/>
        <v>Red</v>
      </c>
      <c r="X148" t="str">
        <f t="shared" si="57"/>
        <v>Red</v>
      </c>
      <c r="Y148" t="str">
        <f t="shared" si="58"/>
        <v>Red</v>
      </c>
      <c r="Z148" t="str">
        <f t="shared" si="59"/>
        <v>Red</v>
      </c>
      <c r="AA148" t="str">
        <f t="shared" si="60"/>
        <v>Green</v>
      </c>
      <c r="AB148" t="str">
        <f t="shared" si="61"/>
        <v>Green</v>
      </c>
      <c r="AC148" t="str">
        <f t="shared" si="62"/>
        <v>Red</v>
      </c>
      <c r="AD148" t="str">
        <f t="shared" si="63"/>
        <v>Green</v>
      </c>
    </row>
    <row r="149" spans="1:30" x14ac:dyDescent="0.2">
      <c r="A149" t="str">
        <f t="shared" si="46"/>
        <v>21/07/2026Atert BissenGyori ETO</v>
      </c>
      <c r="B149" t="s">
        <v>802</v>
      </c>
      <c r="C149" t="s">
        <v>1326</v>
      </c>
      <c r="D149" s="2">
        <v>46224</v>
      </c>
      <c r="E149" s="3">
        <v>0.76041666666666663</v>
      </c>
      <c r="F149" t="s">
        <v>1331</v>
      </c>
      <c r="G149" t="s">
        <v>1026</v>
      </c>
      <c r="H149">
        <v>1</v>
      </c>
      <c r="I149">
        <v>3</v>
      </c>
      <c r="J149">
        <v>2</v>
      </c>
      <c r="K149">
        <v>6</v>
      </c>
      <c r="L149" s="22" t="str">
        <f t="shared" si="44"/>
        <v>21/07/2026</v>
      </c>
      <c r="M149" s="23">
        <f t="shared" si="45"/>
        <v>0.63541666666666663</v>
      </c>
      <c r="N149" t="str">
        <f t="shared" si="47"/>
        <v>2 - 6</v>
      </c>
      <c r="O149" t="str">
        <f t="shared" si="48"/>
        <v>Red</v>
      </c>
      <c r="P149" t="str">
        <f t="shared" si="49"/>
        <v>Red</v>
      </c>
      <c r="Q149" t="str">
        <f t="shared" si="50"/>
        <v>Green</v>
      </c>
      <c r="R149" t="str">
        <f t="shared" si="51"/>
        <v>Red</v>
      </c>
      <c r="S149" t="str">
        <f t="shared" si="52"/>
        <v>Green</v>
      </c>
      <c r="T149" t="str">
        <f t="shared" si="53"/>
        <v>Green</v>
      </c>
      <c r="U149" t="str">
        <f t="shared" si="54"/>
        <v>Red</v>
      </c>
      <c r="V149" t="str">
        <f t="shared" si="55"/>
        <v>Red</v>
      </c>
      <c r="W149" t="str">
        <f t="shared" si="56"/>
        <v>Green</v>
      </c>
      <c r="X149" t="str">
        <f t="shared" si="57"/>
        <v>Green</v>
      </c>
      <c r="Y149" t="str">
        <f t="shared" si="58"/>
        <v>Green</v>
      </c>
      <c r="Z149" t="str">
        <f t="shared" si="59"/>
        <v>Green</v>
      </c>
      <c r="AA149" t="str">
        <f t="shared" si="60"/>
        <v>Red</v>
      </c>
      <c r="AB149" t="str">
        <f t="shared" si="61"/>
        <v>Red</v>
      </c>
      <c r="AC149" t="str">
        <f t="shared" si="62"/>
        <v>Green</v>
      </c>
      <c r="AD149" t="str">
        <f t="shared" si="63"/>
        <v>Red</v>
      </c>
    </row>
    <row r="150" spans="1:30" x14ac:dyDescent="0.2">
      <c r="A150" t="str">
        <f t="shared" si="46"/>
        <v>21/07/2026CrusadersGlenavon</v>
      </c>
      <c r="D150" s="2">
        <v>46224</v>
      </c>
      <c r="E150" s="3">
        <v>0.76736111111111116</v>
      </c>
      <c r="F150" t="s">
        <v>1487</v>
      </c>
      <c r="G150" t="s">
        <v>1488</v>
      </c>
      <c r="H150">
        <v>0</v>
      </c>
      <c r="I150">
        <v>0</v>
      </c>
      <c r="J150">
        <v>2</v>
      </c>
      <c r="K150">
        <v>0</v>
      </c>
      <c r="L150" s="22" t="str">
        <f t="shared" si="44"/>
        <v>21/07/2026</v>
      </c>
      <c r="M150" s="23">
        <f t="shared" si="45"/>
        <v>0.64236111111111116</v>
      </c>
      <c r="N150" t="str">
        <f t="shared" si="47"/>
        <v>2 - 0</v>
      </c>
      <c r="O150" t="str">
        <f t="shared" si="48"/>
        <v>Green</v>
      </c>
      <c r="P150" t="str">
        <f t="shared" si="49"/>
        <v>Red</v>
      </c>
      <c r="Q150" t="str">
        <f t="shared" si="50"/>
        <v>Red</v>
      </c>
      <c r="R150" t="str">
        <f t="shared" si="51"/>
        <v>Green</v>
      </c>
      <c r="S150" t="str">
        <f t="shared" si="52"/>
        <v>Red</v>
      </c>
      <c r="T150" t="str">
        <f t="shared" si="53"/>
        <v>Green</v>
      </c>
      <c r="U150" t="str">
        <f t="shared" si="54"/>
        <v>Red</v>
      </c>
      <c r="V150" t="str">
        <f t="shared" si="55"/>
        <v>Green</v>
      </c>
      <c r="W150" t="str">
        <f t="shared" si="56"/>
        <v>Red</v>
      </c>
      <c r="X150" t="str">
        <f t="shared" si="57"/>
        <v>Red</v>
      </c>
      <c r="Y150" t="str">
        <f t="shared" si="58"/>
        <v>Green</v>
      </c>
      <c r="Z150" t="str">
        <f t="shared" si="59"/>
        <v>Red</v>
      </c>
      <c r="AA150" t="str">
        <f t="shared" si="60"/>
        <v>Green</v>
      </c>
      <c r="AB150" t="str">
        <f t="shared" si="61"/>
        <v>Green</v>
      </c>
      <c r="AC150" t="str">
        <f t="shared" si="62"/>
        <v>Red</v>
      </c>
      <c r="AD150" t="str">
        <f t="shared" si="63"/>
        <v>Green</v>
      </c>
    </row>
    <row r="151" spans="1:30" x14ac:dyDescent="0.2">
      <c r="A151" t="str">
        <f t="shared" si="46"/>
        <v>21/07/2026Sturm GrazHearts</v>
      </c>
      <c r="B151" t="s">
        <v>802</v>
      </c>
      <c r="C151" t="s">
        <v>803</v>
      </c>
      <c r="D151" s="2">
        <v>46224</v>
      </c>
      <c r="E151" s="3">
        <v>0.77083333333333337</v>
      </c>
      <c r="F151" t="s">
        <v>366</v>
      </c>
      <c r="G151" t="s">
        <v>367</v>
      </c>
      <c r="H151">
        <v>1</v>
      </c>
      <c r="I151">
        <v>0</v>
      </c>
      <c r="J151">
        <v>4</v>
      </c>
      <c r="K151">
        <v>0</v>
      </c>
      <c r="L151" s="22" t="str">
        <f t="shared" si="44"/>
        <v>21/07/2026</v>
      </c>
      <c r="M151" s="23">
        <f t="shared" si="45"/>
        <v>0.64583333333333337</v>
      </c>
      <c r="N151" t="str">
        <f t="shared" si="47"/>
        <v>4 - 0</v>
      </c>
      <c r="O151" t="str">
        <f t="shared" si="48"/>
        <v>Green</v>
      </c>
      <c r="P151" t="str">
        <f t="shared" si="49"/>
        <v>Red</v>
      </c>
      <c r="Q151" t="str">
        <f t="shared" si="50"/>
        <v>Red</v>
      </c>
      <c r="R151" t="str">
        <f t="shared" si="51"/>
        <v>Green</v>
      </c>
      <c r="S151" t="str">
        <f t="shared" si="52"/>
        <v>Red</v>
      </c>
      <c r="T151" t="str">
        <f t="shared" si="53"/>
        <v>Green</v>
      </c>
      <c r="U151" t="str">
        <f t="shared" si="54"/>
        <v>Green</v>
      </c>
      <c r="V151" t="str">
        <f t="shared" si="55"/>
        <v>Red</v>
      </c>
      <c r="W151" t="str">
        <f t="shared" si="56"/>
        <v>Red</v>
      </c>
      <c r="X151" t="str">
        <f t="shared" si="57"/>
        <v>Green</v>
      </c>
      <c r="Y151" t="str">
        <f t="shared" si="58"/>
        <v>Green</v>
      </c>
      <c r="Z151" t="str">
        <f t="shared" si="59"/>
        <v>Green</v>
      </c>
      <c r="AA151" t="str">
        <f t="shared" si="60"/>
        <v>Red</v>
      </c>
      <c r="AB151" t="str">
        <f t="shared" si="61"/>
        <v>Red</v>
      </c>
      <c r="AC151" t="str">
        <f t="shared" si="62"/>
        <v>Red</v>
      </c>
      <c r="AD151" t="str">
        <f t="shared" si="63"/>
        <v>Green</v>
      </c>
    </row>
    <row r="152" spans="1:30" x14ac:dyDescent="0.2">
      <c r="A152" t="str">
        <f t="shared" si="46"/>
        <v>21/07/2026Alfreton TownRotherham United</v>
      </c>
      <c r="D152" s="2">
        <v>46224</v>
      </c>
      <c r="E152" s="3">
        <v>0.77083333333333337</v>
      </c>
      <c r="F152" t="s">
        <v>1489</v>
      </c>
      <c r="G152" t="s">
        <v>1490</v>
      </c>
      <c r="H152">
        <v>0</v>
      </c>
      <c r="I152">
        <v>1</v>
      </c>
      <c r="J152">
        <v>0</v>
      </c>
      <c r="K152">
        <v>1</v>
      </c>
      <c r="L152" s="22" t="str">
        <f t="shared" si="44"/>
        <v>21/07/2026</v>
      </c>
      <c r="M152" s="23">
        <f t="shared" si="45"/>
        <v>0.64583333333333337</v>
      </c>
      <c r="N152" t="str">
        <f t="shared" si="47"/>
        <v>0 - 1</v>
      </c>
      <c r="O152" t="str">
        <f t="shared" si="48"/>
        <v>Red</v>
      </c>
      <c r="P152" t="str">
        <f t="shared" si="49"/>
        <v>Red</v>
      </c>
      <c r="Q152" t="str">
        <f t="shared" si="50"/>
        <v>Green</v>
      </c>
      <c r="R152" t="str">
        <f t="shared" si="51"/>
        <v>Red</v>
      </c>
      <c r="S152" t="str">
        <f t="shared" si="52"/>
        <v>Green</v>
      </c>
      <c r="T152" t="str">
        <f t="shared" si="53"/>
        <v>Green</v>
      </c>
      <c r="U152" t="str">
        <f t="shared" si="54"/>
        <v>Red</v>
      </c>
      <c r="V152" t="str">
        <f t="shared" si="55"/>
        <v>Red</v>
      </c>
      <c r="W152" t="str">
        <f t="shared" si="56"/>
        <v>Green</v>
      </c>
      <c r="X152" t="str">
        <f t="shared" si="57"/>
        <v>Green</v>
      </c>
      <c r="Y152" t="str">
        <f t="shared" si="58"/>
        <v>Red</v>
      </c>
      <c r="Z152" t="str">
        <f t="shared" si="59"/>
        <v>Red</v>
      </c>
      <c r="AA152" t="str">
        <f t="shared" si="60"/>
        <v>Green</v>
      </c>
      <c r="AB152" t="str">
        <f t="shared" si="61"/>
        <v>Green</v>
      </c>
      <c r="AC152" t="str">
        <f t="shared" si="62"/>
        <v>Red</v>
      </c>
      <c r="AD152" t="str">
        <f t="shared" si="63"/>
        <v>Green</v>
      </c>
    </row>
    <row r="153" spans="1:30" x14ac:dyDescent="0.2">
      <c r="A153" t="str">
        <f t="shared" si="46"/>
        <v>21/07/2026Bishop AucklandSpennymoor Town</v>
      </c>
      <c r="D153" s="2">
        <v>46224</v>
      </c>
      <c r="E153" s="3">
        <v>0.77083333333333337</v>
      </c>
      <c r="F153" t="s">
        <v>1491</v>
      </c>
      <c r="G153" t="s">
        <v>1492</v>
      </c>
      <c r="H153">
        <v>2</v>
      </c>
      <c r="I153">
        <v>0</v>
      </c>
      <c r="J153">
        <v>4</v>
      </c>
      <c r="K153">
        <v>0</v>
      </c>
      <c r="L153" s="22" t="str">
        <f t="shared" si="44"/>
        <v>21/07/2026</v>
      </c>
      <c r="M153" s="23">
        <f t="shared" si="45"/>
        <v>0.64583333333333337</v>
      </c>
      <c r="N153" t="str">
        <f t="shared" si="47"/>
        <v>4 - 0</v>
      </c>
      <c r="O153" t="str">
        <f t="shared" si="48"/>
        <v>Green</v>
      </c>
      <c r="P153" t="str">
        <f t="shared" si="49"/>
        <v>Red</v>
      </c>
      <c r="Q153" t="str">
        <f t="shared" si="50"/>
        <v>Red</v>
      </c>
      <c r="R153" t="str">
        <f t="shared" si="51"/>
        <v>Green</v>
      </c>
      <c r="S153" t="str">
        <f t="shared" si="52"/>
        <v>Red</v>
      </c>
      <c r="T153" t="str">
        <f t="shared" si="53"/>
        <v>Green</v>
      </c>
      <c r="U153" t="str">
        <f t="shared" si="54"/>
        <v>Green</v>
      </c>
      <c r="V153" t="str">
        <f t="shared" si="55"/>
        <v>Red</v>
      </c>
      <c r="W153" t="str">
        <f t="shared" si="56"/>
        <v>Red</v>
      </c>
      <c r="X153" t="str">
        <f t="shared" si="57"/>
        <v>Green</v>
      </c>
      <c r="Y153" t="str">
        <f t="shared" si="58"/>
        <v>Green</v>
      </c>
      <c r="Z153" t="str">
        <f t="shared" si="59"/>
        <v>Green</v>
      </c>
      <c r="AA153" t="str">
        <f t="shared" si="60"/>
        <v>Red</v>
      </c>
      <c r="AB153" t="str">
        <f t="shared" si="61"/>
        <v>Red</v>
      </c>
      <c r="AC153" t="str">
        <f t="shared" si="62"/>
        <v>Red</v>
      </c>
      <c r="AD153" t="str">
        <f t="shared" si="63"/>
        <v>Green</v>
      </c>
    </row>
    <row r="154" spans="1:30" x14ac:dyDescent="0.2">
      <c r="A154" t="str">
        <f t="shared" si="46"/>
        <v>21/07/2026Chertsey TownWealdstone</v>
      </c>
      <c r="D154" s="2">
        <v>46224</v>
      </c>
      <c r="E154" s="3">
        <v>0.77083333333333337</v>
      </c>
      <c r="F154" t="s">
        <v>1493</v>
      </c>
      <c r="G154" t="s">
        <v>1494</v>
      </c>
      <c r="H154">
        <v>0</v>
      </c>
      <c r="I154">
        <v>0</v>
      </c>
      <c r="J154">
        <v>2</v>
      </c>
      <c r="K154">
        <v>0</v>
      </c>
      <c r="L154" s="22" t="str">
        <f t="shared" si="44"/>
        <v>21/07/2026</v>
      </c>
      <c r="M154" s="23">
        <f t="shared" si="45"/>
        <v>0.64583333333333337</v>
      </c>
      <c r="N154" t="str">
        <f t="shared" si="47"/>
        <v>2 - 0</v>
      </c>
      <c r="O154" t="str">
        <f t="shared" si="48"/>
        <v>Green</v>
      </c>
      <c r="P154" t="str">
        <f t="shared" si="49"/>
        <v>Red</v>
      </c>
      <c r="Q154" t="str">
        <f t="shared" si="50"/>
        <v>Red</v>
      </c>
      <c r="R154" t="str">
        <f t="shared" si="51"/>
        <v>Green</v>
      </c>
      <c r="S154" t="str">
        <f t="shared" si="52"/>
        <v>Red</v>
      </c>
      <c r="T154" t="str">
        <f t="shared" si="53"/>
        <v>Green</v>
      </c>
      <c r="U154" t="str">
        <f t="shared" si="54"/>
        <v>Red</v>
      </c>
      <c r="V154" t="str">
        <f t="shared" si="55"/>
        <v>Green</v>
      </c>
      <c r="W154" t="str">
        <f t="shared" si="56"/>
        <v>Red</v>
      </c>
      <c r="X154" t="str">
        <f t="shared" si="57"/>
        <v>Red</v>
      </c>
      <c r="Y154" t="str">
        <f t="shared" si="58"/>
        <v>Green</v>
      </c>
      <c r="Z154" t="str">
        <f t="shared" si="59"/>
        <v>Red</v>
      </c>
      <c r="AA154" t="str">
        <f t="shared" si="60"/>
        <v>Green</v>
      </c>
      <c r="AB154" t="str">
        <f t="shared" si="61"/>
        <v>Green</v>
      </c>
      <c r="AC154" t="str">
        <f t="shared" si="62"/>
        <v>Red</v>
      </c>
      <c r="AD154" t="str">
        <f t="shared" si="63"/>
        <v>Green</v>
      </c>
    </row>
    <row r="155" spans="1:30" x14ac:dyDescent="0.2">
      <c r="A155" t="str">
        <f t="shared" si="46"/>
        <v>21/07/2026Dagenham &amp; RedbridgeCrystal Palace U21</v>
      </c>
      <c r="D155" s="2">
        <v>46224</v>
      </c>
      <c r="E155" s="3">
        <v>0.77083333333333337</v>
      </c>
      <c r="F155" t="s">
        <v>1495</v>
      </c>
      <c r="G155" t="s">
        <v>1496</v>
      </c>
      <c r="H155">
        <v>3</v>
      </c>
      <c r="I155">
        <v>0</v>
      </c>
      <c r="J155">
        <v>5</v>
      </c>
      <c r="K155">
        <v>0</v>
      </c>
      <c r="L155" s="22" t="str">
        <f t="shared" si="44"/>
        <v>21/07/2026</v>
      </c>
      <c r="M155" s="23">
        <f t="shared" si="45"/>
        <v>0.64583333333333337</v>
      </c>
      <c r="N155" t="str">
        <f t="shared" si="47"/>
        <v>5 - 0</v>
      </c>
      <c r="O155" t="str">
        <f t="shared" si="48"/>
        <v>Green</v>
      </c>
      <c r="P155" t="str">
        <f t="shared" si="49"/>
        <v>Red</v>
      </c>
      <c r="Q155" t="str">
        <f t="shared" si="50"/>
        <v>Red</v>
      </c>
      <c r="R155" t="str">
        <f t="shared" si="51"/>
        <v>Green</v>
      </c>
      <c r="S155" t="str">
        <f t="shared" si="52"/>
        <v>Red</v>
      </c>
      <c r="T155" t="str">
        <f t="shared" si="53"/>
        <v>Green</v>
      </c>
      <c r="U155" t="str">
        <f t="shared" si="54"/>
        <v>Green</v>
      </c>
      <c r="V155" t="str">
        <f t="shared" si="55"/>
        <v>Red</v>
      </c>
      <c r="W155" t="str">
        <f t="shared" si="56"/>
        <v>Red</v>
      </c>
      <c r="X155" t="str">
        <f t="shared" si="57"/>
        <v>Green</v>
      </c>
      <c r="Y155" t="str">
        <f t="shared" si="58"/>
        <v>Green</v>
      </c>
      <c r="Z155" t="str">
        <f t="shared" si="59"/>
        <v>Green</v>
      </c>
      <c r="AA155" t="str">
        <f t="shared" si="60"/>
        <v>Red</v>
      </c>
      <c r="AB155" t="str">
        <f t="shared" si="61"/>
        <v>Red</v>
      </c>
      <c r="AC155" t="str">
        <f t="shared" si="62"/>
        <v>Red</v>
      </c>
      <c r="AD155" t="str">
        <f t="shared" si="63"/>
        <v>Green</v>
      </c>
    </row>
    <row r="156" spans="1:30" x14ac:dyDescent="0.2">
      <c r="A156" t="str">
        <f t="shared" si="46"/>
        <v>21/07/2026Fleetwood TownHuddersfield Town</v>
      </c>
      <c r="D156" s="2">
        <v>46224</v>
      </c>
      <c r="E156" s="3">
        <v>0.77083333333333337</v>
      </c>
      <c r="F156" t="s">
        <v>1497</v>
      </c>
      <c r="G156" t="s">
        <v>1426</v>
      </c>
      <c r="H156">
        <v>1</v>
      </c>
      <c r="I156">
        <v>1</v>
      </c>
      <c r="J156">
        <v>2</v>
      </c>
      <c r="K156">
        <v>1</v>
      </c>
      <c r="L156" s="22" t="str">
        <f t="shared" si="44"/>
        <v>21/07/2026</v>
      </c>
      <c r="M156" s="23">
        <f t="shared" si="45"/>
        <v>0.64583333333333337</v>
      </c>
      <c r="N156" t="str">
        <f t="shared" si="47"/>
        <v>2 - 1</v>
      </c>
      <c r="O156" t="str">
        <f t="shared" si="48"/>
        <v>Green</v>
      </c>
      <c r="P156" t="str">
        <f t="shared" si="49"/>
        <v>Red</v>
      </c>
      <c r="Q156" t="str">
        <f t="shared" si="50"/>
        <v>Red</v>
      </c>
      <c r="R156" t="str">
        <f t="shared" si="51"/>
        <v>Green</v>
      </c>
      <c r="S156" t="str">
        <f t="shared" si="52"/>
        <v>Red</v>
      </c>
      <c r="T156" t="str">
        <f t="shared" si="53"/>
        <v>Green</v>
      </c>
      <c r="U156" t="str">
        <f t="shared" si="54"/>
        <v>Red</v>
      </c>
      <c r="V156" t="str">
        <f t="shared" si="55"/>
        <v>Green</v>
      </c>
      <c r="W156" t="str">
        <f t="shared" si="56"/>
        <v>Red</v>
      </c>
      <c r="X156" t="str">
        <f t="shared" si="57"/>
        <v>Green</v>
      </c>
      <c r="Y156" t="str">
        <f t="shared" si="58"/>
        <v>Green</v>
      </c>
      <c r="Z156" t="str">
        <f t="shared" si="59"/>
        <v>Green</v>
      </c>
      <c r="AA156" t="str">
        <f t="shared" si="60"/>
        <v>Red</v>
      </c>
      <c r="AB156" t="str">
        <f t="shared" si="61"/>
        <v>Green</v>
      </c>
      <c r="AC156" t="str">
        <f t="shared" si="62"/>
        <v>Green</v>
      </c>
      <c r="AD156" t="str">
        <f t="shared" si="63"/>
        <v>Red</v>
      </c>
    </row>
    <row r="157" spans="1:30" x14ac:dyDescent="0.2">
      <c r="A157" t="str">
        <f t="shared" si="46"/>
        <v>21/07/2026Garforth Town AFCGuiseley AFC</v>
      </c>
      <c r="D157" s="2">
        <v>46224</v>
      </c>
      <c r="E157" s="3">
        <v>0.77083333333333337</v>
      </c>
      <c r="F157" t="s">
        <v>1498</v>
      </c>
      <c r="G157" t="s">
        <v>1499</v>
      </c>
      <c r="H157">
        <v>0</v>
      </c>
      <c r="I157">
        <v>1</v>
      </c>
      <c r="J157">
        <v>0</v>
      </c>
      <c r="K157">
        <v>1</v>
      </c>
      <c r="L157" s="22" t="str">
        <f t="shared" si="44"/>
        <v>21/07/2026</v>
      </c>
      <c r="M157" s="23">
        <f t="shared" si="45"/>
        <v>0.64583333333333337</v>
      </c>
      <c r="N157" t="str">
        <f t="shared" si="47"/>
        <v>0 - 1</v>
      </c>
      <c r="O157" t="str">
        <f t="shared" si="48"/>
        <v>Red</v>
      </c>
      <c r="P157" t="str">
        <f t="shared" si="49"/>
        <v>Red</v>
      </c>
      <c r="Q157" t="str">
        <f t="shared" si="50"/>
        <v>Green</v>
      </c>
      <c r="R157" t="str">
        <f t="shared" si="51"/>
        <v>Red</v>
      </c>
      <c r="S157" t="str">
        <f t="shared" si="52"/>
        <v>Green</v>
      </c>
      <c r="T157" t="str">
        <f t="shared" si="53"/>
        <v>Green</v>
      </c>
      <c r="U157" t="str">
        <f t="shared" si="54"/>
        <v>Red</v>
      </c>
      <c r="V157" t="str">
        <f t="shared" si="55"/>
        <v>Red</v>
      </c>
      <c r="W157" t="str">
        <f t="shared" si="56"/>
        <v>Green</v>
      </c>
      <c r="X157" t="str">
        <f t="shared" si="57"/>
        <v>Green</v>
      </c>
      <c r="Y157" t="str">
        <f t="shared" si="58"/>
        <v>Red</v>
      </c>
      <c r="Z157" t="str">
        <f t="shared" si="59"/>
        <v>Red</v>
      </c>
      <c r="AA157" t="str">
        <f t="shared" si="60"/>
        <v>Green</v>
      </c>
      <c r="AB157" t="str">
        <f t="shared" si="61"/>
        <v>Green</v>
      </c>
      <c r="AC157" t="str">
        <f t="shared" si="62"/>
        <v>Red</v>
      </c>
      <c r="AD157" t="str">
        <f t="shared" si="63"/>
        <v>Green</v>
      </c>
    </row>
    <row r="158" spans="1:30" x14ac:dyDescent="0.2">
      <c r="A158" t="str">
        <f t="shared" si="46"/>
        <v>21/07/2026Kidsgrove AthleticLeek Town</v>
      </c>
      <c r="D158" s="2">
        <v>46224</v>
      </c>
      <c r="E158" s="3">
        <v>0.77083333333333337</v>
      </c>
      <c r="F158" t="s">
        <v>1500</v>
      </c>
      <c r="G158" t="s">
        <v>1501</v>
      </c>
      <c r="H158">
        <v>0</v>
      </c>
      <c r="I158">
        <v>1</v>
      </c>
      <c r="J158">
        <v>0</v>
      </c>
      <c r="K158">
        <v>1</v>
      </c>
      <c r="L158" s="22" t="str">
        <f t="shared" si="44"/>
        <v>21/07/2026</v>
      </c>
      <c r="M158" s="23">
        <f t="shared" si="45"/>
        <v>0.64583333333333337</v>
      </c>
      <c r="N158" t="str">
        <f t="shared" si="47"/>
        <v>0 - 1</v>
      </c>
      <c r="O158" t="str">
        <f t="shared" si="48"/>
        <v>Red</v>
      </c>
      <c r="P158" t="str">
        <f t="shared" si="49"/>
        <v>Red</v>
      </c>
      <c r="Q158" t="str">
        <f t="shared" si="50"/>
        <v>Green</v>
      </c>
      <c r="R158" t="str">
        <f t="shared" si="51"/>
        <v>Red</v>
      </c>
      <c r="S158" t="str">
        <f t="shared" si="52"/>
        <v>Green</v>
      </c>
      <c r="T158" t="str">
        <f t="shared" si="53"/>
        <v>Green</v>
      </c>
      <c r="U158" t="str">
        <f t="shared" si="54"/>
        <v>Red</v>
      </c>
      <c r="V158" t="str">
        <f t="shared" si="55"/>
        <v>Red</v>
      </c>
      <c r="W158" t="str">
        <f t="shared" si="56"/>
        <v>Green</v>
      </c>
      <c r="X158" t="str">
        <f t="shared" si="57"/>
        <v>Green</v>
      </c>
      <c r="Y158" t="str">
        <f t="shared" si="58"/>
        <v>Red</v>
      </c>
      <c r="Z158" t="str">
        <f t="shared" si="59"/>
        <v>Red</v>
      </c>
      <c r="AA158" t="str">
        <f t="shared" si="60"/>
        <v>Green</v>
      </c>
      <c r="AB158" t="str">
        <f t="shared" si="61"/>
        <v>Green</v>
      </c>
      <c r="AC158" t="str">
        <f t="shared" si="62"/>
        <v>Red</v>
      </c>
      <c r="AD158" t="str">
        <f t="shared" si="63"/>
        <v>Green</v>
      </c>
    </row>
    <row r="159" spans="1:30" x14ac:dyDescent="0.2">
      <c r="A159" t="str">
        <f t="shared" si="46"/>
        <v>21/07/2026Merthyr TownBriton Ferry</v>
      </c>
      <c r="D159" s="2">
        <v>46224</v>
      </c>
      <c r="E159" s="3">
        <v>0.77083333333333337</v>
      </c>
      <c r="F159" t="s">
        <v>1502</v>
      </c>
      <c r="G159" t="s">
        <v>1503</v>
      </c>
      <c r="H159">
        <v>2</v>
      </c>
      <c r="I159">
        <v>0</v>
      </c>
      <c r="J159">
        <v>3</v>
      </c>
      <c r="K159">
        <v>0</v>
      </c>
      <c r="L159" s="22" t="str">
        <f t="shared" ref="L159:L190" si="64">DAY(D159)&amp;"/"&amp;"07"&amp;"/"&amp;YEAR(D159)</f>
        <v>21/07/2026</v>
      </c>
      <c r="M159" s="23">
        <f t="shared" ref="M159:M190" si="65">E159-TIME(3,0,0)</f>
        <v>0.64583333333333337</v>
      </c>
      <c r="N159" t="str">
        <f t="shared" si="47"/>
        <v>3 - 0</v>
      </c>
      <c r="O159" t="str">
        <f t="shared" si="48"/>
        <v>Green</v>
      </c>
      <c r="P159" t="str">
        <f t="shared" si="49"/>
        <v>Red</v>
      </c>
      <c r="Q159" t="str">
        <f t="shared" si="50"/>
        <v>Red</v>
      </c>
      <c r="R159" t="str">
        <f t="shared" si="51"/>
        <v>Green</v>
      </c>
      <c r="S159" t="str">
        <f t="shared" si="52"/>
        <v>Red</v>
      </c>
      <c r="T159" t="str">
        <f t="shared" si="53"/>
        <v>Green</v>
      </c>
      <c r="U159" t="str">
        <f t="shared" si="54"/>
        <v>Green</v>
      </c>
      <c r="V159" t="str">
        <f t="shared" si="55"/>
        <v>Red</v>
      </c>
      <c r="W159" t="str">
        <f t="shared" si="56"/>
        <v>Red</v>
      </c>
      <c r="X159" t="str">
        <f t="shared" si="57"/>
        <v>Green</v>
      </c>
      <c r="Y159" t="str">
        <f t="shared" si="58"/>
        <v>Green</v>
      </c>
      <c r="Z159" t="str">
        <f t="shared" si="59"/>
        <v>Green</v>
      </c>
      <c r="AA159" t="str">
        <f t="shared" si="60"/>
        <v>Red</v>
      </c>
      <c r="AB159" t="str">
        <f t="shared" si="61"/>
        <v>Green</v>
      </c>
      <c r="AC159" t="str">
        <f t="shared" si="62"/>
        <v>Red</v>
      </c>
      <c r="AD159" t="str">
        <f t="shared" si="63"/>
        <v>Green</v>
      </c>
    </row>
    <row r="160" spans="1:30" x14ac:dyDescent="0.2">
      <c r="A160" t="str">
        <f t="shared" si="46"/>
        <v>21/07/2026Northallerton TownWhitby Town</v>
      </c>
      <c r="D160" s="2">
        <v>46224</v>
      </c>
      <c r="E160" s="3">
        <v>0.77083333333333337</v>
      </c>
      <c r="F160" t="s">
        <v>1504</v>
      </c>
      <c r="G160" t="s">
        <v>1505</v>
      </c>
      <c r="H160">
        <v>2</v>
      </c>
      <c r="I160">
        <v>0</v>
      </c>
      <c r="J160">
        <v>2</v>
      </c>
      <c r="K160">
        <v>1</v>
      </c>
      <c r="L160" s="22" t="str">
        <f t="shared" si="64"/>
        <v>21/07/2026</v>
      </c>
      <c r="M160" s="23">
        <f t="shared" si="65"/>
        <v>0.64583333333333337</v>
      </c>
      <c r="N160" t="str">
        <f t="shared" si="47"/>
        <v>2 - 1</v>
      </c>
      <c r="O160" t="str">
        <f t="shared" si="48"/>
        <v>Green</v>
      </c>
      <c r="P160" t="str">
        <f t="shared" si="49"/>
        <v>Red</v>
      </c>
      <c r="Q160" t="str">
        <f t="shared" si="50"/>
        <v>Red</v>
      </c>
      <c r="R160" t="str">
        <f t="shared" si="51"/>
        <v>Green</v>
      </c>
      <c r="S160" t="str">
        <f t="shared" si="52"/>
        <v>Red</v>
      </c>
      <c r="T160" t="str">
        <f t="shared" si="53"/>
        <v>Green</v>
      </c>
      <c r="U160" t="str">
        <f t="shared" si="54"/>
        <v>Green</v>
      </c>
      <c r="V160" t="str">
        <f t="shared" si="55"/>
        <v>Red</v>
      </c>
      <c r="W160" t="str">
        <f t="shared" si="56"/>
        <v>Red</v>
      </c>
      <c r="X160" t="str">
        <f t="shared" si="57"/>
        <v>Green</v>
      </c>
      <c r="Y160" t="str">
        <f t="shared" si="58"/>
        <v>Green</v>
      </c>
      <c r="Z160" t="str">
        <f t="shared" si="59"/>
        <v>Green</v>
      </c>
      <c r="AA160" t="str">
        <f t="shared" si="60"/>
        <v>Red</v>
      </c>
      <c r="AB160" t="str">
        <f t="shared" si="61"/>
        <v>Green</v>
      </c>
      <c r="AC160" t="str">
        <f t="shared" si="62"/>
        <v>Green</v>
      </c>
      <c r="AD160" t="str">
        <f t="shared" si="63"/>
        <v>Red</v>
      </c>
    </row>
    <row r="161" spans="1:30" x14ac:dyDescent="0.2">
      <c r="A161" t="str">
        <f t="shared" si="46"/>
        <v>21/07/2026Prescot CablesMarine</v>
      </c>
      <c r="D161" s="2">
        <v>46224</v>
      </c>
      <c r="E161" s="3">
        <v>0.77083333333333337</v>
      </c>
      <c r="F161" t="s">
        <v>1506</v>
      </c>
      <c r="G161" t="s">
        <v>1507</v>
      </c>
      <c r="H161">
        <v>0</v>
      </c>
      <c r="I161">
        <v>0</v>
      </c>
      <c r="J161">
        <v>0</v>
      </c>
      <c r="K161">
        <v>1</v>
      </c>
      <c r="L161" s="22" t="str">
        <f t="shared" si="64"/>
        <v>21/07/2026</v>
      </c>
      <c r="M161" s="23">
        <f t="shared" si="65"/>
        <v>0.64583333333333337</v>
      </c>
      <c r="N161" t="str">
        <f t="shared" si="47"/>
        <v>0 - 1</v>
      </c>
      <c r="O161" t="str">
        <f t="shared" si="48"/>
        <v>Red</v>
      </c>
      <c r="P161" t="str">
        <f t="shared" si="49"/>
        <v>Red</v>
      </c>
      <c r="Q161" t="str">
        <f t="shared" si="50"/>
        <v>Green</v>
      </c>
      <c r="R161" t="str">
        <f t="shared" si="51"/>
        <v>Red</v>
      </c>
      <c r="S161" t="str">
        <f t="shared" si="52"/>
        <v>Green</v>
      </c>
      <c r="T161" t="str">
        <f t="shared" si="53"/>
        <v>Green</v>
      </c>
      <c r="U161" t="str">
        <f t="shared" si="54"/>
        <v>Red</v>
      </c>
      <c r="V161" t="str">
        <f t="shared" si="55"/>
        <v>Green</v>
      </c>
      <c r="W161" t="str">
        <f t="shared" si="56"/>
        <v>Red</v>
      </c>
      <c r="X161" t="str">
        <f t="shared" si="57"/>
        <v>Red</v>
      </c>
      <c r="Y161" t="str">
        <f t="shared" si="58"/>
        <v>Red</v>
      </c>
      <c r="Z161" t="str">
        <f t="shared" si="59"/>
        <v>Red</v>
      </c>
      <c r="AA161" t="str">
        <f t="shared" si="60"/>
        <v>Green</v>
      </c>
      <c r="AB161" t="str">
        <f t="shared" si="61"/>
        <v>Green</v>
      </c>
      <c r="AC161" t="str">
        <f t="shared" si="62"/>
        <v>Red</v>
      </c>
      <c r="AD161" t="str">
        <f t="shared" si="63"/>
        <v>Green</v>
      </c>
    </row>
    <row r="162" spans="1:30" x14ac:dyDescent="0.2">
      <c r="A162" t="str">
        <f t="shared" si="46"/>
        <v>21/07/2026Radcliffe BoroughBarrow AFC</v>
      </c>
      <c r="D162" s="2">
        <v>46224</v>
      </c>
      <c r="E162" s="3">
        <v>0.77083333333333337</v>
      </c>
      <c r="F162" t="s">
        <v>1508</v>
      </c>
      <c r="G162" t="s">
        <v>1509</v>
      </c>
      <c r="H162">
        <v>0</v>
      </c>
      <c r="I162">
        <v>0</v>
      </c>
      <c r="J162">
        <v>0</v>
      </c>
      <c r="K162">
        <v>0</v>
      </c>
      <c r="L162" s="22" t="str">
        <f t="shared" si="64"/>
        <v>21/07/2026</v>
      </c>
      <c r="M162" s="23">
        <f t="shared" si="65"/>
        <v>0.64583333333333337</v>
      </c>
      <c r="N162" t="str">
        <f t="shared" si="47"/>
        <v>0 - 0</v>
      </c>
      <c r="O162" t="str">
        <f t="shared" si="48"/>
        <v>Red</v>
      </c>
      <c r="P162" t="str">
        <f t="shared" si="49"/>
        <v>Green</v>
      </c>
      <c r="Q162" t="str">
        <f t="shared" si="50"/>
        <v>Red</v>
      </c>
      <c r="R162" t="str">
        <f t="shared" si="51"/>
        <v>Green</v>
      </c>
      <c r="S162" t="str">
        <f t="shared" si="52"/>
        <v>Green</v>
      </c>
      <c r="T162" t="str">
        <f t="shared" si="53"/>
        <v>Red</v>
      </c>
      <c r="U162" t="str">
        <f t="shared" si="54"/>
        <v>Red</v>
      </c>
      <c r="V162" t="str">
        <f t="shared" si="55"/>
        <v>Green</v>
      </c>
      <c r="W162" t="str">
        <f t="shared" si="56"/>
        <v>Red</v>
      </c>
      <c r="X162" t="str">
        <f t="shared" si="57"/>
        <v>Red</v>
      </c>
      <c r="Y162" t="str">
        <f t="shared" si="58"/>
        <v>Red</v>
      </c>
      <c r="Z162" t="str">
        <f t="shared" si="59"/>
        <v>Red</v>
      </c>
      <c r="AA162" t="str">
        <f t="shared" si="60"/>
        <v>Green</v>
      </c>
      <c r="AB162" t="str">
        <f t="shared" si="61"/>
        <v>Green</v>
      </c>
      <c r="AC162" t="str">
        <f t="shared" si="62"/>
        <v>Red</v>
      </c>
      <c r="AD162" t="str">
        <f t="shared" si="63"/>
        <v>Green</v>
      </c>
    </row>
    <row r="163" spans="1:30" x14ac:dyDescent="0.2">
      <c r="A163" t="str">
        <f t="shared" si="46"/>
        <v>21/07/2026Shrewsbury TownEverton U21</v>
      </c>
      <c r="D163" s="2">
        <v>46224</v>
      </c>
      <c r="E163" s="3">
        <v>0.77083333333333337</v>
      </c>
      <c r="F163" t="s">
        <v>1510</v>
      </c>
      <c r="G163" t="s">
        <v>1511</v>
      </c>
      <c r="H163">
        <v>0</v>
      </c>
      <c r="I163">
        <v>0</v>
      </c>
      <c r="J163">
        <v>1</v>
      </c>
      <c r="K163">
        <v>0</v>
      </c>
      <c r="L163" s="22" t="str">
        <f t="shared" si="64"/>
        <v>21/07/2026</v>
      </c>
      <c r="M163" s="23">
        <f t="shared" si="65"/>
        <v>0.64583333333333337</v>
      </c>
      <c r="N163" t="str">
        <f t="shared" si="47"/>
        <v>1 - 0</v>
      </c>
      <c r="O163" t="str">
        <f t="shared" si="48"/>
        <v>Green</v>
      </c>
      <c r="P163" t="str">
        <f t="shared" si="49"/>
        <v>Red</v>
      </c>
      <c r="Q163" t="str">
        <f t="shared" si="50"/>
        <v>Red</v>
      </c>
      <c r="R163" t="str">
        <f t="shared" si="51"/>
        <v>Green</v>
      </c>
      <c r="S163" t="str">
        <f t="shared" si="52"/>
        <v>Red</v>
      </c>
      <c r="T163" t="str">
        <f t="shared" si="53"/>
        <v>Green</v>
      </c>
      <c r="U163" t="str">
        <f t="shared" si="54"/>
        <v>Red</v>
      </c>
      <c r="V163" t="str">
        <f t="shared" si="55"/>
        <v>Green</v>
      </c>
      <c r="W163" t="str">
        <f t="shared" si="56"/>
        <v>Red</v>
      </c>
      <c r="X163" t="str">
        <f t="shared" si="57"/>
        <v>Red</v>
      </c>
      <c r="Y163" t="str">
        <f t="shared" si="58"/>
        <v>Red</v>
      </c>
      <c r="Z163" t="str">
        <f t="shared" si="59"/>
        <v>Red</v>
      </c>
      <c r="AA163" t="str">
        <f t="shared" si="60"/>
        <v>Green</v>
      </c>
      <c r="AB163" t="str">
        <f t="shared" si="61"/>
        <v>Green</v>
      </c>
      <c r="AC163" t="str">
        <f t="shared" si="62"/>
        <v>Red</v>
      </c>
      <c r="AD163" t="str">
        <f t="shared" si="63"/>
        <v>Green</v>
      </c>
    </row>
    <row r="164" spans="1:30" x14ac:dyDescent="0.2">
      <c r="A164" t="str">
        <f t="shared" si="46"/>
        <v>21/07/2026South ShieldsHarrogate Town</v>
      </c>
      <c r="D164" s="2">
        <v>46224</v>
      </c>
      <c r="E164" s="3">
        <v>0.77083333333333337</v>
      </c>
      <c r="F164" t="s">
        <v>1512</v>
      </c>
      <c r="G164" t="s">
        <v>1513</v>
      </c>
      <c r="H164">
        <v>0</v>
      </c>
      <c r="I164">
        <v>0</v>
      </c>
      <c r="J164">
        <v>1</v>
      </c>
      <c r="K164">
        <v>2</v>
      </c>
      <c r="L164" s="22" t="str">
        <f t="shared" si="64"/>
        <v>21/07/2026</v>
      </c>
      <c r="M164" s="23">
        <f t="shared" si="65"/>
        <v>0.64583333333333337</v>
      </c>
      <c r="N164" t="str">
        <f t="shared" si="47"/>
        <v>1 - 2</v>
      </c>
      <c r="O164" t="str">
        <f t="shared" si="48"/>
        <v>Red</v>
      </c>
      <c r="P164" t="str">
        <f t="shared" si="49"/>
        <v>Red</v>
      </c>
      <c r="Q164" t="str">
        <f t="shared" si="50"/>
        <v>Green</v>
      </c>
      <c r="R164" t="str">
        <f t="shared" si="51"/>
        <v>Red</v>
      </c>
      <c r="S164" t="str">
        <f t="shared" si="52"/>
        <v>Green</v>
      </c>
      <c r="T164" t="str">
        <f t="shared" si="53"/>
        <v>Green</v>
      </c>
      <c r="U164" t="str">
        <f t="shared" si="54"/>
        <v>Red</v>
      </c>
      <c r="V164" t="str">
        <f t="shared" si="55"/>
        <v>Green</v>
      </c>
      <c r="W164" t="str">
        <f t="shared" si="56"/>
        <v>Red</v>
      </c>
      <c r="X164" t="str">
        <f t="shared" si="57"/>
        <v>Red</v>
      </c>
      <c r="Y164" t="str">
        <f t="shared" si="58"/>
        <v>Green</v>
      </c>
      <c r="Z164" t="str">
        <f t="shared" si="59"/>
        <v>Green</v>
      </c>
      <c r="AA164" t="str">
        <f t="shared" si="60"/>
        <v>Red</v>
      </c>
      <c r="AB164" t="str">
        <f t="shared" si="61"/>
        <v>Green</v>
      </c>
      <c r="AC164" t="str">
        <f t="shared" si="62"/>
        <v>Green</v>
      </c>
      <c r="AD164" t="str">
        <f t="shared" si="63"/>
        <v>Red</v>
      </c>
    </row>
    <row r="165" spans="1:30" x14ac:dyDescent="0.2">
      <c r="A165" t="str">
        <f t="shared" si="46"/>
        <v>21/07/2026Taunton TownWeston Super Mare</v>
      </c>
      <c r="D165" s="2">
        <v>46224</v>
      </c>
      <c r="E165" s="3">
        <v>0.77083333333333337</v>
      </c>
      <c r="F165" t="s">
        <v>1514</v>
      </c>
      <c r="G165" t="s">
        <v>1515</v>
      </c>
      <c r="H165">
        <v>0</v>
      </c>
      <c r="I165">
        <v>3</v>
      </c>
      <c r="J165">
        <v>0</v>
      </c>
      <c r="K165">
        <v>4</v>
      </c>
      <c r="L165" s="22" t="str">
        <f t="shared" si="64"/>
        <v>21/07/2026</v>
      </c>
      <c r="M165" s="23">
        <f t="shared" si="65"/>
        <v>0.64583333333333337</v>
      </c>
      <c r="N165" t="str">
        <f t="shared" si="47"/>
        <v>0 - 4</v>
      </c>
      <c r="O165" t="str">
        <f t="shared" si="48"/>
        <v>Red</v>
      </c>
      <c r="P165" t="str">
        <f t="shared" si="49"/>
        <v>Red</v>
      </c>
      <c r="Q165" t="str">
        <f t="shared" si="50"/>
        <v>Green</v>
      </c>
      <c r="R165" t="str">
        <f t="shared" si="51"/>
        <v>Red</v>
      </c>
      <c r="S165" t="str">
        <f t="shared" si="52"/>
        <v>Green</v>
      </c>
      <c r="T165" t="str">
        <f t="shared" si="53"/>
        <v>Green</v>
      </c>
      <c r="U165" t="str">
        <f t="shared" si="54"/>
        <v>Red</v>
      </c>
      <c r="V165" t="str">
        <f t="shared" si="55"/>
        <v>Red</v>
      </c>
      <c r="W165" t="str">
        <f t="shared" si="56"/>
        <v>Green</v>
      </c>
      <c r="X165" t="str">
        <f t="shared" si="57"/>
        <v>Green</v>
      </c>
      <c r="Y165" t="str">
        <f t="shared" si="58"/>
        <v>Green</v>
      </c>
      <c r="Z165" t="str">
        <f t="shared" si="59"/>
        <v>Green</v>
      </c>
      <c r="AA165" t="str">
        <f t="shared" si="60"/>
        <v>Red</v>
      </c>
      <c r="AB165" t="str">
        <f t="shared" si="61"/>
        <v>Red</v>
      </c>
      <c r="AC165" t="str">
        <f t="shared" si="62"/>
        <v>Red</v>
      </c>
      <c r="AD165" t="str">
        <f t="shared" si="63"/>
        <v>Green</v>
      </c>
    </row>
    <row r="166" spans="1:30" x14ac:dyDescent="0.2">
      <c r="A166" t="str">
        <f t="shared" si="46"/>
        <v>21/07/2026Telford UnitedCrewe Alexandra</v>
      </c>
      <c r="D166" s="2">
        <v>46224</v>
      </c>
      <c r="E166" s="3">
        <v>0.77083333333333337</v>
      </c>
      <c r="F166" t="s">
        <v>1516</v>
      </c>
      <c r="G166" t="s">
        <v>1517</v>
      </c>
      <c r="H166">
        <v>0</v>
      </c>
      <c r="I166">
        <v>1</v>
      </c>
      <c r="J166">
        <v>0</v>
      </c>
      <c r="K166">
        <v>3</v>
      </c>
      <c r="L166" s="22" t="str">
        <f t="shared" si="64"/>
        <v>21/07/2026</v>
      </c>
      <c r="M166" s="23">
        <f t="shared" si="65"/>
        <v>0.64583333333333337</v>
      </c>
      <c r="N166" t="str">
        <f t="shared" si="47"/>
        <v>0 - 3</v>
      </c>
      <c r="O166" t="str">
        <f t="shared" si="48"/>
        <v>Red</v>
      </c>
      <c r="P166" t="str">
        <f t="shared" si="49"/>
        <v>Red</v>
      </c>
      <c r="Q166" t="str">
        <f t="shared" si="50"/>
        <v>Green</v>
      </c>
      <c r="R166" t="str">
        <f t="shared" si="51"/>
        <v>Red</v>
      </c>
      <c r="S166" t="str">
        <f t="shared" si="52"/>
        <v>Green</v>
      </c>
      <c r="T166" t="str">
        <f t="shared" si="53"/>
        <v>Green</v>
      </c>
      <c r="U166" t="str">
        <f t="shared" si="54"/>
        <v>Red</v>
      </c>
      <c r="V166" t="str">
        <f t="shared" si="55"/>
        <v>Red</v>
      </c>
      <c r="W166" t="str">
        <f t="shared" si="56"/>
        <v>Green</v>
      </c>
      <c r="X166" t="str">
        <f t="shared" si="57"/>
        <v>Green</v>
      </c>
      <c r="Y166" t="str">
        <f t="shared" si="58"/>
        <v>Green</v>
      </c>
      <c r="Z166" t="str">
        <f t="shared" si="59"/>
        <v>Green</v>
      </c>
      <c r="AA166" t="str">
        <f t="shared" si="60"/>
        <v>Red</v>
      </c>
      <c r="AB166" t="str">
        <f t="shared" si="61"/>
        <v>Green</v>
      </c>
      <c r="AC166" t="str">
        <f t="shared" si="62"/>
        <v>Red</v>
      </c>
      <c r="AD166" t="str">
        <f t="shared" si="63"/>
        <v>Green</v>
      </c>
    </row>
    <row r="167" spans="1:30" x14ac:dyDescent="0.2">
      <c r="A167" t="str">
        <f t="shared" si="46"/>
        <v>21/07/2026Torquay UnitedPlymouth Argyle</v>
      </c>
      <c r="D167" s="2">
        <v>46224</v>
      </c>
      <c r="E167" s="3">
        <v>0.77083333333333337</v>
      </c>
      <c r="F167" t="s">
        <v>1518</v>
      </c>
      <c r="G167" t="s">
        <v>1519</v>
      </c>
      <c r="H167">
        <v>0</v>
      </c>
      <c r="I167">
        <v>1</v>
      </c>
      <c r="J167">
        <v>0</v>
      </c>
      <c r="K167">
        <v>1</v>
      </c>
      <c r="L167" s="22" t="str">
        <f t="shared" si="64"/>
        <v>21/07/2026</v>
      </c>
      <c r="M167" s="23">
        <f t="shared" si="65"/>
        <v>0.64583333333333337</v>
      </c>
      <c r="N167" t="str">
        <f t="shared" si="47"/>
        <v>0 - 1</v>
      </c>
      <c r="O167" t="str">
        <f t="shared" si="48"/>
        <v>Red</v>
      </c>
      <c r="P167" t="str">
        <f t="shared" si="49"/>
        <v>Red</v>
      </c>
      <c r="Q167" t="str">
        <f t="shared" si="50"/>
        <v>Green</v>
      </c>
      <c r="R167" t="str">
        <f t="shared" si="51"/>
        <v>Red</v>
      </c>
      <c r="S167" t="str">
        <f t="shared" si="52"/>
        <v>Green</v>
      </c>
      <c r="T167" t="str">
        <f t="shared" si="53"/>
        <v>Green</v>
      </c>
      <c r="U167" t="str">
        <f t="shared" si="54"/>
        <v>Red</v>
      </c>
      <c r="V167" t="str">
        <f t="shared" si="55"/>
        <v>Red</v>
      </c>
      <c r="W167" t="str">
        <f t="shared" si="56"/>
        <v>Green</v>
      </c>
      <c r="X167" t="str">
        <f t="shared" si="57"/>
        <v>Green</v>
      </c>
      <c r="Y167" t="str">
        <f t="shared" si="58"/>
        <v>Red</v>
      </c>
      <c r="Z167" t="str">
        <f t="shared" si="59"/>
        <v>Red</v>
      </c>
      <c r="AA167" t="str">
        <f t="shared" si="60"/>
        <v>Green</v>
      </c>
      <c r="AB167" t="str">
        <f t="shared" si="61"/>
        <v>Green</v>
      </c>
      <c r="AC167" t="str">
        <f t="shared" si="62"/>
        <v>Red</v>
      </c>
      <c r="AD167" t="str">
        <f t="shared" si="63"/>
        <v>Green</v>
      </c>
    </row>
    <row r="168" spans="1:30" x14ac:dyDescent="0.2">
      <c r="A168" t="str">
        <f t="shared" si="46"/>
        <v>21/07/2026WalsallAston Villa</v>
      </c>
      <c r="D168" s="2">
        <v>46224</v>
      </c>
      <c r="E168" s="3">
        <v>0.77083333333333337</v>
      </c>
      <c r="F168" t="s">
        <v>1482</v>
      </c>
      <c r="G168" t="s">
        <v>1520</v>
      </c>
      <c r="H168">
        <v>0</v>
      </c>
      <c r="I168">
        <v>3</v>
      </c>
      <c r="J168">
        <v>0</v>
      </c>
      <c r="K168">
        <v>5</v>
      </c>
      <c r="L168" s="22" t="str">
        <f t="shared" si="64"/>
        <v>21/07/2026</v>
      </c>
      <c r="M168" s="23">
        <f t="shared" si="65"/>
        <v>0.64583333333333337</v>
      </c>
      <c r="N168" t="str">
        <f t="shared" si="47"/>
        <v>0 - 5</v>
      </c>
      <c r="O168" t="str">
        <f t="shared" si="48"/>
        <v>Red</v>
      </c>
      <c r="P168" t="str">
        <f t="shared" si="49"/>
        <v>Red</v>
      </c>
      <c r="Q168" t="str">
        <f t="shared" si="50"/>
        <v>Green</v>
      </c>
      <c r="R168" t="str">
        <f t="shared" si="51"/>
        <v>Red</v>
      </c>
      <c r="S168" t="str">
        <f t="shared" si="52"/>
        <v>Green</v>
      </c>
      <c r="T168" t="str">
        <f t="shared" si="53"/>
        <v>Green</v>
      </c>
      <c r="U168" t="str">
        <f t="shared" si="54"/>
        <v>Red</v>
      </c>
      <c r="V168" t="str">
        <f t="shared" si="55"/>
        <v>Red</v>
      </c>
      <c r="W168" t="str">
        <f t="shared" si="56"/>
        <v>Green</v>
      </c>
      <c r="X168" t="str">
        <f t="shared" si="57"/>
        <v>Green</v>
      </c>
      <c r="Y168" t="str">
        <f t="shared" si="58"/>
        <v>Green</v>
      </c>
      <c r="Z168" t="str">
        <f t="shared" si="59"/>
        <v>Green</v>
      </c>
      <c r="AA168" t="str">
        <f t="shared" si="60"/>
        <v>Red</v>
      </c>
      <c r="AB168" t="str">
        <f t="shared" si="61"/>
        <v>Red</v>
      </c>
      <c r="AC168" t="str">
        <f t="shared" si="62"/>
        <v>Red</v>
      </c>
      <c r="AD168" t="str">
        <f t="shared" si="63"/>
        <v>Green</v>
      </c>
    </row>
    <row r="169" spans="1:30" x14ac:dyDescent="0.2">
      <c r="A169" t="str">
        <f t="shared" si="46"/>
        <v>21/07/2026KI KlaksvikKauno Zalgiris</v>
      </c>
      <c r="B169" t="s">
        <v>802</v>
      </c>
      <c r="C169" t="s">
        <v>803</v>
      </c>
      <c r="D169" s="2">
        <v>46224</v>
      </c>
      <c r="E169" s="3">
        <v>0.78125</v>
      </c>
      <c r="F169" t="s">
        <v>368</v>
      </c>
      <c r="G169" t="s">
        <v>369</v>
      </c>
      <c r="H169">
        <v>0</v>
      </c>
      <c r="I169">
        <v>0</v>
      </c>
      <c r="J169">
        <v>0</v>
      </c>
      <c r="K169">
        <v>0</v>
      </c>
      <c r="L169" s="22" t="str">
        <f t="shared" si="64"/>
        <v>21/07/2026</v>
      </c>
      <c r="M169" s="23">
        <f t="shared" si="65"/>
        <v>0.65625</v>
      </c>
      <c r="N169" t="str">
        <f t="shared" si="47"/>
        <v>0 - 0</v>
      </c>
      <c r="O169" t="str">
        <f t="shared" si="48"/>
        <v>Red</v>
      </c>
      <c r="P169" t="str">
        <f t="shared" si="49"/>
        <v>Green</v>
      </c>
      <c r="Q169" t="str">
        <f t="shared" si="50"/>
        <v>Red</v>
      </c>
      <c r="R169" t="str">
        <f t="shared" si="51"/>
        <v>Green</v>
      </c>
      <c r="S169" t="str">
        <f t="shared" si="52"/>
        <v>Green</v>
      </c>
      <c r="T169" t="str">
        <f t="shared" si="53"/>
        <v>Red</v>
      </c>
      <c r="U169" t="str">
        <f t="shared" si="54"/>
        <v>Red</v>
      </c>
      <c r="V169" t="str">
        <f t="shared" si="55"/>
        <v>Green</v>
      </c>
      <c r="W169" t="str">
        <f t="shared" si="56"/>
        <v>Red</v>
      </c>
      <c r="X169" t="str">
        <f t="shared" si="57"/>
        <v>Red</v>
      </c>
      <c r="Y169" t="str">
        <f t="shared" si="58"/>
        <v>Red</v>
      </c>
      <c r="Z169" t="str">
        <f t="shared" si="59"/>
        <v>Red</v>
      </c>
      <c r="AA169" t="str">
        <f t="shared" si="60"/>
        <v>Green</v>
      </c>
      <c r="AB169" t="str">
        <f t="shared" si="61"/>
        <v>Green</v>
      </c>
      <c r="AC169" t="str">
        <f t="shared" si="62"/>
        <v>Red</v>
      </c>
      <c r="AD169" t="str">
        <f t="shared" si="63"/>
        <v>Green</v>
      </c>
    </row>
    <row r="170" spans="1:30" x14ac:dyDescent="0.2">
      <c r="A170" t="str">
        <f t="shared" si="46"/>
        <v>21/07/2026Alloa AthleticFalkirk</v>
      </c>
      <c r="D170" s="2">
        <v>46224</v>
      </c>
      <c r="E170" s="3">
        <v>0.78125</v>
      </c>
      <c r="F170" t="s">
        <v>1384</v>
      </c>
      <c r="G170" t="s">
        <v>1385</v>
      </c>
      <c r="H170">
        <v>0</v>
      </c>
      <c r="I170">
        <v>1</v>
      </c>
      <c r="J170">
        <v>1</v>
      </c>
      <c r="K170">
        <v>1</v>
      </c>
      <c r="L170" s="22" t="str">
        <f t="shared" si="64"/>
        <v>21/07/2026</v>
      </c>
      <c r="M170" s="23">
        <f t="shared" si="65"/>
        <v>0.65625</v>
      </c>
      <c r="N170" t="str">
        <f t="shared" si="47"/>
        <v>1 - 1</v>
      </c>
      <c r="O170" t="str">
        <f t="shared" si="48"/>
        <v>Red</v>
      </c>
      <c r="P170" t="str">
        <f t="shared" si="49"/>
        <v>Green</v>
      </c>
      <c r="Q170" t="str">
        <f t="shared" si="50"/>
        <v>Red</v>
      </c>
      <c r="R170" t="str">
        <f t="shared" si="51"/>
        <v>Green</v>
      </c>
      <c r="S170" t="str">
        <f t="shared" si="52"/>
        <v>Green</v>
      </c>
      <c r="T170" t="str">
        <f t="shared" si="53"/>
        <v>Red</v>
      </c>
      <c r="U170" t="str">
        <f t="shared" si="54"/>
        <v>Red</v>
      </c>
      <c r="V170" t="str">
        <f t="shared" si="55"/>
        <v>Red</v>
      </c>
      <c r="W170" t="str">
        <f t="shared" si="56"/>
        <v>Green</v>
      </c>
      <c r="X170" t="str">
        <f t="shared" si="57"/>
        <v>Green</v>
      </c>
      <c r="Y170" t="str">
        <f t="shared" si="58"/>
        <v>Green</v>
      </c>
      <c r="Z170" t="str">
        <f t="shared" si="59"/>
        <v>Red</v>
      </c>
      <c r="AA170" t="str">
        <f t="shared" si="60"/>
        <v>Green</v>
      </c>
      <c r="AB170" t="str">
        <f t="shared" si="61"/>
        <v>Green</v>
      </c>
      <c r="AC170" t="str">
        <f t="shared" si="62"/>
        <v>Green</v>
      </c>
      <c r="AD170" t="str">
        <f t="shared" si="63"/>
        <v>Red</v>
      </c>
    </row>
    <row r="171" spans="1:30" x14ac:dyDescent="0.2">
      <c r="A171" t="str">
        <f t="shared" si="46"/>
        <v>21/07/2026ArbroathMontrose</v>
      </c>
      <c r="D171" s="2">
        <v>46224</v>
      </c>
      <c r="E171" s="3">
        <v>0.78125</v>
      </c>
      <c r="F171" t="s">
        <v>1386</v>
      </c>
      <c r="G171" t="s">
        <v>1387</v>
      </c>
      <c r="H171">
        <v>0</v>
      </c>
      <c r="I171">
        <v>2</v>
      </c>
      <c r="J171">
        <v>0</v>
      </c>
      <c r="K171">
        <v>2</v>
      </c>
      <c r="L171" s="22" t="str">
        <f t="shared" si="64"/>
        <v>21/07/2026</v>
      </c>
      <c r="M171" s="23">
        <f t="shared" si="65"/>
        <v>0.65625</v>
      </c>
      <c r="N171" t="str">
        <f t="shared" si="47"/>
        <v>0 - 2</v>
      </c>
      <c r="O171" t="str">
        <f t="shared" si="48"/>
        <v>Red</v>
      </c>
      <c r="P171" t="str">
        <f t="shared" si="49"/>
        <v>Red</v>
      </c>
      <c r="Q171" t="str">
        <f t="shared" si="50"/>
        <v>Green</v>
      </c>
      <c r="R171" t="str">
        <f t="shared" si="51"/>
        <v>Red</v>
      </c>
      <c r="S171" t="str">
        <f t="shared" si="52"/>
        <v>Green</v>
      </c>
      <c r="T171" t="str">
        <f t="shared" si="53"/>
        <v>Green</v>
      </c>
      <c r="U171" t="str">
        <f t="shared" si="54"/>
        <v>Red</v>
      </c>
      <c r="V171" t="str">
        <f t="shared" si="55"/>
        <v>Red</v>
      </c>
      <c r="W171" t="str">
        <f t="shared" si="56"/>
        <v>Green</v>
      </c>
      <c r="X171" t="str">
        <f t="shared" si="57"/>
        <v>Green</v>
      </c>
      <c r="Y171" t="str">
        <f t="shared" si="58"/>
        <v>Green</v>
      </c>
      <c r="Z171" t="str">
        <f t="shared" si="59"/>
        <v>Red</v>
      </c>
      <c r="AA171" t="str">
        <f t="shared" si="60"/>
        <v>Green</v>
      </c>
      <c r="AB171" t="str">
        <f t="shared" si="61"/>
        <v>Green</v>
      </c>
      <c r="AC171" t="str">
        <f t="shared" si="62"/>
        <v>Red</v>
      </c>
      <c r="AD171" t="str">
        <f t="shared" si="63"/>
        <v>Green</v>
      </c>
    </row>
    <row r="172" spans="1:30" x14ac:dyDescent="0.2">
      <c r="A172" t="str">
        <f t="shared" si="46"/>
        <v>21/07/2026ClydeAnnan Athletic</v>
      </c>
      <c r="D172" s="2">
        <v>46224</v>
      </c>
      <c r="E172" s="3">
        <v>0.78125</v>
      </c>
      <c r="F172" t="s">
        <v>1388</v>
      </c>
      <c r="G172" t="s">
        <v>1389</v>
      </c>
      <c r="H172">
        <v>4</v>
      </c>
      <c r="I172">
        <v>1</v>
      </c>
      <c r="J172">
        <v>4</v>
      </c>
      <c r="K172">
        <v>1</v>
      </c>
      <c r="L172" s="22" t="str">
        <f t="shared" si="64"/>
        <v>21/07/2026</v>
      </c>
      <c r="M172" s="23">
        <f t="shared" si="65"/>
        <v>0.65625</v>
      </c>
      <c r="N172" t="str">
        <f t="shared" si="47"/>
        <v>4 - 1</v>
      </c>
      <c r="O172" t="str">
        <f t="shared" si="48"/>
        <v>Green</v>
      </c>
      <c r="P172" t="str">
        <f t="shared" si="49"/>
        <v>Red</v>
      </c>
      <c r="Q172" t="str">
        <f t="shared" si="50"/>
        <v>Red</v>
      </c>
      <c r="R172" t="str">
        <f t="shared" si="51"/>
        <v>Green</v>
      </c>
      <c r="S172" t="str">
        <f t="shared" si="52"/>
        <v>Red</v>
      </c>
      <c r="T172" t="str">
        <f t="shared" si="53"/>
        <v>Green</v>
      </c>
      <c r="U172" t="str">
        <f t="shared" si="54"/>
        <v>Green</v>
      </c>
      <c r="V172" t="str">
        <f t="shared" si="55"/>
        <v>Red</v>
      </c>
      <c r="W172" t="str">
        <f t="shared" si="56"/>
        <v>Red</v>
      </c>
      <c r="X172" t="str">
        <f t="shared" si="57"/>
        <v>Green</v>
      </c>
      <c r="Y172" t="str">
        <f t="shared" si="58"/>
        <v>Green</v>
      </c>
      <c r="Z172" t="str">
        <f t="shared" si="59"/>
        <v>Green</v>
      </c>
      <c r="AA172" t="str">
        <f t="shared" si="60"/>
        <v>Red</v>
      </c>
      <c r="AB172" t="str">
        <f t="shared" si="61"/>
        <v>Red</v>
      </c>
      <c r="AC172" t="str">
        <f t="shared" si="62"/>
        <v>Green</v>
      </c>
      <c r="AD172" t="str">
        <f t="shared" si="63"/>
        <v>Red</v>
      </c>
    </row>
    <row r="173" spans="1:30" x14ac:dyDescent="0.2">
      <c r="A173" t="str">
        <f t="shared" si="46"/>
        <v>21/07/2026Dundee UnitedSpartans</v>
      </c>
      <c r="D173" s="2">
        <v>46224</v>
      </c>
      <c r="E173" s="3">
        <v>0.78125</v>
      </c>
      <c r="F173" t="s">
        <v>1390</v>
      </c>
      <c r="G173" t="s">
        <v>1391</v>
      </c>
      <c r="H173">
        <v>1</v>
      </c>
      <c r="I173">
        <v>0</v>
      </c>
      <c r="J173">
        <v>4</v>
      </c>
      <c r="K173">
        <v>0</v>
      </c>
      <c r="L173" s="22" t="str">
        <f t="shared" si="64"/>
        <v>21/07/2026</v>
      </c>
      <c r="M173" s="23">
        <f t="shared" si="65"/>
        <v>0.65625</v>
      </c>
      <c r="N173" t="str">
        <f t="shared" si="47"/>
        <v>4 - 0</v>
      </c>
      <c r="O173" t="str">
        <f t="shared" si="48"/>
        <v>Green</v>
      </c>
      <c r="P173" t="str">
        <f t="shared" si="49"/>
        <v>Red</v>
      </c>
      <c r="Q173" t="str">
        <f t="shared" si="50"/>
        <v>Red</v>
      </c>
      <c r="R173" t="str">
        <f t="shared" si="51"/>
        <v>Green</v>
      </c>
      <c r="S173" t="str">
        <f t="shared" si="52"/>
        <v>Red</v>
      </c>
      <c r="T173" t="str">
        <f t="shared" si="53"/>
        <v>Green</v>
      </c>
      <c r="U173" t="str">
        <f t="shared" si="54"/>
        <v>Green</v>
      </c>
      <c r="V173" t="str">
        <f t="shared" si="55"/>
        <v>Red</v>
      </c>
      <c r="W173" t="str">
        <f t="shared" si="56"/>
        <v>Red</v>
      </c>
      <c r="X173" t="str">
        <f t="shared" si="57"/>
        <v>Green</v>
      </c>
      <c r="Y173" t="str">
        <f t="shared" si="58"/>
        <v>Green</v>
      </c>
      <c r="Z173" t="str">
        <f t="shared" si="59"/>
        <v>Green</v>
      </c>
      <c r="AA173" t="str">
        <f t="shared" si="60"/>
        <v>Red</v>
      </c>
      <c r="AB173" t="str">
        <f t="shared" si="61"/>
        <v>Red</v>
      </c>
      <c r="AC173" t="str">
        <f t="shared" si="62"/>
        <v>Red</v>
      </c>
      <c r="AD173" t="str">
        <f t="shared" si="63"/>
        <v>Green</v>
      </c>
    </row>
    <row r="174" spans="1:30" x14ac:dyDescent="0.2">
      <c r="A174" t="str">
        <f t="shared" si="46"/>
        <v>21/07/2026Dunfermline AthleticCove Rangers</v>
      </c>
      <c r="D174" s="2">
        <v>46224</v>
      </c>
      <c r="E174" s="3">
        <v>0.78125</v>
      </c>
      <c r="F174" t="s">
        <v>1035</v>
      </c>
      <c r="G174" t="s">
        <v>1392</v>
      </c>
      <c r="H174">
        <v>3</v>
      </c>
      <c r="I174">
        <v>0</v>
      </c>
      <c r="J174">
        <v>5</v>
      </c>
      <c r="K174">
        <v>0</v>
      </c>
      <c r="L174" s="22" t="str">
        <f t="shared" si="64"/>
        <v>21/07/2026</v>
      </c>
      <c r="M174" s="23">
        <f t="shared" si="65"/>
        <v>0.65625</v>
      </c>
      <c r="N174" t="str">
        <f t="shared" si="47"/>
        <v>5 - 0</v>
      </c>
      <c r="O174" t="str">
        <f t="shared" si="48"/>
        <v>Green</v>
      </c>
      <c r="P174" t="str">
        <f t="shared" si="49"/>
        <v>Red</v>
      </c>
      <c r="Q174" t="str">
        <f t="shared" si="50"/>
        <v>Red</v>
      </c>
      <c r="R174" t="str">
        <f t="shared" si="51"/>
        <v>Green</v>
      </c>
      <c r="S174" t="str">
        <f t="shared" si="52"/>
        <v>Red</v>
      </c>
      <c r="T174" t="str">
        <f t="shared" si="53"/>
        <v>Green</v>
      </c>
      <c r="U174" t="str">
        <f t="shared" si="54"/>
        <v>Green</v>
      </c>
      <c r="V174" t="str">
        <f t="shared" si="55"/>
        <v>Red</v>
      </c>
      <c r="W174" t="str">
        <f t="shared" si="56"/>
        <v>Red</v>
      </c>
      <c r="X174" t="str">
        <f t="shared" si="57"/>
        <v>Green</v>
      </c>
      <c r="Y174" t="str">
        <f t="shared" si="58"/>
        <v>Green</v>
      </c>
      <c r="Z174" t="str">
        <f t="shared" si="59"/>
        <v>Green</v>
      </c>
      <c r="AA174" t="str">
        <f t="shared" si="60"/>
        <v>Red</v>
      </c>
      <c r="AB174" t="str">
        <f t="shared" si="61"/>
        <v>Red</v>
      </c>
      <c r="AC174" t="str">
        <f t="shared" si="62"/>
        <v>Red</v>
      </c>
      <c r="AD174" t="str">
        <f t="shared" si="63"/>
        <v>Green</v>
      </c>
    </row>
    <row r="175" spans="1:30" x14ac:dyDescent="0.2">
      <c r="A175" t="str">
        <f t="shared" si="46"/>
        <v>21/07/2026East FifeLinlithgow Rose</v>
      </c>
      <c r="D175" s="2">
        <v>46224</v>
      </c>
      <c r="E175" s="3">
        <v>0.78125</v>
      </c>
      <c r="F175" t="s">
        <v>1393</v>
      </c>
      <c r="G175" t="s">
        <v>1394</v>
      </c>
      <c r="H175">
        <v>0</v>
      </c>
      <c r="I175">
        <v>1</v>
      </c>
      <c r="J175">
        <v>3</v>
      </c>
      <c r="K175">
        <v>1</v>
      </c>
      <c r="L175" s="22" t="str">
        <f t="shared" si="64"/>
        <v>21/07/2026</v>
      </c>
      <c r="M175" s="23">
        <f t="shared" si="65"/>
        <v>0.65625</v>
      </c>
      <c r="N175" t="str">
        <f t="shared" si="47"/>
        <v>3 - 1</v>
      </c>
      <c r="O175" t="str">
        <f t="shared" si="48"/>
        <v>Green</v>
      </c>
      <c r="P175" t="str">
        <f t="shared" si="49"/>
        <v>Red</v>
      </c>
      <c r="Q175" t="str">
        <f t="shared" si="50"/>
        <v>Red</v>
      </c>
      <c r="R175" t="str">
        <f t="shared" si="51"/>
        <v>Green</v>
      </c>
      <c r="S175" t="str">
        <f t="shared" si="52"/>
        <v>Red</v>
      </c>
      <c r="T175" t="str">
        <f t="shared" si="53"/>
        <v>Green</v>
      </c>
      <c r="U175" t="str">
        <f t="shared" si="54"/>
        <v>Red</v>
      </c>
      <c r="V175" t="str">
        <f t="shared" si="55"/>
        <v>Red</v>
      </c>
      <c r="W175" t="str">
        <f t="shared" si="56"/>
        <v>Green</v>
      </c>
      <c r="X175" t="str">
        <f t="shared" si="57"/>
        <v>Green</v>
      </c>
      <c r="Y175" t="str">
        <f t="shared" si="58"/>
        <v>Green</v>
      </c>
      <c r="Z175" t="str">
        <f t="shared" si="59"/>
        <v>Green</v>
      </c>
      <c r="AA175" t="str">
        <f t="shared" si="60"/>
        <v>Red</v>
      </c>
      <c r="AB175" t="str">
        <f t="shared" si="61"/>
        <v>Red</v>
      </c>
      <c r="AC175" t="str">
        <f t="shared" si="62"/>
        <v>Green</v>
      </c>
      <c r="AD175" t="str">
        <f t="shared" si="63"/>
        <v>Red</v>
      </c>
    </row>
    <row r="176" spans="1:30" x14ac:dyDescent="0.2">
      <c r="A176" t="str">
        <f t="shared" si="46"/>
        <v>21/07/2026Inverness CTSt Johnstone</v>
      </c>
      <c r="D176" s="2">
        <v>46224</v>
      </c>
      <c r="E176" s="3">
        <v>0.78125</v>
      </c>
      <c r="F176" t="s">
        <v>1395</v>
      </c>
      <c r="G176" t="s">
        <v>1396</v>
      </c>
      <c r="H176">
        <v>1</v>
      </c>
      <c r="I176">
        <v>0</v>
      </c>
      <c r="J176">
        <v>1</v>
      </c>
      <c r="K176">
        <v>0</v>
      </c>
      <c r="L176" s="22" t="str">
        <f t="shared" si="64"/>
        <v>21/07/2026</v>
      </c>
      <c r="M176" s="23">
        <f t="shared" si="65"/>
        <v>0.65625</v>
      </c>
      <c r="N176" t="str">
        <f t="shared" si="47"/>
        <v>1 - 0</v>
      </c>
      <c r="O176" t="str">
        <f t="shared" si="48"/>
        <v>Green</v>
      </c>
      <c r="P176" t="str">
        <f t="shared" si="49"/>
        <v>Red</v>
      </c>
      <c r="Q176" t="str">
        <f t="shared" si="50"/>
        <v>Red</v>
      </c>
      <c r="R176" t="str">
        <f t="shared" si="51"/>
        <v>Green</v>
      </c>
      <c r="S176" t="str">
        <f t="shared" si="52"/>
        <v>Red</v>
      </c>
      <c r="T176" t="str">
        <f t="shared" si="53"/>
        <v>Green</v>
      </c>
      <c r="U176" t="str">
        <f t="shared" si="54"/>
        <v>Green</v>
      </c>
      <c r="V176" t="str">
        <f t="shared" si="55"/>
        <v>Red</v>
      </c>
      <c r="W176" t="str">
        <f t="shared" si="56"/>
        <v>Red</v>
      </c>
      <c r="X176" t="str">
        <f t="shared" si="57"/>
        <v>Green</v>
      </c>
      <c r="Y176" t="str">
        <f t="shared" si="58"/>
        <v>Red</v>
      </c>
      <c r="Z176" t="str">
        <f t="shared" si="59"/>
        <v>Red</v>
      </c>
      <c r="AA176" t="str">
        <f t="shared" si="60"/>
        <v>Green</v>
      </c>
      <c r="AB176" t="str">
        <f t="shared" si="61"/>
        <v>Green</v>
      </c>
      <c r="AC176" t="str">
        <f t="shared" si="62"/>
        <v>Red</v>
      </c>
      <c r="AD176" t="str">
        <f t="shared" si="63"/>
        <v>Green</v>
      </c>
    </row>
    <row r="177" spans="1:30" x14ac:dyDescent="0.2">
      <c r="A177" t="str">
        <f t="shared" si="46"/>
        <v>21/07/2026Kelty HeartsBrora Rangers</v>
      </c>
      <c r="D177" s="2">
        <v>46224</v>
      </c>
      <c r="E177" s="3">
        <v>0.78125</v>
      </c>
      <c r="F177" t="s">
        <v>1397</v>
      </c>
      <c r="G177" t="s">
        <v>1398</v>
      </c>
      <c r="H177">
        <v>2</v>
      </c>
      <c r="I177">
        <v>1</v>
      </c>
      <c r="J177">
        <v>3</v>
      </c>
      <c r="K177">
        <v>2</v>
      </c>
      <c r="L177" s="22" t="str">
        <f t="shared" si="64"/>
        <v>21/07/2026</v>
      </c>
      <c r="M177" s="23">
        <f t="shared" si="65"/>
        <v>0.65625</v>
      </c>
      <c r="N177" t="str">
        <f t="shared" si="47"/>
        <v>3 - 2</v>
      </c>
      <c r="O177" t="str">
        <f t="shared" si="48"/>
        <v>Green</v>
      </c>
      <c r="P177" t="str">
        <f t="shared" si="49"/>
        <v>Red</v>
      </c>
      <c r="Q177" t="str">
        <f t="shared" si="50"/>
        <v>Red</v>
      </c>
      <c r="R177" t="str">
        <f t="shared" si="51"/>
        <v>Green</v>
      </c>
      <c r="S177" t="str">
        <f t="shared" si="52"/>
        <v>Red</v>
      </c>
      <c r="T177" t="str">
        <f t="shared" si="53"/>
        <v>Green</v>
      </c>
      <c r="U177" t="str">
        <f t="shared" si="54"/>
        <v>Green</v>
      </c>
      <c r="V177" t="str">
        <f t="shared" si="55"/>
        <v>Red</v>
      </c>
      <c r="W177" t="str">
        <f t="shared" si="56"/>
        <v>Red</v>
      </c>
      <c r="X177" t="str">
        <f t="shared" si="57"/>
        <v>Green</v>
      </c>
      <c r="Y177" t="str">
        <f t="shared" si="58"/>
        <v>Green</v>
      </c>
      <c r="Z177" t="str">
        <f t="shared" si="59"/>
        <v>Green</v>
      </c>
      <c r="AA177" t="str">
        <f t="shared" si="60"/>
        <v>Red</v>
      </c>
      <c r="AB177" t="str">
        <f t="shared" si="61"/>
        <v>Red</v>
      </c>
      <c r="AC177" t="str">
        <f t="shared" si="62"/>
        <v>Green</v>
      </c>
      <c r="AD177" t="str">
        <f t="shared" si="63"/>
        <v>Red</v>
      </c>
    </row>
    <row r="178" spans="1:30" x14ac:dyDescent="0.2">
      <c r="A178" t="str">
        <f t="shared" si="46"/>
        <v>21/07/2026KilmarnockHamilton Academical</v>
      </c>
      <c r="D178" s="2">
        <v>46224</v>
      </c>
      <c r="E178" s="3">
        <v>0.78125</v>
      </c>
      <c r="F178" t="s">
        <v>1399</v>
      </c>
      <c r="G178" t="s">
        <v>1400</v>
      </c>
      <c r="H178">
        <v>0</v>
      </c>
      <c r="I178">
        <v>0</v>
      </c>
      <c r="J178">
        <v>1</v>
      </c>
      <c r="K178">
        <v>0</v>
      </c>
      <c r="L178" s="22" t="str">
        <f t="shared" si="64"/>
        <v>21/07/2026</v>
      </c>
      <c r="M178" s="23">
        <f t="shared" si="65"/>
        <v>0.65625</v>
      </c>
      <c r="N178" t="str">
        <f t="shared" si="47"/>
        <v>1 - 0</v>
      </c>
      <c r="O178" t="str">
        <f t="shared" si="48"/>
        <v>Green</v>
      </c>
      <c r="P178" t="str">
        <f t="shared" si="49"/>
        <v>Red</v>
      </c>
      <c r="Q178" t="str">
        <f t="shared" si="50"/>
        <v>Red</v>
      </c>
      <c r="R178" t="str">
        <f t="shared" si="51"/>
        <v>Green</v>
      </c>
      <c r="S178" t="str">
        <f t="shared" si="52"/>
        <v>Red</v>
      </c>
      <c r="T178" t="str">
        <f t="shared" si="53"/>
        <v>Green</v>
      </c>
      <c r="U178" t="str">
        <f t="shared" si="54"/>
        <v>Red</v>
      </c>
      <c r="V178" t="str">
        <f t="shared" si="55"/>
        <v>Green</v>
      </c>
      <c r="W178" t="str">
        <f t="shared" si="56"/>
        <v>Red</v>
      </c>
      <c r="X178" t="str">
        <f t="shared" si="57"/>
        <v>Red</v>
      </c>
      <c r="Y178" t="str">
        <f t="shared" si="58"/>
        <v>Red</v>
      </c>
      <c r="Z178" t="str">
        <f t="shared" si="59"/>
        <v>Red</v>
      </c>
      <c r="AA178" t="str">
        <f t="shared" si="60"/>
        <v>Green</v>
      </c>
      <c r="AB178" t="str">
        <f t="shared" si="61"/>
        <v>Green</v>
      </c>
      <c r="AC178" t="str">
        <f t="shared" si="62"/>
        <v>Red</v>
      </c>
      <c r="AD178" t="str">
        <f t="shared" si="63"/>
        <v>Green</v>
      </c>
    </row>
    <row r="179" spans="1:30" x14ac:dyDescent="0.2">
      <c r="A179" t="str">
        <f t="shared" si="46"/>
        <v>21/07/2026LivingstonForfar Athletic</v>
      </c>
      <c r="D179" s="2">
        <v>46224</v>
      </c>
      <c r="E179" s="3">
        <v>0.78125</v>
      </c>
      <c r="F179" t="s">
        <v>1401</v>
      </c>
      <c r="G179" t="s">
        <v>1402</v>
      </c>
      <c r="H179">
        <v>4</v>
      </c>
      <c r="I179">
        <v>0</v>
      </c>
      <c r="J179">
        <v>8</v>
      </c>
      <c r="K179">
        <v>0</v>
      </c>
      <c r="L179" s="22" t="str">
        <f t="shared" si="64"/>
        <v>21/07/2026</v>
      </c>
      <c r="M179" s="23">
        <f t="shared" si="65"/>
        <v>0.65625</v>
      </c>
      <c r="N179" t="str">
        <f t="shared" si="47"/>
        <v>8 - 0</v>
      </c>
      <c r="O179" t="str">
        <f t="shared" si="48"/>
        <v>Green</v>
      </c>
      <c r="P179" t="str">
        <f t="shared" si="49"/>
        <v>Red</v>
      </c>
      <c r="Q179" t="str">
        <f t="shared" si="50"/>
        <v>Red</v>
      </c>
      <c r="R179" t="str">
        <f t="shared" si="51"/>
        <v>Green</v>
      </c>
      <c r="S179" t="str">
        <f t="shared" si="52"/>
        <v>Red</v>
      </c>
      <c r="T179" t="str">
        <f t="shared" si="53"/>
        <v>Green</v>
      </c>
      <c r="U179" t="str">
        <f t="shared" si="54"/>
        <v>Green</v>
      </c>
      <c r="V179" t="str">
        <f t="shared" si="55"/>
        <v>Red</v>
      </c>
      <c r="W179" t="str">
        <f t="shared" si="56"/>
        <v>Red</v>
      </c>
      <c r="X179" t="str">
        <f t="shared" si="57"/>
        <v>Green</v>
      </c>
      <c r="Y179" t="str">
        <f t="shared" si="58"/>
        <v>Green</v>
      </c>
      <c r="Z179" t="str">
        <f t="shared" si="59"/>
        <v>Green</v>
      </c>
      <c r="AA179" t="str">
        <f t="shared" si="60"/>
        <v>Red</v>
      </c>
      <c r="AB179" t="str">
        <f t="shared" si="61"/>
        <v>Red</v>
      </c>
      <c r="AC179" t="str">
        <f t="shared" si="62"/>
        <v>Red</v>
      </c>
      <c r="AD179" t="str">
        <f t="shared" si="63"/>
        <v>Green</v>
      </c>
    </row>
    <row r="180" spans="1:30" x14ac:dyDescent="0.2">
      <c r="A180" t="str">
        <f t="shared" si="46"/>
        <v>21/07/2026Partick ThistleStenhousemuir</v>
      </c>
      <c r="D180" s="2">
        <v>46224</v>
      </c>
      <c r="E180" s="3">
        <v>0.78125</v>
      </c>
      <c r="F180" t="s">
        <v>1403</v>
      </c>
      <c r="G180" t="s">
        <v>1404</v>
      </c>
      <c r="H180">
        <v>1</v>
      </c>
      <c r="I180">
        <v>2</v>
      </c>
      <c r="J180">
        <v>2</v>
      </c>
      <c r="K180">
        <v>2</v>
      </c>
      <c r="L180" s="22" t="str">
        <f t="shared" si="64"/>
        <v>21/07/2026</v>
      </c>
      <c r="M180" s="23">
        <f t="shared" si="65"/>
        <v>0.65625</v>
      </c>
      <c r="N180" t="str">
        <f t="shared" si="47"/>
        <v>2 - 2</v>
      </c>
      <c r="O180" t="str">
        <f t="shared" si="48"/>
        <v>Red</v>
      </c>
      <c r="P180" t="str">
        <f t="shared" si="49"/>
        <v>Green</v>
      </c>
      <c r="Q180" t="str">
        <f t="shared" si="50"/>
        <v>Red</v>
      </c>
      <c r="R180" t="str">
        <f t="shared" si="51"/>
        <v>Green</v>
      </c>
      <c r="S180" t="str">
        <f t="shared" si="52"/>
        <v>Green</v>
      </c>
      <c r="T180" t="str">
        <f t="shared" si="53"/>
        <v>Red</v>
      </c>
      <c r="U180" t="str">
        <f t="shared" si="54"/>
        <v>Red</v>
      </c>
      <c r="V180" t="str">
        <f t="shared" si="55"/>
        <v>Red</v>
      </c>
      <c r="W180" t="str">
        <f t="shared" si="56"/>
        <v>Green</v>
      </c>
      <c r="X180" t="str">
        <f t="shared" si="57"/>
        <v>Green</v>
      </c>
      <c r="Y180" t="str">
        <f t="shared" si="58"/>
        <v>Green</v>
      </c>
      <c r="Z180" t="str">
        <f t="shared" si="59"/>
        <v>Green</v>
      </c>
      <c r="AA180" t="str">
        <f t="shared" si="60"/>
        <v>Red</v>
      </c>
      <c r="AB180" t="str">
        <f t="shared" si="61"/>
        <v>Red</v>
      </c>
      <c r="AC180" t="str">
        <f t="shared" si="62"/>
        <v>Green</v>
      </c>
      <c r="AD180" t="str">
        <f t="shared" si="63"/>
        <v>Red</v>
      </c>
    </row>
    <row r="181" spans="1:30" x14ac:dyDescent="0.2">
      <c r="A181" t="str">
        <f t="shared" si="46"/>
        <v>21/07/2026Raith RoversPeterhead</v>
      </c>
      <c r="D181" s="2">
        <v>46224</v>
      </c>
      <c r="E181" s="3">
        <v>0.78125</v>
      </c>
      <c r="F181" t="s">
        <v>1405</v>
      </c>
      <c r="G181" t="s">
        <v>1406</v>
      </c>
      <c r="H181">
        <v>1</v>
      </c>
      <c r="I181">
        <v>0</v>
      </c>
      <c r="J181">
        <v>1</v>
      </c>
      <c r="K181">
        <v>0</v>
      </c>
      <c r="L181" s="22" t="str">
        <f t="shared" si="64"/>
        <v>21/07/2026</v>
      </c>
      <c r="M181" s="23">
        <f t="shared" si="65"/>
        <v>0.65625</v>
      </c>
      <c r="N181" t="str">
        <f t="shared" si="47"/>
        <v>1 - 0</v>
      </c>
      <c r="O181" t="str">
        <f t="shared" si="48"/>
        <v>Green</v>
      </c>
      <c r="P181" t="str">
        <f t="shared" si="49"/>
        <v>Red</v>
      </c>
      <c r="Q181" t="str">
        <f t="shared" si="50"/>
        <v>Red</v>
      </c>
      <c r="R181" t="str">
        <f t="shared" si="51"/>
        <v>Green</v>
      </c>
      <c r="S181" t="str">
        <f t="shared" si="52"/>
        <v>Red</v>
      </c>
      <c r="T181" t="str">
        <f t="shared" si="53"/>
        <v>Green</v>
      </c>
      <c r="U181" t="str">
        <f t="shared" si="54"/>
        <v>Green</v>
      </c>
      <c r="V181" t="str">
        <f t="shared" si="55"/>
        <v>Red</v>
      </c>
      <c r="W181" t="str">
        <f t="shared" si="56"/>
        <v>Red</v>
      </c>
      <c r="X181" t="str">
        <f t="shared" si="57"/>
        <v>Green</v>
      </c>
      <c r="Y181" t="str">
        <f t="shared" si="58"/>
        <v>Red</v>
      </c>
      <c r="Z181" t="str">
        <f t="shared" si="59"/>
        <v>Red</v>
      </c>
      <c r="AA181" t="str">
        <f t="shared" si="60"/>
        <v>Green</v>
      </c>
      <c r="AB181" t="str">
        <f t="shared" si="61"/>
        <v>Green</v>
      </c>
      <c r="AC181" t="str">
        <f t="shared" si="62"/>
        <v>Red</v>
      </c>
      <c r="AD181" t="str">
        <f t="shared" si="63"/>
        <v>Green</v>
      </c>
    </row>
    <row r="182" spans="1:30" x14ac:dyDescent="0.2">
      <c r="A182" t="str">
        <f t="shared" si="46"/>
        <v>21/07/2026Ross CountyDundee</v>
      </c>
      <c r="D182" s="2">
        <v>46224</v>
      </c>
      <c r="E182" s="3">
        <v>0.78125</v>
      </c>
      <c r="F182" t="s">
        <v>1407</v>
      </c>
      <c r="G182" t="s">
        <v>1408</v>
      </c>
      <c r="H182">
        <v>0</v>
      </c>
      <c r="I182">
        <v>1</v>
      </c>
      <c r="J182">
        <v>1</v>
      </c>
      <c r="K182">
        <v>1</v>
      </c>
      <c r="L182" s="22" t="str">
        <f t="shared" si="64"/>
        <v>21/07/2026</v>
      </c>
      <c r="M182" s="23">
        <f t="shared" si="65"/>
        <v>0.65625</v>
      </c>
      <c r="N182" t="str">
        <f t="shared" si="47"/>
        <v>1 - 1</v>
      </c>
      <c r="O182" t="str">
        <f t="shared" si="48"/>
        <v>Red</v>
      </c>
      <c r="P182" t="str">
        <f t="shared" si="49"/>
        <v>Green</v>
      </c>
      <c r="Q182" t="str">
        <f t="shared" si="50"/>
        <v>Red</v>
      </c>
      <c r="R182" t="str">
        <f t="shared" si="51"/>
        <v>Green</v>
      </c>
      <c r="S182" t="str">
        <f t="shared" si="52"/>
        <v>Green</v>
      </c>
      <c r="T182" t="str">
        <f t="shared" si="53"/>
        <v>Red</v>
      </c>
      <c r="U182" t="str">
        <f t="shared" si="54"/>
        <v>Red</v>
      </c>
      <c r="V182" t="str">
        <f t="shared" si="55"/>
        <v>Red</v>
      </c>
      <c r="W182" t="str">
        <f t="shared" si="56"/>
        <v>Green</v>
      </c>
      <c r="X182" t="str">
        <f t="shared" si="57"/>
        <v>Green</v>
      </c>
      <c r="Y182" t="str">
        <f t="shared" si="58"/>
        <v>Green</v>
      </c>
      <c r="Z182" t="str">
        <f t="shared" si="59"/>
        <v>Red</v>
      </c>
      <c r="AA182" t="str">
        <f t="shared" si="60"/>
        <v>Green</v>
      </c>
      <c r="AB182" t="str">
        <f t="shared" si="61"/>
        <v>Green</v>
      </c>
      <c r="AC182" t="str">
        <f t="shared" si="62"/>
        <v>Green</v>
      </c>
      <c r="AD182" t="str">
        <f t="shared" si="63"/>
        <v>Red</v>
      </c>
    </row>
    <row r="183" spans="1:30" x14ac:dyDescent="0.2">
      <c r="A183" t="str">
        <f t="shared" si="46"/>
        <v>21/07/2026St. MirrenEast Kilbride</v>
      </c>
      <c r="D183" s="2">
        <v>46224</v>
      </c>
      <c r="E183" s="3">
        <v>0.78125</v>
      </c>
      <c r="F183" t="s">
        <v>1409</v>
      </c>
      <c r="G183" t="s">
        <v>1410</v>
      </c>
      <c r="H183">
        <v>0</v>
      </c>
      <c r="I183">
        <v>2</v>
      </c>
      <c r="J183">
        <v>4</v>
      </c>
      <c r="K183">
        <v>3</v>
      </c>
      <c r="L183" s="22" t="str">
        <f t="shared" si="64"/>
        <v>21/07/2026</v>
      </c>
      <c r="M183" s="23">
        <f t="shared" si="65"/>
        <v>0.65625</v>
      </c>
      <c r="N183" t="str">
        <f t="shared" si="47"/>
        <v>4 - 3</v>
      </c>
      <c r="O183" t="str">
        <f t="shared" si="48"/>
        <v>Green</v>
      </c>
      <c r="P183" t="str">
        <f t="shared" si="49"/>
        <v>Red</v>
      </c>
      <c r="Q183" t="str">
        <f t="shared" si="50"/>
        <v>Red</v>
      </c>
      <c r="R183" t="str">
        <f t="shared" si="51"/>
        <v>Green</v>
      </c>
      <c r="S183" t="str">
        <f t="shared" si="52"/>
        <v>Red</v>
      </c>
      <c r="T183" t="str">
        <f t="shared" si="53"/>
        <v>Green</v>
      </c>
      <c r="U183" t="str">
        <f t="shared" si="54"/>
        <v>Red</v>
      </c>
      <c r="V183" t="str">
        <f t="shared" si="55"/>
        <v>Red</v>
      </c>
      <c r="W183" t="str">
        <f t="shared" si="56"/>
        <v>Green</v>
      </c>
      <c r="X183" t="str">
        <f t="shared" si="57"/>
        <v>Green</v>
      </c>
      <c r="Y183" t="str">
        <f t="shared" si="58"/>
        <v>Green</v>
      </c>
      <c r="Z183" t="str">
        <f t="shared" si="59"/>
        <v>Green</v>
      </c>
      <c r="AA183" t="str">
        <f t="shared" si="60"/>
        <v>Red</v>
      </c>
      <c r="AB183" t="str">
        <f t="shared" si="61"/>
        <v>Red</v>
      </c>
      <c r="AC183" t="str">
        <f t="shared" si="62"/>
        <v>Green</v>
      </c>
      <c r="AD183" t="str">
        <f t="shared" si="63"/>
        <v>Red</v>
      </c>
    </row>
    <row r="184" spans="1:30" x14ac:dyDescent="0.2">
      <c r="A184" t="str">
        <f t="shared" si="46"/>
        <v>21/07/2026StranraerEdinburgh City</v>
      </c>
      <c r="D184" s="2">
        <v>46224</v>
      </c>
      <c r="E184" s="3">
        <v>0.78125</v>
      </c>
      <c r="F184" t="s">
        <v>1411</v>
      </c>
      <c r="G184" t="s">
        <v>1412</v>
      </c>
      <c r="H184">
        <v>0</v>
      </c>
      <c r="I184">
        <v>2</v>
      </c>
      <c r="J184">
        <v>0</v>
      </c>
      <c r="K184">
        <v>2</v>
      </c>
      <c r="L184" s="22" t="str">
        <f t="shared" si="64"/>
        <v>21/07/2026</v>
      </c>
      <c r="M184" s="23">
        <f t="shared" si="65"/>
        <v>0.65625</v>
      </c>
      <c r="N184" t="str">
        <f t="shared" si="47"/>
        <v>0 - 2</v>
      </c>
      <c r="O184" t="str">
        <f t="shared" si="48"/>
        <v>Red</v>
      </c>
      <c r="P184" t="str">
        <f t="shared" si="49"/>
        <v>Red</v>
      </c>
      <c r="Q184" t="str">
        <f t="shared" si="50"/>
        <v>Green</v>
      </c>
      <c r="R184" t="str">
        <f t="shared" si="51"/>
        <v>Red</v>
      </c>
      <c r="S184" t="str">
        <f t="shared" si="52"/>
        <v>Green</v>
      </c>
      <c r="T184" t="str">
        <f t="shared" si="53"/>
        <v>Green</v>
      </c>
      <c r="U184" t="str">
        <f t="shared" si="54"/>
        <v>Red</v>
      </c>
      <c r="V184" t="str">
        <f t="shared" si="55"/>
        <v>Red</v>
      </c>
      <c r="W184" t="str">
        <f t="shared" si="56"/>
        <v>Green</v>
      </c>
      <c r="X184" t="str">
        <f t="shared" si="57"/>
        <v>Green</v>
      </c>
      <c r="Y184" t="str">
        <f t="shared" si="58"/>
        <v>Green</v>
      </c>
      <c r="Z184" t="str">
        <f t="shared" si="59"/>
        <v>Red</v>
      </c>
      <c r="AA184" t="str">
        <f t="shared" si="60"/>
        <v>Green</v>
      </c>
      <c r="AB184" t="str">
        <f t="shared" si="61"/>
        <v>Green</v>
      </c>
      <c r="AC184" t="str">
        <f t="shared" si="62"/>
        <v>Red</v>
      </c>
      <c r="AD184" t="str">
        <f t="shared" si="63"/>
        <v>Green</v>
      </c>
    </row>
    <row r="185" spans="1:30" x14ac:dyDescent="0.2">
      <c r="A185" t="str">
        <f t="shared" si="46"/>
        <v>21/07/2026AFC HornchurchLeyton Orient</v>
      </c>
      <c r="D185" s="2">
        <v>46224</v>
      </c>
      <c r="E185" s="3">
        <v>0.78125</v>
      </c>
      <c r="F185" t="s">
        <v>1521</v>
      </c>
      <c r="G185" t="s">
        <v>1472</v>
      </c>
      <c r="H185">
        <v>0</v>
      </c>
      <c r="I185">
        <v>0</v>
      </c>
      <c r="J185">
        <v>2</v>
      </c>
      <c r="K185">
        <v>1</v>
      </c>
      <c r="L185" s="22" t="str">
        <f t="shared" si="64"/>
        <v>21/07/2026</v>
      </c>
      <c r="M185" s="23">
        <f t="shared" si="65"/>
        <v>0.65625</v>
      </c>
      <c r="N185" t="str">
        <f t="shared" si="47"/>
        <v>2 - 1</v>
      </c>
      <c r="O185" t="str">
        <f t="shared" si="48"/>
        <v>Green</v>
      </c>
      <c r="P185" t="str">
        <f t="shared" si="49"/>
        <v>Red</v>
      </c>
      <c r="Q185" t="str">
        <f t="shared" si="50"/>
        <v>Red</v>
      </c>
      <c r="R185" t="str">
        <f t="shared" si="51"/>
        <v>Green</v>
      </c>
      <c r="S185" t="str">
        <f t="shared" si="52"/>
        <v>Red</v>
      </c>
      <c r="T185" t="str">
        <f t="shared" si="53"/>
        <v>Green</v>
      </c>
      <c r="U185" t="str">
        <f t="shared" si="54"/>
        <v>Red</v>
      </c>
      <c r="V185" t="str">
        <f t="shared" si="55"/>
        <v>Green</v>
      </c>
      <c r="W185" t="str">
        <f t="shared" si="56"/>
        <v>Red</v>
      </c>
      <c r="X185" t="str">
        <f t="shared" si="57"/>
        <v>Red</v>
      </c>
      <c r="Y185" t="str">
        <f t="shared" si="58"/>
        <v>Green</v>
      </c>
      <c r="Z185" t="str">
        <f t="shared" si="59"/>
        <v>Green</v>
      </c>
      <c r="AA185" t="str">
        <f t="shared" si="60"/>
        <v>Red</v>
      </c>
      <c r="AB185" t="str">
        <f t="shared" si="61"/>
        <v>Green</v>
      </c>
      <c r="AC185" t="str">
        <f t="shared" si="62"/>
        <v>Green</v>
      </c>
      <c r="AD185" t="str">
        <f t="shared" si="63"/>
        <v>Red</v>
      </c>
    </row>
    <row r="186" spans="1:30" x14ac:dyDescent="0.2">
      <c r="A186" t="str">
        <f t="shared" si="46"/>
        <v>21/07/2026Basingstoke TownChesham United</v>
      </c>
      <c r="D186" s="2">
        <v>46224</v>
      </c>
      <c r="E186" s="3">
        <v>0.78125</v>
      </c>
      <c r="F186" t="s">
        <v>1522</v>
      </c>
      <c r="G186" t="s">
        <v>1523</v>
      </c>
      <c r="H186">
        <v>2</v>
      </c>
      <c r="I186">
        <v>4</v>
      </c>
      <c r="J186">
        <v>2</v>
      </c>
      <c r="K186">
        <v>6</v>
      </c>
      <c r="L186" s="22" t="str">
        <f t="shared" si="64"/>
        <v>21/07/2026</v>
      </c>
      <c r="M186" s="23">
        <f t="shared" si="65"/>
        <v>0.65625</v>
      </c>
      <c r="N186" t="str">
        <f t="shared" si="47"/>
        <v>2 - 6</v>
      </c>
      <c r="O186" t="str">
        <f t="shared" si="48"/>
        <v>Red</v>
      </c>
      <c r="P186" t="str">
        <f t="shared" si="49"/>
        <v>Red</v>
      </c>
      <c r="Q186" t="str">
        <f t="shared" si="50"/>
        <v>Green</v>
      </c>
      <c r="R186" t="str">
        <f t="shared" si="51"/>
        <v>Red</v>
      </c>
      <c r="S186" t="str">
        <f t="shared" si="52"/>
        <v>Green</v>
      </c>
      <c r="T186" t="str">
        <f t="shared" si="53"/>
        <v>Green</v>
      </c>
      <c r="U186" t="str">
        <f t="shared" si="54"/>
        <v>Red</v>
      </c>
      <c r="V186" t="str">
        <f t="shared" si="55"/>
        <v>Red</v>
      </c>
      <c r="W186" t="str">
        <f t="shared" si="56"/>
        <v>Green</v>
      </c>
      <c r="X186" t="str">
        <f t="shared" si="57"/>
        <v>Green</v>
      </c>
      <c r="Y186" t="str">
        <f t="shared" si="58"/>
        <v>Green</v>
      </c>
      <c r="Z186" t="str">
        <f t="shared" si="59"/>
        <v>Green</v>
      </c>
      <c r="AA186" t="str">
        <f t="shared" si="60"/>
        <v>Red</v>
      </c>
      <c r="AB186" t="str">
        <f t="shared" si="61"/>
        <v>Red</v>
      </c>
      <c r="AC186" t="str">
        <f t="shared" si="62"/>
        <v>Green</v>
      </c>
      <c r="AD186" t="str">
        <f t="shared" si="63"/>
        <v>Red</v>
      </c>
    </row>
    <row r="187" spans="1:30" x14ac:dyDescent="0.2">
      <c r="A187" t="str">
        <f t="shared" si="46"/>
        <v>21/07/2026Bedworth UnitedBromsgrove Sporting</v>
      </c>
      <c r="D187" s="2">
        <v>46224</v>
      </c>
      <c r="E187" s="3">
        <v>0.78125</v>
      </c>
      <c r="F187" t="s">
        <v>1524</v>
      </c>
      <c r="G187" t="s">
        <v>1525</v>
      </c>
      <c r="H187">
        <v>0</v>
      </c>
      <c r="I187">
        <v>0</v>
      </c>
      <c r="J187">
        <v>0</v>
      </c>
      <c r="K187">
        <v>2</v>
      </c>
      <c r="L187" s="22" t="str">
        <f t="shared" si="64"/>
        <v>21/07/2026</v>
      </c>
      <c r="M187" s="23">
        <f t="shared" si="65"/>
        <v>0.65625</v>
      </c>
      <c r="N187" t="str">
        <f t="shared" si="47"/>
        <v>0 - 2</v>
      </c>
      <c r="O187" t="str">
        <f t="shared" si="48"/>
        <v>Red</v>
      </c>
      <c r="P187" t="str">
        <f t="shared" si="49"/>
        <v>Red</v>
      </c>
      <c r="Q187" t="str">
        <f t="shared" si="50"/>
        <v>Green</v>
      </c>
      <c r="R187" t="str">
        <f t="shared" si="51"/>
        <v>Red</v>
      </c>
      <c r="S187" t="str">
        <f t="shared" si="52"/>
        <v>Green</v>
      </c>
      <c r="T187" t="str">
        <f t="shared" si="53"/>
        <v>Green</v>
      </c>
      <c r="U187" t="str">
        <f t="shared" si="54"/>
        <v>Red</v>
      </c>
      <c r="V187" t="str">
        <f t="shared" si="55"/>
        <v>Green</v>
      </c>
      <c r="W187" t="str">
        <f t="shared" si="56"/>
        <v>Red</v>
      </c>
      <c r="X187" t="str">
        <f t="shared" si="57"/>
        <v>Red</v>
      </c>
      <c r="Y187" t="str">
        <f t="shared" si="58"/>
        <v>Green</v>
      </c>
      <c r="Z187" t="str">
        <f t="shared" si="59"/>
        <v>Red</v>
      </c>
      <c r="AA187" t="str">
        <f t="shared" si="60"/>
        <v>Green</v>
      </c>
      <c r="AB187" t="str">
        <f t="shared" si="61"/>
        <v>Green</v>
      </c>
      <c r="AC187" t="str">
        <f t="shared" si="62"/>
        <v>Red</v>
      </c>
      <c r="AD187" t="str">
        <f t="shared" si="63"/>
        <v>Green</v>
      </c>
    </row>
    <row r="188" spans="1:30" x14ac:dyDescent="0.2">
      <c r="A188" t="str">
        <f t="shared" si="46"/>
        <v>21/07/2026Brentwood TownSaffron Walden</v>
      </c>
      <c r="D188" s="2">
        <v>46224</v>
      </c>
      <c r="E188" s="3">
        <v>0.78125</v>
      </c>
      <c r="F188" t="s">
        <v>1526</v>
      </c>
      <c r="G188" t="s">
        <v>1527</v>
      </c>
      <c r="H188">
        <v>2</v>
      </c>
      <c r="I188">
        <v>0</v>
      </c>
      <c r="J188">
        <v>6</v>
      </c>
      <c r="K188">
        <v>0</v>
      </c>
      <c r="L188" s="22" t="str">
        <f t="shared" si="64"/>
        <v>21/07/2026</v>
      </c>
      <c r="M188" s="23">
        <f t="shared" si="65"/>
        <v>0.65625</v>
      </c>
      <c r="N188" t="str">
        <f t="shared" si="47"/>
        <v>6 - 0</v>
      </c>
      <c r="O188" t="str">
        <f t="shared" si="48"/>
        <v>Green</v>
      </c>
      <c r="P188" t="str">
        <f t="shared" si="49"/>
        <v>Red</v>
      </c>
      <c r="Q188" t="str">
        <f t="shared" si="50"/>
        <v>Red</v>
      </c>
      <c r="R188" t="str">
        <f t="shared" si="51"/>
        <v>Green</v>
      </c>
      <c r="S188" t="str">
        <f t="shared" si="52"/>
        <v>Red</v>
      </c>
      <c r="T188" t="str">
        <f t="shared" si="53"/>
        <v>Green</v>
      </c>
      <c r="U188" t="str">
        <f t="shared" si="54"/>
        <v>Green</v>
      </c>
      <c r="V188" t="str">
        <f t="shared" si="55"/>
        <v>Red</v>
      </c>
      <c r="W188" t="str">
        <f t="shared" si="56"/>
        <v>Red</v>
      </c>
      <c r="X188" t="str">
        <f t="shared" si="57"/>
        <v>Green</v>
      </c>
      <c r="Y188" t="str">
        <f t="shared" si="58"/>
        <v>Green</v>
      </c>
      <c r="Z188" t="str">
        <f t="shared" si="59"/>
        <v>Green</v>
      </c>
      <c r="AA188" t="str">
        <f t="shared" si="60"/>
        <v>Red</v>
      </c>
      <c r="AB188" t="str">
        <f t="shared" si="61"/>
        <v>Red</v>
      </c>
      <c r="AC188" t="str">
        <f t="shared" si="62"/>
        <v>Red</v>
      </c>
      <c r="AD188" t="str">
        <f t="shared" si="63"/>
        <v>Green</v>
      </c>
    </row>
    <row r="189" spans="1:30" x14ac:dyDescent="0.2">
      <c r="A189" t="str">
        <f t="shared" si="46"/>
        <v>21/07/2026Broadbridge HeathBurgess Hill Town</v>
      </c>
      <c r="D189" s="2">
        <v>46224</v>
      </c>
      <c r="E189" s="3">
        <v>0.78125</v>
      </c>
      <c r="F189" t="s">
        <v>1528</v>
      </c>
      <c r="G189" t="s">
        <v>1529</v>
      </c>
      <c r="H189">
        <v>0</v>
      </c>
      <c r="I189">
        <v>0</v>
      </c>
      <c r="J189">
        <v>2</v>
      </c>
      <c r="K189">
        <v>1</v>
      </c>
      <c r="L189" s="22" t="str">
        <f t="shared" si="64"/>
        <v>21/07/2026</v>
      </c>
      <c r="M189" s="23">
        <f t="shared" si="65"/>
        <v>0.65625</v>
      </c>
      <c r="N189" t="str">
        <f t="shared" si="47"/>
        <v>2 - 1</v>
      </c>
      <c r="O189" t="str">
        <f t="shared" si="48"/>
        <v>Green</v>
      </c>
      <c r="P189" t="str">
        <f t="shared" si="49"/>
        <v>Red</v>
      </c>
      <c r="Q189" t="str">
        <f t="shared" si="50"/>
        <v>Red</v>
      </c>
      <c r="R189" t="str">
        <f t="shared" si="51"/>
        <v>Green</v>
      </c>
      <c r="S189" t="str">
        <f t="shared" si="52"/>
        <v>Red</v>
      </c>
      <c r="T189" t="str">
        <f t="shared" si="53"/>
        <v>Green</v>
      </c>
      <c r="U189" t="str">
        <f t="shared" si="54"/>
        <v>Red</v>
      </c>
      <c r="V189" t="str">
        <f t="shared" si="55"/>
        <v>Green</v>
      </c>
      <c r="W189" t="str">
        <f t="shared" si="56"/>
        <v>Red</v>
      </c>
      <c r="X189" t="str">
        <f t="shared" si="57"/>
        <v>Red</v>
      </c>
      <c r="Y189" t="str">
        <f t="shared" si="58"/>
        <v>Green</v>
      </c>
      <c r="Z189" t="str">
        <f t="shared" si="59"/>
        <v>Green</v>
      </c>
      <c r="AA189" t="str">
        <f t="shared" si="60"/>
        <v>Red</v>
      </c>
      <c r="AB189" t="str">
        <f t="shared" si="61"/>
        <v>Green</v>
      </c>
      <c r="AC189" t="str">
        <f t="shared" si="62"/>
        <v>Green</v>
      </c>
      <c r="AD189" t="str">
        <f t="shared" si="63"/>
        <v>Red</v>
      </c>
    </row>
    <row r="190" spans="1:30" x14ac:dyDescent="0.2">
      <c r="A190" t="str">
        <f t="shared" si="46"/>
        <v>21/07/2026ChorleyAltrincham</v>
      </c>
      <c r="D190" s="2">
        <v>46224</v>
      </c>
      <c r="E190" s="3">
        <v>0.78125</v>
      </c>
      <c r="F190" t="s">
        <v>1530</v>
      </c>
      <c r="G190" t="s">
        <v>1531</v>
      </c>
      <c r="H190">
        <v>0</v>
      </c>
      <c r="I190">
        <v>0</v>
      </c>
      <c r="J190">
        <v>0</v>
      </c>
      <c r="K190">
        <v>0</v>
      </c>
      <c r="L190" s="22" t="str">
        <f t="shared" si="64"/>
        <v>21/07/2026</v>
      </c>
      <c r="M190" s="23">
        <f t="shared" si="65"/>
        <v>0.65625</v>
      </c>
      <c r="N190" t="str">
        <f t="shared" si="47"/>
        <v>0 - 0</v>
      </c>
      <c r="O190" t="str">
        <f t="shared" si="48"/>
        <v>Red</v>
      </c>
      <c r="P190" t="str">
        <f t="shared" si="49"/>
        <v>Green</v>
      </c>
      <c r="Q190" t="str">
        <f t="shared" si="50"/>
        <v>Red</v>
      </c>
      <c r="R190" t="str">
        <f t="shared" si="51"/>
        <v>Green</v>
      </c>
      <c r="S190" t="str">
        <f t="shared" si="52"/>
        <v>Green</v>
      </c>
      <c r="T190" t="str">
        <f t="shared" si="53"/>
        <v>Red</v>
      </c>
      <c r="U190" t="str">
        <f t="shared" si="54"/>
        <v>Red</v>
      </c>
      <c r="V190" t="str">
        <f t="shared" si="55"/>
        <v>Green</v>
      </c>
      <c r="W190" t="str">
        <f t="shared" si="56"/>
        <v>Red</v>
      </c>
      <c r="X190" t="str">
        <f t="shared" si="57"/>
        <v>Red</v>
      </c>
      <c r="Y190" t="str">
        <f t="shared" si="58"/>
        <v>Red</v>
      </c>
      <c r="Z190" t="str">
        <f t="shared" si="59"/>
        <v>Red</v>
      </c>
      <c r="AA190" t="str">
        <f t="shared" si="60"/>
        <v>Green</v>
      </c>
      <c r="AB190" t="str">
        <f t="shared" si="61"/>
        <v>Green</v>
      </c>
      <c r="AC190" t="str">
        <f t="shared" si="62"/>
        <v>Red</v>
      </c>
      <c r="AD190" t="str">
        <f t="shared" si="63"/>
        <v>Green</v>
      </c>
    </row>
    <row r="191" spans="1:30" x14ac:dyDescent="0.2">
      <c r="A191" t="str">
        <f t="shared" si="46"/>
        <v>21/07/2026CobhamHampton &amp; Richmond Borough</v>
      </c>
      <c r="D191" s="2">
        <v>46224</v>
      </c>
      <c r="E191" s="3">
        <v>0.78125</v>
      </c>
      <c r="F191" t="s">
        <v>1532</v>
      </c>
      <c r="G191" t="s">
        <v>1533</v>
      </c>
      <c r="H191">
        <v>1</v>
      </c>
      <c r="I191">
        <v>1</v>
      </c>
      <c r="J191">
        <v>1</v>
      </c>
      <c r="K191">
        <v>1</v>
      </c>
      <c r="L191" s="22" t="str">
        <f t="shared" ref="L191:L222" si="66">DAY(D191)&amp;"/"&amp;"07"&amp;"/"&amp;YEAR(D191)</f>
        <v>21/07/2026</v>
      </c>
      <c r="M191" s="23">
        <f t="shared" ref="M191:M222" si="67">E191-TIME(3,0,0)</f>
        <v>0.65625</v>
      </c>
      <c r="N191" t="str">
        <f t="shared" si="47"/>
        <v>1 - 1</v>
      </c>
      <c r="O191" t="str">
        <f t="shared" si="48"/>
        <v>Red</v>
      </c>
      <c r="P191" t="str">
        <f t="shared" si="49"/>
        <v>Green</v>
      </c>
      <c r="Q191" t="str">
        <f t="shared" si="50"/>
        <v>Red</v>
      </c>
      <c r="R191" t="str">
        <f t="shared" si="51"/>
        <v>Green</v>
      </c>
      <c r="S191" t="str">
        <f t="shared" si="52"/>
        <v>Green</v>
      </c>
      <c r="T191" t="str">
        <f t="shared" si="53"/>
        <v>Red</v>
      </c>
      <c r="U191" t="str">
        <f t="shared" si="54"/>
        <v>Red</v>
      </c>
      <c r="V191" t="str">
        <f t="shared" si="55"/>
        <v>Green</v>
      </c>
      <c r="W191" t="str">
        <f t="shared" si="56"/>
        <v>Red</v>
      </c>
      <c r="X191" t="str">
        <f t="shared" si="57"/>
        <v>Green</v>
      </c>
      <c r="Y191" t="str">
        <f t="shared" si="58"/>
        <v>Green</v>
      </c>
      <c r="Z191" t="str">
        <f t="shared" si="59"/>
        <v>Red</v>
      </c>
      <c r="AA191" t="str">
        <f t="shared" si="60"/>
        <v>Green</v>
      </c>
      <c r="AB191" t="str">
        <f t="shared" si="61"/>
        <v>Green</v>
      </c>
      <c r="AC191" t="str">
        <f t="shared" si="62"/>
        <v>Green</v>
      </c>
      <c r="AD191" t="str">
        <f t="shared" si="63"/>
        <v>Red</v>
      </c>
    </row>
    <row r="192" spans="1:30" x14ac:dyDescent="0.2">
      <c r="A192" t="str">
        <f t="shared" si="46"/>
        <v>21/07/2026Colchester United Peterborough United</v>
      </c>
      <c r="D192" s="2">
        <v>46224</v>
      </c>
      <c r="E192" s="3">
        <v>0.78125</v>
      </c>
      <c r="F192" t="s">
        <v>1534</v>
      </c>
      <c r="G192" t="s">
        <v>1535</v>
      </c>
      <c r="H192">
        <v>1</v>
      </c>
      <c r="I192">
        <v>1</v>
      </c>
      <c r="J192">
        <v>2</v>
      </c>
      <c r="K192">
        <v>3</v>
      </c>
      <c r="L192" s="22" t="str">
        <f t="shared" si="66"/>
        <v>21/07/2026</v>
      </c>
      <c r="M192" s="23">
        <f t="shared" si="67"/>
        <v>0.65625</v>
      </c>
      <c r="N192" t="str">
        <f t="shared" si="47"/>
        <v>2 - 3</v>
      </c>
      <c r="O192" t="str">
        <f t="shared" si="48"/>
        <v>Red</v>
      </c>
      <c r="P192" t="str">
        <f t="shared" si="49"/>
        <v>Red</v>
      </c>
      <c r="Q192" t="str">
        <f t="shared" si="50"/>
        <v>Green</v>
      </c>
      <c r="R192" t="str">
        <f t="shared" si="51"/>
        <v>Red</v>
      </c>
      <c r="S192" t="str">
        <f t="shared" si="52"/>
        <v>Green</v>
      </c>
      <c r="T192" t="str">
        <f t="shared" si="53"/>
        <v>Green</v>
      </c>
      <c r="U192" t="str">
        <f t="shared" si="54"/>
        <v>Red</v>
      </c>
      <c r="V192" t="str">
        <f t="shared" si="55"/>
        <v>Green</v>
      </c>
      <c r="W192" t="str">
        <f t="shared" si="56"/>
        <v>Red</v>
      </c>
      <c r="X192" t="str">
        <f t="shared" si="57"/>
        <v>Green</v>
      </c>
      <c r="Y192" t="str">
        <f t="shared" si="58"/>
        <v>Green</v>
      </c>
      <c r="Z192" t="str">
        <f t="shared" si="59"/>
        <v>Green</v>
      </c>
      <c r="AA192" t="str">
        <f t="shared" si="60"/>
        <v>Red</v>
      </c>
      <c r="AB192" t="str">
        <f t="shared" si="61"/>
        <v>Red</v>
      </c>
      <c r="AC192" t="str">
        <f t="shared" si="62"/>
        <v>Green</v>
      </c>
      <c r="AD192" t="str">
        <f t="shared" si="63"/>
        <v>Red</v>
      </c>
    </row>
    <row r="193" spans="1:30" x14ac:dyDescent="0.2">
      <c r="A193" t="str">
        <f t="shared" si="46"/>
        <v>21/07/2026Cray WanderersCray Valley Paper Mills</v>
      </c>
      <c r="D193" s="2">
        <v>46224</v>
      </c>
      <c r="E193" s="3">
        <v>0.78125</v>
      </c>
      <c r="F193" t="s">
        <v>1536</v>
      </c>
      <c r="G193" t="s">
        <v>1537</v>
      </c>
      <c r="H193">
        <v>2</v>
      </c>
      <c r="I193">
        <v>0</v>
      </c>
      <c r="J193">
        <v>2</v>
      </c>
      <c r="K193">
        <v>0</v>
      </c>
      <c r="L193" s="22" t="str">
        <f t="shared" si="66"/>
        <v>21/07/2026</v>
      </c>
      <c r="M193" s="23">
        <f t="shared" si="67"/>
        <v>0.65625</v>
      </c>
      <c r="N193" t="str">
        <f t="shared" si="47"/>
        <v>2 - 0</v>
      </c>
      <c r="O193" t="str">
        <f t="shared" si="48"/>
        <v>Green</v>
      </c>
      <c r="P193" t="str">
        <f t="shared" si="49"/>
        <v>Red</v>
      </c>
      <c r="Q193" t="str">
        <f t="shared" si="50"/>
        <v>Red</v>
      </c>
      <c r="R193" t="str">
        <f t="shared" si="51"/>
        <v>Green</v>
      </c>
      <c r="S193" t="str">
        <f t="shared" si="52"/>
        <v>Red</v>
      </c>
      <c r="T193" t="str">
        <f t="shared" si="53"/>
        <v>Green</v>
      </c>
      <c r="U193" t="str">
        <f t="shared" si="54"/>
        <v>Green</v>
      </c>
      <c r="V193" t="str">
        <f t="shared" si="55"/>
        <v>Red</v>
      </c>
      <c r="W193" t="str">
        <f t="shared" si="56"/>
        <v>Red</v>
      </c>
      <c r="X193" t="str">
        <f t="shared" si="57"/>
        <v>Green</v>
      </c>
      <c r="Y193" t="str">
        <f t="shared" si="58"/>
        <v>Green</v>
      </c>
      <c r="Z193" t="str">
        <f t="shared" si="59"/>
        <v>Red</v>
      </c>
      <c r="AA193" t="str">
        <f t="shared" si="60"/>
        <v>Green</v>
      </c>
      <c r="AB193" t="str">
        <f t="shared" si="61"/>
        <v>Green</v>
      </c>
      <c r="AC193" t="str">
        <f t="shared" si="62"/>
        <v>Red</v>
      </c>
      <c r="AD193" t="str">
        <f t="shared" si="63"/>
        <v>Green</v>
      </c>
    </row>
    <row r="194" spans="1:30" x14ac:dyDescent="0.2">
      <c r="A194" t="str">
        <f t="shared" ref="A194:A257" si="68">L194&amp;F194&amp;G194</f>
        <v>21/07/2026Darlington 1883Carlisle United</v>
      </c>
      <c r="D194" s="2">
        <v>46224</v>
      </c>
      <c r="E194" s="3">
        <v>0.78125</v>
      </c>
      <c r="F194" t="s">
        <v>1538</v>
      </c>
      <c r="G194" t="s">
        <v>1539</v>
      </c>
      <c r="H194">
        <v>1</v>
      </c>
      <c r="I194">
        <v>4</v>
      </c>
      <c r="J194">
        <v>2</v>
      </c>
      <c r="K194">
        <v>4</v>
      </c>
      <c r="L194" s="22" t="str">
        <f t="shared" si="66"/>
        <v>21/07/2026</v>
      </c>
      <c r="M194" s="23">
        <f t="shared" si="67"/>
        <v>0.65625</v>
      </c>
      <c r="N194" t="str">
        <f t="shared" ref="N194:N257" si="69">J194&amp;" - "&amp;K194</f>
        <v>2 - 4</v>
      </c>
      <c r="O194" t="str">
        <f t="shared" ref="O194:O257" si="70">IF($J194&gt;$K194,"Green","Red")</f>
        <v>Red</v>
      </c>
      <c r="P194" t="str">
        <f t="shared" ref="P194:P257" si="71">IF($J194=$K194,"Green","Red")</f>
        <v>Red</v>
      </c>
      <c r="Q194" t="str">
        <f t="shared" ref="Q194:Q257" si="72">IF($J194&lt;$K194,"Green","Red")</f>
        <v>Green</v>
      </c>
      <c r="R194" t="str">
        <f t="shared" ref="R194:R257" si="73">IF($J194&gt;=$K194,"Green","Red")</f>
        <v>Red</v>
      </c>
      <c r="S194" t="str">
        <f t="shared" ref="S194:S257" si="74">IF($J194&lt;=$K194,"Green","Red")</f>
        <v>Green</v>
      </c>
      <c r="T194" t="str">
        <f t="shared" ref="T194:T257" si="75">IF(OR($J194&gt;$K194,$J194&lt;$K194),"Green","Red")</f>
        <v>Green</v>
      </c>
      <c r="U194" t="str">
        <f t="shared" ref="U194:U257" si="76">IF($H194&gt;$I194,"Green","Red")</f>
        <v>Red</v>
      </c>
      <c r="V194" t="str">
        <f t="shared" ref="V194:V257" si="77">IF($H194=$I194,"Green","Red")</f>
        <v>Red</v>
      </c>
      <c r="W194" t="str">
        <f t="shared" ref="W194:W257" si="78">IF($H194&lt;$I194,"Green","Red")</f>
        <v>Green</v>
      </c>
      <c r="X194" t="str">
        <f t="shared" ref="X194:X257" si="79">IF($H194+$I194&gt;0,"Green","Red")</f>
        <v>Green</v>
      </c>
      <c r="Y194" t="str">
        <f t="shared" ref="Y194:Y257" si="80">IF($J194+$K194&gt;1.5,"Green","Red")</f>
        <v>Green</v>
      </c>
      <c r="Z194" t="str">
        <f t="shared" ref="Z194:Z257" si="81">IF($J194+$K194&gt;2.5,"Green","Red")</f>
        <v>Green</v>
      </c>
      <c r="AA194" t="str">
        <f t="shared" ref="AA194:AA257" si="82">IF($J194+$K194&lt;2.5,"Green","Red")</f>
        <v>Red</v>
      </c>
      <c r="AB194" t="str">
        <f t="shared" ref="AB194:AB257" si="83">IF($J194+$K194&lt;3.5,"Green","Red")</f>
        <v>Red</v>
      </c>
      <c r="AC194" t="str">
        <f t="shared" ref="AC194:AC257" si="84">IF(AND($J194&gt;0,$K194&gt;0),"Green","Red")</f>
        <v>Green</v>
      </c>
      <c r="AD194" t="str">
        <f t="shared" ref="AD194:AD257" si="85">IF(OR($J194=0,$K194=0),"Green","Red")</f>
        <v>Red</v>
      </c>
    </row>
    <row r="195" spans="1:30" x14ac:dyDescent="0.2">
      <c r="A195" t="str">
        <f t="shared" si="68"/>
        <v>21/07/2026DartfordBillericay Town</v>
      </c>
      <c r="D195" s="2">
        <v>46224</v>
      </c>
      <c r="E195" s="3">
        <v>0.78125</v>
      </c>
      <c r="F195" t="s">
        <v>1540</v>
      </c>
      <c r="G195" t="s">
        <v>1541</v>
      </c>
      <c r="H195">
        <v>0</v>
      </c>
      <c r="I195">
        <v>2</v>
      </c>
      <c r="J195">
        <v>0</v>
      </c>
      <c r="K195">
        <v>3</v>
      </c>
      <c r="L195" s="22" t="str">
        <f t="shared" si="66"/>
        <v>21/07/2026</v>
      </c>
      <c r="M195" s="23">
        <f t="shared" si="67"/>
        <v>0.65625</v>
      </c>
      <c r="N195" t="str">
        <f t="shared" si="69"/>
        <v>0 - 3</v>
      </c>
      <c r="O195" t="str">
        <f t="shared" si="70"/>
        <v>Red</v>
      </c>
      <c r="P195" t="str">
        <f t="shared" si="71"/>
        <v>Red</v>
      </c>
      <c r="Q195" t="str">
        <f t="shared" si="72"/>
        <v>Green</v>
      </c>
      <c r="R195" t="str">
        <f t="shared" si="73"/>
        <v>Red</v>
      </c>
      <c r="S195" t="str">
        <f t="shared" si="74"/>
        <v>Green</v>
      </c>
      <c r="T195" t="str">
        <f t="shared" si="75"/>
        <v>Green</v>
      </c>
      <c r="U195" t="str">
        <f t="shared" si="76"/>
        <v>Red</v>
      </c>
      <c r="V195" t="str">
        <f t="shared" si="77"/>
        <v>Red</v>
      </c>
      <c r="W195" t="str">
        <f t="shared" si="78"/>
        <v>Green</v>
      </c>
      <c r="X195" t="str">
        <f t="shared" si="79"/>
        <v>Green</v>
      </c>
      <c r="Y195" t="str">
        <f t="shared" si="80"/>
        <v>Green</v>
      </c>
      <c r="Z195" t="str">
        <f t="shared" si="81"/>
        <v>Green</v>
      </c>
      <c r="AA195" t="str">
        <f t="shared" si="82"/>
        <v>Red</v>
      </c>
      <c r="AB195" t="str">
        <f t="shared" si="83"/>
        <v>Green</v>
      </c>
      <c r="AC195" t="str">
        <f t="shared" si="84"/>
        <v>Red</v>
      </c>
      <c r="AD195" t="str">
        <f t="shared" si="85"/>
        <v>Green</v>
      </c>
    </row>
    <row r="196" spans="1:30" x14ac:dyDescent="0.2">
      <c r="A196" t="str">
        <f t="shared" si="68"/>
        <v>21/07/2026Dorking WanderersChatham Town</v>
      </c>
      <c r="D196" s="2">
        <v>46224</v>
      </c>
      <c r="E196" s="3">
        <v>0.78125</v>
      </c>
      <c r="F196" t="s">
        <v>1542</v>
      </c>
      <c r="G196" t="s">
        <v>1543</v>
      </c>
      <c r="H196">
        <v>0</v>
      </c>
      <c r="I196">
        <v>0</v>
      </c>
      <c r="J196">
        <v>0</v>
      </c>
      <c r="K196">
        <v>1</v>
      </c>
      <c r="L196" s="22" t="str">
        <f t="shared" si="66"/>
        <v>21/07/2026</v>
      </c>
      <c r="M196" s="23">
        <f t="shared" si="67"/>
        <v>0.65625</v>
      </c>
      <c r="N196" t="str">
        <f t="shared" si="69"/>
        <v>0 - 1</v>
      </c>
      <c r="O196" t="str">
        <f t="shared" si="70"/>
        <v>Red</v>
      </c>
      <c r="P196" t="str">
        <f t="shared" si="71"/>
        <v>Red</v>
      </c>
      <c r="Q196" t="str">
        <f t="shared" si="72"/>
        <v>Green</v>
      </c>
      <c r="R196" t="str">
        <f t="shared" si="73"/>
        <v>Red</v>
      </c>
      <c r="S196" t="str">
        <f t="shared" si="74"/>
        <v>Green</v>
      </c>
      <c r="T196" t="str">
        <f t="shared" si="75"/>
        <v>Green</v>
      </c>
      <c r="U196" t="str">
        <f t="shared" si="76"/>
        <v>Red</v>
      </c>
      <c r="V196" t="str">
        <f t="shared" si="77"/>
        <v>Green</v>
      </c>
      <c r="W196" t="str">
        <f t="shared" si="78"/>
        <v>Red</v>
      </c>
      <c r="X196" t="str">
        <f t="shared" si="79"/>
        <v>Red</v>
      </c>
      <c r="Y196" t="str">
        <f t="shared" si="80"/>
        <v>Red</v>
      </c>
      <c r="Z196" t="str">
        <f t="shared" si="81"/>
        <v>Red</v>
      </c>
      <c r="AA196" t="str">
        <f t="shared" si="82"/>
        <v>Green</v>
      </c>
      <c r="AB196" t="str">
        <f t="shared" si="83"/>
        <v>Green</v>
      </c>
      <c r="AC196" t="str">
        <f t="shared" si="84"/>
        <v>Red</v>
      </c>
      <c r="AD196" t="str">
        <f t="shared" si="85"/>
        <v>Green</v>
      </c>
    </row>
    <row r="197" spans="1:30" x14ac:dyDescent="0.2">
      <c r="A197" t="str">
        <f t="shared" si="68"/>
        <v>21/07/2026Dover AthleticDeal Town</v>
      </c>
      <c r="D197" s="2">
        <v>46224</v>
      </c>
      <c r="E197" s="3">
        <v>0.78125</v>
      </c>
      <c r="F197" t="s">
        <v>1544</v>
      </c>
      <c r="G197" t="s">
        <v>1545</v>
      </c>
      <c r="H197">
        <v>1</v>
      </c>
      <c r="I197">
        <v>0</v>
      </c>
      <c r="J197">
        <v>2</v>
      </c>
      <c r="K197">
        <v>1</v>
      </c>
      <c r="L197" s="22" t="str">
        <f t="shared" si="66"/>
        <v>21/07/2026</v>
      </c>
      <c r="M197" s="23">
        <f t="shared" si="67"/>
        <v>0.65625</v>
      </c>
      <c r="N197" t="str">
        <f t="shared" si="69"/>
        <v>2 - 1</v>
      </c>
      <c r="O197" t="str">
        <f t="shared" si="70"/>
        <v>Green</v>
      </c>
      <c r="P197" t="str">
        <f t="shared" si="71"/>
        <v>Red</v>
      </c>
      <c r="Q197" t="str">
        <f t="shared" si="72"/>
        <v>Red</v>
      </c>
      <c r="R197" t="str">
        <f t="shared" si="73"/>
        <v>Green</v>
      </c>
      <c r="S197" t="str">
        <f t="shared" si="74"/>
        <v>Red</v>
      </c>
      <c r="T197" t="str">
        <f t="shared" si="75"/>
        <v>Green</v>
      </c>
      <c r="U197" t="str">
        <f t="shared" si="76"/>
        <v>Green</v>
      </c>
      <c r="V197" t="str">
        <f t="shared" si="77"/>
        <v>Red</v>
      </c>
      <c r="W197" t="str">
        <f t="shared" si="78"/>
        <v>Red</v>
      </c>
      <c r="X197" t="str">
        <f t="shared" si="79"/>
        <v>Green</v>
      </c>
      <c r="Y197" t="str">
        <f t="shared" si="80"/>
        <v>Green</v>
      </c>
      <c r="Z197" t="str">
        <f t="shared" si="81"/>
        <v>Green</v>
      </c>
      <c r="AA197" t="str">
        <f t="shared" si="82"/>
        <v>Red</v>
      </c>
      <c r="AB197" t="str">
        <f t="shared" si="83"/>
        <v>Green</v>
      </c>
      <c r="AC197" t="str">
        <f t="shared" si="84"/>
        <v>Green</v>
      </c>
      <c r="AD197" t="str">
        <f t="shared" si="85"/>
        <v>Red</v>
      </c>
    </row>
    <row r="198" spans="1:30" x14ac:dyDescent="0.2">
      <c r="A198" t="str">
        <f t="shared" si="68"/>
        <v>21/07/2026FarnhamWycombe Wanderers</v>
      </c>
      <c r="D198" s="2">
        <v>46224</v>
      </c>
      <c r="E198" s="3">
        <v>0.78125</v>
      </c>
      <c r="F198" t="s">
        <v>1546</v>
      </c>
      <c r="G198" t="s">
        <v>1428</v>
      </c>
      <c r="H198">
        <v>1</v>
      </c>
      <c r="I198">
        <v>0</v>
      </c>
      <c r="J198">
        <v>2</v>
      </c>
      <c r="K198">
        <v>1</v>
      </c>
      <c r="L198" s="22" t="str">
        <f t="shared" si="66"/>
        <v>21/07/2026</v>
      </c>
      <c r="M198" s="23">
        <f t="shared" si="67"/>
        <v>0.65625</v>
      </c>
      <c r="N198" t="str">
        <f t="shared" si="69"/>
        <v>2 - 1</v>
      </c>
      <c r="O198" t="str">
        <f t="shared" si="70"/>
        <v>Green</v>
      </c>
      <c r="P198" t="str">
        <f t="shared" si="71"/>
        <v>Red</v>
      </c>
      <c r="Q198" t="str">
        <f t="shared" si="72"/>
        <v>Red</v>
      </c>
      <c r="R198" t="str">
        <f t="shared" si="73"/>
        <v>Green</v>
      </c>
      <c r="S198" t="str">
        <f t="shared" si="74"/>
        <v>Red</v>
      </c>
      <c r="T198" t="str">
        <f t="shared" si="75"/>
        <v>Green</v>
      </c>
      <c r="U198" t="str">
        <f t="shared" si="76"/>
        <v>Green</v>
      </c>
      <c r="V198" t="str">
        <f t="shared" si="77"/>
        <v>Red</v>
      </c>
      <c r="W198" t="str">
        <f t="shared" si="78"/>
        <v>Red</v>
      </c>
      <c r="X198" t="str">
        <f t="shared" si="79"/>
        <v>Green</v>
      </c>
      <c r="Y198" t="str">
        <f t="shared" si="80"/>
        <v>Green</v>
      </c>
      <c r="Z198" t="str">
        <f t="shared" si="81"/>
        <v>Green</v>
      </c>
      <c r="AA198" t="str">
        <f t="shared" si="82"/>
        <v>Red</v>
      </c>
      <c r="AB198" t="str">
        <f t="shared" si="83"/>
        <v>Green</v>
      </c>
      <c r="AC198" t="str">
        <f t="shared" si="84"/>
        <v>Green</v>
      </c>
      <c r="AD198" t="str">
        <f t="shared" si="85"/>
        <v>Red</v>
      </c>
    </row>
    <row r="199" spans="1:30" x14ac:dyDescent="0.2">
      <c r="A199" t="str">
        <f t="shared" si="68"/>
        <v>21/07/2026Gainsborough TrinityHalifax Town</v>
      </c>
      <c r="D199" s="2">
        <v>46224</v>
      </c>
      <c r="E199" s="3">
        <v>0.78125</v>
      </c>
      <c r="F199" t="s">
        <v>1547</v>
      </c>
      <c r="G199" t="s">
        <v>1548</v>
      </c>
      <c r="H199">
        <v>0</v>
      </c>
      <c r="I199">
        <v>1</v>
      </c>
      <c r="J199">
        <v>2</v>
      </c>
      <c r="K199">
        <v>3</v>
      </c>
      <c r="L199" s="22" t="str">
        <f t="shared" si="66"/>
        <v>21/07/2026</v>
      </c>
      <c r="M199" s="23">
        <f t="shared" si="67"/>
        <v>0.65625</v>
      </c>
      <c r="N199" t="str">
        <f t="shared" si="69"/>
        <v>2 - 3</v>
      </c>
      <c r="O199" t="str">
        <f t="shared" si="70"/>
        <v>Red</v>
      </c>
      <c r="P199" t="str">
        <f t="shared" si="71"/>
        <v>Red</v>
      </c>
      <c r="Q199" t="str">
        <f t="shared" si="72"/>
        <v>Green</v>
      </c>
      <c r="R199" t="str">
        <f t="shared" si="73"/>
        <v>Red</v>
      </c>
      <c r="S199" t="str">
        <f t="shared" si="74"/>
        <v>Green</v>
      </c>
      <c r="T199" t="str">
        <f t="shared" si="75"/>
        <v>Green</v>
      </c>
      <c r="U199" t="str">
        <f t="shared" si="76"/>
        <v>Red</v>
      </c>
      <c r="V199" t="str">
        <f t="shared" si="77"/>
        <v>Red</v>
      </c>
      <c r="W199" t="str">
        <f t="shared" si="78"/>
        <v>Green</v>
      </c>
      <c r="X199" t="str">
        <f t="shared" si="79"/>
        <v>Green</v>
      </c>
      <c r="Y199" t="str">
        <f t="shared" si="80"/>
        <v>Green</v>
      </c>
      <c r="Z199" t="str">
        <f t="shared" si="81"/>
        <v>Green</v>
      </c>
      <c r="AA199" t="str">
        <f t="shared" si="82"/>
        <v>Red</v>
      </c>
      <c r="AB199" t="str">
        <f t="shared" si="83"/>
        <v>Red</v>
      </c>
      <c r="AC199" t="str">
        <f t="shared" si="84"/>
        <v>Green</v>
      </c>
      <c r="AD199" t="str">
        <f t="shared" si="85"/>
        <v>Red</v>
      </c>
    </row>
    <row r="200" spans="1:30" x14ac:dyDescent="0.2">
      <c r="A200" t="str">
        <f t="shared" si="68"/>
        <v>21/07/2026HendonHemel Hempstead Town</v>
      </c>
      <c r="D200" s="2">
        <v>46224</v>
      </c>
      <c r="E200" s="3">
        <v>0.78125</v>
      </c>
      <c r="F200" t="s">
        <v>1549</v>
      </c>
      <c r="G200" t="s">
        <v>1550</v>
      </c>
      <c r="H200">
        <v>0</v>
      </c>
      <c r="I200">
        <v>4</v>
      </c>
      <c r="J200">
        <v>1</v>
      </c>
      <c r="K200">
        <v>5</v>
      </c>
      <c r="L200" s="22" t="str">
        <f t="shared" si="66"/>
        <v>21/07/2026</v>
      </c>
      <c r="M200" s="23">
        <f t="shared" si="67"/>
        <v>0.65625</v>
      </c>
      <c r="N200" t="str">
        <f t="shared" si="69"/>
        <v>1 - 5</v>
      </c>
      <c r="O200" t="str">
        <f t="shared" si="70"/>
        <v>Red</v>
      </c>
      <c r="P200" t="str">
        <f t="shared" si="71"/>
        <v>Red</v>
      </c>
      <c r="Q200" t="str">
        <f t="shared" si="72"/>
        <v>Green</v>
      </c>
      <c r="R200" t="str">
        <f t="shared" si="73"/>
        <v>Red</v>
      </c>
      <c r="S200" t="str">
        <f t="shared" si="74"/>
        <v>Green</v>
      </c>
      <c r="T200" t="str">
        <f t="shared" si="75"/>
        <v>Green</v>
      </c>
      <c r="U200" t="str">
        <f t="shared" si="76"/>
        <v>Red</v>
      </c>
      <c r="V200" t="str">
        <f t="shared" si="77"/>
        <v>Red</v>
      </c>
      <c r="W200" t="str">
        <f t="shared" si="78"/>
        <v>Green</v>
      </c>
      <c r="X200" t="str">
        <f t="shared" si="79"/>
        <v>Green</v>
      </c>
      <c r="Y200" t="str">
        <f t="shared" si="80"/>
        <v>Green</v>
      </c>
      <c r="Z200" t="str">
        <f t="shared" si="81"/>
        <v>Green</v>
      </c>
      <c r="AA200" t="str">
        <f t="shared" si="82"/>
        <v>Red</v>
      </c>
      <c r="AB200" t="str">
        <f t="shared" si="83"/>
        <v>Red</v>
      </c>
      <c r="AC200" t="str">
        <f t="shared" si="84"/>
        <v>Green</v>
      </c>
      <c r="AD200" t="str">
        <f t="shared" si="85"/>
        <v>Red</v>
      </c>
    </row>
    <row r="201" spans="1:30" x14ac:dyDescent="0.2">
      <c r="A201" t="str">
        <f t="shared" si="68"/>
        <v>21/07/2026HeybridgeStanway</v>
      </c>
      <c r="D201" s="2">
        <v>46224</v>
      </c>
      <c r="E201" s="3">
        <v>0.78125</v>
      </c>
      <c r="F201" t="s">
        <v>1551</v>
      </c>
      <c r="G201" t="s">
        <v>1552</v>
      </c>
      <c r="H201">
        <v>3</v>
      </c>
      <c r="I201">
        <v>0</v>
      </c>
      <c r="J201">
        <v>3</v>
      </c>
      <c r="K201">
        <v>1</v>
      </c>
      <c r="L201" s="22" t="str">
        <f t="shared" si="66"/>
        <v>21/07/2026</v>
      </c>
      <c r="M201" s="23">
        <f t="shared" si="67"/>
        <v>0.65625</v>
      </c>
      <c r="N201" t="str">
        <f t="shared" si="69"/>
        <v>3 - 1</v>
      </c>
      <c r="O201" t="str">
        <f t="shared" si="70"/>
        <v>Green</v>
      </c>
      <c r="P201" t="str">
        <f t="shared" si="71"/>
        <v>Red</v>
      </c>
      <c r="Q201" t="str">
        <f t="shared" si="72"/>
        <v>Red</v>
      </c>
      <c r="R201" t="str">
        <f t="shared" si="73"/>
        <v>Green</v>
      </c>
      <c r="S201" t="str">
        <f t="shared" si="74"/>
        <v>Red</v>
      </c>
      <c r="T201" t="str">
        <f t="shared" si="75"/>
        <v>Green</v>
      </c>
      <c r="U201" t="str">
        <f t="shared" si="76"/>
        <v>Green</v>
      </c>
      <c r="V201" t="str">
        <f t="shared" si="77"/>
        <v>Red</v>
      </c>
      <c r="W201" t="str">
        <f t="shared" si="78"/>
        <v>Red</v>
      </c>
      <c r="X201" t="str">
        <f t="shared" si="79"/>
        <v>Green</v>
      </c>
      <c r="Y201" t="str">
        <f t="shared" si="80"/>
        <v>Green</v>
      </c>
      <c r="Z201" t="str">
        <f t="shared" si="81"/>
        <v>Green</v>
      </c>
      <c r="AA201" t="str">
        <f t="shared" si="82"/>
        <v>Red</v>
      </c>
      <c r="AB201" t="str">
        <f t="shared" si="83"/>
        <v>Red</v>
      </c>
      <c r="AC201" t="str">
        <f t="shared" si="84"/>
        <v>Green</v>
      </c>
      <c r="AD201" t="str">
        <f t="shared" si="85"/>
        <v>Red</v>
      </c>
    </row>
    <row r="202" spans="1:30" x14ac:dyDescent="0.2">
      <c r="A202" t="str">
        <f t="shared" si="68"/>
        <v>21/07/2026HorshamDulwich Hamlet</v>
      </c>
      <c r="D202" s="2">
        <v>46224</v>
      </c>
      <c r="E202" s="3">
        <v>0.78125</v>
      </c>
      <c r="F202" t="s">
        <v>1553</v>
      </c>
      <c r="G202" t="s">
        <v>1554</v>
      </c>
      <c r="H202">
        <v>0</v>
      </c>
      <c r="I202">
        <v>0</v>
      </c>
      <c r="J202">
        <v>1</v>
      </c>
      <c r="K202">
        <v>1</v>
      </c>
      <c r="L202" s="22" t="str">
        <f t="shared" si="66"/>
        <v>21/07/2026</v>
      </c>
      <c r="M202" s="23">
        <f t="shared" si="67"/>
        <v>0.65625</v>
      </c>
      <c r="N202" t="str">
        <f t="shared" si="69"/>
        <v>1 - 1</v>
      </c>
      <c r="O202" t="str">
        <f t="shared" si="70"/>
        <v>Red</v>
      </c>
      <c r="P202" t="str">
        <f t="shared" si="71"/>
        <v>Green</v>
      </c>
      <c r="Q202" t="str">
        <f t="shared" si="72"/>
        <v>Red</v>
      </c>
      <c r="R202" t="str">
        <f t="shared" si="73"/>
        <v>Green</v>
      </c>
      <c r="S202" t="str">
        <f t="shared" si="74"/>
        <v>Green</v>
      </c>
      <c r="T202" t="str">
        <f t="shared" si="75"/>
        <v>Red</v>
      </c>
      <c r="U202" t="str">
        <f t="shared" si="76"/>
        <v>Red</v>
      </c>
      <c r="V202" t="str">
        <f t="shared" si="77"/>
        <v>Green</v>
      </c>
      <c r="W202" t="str">
        <f t="shared" si="78"/>
        <v>Red</v>
      </c>
      <c r="X202" t="str">
        <f t="shared" si="79"/>
        <v>Red</v>
      </c>
      <c r="Y202" t="str">
        <f t="shared" si="80"/>
        <v>Green</v>
      </c>
      <c r="Z202" t="str">
        <f t="shared" si="81"/>
        <v>Red</v>
      </c>
      <c r="AA202" t="str">
        <f t="shared" si="82"/>
        <v>Green</v>
      </c>
      <c r="AB202" t="str">
        <f t="shared" si="83"/>
        <v>Green</v>
      </c>
      <c r="AC202" t="str">
        <f t="shared" si="84"/>
        <v>Green</v>
      </c>
      <c r="AD202" t="str">
        <f t="shared" si="85"/>
        <v>Red</v>
      </c>
    </row>
    <row r="203" spans="1:30" x14ac:dyDescent="0.2">
      <c r="A203" t="str">
        <f t="shared" si="68"/>
        <v>21/07/2026LiversedgeAFC Emley</v>
      </c>
      <c r="D203" s="2">
        <v>46224</v>
      </c>
      <c r="E203" s="3">
        <v>0.78125</v>
      </c>
      <c r="F203" t="s">
        <v>1555</v>
      </c>
      <c r="G203" t="s">
        <v>1556</v>
      </c>
      <c r="H203">
        <v>1</v>
      </c>
      <c r="I203">
        <v>0</v>
      </c>
      <c r="J203">
        <v>1</v>
      </c>
      <c r="K203">
        <v>1</v>
      </c>
      <c r="L203" s="22" t="str">
        <f t="shared" si="66"/>
        <v>21/07/2026</v>
      </c>
      <c r="M203" s="23">
        <f t="shared" si="67"/>
        <v>0.65625</v>
      </c>
      <c r="N203" t="str">
        <f t="shared" si="69"/>
        <v>1 - 1</v>
      </c>
      <c r="O203" t="str">
        <f t="shared" si="70"/>
        <v>Red</v>
      </c>
      <c r="P203" t="str">
        <f t="shared" si="71"/>
        <v>Green</v>
      </c>
      <c r="Q203" t="str">
        <f t="shared" si="72"/>
        <v>Red</v>
      </c>
      <c r="R203" t="str">
        <f t="shared" si="73"/>
        <v>Green</v>
      </c>
      <c r="S203" t="str">
        <f t="shared" si="74"/>
        <v>Green</v>
      </c>
      <c r="T203" t="str">
        <f t="shared" si="75"/>
        <v>Red</v>
      </c>
      <c r="U203" t="str">
        <f t="shared" si="76"/>
        <v>Green</v>
      </c>
      <c r="V203" t="str">
        <f t="shared" si="77"/>
        <v>Red</v>
      </c>
      <c r="W203" t="str">
        <f t="shared" si="78"/>
        <v>Red</v>
      </c>
      <c r="X203" t="str">
        <f t="shared" si="79"/>
        <v>Green</v>
      </c>
      <c r="Y203" t="str">
        <f t="shared" si="80"/>
        <v>Green</v>
      </c>
      <c r="Z203" t="str">
        <f t="shared" si="81"/>
        <v>Red</v>
      </c>
      <c r="AA203" t="str">
        <f t="shared" si="82"/>
        <v>Green</v>
      </c>
      <c r="AB203" t="str">
        <f t="shared" si="83"/>
        <v>Green</v>
      </c>
      <c r="AC203" t="str">
        <f t="shared" si="84"/>
        <v>Green</v>
      </c>
      <c r="AD203" t="str">
        <f t="shared" si="85"/>
        <v>Red</v>
      </c>
    </row>
    <row r="204" spans="1:30" x14ac:dyDescent="0.2">
      <c r="A204" t="str">
        <f t="shared" si="68"/>
        <v>21/07/2026Loughgall FCDungannon Swifts</v>
      </c>
      <c r="D204" s="2">
        <v>46224</v>
      </c>
      <c r="E204" s="3">
        <v>0.78125</v>
      </c>
      <c r="F204" t="s">
        <v>1557</v>
      </c>
      <c r="G204" t="s">
        <v>1558</v>
      </c>
      <c r="H204">
        <v>0</v>
      </c>
      <c r="I204">
        <v>1</v>
      </c>
      <c r="J204">
        <v>1</v>
      </c>
      <c r="K204">
        <v>4</v>
      </c>
      <c r="L204" s="22" t="str">
        <f t="shared" si="66"/>
        <v>21/07/2026</v>
      </c>
      <c r="M204" s="23">
        <f t="shared" si="67"/>
        <v>0.65625</v>
      </c>
      <c r="N204" t="str">
        <f t="shared" si="69"/>
        <v>1 - 4</v>
      </c>
      <c r="O204" t="str">
        <f t="shared" si="70"/>
        <v>Red</v>
      </c>
      <c r="P204" t="str">
        <f t="shared" si="71"/>
        <v>Red</v>
      </c>
      <c r="Q204" t="str">
        <f t="shared" si="72"/>
        <v>Green</v>
      </c>
      <c r="R204" t="str">
        <f t="shared" si="73"/>
        <v>Red</v>
      </c>
      <c r="S204" t="str">
        <f t="shared" si="74"/>
        <v>Green</v>
      </c>
      <c r="T204" t="str">
        <f t="shared" si="75"/>
        <v>Green</v>
      </c>
      <c r="U204" t="str">
        <f t="shared" si="76"/>
        <v>Red</v>
      </c>
      <c r="V204" t="str">
        <f t="shared" si="77"/>
        <v>Red</v>
      </c>
      <c r="W204" t="str">
        <f t="shared" si="78"/>
        <v>Green</v>
      </c>
      <c r="X204" t="str">
        <f t="shared" si="79"/>
        <v>Green</v>
      </c>
      <c r="Y204" t="str">
        <f t="shared" si="80"/>
        <v>Green</v>
      </c>
      <c r="Z204" t="str">
        <f t="shared" si="81"/>
        <v>Green</v>
      </c>
      <c r="AA204" t="str">
        <f t="shared" si="82"/>
        <v>Red</v>
      </c>
      <c r="AB204" t="str">
        <f t="shared" si="83"/>
        <v>Red</v>
      </c>
      <c r="AC204" t="str">
        <f t="shared" si="84"/>
        <v>Green</v>
      </c>
      <c r="AD204" t="str">
        <f t="shared" si="85"/>
        <v>Red</v>
      </c>
    </row>
    <row r="205" spans="1:30" x14ac:dyDescent="0.2">
      <c r="A205" t="str">
        <f t="shared" si="68"/>
        <v>21/07/2026Needham MarketSudbury</v>
      </c>
      <c r="D205" s="2">
        <v>46224</v>
      </c>
      <c r="E205" s="3">
        <v>0.78125</v>
      </c>
      <c r="F205" t="s">
        <v>1559</v>
      </c>
      <c r="G205" t="s">
        <v>1560</v>
      </c>
      <c r="H205">
        <v>0</v>
      </c>
      <c r="I205">
        <v>0</v>
      </c>
      <c r="J205">
        <v>3</v>
      </c>
      <c r="K205">
        <v>1</v>
      </c>
      <c r="L205" s="22" t="str">
        <f t="shared" si="66"/>
        <v>21/07/2026</v>
      </c>
      <c r="M205" s="23">
        <f t="shared" si="67"/>
        <v>0.65625</v>
      </c>
      <c r="N205" t="str">
        <f t="shared" si="69"/>
        <v>3 - 1</v>
      </c>
      <c r="O205" t="str">
        <f t="shared" si="70"/>
        <v>Green</v>
      </c>
      <c r="P205" t="str">
        <f t="shared" si="71"/>
        <v>Red</v>
      </c>
      <c r="Q205" t="str">
        <f t="shared" si="72"/>
        <v>Red</v>
      </c>
      <c r="R205" t="str">
        <f t="shared" si="73"/>
        <v>Green</v>
      </c>
      <c r="S205" t="str">
        <f t="shared" si="74"/>
        <v>Red</v>
      </c>
      <c r="T205" t="str">
        <f t="shared" si="75"/>
        <v>Green</v>
      </c>
      <c r="U205" t="str">
        <f t="shared" si="76"/>
        <v>Red</v>
      </c>
      <c r="V205" t="str">
        <f t="shared" si="77"/>
        <v>Green</v>
      </c>
      <c r="W205" t="str">
        <f t="shared" si="78"/>
        <v>Red</v>
      </c>
      <c r="X205" t="str">
        <f t="shared" si="79"/>
        <v>Red</v>
      </c>
      <c r="Y205" t="str">
        <f t="shared" si="80"/>
        <v>Green</v>
      </c>
      <c r="Z205" t="str">
        <f t="shared" si="81"/>
        <v>Green</v>
      </c>
      <c r="AA205" t="str">
        <f t="shared" si="82"/>
        <v>Red</v>
      </c>
      <c r="AB205" t="str">
        <f t="shared" si="83"/>
        <v>Red</v>
      </c>
      <c r="AC205" t="str">
        <f t="shared" si="84"/>
        <v>Green</v>
      </c>
      <c r="AD205" t="str">
        <f t="shared" si="85"/>
        <v>Red</v>
      </c>
    </row>
    <row r="206" spans="1:30" x14ac:dyDescent="0.2">
      <c r="A206" t="str">
        <f t="shared" si="68"/>
        <v>21/07/2026Rugby BoroughLeamington</v>
      </c>
      <c r="D206" s="2">
        <v>46224</v>
      </c>
      <c r="E206" s="3">
        <v>0.78125</v>
      </c>
      <c r="F206" t="s">
        <v>1561</v>
      </c>
      <c r="G206" t="s">
        <v>1481</v>
      </c>
      <c r="H206">
        <v>1</v>
      </c>
      <c r="I206">
        <v>0</v>
      </c>
      <c r="J206">
        <v>2</v>
      </c>
      <c r="K206">
        <v>1</v>
      </c>
      <c r="L206" s="22" t="str">
        <f t="shared" si="66"/>
        <v>21/07/2026</v>
      </c>
      <c r="M206" s="23">
        <f t="shared" si="67"/>
        <v>0.65625</v>
      </c>
      <c r="N206" t="str">
        <f t="shared" si="69"/>
        <v>2 - 1</v>
      </c>
      <c r="O206" t="str">
        <f t="shared" si="70"/>
        <v>Green</v>
      </c>
      <c r="P206" t="str">
        <f t="shared" si="71"/>
        <v>Red</v>
      </c>
      <c r="Q206" t="str">
        <f t="shared" si="72"/>
        <v>Red</v>
      </c>
      <c r="R206" t="str">
        <f t="shared" si="73"/>
        <v>Green</v>
      </c>
      <c r="S206" t="str">
        <f t="shared" si="74"/>
        <v>Red</v>
      </c>
      <c r="T206" t="str">
        <f t="shared" si="75"/>
        <v>Green</v>
      </c>
      <c r="U206" t="str">
        <f t="shared" si="76"/>
        <v>Green</v>
      </c>
      <c r="V206" t="str">
        <f t="shared" si="77"/>
        <v>Red</v>
      </c>
      <c r="W206" t="str">
        <f t="shared" si="78"/>
        <v>Red</v>
      </c>
      <c r="X206" t="str">
        <f t="shared" si="79"/>
        <v>Green</v>
      </c>
      <c r="Y206" t="str">
        <f t="shared" si="80"/>
        <v>Green</v>
      </c>
      <c r="Z206" t="str">
        <f t="shared" si="81"/>
        <v>Green</v>
      </c>
      <c r="AA206" t="str">
        <f t="shared" si="82"/>
        <v>Red</v>
      </c>
      <c r="AB206" t="str">
        <f t="shared" si="83"/>
        <v>Green</v>
      </c>
      <c r="AC206" t="str">
        <f t="shared" si="84"/>
        <v>Green</v>
      </c>
      <c r="AD206" t="str">
        <f t="shared" si="85"/>
        <v>Red</v>
      </c>
    </row>
    <row r="207" spans="1:30" x14ac:dyDescent="0.2">
      <c r="A207" t="str">
        <f t="shared" si="68"/>
        <v>21/07/2026South ParkLeatherhead</v>
      </c>
      <c r="D207" s="2">
        <v>46224</v>
      </c>
      <c r="E207" s="3">
        <v>0.78125</v>
      </c>
      <c r="F207" t="s">
        <v>1562</v>
      </c>
      <c r="G207" t="s">
        <v>1563</v>
      </c>
      <c r="H207">
        <v>0</v>
      </c>
      <c r="I207">
        <v>1</v>
      </c>
      <c r="J207">
        <v>4</v>
      </c>
      <c r="K207">
        <v>2</v>
      </c>
      <c r="L207" s="22" t="str">
        <f t="shared" si="66"/>
        <v>21/07/2026</v>
      </c>
      <c r="M207" s="23">
        <f t="shared" si="67"/>
        <v>0.65625</v>
      </c>
      <c r="N207" t="str">
        <f t="shared" si="69"/>
        <v>4 - 2</v>
      </c>
      <c r="O207" t="str">
        <f t="shared" si="70"/>
        <v>Green</v>
      </c>
      <c r="P207" t="str">
        <f t="shared" si="71"/>
        <v>Red</v>
      </c>
      <c r="Q207" t="str">
        <f t="shared" si="72"/>
        <v>Red</v>
      </c>
      <c r="R207" t="str">
        <f t="shared" si="73"/>
        <v>Green</v>
      </c>
      <c r="S207" t="str">
        <f t="shared" si="74"/>
        <v>Red</v>
      </c>
      <c r="T207" t="str">
        <f t="shared" si="75"/>
        <v>Green</v>
      </c>
      <c r="U207" t="str">
        <f t="shared" si="76"/>
        <v>Red</v>
      </c>
      <c r="V207" t="str">
        <f t="shared" si="77"/>
        <v>Red</v>
      </c>
      <c r="W207" t="str">
        <f t="shared" si="78"/>
        <v>Green</v>
      </c>
      <c r="X207" t="str">
        <f t="shared" si="79"/>
        <v>Green</v>
      </c>
      <c r="Y207" t="str">
        <f t="shared" si="80"/>
        <v>Green</v>
      </c>
      <c r="Z207" t="str">
        <f t="shared" si="81"/>
        <v>Green</v>
      </c>
      <c r="AA207" t="str">
        <f t="shared" si="82"/>
        <v>Red</v>
      </c>
      <c r="AB207" t="str">
        <f t="shared" si="83"/>
        <v>Red</v>
      </c>
      <c r="AC207" t="str">
        <f t="shared" si="84"/>
        <v>Green</v>
      </c>
      <c r="AD207" t="str">
        <f t="shared" si="85"/>
        <v>Red</v>
      </c>
    </row>
    <row r="208" spans="1:30" x14ac:dyDescent="0.2">
      <c r="A208" t="str">
        <f t="shared" si="68"/>
        <v>21/07/2026St Albans CityBerkhamsted</v>
      </c>
      <c r="D208" s="2">
        <v>46224</v>
      </c>
      <c r="E208" s="3">
        <v>0.78125</v>
      </c>
      <c r="F208" t="s">
        <v>1564</v>
      </c>
      <c r="G208" t="s">
        <v>1565</v>
      </c>
      <c r="H208">
        <v>2</v>
      </c>
      <c r="I208">
        <v>0</v>
      </c>
      <c r="J208">
        <v>4</v>
      </c>
      <c r="K208">
        <v>0</v>
      </c>
      <c r="L208" s="22" t="str">
        <f t="shared" si="66"/>
        <v>21/07/2026</v>
      </c>
      <c r="M208" s="23">
        <f t="shared" si="67"/>
        <v>0.65625</v>
      </c>
      <c r="N208" t="str">
        <f t="shared" si="69"/>
        <v>4 - 0</v>
      </c>
      <c r="O208" t="str">
        <f t="shared" si="70"/>
        <v>Green</v>
      </c>
      <c r="P208" t="str">
        <f t="shared" si="71"/>
        <v>Red</v>
      </c>
      <c r="Q208" t="str">
        <f t="shared" si="72"/>
        <v>Red</v>
      </c>
      <c r="R208" t="str">
        <f t="shared" si="73"/>
        <v>Green</v>
      </c>
      <c r="S208" t="str">
        <f t="shared" si="74"/>
        <v>Red</v>
      </c>
      <c r="T208" t="str">
        <f t="shared" si="75"/>
        <v>Green</v>
      </c>
      <c r="U208" t="str">
        <f t="shared" si="76"/>
        <v>Green</v>
      </c>
      <c r="V208" t="str">
        <f t="shared" si="77"/>
        <v>Red</v>
      </c>
      <c r="W208" t="str">
        <f t="shared" si="78"/>
        <v>Red</v>
      </c>
      <c r="X208" t="str">
        <f t="shared" si="79"/>
        <v>Green</v>
      </c>
      <c r="Y208" t="str">
        <f t="shared" si="80"/>
        <v>Green</v>
      </c>
      <c r="Z208" t="str">
        <f t="shared" si="81"/>
        <v>Green</v>
      </c>
      <c r="AA208" t="str">
        <f t="shared" si="82"/>
        <v>Red</v>
      </c>
      <c r="AB208" t="str">
        <f t="shared" si="83"/>
        <v>Red</v>
      </c>
      <c r="AC208" t="str">
        <f t="shared" si="84"/>
        <v>Red</v>
      </c>
      <c r="AD208" t="str">
        <f t="shared" si="85"/>
        <v>Green</v>
      </c>
    </row>
    <row r="209" spans="1:30" x14ac:dyDescent="0.2">
      <c r="A209" t="str">
        <f t="shared" si="68"/>
        <v>21/07/2026StamfordGrantham Town</v>
      </c>
      <c r="D209" s="2">
        <v>46224</v>
      </c>
      <c r="E209" s="3">
        <v>0.78125</v>
      </c>
      <c r="F209" t="s">
        <v>1566</v>
      </c>
      <c r="G209" t="s">
        <v>1567</v>
      </c>
      <c r="H209">
        <v>0</v>
      </c>
      <c r="I209">
        <v>0</v>
      </c>
      <c r="J209">
        <v>0</v>
      </c>
      <c r="K209">
        <v>3</v>
      </c>
      <c r="L209" s="22" t="str">
        <f t="shared" si="66"/>
        <v>21/07/2026</v>
      </c>
      <c r="M209" s="23">
        <f t="shared" si="67"/>
        <v>0.65625</v>
      </c>
      <c r="N209" t="str">
        <f t="shared" si="69"/>
        <v>0 - 3</v>
      </c>
      <c r="O209" t="str">
        <f t="shared" si="70"/>
        <v>Red</v>
      </c>
      <c r="P209" t="str">
        <f t="shared" si="71"/>
        <v>Red</v>
      </c>
      <c r="Q209" t="str">
        <f t="shared" si="72"/>
        <v>Green</v>
      </c>
      <c r="R209" t="str">
        <f t="shared" si="73"/>
        <v>Red</v>
      </c>
      <c r="S209" t="str">
        <f t="shared" si="74"/>
        <v>Green</v>
      </c>
      <c r="T209" t="str">
        <f t="shared" si="75"/>
        <v>Green</v>
      </c>
      <c r="U209" t="str">
        <f t="shared" si="76"/>
        <v>Red</v>
      </c>
      <c r="V209" t="str">
        <f t="shared" si="77"/>
        <v>Green</v>
      </c>
      <c r="W209" t="str">
        <f t="shared" si="78"/>
        <v>Red</v>
      </c>
      <c r="X209" t="str">
        <f t="shared" si="79"/>
        <v>Red</v>
      </c>
      <c r="Y209" t="str">
        <f t="shared" si="80"/>
        <v>Green</v>
      </c>
      <c r="Z209" t="str">
        <f t="shared" si="81"/>
        <v>Green</v>
      </c>
      <c r="AA209" t="str">
        <f t="shared" si="82"/>
        <v>Red</v>
      </c>
      <c r="AB209" t="str">
        <f t="shared" si="83"/>
        <v>Green</v>
      </c>
      <c r="AC209" t="str">
        <f t="shared" si="84"/>
        <v>Red</v>
      </c>
      <c r="AD209" t="str">
        <f t="shared" si="85"/>
        <v>Green</v>
      </c>
    </row>
    <row r="210" spans="1:30" x14ac:dyDescent="0.2">
      <c r="A210" t="str">
        <f t="shared" si="68"/>
        <v>21/07/2026Stratford TownBrackley Town</v>
      </c>
      <c r="D210" s="2">
        <v>46224</v>
      </c>
      <c r="E210" s="3">
        <v>0.78125</v>
      </c>
      <c r="F210" t="s">
        <v>1568</v>
      </c>
      <c r="G210" t="s">
        <v>1569</v>
      </c>
      <c r="H210">
        <v>1</v>
      </c>
      <c r="I210">
        <v>0</v>
      </c>
      <c r="J210">
        <v>1</v>
      </c>
      <c r="K210">
        <v>0</v>
      </c>
      <c r="L210" s="22" t="str">
        <f t="shared" si="66"/>
        <v>21/07/2026</v>
      </c>
      <c r="M210" s="23">
        <f t="shared" si="67"/>
        <v>0.65625</v>
      </c>
      <c r="N210" t="str">
        <f t="shared" si="69"/>
        <v>1 - 0</v>
      </c>
      <c r="O210" t="str">
        <f t="shared" si="70"/>
        <v>Green</v>
      </c>
      <c r="P210" t="str">
        <f t="shared" si="71"/>
        <v>Red</v>
      </c>
      <c r="Q210" t="str">
        <f t="shared" si="72"/>
        <v>Red</v>
      </c>
      <c r="R210" t="str">
        <f t="shared" si="73"/>
        <v>Green</v>
      </c>
      <c r="S210" t="str">
        <f t="shared" si="74"/>
        <v>Red</v>
      </c>
      <c r="T210" t="str">
        <f t="shared" si="75"/>
        <v>Green</v>
      </c>
      <c r="U210" t="str">
        <f t="shared" si="76"/>
        <v>Green</v>
      </c>
      <c r="V210" t="str">
        <f t="shared" si="77"/>
        <v>Red</v>
      </c>
      <c r="W210" t="str">
        <f t="shared" si="78"/>
        <v>Red</v>
      </c>
      <c r="X210" t="str">
        <f t="shared" si="79"/>
        <v>Green</v>
      </c>
      <c r="Y210" t="str">
        <f t="shared" si="80"/>
        <v>Red</v>
      </c>
      <c r="Z210" t="str">
        <f t="shared" si="81"/>
        <v>Red</v>
      </c>
      <c r="AA210" t="str">
        <f t="shared" si="82"/>
        <v>Green</v>
      </c>
      <c r="AB210" t="str">
        <f t="shared" si="83"/>
        <v>Green</v>
      </c>
      <c r="AC210" t="str">
        <f t="shared" si="84"/>
        <v>Red</v>
      </c>
      <c r="AD210" t="str">
        <f t="shared" si="85"/>
        <v>Green</v>
      </c>
    </row>
    <row r="211" spans="1:30" x14ac:dyDescent="0.2">
      <c r="A211" t="str">
        <f t="shared" si="68"/>
        <v>21/07/2026Sutton UnitedWalton &amp; Hersham</v>
      </c>
      <c r="D211" s="2">
        <v>46224</v>
      </c>
      <c r="E211" s="3">
        <v>0.78125</v>
      </c>
      <c r="F211" t="s">
        <v>1570</v>
      </c>
      <c r="G211" t="s">
        <v>1571</v>
      </c>
      <c r="H211">
        <v>1</v>
      </c>
      <c r="I211">
        <v>0</v>
      </c>
      <c r="J211">
        <v>1</v>
      </c>
      <c r="K211">
        <v>1</v>
      </c>
      <c r="L211" s="22" t="str">
        <f t="shared" si="66"/>
        <v>21/07/2026</v>
      </c>
      <c r="M211" s="23">
        <f t="shared" si="67"/>
        <v>0.65625</v>
      </c>
      <c r="N211" t="str">
        <f t="shared" si="69"/>
        <v>1 - 1</v>
      </c>
      <c r="O211" t="str">
        <f t="shared" si="70"/>
        <v>Red</v>
      </c>
      <c r="P211" t="str">
        <f t="shared" si="71"/>
        <v>Green</v>
      </c>
      <c r="Q211" t="str">
        <f t="shared" si="72"/>
        <v>Red</v>
      </c>
      <c r="R211" t="str">
        <f t="shared" si="73"/>
        <v>Green</v>
      </c>
      <c r="S211" t="str">
        <f t="shared" si="74"/>
        <v>Green</v>
      </c>
      <c r="T211" t="str">
        <f t="shared" si="75"/>
        <v>Red</v>
      </c>
      <c r="U211" t="str">
        <f t="shared" si="76"/>
        <v>Green</v>
      </c>
      <c r="V211" t="str">
        <f t="shared" si="77"/>
        <v>Red</v>
      </c>
      <c r="W211" t="str">
        <f t="shared" si="78"/>
        <v>Red</v>
      </c>
      <c r="X211" t="str">
        <f t="shared" si="79"/>
        <v>Green</v>
      </c>
      <c r="Y211" t="str">
        <f t="shared" si="80"/>
        <v>Green</v>
      </c>
      <c r="Z211" t="str">
        <f t="shared" si="81"/>
        <v>Red</v>
      </c>
      <c r="AA211" t="str">
        <f t="shared" si="82"/>
        <v>Green</v>
      </c>
      <c r="AB211" t="str">
        <f t="shared" si="83"/>
        <v>Green</v>
      </c>
      <c r="AC211" t="str">
        <f t="shared" si="84"/>
        <v>Green</v>
      </c>
      <c r="AD211" t="str">
        <f t="shared" si="85"/>
        <v>Red</v>
      </c>
    </row>
    <row r="212" spans="1:30" x14ac:dyDescent="0.2">
      <c r="A212" t="str">
        <f t="shared" si="68"/>
        <v>21/07/2026Three BridgesCroydon Athletic</v>
      </c>
      <c r="D212" s="2">
        <v>46224</v>
      </c>
      <c r="E212" s="3">
        <v>0.78125</v>
      </c>
      <c r="F212" t="s">
        <v>1572</v>
      </c>
      <c r="G212" t="s">
        <v>1573</v>
      </c>
      <c r="H212">
        <v>2</v>
      </c>
      <c r="I212">
        <v>2</v>
      </c>
      <c r="J212">
        <v>2</v>
      </c>
      <c r="K212">
        <v>4</v>
      </c>
      <c r="L212" s="22" t="str">
        <f t="shared" si="66"/>
        <v>21/07/2026</v>
      </c>
      <c r="M212" s="23">
        <f t="shared" si="67"/>
        <v>0.65625</v>
      </c>
      <c r="N212" t="str">
        <f t="shared" si="69"/>
        <v>2 - 4</v>
      </c>
      <c r="O212" t="str">
        <f t="shared" si="70"/>
        <v>Red</v>
      </c>
      <c r="P212" t="str">
        <f t="shared" si="71"/>
        <v>Red</v>
      </c>
      <c r="Q212" t="str">
        <f t="shared" si="72"/>
        <v>Green</v>
      </c>
      <c r="R212" t="str">
        <f t="shared" si="73"/>
        <v>Red</v>
      </c>
      <c r="S212" t="str">
        <f t="shared" si="74"/>
        <v>Green</v>
      </c>
      <c r="T212" t="str">
        <f t="shared" si="75"/>
        <v>Green</v>
      </c>
      <c r="U212" t="str">
        <f t="shared" si="76"/>
        <v>Red</v>
      </c>
      <c r="V212" t="str">
        <f t="shared" si="77"/>
        <v>Green</v>
      </c>
      <c r="W212" t="str">
        <f t="shared" si="78"/>
        <v>Red</v>
      </c>
      <c r="X212" t="str">
        <f t="shared" si="79"/>
        <v>Green</v>
      </c>
      <c r="Y212" t="str">
        <f t="shared" si="80"/>
        <v>Green</v>
      </c>
      <c r="Z212" t="str">
        <f t="shared" si="81"/>
        <v>Green</v>
      </c>
      <c r="AA212" t="str">
        <f t="shared" si="82"/>
        <v>Red</v>
      </c>
      <c r="AB212" t="str">
        <f t="shared" si="83"/>
        <v>Red</v>
      </c>
      <c r="AC212" t="str">
        <f t="shared" si="84"/>
        <v>Green</v>
      </c>
      <c r="AD212" t="str">
        <f t="shared" si="85"/>
        <v>Red</v>
      </c>
    </row>
    <row r="213" spans="1:30" x14ac:dyDescent="0.2">
      <c r="A213" t="str">
        <f t="shared" si="68"/>
        <v>21/07/2026Tonbridge AngelsSittingbourne</v>
      </c>
      <c r="D213" s="2">
        <v>46224</v>
      </c>
      <c r="E213" s="3">
        <v>0.78125</v>
      </c>
      <c r="F213" t="s">
        <v>1574</v>
      </c>
      <c r="G213" t="s">
        <v>1575</v>
      </c>
      <c r="H213">
        <v>1</v>
      </c>
      <c r="I213">
        <v>1</v>
      </c>
      <c r="J213">
        <v>2</v>
      </c>
      <c r="K213">
        <v>2</v>
      </c>
      <c r="L213" s="22" t="str">
        <f t="shared" si="66"/>
        <v>21/07/2026</v>
      </c>
      <c r="M213" s="23">
        <f t="shared" si="67"/>
        <v>0.65625</v>
      </c>
      <c r="N213" t="str">
        <f t="shared" si="69"/>
        <v>2 - 2</v>
      </c>
      <c r="O213" t="str">
        <f t="shared" si="70"/>
        <v>Red</v>
      </c>
      <c r="P213" t="str">
        <f t="shared" si="71"/>
        <v>Green</v>
      </c>
      <c r="Q213" t="str">
        <f t="shared" si="72"/>
        <v>Red</v>
      </c>
      <c r="R213" t="str">
        <f t="shared" si="73"/>
        <v>Green</v>
      </c>
      <c r="S213" t="str">
        <f t="shared" si="74"/>
        <v>Green</v>
      </c>
      <c r="T213" t="str">
        <f t="shared" si="75"/>
        <v>Red</v>
      </c>
      <c r="U213" t="str">
        <f t="shared" si="76"/>
        <v>Red</v>
      </c>
      <c r="V213" t="str">
        <f t="shared" si="77"/>
        <v>Green</v>
      </c>
      <c r="W213" t="str">
        <f t="shared" si="78"/>
        <v>Red</v>
      </c>
      <c r="X213" t="str">
        <f t="shared" si="79"/>
        <v>Green</v>
      </c>
      <c r="Y213" t="str">
        <f t="shared" si="80"/>
        <v>Green</v>
      </c>
      <c r="Z213" t="str">
        <f t="shared" si="81"/>
        <v>Green</v>
      </c>
      <c r="AA213" t="str">
        <f t="shared" si="82"/>
        <v>Red</v>
      </c>
      <c r="AB213" t="str">
        <f t="shared" si="83"/>
        <v>Red</v>
      </c>
      <c r="AC213" t="str">
        <f t="shared" si="84"/>
        <v>Green</v>
      </c>
      <c r="AD213" t="str">
        <f t="shared" si="85"/>
        <v>Red</v>
      </c>
    </row>
    <row r="214" spans="1:30" x14ac:dyDescent="0.2">
      <c r="A214" t="str">
        <f t="shared" si="68"/>
        <v>21/07/2026UxbridgeSlough Town</v>
      </c>
      <c r="D214" s="2">
        <v>46224</v>
      </c>
      <c r="E214" s="3">
        <v>0.78125</v>
      </c>
      <c r="F214" t="s">
        <v>1576</v>
      </c>
      <c r="G214" t="s">
        <v>1577</v>
      </c>
      <c r="H214">
        <v>0</v>
      </c>
      <c r="I214">
        <v>0</v>
      </c>
      <c r="J214">
        <v>0</v>
      </c>
      <c r="K214">
        <v>0</v>
      </c>
      <c r="L214" s="22" t="str">
        <f t="shared" si="66"/>
        <v>21/07/2026</v>
      </c>
      <c r="M214" s="23">
        <f t="shared" si="67"/>
        <v>0.65625</v>
      </c>
      <c r="N214" t="str">
        <f t="shared" si="69"/>
        <v>0 - 0</v>
      </c>
      <c r="O214" t="str">
        <f t="shared" si="70"/>
        <v>Red</v>
      </c>
      <c r="P214" t="str">
        <f t="shared" si="71"/>
        <v>Green</v>
      </c>
      <c r="Q214" t="str">
        <f t="shared" si="72"/>
        <v>Red</v>
      </c>
      <c r="R214" t="str">
        <f t="shared" si="73"/>
        <v>Green</v>
      </c>
      <c r="S214" t="str">
        <f t="shared" si="74"/>
        <v>Green</v>
      </c>
      <c r="T214" t="str">
        <f t="shared" si="75"/>
        <v>Red</v>
      </c>
      <c r="U214" t="str">
        <f t="shared" si="76"/>
        <v>Red</v>
      </c>
      <c r="V214" t="str">
        <f t="shared" si="77"/>
        <v>Green</v>
      </c>
      <c r="W214" t="str">
        <f t="shared" si="78"/>
        <v>Red</v>
      </c>
      <c r="X214" t="str">
        <f t="shared" si="79"/>
        <v>Red</v>
      </c>
      <c r="Y214" t="str">
        <f t="shared" si="80"/>
        <v>Red</v>
      </c>
      <c r="Z214" t="str">
        <f t="shared" si="81"/>
        <v>Red</v>
      </c>
      <c r="AA214" t="str">
        <f t="shared" si="82"/>
        <v>Green</v>
      </c>
      <c r="AB214" t="str">
        <f t="shared" si="83"/>
        <v>Green</v>
      </c>
      <c r="AC214" t="str">
        <f t="shared" si="84"/>
        <v>Red</v>
      </c>
      <c r="AD214" t="str">
        <f t="shared" si="85"/>
        <v>Green</v>
      </c>
    </row>
    <row r="215" spans="1:30" x14ac:dyDescent="0.2">
      <c r="A215" t="str">
        <f t="shared" si="68"/>
        <v>21/07/2026Warrington TownMacclesfield Town</v>
      </c>
      <c r="D215" s="2">
        <v>46224</v>
      </c>
      <c r="E215" s="3">
        <v>0.78125</v>
      </c>
      <c r="F215" t="s">
        <v>1578</v>
      </c>
      <c r="G215" t="s">
        <v>1579</v>
      </c>
      <c r="H215">
        <v>1</v>
      </c>
      <c r="I215">
        <v>2</v>
      </c>
      <c r="J215">
        <v>2</v>
      </c>
      <c r="K215">
        <v>2</v>
      </c>
      <c r="L215" s="22" t="str">
        <f t="shared" si="66"/>
        <v>21/07/2026</v>
      </c>
      <c r="M215" s="23">
        <f t="shared" si="67"/>
        <v>0.65625</v>
      </c>
      <c r="N215" t="str">
        <f t="shared" si="69"/>
        <v>2 - 2</v>
      </c>
      <c r="O215" t="str">
        <f t="shared" si="70"/>
        <v>Red</v>
      </c>
      <c r="P215" t="str">
        <f t="shared" si="71"/>
        <v>Green</v>
      </c>
      <c r="Q215" t="str">
        <f t="shared" si="72"/>
        <v>Red</v>
      </c>
      <c r="R215" t="str">
        <f t="shared" si="73"/>
        <v>Green</v>
      </c>
      <c r="S215" t="str">
        <f t="shared" si="74"/>
        <v>Green</v>
      </c>
      <c r="T215" t="str">
        <f t="shared" si="75"/>
        <v>Red</v>
      </c>
      <c r="U215" t="str">
        <f t="shared" si="76"/>
        <v>Red</v>
      </c>
      <c r="V215" t="str">
        <f t="shared" si="77"/>
        <v>Red</v>
      </c>
      <c r="W215" t="str">
        <f t="shared" si="78"/>
        <v>Green</v>
      </c>
      <c r="X215" t="str">
        <f t="shared" si="79"/>
        <v>Green</v>
      </c>
      <c r="Y215" t="str">
        <f t="shared" si="80"/>
        <v>Green</v>
      </c>
      <c r="Z215" t="str">
        <f t="shared" si="81"/>
        <v>Green</v>
      </c>
      <c r="AA215" t="str">
        <f t="shared" si="82"/>
        <v>Red</v>
      </c>
      <c r="AB215" t="str">
        <f t="shared" si="83"/>
        <v>Red</v>
      </c>
      <c r="AC215" t="str">
        <f t="shared" si="84"/>
        <v>Green</v>
      </c>
      <c r="AD215" t="str">
        <f t="shared" si="85"/>
        <v>Red</v>
      </c>
    </row>
    <row r="216" spans="1:30" x14ac:dyDescent="0.2">
      <c r="A216" t="str">
        <f t="shared" si="68"/>
        <v>21/07/2026Larne FCRed Star Belgrade</v>
      </c>
      <c r="B216" t="s">
        <v>802</v>
      </c>
      <c r="C216" t="s">
        <v>803</v>
      </c>
      <c r="D216" s="2">
        <v>46224</v>
      </c>
      <c r="E216" s="3">
        <v>0.79166666666666663</v>
      </c>
      <c r="F216" t="s">
        <v>370</v>
      </c>
      <c r="G216" t="s">
        <v>371</v>
      </c>
      <c r="H216">
        <v>0</v>
      </c>
      <c r="I216">
        <v>1</v>
      </c>
      <c r="J216">
        <v>0</v>
      </c>
      <c r="K216">
        <v>4</v>
      </c>
      <c r="L216" s="22" t="str">
        <f t="shared" si="66"/>
        <v>21/07/2026</v>
      </c>
      <c r="M216" s="23">
        <f t="shared" si="67"/>
        <v>0.66666666666666663</v>
      </c>
      <c r="N216" t="str">
        <f t="shared" si="69"/>
        <v>0 - 4</v>
      </c>
      <c r="O216" t="str">
        <f t="shared" si="70"/>
        <v>Red</v>
      </c>
      <c r="P216" t="str">
        <f t="shared" si="71"/>
        <v>Red</v>
      </c>
      <c r="Q216" t="str">
        <f t="shared" si="72"/>
        <v>Green</v>
      </c>
      <c r="R216" t="str">
        <f t="shared" si="73"/>
        <v>Red</v>
      </c>
      <c r="S216" t="str">
        <f t="shared" si="74"/>
        <v>Green</v>
      </c>
      <c r="T216" t="str">
        <f t="shared" si="75"/>
        <v>Green</v>
      </c>
      <c r="U216" t="str">
        <f t="shared" si="76"/>
        <v>Red</v>
      </c>
      <c r="V216" t="str">
        <f t="shared" si="77"/>
        <v>Red</v>
      </c>
      <c r="W216" t="str">
        <f t="shared" si="78"/>
        <v>Green</v>
      </c>
      <c r="X216" t="str">
        <f t="shared" si="79"/>
        <v>Green</v>
      </c>
      <c r="Y216" t="str">
        <f t="shared" si="80"/>
        <v>Green</v>
      </c>
      <c r="Z216" t="str">
        <f t="shared" si="81"/>
        <v>Green</v>
      </c>
      <c r="AA216" t="str">
        <f t="shared" si="82"/>
        <v>Red</v>
      </c>
      <c r="AB216" t="str">
        <f t="shared" si="83"/>
        <v>Red</v>
      </c>
      <c r="AC216" t="str">
        <f t="shared" si="84"/>
        <v>Red</v>
      </c>
      <c r="AD216" t="str">
        <f t="shared" si="85"/>
        <v>Green</v>
      </c>
    </row>
    <row r="217" spans="1:30" x14ac:dyDescent="0.2">
      <c r="A217" t="str">
        <f t="shared" si="68"/>
        <v>21/07/2026Vikingur ReykjavikHapoel Beer Sheva</v>
      </c>
      <c r="B217" t="s">
        <v>802</v>
      </c>
      <c r="C217" t="s">
        <v>803</v>
      </c>
      <c r="D217" s="2">
        <v>46224</v>
      </c>
      <c r="E217" s="3">
        <v>0.79166666666666663</v>
      </c>
      <c r="F217" t="s">
        <v>167</v>
      </c>
      <c r="G217" t="s">
        <v>372</v>
      </c>
      <c r="H217">
        <v>0</v>
      </c>
      <c r="I217">
        <v>0</v>
      </c>
      <c r="J217">
        <v>2</v>
      </c>
      <c r="K217">
        <v>1</v>
      </c>
      <c r="L217" s="22" t="str">
        <f t="shared" si="66"/>
        <v>21/07/2026</v>
      </c>
      <c r="M217" s="23">
        <f t="shared" si="67"/>
        <v>0.66666666666666663</v>
      </c>
      <c r="N217" t="str">
        <f t="shared" si="69"/>
        <v>2 - 1</v>
      </c>
      <c r="O217" t="str">
        <f t="shared" si="70"/>
        <v>Green</v>
      </c>
      <c r="P217" t="str">
        <f t="shared" si="71"/>
        <v>Red</v>
      </c>
      <c r="Q217" t="str">
        <f t="shared" si="72"/>
        <v>Red</v>
      </c>
      <c r="R217" t="str">
        <f t="shared" si="73"/>
        <v>Green</v>
      </c>
      <c r="S217" t="str">
        <f t="shared" si="74"/>
        <v>Red</v>
      </c>
      <c r="T217" t="str">
        <f t="shared" si="75"/>
        <v>Green</v>
      </c>
      <c r="U217" t="str">
        <f t="shared" si="76"/>
        <v>Red</v>
      </c>
      <c r="V217" t="str">
        <f t="shared" si="77"/>
        <v>Green</v>
      </c>
      <c r="W217" t="str">
        <f t="shared" si="78"/>
        <v>Red</v>
      </c>
      <c r="X217" t="str">
        <f t="shared" si="79"/>
        <v>Red</v>
      </c>
      <c r="Y217" t="str">
        <f t="shared" si="80"/>
        <v>Green</v>
      </c>
      <c r="Z217" t="str">
        <f t="shared" si="81"/>
        <v>Green</v>
      </c>
      <c r="AA217" t="str">
        <f t="shared" si="82"/>
        <v>Red</v>
      </c>
      <c r="AB217" t="str">
        <f t="shared" si="83"/>
        <v>Green</v>
      </c>
      <c r="AC217" t="str">
        <f t="shared" si="84"/>
        <v>Green</v>
      </c>
      <c r="AD217" t="str">
        <f t="shared" si="85"/>
        <v>Red</v>
      </c>
    </row>
    <row r="218" spans="1:30" x14ac:dyDescent="0.2">
      <c r="A218" t="str">
        <f t="shared" si="68"/>
        <v>21/07/2026Morocco WomenCape Verde Women</v>
      </c>
      <c r="D218" s="2">
        <v>46224</v>
      </c>
      <c r="E218" s="3">
        <v>0.79166666666666663</v>
      </c>
      <c r="F218" t="s">
        <v>1580</v>
      </c>
      <c r="G218" t="s">
        <v>1581</v>
      </c>
      <c r="H218">
        <v>2</v>
      </c>
      <c r="I218">
        <v>0</v>
      </c>
      <c r="J218">
        <v>5</v>
      </c>
      <c r="K218">
        <v>0</v>
      </c>
      <c r="L218" s="22" t="str">
        <f t="shared" si="66"/>
        <v>21/07/2026</v>
      </c>
      <c r="M218" s="23">
        <f t="shared" si="67"/>
        <v>0.66666666666666663</v>
      </c>
      <c r="N218" t="str">
        <f t="shared" si="69"/>
        <v>5 - 0</v>
      </c>
      <c r="O218" t="str">
        <f t="shared" si="70"/>
        <v>Green</v>
      </c>
      <c r="P218" t="str">
        <f t="shared" si="71"/>
        <v>Red</v>
      </c>
      <c r="Q218" t="str">
        <f t="shared" si="72"/>
        <v>Red</v>
      </c>
      <c r="R218" t="str">
        <f t="shared" si="73"/>
        <v>Green</v>
      </c>
      <c r="S218" t="str">
        <f t="shared" si="74"/>
        <v>Red</v>
      </c>
      <c r="T218" t="str">
        <f t="shared" si="75"/>
        <v>Green</v>
      </c>
      <c r="U218" t="str">
        <f t="shared" si="76"/>
        <v>Green</v>
      </c>
      <c r="V218" t="str">
        <f t="shared" si="77"/>
        <v>Red</v>
      </c>
      <c r="W218" t="str">
        <f t="shared" si="78"/>
        <v>Red</v>
      </c>
      <c r="X218" t="str">
        <f t="shared" si="79"/>
        <v>Green</v>
      </c>
      <c r="Y218" t="str">
        <f t="shared" si="80"/>
        <v>Green</v>
      </c>
      <c r="Z218" t="str">
        <f t="shared" si="81"/>
        <v>Green</v>
      </c>
      <c r="AA218" t="str">
        <f t="shared" si="82"/>
        <v>Red</v>
      </c>
      <c r="AB218" t="str">
        <f t="shared" si="83"/>
        <v>Red</v>
      </c>
      <c r="AC218" t="str">
        <f t="shared" si="84"/>
        <v>Red</v>
      </c>
      <c r="AD218" t="str">
        <f t="shared" si="85"/>
        <v>Green</v>
      </c>
    </row>
    <row r="219" spans="1:30" x14ac:dyDescent="0.2">
      <c r="A219" t="str">
        <f t="shared" si="68"/>
        <v>21/07/2026Hafnarfjodour WomenStjarnan Women</v>
      </c>
      <c r="D219" s="2">
        <v>46224</v>
      </c>
      <c r="E219" s="3">
        <v>0.80208333333333337</v>
      </c>
      <c r="F219" t="s">
        <v>1362</v>
      </c>
      <c r="G219" t="s">
        <v>1363</v>
      </c>
      <c r="H219">
        <v>4</v>
      </c>
      <c r="I219">
        <v>1</v>
      </c>
      <c r="J219">
        <v>7</v>
      </c>
      <c r="K219">
        <v>3</v>
      </c>
      <c r="L219" s="22" t="str">
        <f t="shared" si="66"/>
        <v>21/07/2026</v>
      </c>
      <c r="M219" s="23">
        <f t="shared" si="67"/>
        <v>0.67708333333333337</v>
      </c>
      <c r="N219" t="str">
        <f t="shared" si="69"/>
        <v>7 - 3</v>
      </c>
      <c r="O219" t="str">
        <f t="shared" si="70"/>
        <v>Green</v>
      </c>
      <c r="P219" t="str">
        <f t="shared" si="71"/>
        <v>Red</v>
      </c>
      <c r="Q219" t="str">
        <f t="shared" si="72"/>
        <v>Red</v>
      </c>
      <c r="R219" t="str">
        <f t="shared" si="73"/>
        <v>Green</v>
      </c>
      <c r="S219" t="str">
        <f t="shared" si="74"/>
        <v>Red</v>
      </c>
      <c r="T219" t="str">
        <f t="shared" si="75"/>
        <v>Green</v>
      </c>
      <c r="U219" t="str">
        <f t="shared" si="76"/>
        <v>Green</v>
      </c>
      <c r="V219" t="str">
        <f t="shared" si="77"/>
        <v>Red</v>
      </c>
      <c r="W219" t="str">
        <f t="shared" si="78"/>
        <v>Red</v>
      </c>
      <c r="X219" t="str">
        <f t="shared" si="79"/>
        <v>Green</v>
      </c>
      <c r="Y219" t="str">
        <f t="shared" si="80"/>
        <v>Green</v>
      </c>
      <c r="Z219" t="str">
        <f t="shared" si="81"/>
        <v>Green</v>
      </c>
      <c r="AA219" t="str">
        <f t="shared" si="82"/>
        <v>Red</v>
      </c>
      <c r="AB219" t="str">
        <f t="shared" si="83"/>
        <v>Red</v>
      </c>
      <c r="AC219" t="str">
        <f t="shared" si="84"/>
        <v>Green</v>
      </c>
      <c r="AD219" t="str">
        <f t="shared" si="85"/>
        <v>Red</v>
      </c>
    </row>
    <row r="220" spans="1:30" x14ac:dyDescent="0.2">
      <c r="A220" t="str">
        <f t="shared" si="68"/>
        <v>21/07/2026Valur WomenBreidablik Women</v>
      </c>
      <c r="D220" s="2">
        <v>46224</v>
      </c>
      <c r="E220" s="3">
        <v>0.80208333333333337</v>
      </c>
      <c r="F220" t="s">
        <v>1364</v>
      </c>
      <c r="G220" t="s">
        <v>1365</v>
      </c>
      <c r="H220">
        <v>0</v>
      </c>
      <c r="I220">
        <v>6</v>
      </c>
      <c r="J220">
        <v>1</v>
      </c>
      <c r="K220">
        <v>7</v>
      </c>
      <c r="L220" s="22" t="str">
        <f t="shared" si="66"/>
        <v>21/07/2026</v>
      </c>
      <c r="M220" s="23">
        <f t="shared" si="67"/>
        <v>0.67708333333333337</v>
      </c>
      <c r="N220" t="str">
        <f t="shared" si="69"/>
        <v>1 - 7</v>
      </c>
      <c r="O220" t="str">
        <f t="shared" si="70"/>
        <v>Red</v>
      </c>
      <c r="P220" t="str">
        <f t="shared" si="71"/>
        <v>Red</v>
      </c>
      <c r="Q220" t="str">
        <f t="shared" si="72"/>
        <v>Green</v>
      </c>
      <c r="R220" t="str">
        <f t="shared" si="73"/>
        <v>Red</v>
      </c>
      <c r="S220" t="str">
        <f t="shared" si="74"/>
        <v>Green</v>
      </c>
      <c r="T220" t="str">
        <f t="shared" si="75"/>
        <v>Green</v>
      </c>
      <c r="U220" t="str">
        <f t="shared" si="76"/>
        <v>Red</v>
      </c>
      <c r="V220" t="str">
        <f t="shared" si="77"/>
        <v>Red</v>
      </c>
      <c r="W220" t="str">
        <f t="shared" si="78"/>
        <v>Green</v>
      </c>
      <c r="X220" t="str">
        <f t="shared" si="79"/>
        <v>Green</v>
      </c>
      <c r="Y220" t="str">
        <f t="shared" si="80"/>
        <v>Green</v>
      </c>
      <c r="Z220" t="str">
        <f t="shared" si="81"/>
        <v>Green</v>
      </c>
      <c r="AA220" t="str">
        <f t="shared" si="82"/>
        <v>Red</v>
      </c>
      <c r="AB220" t="str">
        <f t="shared" si="83"/>
        <v>Red</v>
      </c>
      <c r="AC220" t="str">
        <f t="shared" si="84"/>
        <v>Green</v>
      </c>
      <c r="AD220" t="str">
        <f t="shared" si="85"/>
        <v>Red</v>
      </c>
    </row>
    <row r="221" spans="1:30" x14ac:dyDescent="0.2">
      <c r="A221" t="str">
        <f t="shared" si="68"/>
        <v>21/07/2026Fluminense WomenCruzeiro RJ Women</v>
      </c>
      <c r="B221" t="s">
        <v>804</v>
      </c>
      <c r="C221" t="s">
        <v>1306</v>
      </c>
      <c r="D221" s="2">
        <v>46224</v>
      </c>
      <c r="E221" s="3">
        <v>0.8125</v>
      </c>
      <c r="F221" t="s">
        <v>1337</v>
      </c>
      <c r="G221" t="s">
        <v>1338</v>
      </c>
      <c r="H221">
        <v>0</v>
      </c>
      <c r="I221">
        <v>0</v>
      </c>
      <c r="J221">
        <v>2</v>
      </c>
      <c r="K221">
        <v>1</v>
      </c>
      <c r="L221" s="22" t="str">
        <f t="shared" si="66"/>
        <v>21/07/2026</v>
      </c>
      <c r="M221" s="23">
        <f t="shared" si="67"/>
        <v>0.6875</v>
      </c>
      <c r="N221" t="str">
        <f t="shared" si="69"/>
        <v>2 - 1</v>
      </c>
      <c r="O221" t="str">
        <f t="shared" si="70"/>
        <v>Green</v>
      </c>
      <c r="P221" t="str">
        <f t="shared" si="71"/>
        <v>Red</v>
      </c>
      <c r="Q221" t="str">
        <f t="shared" si="72"/>
        <v>Red</v>
      </c>
      <c r="R221" t="str">
        <f t="shared" si="73"/>
        <v>Green</v>
      </c>
      <c r="S221" t="str">
        <f t="shared" si="74"/>
        <v>Red</v>
      </c>
      <c r="T221" t="str">
        <f t="shared" si="75"/>
        <v>Green</v>
      </c>
      <c r="U221" t="str">
        <f t="shared" si="76"/>
        <v>Red</v>
      </c>
      <c r="V221" t="str">
        <f t="shared" si="77"/>
        <v>Green</v>
      </c>
      <c r="W221" t="str">
        <f t="shared" si="78"/>
        <v>Red</v>
      </c>
      <c r="X221" t="str">
        <f t="shared" si="79"/>
        <v>Red</v>
      </c>
      <c r="Y221" t="str">
        <f t="shared" si="80"/>
        <v>Green</v>
      </c>
      <c r="Z221" t="str">
        <f t="shared" si="81"/>
        <v>Green</v>
      </c>
      <c r="AA221" t="str">
        <f t="shared" si="82"/>
        <v>Red</v>
      </c>
      <c r="AB221" t="str">
        <f t="shared" si="83"/>
        <v>Green</v>
      </c>
      <c r="AC221" t="str">
        <f t="shared" si="84"/>
        <v>Green</v>
      </c>
      <c r="AD221" t="str">
        <f t="shared" si="85"/>
        <v>Red</v>
      </c>
    </row>
    <row r="222" spans="1:30" x14ac:dyDescent="0.2">
      <c r="A222" t="str">
        <f t="shared" si="68"/>
        <v>21/07/2026FylkirAfturelding</v>
      </c>
      <c r="D222" s="2">
        <v>46224</v>
      </c>
      <c r="E222" s="3">
        <v>0.8125</v>
      </c>
      <c r="F222" t="s">
        <v>1361</v>
      </c>
      <c r="G222" t="s">
        <v>604</v>
      </c>
      <c r="H222">
        <v>0</v>
      </c>
      <c r="I222">
        <v>0</v>
      </c>
      <c r="J222">
        <v>1</v>
      </c>
      <c r="K222">
        <v>1</v>
      </c>
      <c r="L222" s="22" t="str">
        <f t="shared" si="66"/>
        <v>21/07/2026</v>
      </c>
      <c r="M222" s="23">
        <f t="shared" si="67"/>
        <v>0.6875</v>
      </c>
      <c r="N222" t="str">
        <f t="shared" si="69"/>
        <v>1 - 1</v>
      </c>
      <c r="O222" t="str">
        <f t="shared" si="70"/>
        <v>Red</v>
      </c>
      <c r="P222" t="str">
        <f t="shared" si="71"/>
        <v>Green</v>
      </c>
      <c r="Q222" t="str">
        <f t="shared" si="72"/>
        <v>Red</v>
      </c>
      <c r="R222" t="str">
        <f t="shared" si="73"/>
        <v>Green</v>
      </c>
      <c r="S222" t="str">
        <f t="shared" si="74"/>
        <v>Green</v>
      </c>
      <c r="T222" t="str">
        <f t="shared" si="75"/>
        <v>Red</v>
      </c>
      <c r="U222" t="str">
        <f t="shared" si="76"/>
        <v>Red</v>
      </c>
      <c r="V222" t="str">
        <f t="shared" si="77"/>
        <v>Green</v>
      </c>
      <c r="W222" t="str">
        <f t="shared" si="78"/>
        <v>Red</v>
      </c>
      <c r="X222" t="str">
        <f t="shared" si="79"/>
        <v>Red</v>
      </c>
      <c r="Y222" t="str">
        <f t="shared" si="80"/>
        <v>Green</v>
      </c>
      <c r="Z222" t="str">
        <f t="shared" si="81"/>
        <v>Red</v>
      </c>
      <c r="AA222" t="str">
        <f t="shared" si="82"/>
        <v>Green</v>
      </c>
      <c r="AB222" t="str">
        <f t="shared" si="83"/>
        <v>Green</v>
      </c>
      <c r="AC222" t="str">
        <f t="shared" si="84"/>
        <v>Green</v>
      </c>
      <c r="AD222" t="str">
        <f t="shared" si="85"/>
        <v>Red</v>
      </c>
    </row>
    <row r="223" spans="1:30" x14ac:dyDescent="0.2">
      <c r="A223" t="str">
        <f t="shared" si="68"/>
        <v>21/07/2026Estudiantes de La PlataIndependiente Rivadavia</v>
      </c>
      <c r="B223" t="s">
        <v>806</v>
      </c>
      <c r="C223" t="s">
        <v>809</v>
      </c>
      <c r="D223" s="2">
        <v>46224</v>
      </c>
      <c r="E223" s="3">
        <v>0.875</v>
      </c>
      <c r="F223" t="s">
        <v>380</v>
      </c>
      <c r="G223" t="s">
        <v>381</v>
      </c>
      <c r="L223" s="22" t="str">
        <f t="shared" ref="L223:L235" si="86">DAY(D223)&amp;"/"&amp;"07"&amp;"/"&amp;YEAR(D223)</f>
        <v>21/07/2026</v>
      </c>
      <c r="M223" s="23">
        <f t="shared" ref="M223:M235" si="87">E223-TIME(3,0,0)</f>
        <v>0.75</v>
      </c>
      <c r="N223" t="str">
        <f t="shared" si="69"/>
        <v xml:space="preserve"> - </v>
      </c>
      <c r="O223" t="str">
        <f t="shared" si="70"/>
        <v>Red</v>
      </c>
      <c r="P223" t="str">
        <f t="shared" si="71"/>
        <v>Green</v>
      </c>
      <c r="Q223" t="str">
        <f t="shared" si="72"/>
        <v>Red</v>
      </c>
      <c r="R223" t="str">
        <f t="shared" si="73"/>
        <v>Green</v>
      </c>
      <c r="S223" t="str">
        <f t="shared" si="74"/>
        <v>Green</v>
      </c>
      <c r="T223" t="str">
        <f t="shared" si="75"/>
        <v>Red</v>
      </c>
      <c r="U223" t="str">
        <f t="shared" si="76"/>
        <v>Red</v>
      </c>
      <c r="V223" t="str">
        <f t="shared" si="77"/>
        <v>Green</v>
      </c>
      <c r="W223" t="str">
        <f t="shared" si="78"/>
        <v>Red</v>
      </c>
      <c r="X223" t="str">
        <f t="shared" si="79"/>
        <v>Red</v>
      </c>
      <c r="Y223" t="str">
        <f t="shared" si="80"/>
        <v>Red</v>
      </c>
      <c r="Z223" t="str">
        <f t="shared" si="81"/>
        <v>Red</v>
      </c>
      <c r="AA223" t="str">
        <f t="shared" si="82"/>
        <v>Green</v>
      </c>
      <c r="AB223" t="str">
        <f t="shared" si="83"/>
        <v>Green</v>
      </c>
      <c r="AC223" t="str">
        <f t="shared" si="84"/>
        <v>Red</v>
      </c>
      <c r="AD223" t="str">
        <f t="shared" si="85"/>
        <v>Green</v>
      </c>
    </row>
    <row r="224" spans="1:30" x14ac:dyDescent="0.2">
      <c r="A224" t="str">
        <f t="shared" si="68"/>
        <v>21/07/2026Atletico NacionalTigres FC</v>
      </c>
      <c r="B224" t="s">
        <v>821</v>
      </c>
      <c r="C224" t="s">
        <v>822</v>
      </c>
      <c r="D224" s="2">
        <v>46224</v>
      </c>
      <c r="E224" s="3">
        <v>0.875</v>
      </c>
      <c r="F224" t="s">
        <v>416</v>
      </c>
      <c r="G224" t="s">
        <v>189</v>
      </c>
      <c r="H224">
        <v>2</v>
      </c>
      <c r="I224">
        <v>0</v>
      </c>
      <c r="J224">
        <v>2</v>
      </c>
      <c r="K224">
        <v>0</v>
      </c>
      <c r="L224" s="22" t="str">
        <f t="shared" si="86"/>
        <v>21/07/2026</v>
      </c>
      <c r="M224" s="23">
        <f t="shared" si="87"/>
        <v>0.75</v>
      </c>
      <c r="N224" t="str">
        <f t="shared" si="69"/>
        <v>2 - 0</v>
      </c>
      <c r="O224" t="str">
        <f t="shared" si="70"/>
        <v>Green</v>
      </c>
      <c r="P224" t="str">
        <f t="shared" si="71"/>
        <v>Red</v>
      </c>
      <c r="Q224" t="str">
        <f t="shared" si="72"/>
        <v>Red</v>
      </c>
      <c r="R224" t="str">
        <f t="shared" si="73"/>
        <v>Green</v>
      </c>
      <c r="S224" t="str">
        <f t="shared" si="74"/>
        <v>Red</v>
      </c>
      <c r="T224" t="str">
        <f t="shared" si="75"/>
        <v>Green</v>
      </c>
      <c r="U224" t="str">
        <f t="shared" si="76"/>
        <v>Green</v>
      </c>
      <c r="V224" t="str">
        <f t="shared" si="77"/>
        <v>Red</v>
      </c>
      <c r="W224" t="str">
        <f t="shared" si="78"/>
        <v>Red</v>
      </c>
      <c r="X224" t="str">
        <f t="shared" si="79"/>
        <v>Green</v>
      </c>
      <c r="Y224" t="str">
        <f t="shared" si="80"/>
        <v>Green</v>
      </c>
      <c r="Z224" t="str">
        <f t="shared" si="81"/>
        <v>Red</v>
      </c>
      <c r="AA224" t="str">
        <f t="shared" si="82"/>
        <v>Green</v>
      </c>
      <c r="AB224" t="str">
        <f t="shared" si="83"/>
        <v>Green</v>
      </c>
      <c r="AC224" t="str">
        <f t="shared" si="84"/>
        <v>Red</v>
      </c>
      <c r="AD224" t="str">
        <f t="shared" si="85"/>
        <v>Green</v>
      </c>
    </row>
    <row r="225" spans="1:30" x14ac:dyDescent="0.2">
      <c r="A225" t="str">
        <f t="shared" si="68"/>
        <v>21/07/2026Libertad LojaDelfin SC</v>
      </c>
      <c r="D225" s="2">
        <v>46224</v>
      </c>
      <c r="E225" s="3">
        <v>0.89583333333333337</v>
      </c>
      <c r="F225" t="s">
        <v>429</v>
      </c>
      <c r="G225" t="s">
        <v>430</v>
      </c>
      <c r="H225">
        <v>0</v>
      </c>
      <c r="I225">
        <v>0</v>
      </c>
      <c r="J225">
        <v>1</v>
      </c>
      <c r="K225">
        <v>0</v>
      </c>
      <c r="L225" s="22" t="str">
        <f t="shared" si="86"/>
        <v>21/07/2026</v>
      </c>
      <c r="M225" s="23">
        <f t="shared" si="87"/>
        <v>0.77083333333333337</v>
      </c>
      <c r="N225" t="str">
        <f t="shared" si="69"/>
        <v>1 - 0</v>
      </c>
      <c r="O225" t="str">
        <f t="shared" si="70"/>
        <v>Green</v>
      </c>
      <c r="P225" t="str">
        <f t="shared" si="71"/>
        <v>Red</v>
      </c>
      <c r="Q225" t="str">
        <f t="shared" si="72"/>
        <v>Red</v>
      </c>
      <c r="R225" t="str">
        <f t="shared" si="73"/>
        <v>Green</v>
      </c>
      <c r="S225" t="str">
        <f t="shared" si="74"/>
        <v>Red</v>
      </c>
      <c r="T225" t="str">
        <f t="shared" si="75"/>
        <v>Green</v>
      </c>
      <c r="U225" t="str">
        <f t="shared" si="76"/>
        <v>Red</v>
      </c>
      <c r="V225" t="str">
        <f t="shared" si="77"/>
        <v>Green</v>
      </c>
      <c r="W225" t="str">
        <f t="shared" si="78"/>
        <v>Red</v>
      </c>
      <c r="X225" t="str">
        <f t="shared" si="79"/>
        <v>Red</v>
      </c>
      <c r="Y225" t="str">
        <f t="shared" si="80"/>
        <v>Red</v>
      </c>
      <c r="Z225" t="str">
        <f t="shared" si="81"/>
        <v>Red</v>
      </c>
      <c r="AA225" t="str">
        <f t="shared" si="82"/>
        <v>Green</v>
      </c>
      <c r="AB225" t="str">
        <f t="shared" si="83"/>
        <v>Green</v>
      </c>
      <c r="AC225" t="str">
        <f t="shared" si="84"/>
        <v>Red</v>
      </c>
      <c r="AD225" t="str">
        <f t="shared" si="85"/>
        <v>Green</v>
      </c>
    </row>
    <row r="226" spans="1:30" x14ac:dyDescent="0.2">
      <c r="A226" t="str">
        <f t="shared" si="68"/>
        <v>21/07/2026Nacional De FootballClub Atletico Tigre</v>
      </c>
      <c r="B226" t="s">
        <v>1321</v>
      </c>
      <c r="C226" t="s">
        <v>1322</v>
      </c>
      <c r="D226" s="2">
        <v>46224</v>
      </c>
      <c r="E226" s="3">
        <v>0.91666666666666663</v>
      </c>
      <c r="F226" t="s">
        <v>1323</v>
      </c>
      <c r="G226" t="s">
        <v>1324</v>
      </c>
      <c r="H226">
        <v>0</v>
      </c>
      <c r="I226">
        <v>2</v>
      </c>
      <c r="J226">
        <v>0</v>
      </c>
      <c r="K226">
        <v>3</v>
      </c>
      <c r="L226" s="22" t="str">
        <f t="shared" si="86"/>
        <v>21/07/2026</v>
      </c>
      <c r="M226" s="23">
        <f t="shared" si="87"/>
        <v>0.79166666666666663</v>
      </c>
      <c r="N226" t="str">
        <f t="shared" si="69"/>
        <v>0 - 3</v>
      </c>
      <c r="O226" t="str">
        <f t="shared" si="70"/>
        <v>Red</v>
      </c>
      <c r="P226" t="str">
        <f t="shared" si="71"/>
        <v>Red</v>
      </c>
      <c r="Q226" t="str">
        <f t="shared" si="72"/>
        <v>Green</v>
      </c>
      <c r="R226" t="str">
        <f t="shared" si="73"/>
        <v>Red</v>
      </c>
      <c r="S226" t="str">
        <f t="shared" si="74"/>
        <v>Green</v>
      </c>
      <c r="T226" t="str">
        <f t="shared" si="75"/>
        <v>Green</v>
      </c>
      <c r="U226" t="str">
        <f t="shared" si="76"/>
        <v>Red</v>
      </c>
      <c r="V226" t="str">
        <f t="shared" si="77"/>
        <v>Red</v>
      </c>
      <c r="W226" t="str">
        <f t="shared" si="78"/>
        <v>Green</v>
      </c>
      <c r="X226" t="str">
        <f t="shared" si="79"/>
        <v>Green</v>
      </c>
      <c r="Y226" t="str">
        <f t="shared" si="80"/>
        <v>Green</v>
      </c>
      <c r="Z226" t="str">
        <f t="shared" si="81"/>
        <v>Green</v>
      </c>
      <c r="AA226" t="str">
        <f t="shared" si="82"/>
        <v>Red</v>
      </c>
      <c r="AB226" t="str">
        <f t="shared" si="83"/>
        <v>Green</v>
      </c>
      <c r="AC226" t="str">
        <f t="shared" si="84"/>
        <v>Red</v>
      </c>
      <c r="AD226" t="str">
        <f t="shared" si="85"/>
        <v>Green</v>
      </c>
    </row>
    <row r="227" spans="1:30" x14ac:dyDescent="0.2">
      <c r="A227" t="str">
        <f t="shared" si="68"/>
        <v>21/07/2026Deportivo MadrynGodoy Cruz</v>
      </c>
      <c r="B227" t="s">
        <v>806</v>
      </c>
      <c r="C227" t="s">
        <v>807</v>
      </c>
      <c r="D227" s="2">
        <v>46224</v>
      </c>
      <c r="E227" s="3">
        <v>0.91666666666666663</v>
      </c>
      <c r="F227" t="s">
        <v>376</v>
      </c>
      <c r="G227" t="s">
        <v>377</v>
      </c>
      <c r="L227" s="22" t="str">
        <f t="shared" si="86"/>
        <v>21/07/2026</v>
      </c>
      <c r="M227" s="23">
        <f t="shared" si="87"/>
        <v>0.79166666666666663</v>
      </c>
      <c r="N227" t="str">
        <f t="shared" si="69"/>
        <v xml:space="preserve"> - </v>
      </c>
      <c r="O227" t="str">
        <f t="shared" si="70"/>
        <v>Red</v>
      </c>
      <c r="P227" t="str">
        <f t="shared" si="71"/>
        <v>Green</v>
      </c>
      <c r="Q227" t="str">
        <f t="shared" si="72"/>
        <v>Red</v>
      </c>
      <c r="R227" t="str">
        <f t="shared" si="73"/>
        <v>Green</v>
      </c>
      <c r="S227" t="str">
        <f t="shared" si="74"/>
        <v>Green</v>
      </c>
      <c r="T227" t="str">
        <f t="shared" si="75"/>
        <v>Red</v>
      </c>
      <c r="U227" t="str">
        <f t="shared" si="76"/>
        <v>Red</v>
      </c>
      <c r="V227" t="str">
        <f t="shared" si="77"/>
        <v>Green</v>
      </c>
      <c r="W227" t="str">
        <f t="shared" si="78"/>
        <v>Red</v>
      </c>
      <c r="X227" t="str">
        <f t="shared" si="79"/>
        <v>Red</v>
      </c>
      <c r="Y227" t="str">
        <f t="shared" si="80"/>
        <v>Red</v>
      </c>
      <c r="Z227" t="str">
        <f t="shared" si="81"/>
        <v>Red</v>
      </c>
      <c r="AA227" t="str">
        <f t="shared" si="82"/>
        <v>Green</v>
      </c>
      <c r="AB227" t="str">
        <f t="shared" si="83"/>
        <v>Green</v>
      </c>
      <c r="AC227" t="str">
        <f t="shared" si="84"/>
        <v>Red</v>
      </c>
      <c r="AD227" t="str">
        <f t="shared" si="85"/>
        <v>Green</v>
      </c>
    </row>
    <row r="228" spans="1:30" x14ac:dyDescent="0.2">
      <c r="A228" t="str">
        <f t="shared" si="68"/>
        <v>21/07/2026Inter BogotaInternacional FC Palmira</v>
      </c>
      <c r="B228" t="s">
        <v>821</v>
      </c>
      <c r="C228" t="s">
        <v>822</v>
      </c>
      <c r="D228" s="2">
        <v>46224</v>
      </c>
      <c r="E228" s="3">
        <v>0.91666666666666663</v>
      </c>
      <c r="F228" t="s">
        <v>417</v>
      </c>
      <c r="G228" t="s">
        <v>418</v>
      </c>
      <c r="H228">
        <v>0</v>
      </c>
      <c r="I228">
        <v>0</v>
      </c>
      <c r="J228">
        <v>1</v>
      </c>
      <c r="K228">
        <v>0</v>
      </c>
      <c r="L228" s="22" t="str">
        <f t="shared" si="86"/>
        <v>21/07/2026</v>
      </c>
      <c r="M228" s="23">
        <f t="shared" si="87"/>
        <v>0.79166666666666663</v>
      </c>
      <c r="N228" t="str">
        <f t="shared" si="69"/>
        <v>1 - 0</v>
      </c>
      <c r="O228" t="str">
        <f t="shared" si="70"/>
        <v>Green</v>
      </c>
      <c r="P228" t="str">
        <f t="shared" si="71"/>
        <v>Red</v>
      </c>
      <c r="Q228" t="str">
        <f t="shared" si="72"/>
        <v>Red</v>
      </c>
      <c r="R228" t="str">
        <f t="shared" si="73"/>
        <v>Green</v>
      </c>
      <c r="S228" t="str">
        <f t="shared" si="74"/>
        <v>Red</v>
      </c>
      <c r="T228" t="str">
        <f t="shared" si="75"/>
        <v>Green</v>
      </c>
      <c r="U228" t="str">
        <f t="shared" si="76"/>
        <v>Red</v>
      </c>
      <c r="V228" t="str">
        <f t="shared" si="77"/>
        <v>Green</v>
      </c>
      <c r="W228" t="str">
        <f t="shared" si="78"/>
        <v>Red</v>
      </c>
      <c r="X228" t="str">
        <f t="shared" si="79"/>
        <v>Red</v>
      </c>
      <c r="Y228" t="str">
        <f t="shared" si="80"/>
        <v>Red</v>
      </c>
      <c r="Z228" t="str">
        <f t="shared" si="81"/>
        <v>Red</v>
      </c>
      <c r="AA228" t="str">
        <f t="shared" si="82"/>
        <v>Green</v>
      </c>
      <c r="AB228" t="str">
        <f t="shared" si="83"/>
        <v>Green</v>
      </c>
      <c r="AC228" t="str">
        <f t="shared" si="84"/>
        <v>Red</v>
      </c>
      <c r="AD228" t="str">
        <f t="shared" si="85"/>
        <v>Green</v>
      </c>
    </row>
    <row r="229" spans="1:30" x14ac:dyDescent="0.2">
      <c r="A229" t="str">
        <f t="shared" si="68"/>
        <v>21/07/2026Atletico MineiroBahia</v>
      </c>
      <c r="B229" t="s">
        <v>804</v>
      </c>
      <c r="C229" t="s">
        <v>805</v>
      </c>
      <c r="D229" s="2">
        <v>46224</v>
      </c>
      <c r="E229" s="3">
        <v>0.9375</v>
      </c>
      <c r="F229" t="s">
        <v>373</v>
      </c>
      <c r="G229" t="s">
        <v>231</v>
      </c>
      <c r="H229">
        <v>1</v>
      </c>
      <c r="I229">
        <v>0</v>
      </c>
      <c r="J229">
        <v>1</v>
      </c>
      <c r="K229">
        <v>1</v>
      </c>
      <c r="L229" s="22" t="str">
        <f t="shared" si="86"/>
        <v>21/07/2026</v>
      </c>
      <c r="M229" s="23">
        <f t="shared" si="87"/>
        <v>0.8125</v>
      </c>
      <c r="N229" t="str">
        <f t="shared" si="69"/>
        <v>1 - 1</v>
      </c>
      <c r="O229" t="str">
        <f t="shared" si="70"/>
        <v>Red</v>
      </c>
      <c r="P229" t="str">
        <f t="shared" si="71"/>
        <v>Green</v>
      </c>
      <c r="Q229" t="str">
        <f t="shared" si="72"/>
        <v>Red</v>
      </c>
      <c r="R229" t="str">
        <f t="shared" si="73"/>
        <v>Green</v>
      </c>
      <c r="S229" t="str">
        <f t="shared" si="74"/>
        <v>Green</v>
      </c>
      <c r="T229" t="str">
        <f t="shared" si="75"/>
        <v>Red</v>
      </c>
      <c r="U229" t="str">
        <f t="shared" si="76"/>
        <v>Green</v>
      </c>
      <c r="V229" t="str">
        <f t="shared" si="77"/>
        <v>Red</v>
      </c>
      <c r="W229" t="str">
        <f t="shared" si="78"/>
        <v>Red</v>
      </c>
      <c r="X229" t="str">
        <f t="shared" si="79"/>
        <v>Green</v>
      </c>
      <c r="Y229" t="str">
        <f t="shared" si="80"/>
        <v>Green</v>
      </c>
      <c r="Z229" t="str">
        <f t="shared" si="81"/>
        <v>Red</v>
      </c>
      <c r="AA229" t="str">
        <f t="shared" si="82"/>
        <v>Green</v>
      </c>
      <c r="AB229" t="str">
        <f t="shared" si="83"/>
        <v>Green</v>
      </c>
      <c r="AC229" t="str">
        <f t="shared" si="84"/>
        <v>Green</v>
      </c>
      <c r="AD229" t="str">
        <f t="shared" si="85"/>
        <v>Red</v>
      </c>
    </row>
    <row r="230" spans="1:30" x14ac:dyDescent="0.2">
      <c r="A230" t="str">
        <f t="shared" si="68"/>
        <v>21/07/2026AvaiAmerica Mineiro</v>
      </c>
      <c r="B230" t="s">
        <v>804</v>
      </c>
      <c r="C230" t="s">
        <v>817</v>
      </c>
      <c r="D230" s="2">
        <v>46224</v>
      </c>
      <c r="E230" s="3">
        <v>0.9375</v>
      </c>
      <c r="F230" t="s">
        <v>396</v>
      </c>
      <c r="G230" t="s">
        <v>397</v>
      </c>
      <c r="H230">
        <v>0</v>
      </c>
      <c r="I230">
        <v>1</v>
      </c>
      <c r="J230">
        <v>2</v>
      </c>
      <c r="K230">
        <v>1</v>
      </c>
      <c r="L230" s="22" t="str">
        <f t="shared" si="86"/>
        <v>21/07/2026</v>
      </c>
      <c r="M230" s="23">
        <f t="shared" si="87"/>
        <v>0.8125</v>
      </c>
      <c r="N230" t="str">
        <f t="shared" si="69"/>
        <v>2 - 1</v>
      </c>
      <c r="O230" t="str">
        <f t="shared" si="70"/>
        <v>Green</v>
      </c>
      <c r="P230" t="str">
        <f t="shared" si="71"/>
        <v>Red</v>
      </c>
      <c r="Q230" t="str">
        <f t="shared" si="72"/>
        <v>Red</v>
      </c>
      <c r="R230" t="str">
        <f t="shared" si="73"/>
        <v>Green</v>
      </c>
      <c r="S230" t="str">
        <f t="shared" si="74"/>
        <v>Red</v>
      </c>
      <c r="T230" t="str">
        <f t="shared" si="75"/>
        <v>Green</v>
      </c>
      <c r="U230" t="str">
        <f t="shared" si="76"/>
        <v>Red</v>
      </c>
      <c r="V230" t="str">
        <f t="shared" si="77"/>
        <v>Red</v>
      </c>
      <c r="W230" t="str">
        <f t="shared" si="78"/>
        <v>Green</v>
      </c>
      <c r="X230" t="str">
        <f t="shared" si="79"/>
        <v>Green</v>
      </c>
      <c r="Y230" t="str">
        <f t="shared" si="80"/>
        <v>Green</v>
      </c>
      <c r="Z230" t="str">
        <f t="shared" si="81"/>
        <v>Green</v>
      </c>
      <c r="AA230" t="str">
        <f t="shared" si="82"/>
        <v>Red</v>
      </c>
      <c r="AB230" t="str">
        <f t="shared" si="83"/>
        <v>Green</v>
      </c>
      <c r="AC230" t="str">
        <f t="shared" si="84"/>
        <v>Green</v>
      </c>
      <c r="AD230" t="str">
        <f t="shared" si="85"/>
        <v>Red</v>
      </c>
    </row>
    <row r="231" spans="1:30" x14ac:dyDescent="0.2">
      <c r="A231" t="str">
        <f t="shared" si="68"/>
        <v>21/07/2026Novorizontino SPCriciuma</v>
      </c>
      <c r="B231" t="s">
        <v>804</v>
      </c>
      <c r="C231" t="s">
        <v>817</v>
      </c>
      <c r="D231" s="2">
        <v>46224</v>
      </c>
      <c r="E231" s="3">
        <v>0.9375</v>
      </c>
      <c r="F231" t="s">
        <v>398</v>
      </c>
      <c r="G231" t="s">
        <v>399</v>
      </c>
      <c r="H231">
        <v>0</v>
      </c>
      <c r="I231">
        <v>0</v>
      </c>
      <c r="J231">
        <v>0</v>
      </c>
      <c r="K231">
        <v>1</v>
      </c>
      <c r="L231" s="22" t="str">
        <f t="shared" si="86"/>
        <v>21/07/2026</v>
      </c>
      <c r="M231" s="23">
        <f t="shared" si="87"/>
        <v>0.8125</v>
      </c>
      <c r="N231" t="str">
        <f t="shared" si="69"/>
        <v>0 - 1</v>
      </c>
      <c r="O231" t="str">
        <f t="shared" si="70"/>
        <v>Red</v>
      </c>
      <c r="P231" t="str">
        <f t="shared" si="71"/>
        <v>Red</v>
      </c>
      <c r="Q231" t="str">
        <f t="shared" si="72"/>
        <v>Green</v>
      </c>
      <c r="R231" t="str">
        <f t="shared" si="73"/>
        <v>Red</v>
      </c>
      <c r="S231" t="str">
        <f t="shared" si="74"/>
        <v>Green</v>
      </c>
      <c r="T231" t="str">
        <f t="shared" si="75"/>
        <v>Green</v>
      </c>
      <c r="U231" t="str">
        <f t="shared" si="76"/>
        <v>Red</v>
      </c>
      <c r="V231" t="str">
        <f t="shared" si="77"/>
        <v>Green</v>
      </c>
      <c r="W231" t="str">
        <f t="shared" si="78"/>
        <v>Red</v>
      </c>
      <c r="X231" t="str">
        <f t="shared" si="79"/>
        <v>Red</v>
      </c>
      <c r="Y231" t="str">
        <f t="shared" si="80"/>
        <v>Red</v>
      </c>
      <c r="Z231" t="str">
        <f t="shared" si="81"/>
        <v>Red</v>
      </c>
      <c r="AA231" t="str">
        <f t="shared" si="82"/>
        <v>Green</v>
      </c>
      <c r="AB231" t="str">
        <f t="shared" si="83"/>
        <v>Green</v>
      </c>
      <c r="AC231" t="str">
        <f t="shared" si="84"/>
        <v>Red</v>
      </c>
      <c r="AD231" t="str">
        <f t="shared" si="85"/>
        <v>Green</v>
      </c>
    </row>
    <row r="232" spans="1:30" x14ac:dyDescent="0.2">
      <c r="A232" t="str">
        <f t="shared" si="68"/>
        <v>21/07/2026Independiente PetroleroReal Potosi</v>
      </c>
      <c r="B232" t="s">
        <v>815</v>
      </c>
      <c r="C232" t="s">
        <v>816</v>
      </c>
      <c r="D232" s="2">
        <v>46224</v>
      </c>
      <c r="E232" s="3">
        <v>0.95833333333333337</v>
      </c>
      <c r="F232" t="s">
        <v>236</v>
      </c>
      <c r="G232" t="s">
        <v>395</v>
      </c>
      <c r="H232">
        <v>1</v>
      </c>
      <c r="I232">
        <v>1</v>
      </c>
      <c r="J232">
        <v>1</v>
      </c>
      <c r="K232">
        <v>2</v>
      </c>
      <c r="L232" s="22" t="str">
        <f t="shared" si="86"/>
        <v>21/07/2026</v>
      </c>
      <c r="M232" s="23">
        <f t="shared" si="87"/>
        <v>0.83333333333333337</v>
      </c>
      <c r="N232" t="str">
        <f t="shared" si="69"/>
        <v>1 - 2</v>
      </c>
      <c r="O232" t="str">
        <f t="shared" si="70"/>
        <v>Red</v>
      </c>
      <c r="P232" t="str">
        <f t="shared" si="71"/>
        <v>Red</v>
      </c>
      <c r="Q232" t="str">
        <f t="shared" si="72"/>
        <v>Green</v>
      </c>
      <c r="R232" t="str">
        <f t="shared" si="73"/>
        <v>Red</v>
      </c>
      <c r="S232" t="str">
        <f t="shared" si="74"/>
        <v>Green</v>
      </c>
      <c r="T232" t="str">
        <f t="shared" si="75"/>
        <v>Green</v>
      </c>
      <c r="U232" t="str">
        <f t="shared" si="76"/>
        <v>Red</v>
      </c>
      <c r="V232" t="str">
        <f t="shared" si="77"/>
        <v>Green</v>
      </c>
      <c r="W232" t="str">
        <f t="shared" si="78"/>
        <v>Red</v>
      </c>
      <c r="X232" t="str">
        <f t="shared" si="79"/>
        <v>Green</v>
      </c>
      <c r="Y232" t="str">
        <f t="shared" si="80"/>
        <v>Green</v>
      </c>
      <c r="Z232" t="str">
        <f t="shared" si="81"/>
        <v>Green</v>
      </c>
      <c r="AA232" t="str">
        <f t="shared" si="82"/>
        <v>Red</v>
      </c>
      <c r="AB232" t="str">
        <f t="shared" si="83"/>
        <v>Green</v>
      </c>
      <c r="AC232" t="str">
        <f t="shared" si="84"/>
        <v>Green</v>
      </c>
      <c r="AD232" t="str">
        <f t="shared" si="85"/>
        <v>Red</v>
      </c>
    </row>
    <row r="233" spans="1:30" x14ac:dyDescent="0.2">
      <c r="A233" t="str">
        <f t="shared" si="68"/>
        <v>21/07/2026Itabirito FC WomenEC Bahia Women</v>
      </c>
      <c r="B233" t="s">
        <v>804</v>
      </c>
      <c r="C233" t="s">
        <v>1306</v>
      </c>
      <c r="D233" s="2">
        <v>46224</v>
      </c>
      <c r="E233" s="3">
        <v>0.95833333333333337</v>
      </c>
      <c r="F233" t="s">
        <v>1339</v>
      </c>
      <c r="G233" t="s">
        <v>1340</v>
      </c>
      <c r="H233">
        <v>0</v>
      </c>
      <c r="I233">
        <v>0</v>
      </c>
      <c r="J233">
        <v>0</v>
      </c>
      <c r="K233">
        <v>1</v>
      </c>
      <c r="L233" s="22" t="str">
        <f t="shared" si="86"/>
        <v>21/07/2026</v>
      </c>
      <c r="M233" s="23">
        <f t="shared" si="87"/>
        <v>0.83333333333333337</v>
      </c>
      <c r="N233" t="str">
        <f t="shared" si="69"/>
        <v>0 - 1</v>
      </c>
      <c r="O233" t="str">
        <f t="shared" si="70"/>
        <v>Red</v>
      </c>
      <c r="P233" t="str">
        <f t="shared" si="71"/>
        <v>Red</v>
      </c>
      <c r="Q233" t="str">
        <f t="shared" si="72"/>
        <v>Green</v>
      </c>
      <c r="R233" t="str">
        <f t="shared" si="73"/>
        <v>Red</v>
      </c>
      <c r="S233" t="str">
        <f t="shared" si="74"/>
        <v>Green</v>
      </c>
      <c r="T233" t="str">
        <f t="shared" si="75"/>
        <v>Green</v>
      </c>
      <c r="U233" t="str">
        <f t="shared" si="76"/>
        <v>Red</v>
      </c>
      <c r="V233" t="str">
        <f t="shared" si="77"/>
        <v>Green</v>
      </c>
      <c r="W233" t="str">
        <f t="shared" si="78"/>
        <v>Red</v>
      </c>
      <c r="X233" t="str">
        <f t="shared" si="79"/>
        <v>Red</v>
      </c>
      <c r="Y233" t="str">
        <f t="shared" si="80"/>
        <v>Red</v>
      </c>
      <c r="Z233" t="str">
        <f t="shared" si="81"/>
        <v>Red</v>
      </c>
      <c r="AA233" t="str">
        <f t="shared" si="82"/>
        <v>Green</v>
      </c>
      <c r="AB233" t="str">
        <f t="shared" si="83"/>
        <v>Green</v>
      </c>
      <c r="AC233" t="str">
        <f t="shared" si="84"/>
        <v>Red</v>
      </c>
      <c r="AD233" t="str">
        <f t="shared" si="85"/>
        <v>Green</v>
      </c>
    </row>
    <row r="234" spans="1:30" x14ac:dyDescent="0.2">
      <c r="A234" t="str">
        <f t="shared" si="68"/>
        <v>21/07/2026Deportes TolimaDeportes Quindio</v>
      </c>
      <c r="B234" t="s">
        <v>821</v>
      </c>
      <c r="C234" t="s">
        <v>822</v>
      </c>
      <c r="D234" s="2">
        <v>46224</v>
      </c>
      <c r="E234" s="3">
        <v>0.95833333333333337</v>
      </c>
      <c r="F234" t="s">
        <v>419</v>
      </c>
      <c r="G234" t="s">
        <v>420</v>
      </c>
      <c r="H234">
        <v>0</v>
      </c>
      <c r="I234">
        <v>1</v>
      </c>
      <c r="J234">
        <v>2</v>
      </c>
      <c r="K234">
        <v>1</v>
      </c>
      <c r="L234" s="22" t="str">
        <f t="shared" si="86"/>
        <v>21/07/2026</v>
      </c>
      <c r="M234" s="23">
        <f t="shared" si="87"/>
        <v>0.83333333333333337</v>
      </c>
      <c r="N234" t="str">
        <f t="shared" si="69"/>
        <v>2 - 1</v>
      </c>
      <c r="O234" t="str">
        <f t="shared" si="70"/>
        <v>Green</v>
      </c>
      <c r="P234" t="str">
        <f t="shared" si="71"/>
        <v>Red</v>
      </c>
      <c r="Q234" t="str">
        <f t="shared" si="72"/>
        <v>Red</v>
      </c>
      <c r="R234" t="str">
        <f t="shared" si="73"/>
        <v>Green</v>
      </c>
      <c r="S234" t="str">
        <f t="shared" si="74"/>
        <v>Red</v>
      </c>
      <c r="T234" t="str">
        <f t="shared" si="75"/>
        <v>Green</v>
      </c>
      <c r="U234" t="str">
        <f t="shared" si="76"/>
        <v>Red</v>
      </c>
      <c r="V234" t="str">
        <f t="shared" si="77"/>
        <v>Red</v>
      </c>
      <c r="W234" t="str">
        <f t="shared" si="78"/>
        <v>Green</v>
      </c>
      <c r="X234" t="str">
        <f t="shared" si="79"/>
        <v>Green</v>
      </c>
      <c r="Y234" t="str">
        <f t="shared" si="80"/>
        <v>Green</v>
      </c>
      <c r="Z234" t="str">
        <f t="shared" si="81"/>
        <v>Green</v>
      </c>
      <c r="AA234" t="str">
        <f t="shared" si="82"/>
        <v>Red</v>
      </c>
      <c r="AB234" t="str">
        <f t="shared" si="83"/>
        <v>Green</v>
      </c>
      <c r="AC234" t="str">
        <f t="shared" si="84"/>
        <v>Green</v>
      </c>
      <c r="AD234" t="str">
        <f t="shared" si="85"/>
        <v>Red</v>
      </c>
    </row>
    <row r="235" spans="1:30" x14ac:dyDescent="0.2">
      <c r="A235" t="str">
        <f t="shared" si="68"/>
        <v>21/07/2026Independiente Santa FeUnion Magdalena</v>
      </c>
      <c r="B235" t="s">
        <v>821</v>
      </c>
      <c r="C235" t="s">
        <v>822</v>
      </c>
      <c r="D235" s="2">
        <v>46224</v>
      </c>
      <c r="E235" s="3">
        <v>0.95833333333333337</v>
      </c>
      <c r="F235" t="s">
        <v>421</v>
      </c>
      <c r="G235" t="s">
        <v>422</v>
      </c>
      <c r="L235" s="22" t="str">
        <f t="shared" si="86"/>
        <v>21/07/2026</v>
      </c>
      <c r="M235" s="23">
        <f t="shared" si="87"/>
        <v>0.83333333333333337</v>
      </c>
      <c r="N235" t="str">
        <f t="shared" si="69"/>
        <v xml:space="preserve"> - </v>
      </c>
      <c r="O235" t="str">
        <f t="shared" si="70"/>
        <v>Red</v>
      </c>
      <c r="P235" t="str">
        <f t="shared" si="71"/>
        <v>Green</v>
      </c>
      <c r="Q235" t="str">
        <f t="shared" si="72"/>
        <v>Red</v>
      </c>
      <c r="R235" t="str">
        <f t="shared" si="73"/>
        <v>Green</v>
      </c>
      <c r="S235" t="str">
        <f t="shared" si="74"/>
        <v>Green</v>
      </c>
      <c r="T235" t="str">
        <f t="shared" si="75"/>
        <v>Red</v>
      </c>
      <c r="U235" t="str">
        <f t="shared" si="76"/>
        <v>Red</v>
      </c>
      <c r="V235" t="str">
        <f t="shared" si="77"/>
        <v>Green</v>
      </c>
      <c r="W235" t="str">
        <f t="shared" si="78"/>
        <v>Red</v>
      </c>
      <c r="X235" t="str">
        <f t="shared" si="79"/>
        <v>Red</v>
      </c>
      <c r="Y235" t="str">
        <f t="shared" si="80"/>
        <v>Red</v>
      </c>
      <c r="Z235" t="str">
        <f t="shared" si="81"/>
        <v>Red</v>
      </c>
      <c r="AA235" t="str">
        <f t="shared" si="82"/>
        <v>Green</v>
      </c>
      <c r="AB235" t="str">
        <f t="shared" si="83"/>
        <v>Green</v>
      </c>
      <c r="AC235" t="str">
        <f t="shared" si="84"/>
        <v>Red</v>
      </c>
      <c r="AD235" t="str">
        <f t="shared" si="85"/>
        <v>Green</v>
      </c>
    </row>
    <row r="236" spans="1:30" x14ac:dyDescent="0.2">
      <c r="A236" t="str">
        <f t="shared" si="68"/>
        <v>21/07/2026Deportivo PastoBogota</v>
      </c>
      <c r="B236" t="s">
        <v>821</v>
      </c>
      <c r="C236" t="s">
        <v>822</v>
      </c>
      <c r="D236" s="2">
        <v>46225</v>
      </c>
      <c r="E236" s="3">
        <v>0</v>
      </c>
      <c r="F236" t="s">
        <v>423</v>
      </c>
      <c r="G236" t="s">
        <v>424</v>
      </c>
      <c r="H236">
        <v>0</v>
      </c>
      <c r="I236">
        <v>0</v>
      </c>
      <c r="J236">
        <v>0</v>
      </c>
      <c r="K236">
        <v>1</v>
      </c>
      <c r="L236" s="29" t="s">
        <v>213</v>
      </c>
      <c r="M236" s="23">
        <v>0.875</v>
      </c>
      <c r="N236" t="str">
        <f t="shared" si="69"/>
        <v>0 - 1</v>
      </c>
      <c r="O236" t="str">
        <f t="shared" si="70"/>
        <v>Red</v>
      </c>
      <c r="P236" t="str">
        <f t="shared" si="71"/>
        <v>Red</v>
      </c>
      <c r="Q236" t="str">
        <f t="shared" si="72"/>
        <v>Green</v>
      </c>
      <c r="R236" t="str">
        <f t="shared" si="73"/>
        <v>Red</v>
      </c>
      <c r="S236" t="str">
        <f t="shared" si="74"/>
        <v>Green</v>
      </c>
      <c r="T236" t="str">
        <f t="shared" si="75"/>
        <v>Green</v>
      </c>
      <c r="U236" t="str">
        <f t="shared" si="76"/>
        <v>Red</v>
      </c>
      <c r="V236" t="str">
        <f t="shared" si="77"/>
        <v>Green</v>
      </c>
      <c r="W236" t="str">
        <f t="shared" si="78"/>
        <v>Red</v>
      </c>
      <c r="X236" t="str">
        <f t="shared" si="79"/>
        <v>Red</v>
      </c>
      <c r="Y236" t="str">
        <f t="shared" si="80"/>
        <v>Red</v>
      </c>
      <c r="Z236" t="str">
        <f t="shared" si="81"/>
        <v>Red</v>
      </c>
      <c r="AA236" t="str">
        <f t="shared" si="82"/>
        <v>Green</v>
      </c>
      <c r="AB236" t="str">
        <f t="shared" si="83"/>
        <v>Green</v>
      </c>
      <c r="AC236" t="str">
        <f t="shared" si="84"/>
        <v>Red</v>
      </c>
      <c r="AD236" t="str">
        <f t="shared" si="85"/>
        <v>Green</v>
      </c>
    </row>
    <row r="237" spans="1:30" x14ac:dyDescent="0.2">
      <c r="A237" t="str">
        <f t="shared" si="68"/>
        <v>21/07/2026Once CaldasEnvigado</v>
      </c>
      <c r="B237" t="s">
        <v>821</v>
      </c>
      <c r="C237" t="s">
        <v>822</v>
      </c>
      <c r="D237" s="2">
        <v>46225</v>
      </c>
      <c r="E237" s="3">
        <v>0</v>
      </c>
      <c r="F237" t="s">
        <v>425</v>
      </c>
      <c r="G237" t="s">
        <v>426</v>
      </c>
      <c r="H237">
        <v>2</v>
      </c>
      <c r="I237">
        <v>0</v>
      </c>
      <c r="J237">
        <v>3</v>
      </c>
      <c r="K237">
        <v>0</v>
      </c>
      <c r="L237" s="29" t="s">
        <v>213</v>
      </c>
      <c r="M237" s="23">
        <v>0.875</v>
      </c>
      <c r="N237" t="str">
        <f t="shared" si="69"/>
        <v>3 - 0</v>
      </c>
      <c r="O237" t="str">
        <f t="shared" si="70"/>
        <v>Green</v>
      </c>
      <c r="P237" t="str">
        <f t="shared" si="71"/>
        <v>Red</v>
      </c>
      <c r="Q237" t="str">
        <f t="shared" si="72"/>
        <v>Red</v>
      </c>
      <c r="R237" t="str">
        <f t="shared" si="73"/>
        <v>Green</v>
      </c>
      <c r="S237" t="str">
        <f t="shared" si="74"/>
        <v>Red</v>
      </c>
      <c r="T237" t="str">
        <f t="shared" si="75"/>
        <v>Green</v>
      </c>
      <c r="U237" t="str">
        <f t="shared" si="76"/>
        <v>Green</v>
      </c>
      <c r="V237" t="str">
        <f t="shared" si="77"/>
        <v>Red</v>
      </c>
      <c r="W237" t="str">
        <f t="shared" si="78"/>
        <v>Red</v>
      </c>
      <c r="X237" t="str">
        <f t="shared" si="79"/>
        <v>Green</v>
      </c>
      <c r="Y237" t="str">
        <f t="shared" si="80"/>
        <v>Green</v>
      </c>
      <c r="Z237" t="str">
        <f t="shared" si="81"/>
        <v>Green</v>
      </c>
      <c r="AA237" t="str">
        <f t="shared" si="82"/>
        <v>Red</v>
      </c>
      <c r="AB237" t="str">
        <f t="shared" si="83"/>
        <v>Green</v>
      </c>
      <c r="AC237" t="str">
        <f t="shared" si="84"/>
        <v>Red</v>
      </c>
      <c r="AD237" t="str">
        <f t="shared" si="85"/>
        <v>Green</v>
      </c>
    </row>
    <row r="238" spans="1:30" x14ac:dyDescent="0.2">
      <c r="A238" t="str">
        <f t="shared" si="68"/>
        <v>21/07/2026CD Uni Catolica del EcuadorBarcelona SC</v>
      </c>
      <c r="D238" s="2">
        <v>46225</v>
      </c>
      <c r="E238" s="3">
        <v>0</v>
      </c>
      <c r="F238" t="s">
        <v>431</v>
      </c>
      <c r="G238" t="s">
        <v>432</v>
      </c>
      <c r="H238">
        <v>1</v>
      </c>
      <c r="I238">
        <v>0</v>
      </c>
      <c r="J238">
        <v>2</v>
      </c>
      <c r="K238">
        <v>1</v>
      </c>
      <c r="L238" s="29" t="s">
        <v>213</v>
      </c>
      <c r="M238" s="23">
        <v>0.875</v>
      </c>
      <c r="N238" t="str">
        <f t="shared" si="69"/>
        <v>2 - 1</v>
      </c>
      <c r="O238" t="str">
        <f t="shared" si="70"/>
        <v>Green</v>
      </c>
      <c r="P238" t="str">
        <f t="shared" si="71"/>
        <v>Red</v>
      </c>
      <c r="Q238" t="str">
        <f t="shared" si="72"/>
        <v>Red</v>
      </c>
      <c r="R238" t="str">
        <f t="shared" si="73"/>
        <v>Green</v>
      </c>
      <c r="S238" t="str">
        <f t="shared" si="74"/>
        <v>Red</v>
      </c>
      <c r="T238" t="str">
        <f t="shared" si="75"/>
        <v>Green</v>
      </c>
      <c r="U238" t="str">
        <f t="shared" si="76"/>
        <v>Green</v>
      </c>
      <c r="V238" t="str">
        <f t="shared" si="77"/>
        <v>Red</v>
      </c>
      <c r="W238" t="str">
        <f t="shared" si="78"/>
        <v>Red</v>
      </c>
      <c r="X238" t="str">
        <f t="shared" si="79"/>
        <v>Green</v>
      </c>
      <c r="Y238" t="str">
        <f t="shared" si="80"/>
        <v>Green</v>
      </c>
      <c r="Z238" t="str">
        <f t="shared" si="81"/>
        <v>Green</v>
      </c>
      <c r="AA238" t="str">
        <f t="shared" si="82"/>
        <v>Red</v>
      </c>
      <c r="AB238" t="str">
        <f t="shared" si="83"/>
        <v>Green</v>
      </c>
      <c r="AC238" t="str">
        <f t="shared" si="84"/>
        <v>Green</v>
      </c>
      <c r="AD238" t="str">
        <f t="shared" si="85"/>
        <v>Red</v>
      </c>
    </row>
    <row r="239" spans="1:30" x14ac:dyDescent="0.2">
      <c r="A239" t="str">
        <f t="shared" si="68"/>
        <v>21/07/2026Universidad Central de VenezuelaSantos</v>
      </c>
      <c r="B239" t="s">
        <v>1321</v>
      </c>
      <c r="C239" t="s">
        <v>1322</v>
      </c>
      <c r="D239" s="2">
        <v>46225</v>
      </c>
      <c r="E239" s="3">
        <v>2.0833333333333332E-2</v>
      </c>
      <c r="F239" t="s">
        <v>1325</v>
      </c>
      <c r="G239" t="s">
        <v>744</v>
      </c>
      <c r="H239">
        <v>0</v>
      </c>
      <c r="I239">
        <v>1</v>
      </c>
      <c r="J239">
        <v>1</v>
      </c>
      <c r="K239">
        <v>4</v>
      </c>
      <c r="L239" s="30" t="str">
        <f>DAY(D239)-1&amp;"/"&amp;"07"&amp;"/"&amp;YEAR(D239)</f>
        <v>21/07/2026</v>
      </c>
      <c r="M239" s="31">
        <f>E239-TIME(3,0,0)+TIME(12,0,0)+TIME(12,0,0)</f>
        <v>0.89583333333333326</v>
      </c>
      <c r="N239" t="str">
        <f t="shared" si="69"/>
        <v>1 - 4</v>
      </c>
      <c r="O239" t="str">
        <f t="shared" si="70"/>
        <v>Red</v>
      </c>
      <c r="P239" t="str">
        <f t="shared" si="71"/>
        <v>Red</v>
      </c>
      <c r="Q239" t="str">
        <f t="shared" si="72"/>
        <v>Green</v>
      </c>
      <c r="R239" t="str">
        <f t="shared" si="73"/>
        <v>Red</v>
      </c>
      <c r="S239" t="str">
        <f t="shared" si="74"/>
        <v>Green</v>
      </c>
      <c r="T239" t="str">
        <f t="shared" si="75"/>
        <v>Green</v>
      </c>
      <c r="U239" t="str">
        <f t="shared" si="76"/>
        <v>Red</v>
      </c>
      <c r="V239" t="str">
        <f t="shared" si="77"/>
        <v>Red</v>
      </c>
      <c r="W239" t="str">
        <f t="shared" si="78"/>
        <v>Green</v>
      </c>
      <c r="X239" t="str">
        <f t="shared" si="79"/>
        <v>Green</v>
      </c>
      <c r="Y239" t="str">
        <f t="shared" si="80"/>
        <v>Green</v>
      </c>
      <c r="Z239" t="str">
        <f t="shared" si="81"/>
        <v>Green</v>
      </c>
      <c r="AA239" t="str">
        <f t="shared" si="82"/>
        <v>Red</v>
      </c>
      <c r="AB239" t="str">
        <f t="shared" si="83"/>
        <v>Red</v>
      </c>
      <c r="AC239" t="str">
        <f t="shared" si="84"/>
        <v>Green</v>
      </c>
      <c r="AD239" t="str">
        <f t="shared" si="85"/>
        <v>Red</v>
      </c>
    </row>
    <row r="240" spans="1:30" x14ac:dyDescent="0.2">
      <c r="A240" t="str">
        <f t="shared" si="68"/>
        <v>21/07/2026America de CaliReal Cartagena</v>
      </c>
      <c r="B240" t="s">
        <v>821</v>
      </c>
      <c r="C240" t="s">
        <v>822</v>
      </c>
      <c r="D240" s="2">
        <v>46225</v>
      </c>
      <c r="E240" s="3">
        <v>2.0833333333333332E-2</v>
      </c>
      <c r="F240" t="s">
        <v>427</v>
      </c>
      <c r="G240" t="s">
        <v>428</v>
      </c>
      <c r="H240">
        <v>1</v>
      </c>
      <c r="I240">
        <v>0</v>
      </c>
      <c r="J240">
        <v>2</v>
      </c>
      <c r="K240">
        <v>1</v>
      </c>
      <c r="L240" s="30" t="str">
        <f>DAY(D240)-1&amp;"/"&amp;"07"&amp;"/"&amp;YEAR(D240)</f>
        <v>21/07/2026</v>
      </c>
      <c r="M240" s="31">
        <f>E240-TIME(3,0,0)+TIME(12,0,0)+TIME(12,0,0)</f>
        <v>0.89583333333333326</v>
      </c>
      <c r="N240" t="str">
        <f t="shared" si="69"/>
        <v>2 - 1</v>
      </c>
      <c r="O240" t="str">
        <f t="shared" si="70"/>
        <v>Green</v>
      </c>
      <c r="P240" t="str">
        <f t="shared" si="71"/>
        <v>Red</v>
      </c>
      <c r="Q240" t="str">
        <f t="shared" si="72"/>
        <v>Red</v>
      </c>
      <c r="R240" t="str">
        <f t="shared" si="73"/>
        <v>Green</v>
      </c>
      <c r="S240" t="str">
        <f t="shared" si="74"/>
        <v>Red</v>
      </c>
      <c r="T240" t="str">
        <f t="shared" si="75"/>
        <v>Green</v>
      </c>
      <c r="U240" t="str">
        <f t="shared" si="76"/>
        <v>Green</v>
      </c>
      <c r="V240" t="str">
        <f t="shared" si="77"/>
        <v>Red</v>
      </c>
      <c r="W240" t="str">
        <f t="shared" si="78"/>
        <v>Red</v>
      </c>
      <c r="X240" t="str">
        <f t="shared" si="79"/>
        <v>Green</v>
      </c>
      <c r="Y240" t="str">
        <f t="shared" si="80"/>
        <v>Green</v>
      </c>
      <c r="Z240" t="str">
        <f t="shared" si="81"/>
        <v>Green</v>
      </c>
      <c r="AA240" t="str">
        <f t="shared" si="82"/>
        <v>Red</v>
      </c>
      <c r="AB240" t="str">
        <f t="shared" si="83"/>
        <v>Green</v>
      </c>
      <c r="AC240" t="str">
        <f t="shared" si="84"/>
        <v>Green</v>
      </c>
      <c r="AD240" t="str">
        <f t="shared" si="85"/>
        <v>Red</v>
      </c>
    </row>
    <row r="241" spans="1:30" x14ac:dyDescent="0.2">
      <c r="A241" t="str">
        <f t="shared" si="68"/>
        <v>21/07/2026Vila Nova GOFortaleza EC</v>
      </c>
      <c r="B241" t="s">
        <v>804</v>
      </c>
      <c r="C241" t="s">
        <v>817</v>
      </c>
      <c r="D241" s="2">
        <v>46225</v>
      </c>
      <c r="E241" s="3">
        <v>2.4305555555555556E-2</v>
      </c>
      <c r="F241" t="s">
        <v>400</v>
      </c>
      <c r="G241" t="s">
        <v>401</v>
      </c>
      <c r="H241">
        <v>2</v>
      </c>
      <c r="I241">
        <v>0</v>
      </c>
      <c r="J241">
        <v>2</v>
      </c>
      <c r="K241">
        <v>1</v>
      </c>
      <c r="L241" s="30" t="str">
        <f>DAY(D241)-1&amp;"/"&amp;"07"&amp;"/"&amp;YEAR(D241)</f>
        <v>21/07/2026</v>
      </c>
      <c r="M241" s="31">
        <f>E241-TIME(3,0,0)+TIME(12,0,0)+TIME(12,0,0)</f>
        <v>0.89930555555555558</v>
      </c>
      <c r="N241" t="str">
        <f t="shared" si="69"/>
        <v>2 - 1</v>
      </c>
      <c r="O241" t="str">
        <f t="shared" si="70"/>
        <v>Green</v>
      </c>
      <c r="P241" t="str">
        <f t="shared" si="71"/>
        <v>Red</v>
      </c>
      <c r="Q241" t="str">
        <f t="shared" si="72"/>
        <v>Red</v>
      </c>
      <c r="R241" t="str">
        <f t="shared" si="73"/>
        <v>Green</v>
      </c>
      <c r="S241" t="str">
        <f t="shared" si="74"/>
        <v>Red</v>
      </c>
      <c r="T241" t="str">
        <f t="shared" si="75"/>
        <v>Green</v>
      </c>
      <c r="U241" t="str">
        <f t="shared" si="76"/>
        <v>Green</v>
      </c>
      <c r="V241" t="str">
        <f t="shared" si="77"/>
        <v>Red</v>
      </c>
      <c r="W241" t="str">
        <f t="shared" si="78"/>
        <v>Red</v>
      </c>
      <c r="X241" t="str">
        <f t="shared" si="79"/>
        <v>Green</v>
      </c>
      <c r="Y241" t="str">
        <f t="shared" si="80"/>
        <v>Green</v>
      </c>
      <c r="Z241" t="str">
        <f t="shared" si="81"/>
        <v>Green</v>
      </c>
      <c r="AA241" t="str">
        <f t="shared" si="82"/>
        <v>Red</v>
      </c>
      <c r="AB241" t="str">
        <f t="shared" si="83"/>
        <v>Green</v>
      </c>
      <c r="AC241" t="str">
        <f t="shared" si="84"/>
        <v>Green</v>
      </c>
      <c r="AD241" t="str">
        <f t="shared" si="85"/>
        <v>Red</v>
      </c>
    </row>
    <row r="242" spans="1:30" x14ac:dyDescent="0.2">
      <c r="A242" t="str">
        <f t="shared" si="68"/>
        <v>21/07/2026Vasco da Gama WomenSao Paulo Women</v>
      </c>
      <c r="B242" t="s">
        <v>804</v>
      </c>
      <c r="C242" t="s">
        <v>1306</v>
      </c>
      <c r="D242" s="2">
        <v>46225</v>
      </c>
      <c r="E242" s="3">
        <v>3.125E-2</v>
      </c>
      <c r="F242" t="s">
        <v>1341</v>
      </c>
      <c r="G242" t="s">
        <v>1342</v>
      </c>
      <c r="H242">
        <v>0</v>
      </c>
      <c r="I242">
        <v>0</v>
      </c>
      <c r="J242">
        <v>0</v>
      </c>
      <c r="K242">
        <v>1</v>
      </c>
      <c r="L242" s="30" t="str">
        <f>DAY(D242)-1&amp;"/"&amp;"07"&amp;"/"&amp;YEAR(D242)</f>
        <v>21/07/2026</v>
      </c>
      <c r="M242" s="31">
        <f>E242-TIME(3,0,0)+TIME(12,0,0)+TIME(12,0,0)</f>
        <v>0.90625</v>
      </c>
      <c r="N242" t="str">
        <f t="shared" si="69"/>
        <v>0 - 1</v>
      </c>
      <c r="O242" t="str">
        <f t="shared" si="70"/>
        <v>Red</v>
      </c>
      <c r="P242" t="str">
        <f t="shared" si="71"/>
        <v>Red</v>
      </c>
      <c r="Q242" t="str">
        <f t="shared" si="72"/>
        <v>Green</v>
      </c>
      <c r="R242" t="str">
        <f t="shared" si="73"/>
        <v>Red</v>
      </c>
      <c r="S242" t="str">
        <f t="shared" si="74"/>
        <v>Green</v>
      </c>
      <c r="T242" t="str">
        <f t="shared" si="75"/>
        <v>Green</v>
      </c>
      <c r="U242" t="str">
        <f t="shared" si="76"/>
        <v>Red</v>
      </c>
      <c r="V242" t="str">
        <f t="shared" si="77"/>
        <v>Green</v>
      </c>
      <c r="W242" t="str">
        <f t="shared" si="78"/>
        <v>Red</v>
      </c>
      <c r="X242" t="str">
        <f t="shared" si="79"/>
        <v>Red</v>
      </c>
      <c r="Y242" t="str">
        <f t="shared" si="80"/>
        <v>Red</v>
      </c>
      <c r="Z242" t="str">
        <f t="shared" si="81"/>
        <v>Red</v>
      </c>
      <c r="AA242" t="str">
        <f t="shared" si="82"/>
        <v>Green</v>
      </c>
      <c r="AB242" t="str">
        <f t="shared" si="83"/>
        <v>Green</v>
      </c>
      <c r="AC242" t="str">
        <f t="shared" si="84"/>
        <v>Red</v>
      </c>
      <c r="AD242" t="str">
        <f t="shared" si="85"/>
        <v>Green</v>
      </c>
    </row>
    <row r="243" spans="1:30" x14ac:dyDescent="0.2">
      <c r="A243" t="str">
        <f t="shared" si="68"/>
        <v>21/07/2026Cruz AzulPuebla</v>
      </c>
      <c r="D243" s="2">
        <v>46225</v>
      </c>
      <c r="E243" s="3">
        <v>4.1666666666666664E-2</v>
      </c>
      <c r="F243" t="s">
        <v>1370</v>
      </c>
      <c r="G243" t="s">
        <v>1371</v>
      </c>
      <c r="H243">
        <v>1</v>
      </c>
      <c r="I243">
        <v>1</v>
      </c>
      <c r="J243">
        <v>2</v>
      </c>
      <c r="K243">
        <v>1</v>
      </c>
      <c r="L243" s="30" t="str">
        <f>DAY(D243)-1&amp;"/"&amp;"07"&amp;"/"&amp;YEAR(D243)</f>
        <v>21/07/2026</v>
      </c>
      <c r="M243" s="31">
        <f>E243-TIME(3,0,0)+TIME(12,0,0)+TIME(12,0,0)</f>
        <v>0.91666666666666663</v>
      </c>
      <c r="N243" t="str">
        <f t="shared" si="69"/>
        <v>2 - 1</v>
      </c>
      <c r="O243" t="str">
        <f t="shared" si="70"/>
        <v>Green</v>
      </c>
      <c r="P243" t="str">
        <f t="shared" si="71"/>
        <v>Red</v>
      </c>
      <c r="Q243" t="str">
        <f t="shared" si="72"/>
        <v>Red</v>
      </c>
      <c r="R243" t="str">
        <f t="shared" si="73"/>
        <v>Green</v>
      </c>
      <c r="S243" t="str">
        <f t="shared" si="74"/>
        <v>Red</v>
      </c>
      <c r="T243" t="str">
        <f t="shared" si="75"/>
        <v>Green</v>
      </c>
      <c r="U243" t="str">
        <f t="shared" si="76"/>
        <v>Red</v>
      </c>
      <c r="V243" t="str">
        <f t="shared" si="77"/>
        <v>Green</v>
      </c>
      <c r="W243" t="str">
        <f t="shared" si="78"/>
        <v>Red</v>
      </c>
      <c r="X243" t="str">
        <f t="shared" si="79"/>
        <v>Green</v>
      </c>
      <c r="Y243" t="str">
        <f t="shared" si="80"/>
        <v>Green</v>
      </c>
      <c r="Z243" t="str">
        <f t="shared" si="81"/>
        <v>Green</v>
      </c>
      <c r="AA243" t="str">
        <f t="shared" si="82"/>
        <v>Red</v>
      </c>
      <c r="AB243" t="str">
        <f t="shared" si="83"/>
        <v>Green</v>
      </c>
      <c r="AC243" t="str">
        <f t="shared" si="84"/>
        <v>Green</v>
      </c>
      <c r="AD243" t="str">
        <f t="shared" si="85"/>
        <v>Red</v>
      </c>
    </row>
    <row r="244" spans="1:30" x14ac:dyDescent="0.2">
      <c r="A244" t="str">
        <f t="shared" si="68"/>
        <v>22/07/2026Deportivo TolucaPumas UNAM</v>
      </c>
      <c r="D244" s="2">
        <v>46225</v>
      </c>
      <c r="E244" s="3">
        <v>0.12847222222222221</v>
      </c>
      <c r="F244" t="s">
        <v>1372</v>
      </c>
      <c r="G244" t="s">
        <v>1373</v>
      </c>
      <c r="H244">
        <v>1</v>
      </c>
      <c r="I244">
        <v>0</v>
      </c>
      <c r="J244">
        <v>1</v>
      </c>
      <c r="K244">
        <v>2</v>
      </c>
      <c r="L244" s="22" t="str">
        <f t="shared" ref="L244:L275" si="88">DAY(D244)&amp;"/"&amp;"07"&amp;"/"&amp;YEAR(D244)</f>
        <v>22/07/2026</v>
      </c>
      <c r="M244" s="23">
        <f t="shared" ref="M244:M275" si="89">E244-TIME(3,0,0)</f>
        <v>3.4722222222222099E-3</v>
      </c>
      <c r="N244" t="str">
        <f t="shared" si="69"/>
        <v>1 - 2</v>
      </c>
      <c r="O244" t="str">
        <f t="shared" si="70"/>
        <v>Red</v>
      </c>
      <c r="P244" t="str">
        <f t="shared" si="71"/>
        <v>Red</v>
      </c>
      <c r="Q244" t="str">
        <f t="shared" si="72"/>
        <v>Green</v>
      </c>
      <c r="R244" t="str">
        <f t="shared" si="73"/>
        <v>Red</v>
      </c>
      <c r="S244" t="str">
        <f t="shared" si="74"/>
        <v>Green</v>
      </c>
      <c r="T244" t="str">
        <f t="shared" si="75"/>
        <v>Green</v>
      </c>
      <c r="U244" t="str">
        <f t="shared" si="76"/>
        <v>Green</v>
      </c>
      <c r="V244" t="str">
        <f t="shared" si="77"/>
        <v>Red</v>
      </c>
      <c r="W244" t="str">
        <f t="shared" si="78"/>
        <v>Red</v>
      </c>
      <c r="X244" t="str">
        <f t="shared" si="79"/>
        <v>Green</v>
      </c>
      <c r="Y244" t="str">
        <f t="shared" si="80"/>
        <v>Green</v>
      </c>
      <c r="Z244" t="str">
        <f t="shared" si="81"/>
        <v>Green</v>
      </c>
      <c r="AA244" t="str">
        <f t="shared" si="82"/>
        <v>Red</v>
      </c>
      <c r="AB244" t="str">
        <f t="shared" si="83"/>
        <v>Green</v>
      </c>
      <c r="AC244" t="str">
        <f t="shared" si="84"/>
        <v>Green</v>
      </c>
      <c r="AD244" t="str">
        <f t="shared" si="85"/>
        <v>Red</v>
      </c>
    </row>
    <row r="245" spans="1:30" x14ac:dyDescent="0.2">
      <c r="A245" t="str">
        <f t="shared" si="68"/>
        <v>22/07/2026Tuggeranong United U23Canberra White Eagles U23</v>
      </c>
      <c r="B245" t="s">
        <v>810</v>
      </c>
      <c r="C245" t="s">
        <v>909</v>
      </c>
      <c r="D245" s="2">
        <v>46225</v>
      </c>
      <c r="E245" s="3">
        <v>0.3125</v>
      </c>
      <c r="F245" t="s">
        <v>910</v>
      </c>
      <c r="G245" t="s">
        <v>911</v>
      </c>
      <c r="H245">
        <v>2</v>
      </c>
      <c r="I245">
        <v>0</v>
      </c>
      <c r="J245">
        <v>3</v>
      </c>
      <c r="K245">
        <v>2</v>
      </c>
      <c r="L245" s="22" t="str">
        <f t="shared" si="88"/>
        <v>22/07/2026</v>
      </c>
      <c r="M245" s="23">
        <f t="shared" si="89"/>
        <v>0.1875</v>
      </c>
      <c r="N245" t="str">
        <f t="shared" si="69"/>
        <v>3 - 2</v>
      </c>
      <c r="O245" t="str">
        <f t="shared" si="70"/>
        <v>Green</v>
      </c>
      <c r="P245" t="str">
        <f t="shared" si="71"/>
        <v>Red</v>
      </c>
      <c r="Q245" t="str">
        <f t="shared" si="72"/>
        <v>Red</v>
      </c>
      <c r="R245" t="str">
        <f t="shared" si="73"/>
        <v>Green</v>
      </c>
      <c r="S245" t="str">
        <f t="shared" si="74"/>
        <v>Red</v>
      </c>
      <c r="T245" t="str">
        <f t="shared" si="75"/>
        <v>Green</v>
      </c>
      <c r="U245" t="str">
        <f t="shared" si="76"/>
        <v>Green</v>
      </c>
      <c r="V245" t="str">
        <f t="shared" si="77"/>
        <v>Red</v>
      </c>
      <c r="W245" t="str">
        <f t="shared" si="78"/>
        <v>Red</v>
      </c>
      <c r="X245" t="str">
        <f t="shared" si="79"/>
        <v>Green</v>
      </c>
      <c r="Y245" t="str">
        <f t="shared" si="80"/>
        <v>Green</v>
      </c>
      <c r="Z245" t="str">
        <f t="shared" si="81"/>
        <v>Green</v>
      </c>
      <c r="AA245" t="str">
        <f t="shared" si="82"/>
        <v>Red</v>
      </c>
      <c r="AB245" t="str">
        <f t="shared" si="83"/>
        <v>Red</v>
      </c>
      <c r="AC245" t="str">
        <f t="shared" si="84"/>
        <v>Green</v>
      </c>
      <c r="AD245" t="str">
        <f t="shared" si="85"/>
        <v>Red</v>
      </c>
    </row>
    <row r="246" spans="1:30" x14ac:dyDescent="0.2">
      <c r="A246" t="str">
        <f t="shared" si="68"/>
        <v>22/07/2026FK Neftchi Baku WomenBuducnost Podgorica Women</v>
      </c>
      <c r="B246" t="s">
        <v>802</v>
      </c>
      <c r="D246" s="2">
        <v>46225</v>
      </c>
      <c r="E246" s="3">
        <v>0.33333333333333331</v>
      </c>
      <c r="F246" t="s">
        <v>1584</v>
      </c>
      <c r="G246" t="s">
        <v>1585</v>
      </c>
      <c r="H246">
        <v>0</v>
      </c>
      <c r="I246">
        <v>0</v>
      </c>
      <c r="J246">
        <v>0</v>
      </c>
      <c r="K246">
        <v>0</v>
      </c>
      <c r="L246" s="22" t="str">
        <f t="shared" si="88"/>
        <v>22/07/2026</v>
      </c>
      <c r="M246" s="23">
        <f t="shared" si="89"/>
        <v>0.20833333333333331</v>
      </c>
      <c r="N246" t="str">
        <f t="shared" si="69"/>
        <v>0 - 0</v>
      </c>
      <c r="O246" t="str">
        <f t="shared" si="70"/>
        <v>Red</v>
      </c>
      <c r="P246" t="str">
        <f t="shared" si="71"/>
        <v>Green</v>
      </c>
      <c r="Q246" t="str">
        <f t="shared" si="72"/>
        <v>Red</v>
      </c>
      <c r="R246" t="str">
        <f t="shared" si="73"/>
        <v>Green</v>
      </c>
      <c r="S246" t="str">
        <f t="shared" si="74"/>
        <v>Green</v>
      </c>
      <c r="T246" t="str">
        <f t="shared" si="75"/>
        <v>Red</v>
      </c>
      <c r="U246" t="str">
        <f t="shared" si="76"/>
        <v>Red</v>
      </c>
      <c r="V246" t="str">
        <f t="shared" si="77"/>
        <v>Green</v>
      </c>
      <c r="W246" t="str">
        <f t="shared" si="78"/>
        <v>Red</v>
      </c>
      <c r="X246" t="str">
        <f t="shared" si="79"/>
        <v>Red</v>
      </c>
      <c r="Y246" t="str">
        <f t="shared" si="80"/>
        <v>Red</v>
      </c>
      <c r="Z246" t="str">
        <f t="shared" si="81"/>
        <v>Red</v>
      </c>
      <c r="AA246" t="str">
        <f t="shared" si="82"/>
        <v>Green</v>
      </c>
      <c r="AB246" t="str">
        <f t="shared" si="83"/>
        <v>Green</v>
      </c>
      <c r="AC246" t="str">
        <f t="shared" si="84"/>
        <v>Red</v>
      </c>
      <c r="AD246" t="str">
        <f t="shared" si="85"/>
        <v>Green</v>
      </c>
    </row>
    <row r="247" spans="1:30" x14ac:dyDescent="0.2">
      <c r="A247" t="str">
        <f t="shared" si="68"/>
        <v>22/07/2026NK KustosijaNK Krka</v>
      </c>
      <c r="D247" s="2">
        <v>46225</v>
      </c>
      <c r="E247" s="3">
        <v>0.35416666666666669</v>
      </c>
      <c r="F247" t="s">
        <v>1586</v>
      </c>
      <c r="G247" t="s">
        <v>1587</v>
      </c>
      <c r="H247">
        <v>0</v>
      </c>
      <c r="I247">
        <v>1</v>
      </c>
      <c r="J247">
        <v>4</v>
      </c>
      <c r="K247">
        <v>1</v>
      </c>
      <c r="L247" s="22" t="str">
        <f t="shared" si="88"/>
        <v>22/07/2026</v>
      </c>
      <c r="M247" s="23">
        <f t="shared" si="89"/>
        <v>0.22916666666666669</v>
      </c>
      <c r="N247" t="str">
        <f t="shared" si="69"/>
        <v>4 - 1</v>
      </c>
      <c r="O247" t="str">
        <f t="shared" si="70"/>
        <v>Green</v>
      </c>
      <c r="P247" t="str">
        <f t="shared" si="71"/>
        <v>Red</v>
      </c>
      <c r="Q247" t="str">
        <f t="shared" si="72"/>
        <v>Red</v>
      </c>
      <c r="R247" t="str">
        <f t="shared" si="73"/>
        <v>Green</v>
      </c>
      <c r="S247" t="str">
        <f t="shared" si="74"/>
        <v>Red</v>
      </c>
      <c r="T247" t="str">
        <f t="shared" si="75"/>
        <v>Green</v>
      </c>
      <c r="U247" t="str">
        <f t="shared" si="76"/>
        <v>Red</v>
      </c>
      <c r="V247" t="str">
        <f t="shared" si="77"/>
        <v>Red</v>
      </c>
      <c r="W247" t="str">
        <f t="shared" si="78"/>
        <v>Green</v>
      </c>
      <c r="X247" t="str">
        <f t="shared" si="79"/>
        <v>Green</v>
      </c>
      <c r="Y247" t="str">
        <f t="shared" si="80"/>
        <v>Green</v>
      </c>
      <c r="Z247" t="str">
        <f t="shared" si="81"/>
        <v>Green</v>
      </c>
      <c r="AA247" t="str">
        <f t="shared" si="82"/>
        <v>Red</v>
      </c>
      <c r="AB247" t="str">
        <f t="shared" si="83"/>
        <v>Red</v>
      </c>
      <c r="AC247" t="str">
        <f t="shared" si="84"/>
        <v>Green</v>
      </c>
      <c r="AD247" t="str">
        <f t="shared" si="85"/>
        <v>Red</v>
      </c>
    </row>
    <row r="248" spans="1:30" x14ac:dyDescent="0.2">
      <c r="A248" t="str">
        <f t="shared" si="68"/>
        <v>22/07/2026Hamilton OlympicBelmont Swansea United SC</v>
      </c>
      <c r="B248" t="s">
        <v>810</v>
      </c>
      <c r="C248" t="s">
        <v>893</v>
      </c>
      <c r="D248" s="2">
        <v>46225</v>
      </c>
      <c r="E248" s="3">
        <v>0.375</v>
      </c>
      <c r="F248" t="s">
        <v>894</v>
      </c>
      <c r="G248" t="s">
        <v>19</v>
      </c>
      <c r="H248">
        <v>4</v>
      </c>
      <c r="I248">
        <v>1</v>
      </c>
      <c r="J248">
        <v>5</v>
      </c>
      <c r="K248">
        <v>2</v>
      </c>
      <c r="L248" s="22" t="str">
        <f t="shared" si="88"/>
        <v>22/07/2026</v>
      </c>
      <c r="M248" s="23">
        <f t="shared" si="89"/>
        <v>0.25</v>
      </c>
      <c r="N248" t="str">
        <f t="shared" si="69"/>
        <v>5 - 2</v>
      </c>
      <c r="O248" t="str">
        <f t="shared" si="70"/>
        <v>Green</v>
      </c>
      <c r="P248" t="str">
        <f t="shared" si="71"/>
        <v>Red</v>
      </c>
      <c r="Q248" t="str">
        <f t="shared" si="72"/>
        <v>Red</v>
      </c>
      <c r="R248" t="str">
        <f t="shared" si="73"/>
        <v>Green</v>
      </c>
      <c r="S248" t="str">
        <f t="shared" si="74"/>
        <v>Red</v>
      </c>
      <c r="T248" t="str">
        <f t="shared" si="75"/>
        <v>Green</v>
      </c>
      <c r="U248" t="str">
        <f t="shared" si="76"/>
        <v>Green</v>
      </c>
      <c r="V248" t="str">
        <f t="shared" si="77"/>
        <v>Red</v>
      </c>
      <c r="W248" t="str">
        <f t="shared" si="78"/>
        <v>Red</v>
      </c>
      <c r="X248" t="str">
        <f t="shared" si="79"/>
        <v>Green</v>
      </c>
      <c r="Y248" t="str">
        <f t="shared" si="80"/>
        <v>Green</v>
      </c>
      <c r="Z248" t="str">
        <f t="shared" si="81"/>
        <v>Green</v>
      </c>
      <c r="AA248" t="str">
        <f t="shared" si="82"/>
        <v>Red</v>
      </c>
      <c r="AB248" t="str">
        <f t="shared" si="83"/>
        <v>Red</v>
      </c>
      <c r="AC248" t="str">
        <f t="shared" si="84"/>
        <v>Green</v>
      </c>
      <c r="AD248" t="str">
        <f t="shared" si="85"/>
        <v>Red</v>
      </c>
    </row>
    <row r="249" spans="1:30" x14ac:dyDescent="0.2">
      <c r="A249" t="str">
        <f t="shared" si="68"/>
        <v>22/07/2026Edgeworth Eagles ReservesKahibah FC Reserves</v>
      </c>
      <c r="B249" t="s">
        <v>810</v>
      </c>
      <c r="C249" t="s">
        <v>813</v>
      </c>
      <c r="D249" s="2">
        <v>46225</v>
      </c>
      <c r="E249" s="3">
        <v>0.375</v>
      </c>
      <c r="F249" t="s">
        <v>896</v>
      </c>
      <c r="G249" t="s">
        <v>897</v>
      </c>
      <c r="H249">
        <v>0</v>
      </c>
      <c r="I249">
        <v>1</v>
      </c>
      <c r="J249">
        <v>2</v>
      </c>
      <c r="K249">
        <v>2</v>
      </c>
      <c r="L249" s="22" t="str">
        <f t="shared" si="88"/>
        <v>22/07/2026</v>
      </c>
      <c r="M249" s="23">
        <f t="shared" si="89"/>
        <v>0.25</v>
      </c>
      <c r="N249" t="str">
        <f t="shared" si="69"/>
        <v>2 - 2</v>
      </c>
      <c r="O249" t="str">
        <f t="shared" si="70"/>
        <v>Red</v>
      </c>
      <c r="P249" t="str">
        <f t="shared" si="71"/>
        <v>Green</v>
      </c>
      <c r="Q249" t="str">
        <f t="shared" si="72"/>
        <v>Red</v>
      </c>
      <c r="R249" t="str">
        <f t="shared" si="73"/>
        <v>Green</v>
      </c>
      <c r="S249" t="str">
        <f t="shared" si="74"/>
        <v>Green</v>
      </c>
      <c r="T249" t="str">
        <f t="shared" si="75"/>
        <v>Red</v>
      </c>
      <c r="U249" t="str">
        <f t="shared" si="76"/>
        <v>Red</v>
      </c>
      <c r="V249" t="str">
        <f t="shared" si="77"/>
        <v>Red</v>
      </c>
      <c r="W249" t="str">
        <f t="shared" si="78"/>
        <v>Green</v>
      </c>
      <c r="X249" t="str">
        <f t="shared" si="79"/>
        <v>Green</v>
      </c>
      <c r="Y249" t="str">
        <f t="shared" si="80"/>
        <v>Green</v>
      </c>
      <c r="Z249" t="str">
        <f t="shared" si="81"/>
        <v>Green</v>
      </c>
      <c r="AA249" t="str">
        <f t="shared" si="82"/>
        <v>Red</v>
      </c>
      <c r="AB249" t="str">
        <f t="shared" si="83"/>
        <v>Red</v>
      </c>
      <c r="AC249" t="str">
        <f t="shared" si="84"/>
        <v>Green</v>
      </c>
      <c r="AD249" t="str">
        <f t="shared" si="85"/>
        <v>Red</v>
      </c>
    </row>
    <row r="250" spans="1:30" x14ac:dyDescent="0.2">
      <c r="A250" t="str">
        <f t="shared" si="68"/>
        <v>22/07/2026Port Darwin FCCasuarina FC</v>
      </c>
      <c r="B250" t="s">
        <v>810</v>
      </c>
      <c r="C250" t="s">
        <v>898</v>
      </c>
      <c r="D250" s="2">
        <v>46225</v>
      </c>
      <c r="E250" s="3">
        <v>0.375</v>
      </c>
      <c r="F250" t="s">
        <v>899</v>
      </c>
      <c r="G250" t="s">
        <v>900</v>
      </c>
      <c r="L250" s="22" t="str">
        <f t="shared" si="88"/>
        <v>22/07/2026</v>
      </c>
      <c r="M250" s="23">
        <f t="shared" si="89"/>
        <v>0.25</v>
      </c>
      <c r="N250" t="str">
        <f t="shared" si="69"/>
        <v xml:space="preserve"> - </v>
      </c>
      <c r="O250" t="str">
        <f t="shared" si="70"/>
        <v>Red</v>
      </c>
      <c r="P250" t="str">
        <f t="shared" si="71"/>
        <v>Green</v>
      </c>
      <c r="Q250" t="str">
        <f t="shared" si="72"/>
        <v>Red</v>
      </c>
      <c r="R250" t="str">
        <f t="shared" si="73"/>
        <v>Green</v>
      </c>
      <c r="S250" t="str">
        <f t="shared" si="74"/>
        <v>Green</v>
      </c>
      <c r="T250" t="str">
        <f t="shared" si="75"/>
        <v>Red</v>
      </c>
      <c r="U250" t="str">
        <f t="shared" si="76"/>
        <v>Red</v>
      </c>
      <c r="V250" t="str">
        <f t="shared" si="77"/>
        <v>Green</v>
      </c>
      <c r="W250" t="str">
        <f t="shared" si="78"/>
        <v>Red</v>
      </c>
      <c r="X250" t="str">
        <f t="shared" si="79"/>
        <v>Red</v>
      </c>
      <c r="Y250" t="str">
        <f t="shared" si="80"/>
        <v>Red</v>
      </c>
      <c r="Z250" t="str">
        <f t="shared" si="81"/>
        <v>Red</v>
      </c>
      <c r="AA250" t="str">
        <f t="shared" si="82"/>
        <v>Green</v>
      </c>
      <c r="AB250" t="str">
        <f t="shared" si="83"/>
        <v>Green</v>
      </c>
      <c r="AC250" t="str">
        <f t="shared" si="84"/>
        <v>Red</v>
      </c>
      <c r="AD250" t="str">
        <f t="shared" si="85"/>
        <v>Green</v>
      </c>
    </row>
    <row r="251" spans="1:30" x14ac:dyDescent="0.2">
      <c r="A251" t="str">
        <f t="shared" si="68"/>
        <v>22/07/2026Athlone Town WomenZFK Dragon Women</v>
      </c>
      <c r="B251" t="s">
        <v>802</v>
      </c>
      <c r="D251" s="2">
        <v>46225</v>
      </c>
      <c r="E251" s="3">
        <v>0.375</v>
      </c>
      <c r="F251" t="s">
        <v>1588</v>
      </c>
      <c r="G251" t="s">
        <v>1589</v>
      </c>
      <c r="H251">
        <v>2</v>
      </c>
      <c r="I251">
        <v>0</v>
      </c>
      <c r="J251">
        <v>4</v>
      </c>
      <c r="K251">
        <v>0</v>
      </c>
      <c r="L251" s="22" t="str">
        <f t="shared" si="88"/>
        <v>22/07/2026</v>
      </c>
      <c r="M251" s="23">
        <f t="shared" si="89"/>
        <v>0.25</v>
      </c>
      <c r="N251" t="str">
        <f t="shared" si="69"/>
        <v>4 - 0</v>
      </c>
      <c r="O251" t="str">
        <f t="shared" si="70"/>
        <v>Green</v>
      </c>
      <c r="P251" t="str">
        <f t="shared" si="71"/>
        <v>Red</v>
      </c>
      <c r="Q251" t="str">
        <f t="shared" si="72"/>
        <v>Red</v>
      </c>
      <c r="R251" t="str">
        <f t="shared" si="73"/>
        <v>Green</v>
      </c>
      <c r="S251" t="str">
        <f t="shared" si="74"/>
        <v>Red</v>
      </c>
      <c r="T251" t="str">
        <f t="shared" si="75"/>
        <v>Green</v>
      </c>
      <c r="U251" t="str">
        <f t="shared" si="76"/>
        <v>Green</v>
      </c>
      <c r="V251" t="str">
        <f t="shared" si="77"/>
        <v>Red</v>
      </c>
      <c r="W251" t="str">
        <f t="shared" si="78"/>
        <v>Red</v>
      </c>
      <c r="X251" t="str">
        <f t="shared" si="79"/>
        <v>Green</v>
      </c>
      <c r="Y251" t="str">
        <f t="shared" si="80"/>
        <v>Green</v>
      </c>
      <c r="Z251" t="str">
        <f t="shared" si="81"/>
        <v>Green</v>
      </c>
      <c r="AA251" t="str">
        <f t="shared" si="82"/>
        <v>Red</v>
      </c>
      <c r="AB251" t="str">
        <f t="shared" si="83"/>
        <v>Red</v>
      </c>
      <c r="AC251" t="str">
        <f t="shared" si="84"/>
        <v>Red</v>
      </c>
      <c r="AD251" t="str">
        <f t="shared" si="85"/>
        <v>Green</v>
      </c>
    </row>
    <row r="252" spans="1:30" x14ac:dyDescent="0.2">
      <c r="A252" t="str">
        <f t="shared" si="68"/>
        <v>22/07/2026Ipswich FCBrisbane Roar</v>
      </c>
      <c r="D252" s="2">
        <v>46225</v>
      </c>
      <c r="E252" s="3">
        <v>0.375</v>
      </c>
      <c r="F252" t="s">
        <v>1590</v>
      </c>
      <c r="G252" t="s">
        <v>1591</v>
      </c>
      <c r="H252">
        <v>0</v>
      </c>
      <c r="I252">
        <v>2</v>
      </c>
      <c r="J252">
        <v>0</v>
      </c>
      <c r="K252">
        <v>5</v>
      </c>
      <c r="L252" s="22" t="str">
        <f t="shared" si="88"/>
        <v>22/07/2026</v>
      </c>
      <c r="M252" s="23">
        <f t="shared" si="89"/>
        <v>0.25</v>
      </c>
      <c r="N252" t="str">
        <f t="shared" si="69"/>
        <v>0 - 5</v>
      </c>
      <c r="O252" t="str">
        <f t="shared" si="70"/>
        <v>Red</v>
      </c>
      <c r="P252" t="str">
        <f t="shared" si="71"/>
        <v>Red</v>
      </c>
      <c r="Q252" t="str">
        <f t="shared" si="72"/>
        <v>Green</v>
      </c>
      <c r="R252" t="str">
        <f t="shared" si="73"/>
        <v>Red</v>
      </c>
      <c r="S252" t="str">
        <f t="shared" si="74"/>
        <v>Green</v>
      </c>
      <c r="T252" t="str">
        <f t="shared" si="75"/>
        <v>Green</v>
      </c>
      <c r="U252" t="str">
        <f t="shared" si="76"/>
        <v>Red</v>
      </c>
      <c r="V252" t="str">
        <f t="shared" si="77"/>
        <v>Red</v>
      </c>
      <c r="W252" t="str">
        <f t="shared" si="78"/>
        <v>Green</v>
      </c>
      <c r="X252" t="str">
        <f t="shared" si="79"/>
        <v>Green</v>
      </c>
      <c r="Y252" t="str">
        <f t="shared" si="80"/>
        <v>Green</v>
      </c>
      <c r="Z252" t="str">
        <f t="shared" si="81"/>
        <v>Green</v>
      </c>
      <c r="AA252" t="str">
        <f t="shared" si="82"/>
        <v>Red</v>
      </c>
      <c r="AB252" t="str">
        <f t="shared" si="83"/>
        <v>Red</v>
      </c>
      <c r="AC252" t="str">
        <f t="shared" si="84"/>
        <v>Red</v>
      </c>
      <c r="AD252" t="str">
        <f t="shared" si="85"/>
        <v>Green</v>
      </c>
    </row>
    <row r="253" spans="1:30" x14ac:dyDescent="0.2">
      <c r="A253" t="str">
        <f t="shared" si="68"/>
        <v>22/07/2026Tuggeranong UnitedCanberra White Eagles</v>
      </c>
      <c r="B253" t="s">
        <v>810</v>
      </c>
      <c r="C253" t="s">
        <v>811</v>
      </c>
      <c r="D253" s="2">
        <v>46225</v>
      </c>
      <c r="E253" s="3">
        <v>0.39583333333333331</v>
      </c>
      <c r="F253" t="s">
        <v>892</v>
      </c>
      <c r="G253" t="s">
        <v>22</v>
      </c>
      <c r="H253">
        <v>1</v>
      </c>
      <c r="I253">
        <v>1</v>
      </c>
      <c r="J253">
        <v>2</v>
      </c>
      <c r="K253">
        <v>1</v>
      </c>
      <c r="L253" s="22" t="str">
        <f t="shared" si="88"/>
        <v>22/07/2026</v>
      </c>
      <c r="M253" s="23">
        <f t="shared" si="89"/>
        <v>0.27083333333333331</v>
      </c>
      <c r="N253" t="str">
        <f t="shared" si="69"/>
        <v>2 - 1</v>
      </c>
      <c r="O253" t="str">
        <f t="shared" si="70"/>
        <v>Green</v>
      </c>
      <c r="P253" t="str">
        <f t="shared" si="71"/>
        <v>Red</v>
      </c>
      <c r="Q253" t="str">
        <f t="shared" si="72"/>
        <v>Red</v>
      </c>
      <c r="R253" t="str">
        <f t="shared" si="73"/>
        <v>Green</v>
      </c>
      <c r="S253" t="str">
        <f t="shared" si="74"/>
        <v>Red</v>
      </c>
      <c r="T253" t="str">
        <f t="shared" si="75"/>
        <v>Green</v>
      </c>
      <c r="U253" t="str">
        <f t="shared" si="76"/>
        <v>Red</v>
      </c>
      <c r="V253" t="str">
        <f t="shared" si="77"/>
        <v>Green</v>
      </c>
      <c r="W253" t="str">
        <f t="shared" si="78"/>
        <v>Red</v>
      </c>
      <c r="X253" t="str">
        <f t="shared" si="79"/>
        <v>Green</v>
      </c>
      <c r="Y253" t="str">
        <f t="shared" si="80"/>
        <v>Green</v>
      </c>
      <c r="Z253" t="str">
        <f t="shared" si="81"/>
        <v>Green</v>
      </c>
      <c r="AA253" t="str">
        <f t="shared" si="82"/>
        <v>Red</v>
      </c>
      <c r="AB253" t="str">
        <f t="shared" si="83"/>
        <v>Green</v>
      </c>
      <c r="AC253" t="str">
        <f t="shared" si="84"/>
        <v>Green</v>
      </c>
      <c r="AD253" t="str">
        <f t="shared" si="85"/>
        <v>Red</v>
      </c>
    </row>
    <row r="254" spans="1:30" x14ac:dyDescent="0.2">
      <c r="A254" t="str">
        <f t="shared" si="68"/>
        <v>22/07/2026CoomaWestern Sydney Wanderers</v>
      </c>
      <c r="B254" t="s">
        <v>810</v>
      </c>
      <c r="C254" t="s">
        <v>814</v>
      </c>
      <c r="D254" s="2">
        <v>46225</v>
      </c>
      <c r="E254" s="3">
        <v>0.39583333333333331</v>
      </c>
      <c r="F254" t="s">
        <v>903</v>
      </c>
      <c r="G254" t="s">
        <v>904</v>
      </c>
      <c r="H254">
        <v>0</v>
      </c>
      <c r="I254">
        <v>0</v>
      </c>
      <c r="J254">
        <v>0</v>
      </c>
      <c r="K254">
        <v>2</v>
      </c>
      <c r="L254" s="22" t="str">
        <f t="shared" si="88"/>
        <v>22/07/2026</v>
      </c>
      <c r="M254" s="23">
        <f t="shared" si="89"/>
        <v>0.27083333333333331</v>
      </c>
      <c r="N254" t="str">
        <f t="shared" si="69"/>
        <v>0 - 2</v>
      </c>
      <c r="O254" t="str">
        <f t="shared" si="70"/>
        <v>Red</v>
      </c>
      <c r="P254" t="str">
        <f t="shared" si="71"/>
        <v>Red</v>
      </c>
      <c r="Q254" t="str">
        <f t="shared" si="72"/>
        <v>Green</v>
      </c>
      <c r="R254" t="str">
        <f t="shared" si="73"/>
        <v>Red</v>
      </c>
      <c r="S254" t="str">
        <f t="shared" si="74"/>
        <v>Green</v>
      </c>
      <c r="T254" t="str">
        <f t="shared" si="75"/>
        <v>Green</v>
      </c>
      <c r="U254" t="str">
        <f t="shared" si="76"/>
        <v>Red</v>
      </c>
      <c r="V254" t="str">
        <f t="shared" si="77"/>
        <v>Green</v>
      </c>
      <c r="W254" t="str">
        <f t="shared" si="78"/>
        <v>Red</v>
      </c>
      <c r="X254" t="str">
        <f t="shared" si="79"/>
        <v>Red</v>
      </c>
      <c r="Y254" t="str">
        <f t="shared" si="80"/>
        <v>Green</v>
      </c>
      <c r="Z254" t="str">
        <f t="shared" si="81"/>
        <v>Red</v>
      </c>
      <c r="AA254" t="str">
        <f t="shared" si="82"/>
        <v>Green</v>
      </c>
      <c r="AB254" t="str">
        <f t="shared" si="83"/>
        <v>Green</v>
      </c>
      <c r="AC254" t="str">
        <f t="shared" si="84"/>
        <v>Red</v>
      </c>
      <c r="AD254" t="str">
        <f t="shared" si="85"/>
        <v>Green</v>
      </c>
    </row>
    <row r="255" spans="1:30" x14ac:dyDescent="0.2">
      <c r="A255" t="str">
        <f t="shared" si="68"/>
        <v>22/07/2026Maitland FCFremantle City FC</v>
      </c>
      <c r="B255" t="s">
        <v>810</v>
      </c>
      <c r="C255" t="s">
        <v>814</v>
      </c>
      <c r="D255" s="2">
        <v>46225</v>
      </c>
      <c r="E255" s="3">
        <v>0.39583333333333331</v>
      </c>
      <c r="F255" t="s">
        <v>513</v>
      </c>
      <c r="G255" t="s">
        <v>905</v>
      </c>
      <c r="H255">
        <v>0</v>
      </c>
      <c r="I255">
        <v>0</v>
      </c>
      <c r="J255">
        <v>1</v>
      </c>
      <c r="K255">
        <v>2</v>
      </c>
      <c r="L255" s="22" t="str">
        <f t="shared" si="88"/>
        <v>22/07/2026</v>
      </c>
      <c r="M255" s="23">
        <f t="shared" si="89"/>
        <v>0.27083333333333331</v>
      </c>
      <c r="N255" t="str">
        <f t="shared" si="69"/>
        <v>1 - 2</v>
      </c>
      <c r="O255" t="str">
        <f t="shared" si="70"/>
        <v>Red</v>
      </c>
      <c r="P255" t="str">
        <f t="shared" si="71"/>
        <v>Red</v>
      </c>
      <c r="Q255" t="str">
        <f t="shared" si="72"/>
        <v>Green</v>
      </c>
      <c r="R255" t="str">
        <f t="shared" si="73"/>
        <v>Red</v>
      </c>
      <c r="S255" t="str">
        <f t="shared" si="74"/>
        <v>Green</v>
      </c>
      <c r="T255" t="str">
        <f t="shared" si="75"/>
        <v>Green</v>
      </c>
      <c r="U255" t="str">
        <f t="shared" si="76"/>
        <v>Red</v>
      </c>
      <c r="V255" t="str">
        <f t="shared" si="77"/>
        <v>Green</v>
      </c>
      <c r="W255" t="str">
        <f t="shared" si="78"/>
        <v>Red</v>
      </c>
      <c r="X255" t="str">
        <f t="shared" si="79"/>
        <v>Red</v>
      </c>
      <c r="Y255" t="str">
        <f t="shared" si="80"/>
        <v>Green</v>
      </c>
      <c r="Z255" t="str">
        <f t="shared" si="81"/>
        <v>Green</v>
      </c>
      <c r="AA255" t="str">
        <f t="shared" si="82"/>
        <v>Red</v>
      </c>
      <c r="AB255" t="str">
        <f t="shared" si="83"/>
        <v>Green</v>
      </c>
      <c r="AC255" t="str">
        <f t="shared" si="84"/>
        <v>Green</v>
      </c>
      <c r="AD255" t="str">
        <f t="shared" si="85"/>
        <v>Red</v>
      </c>
    </row>
    <row r="256" spans="1:30" x14ac:dyDescent="0.2">
      <c r="A256" t="str">
        <f t="shared" si="68"/>
        <v>22/07/2026Sydney United 58Central Coast Mariners</v>
      </c>
      <c r="B256" t="s">
        <v>810</v>
      </c>
      <c r="C256" t="s">
        <v>814</v>
      </c>
      <c r="D256" s="2">
        <v>46225</v>
      </c>
      <c r="E256" s="3">
        <v>0.39583333333333331</v>
      </c>
      <c r="F256" t="s">
        <v>542</v>
      </c>
      <c r="G256" t="s">
        <v>906</v>
      </c>
      <c r="H256">
        <v>0</v>
      </c>
      <c r="I256">
        <v>0</v>
      </c>
      <c r="J256">
        <v>1</v>
      </c>
      <c r="K256">
        <v>1</v>
      </c>
      <c r="L256" s="22" t="str">
        <f t="shared" si="88"/>
        <v>22/07/2026</v>
      </c>
      <c r="M256" s="23">
        <f t="shared" si="89"/>
        <v>0.27083333333333331</v>
      </c>
      <c r="N256" t="str">
        <f t="shared" si="69"/>
        <v>1 - 1</v>
      </c>
      <c r="O256" t="str">
        <f t="shared" si="70"/>
        <v>Red</v>
      </c>
      <c r="P256" t="str">
        <f t="shared" si="71"/>
        <v>Green</v>
      </c>
      <c r="Q256" t="str">
        <f t="shared" si="72"/>
        <v>Red</v>
      </c>
      <c r="R256" t="str">
        <f t="shared" si="73"/>
        <v>Green</v>
      </c>
      <c r="S256" t="str">
        <f t="shared" si="74"/>
        <v>Green</v>
      </c>
      <c r="T256" t="str">
        <f t="shared" si="75"/>
        <v>Red</v>
      </c>
      <c r="U256" t="str">
        <f t="shared" si="76"/>
        <v>Red</v>
      </c>
      <c r="V256" t="str">
        <f t="shared" si="77"/>
        <v>Green</v>
      </c>
      <c r="W256" t="str">
        <f t="shared" si="78"/>
        <v>Red</v>
      </c>
      <c r="X256" t="str">
        <f t="shared" si="79"/>
        <v>Red</v>
      </c>
      <c r="Y256" t="str">
        <f t="shared" si="80"/>
        <v>Green</v>
      </c>
      <c r="Z256" t="str">
        <f t="shared" si="81"/>
        <v>Red</v>
      </c>
      <c r="AA256" t="str">
        <f t="shared" si="82"/>
        <v>Green</v>
      </c>
      <c r="AB256" t="str">
        <f t="shared" si="83"/>
        <v>Green</v>
      </c>
      <c r="AC256" t="str">
        <f t="shared" si="84"/>
        <v>Green</v>
      </c>
      <c r="AD256" t="str">
        <f t="shared" si="85"/>
        <v>Red</v>
      </c>
    </row>
    <row r="257" spans="1:30" x14ac:dyDescent="0.2">
      <c r="A257" t="str">
        <f t="shared" si="68"/>
        <v>22/07/2026University Azzurri FCMacarthur FC</v>
      </c>
      <c r="B257" t="s">
        <v>810</v>
      </c>
      <c r="C257" t="s">
        <v>814</v>
      </c>
      <c r="D257" s="2">
        <v>46225</v>
      </c>
      <c r="E257" s="3">
        <v>0.41666666666666669</v>
      </c>
      <c r="F257" t="s">
        <v>907</v>
      </c>
      <c r="G257" t="s">
        <v>908</v>
      </c>
      <c r="H257">
        <v>0</v>
      </c>
      <c r="I257">
        <v>1</v>
      </c>
      <c r="J257">
        <v>0</v>
      </c>
      <c r="K257">
        <v>3</v>
      </c>
      <c r="L257" s="22" t="str">
        <f t="shared" si="88"/>
        <v>22/07/2026</v>
      </c>
      <c r="M257" s="23">
        <f t="shared" si="89"/>
        <v>0.29166666666666669</v>
      </c>
      <c r="N257" t="str">
        <f t="shared" si="69"/>
        <v>0 - 3</v>
      </c>
      <c r="O257" t="str">
        <f t="shared" si="70"/>
        <v>Red</v>
      </c>
      <c r="P257" t="str">
        <f t="shared" si="71"/>
        <v>Red</v>
      </c>
      <c r="Q257" t="str">
        <f t="shared" si="72"/>
        <v>Green</v>
      </c>
      <c r="R257" t="str">
        <f t="shared" si="73"/>
        <v>Red</v>
      </c>
      <c r="S257" t="str">
        <f t="shared" si="74"/>
        <v>Green</v>
      </c>
      <c r="T257" t="str">
        <f t="shared" si="75"/>
        <v>Green</v>
      </c>
      <c r="U257" t="str">
        <f t="shared" si="76"/>
        <v>Red</v>
      </c>
      <c r="V257" t="str">
        <f t="shared" si="77"/>
        <v>Red</v>
      </c>
      <c r="W257" t="str">
        <f t="shared" si="78"/>
        <v>Green</v>
      </c>
      <c r="X257" t="str">
        <f t="shared" si="79"/>
        <v>Green</v>
      </c>
      <c r="Y257" t="str">
        <f t="shared" si="80"/>
        <v>Green</v>
      </c>
      <c r="Z257" t="str">
        <f t="shared" si="81"/>
        <v>Green</v>
      </c>
      <c r="AA257" t="str">
        <f t="shared" si="82"/>
        <v>Red</v>
      </c>
      <c r="AB257" t="str">
        <f t="shared" si="83"/>
        <v>Green</v>
      </c>
      <c r="AC257" t="str">
        <f t="shared" si="84"/>
        <v>Red</v>
      </c>
      <c r="AD257" t="str">
        <f t="shared" si="85"/>
        <v>Green</v>
      </c>
    </row>
    <row r="258" spans="1:30" x14ac:dyDescent="0.2">
      <c r="A258" t="str">
        <f t="shared" ref="A258:A321" si="90">L258&amp;F258&amp;G258</f>
        <v>22/07/2026CD NacionalCD Leganes</v>
      </c>
      <c r="D258" s="2">
        <v>46225</v>
      </c>
      <c r="E258" s="3">
        <v>0.41666666666666669</v>
      </c>
      <c r="F258" t="s">
        <v>1592</v>
      </c>
      <c r="G258" t="s">
        <v>1593</v>
      </c>
      <c r="H258">
        <v>0</v>
      </c>
      <c r="I258">
        <v>0</v>
      </c>
      <c r="J258">
        <v>0</v>
      </c>
      <c r="K258">
        <v>0</v>
      </c>
      <c r="L258" s="22" t="str">
        <f t="shared" si="88"/>
        <v>22/07/2026</v>
      </c>
      <c r="M258" s="23">
        <f t="shared" si="89"/>
        <v>0.29166666666666669</v>
      </c>
      <c r="N258" t="str">
        <f t="shared" ref="N258:N321" si="91">J258&amp;" - "&amp;K258</f>
        <v>0 - 0</v>
      </c>
      <c r="O258" t="str">
        <f t="shared" ref="O258:O321" si="92">IF($J258&gt;$K258,"Green","Red")</f>
        <v>Red</v>
      </c>
      <c r="P258" t="str">
        <f t="shared" ref="P258:P321" si="93">IF($J258=$K258,"Green","Red")</f>
        <v>Green</v>
      </c>
      <c r="Q258" t="str">
        <f t="shared" ref="Q258:Q321" si="94">IF($J258&lt;$K258,"Green","Red")</f>
        <v>Red</v>
      </c>
      <c r="R258" t="str">
        <f t="shared" ref="R258:R321" si="95">IF($J258&gt;=$K258,"Green","Red")</f>
        <v>Green</v>
      </c>
      <c r="S258" t="str">
        <f t="shared" ref="S258:S321" si="96">IF($J258&lt;=$K258,"Green","Red")</f>
        <v>Green</v>
      </c>
      <c r="T258" t="str">
        <f t="shared" ref="T258:T321" si="97">IF(OR($J258&gt;$K258,$J258&lt;$K258),"Green","Red")</f>
        <v>Red</v>
      </c>
      <c r="U258" t="str">
        <f t="shared" ref="U258:U321" si="98">IF($H258&gt;$I258,"Green","Red")</f>
        <v>Red</v>
      </c>
      <c r="V258" t="str">
        <f t="shared" ref="V258:V321" si="99">IF($H258=$I258,"Green","Red")</f>
        <v>Green</v>
      </c>
      <c r="W258" t="str">
        <f t="shared" ref="W258:W321" si="100">IF($H258&lt;$I258,"Green","Red")</f>
        <v>Red</v>
      </c>
      <c r="X258" t="str">
        <f t="shared" ref="X258:X321" si="101">IF($H258+$I258&gt;0,"Green","Red")</f>
        <v>Red</v>
      </c>
      <c r="Y258" t="str">
        <f t="shared" ref="Y258:Y321" si="102">IF($J258+$K258&gt;1.5,"Green","Red")</f>
        <v>Red</v>
      </c>
      <c r="Z258" t="str">
        <f t="shared" ref="Z258:Z321" si="103">IF($J258+$K258&gt;2.5,"Green","Red")</f>
        <v>Red</v>
      </c>
      <c r="AA258" t="str">
        <f t="shared" ref="AA258:AA321" si="104">IF($J258+$K258&lt;2.5,"Green","Red")</f>
        <v>Green</v>
      </c>
      <c r="AB258" t="str">
        <f t="shared" ref="AB258:AB321" si="105">IF($J258+$K258&lt;3.5,"Green","Red")</f>
        <v>Green</v>
      </c>
      <c r="AC258" t="str">
        <f t="shared" ref="AC258:AC321" si="106">IF(AND($J258&gt;0,$K258&gt;0),"Green","Red")</f>
        <v>Red</v>
      </c>
      <c r="AD258" t="str">
        <f t="shared" ref="AD258:AD321" si="107">IF(OR($J258=0,$K258=0),"Green","Red")</f>
        <v>Green</v>
      </c>
    </row>
    <row r="259" spans="1:30" x14ac:dyDescent="0.2">
      <c r="A259" t="str">
        <f t="shared" si="90"/>
        <v>22/07/2026Nottingham ForestBlackburn Rovers</v>
      </c>
      <c r="D259" s="2">
        <v>46225</v>
      </c>
      <c r="E259" s="3">
        <v>0.41666666666666669</v>
      </c>
      <c r="F259" t="s">
        <v>1594</v>
      </c>
      <c r="G259" t="s">
        <v>1595</v>
      </c>
      <c r="H259">
        <v>1</v>
      </c>
      <c r="I259">
        <v>0</v>
      </c>
      <c r="J259">
        <v>3</v>
      </c>
      <c r="K259">
        <v>0</v>
      </c>
      <c r="L259" s="22" t="str">
        <f t="shared" si="88"/>
        <v>22/07/2026</v>
      </c>
      <c r="M259" s="23">
        <f t="shared" si="89"/>
        <v>0.29166666666666669</v>
      </c>
      <c r="N259" t="str">
        <f t="shared" si="91"/>
        <v>3 - 0</v>
      </c>
      <c r="O259" t="str">
        <f t="shared" si="92"/>
        <v>Green</v>
      </c>
      <c r="P259" t="str">
        <f t="shared" si="93"/>
        <v>Red</v>
      </c>
      <c r="Q259" t="str">
        <f t="shared" si="94"/>
        <v>Red</v>
      </c>
      <c r="R259" t="str">
        <f t="shared" si="95"/>
        <v>Green</v>
      </c>
      <c r="S259" t="str">
        <f t="shared" si="96"/>
        <v>Red</v>
      </c>
      <c r="T259" t="str">
        <f t="shared" si="97"/>
        <v>Green</v>
      </c>
      <c r="U259" t="str">
        <f t="shared" si="98"/>
        <v>Green</v>
      </c>
      <c r="V259" t="str">
        <f t="shared" si="99"/>
        <v>Red</v>
      </c>
      <c r="W259" t="str">
        <f t="shared" si="100"/>
        <v>Red</v>
      </c>
      <c r="X259" t="str">
        <f t="shared" si="101"/>
        <v>Green</v>
      </c>
      <c r="Y259" t="str">
        <f t="shared" si="102"/>
        <v>Green</v>
      </c>
      <c r="Z259" t="str">
        <f t="shared" si="103"/>
        <v>Green</v>
      </c>
      <c r="AA259" t="str">
        <f t="shared" si="104"/>
        <v>Red</v>
      </c>
      <c r="AB259" t="str">
        <f t="shared" si="105"/>
        <v>Green</v>
      </c>
      <c r="AC259" t="str">
        <f t="shared" si="106"/>
        <v>Red</v>
      </c>
      <c r="AD259" t="str">
        <f t="shared" si="107"/>
        <v>Green</v>
      </c>
    </row>
    <row r="260" spans="1:30" x14ac:dyDescent="0.2">
      <c r="A260" t="str">
        <f t="shared" si="90"/>
        <v>22/07/2026Launceston CityLaunceston United</v>
      </c>
      <c r="B260" t="s">
        <v>810</v>
      </c>
      <c r="C260" t="s">
        <v>895</v>
      </c>
      <c r="D260" s="2">
        <v>46225</v>
      </c>
      <c r="E260" s="3">
        <v>0.42708333333333331</v>
      </c>
      <c r="F260" t="s">
        <v>23</v>
      </c>
      <c r="G260" t="s">
        <v>24</v>
      </c>
      <c r="H260">
        <v>2</v>
      </c>
      <c r="I260">
        <v>1</v>
      </c>
      <c r="J260">
        <v>4</v>
      </c>
      <c r="K260">
        <v>2</v>
      </c>
      <c r="L260" s="22" t="str">
        <f t="shared" si="88"/>
        <v>22/07/2026</v>
      </c>
      <c r="M260" s="23">
        <f t="shared" si="89"/>
        <v>0.30208333333333331</v>
      </c>
      <c r="N260" t="str">
        <f t="shared" si="91"/>
        <v>4 - 2</v>
      </c>
      <c r="O260" t="str">
        <f t="shared" si="92"/>
        <v>Green</v>
      </c>
      <c r="P260" t="str">
        <f t="shared" si="93"/>
        <v>Red</v>
      </c>
      <c r="Q260" t="str">
        <f t="shared" si="94"/>
        <v>Red</v>
      </c>
      <c r="R260" t="str">
        <f t="shared" si="95"/>
        <v>Green</v>
      </c>
      <c r="S260" t="str">
        <f t="shared" si="96"/>
        <v>Red</v>
      </c>
      <c r="T260" t="str">
        <f t="shared" si="97"/>
        <v>Green</v>
      </c>
      <c r="U260" t="str">
        <f t="shared" si="98"/>
        <v>Green</v>
      </c>
      <c r="V260" t="str">
        <f t="shared" si="99"/>
        <v>Red</v>
      </c>
      <c r="W260" t="str">
        <f t="shared" si="100"/>
        <v>Red</v>
      </c>
      <c r="X260" t="str">
        <f t="shared" si="101"/>
        <v>Green</v>
      </c>
      <c r="Y260" t="str">
        <f t="shared" si="102"/>
        <v>Green</v>
      </c>
      <c r="Z260" t="str">
        <f t="shared" si="103"/>
        <v>Green</v>
      </c>
      <c r="AA260" t="str">
        <f t="shared" si="104"/>
        <v>Red</v>
      </c>
      <c r="AB260" t="str">
        <f t="shared" si="105"/>
        <v>Red</v>
      </c>
      <c r="AC260" t="str">
        <f t="shared" si="106"/>
        <v>Green</v>
      </c>
      <c r="AD260" t="str">
        <f t="shared" si="107"/>
        <v>Red</v>
      </c>
    </row>
    <row r="261" spans="1:30" x14ac:dyDescent="0.2">
      <c r="A261" t="str">
        <f t="shared" si="90"/>
        <v>22/07/2026Bucheon 1995Anyang</v>
      </c>
      <c r="D261" s="2">
        <v>46225</v>
      </c>
      <c r="E261" s="3">
        <v>0.4375</v>
      </c>
      <c r="F261" t="s">
        <v>1596</v>
      </c>
      <c r="G261" t="s">
        <v>1597</v>
      </c>
      <c r="H261">
        <v>1</v>
      </c>
      <c r="I261">
        <v>1</v>
      </c>
      <c r="J261">
        <v>2</v>
      </c>
      <c r="K261">
        <v>3</v>
      </c>
      <c r="L261" s="22" t="str">
        <f t="shared" si="88"/>
        <v>22/07/2026</v>
      </c>
      <c r="M261" s="23">
        <f t="shared" si="89"/>
        <v>0.3125</v>
      </c>
      <c r="N261" t="str">
        <f t="shared" si="91"/>
        <v>2 - 3</v>
      </c>
      <c r="O261" t="str">
        <f t="shared" si="92"/>
        <v>Red</v>
      </c>
      <c r="P261" t="str">
        <f t="shared" si="93"/>
        <v>Red</v>
      </c>
      <c r="Q261" t="str">
        <f t="shared" si="94"/>
        <v>Green</v>
      </c>
      <c r="R261" t="str">
        <f t="shared" si="95"/>
        <v>Red</v>
      </c>
      <c r="S261" t="str">
        <f t="shared" si="96"/>
        <v>Green</v>
      </c>
      <c r="T261" t="str">
        <f t="shared" si="97"/>
        <v>Green</v>
      </c>
      <c r="U261" t="str">
        <f t="shared" si="98"/>
        <v>Red</v>
      </c>
      <c r="V261" t="str">
        <f t="shared" si="99"/>
        <v>Green</v>
      </c>
      <c r="W261" t="str">
        <f t="shared" si="100"/>
        <v>Red</v>
      </c>
      <c r="X261" t="str">
        <f t="shared" si="101"/>
        <v>Green</v>
      </c>
      <c r="Y261" t="str">
        <f t="shared" si="102"/>
        <v>Green</v>
      </c>
      <c r="Z261" t="str">
        <f t="shared" si="103"/>
        <v>Green</v>
      </c>
      <c r="AA261" t="str">
        <f t="shared" si="104"/>
        <v>Red</v>
      </c>
      <c r="AB261" t="str">
        <f t="shared" si="105"/>
        <v>Red</v>
      </c>
      <c r="AC261" t="str">
        <f t="shared" si="106"/>
        <v>Green</v>
      </c>
      <c r="AD261" t="str">
        <f t="shared" si="107"/>
        <v>Red</v>
      </c>
    </row>
    <row r="262" spans="1:30" x14ac:dyDescent="0.2">
      <c r="A262" t="str">
        <f t="shared" si="90"/>
        <v>22/07/2026FC SeoulPohang Steelers</v>
      </c>
      <c r="D262" s="2">
        <v>46225</v>
      </c>
      <c r="E262" s="3">
        <v>0.4375</v>
      </c>
      <c r="F262" t="s">
        <v>27</v>
      </c>
      <c r="G262" t="s">
        <v>28</v>
      </c>
      <c r="H262">
        <v>1</v>
      </c>
      <c r="I262">
        <v>0</v>
      </c>
      <c r="J262">
        <v>3</v>
      </c>
      <c r="K262">
        <v>1</v>
      </c>
      <c r="L262" s="22" t="str">
        <f t="shared" si="88"/>
        <v>22/07/2026</v>
      </c>
      <c r="M262" s="23">
        <f t="shared" si="89"/>
        <v>0.3125</v>
      </c>
      <c r="N262" t="str">
        <f t="shared" si="91"/>
        <v>3 - 1</v>
      </c>
      <c r="O262" t="str">
        <f t="shared" si="92"/>
        <v>Green</v>
      </c>
      <c r="P262" t="str">
        <f t="shared" si="93"/>
        <v>Red</v>
      </c>
      <c r="Q262" t="str">
        <f t="shared" si="94"/>
        <v>Red</v>
      </c>
      <c r="R262" t="str">
        <f t="shared" si="95"/>
        <v>Green</v>
      </c>
      <c r="S262" t="str">
        <f t="shared" si="96"/>
        <v>Red</v>
      </c>
      <c r="T262" t="str">
        <f t="shared" si="97"/>
        <v>Green</v>
      </c>
      <c r="U262" t="str">
        <f t="shared" si="98"/>
        <v>Green</v>
      </c>
      <c r="V262" t="str">
        <f t="shared" si="99"/>
        <v>Red</v>
      </c>
      <c r="W262" t="str">
        <f t="shared" si="100"/>
        <v>Red</v>
      </c>
      <c r="X262" t="str">
        <f t="shared" si="101"/>
        <v>Green</v>
      </c>
      <c r="Y262" t="str">
        <f t="shared" si="102"/>
        <v>Green</v>
      </c>
      <c r="Z262" t="str">
        <f t="shared" si="103"/>
        <v>Green</v>
      </c>
      <c r="AA262" t="str">
        <f t="shared" si="104"/>
        <v>Red</v>
      </c>
      <c r="AB262" t="str">
        <f t="shared" si="105"/>
        <v>Red</v>
      </c>
      <c r="AC262" t="str">
        <f t="shared" si="106"/>
        <v>Green</v>
      </c>
      <c r="AD262" t="str">
        <f t="shared" si="107"/>
        <v>Red</v>
      </c>
    </row>
    <row r="263" spans="1:30" x14ac:dyDescent="0.2">
      <c r="A263" t="str">
        <f t="shared" si="90"/>
        <v>22/07/2026GwangjuSangju Sangmu</v>
      </c>
      <c r="D263" s="2">
        <v>46225</v>
      </c>
      <c r="E263" s="3">
        <v>0.4375</v>
      </c>
      <c r="F263" t="s">
        <v>1598</v>
      </c>
      <c r="G263" t="s">
        <v>1599</v>
      </c>
      <c r="H263">
        <v>1</v>
      </c>
      <c r="I263">
        <v>1</v>
      </c>
      <c r="J263">
        <v>1</v>
      </c>
      <c r="K263">
        <v>1</v>
      </c>
      <c r="L263" s="22" t="str">
        <f t="shared" si="88"/>
        <v>22/07/2026</v>
      </c>
      <c r="M263" s="23">
        <f t="shared" si="89"/>
        <v>0.3125</v>
      </c>
      <c r="N263" t="str">
        <f t="shared" si="91"/>
        <v>1 - 1</v>
      </c>
      <c r="O263" t="str">
        <f t="shared" si="92"/>
        <v>Red</v>
      </c>
      <c r="P263" t="str">
        <f t="shared" si="93"/>
        <v>Green</v>
      </c>
      <c r="Q263" t="str">
        <f t="shared" si="94"/>
        <v>Red</v>
      </c>
      <c r="R263" t="str">
        <f t="shared" si="95"/>
        <v>Green</v>
      </c>
      <c r="S263" t="str">
        <f t="shared" si="96"/>
        <v>Green</v>
      </c>
      <c r="T263" t="str">
        <f t="shared" si="97"/>
        <v>Red</v>
      </c>
      <c r="U263" t="str">
        <f t="shared" si="98"/>
        <v>Red</v>
      </c>
      <c r="V263" t="str">
        <f t="shared" si="99"/>
        <v>Green</v>
      </c>
      <c r="W263" t="str">
        <f t="shared" si="100"/>
        <v>Red</v>
      </c>
      <c r="X263" t="str">
        <f t="shared" si="101"/>
        <v>Green</v>
      </c>
      <c r="Y263" t="str">
        <f t="shared" si="102"/>
        <v>Green</v>
      </c>
      <c r="Z263" t="str">
        <f t="shared" si="103"/>
        <v>Red</v>
      </c>
      <c r="AA263" t="str">
        <f t="shared" si="104"/>
        <v>Green</v>
      </c>
      <c r="AB263" t="str">
        <f t="shared" si="105"/>
        <v>Green</v>
      </c>
      <c r="AC263" t="str">
        <f t="shared" si="106"/>
        <v>Green</v>
      </c>
      <c r="AD263" t="str">
        <f t="shared" si="107"/>
        <v>Red</v>
      </c>
    </row>
    <row r="264" spans="1:30" x14ac:dyDescent="0.2">
      <c r="A264" t="str">
        <f t="shared" si="90"/>
        <v>22/07/2026Mindil AcesDarwin Olympic</v>
      </c>
      <c r="B264" t="s">
        <v>810</v>
      </c>
      <c r="C264" t="s">
        <v>898</v>
      </c>
      <c r="D264" s="2">
        <v>46225</v>
      </c>
      <c r="E264" s="3">
        <v>0.45833333333333331</v>
      </c>
      <c r="F264" t="s">
        <v>901</v>
      </c>
      <c r="G264" t="s">
        <v>902</v>
      </c>
      <c r="L264" s="22" t="str">
        <f t="shared" si="88"/>
        <v>22/07/2026</v>
      </c>
      <c r="M264" s="23">
        <f t="shared" si="89"/>
        <v>0.33333333333333331</v>
      </c>
      <c r="N264" t="str">
        <f t="shared" si="91"/>
        <v xml:space="preserve"> - </v>
      </c>
      <c r="O264" t="str">
        <f t="shared" si="92"/>
        <v>Red</v>
      </c>
      <c r="P264" t="str">
        <f t="shared" si="93"/>
        <v>Green</v>
      </c>
      <c r="Q264" t="str">
        <f t="shared" si="94"/>
        <v>Red</v>
      </c>
      <c r="R264" t="str">
        <f t="shared" si="95"/>
        <v>Green</v>
      </c>
      <c r="S264" t="str">
        <f t="shared" si="96"/>
        <v>Green</v>
      </c>
      <c r="T264" t="str">
        <f t="shared" si="97"/>
        <v>Red</v>
      </c>
      <c r="U264" t="str">
        <f t="shared" si="98"/>
        <v>Red</v>
      </c>
      <c r="V264" t="str">
        <f t="shared" si="99"/>
        <v>Green</v>
      </c>
      <c r="W264" t="str">
        <f t="shared" si="100"/>
        <v>Red</v>
      </c>
      <c r="X264" t="str">
        <f t="shared" si="101"/>
        <v>Red</v>
      </c>
      <c r="Y264" t="str">
        <f t="shared" si="102"/>
        <v>Red</v>
      </c>
      <c r="Z264" t="str">
        <f t="shared" si="103"/>
        <v>Red</v>
      </c>
      <c r="AA264" t="str">
        <f t="shared" si="104"/>
        <v>Green</v>
      </c>
      <c r="AB264" t="str">
        <f t="shared" si="105"/>
        <v>Green</v>
      </c>
      <c r="AC264" t="str">
        <f t="shared" si="106"/>
        <v>Red</v>
      </c>
      <c r="AD264" t="str">
        <f t="shared" si="107"/>
        <v>Green</v>
      </c>
    </row>
    <row r="265" spans="1:30" x14ac:dyDescent="0.2">
      <c r="A265" t="str">
        <f t="shared" si="90"/>
        <v>22/07/2026Rizhao YuqiShaanxi Union FC</v>
      </c>
      <c r="D265" s="2">
        <v>46225</v>
      </c>
      <c r="E265" s="3">
        <v>0.5</v>
      </c>
      <c r="F265" t="s">
        <v>1600</v>
      </c>
      <c r="G265" t="s">
        <v>1601</v>
      </c>
      <c r="H265">
        <v>0</v>
      </c>
      <c r="I265">
        <v>0</v>
      </c>
      <c r="J265">
        <v>2</v>
      </c>
      <c r="K265">
        <v>0</v>
      </c>
      <c r="L265" s="22" t="str">
        <f t="shared" si="88"/>
        <v>22/07/2026</v>
      </c>
      <c r="M265" s="23">
        <f t="shared" si="89"/>
        <v>0.375</v>
      </c>
      <c r="N265" t="str">
        <f t="shared" si="91"/>
        <v>2 - 0</v>
      </c>
      <c r="O265" t="str">
        <f t="shared" si="92"/>
        <v>Green</v>
      </c>
      <c r="P265" t="str">
        <f t="shared" si="93"/>
        <v>Red</v>
      </c>
      <c r="Q265" t="str">
        <f t="shared" si="94"/>
        <v>Red</v>
      </c>
      <c r="R265" t="str">
        <f t="shared" si="95"/>
        <v>Green</v>
      </c>
      <c r="S265" t="str">
        <f t="shared" si="96"/>
        <v>Red</v>
      </c>
      <c r="T265" t="str">
        <f t="shared" si="97"/>
        <v>Green</v>
      </c>
      <c r="U265" t="str">
        <f t="shared" si="98"/>
        <v>Red</v>
      </c>
      <c r="V265" t="str">
        <f t="shared" si="99"/>
        <v>Green</v>
      </c>
      <c r="W265" t="str">
        <f t="shared" si="100"/>
        <v>Red</v>
      </c>
      <c r="X265" t="str">
        <f t="shared" si="101"/>
        <v>Red</v>
      </c>
      <c r="Y265" t="str">
        <f t="shared" si="102"/>
        <v>Green</v>
      </c>
      <c r="Z265" t="str">
        <f t="shared" si="103"/>
        <v>Red</v>
      </c>
      <c r="AA265" t="str">
        <f t="shared" si="104"/>
        <v>Green</v>
      </c>
      <c r="AB265" t="str">
        <f t="shared" si="105"/>
        <v>Green</v>
      </c>
      <c r="AC265" t="str">
        <f t="shared" si="106"/>
        <v>Red</v>
      </c>
      <c r="AD265" t="str">
        <f t="shared" si="107"/>
        <v>Green</v>
      </c>
    </row>
    <row r="266" spans="1:30" x14ac:dyDescent="0.2">
      <c r="A266" t="str">
        <f t="shared" si="90"/>
        <v>22/07/2026Glentoran Belfast United WomenRiga FC Women</v>
      </c>
      <c r="B266" t="s">
        <v>802</v>
      </c>
      <c r="D266" s="2">
        <v>46225</v>
      </c>
      <c r="E266" s="3">
        <v>0.5</v>
      </c>
      <c r="F266" t="s">
        <v>1602</v>
      </c>
      <c r="G266" t="s">
        <v>1603</v>
      </c>
      <c r="H266">
        <v>0</v>
      </c>
      <c r="I266">
        <v>1</v>
      </c>
      <c r="J266">
        <v>1</v>
      </c>
      <c r="K266">
        <v>4</v>
      </c>
      <c r="L266" s="22" t="str">
        <f t="shared" si="88"/>
        <v>22/07/2026</v>
      </c>
      <c r="M266" s="23">
        <f t="shared" si="89"/>
        <v>0.375</v>
      </c>
      <c r="N266" t="str">
        <f t="shared" si="91"/>
        <v>1 - 4</v>
      </c>
      <c r="O266" t="str">
        <f t="shared" si="92"/>
        <v>Red</v>
      </c>
      <c r="P266" t="str">
        <f t="shared" si="93"/>
        <v>Red</v>
      </c>
      <c r="Q266" t="str">
        <f t="shared" si="94"/>
        <v>Green</v>
      </c>
      <c r="R266" t="str">
        <f t="shared" si="95"/>
        <v>Red</v>
      </c>
      <c r="S266" t="str">
        <f t="shared" si="96"/>
        <v>Green</v>
      </c>
      <c r="T266" t="str">
        <f t="shared" si="97"/>
        <v>Green</v>
      </c>
      <c r="U266" t="str">
        <f t="shared" si="98"/>
        <v>Red</v>
      </c>
      <c r="V266" t="str">
        <f t="shared" si="99"/>
        <v>Red</v>
      </c>
      <c r="W266" t="str">
        <f t="shared" si="100"/>
        <v>Green</v>
      </c>
      <c r="X266" t="str">
        <f t="shared" si="101"/>
        <v>Green</v>
      </c>
      <c r="Y266" t="str">
        <f t="shared" si="102"/>
        <v>Green</v>
      </c>
      <c r="Z266" t="str">
        <f t="shared" si="103"/>
        <v>Green</v>
      </c>
      <c r="AA266" t="str">
        <f t="shared" si="104"/>
        <v>Red</v>
      </c>
      <c r="AB266" t="str">
        <f t="shared" si="105"/>
        <v>Red</v>
      </c>
      <c r="AC266" t="str">
        <f t="shared" si="106"/>
        <v>Green</v>
      </c>
      <c r="AD266" t="str">
        <f t="shared" si="107"/>
        <v>Red</v>
      </c>
    </row>
    <row r="267" spans="1:30" x14ac:dyDescent="0.2">
      <c r="A267" t="str">
        <f t="shared" si="90"/>
        <v>22/07/2026DunkerqueSamsunspor</v>
      </c>
      <c r="D267" s="2">
        <v>46225</v>
      </c>
      <c r="E267" s="3">
        <v>0.5</v>
      </c>
      <c r="F267" t="s">
        <v>1604</v>
      </c>
      <c r="G267" t="s">
        <v>1605</v>
      </c>
      <c r="H267">
        <v>2</v>
      </c>
      <c r="I267">
        <v>0</v>
      </c>
      <c r="J267">
        <v>2</v>
      </c>
      <c r="K267">
        <v>1</v>
      </c>
      <c r="L267" s="22" t="str">
        <f t="shared" si="88"/>
        <v>22/07/2026</v>
      </c>
      <c r="M267" s="23">
        <f t="shared" si="89"/>
        <v>0.375</v>
      </c>
      <c r="N267" t="str">
        <f t="shared" si="91"/>
        <v>2 - 1</v>
      </c>
      <c r="O267" t="str">
        <f t="shared" si="92"/>
        <v>Green</v>
      </c>
      <c r="P267" t="str">
        <f t="shared" si="93"/>
        <v>Red</v>
      </c>
      <c r="Q267" t="str">
        <f t="shared" si="94"/>
        <v>Red</v>
      </c>
      <c r="R267" t="str">
        <f t="shared" si="95"/>
        <v>Green</v>
      </c>
      <c r="S267" t="str">
        <f t="shared" si="96"/>
        <v>Red</v>
      </c>
      <c r="T267" t="str">
        <f t="shared" si="97"/>
        <v>Green</v>
      </c>
      <c r="U267" t="str">
        <f t="shared" si="98"/>
        <v>Green</v>
      </c>
      <c r="V267" t="str">
        <f t="shared" si="99"/>
        <v>Red</v>
      </c>
      <c r="W267" t="str">
        <f t="shared" si="100"/>
        <v>Red</v>
      </c>
      <c r="X267" t="str">
        <f t="shared" si="101"/>
        <v>Green</v>
      </c>
      <c r="Y267" t="str">
        <f t="shared" si="102"/>
        <v>Green</v>
      </c>
      <c r="Z267" t="str">
        <f t="shared" si="103"/>
        <v>Green</v>
      </c>
      <c r="AA267" t="str">
        <f t="shared" si="104"/>
        <v>Red</v>
      </c>
      <c r="AB267" t="str">
        <f t="shared" si="105"/>
        <v>Green</v>
      </c>
      <c r="AC267" t="str">
        <f t="shared" si="106"/>
        <v>Green</v>
      </c>
      <c r="AD267" t="str">
        <f t="shared" si="107"/>
        <v>Red</v>
      </c>
    </row>
    <row r="268" spans="1:30" x14ac:dyDescent="0.2">
      <c r="A268" t="str">
        <f t="shared" si="90"/>
        <v>22/07/2026FamalicaoArouca</v>
      </c>
      <c r="D268" s="2">
        <v>46225</v>
      </c>
      <c r="E268" s="3">
        <v>0.5</v>
      </c>
      <c r="F268" t="s">
        <v>1606</v>
      </c>
      <c r="G268" t="s">
        <v>1607</v>
      </c>
      <c r="H268">
        <v>0</v>
      </c>
      <c r="I268">
        <v>0</v>
      </c>
      <c r="J268">
        <v>0</v>
      </c>
      <c r="K268">
        <v>0</v>
      </c>
      <c r="L268" s="22" t="str">
        <f t="shared" si="88"/>
        <v>22/07/2026</v>
      </c>
      <c r="M268" s="23">
        <f t="shared" si="89"/>
        <v>0.375</v>
      </c>
      <c r="N268" t="str">
        <f t="shared" si="91"/>
        <v>0 - 0</v>
      </c>
      <c r="O268" t="str">
        <f t="shared" si="92"/>
        <v>Red</v>
      </c>
      <c r="P268" t="str">
        <f t="shared" si="93"/>
        <v>Green</v>
      </c>
      <c r="Q268" t="str">
        <f t="shared" si="94"/>
        <v>Red</v>
      </c>
      <c r="R268" t="str">
        <f t="shared" si="95"/>
        <v>Green</v>
      </c>
      <c r="S268" t="str">
        <f t="shared" si="96"/>
        <v>Green</v>
      </c>
      <c r="T268" t="str">
        <f t="shared" si="97"/>
        <v>Red</v>
      </c>
      <c r="U268" t="str">
        <f t="shared" si="98"/>
        <v>Red</v>
      </c>
      <c r="V268" t="str">
        <f t="shared" si="99"/>
        <v>Green</v>
      </c>
      <c r="W268" t="str">
        <f t="shared" si="100"/>
        <v>Red</v>
      </c>
      <c r="X268" t="str">
        <f t="shared" si="101"/>
        <v>Red</v>
      </c>
      <c r="Y268" t="str">
        <f t="shared" si="102"/>
        <v>Red</v>
      </c>
      <c r="Z268" t="str">
        <f t="shared" si="103"/>
        <v>Red</v>
      </c>
      <c r="AA268" t="str">
        <f t="shared" si="104"/>
        <v>Green</v>
      </c>
      <c r="AB268" t="str">
        <f t="shared" si="105"/>
        <v>Green</v>
      </c>
      <c r="AC268" t="str">
        <f t="shared" si="106"/>
        <v>Red</v>
      </c>
      <c r="AD268" t="str">
        <f t="shared" si="107"/>
        <v>Green</v>
      </c>
    </row>
    <row r="269" spans="1:30" x14ac:dyDescent="0.2">
      <c r="A269" t="str">
        <f t="shared" si="90"/>
        <v>22/07/2026Chicken Inn FCTelOne FC</v>
      </c>
      <c r="D269" s="2">
        <v>46225</v>
      </c>
      <c r="E269" s="3">
        <v>0.54166666666666663</v>
      </c>
      <c r="F269" t="s">
        <v>1608</v>
      </c>
      <c r="G269" t="s">
        <v>1609</v>
      </c>
      <c r="H269">
        <v>0</v>
      </c>
      <c r="I269">
        <v>0</v>
      </c>
      <c r="J269">
        <v>1</v>
      </c>
      <c r="K269">
        <v>0</v>
      </c>
      <c r="L269" s="22" t="str">
        <f t="shared" si="88"/>
        <v>22/07/2026</v>
      </c>
      <c r="M269" s="23">
        <f t="shared" si="89"/>
        <v>0.41666666666666663</v>
      </c>
      <c r="N269" t="str">
        <f t="shared" si="91"/>
        <v>1 - 0</v>
      </c>
      <c r="O269" t="str">
        <f t="shared" si="92"/>
        <v>Green</v>
      </c>
      <c r="P269" t="str">
        <f t="shared" si="93"/>
        <v>Red</v>
      </c>
      <c r="Q269" t="str">
        <f t="shared" si="94"/>
        <v>Red</v>
      </c>
      <c r="R269" t="str">
        <f t="shared" si="95"/>
        <v>Green</v>
      </c>
      <c r="S269" t="str">
        <f t="shared" si="96"/>
        <v>Red</v>
      </c>
      <c r="T269" t="str">
        <f t="shared" si="97"/>
        <v>Green</v>
      </c>
      <c r="U269" t="str">
        <f t="shared" si="98"/>
        <v>Red</v>
      </c>
      <c r="V269" t="str">
        <f t="shared" si="99"/>
        <v>Green</v>
      </c>
      <c r="W269" t="str">
        <f t="shared" si="100"/>
        <v>Red</v>
      </c>
      <c r="X269" t="str">
        <f t="shared" si="101"/>
        <v>Red</v>
      </c>
      <c r="Y269" t="str">
        <f t="shared" si="102"/>
        <v>Red</v>
      </c>
      <c r="Z269" t="str">
        <f t="shared" si="103"/>
        <v>Red</v>
      </c>
      <c r="AA269" t="str">
        <f t="shared" si="104"/>
        <v>Green</v>
      </c>
      <c r="AB269" t="str">
        <f t="shared" si="105"/>
        <v>Green</v>
      </c>
      <c r="AC269" t="str">
        <f t="shared" si="106"/>
        <v>Red</v>
      </c>
      <c r="AD269" t="str">
        <f t="shared" si="107"/>
        <v>Green</v>
      </c>
    </row>
    <row r="270" spans="1:30" x14ac:dyDescent="0.2">
      <c r="A270" t="str">
        <f t="shared" si="90"/>
        <v>22/07/2026FC PlatinumDynamos FC</v>
      </c>
      <c r="D270" s="2">
        <v>46225</v>
      </c>
      <c r="E270" s="3">
        <v>0.54166666666666663</v>
      </c>
      <c r="F270" t="s">
        <v>1610</v>
      </c>
      <c r="G270" t="s">
        <v>1611</v>
      </c>
      <c r="H270">
        <v>0</v>
      </c>
      <c r="I270">
        <v>0</v>
      </c>
      <c r="J270">
        <v>0</v>
      </c>
      <c r="K270">
        <v>1</v>
      </c>
      <c r="L270" s="22" t="str">
        <f t="shared" si="88"/>
        <v>22/07/2026</v>
      </c>
      <c r="M270" s="23">
        <f t="shared" si="89"/>
        <v>0.41666666666666663</v>
      </c>
      <c r="N270" t="str">
        <f t="shared" si="91"/>
        <v>0 - 1</v>
      </c>
      <c r="O270" t="str">
        <f t="shared" si="92"/>
        <v>Red</v>
      </c>
      <c r="P270" t="str">
        <f t="shared" si="93"/>
        <v>Red</v>
      </c>
      <c r="Q270" t="str">
        <f t="shared" si="94"/>
        <v>Green</v>
      </c>
      <c r="R270" t="str">
        <f t="shared" si="95"/>
        <v>Red</v>
      </c>
      <c r="S270" t="str">
        <f t="shared" si="96"/>
        <v>Green</v>
      </c>
      <c r="T270" t="str">
        <f t="shared" si="97"/>
        <v>Green</v>
      </c>
      <c r="U270" t="str">
        <f t="shared" si="98"/>
        <v>Red</v>
      </c>
      <c r="V270" t="str">
        <f t="shared" si="99"/>
        <v>Green</v>
      </c>
      <c r="W270" t="str">
        <f t="shared" si="100"/>
        <v>Red</v>
      </c>
      <c r="X270" t="str">
        <f t="shared" si="101"/>
        <v>Red</v>
      </c>
      <c r="Y270" t="str">
        <f t="shared" si="102"/>
        <v>Red</v>
      </c>
      <c r="Z270" t="str">
        <f t="shared" si="103"/>
        <v>Red</v>
      </c>
      <c r="AA270" t="str">
        <f t="shared" si="104"/>
        <v>Green</v>
      </c>
      <c r="AB270" t="str">
        <f t="shared" si="105"/>
        <v>Green</v>
      </c>
      <c r="AC270" t="str">
        <f t="shared" si="106"/>
        <v>Red</v>
      </c>
      <c r="AD270" t="str">
        <f t="shared" si="107"/>
        <v>Green</v>
      </c>
    </row>
    <row r="271" spans="1:30" x14ac:dyDescent="0.2">
      <c r="A271" t="str">
        <f t="shared" si="90"/>
        <v>22/07/2026Scottland FCBulawayo Chiefs FC</v>
      </c>
      <c r="D271" s="2">
        <v>46225</v>
      </c>
      <c r="E271" s="3">
        <v>0.54166666666666663</v>
      </c>
      <c r="F271" t="s">
        <v>1612</v>
      </c>
      <c r="G271" t="s">
        <v>1613</v>
      </c>
      <c r="H271">
        <v>0</v>
      </c>
      <c r="I271">
        <v>0</v>
      </c>
      <c r="J271">
        <v>2</v>
      </c>
      <c r="K271">
        <v>1</v>
      </c>
      <c r="L271" s="22" t="str">
        <f t="shared" si="88"/>
        <v>22/07/2026</v>
      </c>
      <c r="M271" s="23">
        <f t="shared" si="89"/>
        <v>0.41666666666666663</v>
      </c>
      <c r="N271" t="str">
        <f t="shared" si="91"/>
        <v>2 - 1</v>
      </c>
      <c r="O271" t="str">
        <f t="shared" si="92"/>
        <v>Green</v>
      </c>
      <c r="P271" t="str">
        <f t="shared" si="93"/>
        <v>Red</v>
      </c>
      <c r="Q271" t="str">
        <f t="shared" si="94"/>
        <v>Red</v>
      </c>
      <c r="R271" t="str">
        <f t="shared" si="95"/>
        <v>Green</v>
      </c>
      <c r="S271" t="str">
        <f t="shared" si="96"/>
        <v>Red</v>
      </c>
      <c r="T271" t="str">
        <f t="shared" si="97"/>
        <v>Green</v>
      </c>
      <c r="U271" t="str">
        <f t="shared" si="98"/>
        <v>Red</v>
      </c>
      <c r="V271" t="str">
        <f t="shared" si="99"/>
        <v>Green</v>
      </c>
      <c r="W271" t="str">
        <f t="shared" si="100"/>
        <v>Red</v>
      </c>
      <c r="X271" t="str">
        <f t="shared" si="101"/>
        <v>Red</v>
      </c>
      <c r="Y271" t="str">
        <f t="shared" si="102"/>
        <v>Green</v>
      </c>
      <c r="Z271" t="str">
        <f t="shared" si="103"/>
        <v>Green</v>
      </c>
      <c r="AA271" t="str">
        <f t="shared" si="104"/>
        <v>Red</v>
      </c>
      <c r="AB271" t="str">
        <f t="shared" si="105"/>
        <v>Green</v>
      </c>
      <c r="AC271" t="str">
        <f t="shared" si="106"/>
        <v>Green</v>
      </c>
      <c r="AD271" t="str">
        <f t="shared" si="107"/>
        <v>Red</v>
      </c>
    </row>
    <row r="272" spans="1:30" x14ac:dyDescent="0.2">
      <c r="A272" t="str">
        <f t="shared" si="90"/>
        <v>22/07/2026Simba BhoraMwos FC</v>
      </c>
      <c r="D272" s="2">
        <v>46225</v>
      </c>
      <c r="E272" s="3">
        <v>0.54166666666666663</v>
      </c>
      <c r="F272" t="s">
        <v>1614</v>
      </c>
      <c r="G272" t="s">
        <v>1615</v>
      </c>
      <c r="H272">
        <v>0</v>
      </c>
      <c r="I272">
        <v>0</v>
      </c>
      <c r="J272">
        <v>2</v>
      </c>
      <c r="K272">
        <v>2</v>
      </c>
      <c r="L272" s="22" t="str">
        <f t="shared" si="88"/>
        <v>22/07/2026</v>
      </c>
      <c r="M272" s="23">
        <f t="shared" si="89"/>
        <v>0.41666666666666663</v>
      </c>
      <c r="N272" t="str">
        <f t="shared" si="91"/>
        <v>2 - 2</v>
      </c>
      <c r="O272" t="str">
        <f t="shared" si="92"/>
        <v>Red</v>
      </c>
      <c r="P272" t="str">
        <f t="shared" si="93"/>
        <v>Green</v>
      </c>
      <c r="Q272" t="str">
        <f t="shared" si="94"/>
        <v>Red</v>
      </c>
      <c r="R272" t="str">
        <f t="shared" si="95"/>
        <v>Green</v>
      </c>
      <c r="S272" t="str">
        <f t="shared" si="96"/>
        <v>Green</v>
      </c>
      <c r="T272" t="str">
        <f t="shared" si="97"/>
        <v>Red</v>
      </c>
      <c r="U272" t="str">
        <f t="shared" si="98"/>
        <v>Red</v>
      </c>
      <c r="V272" t="str">
        <f t="shared" si="99"/>
        <v>Green</v>
      </c>
      <c r="W272" t="str">
        <f t="shared" si="100"/>
        <v>Red</v>
      </c>
      <c r="X272" t="str">
        <f t="shared" si="101"/>
        <v>Red</v>
      </c>
      <c r="Y272" t="str">
        <f t="shared" si="102"/>
        <v>Green</v>
      </c>
      <c r="Z272" t="str">
        <f t="shared" si="103"/>
        <v>Green</v>
      </c>
      <c r="AA272" t="str">
        <f t="shared" si="104"/>
        <v>Red</v>
      </c>
      <c r="AB272" t="str">
        <f t="shared" si="105"/>
        <v>Red</v>
      </c>
      <c r="AC272" t="str">
        <f t="shared" si="106"/>
        <v>Green</v>
      </c>
      <c r="AD272" t="str">
        <f t="shared" si="107"/>
        <v>Red</v>
      </c>
    </row>
    <row r="273" spans="1:30" x14ac:dyDescent="0.2">
      <c r="A273" t="str">
        <f t="shared" si="90"/>
        <v>22/07/2026ZPC Kariba FCHighlanders FC</v>
      </c>
      <c r="D273" s="2">
        <v>46225</v>
      </c>
      <c r="E273" s="3">
        <v>0.54166666666666663</v>
      </c>
      <c r="F273" t="s">
        <v>1616</v>
      </c>
      <c r="G273" t="s">
        <v>1617</v>
      </c>
      <c r="H273">
        <v>0</v>
      </c>
      <c r="I273">
        <v>0</v>
      </c>
      <c r="J273">
        <v>1</v>
      </c>
      <c r="K273">
        <v>0</v>
      </c>
      <c r="L273" s="22" t="str">
        <f t="shared" si="88"/>
        <v>22/07/2026</v>
      </c>
      <c r="M273" s="23">
        <f t="shared" si="89"/>
        <v>0.41666666666666663</v>
      </c>
      <c r="N273" t="str">
        <f t="shared" si="91"/>
        <v>1 - 0</v>
      </c>
      <c r="O273" t="str">
        <f t="shared" si="92"/>
        <v>Green</v>
      </c>
      <c r="P273" t="str">
        <f t="shared" si="93"/>
        <v>Red</v>
      </c>
      <c r="Q273" t="str">
        <f t="shared" si="94"/>
        <v>Red</v>
      </c>
      <c r="R273" t="str">
        <f t="shared" si="95"/>
        <v>Green</v>
      </c>
      <c r="S273" t="str">
        <f t="shared" si="96"/>
        <v>Red</v>
      </c>
      <c r="T273" t="str">
        <f t="shared" si="97"/>
        <v>Green</v>
      </c>
      <c r="U273" t="str">
        <f t="shared" si="98"/>
        <v>Red</v>
      </c>
      <c r="V273" t="str">
        <f t="shared" si="99"/>
        <v>Green</v>
      </c>
      <c r="W273" t="str">
        <f t="shared" si="100"/>
        <v>Red</v>
      </c>
      <c r="X273" t="str">
        <f t="shared" si="101"/>
        <v>Red</v>
      </c>
      <c r="Y273" t="str">
        <f t="shared" si="102"/>
        <v>Red</v>
      </c>
      <c r="Z273" t="str">
        <f t="shared" si="103"/>
        <v>Red</v>
      </c>
      <c r="AA273" t="str">
        <f t="shared" si="104"/>
        <v>Green</v>
      </c>
      <c r="AB273" t="str">
        <f t="shared" si="105"/>
        <v>Green</v>
      </c>
      <c r="AC273" t="str">
        <f t="shared" si="106"/>
        <v>Red</v>
      </c>
      <c r="AD273" t="str">
        <f t="shared" si="107"/>
        <v>Green</v>
      </c>
    </row>
    <row r="274" spans="1:30" x14ac:dyDescent="0.2">
      <c r="A274" t="str">
        <f t="shared" si="90"/>
        <v>22/07/2026Boca Juniors WomenTalleres de Cordoba Women</v>
      </c>
      <c r="B274" t="s">
        <v>806</v>
      </c>
      <c r="C274" t="s">
        <v>879</v>
      </c>
      <c r="D274" s="2">
        <v>46225</v>
      </c>
      <c r="E274" s="3">
        <v>0.58333333333333337</v>
      </c>
      <c r="F274" t="s">
        <v>880</v>
      </c>
      <c r="G274" t="s">
        <v>881</v>
      </c>
      <c r="H274">
        <v>0</v>
      </c>
      <c r="I274">
        <v>0</v>
      </c>
      <c r="J274">
        <v>1</v>
      </c>
      <c r="K274">
        <v>1</v>
      </c>
      <c r="L274" s="22" t="str">
        <f t="shared" si="88"/>
        <v>22/07/2026</v>
      </c>
      <c r="M274" s="23">
        <f t="shared" si="89"/>
        <v>0.45833333333333337</v>
      </c>
      <c r="N274" t="str">
        <f t="shared" si="91"/>
        <v>1 - 1</v>
      </c>
      <c r="O274" t="str">
        <f t="shared" si="92"/>
        <v>Red</v>
      </c>
      <c r="P274" t="str">
        <f t="shared" si="93"/>
        <v>Green</v>
      </c>
      <c r="Q274" t="str">
        <f t="shared" si="94"/>
        <v>Red</v>
      </c>
      <c r="R274" t="str">
        <f t="shared" si="95"/>
        <v>Green</v>
      </c>
      <c r="S274" t="str">
        <f t="shared" si="96"/>
        <v>Green</v>
      </c>
      <c r="T274" t="str">
        <f t="shared" si="97"/>
        <v>Red</v>
      </c>
      <c r="U274" t="str">
        <f t="shared" si="98"/>
        <v>Red</v>
      </c>
      <c r="V274" t="str">
        <f t="shared" si="99"/>
        <v>Green</v>
      </c>
      <c r="W274" t="str">
        <f t="shared" si="100"/>
        <v>Red</v>
      </c>
      <c r="X274" t="str">
        <f t="shared" si="101"/>
        <v>Red</v>
      </c>
      <c r="Y274" t="str">
        <f t="shared" si="102"/>
        <v>Green</v>
      </c>
      <c r="Z274" t="str">
        <f t="shared" si="103"/>
        <v>Red</v>
      </c>
      <c r="AA274" t="str">
        <f t="shared" si="104"/>
        <v>Green</v>
      </c>
      <c r="AB274" t="str">
        <f t="shared" si="105"/>
        <v>Green</v>
      </c>
      <c r="AC274" t="str">
        <f t="shared" si="106"/>
        <v>Green</v>
      </c>
      <c r="AD274" t="str">
        <f t="shared" si="107"/>
        <v>Red</v>
      </c>
    </row>
    <row r="275" spans="1:30" x14ac:dyDescent="0.2">
      <c r="A275" t="str">
        <f t="shared" si="90"/>
        <v>22/07/2026BolognaHeidenheim</v>
      </c>
      <c r="D275" s="2">
        <v>46225</v>
      </c>
      <c r="E275" s="3">
        <v>0.58333333333333337</v>
      </c>
      <c r="F275" t="s">
        <v>1618</v>
      </c>
      <c r="G275" t="s">
        <v>1619</v>
      </c>
      <c r="H275">
        <v>1</v>
      </c>
      <c r="I275">
        <v>1</v>
      </c>
      <c r="J275">
        <v>1</v>
      </c>
      <c r="K275">
        <v>1</v>
      </c>
      <c r="L275" s="22" t="str">
        <f t="shared" si="88"/>
        <v>22/07/2026</v>
      </c>
      <c r="M275" s="23">
        <f t="shared" si="89"/>
        <v>0.45833333333333337</v>
      </c>
      <c r="N275" t="str">
        <f t="shared" si="91"/>
        <v>1 - 1</v>
      </c>
      <c r="O275" t="str">
        <f t="shared" si="92"/>
        <v>Red</v>
      </c>
      <c r="P275" t="str">
        <f t="shared" si="93"/>
        <v>Green</v>
      </c>
      <c r="Q275" t="str">
        <f t="shared" si="94"/>
        <v>Red</v>
      </c>
      <c r="R275" t="str">
        <f t="shared" si="95"/>
        <v>Green</v>
      </c>
      <c r="S275" t="str">
        <f t="shared" si="96"/>
        <v>Green</v>
      </c>
      <c r="T275" t="str">
        <f t="shared" si="97"/>
        <v>Red</v>
      </c>
      <c r="U275" t="str">
        <f t="shared" si="98"/>
        <v>Red</v>
      </c>
      <c r="V275" t="str">
        <f t="shared" si="99"/>
        <v>Green</v>
      </c>
      <c r="W275" t="str">
        <f t="shared" si="100"/>
        <v>Red</v>
      </c>
      <c r="X275" t="str">
        <f t="shared" si="101"/>
        <v>Green</v>
      </c>
      <c r="Y275" t="str">
        <f t="shared" si="102"/>
        <v>Green</v>
      </c>
      <c r="Z275" t="str">
        <f t="shared" si="103"/>
        <v>Red</v>
      </c>
      <c r="AA275" t="str">
        <f t="shared" si="104"/>
        <v>Green</v>
      </c>
      <c r="AB275" t="str">
        <f t="shared" si="105"/>
        <v>Green</v>
      </c>
      <c r="AC275" t="str">
        <f t="shared" si="106"/>
        <v>Green</v>
      </c>
      <c r="AD275" t="str">
        <f t="shared" si="107"/>
        <v>Red</v>
      </c>
    </row>
    <row r="276" spans="1:30" x14ac:dyDescent="0.2">
      <c r="A276" t="str">
        <f t="shared" si="90"/>
        <v>22/07/2026FC Metalist 1925Schalke 04</v>
      </c>
      <c r="D276" s="2">
        <v>46225</v>
      </c>
      <c r="E276" s="3">
        <v>0.58333333333333337</v>
      </c>
      <c r="F276" t="s">
        <v>1444</v>
      </c>
      <c r="G276" t="s">
        <v>1620</v>
      </c>
      <c r="H276">
        <v>0</v>
      </c>
      <c r="I276">
        <v>0</v>
      </c>
      <c r="J276">
        <v>0</v>
      </c>
      <c r="K276">
        <v>2</v>
      </c>
      <c r="L276" s="22" t="str">
        <f t="shared" ref="L276:L307" si="108">DAY(D276)&amp;"/"&amp;"07"&amp;"/"&amp;YEAR(D276)</f>
        <v>22/07/2026</v>
      </c>
      <c r="M276" s="23">
        <f t="shared" ref="M276:M307" si="109">E276-TIME(3,0,0)</f>
        <v>0.45833333333333337</v>
      </c>
      <c r="N276" t="str">
        <f t="shared" si="91"/>
        <v>0 - 2</v>
      </c>
      <c r="O276" t="str">
        <f t="shared" si="92"/>
        <v>Red</v>
      </c>
      <c r="P276" t="str">
        <f t="shared" si="93"/>
        <v>Red</v>
      </c>
      <c r="Q276" t="str">
        <f t="shared" si="94"/>
        <v>Green</v>
      </c>
      <c r="R276" t="str">
        <f t="shared" si="95"/>
        <v>Red</v>
      </c>
      <c r="S276" t="str">
        <f t="shared" si="96"/>
        <v>Green</v>
      </c>
      <c r="T276" t="str">
        <f t="shared" si="97"/>
        <v>Green</v>
      </c>
      <c r="U276" t="str">
        <f t="shared" si="98"/>
        <v>Red</v>
      </c>
      <c r="V276" t="str">
        <f t="shared" si="99"/>
        <v>Green</v>
      </c>
      <c r="W276" t="str">
        <f t="shared" si="100"/>
        <v>Red</v>
      </c>
      <c r="X276" t="str">
        <f t="shared" si="101"/>
        <v>Red</v>
      </c>
      <c r="Y276" t="str">
        <f t="shared" si="102"/>
        <v>Green</v>
      </c>
      <c r="Z276" t="str">
        <f t="shared" si="103"/>
        <v>Red</v>
      </c>
      <c r="AA276" t="str">
        <f t="shared" si="104"/>
        <v>Green</v>
      </c>
      <c r="AB276" t="str">
        <f t="shared" si="105"/>
        <v>Green</v>
      </c>
      <c r="AC276" t="str">
        <f t="shared" si="106"/>
        <v>Red</v>
      </c>
      <c r="AD276" t="str">
        <f t="shared" si="107"/>
        <v>Green</v>
      </c>
    </row>
    <row r="277" spans="1:30" x14ac:dyDescent="0.2">
      <c r="A277" t="str">
        <f t="shared" si="90"/>
        <v>22/07/2026ReimsAmiens</v>
      </c>
      <c r="D277" s="2">
        <v>46225</v>
      </c>
      <c r="E277" s="3">
        <v>0.58333333333333337</v>
      </c>
      <c r="F277" t="s">
        <v>1621</v>
      </c>
      <c r="G277" t="s">
        <v>1622</v>
      </c>
      <c r="H277">
        <v>0</v>
      </c>
      <c r="I277">
        <v>1</v>
      </c>
      <c r="J277">
        <v>1</v>
      </c>
      <c r="K277">
        <v>1</v>
      </c>
      <c r="L277" s="22" t="str">
        <f t="shared" si="108"/>
        <v>22/07/2026</v>
      </c>
      <c r="M277" s="23">
        <f t="shared" si="109"/>
        <v>0.45833333333333337</v>
      </c>
      <c r="N277" t="str">
        <f t="shared" si="91"/>
        <v>1 - 1</v>
      </c>
      <c r="O277" t="str">
        <f t="shared" si="92"/>
        <v>Red</v>
      </c>
      <c r="P277" t="str">
        <f t="shared" si="93"/>
        <v>Green</v>
      </c>
      <c r="Q277" t="str">
        <f t="shared" si="94"/>
        <v>Red</v>
      </c>
      <c r="R277" t="str">
        <f t="shared" si="95"/>
        <v>Green</v>
      </c>
      <c r="S277" t="str">
        <f t="shared" si="96"/>
        <v>Green</v>
      </c>
      <c r="T277" t="str">
        <f t="shared" si="97"/>
        <v>Red</v>
      </c>
      <c r="U277" t="str">
        <f t="shared" si="98"/>
        <v>Red</v>
      </c>
      <c r="V277" t="str">
        <f t="shared" si="99"/>
        <v>Red</v>
      </c>
      <c r="W277" t="str">
        <f t="shared" si="100"/>
        <v>Green</v>
      </c>
      <c r="X277" t="str">
        <f t="shared" si="101"/>
        <v>Green</v>
      </c>
      <c r="Y277" t="str">
        <f t="shared" si="102"/>
        <v>Green</v>
      </c>
      <c r="Z277" t="str">
        <f t="shared" si="103"/>
        <v>Red</v>
      </c>
      <c r="AA277" t="str">
        <f t="shared" si="104"/>
        <v>Green</v>
      </c>
      <c r="AB277" t="str">
        <f t="shared" si="105"/>
        <v>Green</v>
      </c>
      <c r="AC277" t="str">
        <f t="shared" si="106"/>
        <v>Green</v>
      </c>
      <c r="AD277" t="str">
        <f t="shared" si="107"/>
        <v>Red</v>
      </c>
    </row>
    <row r="278" spans="1:30" x14ac:dyDescent="0.2">
      <c r="A278" t="str">
        <f t="shared" si="90"/>
        <v>22/07/2026KFF Mitrovica WomenZimbru Chisinau Women</v>
      </c>
      <c r="B278" t="s">
        <v>802</v>
      </c>
      <c r="D278" s="2">
        <v>46225</v>
      </c>
      <c r="E278" s="3">
        <v>0.60416666666666663</v>
      </c>
      <c r="F278" t="s">
        <v>1623</v>
      </c>
      <c r="G278" t="s">
        <v>1624</v>
      </c>
      <c r="H278">
        <v>5</v>
      </c>
      <c r="I278">
        <v>0</v>
      </c>
      <c r="J278">
        <v>10</v>
      </c>
      <c r="K278">
        <v>0</v>
      </c>
      <c r="L278" s="22" t="str">
        <f t="shared" si="108"/>
        <v>22/07/2026</v>
      </c>
      <c r="M278" s="23">
        <f t="shared" si="109"/>
        <v>0.47916666666666663</v>
      </c>
      <c r="N278" t="str">
        <f t="shared" si="91"/>
        <v>10 - 0</v>
      </c>
      <c r="O278" t="str">
        <f t="shared" si="92"/>
        <v>Green</v>
      </c>
      <c r="P278" t="str">
        <f t="shared" si="93"/>
        <v>Red</v>
      </c>
      <c r="Q278" t="str">
        <f t="shared" si="94"/>
        <v>Red</v>
      </c>
      <c r="R278" t="str">
        <f t="shared" si="95"/>
        <v>Green</v>
      </c>
      <c r="S278" t="str">
        <f t="shared" si="96"/>
        <v>Red</v>
      </c>
      <c r="T278" t="str">
        <f t="shared" si="97"/>
        <v>Green</v>
      </c>
      <c r="U278" t="str">
        <f t="shared" si="98"/>
        <v>Green</v>
      </c>
      <c r="V278" t="str">
        <f t="shared" si="99"/>
        <v>Red</v>
      </c>
      <c r="W278" t="str">
        <f t="shared" si="100"/>
        <v>Red</v>
      </c>
      <c r="X278" t="str">
        <f t="shared" si="101"/>
        <v>Green</v>
      </c>
      <c r="Y278" t="str">
        <f t="shared" si="102"/>
        <v>Green</v>
      </c>
      <c r="Z278" t="str">
        <f t="shared" si="103"/>
        <v>Green</v>
      </c>
      <c r="AA278" t="str">
        <f t="shared" si="104"/>
        <v>Red</v>
      </c>
      <c r="AB278" t="str">
        <f t="shared" si="105"/>
        <v>Red</v>
      </c>
      <c r="AC278" t="str">
        <f t="shared" si="106"/>
        <v>Red</v>
      </c>
      <c r="AD278" t="str">
        <f t="shared" si="107"/>
        <v>Green</v>
      </c>
    </row>
    <row r="279" spans="1:30" x14ac:dyDescent="0.2">
      <c r="A279" t="str">
        <f t="shared" si="90"/>
        <v>22/07/2026KI Klaksvik WomenLudogorets Women</v>
      </c>
      <c r="B279" t="s">
        <v>802</v>
      </c>
      <c r="D279" s="2">
        <v>46225</v>
      </c>
      <c r="E279" s="3">
        <v>0.60416666666666663</v>
      </c>
      <c r="F279" t="s">
        <v>1625</v>
      </c>
      <c r="G279" t="s">
        <v>1626</v>
      </c>
      <c r="H279">
        <v>0</v>
      </c>
      <c r="I279">
        <v>2</v>
      </c>
      <c r="J279">
        <v>0</v>
      </c>
      <c r="K279">
        <v>3</v>
      </c>
      <c r="L279" s="22" t="str">
        <f t="shared" si="108"/>
        <v>22/07/2026</v>
      </c>
      <c r="M279" s="23">
        <f t="shared" si="109"/>
        <v>0.47916666666666663</v>
      </c>
      <c r="N279" t="str">
        <f t="shared" si="91"/>
        <v>0 - 3</v>
      </c>
      <c r="O279" t="str">
        <f t="shared" si="92"/>
        <v>Red</v>
      </c>
      <c r="P279" t="str">
        <f t="shared" si="93"/>
        <v>Red</v>
      </c>
      <c r="Q279" t="str">
        <f t="shared" si="94"/>
        <v>Green</v>
      </c>
      <c r="R279" t="str">
        <f t="shared" si="95"/>
        <v>Red</v>
      </c>
      <c r="S279" t="str">
        <f t="shared" si="96"/>
        <v>Green</v>
      </c>
      <c r="T279" t="str">
        <f t="shared" si="97"/>
        <v>Green</v>
      </c>
      <c r="U279" t="str">
        <f t="shared" si="98"/>
        <v>Red</v>
      </c>
      <c r="V279" t="str">
        <f t="shared" si="99"/>
        <v>Red</v>
      </c>
      <c r="W279" t="str">
        <f t="shared" si="100"/>
        <v>Green</v>
      </c>
      <c r="X279" t="str">
        <f t="shared" si="101"/>
        <v>Green</v>
      </c>
      <c r="Y279" t="str">
        <f t="shared" si="102"/>
        <v>Green</v>
      </c>
      <c r="Z279" t="str">
        <f t="shared" si="103"/>
        <v>Green</v>
      </c>
      <c r="AA279" t="str">
        <f t="shared" si="104"/>
        <v>Red</v>
      </c>
      <c r="AB279" t="str">
        <f t="shared" si="105"/>
        <v>Green</v>
      </c>
      <c r="AC279" t="str">
        <f t="shared" si="106"/>
        <v>Red</v>
      </c>
      <c r="AD279" t="str">
        <f t="shared" si="107"/>
        <v>Green</v>
      </c>
    </row>
    <row r="280" spans="1:30" x14ac:dyDescent="0.2">
      <c r="A280" t="str">
        <f t="shared" si="90"/>
        <v>22/07/2026Satsaid WomenFerro Carril Oeste Women</v>
      </c>
      <c r="B280" t="s">
        <v>806</v>
      </c>
      <c r="C280" t="s">
        <v>879</v>
      </c>
      <c r="D280" s="2">
        <v>46225</v>
      </c>
      <c r="E280" s="3">
        <v>0.625</v>
      </c>
      <c r="F280" t="s">
        <v>882</v>
      </c>
      <c r="G280" t="s">
        <v>883</v>
      </c>
      <c r="H280">
        <v>0</v>
      </c>
      <c r="I280">
        <v>0</v>
      </c>
      <c r="J280">
        <v>2</v>
      </c>
      <c r="K280">
        <v>0</v>
      </c>
      <c r="L280" s="22" t="str">
        <f t="shared" si="108"/>
        <v>22/07/2026</v>
      </c>
      <c r="M280" s="23">
        <f t="shared" si="109"/>
        <v>0.5</v>
      </c>
      <c r="N280" t="str">
        <f t="shared" si="91"/>
        <v>2 - 0</v>
      </c>
      <c r="O280" t="str">
        <f t="shared" si="92"/>
        <v>Green</v>
      </c>
      <c r="P280" t="str">
        <f t="shared" si="93"/>
        <v>Red</v>
      </c>
      <c r="Q280" t="str">
        <f t="shared" si="94"/>
        <v>Red</v>
      </c>
      <c r="R280" t="str">
        <f t="shared" si="95"/>
        <v>Green</v>
      </c>
      <c r="S280" t="str">
        <f t="shared" si="96"/>
        <v>Red</v>
      </c>
      <c r="T280" t="str">
        <f t="shared" si="97"/>
        <v>Green</v>
      </c>
      <c r="U280" t="str">
        <f t="shared" si="98"/>
        <v>Red</v>
      </c>
      <c r="V280" t="str">
        <f t="shared" si="99"/>
        <v>Green</v>
      </c>
      <c r="W280" t="str">
        <f t="shared" si="100"/>
        <v>Red</v>
      </c>
      <c r="X280" t="str">
        <f t="shared" si="101"/>
        <v>Red</v>
      </c>
      <c r="Y280" t="str">
        <f t="shared" si="102"/>
        <v>Green</v>
      </c>
      <c r="Z280" t="str">
        <f t="shared" si="103"/>
        <v>Red</v>
      </c>
      <c r="AA280" t="str">
        <f t="shared" si="104"/>
        <v>Green</v>
      </c>
      <c r="AB280" t="str">
        <f t="shared" si="105"/>
        <v>Green</v>
      </c>
      <c r="AC280" t="str">
        <f t="shared" si="106"/>
        <v>Red</v>
      </c>
      <c r="AD280" t="str">
        <f t="shared" si="107"/>
        <v>Green</v>
      </c>
    </row>
    <row r="281" spans="1:30" x14ac:dyDescent="0.2">
      <c r="A281" t="str">
        <f t="shared" si="90"/>
        <v>22/07/2026FC HiiumaaJK Viljandi Tulevik</v>
      </c>
      <c r="D281" s="2">
        <v>46225</v>
      </c>
      <c r="E281" s="3">
        <v>0.625</v>
      </c>
      <c r="F281" t="s">
        <v>1627</v>
      </c>
      <c r="G281" t="s">
        <v>1628</v>
      </c>
      <c r="H281">
        <v>3</v>
      </c>
      <c r="I281">
        <v>0</v>
      </c>
      <c r="J281">
        <v>4</v>
      </c>
      <c r="K281">
        <v>1</v>
      </c>
      <c r="L281" s="22" t="str">
        <f t="shared" si="108"/>
        <v>22/07/2026</v>
      </c>
      <c r="M281" s="23">
        <f t="shared" si="109"/>
        <v>0.5</v>
      </c>
      <c r="N281" t="str">
        <f t="shared" si="91"/>
        <v>4 - 1</v>
      </c>
      <c r="O281" t="str">
        <f t="shared" si="92"/>
        <v>Green</v>
      </c>
      <c r="P281" t="str">
        <f t="shared" si="93"/>
        <v>Red</v>
      </c>
      <c r="Q281" t="str">
        <f t="shared" si="94"/>
        <v>Red</v>
      </c>
      <c r="R281" t="str">
        <f t="shared" si="95"/>
        <v>Green</v>
      </c>
      <c r="S281" t="str">
        <f t="shared" si="96"/>
        <v>Red</v>
      </c>
      <c r="T281" t="str">
        <f t="shared" si="97"/>
        <v>Green</v>
      </c>
      <c r="U281" t="str">
        <f t="shared" si="98"/>
        <v>Green</v>
      </c>
      <c r="V281" t="str">
        <f t="shared" si="99"/>
        <v>Red</v>
      </c>
      <c r="W281" t="str">
        <f t="shared" si="100"/>
        <v>Red</v>
      </c>
      <c r="X281" t="str">
        <f t="shared" si="101"/>
        <v>Green</v>
      </c>
      <c r="Y281" t="str">
        <f t="shared" si="102"/>
        <v>Green</v>
      </c>
      <c r="Z281" t="str">
        <f t="shared" si="103"/>
        <v>Green</v>
      </c>
      <c r="AA281" t="str">
        <f t="shared" si="104"/>
        <v>Red</v>
      </c>
      <c r="AB281" t="str">
        <f t="shared" si="105"/>
        <v>Red</v>
      </c>
      <c r="AC281" t="str">
        <f t="shared" si="106"/>
        <v>Green</v>
      </c>
      <c r="AD281" t="str">
        <f t="shared" si="107"/>
        <v>Red</v>
      </c>
    </row>
    <row r="282" spans="1:30" x14ac:dyDescent="0.2">
      <c r="A282" t="str">
        <f t="shared" si="90"/>
        <v>22/07/2026Tabasalu CharmaTallinna FC Tamper</v>
      </c>
      <c r="D282" s="2">
        <v>46225</v>
      </c>
      <c r="E282" s="3">
        <v>0.625</v>
      </c>
      <c r="F282" t="s">
        <v>1629</v>
      </c>
      <c r="G282" t="s">
        <v>1630</v>
      </c>
      <c r="H282">
        <v>0</v>
      </c>
      <c r="I282">
        <v>2</v>
      </c>
      <c r="J282">
        <v>0</v>
      </c>
      <c r="K282">
        <v>2</v>
      </c>
      <c r="L282" s="22" t="str">
        <f t="shared" si="108"/>
        <v>22/07/2026</v>
      </c>
      <c r="M282" s="23">
        <f t="shared" si="109"/>
        <v>0.5</v>
      </c>
      <c r="N282" t="str">
        <f t="shared" si="91"/>
        <v>0 - 2</v>
      </c>
      <c r="O282" t="str">
        <f t="shared" si="92"/>
        <v>Red</v>
      </c>
      <c r="P282" t="str">
        <f t="shared" si="93"/>
        <v>Red</v>
      </c>
      <c r="Q282" t="str">
        <f t="shared" si="94"/>
        <v>Green</v>
      </c>
      <c r="R282" t="str">
        <f t="shared" si="95"/>
        <v>Red</v>
      </c>
      <c r="S282" t="str">
        <f t="shared" si="96"/>
        <v>Green</v>
      </c>
      <c r="T282" t="str">
        <f t="shared" si="97"/>
        <v>Green</v>
      </c>
      <c r="U282" t="str">
        <f t="shared" si="98"/>
        <v>Red</v>
      </c>
      <c r="V282" t="str">
        <f t="shared" si="99"/>
        <v>Red</v>
      </c>
      <c r="W282" t="str">
        <f t="shared" si="100"/>
        <v>Green</v>
      </c>
      <c r="X282" t="str">
        <f t="shared" si="101"/>
        <v>Green</v>
      </c>
      <c r="Y282" t="str">
        <f t="shared" si="102"/>
        <v>Green</v>
      </c>
      <c r="Z282" t="str">
        <f t="shared" si="103"/>
        <v>Red</v>
      </c>
      <c r="AA282" t="str">
        <f t="shared" si="104"/>
        <v>Green</v>
      </c>
      <c r="AB282" t="str">
        <f t="shared" si="105"/>
        <v>Green</v>
      </c>
      <c r="AC282" t="str">
        <f t="shared" si="106"/>
        <v>Red</v>
      </c>
      <c r="AD282" t="str">
        <f t="shared" si="107"/>
        <v>Green</v>
      </c>
    </row>
    <row r="283" spans="1:30" x14ac:dyDescent="0.2">
      <c r="A283" t="str">
        <f t="shared" si="90"/>
        <v>22/07/2026Kokand 1912Olmaliq</v>
      </c>
      <c r="D283" s="2">
        <v>46225</v>
      </c>
      <c r="E283" s="3">
        <v>0.625</v>
      </c>
      <c r="F283" t="s">
        <v>1631</v>
      </c>
      <c r="G283" t="s">
        <v>1632</v>
      </c>
      <c r="H283">
        <v>0</v>
      </c>
      <c r="I283">
        <v>0</v>
      </c>
      <c r="J283">
        <v>1</v>
      </c>
      <c r="K283">
        <v>4</v>
      </c>
      <c r="L283" s="22" t="str">
        <f t="shared" si="108"/>
        <v>22/07/2026</v>
      </c>
      <c r="M283" s="23">
        <f t="shared" si="109"/>
        <v>0.5</v>
      </c>
      <c r="N283" t="str">
        <f t="shared" si="91"/>
        <v>1 - 4</v>
      </c>
      <c r="O283" t="str">
        <f t="shared" si="92"/>
        <v>Red</v>
      </c>
      <c r="P283" t="str">
        <f t="shared" si="93"/>
        <v>Red</v>
      </c>
      <c r="Q283" t="str">
        <f t="shared" si="94"/>
        <v>Green</v>
      </c>
      <c r="R283" t="str">
        <f t="shared" si="95"/>
        <v>Red</v>
      </c>
      <c r="S283" t="str">
        <f t="shared" si="96"/>
        <v>Green</v>
      </c>
      <c r="T283" t="str">
        <f t="shared" si="97"/>
        <v>Green</v>
      </c>
      <c r="U283" t="str">
        <f t="shared" si="98"/>
        <v>Red</v>
      </c>
      <c r="V283" t="str">
        <f t="shared" si="99"/>
        <v>Green</v>
      </c>
      <c r="W283" t="str">
        <f t="shared" si="100"/>
        <v>Red</v>
      </c>
      <c r="X283" t="str">
        <f t="shared" si="101"/>
        <v>Red</v>
      </c>
      <c r="Y283" t="str">
        <f t="shared" si="102"/>
        <v>Green</v>
      </c>
      <c r="Z283" t="str">
        <f t="shared" si="103"/>
        <v>Green</v>
      </c>
      <c r="AA283" t="str">
        <f t="shared" si="104"/>
        <v>Red</v>
      </c>
      <c r="AB283" t="str">
        <f t="shared" si="105"/>
        <v>Red</v>
      </c>
      <c r="AC283" t="str">
        <f t="shared" si="106"/>
        <v>Green</v>
      </c>
      <c r="AD283" t="str">
        <f t="shared" si="107"/>
        <v>Red</v>
      </c>
    </row>
    <row r="284" spans="1:30" x14ac:dyDescent="0.2">
      <c r="A284" t="str">
        <f t="shared" si="90"/>
        <v>22/07/2026Lokomotiv TashkentAndijan</v>
      </c>
      <c r="D284" s="2">
        <v>46225</v>
      </c>
      <c r="E284" s="3">
        <v>0.625</v>
      </c>
      <c r="F284" t="s">
        <v>1633</v>
      </c>
      <c r="G284" t="s">
        <v>1634</v>
      </c>
      <c r="H284">
        <v>1</v>
      </c>
      <c r="I284">
        <v>0</v>
      </c>
      <c r="J284">
        <v>3</v>
      </c>
      <c r="K284">
        <v>3</v>
      </c>
      <c r="L284" s="22" t="str">
        <f t="shared" si="108"/>
        <v>22/07/2026</v>
      </c>
      <c r="M284" s="23">
        <f t="shared" si="109"/>
        <v>0.5</v>
      </c>
      <c r="N284" t="str">
        <f t="shared" si="91"/>
        <v>3 - 3</v>
      </c>
      <c r="O284" t="str">
        <f t="shared" si="92"/>
        <v>Red</v>
      </c>
      <c r="P284" t="str">
        <f t="shared" si="93"/>
        <v>Green</v>
      </c>
      <c r="Q284" t="str">
        <f t="shared" si="94"/>
        <v>Red</v>
      </c>
      <c r="R284" t="str">
        <f t="shared" si="95"/>
        <v>Green</v>
      </c>
      <c r="S284" t="str">
        <f t="shared" si="96"/>
        <v>Green</v>
      </c>
      <c r="T284" t="str">
        <f t="shared" si="97"/>
        <v>Red</v>
      </c>
      <c r="U284" t="str">
        <f t="shared" si="98"/>
        <v>Green</v>
      </c>
      <c r="V284" t="str">
        <f t="shared" si="99"/>
        <v>Red</v>
      </c>
      <c r="W284" t="str">
        <f t="shared" si="100"/>
        <v>Red</v>
      </c>
      <c r="X284" t="str">
        <f t="shared" si="101"/>
        <v>Green</v>
      </c>
      <c r="Y284" t="str">
        <f t="shared" si="102"/>
        <v>Green</v>
      </c>
      <c r="Z284" t="str">
        <f t="shared" si="103"/>
        <v>Green</v>
      </c>
      <c r="AA284" t="str">
        <f t="shared" si="104"/>
        <v>Red</v>
      </c>
      <c r="AB284" t="str">
        <f t="shared" si="105"/>
        <v>Red</v>
      </c>
      <c r="AC284" t="str">
        <f t="shared" si="106"/>
        <v>Green</v>
      </c>
      <c r="AD284" t="str">
        <f t="shared" si="107"/>
        <v>Red</v>
      </c>
    </row>
    <row r="285" spans="1:30" x14ac:dyDescent="0.2">
      <c r="A285" t="str">
        <f t="shared" si="90"/>
        <v>22/07/2026Mash Al MubarekNasaf Qarshi</v>
      </c>
      <c r="D285" s="2">
        <v>46225</v>
      </c>
      <c r="E285" s="3">
        <v>0.625</v>
      </c>
      <c r="F285" t="s">
        <v>1635</v>
      </c>
      <c r="G285" t="s">
        <v>1636</v>
      </c>
      <c r="H285">
        <v>1</v>
      </c>
      <c r="I285">
        <v>1</v>
      </c>
      <c r="J285">
        <v>1</v>
      </c>
      <c r="K285">
        <v>1</v>
      </c>
      <c r="L285" s="22" t="str">
        <f t="shared" si="108"/>
        <v>22/07/2026</v>
      </c>
      <c r="M285" s="23">
        <f t="shared" si="109"/>
        <v>0.5</v>
      </c>
      <c r="N285" t="str">
        <f t="shared" si="91"/>
        <v>1 - 1</v>
      </c>
      <c r="O285" t="str">
        <f t="shared" si="92"/>
        <v>Red</v>
      </c>
      <c r="P285" t="str">
        <f t="shared" si="93"/>
        <v>Green</v>
      </c>
      <c r="Q285" t="str">
        <f t="shared" si="94"/>
        <v>Red</v>
      </c>
      <c r="R285" t="str">
        <f t="shared" si="95"/>
        <v>Green</v>
      </c>
      <c r="S285" t="str">
        <f t="shared" si="96"/>
        <v>Green</v>
      </c>
      <c r="T285" t="str">
        <f t="shared" si="97"/>
        <v>Red</v>
      </c>
      <c r="U285" t="str">
        <f t="shared" si="98"/>
        <v>Red</v>
      </c>
      <c r="V285" t="str">
        <f t="shared" si="99"/>
        <v>Green</v>
      </c>
      <c r="W285" t="str">
        <f t="shared" si="100"/>
        <v>Red</v>
      </c>
      <c r="X285" t="str">
        <f t="shared" si="101"/>
        <v>Green</v>
      </c>
      <c r="Y285" t="str">
        <f t="shared" si="102"/>
        <v>Green</v>
      </c>
      <c r="Z285" t="str">
        <f t="shared" si="103"/>
        <v>Red</v>
      </c>
      <c r="AA285" t="str">
        <f t="shared" si="104"/>
        <v>Green</v>
      </c>
      <c r="AB285" t="str">
        <f t="shared" si="105"/>
        <v>Green</v>
      </c>
      <c r="AC285" t="str">
        <f t="shared" si="106"/>
        <v>Green</v>
      </c>
      <c r="AD285" t="str">
        <f t="shared" si="107"/>
        <v>Red</v>
      </c>
    </row>
    <row r="286" spans="1:30" x14ac:dyDescent="0.2">
      <c r="A286" t="str">
        <f t="shared" si="90"/>
        <v>22/07/2026AS AvellinoScafatese Calcio</v>
      </c>
      <c r="D286" s="2">
        <v>46225</v>
      </c>
      <c r="E286" s="3">
        <v>0.625</v>
      </c>
      <c r="F286" t="s">
        <v>1637</v>
      </c>
      <c r="G286" t="s">
        <v>1638</v>
      </c>
      <c r="L286" s="22" t="str">
        <f t="shared" si="108"/>
        <v>22/07/2026</v>
      </c>
      <c r="M286" s="23">
        <f t="shared" si="109"/>
        <v>0.5</v>
      </c>
      <c r="N286" t="str">
        <f t="shared" si="91"/>
        <v xml:space="preserve"> - </v>
      </c>
      <c r="O286" t="str">
        <f t="shared" si="92"/>
        <v>Red</v>
      </c>
      <c r="P286" t="str">
        <f t="shared" si="93"/>
        <v>Green</v>
      </c>
      <c r="Q286" t="str">
        <f t="shared" si="94"/>
        <v>Red</v>
      </c>
      <c r="R286" t="str">
        <f t="shared" si="95"/>
        <v>Green</v>
      </c>
      <c r="S286" t="str">
        <f t="shared" si="96"/>
        <v>Green</v>
      </c>
      <c r="T286" t="str">
        <f t="shared" si="97"/>
        <v>Red</v>
      </c>
      <c r="U286" t="str">
        <f t="shared" si="98"/>
        <v>Red</v>
      </c>
      <c r="V286" t="str">
        <f t="shared" si="99"/>
        <v>Green</v>
      </c>
      <c r="W286" t="str">
        <f t="shared" si="100"/>
        <v>Red</v>
      </c>
      <c r="X286" t="str">
        <f t="shared" si="101"/>
        <v>Red</v>
      </c>
      <c r="Y286" t="str">
        <f t="shared" si="102"/>
        <v>Red</v>
      </c>
      <c r="Z286" t="str">
        <f t="shared" si="103"/>
        <v>Red</v>
      </c>
      <c r="AA286" t="str">
        <f t="shared" si="104"/>
        <v>Green</v>
      </c>
      <c r="AB286" t="str">
        <f t="shared" si="105"/>
        <v>Green</v>
      </c>
      <c r="AC286" t="str">
        <f t="shared" si="106"/>
        <v>Red</v>
      </c>
      <c r="AD286" t="str">
        <f t="shared" si="107"/>
        <v>Green</v>
      </c>
    </row>
    <row r="287" spans="1:30" x14ac:dyDescent="0.2">
      <c r="A287" t="str">
        <f t="shared" si="90"/>
        <v>22/07/2026FK Backa TopolaIlirija Ljubljana</v>
      </c>
      <c r="D287" s="2">
        <v>46225</v>
      </c>
      <c r="E287" s="3">
        <v>0.625</v>
      </c>
      <c r="F287" t="s">
        <v>1639</v>
      </c>
      <c r="G287" t="s">
        <v>1640</v>
      </c>
      <c r="H287">
        <v>2</v>
      </c>
      <c r="I287">
        <v>0</v>
      </c>
      <c r="J287">
        <v>4</v>
      </c>
      <c r="K287">
        <v>0</v>
      </c>
      <c r="L287" s="22" t="str">
        <f t="shared" si="108"/>
        <v>22/07/2026</v>
      </c>
      <c r="M287" s="23">
        <f t="shared" si="109"/>
        <v>0.5</v>
      </c>
      <c r="N287" t="str">
        <f t="shared" si="91"/>
        <v>4 - 0</v>
      </c>
      <c r="O287" t="str">
        <f t="shared" si="92"/>
        <v>Green</v>
      </c>
      <c r="P287" t="str">
        <f t="shared" si="93"/>
        <v>Red</v>
      </c>
      <c r="Q287" t="str">
        <f t="shared" si="94"/>
        <v>Red</v>
      </c>
      <c r="R287" t="str">
        <f t="shared" si="95"/>
        <v>Green</v>
      </c>
      <c r="S287" t="str">
        <f t="shared" si="96"/>
        <v>Red</v>
      </c>
      <c r="T287" t="str">
        <f t="shared" si="97"/>
        <v>Green</v>
      </c>
      <c r="U287" t="str">
        <f t="shared" si="98"/>
        <v>Green</v>
      </c>
      <c r="V287" t="str">
        <f t="shared" si="99"/>
        <v>Red</v>
      </c>
      <c r="W287" t="str">
        <f t="shared" si="100"/>
        <v>Red</v>
      </c>
      <c r="X287" t="str">
        <f t="shared" si="101"/>
        <v>Green</v>
      </c>
      <c r="Y287" t="str">
        <f t="shared" si="102"/>
        <v>Green</v>
      </c>
      <c r="Z287" t="str">
        <f t="shared" si="103"/>
        <v>Green</v>
      </c>
      <c r="AA287" t="str">
        <f t="shared" si="104"/>
        <v>Red</v>
      </c>
      <c r="AB287" t="str">
        <f t="shared" si="105"/>
        <v>Red</v>
      </c>
      <c r="AC287" t="str">
        <f t="shared" si="106"/>
        <v>Red</v>
      </c>
      <c r="AD287" t="str">
        <f t="shared" si="107"/>
        <v>Green</v>
      </c>
    </row>
    <row r="288" spans="1:30" x14ac:dyDescent="0.2">
      <c r="A288" t="str">
        <f t="shared" si="90"/>
        <v>22/07/2026PalermoFC Paradiso</v>
      </c>
      <c r="D288" s="2">
        <v>46225</v>
      </c>
      <c r="E288" s="3">
        <v>0.625</v>
      </c>
      <c r="F288" t="s">
        <v>1641</v>
      </c>
      <c r="G288" t="s">
        <v>1642</v>
      </c>
      <c r="H288">
        <v>4</v>
      </c>
      <c r="I288">
        <v>0</v>
      </c>
      <c r="J288">
        <v>7</v>
      </c>
      <c r="K288">
        <v>0</v>
      </c>
      <c r="L288" s="22" t="str">
        <f t="shared" si="108"/>
        <v>22/07/2026</v>
      </c>
      <c r="M288" s="23">
        <f t="shared" si="109"/>
        <v>0.5</v>
      </c>
      <c r="N288" t="str">
        <f t="shared" si="91"/>
        <v>7 - 0</v>
      </c>
      <c r="O288" t="str">
        <f t="shared" si="92"/>
        <v>Green</v>
      </c>
      <c r="P288" t="str">
        <f t="shared" si="93"/>
        <v>Red</v>
      </c>
      <c r="Q288" t="str">
        <f t="shared" si="94"/>
        <v>Red</v>
      </c>
      <c r="R288" t="str">
        <f t="shared" si="95"/>
        <v>Green</v>
      </c>
      <c r="S288" t="str">
        <f t="shared" si="96"/>
        <v>Red</v>
      </c>
      <c r="T288" t="str">
        <f t="shared" si="97"/>
        <v>Green</v>
      </c>
      <c r="U288" t="str">
        <f t="shared" si="98"/>
        <v>Green</v>
      </c>
      <c r="V288" t="str">
        <f t="shared" si="99"/>
        <v>Red</v>
      </c>
      <c r="W288" t="str">
        <f t="shared" si="100"/>
        <v>Red</v>
      </c>
      <c r="X288" t="str">
        <f t="shared" si="101"/>
        <v>Green</v>
      </c>
      <c r="Y288" t="str">
        <f t="shared" si="102"/>
        <v>Green</v>
      </c>
      <c r="Z288" t="str">
        <f t="shared" si="103"/>
        <v>Green</v>
      </c>
      <c r="AA288" t="str">
        <f t="shared" si="104"/>
        <v>Red</v>
      </c>
      <c r="AB288" t="str">
        <f t="shared" si="105"/>
        <v>Red</v>
      </c>
      <c r="AC288" t="str">
        <f t="shared" si="106"/>
        <v>Red</v>
      </c>
      <c r="AD288" t="str">
        <f t="shared" si="107"/>
        <v>Green</v>
      </c>
    </row>
    <row r="289" spans="1:30" x14ac:dyDescent="0.2">
      <c r="A289" t="str">
        <f t="shared" si="90"/>
        <v>22/07/2026SassuoloPadova Calcio</v>
      </c>
      <c r="D289" s="2">
        <v>46225</v>
      </c>
      <c r="E289" s="3">
        <v>0.625</v>
      </c>
      <c r="F289" t="s">
        <v>1643</v>
      </c>
      <c r="G289" t="s">
        <v>1644</v>
      </c>
      <c r="H289">
        <v>2</v>
      </c>
      <c r="I289">
        <v>1</v>
      </c>
      <c r="J289">
        <v>4</v>
      </c>
      <c r="K289">
        <v>1</v>
      </c>
      <c r="L289" s="22" t="str">
        <f t="shared" si="108"/>
        <v>22/07/2026</v>
      </c>
      <c r="M289" s="23">
        <f t="shared" si="109"/>
        <v>0.5</v>
      </c>
      <c r="N289" t="str">
        <f t="shared" si="91"/>
        <v>4 - 1</v>
      </c>
      <c r="O289" t="str">
        <f t="shared" si="92"/>
        <v>Green</v>
      </c>
      <c r="P289" t="str">
        <f t="shared" si="93"/>
        <v>Red</v>
      </c>
      <c r="Q289" t="str">
        <f t="shared" si="94"/>
        <v>Red</v>
      </c>
      <c r="R289" t="str">
        <f t="shared" si="95"/>
        <v>Green</v>
      </c>
      <c r="S289" t="str">
        <f t="shared" si="96"/>
        <v>Red</v>
      </c>
      <c r="T289" t="str">
        <f t="shared" si="97"/>
        <v>Green</v>
      </c>
      <c r="U289" t="str">
        <f t="shared" si="98"/>
        <v>Green</v>
      </c>
      <c r="V289" t="str">
        <f t="shared" si="99"/>
        <v>Red</v>
      </c>
      <c r="W289" t="str">
        <f t="shared" si="100"/>
        <v>Red</v>
      </c>
      <c r="X289" t="str">
        <f t="shared" si="101"/>
        <v>Green</v>
      </c>
      <c r="Y289" t="str">
        <f t="shared" si="102"/>
        <v>Green</v>
      </c>
      <c r="Z289" t="str">
        <f t="shared" si="103"/>
        <v>Green</v>
      </c>
      <c r="AA289" t="str">
        <f t="shared" si="104"/>
        <v>Red</v>
      </c>
      <c r="AB289" t="str">
        <f t="shared" si="105"/>
        <v>Red</v>
      </c>
      <c r="AC289" t="str">
        <f t="shared" si="106"/>
        <v>Green</v>
      </c>
      <c r="AD289" t="str">
        <f t="shared" si="107"/>
        <v>Red</v>
      </c>
    </row>
    <row r="290" spans="1:30" x14ac:dyDescent="0.2">
      <c r="A290" t="str">
        <f t="shared" si="90"/>
        <v>22/07/2026PAOK FC WomenHapoel Jerusalem Women</v>
      </c>
      <c r="B290" t="s">
        <v>802</v>
      </c>
      <c r="D290" s="2">
        <v>46225</v>
      </c>
      <c r="E290" s="3">
        <v>0.64583333333333337</v>
      </c>
      <c r="F290" t="s">
        <v>1645</v>
      </c>
      <c r="G290" t="s">
        <v>1646</v>
      </c>
      <c r="H290">
        <v>1</v>
      </c>
      <c r="I290">
        <v>0</v>
      </c>
      <c r="J290">
        <v>3</v>
      </c>
      <c r="K290">
        <v>1</v>
      </c>
      <c r="L290" s="22" t="str">
        <f t="shared" si="108"/>
        <v>22/07/2026</v>
      </c>
      <c r="M290" s="23">
        <f t="shared" si="109"/>
        <v>0.52083333333333337</v>
      </c>
      <c r="N290" t="str">
        <f t="shared" si="91"/>
        <v>3 - 1</v>
      </c>
      <c r="O290" t="str">
        <f t="shared" si="92"/>
        <v>Green</v>
      </c>
      <c r="P290" t="str">
        <f t="shared" si="93"/>
        <v>Red</v>
      </c>
      <c r="Q290" t="str">
        <f t="shared" si="94"/>
        <v>Red</v>
      </c>
      <c r="R290" t="str">
        <f t="shared" si="95"/>
        <v>Green</v>
      </c>
      <c r="S290" t="str">
        <f t="shared" si="96"/>
        <v>Red</v>
      </c>
      <c r="T290" t="str">
        <f t="shared" si="97"/>
        <v>Green</v>
      </c>
      <c r="U290" t="str">
        <f t="shared" si="98"/>
        <v>Green</v>
      </c>
      <c r="V290" t="str">
        <f t="shared" si="99"/>
        <v>Red</v>
      </c>
      <c r="W290" t="str">
        <f t="shared" si="100"/>
        <v>Red</v>
      </c>
      <c r="X290" t="str">
        <f t="shared" si="101"/>
        <v>Green</v>
      </c>
      <c r="Y290" t="str">
        <f t="shared" si="102"/>
        <v>Green</v>
      </c>
      <c r="Z290" t="str">
        <f t="shared" si="103"/>
        <v>Green</v>
      </c>
      <c r="AA290" t="str">
        <f t="shared" si="104"/>
        <v>Red</v>
      </c>
      <c r="AB290" t="str">
        <f t="shared" si="105"/>
        <v>Red</v>
      </c>
      <c r="AC290" t="str">
        <f t="shared" si="106"/>
        <v>Green</v>
      </c>
      <c r="AD290" t="str">
        <f t="shared" si="107"/>
        <v>Red</v>
      </c>
    </row>
    <row r="291" spans="1:30" x14ac:dyDescent="0.2">
      <c r="A291" t="str">
        <f t="shared" si="90"/>
        <v xml:space="preserve">22/07/2026FF Jaro IIGBK Kokkola </v>
      </c>
      <c r="D291" s="2">
        <v>46225</v>
      </c>
      <c r="E291" s="3">
        <v>0.64583333333333337</v>
      </c>
      <c r="F291" t="s">
        <v>1647</v>
      </c>
      <c r="G291" t="s">
        <v>1648</v>
      </c>
      <c r="H291">
        <v>1</v>
      </c>
      <c r="I291">
        <v>0</v>
      </c>
      <c r="J291">
        <v>1</v>
      </c>
      <c r="K291">
        <v>1</v>
      </c>
      <c r="L291" s="22" t="str">
        <f t="shared" si="108"/>
        <v>22/07/2026</v>
      </c>
      <c r="M291" s="23">
        <f t="shared" si="109"/>
        <v>0.52083333333333337</v>
      </c>
      <c r="N291" t="str">
        <f t="shared" si="91"/>
        <v>1 - 1</v>
      </c>
      <c r="O291" t="str">
        <f t="shared" si="92"/>
        <v>Red</v>
      </c>
      <c r="P291" t="str">
        <f t="shared" si="93"/>
        <v>Green</v>
      </c>
      <c r="Q291" t="str">
        <f t="shared" si="94"/>
        <v>Red</v>
      </c>
      <c r="R291" t="str">
        <f t="shared" si="95"/>
        <v>Green</v>
      </c>
      <c r="S291" t="str">
        <f t="shared" si="96"/>
        <v>Green</v>
      </c>
      <c r="T291" t="str">
        <f t="shared" si="97"/>
        <v>Red</v>
      </c>
      <c r="U291" t="str">
        <f t="shared" si="98"/>
        <v>Green</v>
      </c>
      <c r="V291" t="str">
        <f t="shared" si="99"/>
        <v>Red</v>
      </c>
      <c r="W291" t="str">
        <f t="shared" si="100"/>
        <v>Red</v>
      </c>
      <c r="X291" t="str">
        <f t="shared" si="101"/>
        <v>Green</v>
      </c>
      <c r="Y291" t="str">
        <f t="shared" si="102"/>
        <v>Green</v>
      </c>
      <c r="Z291" t="str">
        <f t="shared" si="103"/>
        <v>Red</v>
      </c>
      <c r="AA291" t="str">
        <f t="shared" si="104"/>
        <v>Green</v>
      </c>
      <c r="AB291" t="str">
        <f t="shared" si="105"/>
        <v>Green</v>
      </c>
      <c r="AC291" t="str">
        <f t="shared" si="106"/>
        <v>Green</v>
      </c>
      <c r="AD291" t="str">
        <f t="shared" si="107"/>
        <v>Red</v>
      </c>
    </row>
    <row r="292" spans="1:30" x14ac:dyDescent="0.2">
      <c r="A292" t="str">
        <f t="shared" si="90"/>
        <v>22/07/2026Kaapo KaarinaPargas Idrottsforening</v>
      </c>
      <c r="D292" s="2">
        <v>46225</v>
      </c>
      <c r="E292" s="3">
        <v>0.64583333333333337</v>
      </c>
      <c r="F292" t="s">
        <v>1649</v>
      </c>
      <c r="G292" t="s">
        <v>1650</v>
      </c>
      <c r="H292">
        <v>0</v>
      </c>
      <c r="I292">
        <v>0</v>
      </c>
      <c r="J292">
        <v>2</v>
      </c>
      <c r="K292">
        <v>4</v>
      </c>
      <c r="L292" s="22" t="str">
        <f t="shared" si="108"/>
        <v>22/07/2026</v>
      </c>
      <c r="M292" s="23">
        <f t="shared" si="109"/>
        <v>0.52083333333333337</v>
      </c>
      <c r="N292" t="str">
        <f t="shared" si="91"/>
        <v>2 - 4</v>
      </c>
      <c r="O292" t="str">
        <f t="shared" si="92"/>
        <v>Red</v>
      </c>
      <c r="P292" t="str">
        <f t="shared" si="93"/>
        <v>Red</v>
      </c>
      <c r="Q292" t="str">
        <f t="shared" si="94"/>
        <v>Green</v>
      </c>
      <c r="R292" t="str">
        <f t="shared" si="95"/>
        <v>Red</v>
      </c>
      <c r="S292" t="str">
        <f t="shared" si="96"/>
        <v>Green</v>
      </c>
      <c r="T292" t="str">
        <f t="shared" si="97"/>
        <v>Green</v>
      </c>
      <c r="U292" t="str">
        <f t="shared" si="98"/>
        <v>Red</v>
      </c>
      <c r="V292" t="str">
        <f t="shared" si="99"/>
        <v>Green</v>
      </c>
      <c r="W292" t="str">
        <f t="shared" si="100"/>
        <v>Red</v>
      </c>
      <c r="X292" t="str">
        <f t="shared" si="101"/>
        <v>Red</v>
      </c>
      <c r="Y292" t="str">
        <f t="shared" si="102"/>
        <v>Green</v>
      </c>
      <c r="Z292" t="str">
        <f t="shared" si="103"/>
        <v>Green</v>
      </c>
      <c r="AA292" t="str">
        <f t="shared" si="104"/>
        <v>Red</v>
      </c>
      <c r="AB292" t="str">
        <f t="shared" si="105"/>
        <v>Red</v>
      </c>
      <c r="AC292" t="str">
        <f t="shared" si="106"/>
        <v>Green</v>
      </c>
      <c r="AD292" t="str">
        <f t="shared" si="107"/>
        <v>Red</v>
      </c>
    </row>
    <row r="293" spans="1:30" x14ac:dyDescent="0.2">
      <c r="A293" t="str">
        <f t="shared" si="90"/>
        <v>22/07/2026GuingampConcarneau</v>
      </c>
      <c r="D293" s="2">
        <v>46225</v>
      </c>
      <c r="E293" s="3">
        <v>0.64583333333333337</v>
      </c>
      <c r="F293" t="s">
        <v>1651</v>
      </c>
      <c r="G293" t="s">
        <v>1652</v>
      </c>
      <c r="H293">
        <v>0</v>
      </c>
      <c r="I293">
        <v>0</v>
      </c>
      <c r="J293">
        <v>0</v>
      </c>
      <c r="K293">
        <v>1</v>
      </c>
      <c r="L293" s="22" t="str">
        <f t="shared" si="108"/>
        <v>22/07/2026</v>
      </c>
      <c r="M293" s="23">
        <f t="shared" si="109"/>
        <v>0.52083333333333337</v>
      </c>
      <c r="N293" t="str">
        <f t="shared" si="91"/>
        <v>0 - 1</v>
      </c>
      <c r="O293" t="str">
        <f t="shared" si="92"/>
        <v>Red</v>
      </c>
      <c r="P293" t="str">
        <f t="shared" si="93"/>
        <v>Red</v>
      </c>
      <c r="Q293" t="str">
        <f t="shared" si="94"/>
        <v>Green</v>
      </c>
      <c r="R293" t="str">
        <f t="shared" si="95"/>
        <v>Red</v>
      </c>
      <c r="S293" t="str">
        <f t="shared" si="96"/>
        <v>Green</v>
      </c>
      <c r="T293" t="str">
        <f t="shared" si="97"/>
        <v>Green</v>
      </c>
      <c r="U293" t="str">
        <f t="shared" si="98"/>
        <v>Red</v>
      </c>
      <c r="V293" t="str">
        <f t="shared" si="99"/>
        <v>Green</v>
      </c>
      <c r="W293" t="str">
        <f t="shared" si="100"/>
        <v>Red</v>
      </c>
      <c r="X293" t="str">
        <f t="shared" si="101"/>
        <v>Red</v>
      </c>
      <c r="Y293" t="str">
        <f t="shared" si="102"/>
        <v>Red</v>
      </c>
      <c r="Z293" t="str">
        <f t="shared" si="103"/>
        <v>Red</v>
      </c>
      <c r="AA293" t="str">
        <f t="shared" si="104"/>
        <v>Green</v>
      </c>
      <c r="AB293" t="str">
        <f t="shared" si="105"/>
        <v>Green</v>
      </c>
      <c r="AC293" t="str">
        <f t="shared" si="106"/>
        <v>Red</v>
      </c>
      <c r="AD293" t="str">
        <f t="shared" si="107"/>
        <v>Green</v>
      </c>
    </row>
    <row r="294" spans="1:30" x14ac:dyDescent="0.2">
      <c r="A294" t="str">
        <f t="shared" si="90"/>
        <v>22/07/2026LecceACS ASU Politehnica Timisoara</v>
      </c>
      <c r="D294" s="2">
        <v>46225</v>
      </c>
      <c r="E294" s="3">
        <v>0.64583333333333337</v>
      </c>
      <c r="F294" t="s">
        <v>1653</v>
      </c>
      <c r="G294" t="s">
        <v>1433</v>
      </c>
      <c r="H294">
        <v>0</v>
      </c>
      <c r="I294">
        <v>0</v>
      </c>
      <c r="J294">
        <v>0</v>
      </c>
      <c r="K294">
        <v>1</v>
      </c>
      <c r="L294" s="22" t="str">
        <f t="shared" si="108"/>
        <v>22/07/2026</v>
      </c>
      <c r="M294" s="23">
        <f t="shared" si="109"/>
        <v>0.52083333333333337</v>
      </c>
      <c r="N294" t="str">
        <f t="shared" si="91"/>
        <v>0 - 1</v>
      </c>
      <c r="O294" t="str">
        <f t="shared" si="92"/>
        <v>Red</v>
      </c>
      <c r="P294" t="str">
        <f t="shared" si="93"/>
        <v>Red</v>
      </c>
      <c r="Q294" t="str">
        <f t="shared" si="94"/>
        <v>Green</v>
      </c>
      <c r="R294" t="str">
        <f t="shared" si="95"/>
        <v>Red</v>
      </c>
      <c r="S294" t="str">
        <f t="shared" si="96"/>
        <v>Green</v>
      </c>
      <c r="T294" t="str">
        <f t="shared" si="97"/>
        <v>Green</v>
      </c>
      <c r="U294" t="str">
        <f t="shared" si="98"/>
        <v>Red</v>
      </c>
      <c r="V294" t="str">
        <f t="shared" si="99"/>
        <v>Green</v>
      </c>
      <c r="W294" t="str">
        <f t="shared" si="100"/>
        <v>Red</v>
      </c>
      <c r="X294" t="str">
        <f t="shared" si="101"/>
        <v>Red</v>
      </c>
      <c r="Y294" t="str">
        <f t="shared" si="102"/>
        <v>Red</v>
      </c>
      <c r="Z294" t="str">
        <f t="shared" si="103"/>
        <v>Red</v>
      </c>
      <c r="AA294" t="str">
        <f t="shared" si="104"/>
        <v>Green</v>
      </c>
      <c r="AB294" t="str">
        <f t="shared" si="105"/>
        <v>Green</v>
      </c>
      <c r="AC294" t="str">
        <f t="shared" si="106"/>
        <v>Red</v>
      </c>
      <c r="AD294" t="str">
        <f t="shared" si="107"/>
        <v>Green</v>
      </c>
    </row>
    <row r="295" spans="1:30" x14ac:dyDescent="0.2">
      <c r="A295" t="str">
        <f t="shared" si="90"/>
        <v>22/07/2026MetzSochaux</v>
      </c>
      <c r="D295" s="2">
        <v>46225</v>
      </c>
      <c r="E295" s="3">
        <v>0.64583333333333337</v>
      </c>
      <c r="F295" t="s">
        <v>1654</v>
      </c>
      <c r="G295" t="s">
        <v>1655</v>
      </c>
      <c r="H295">
        <v>3</v>
      </c>
      <c r="I295">
        <v>0</v>
      </c>
      <c r="J295">
        <v>4</v>
      </c>
      <c r="K295">
        <v>1</v>
      </c>
      <c r="L295" s="22" t="str">
        <f t="shared" si="108"/>
        <v>22/07/2026</v>
      </c>
      <c r="M295" s="23">
        <f t="shared" si="109"/>
        <v>0.52083333333333337</v>
      </c>
      <c r="N295" t="str">
        <f t="shared" si="91"/>
        <v>4 - 1</v>
      </c>
      <c r="O295" t="str">
        <f t="shared" si="92"/>
        <v>Green</v>
      </c>
      <c r="P295" t="str">
        <f t="shared" si="93"/>
        <v>Red</v>
      </c>
      <c r="Q295" t="str">
        <f t="shared" si="94"/>
        <v>Red</v>
      </c>
      <c r="R295" t="str">
        <f t="shared" si="95"/>
        <v>Green</v>
      </c>
      <c r="S295" t="str">
        <f t="shared" si="96"/>
        <v>Red</v>
      </c>
      <c r="T295" t="str">
        <f t="shared" si="97"/>
        <v>Green</v>
      </c>
      <c r="U295" t="str">
        <f t="shared" si="98"/>
        <v>Green</v>
      </c>
      <c r="V295" t="str">
        <f t="shared" si="99"/>
        <v>Red</v>
      </c>
      <c r="W295" t="str">
        <f t="shared" si="100"/>
        <v>Red</v>
      </c>
      <c r="X295" t="str">
        <f t="shared" si="101"/>
        <v>Green</v>
      </c>
      <c r="Y295" t="str">
        <f t="shared" si="102"/>
        <v>Green</v>
      </c>
      <c r="Z295" t="str">
        <f t="shared" si="103"/>
        <v>Green</v>
      </c>
      <c r="AA295" t="str">
        <f t="shared" si="104"/>
        <v>Red</v>
      </c>
      <c r="AB295" t="str">
        <f t="shared" si="105"/>
        <v>Red</v>
      </c>
      <c r="AC295" t="str">
        <f t="shared" si="106"/>
        <v>Green</v>
      </c>
      <c r="AD295" t="str">
        <f t="shared" si="107"/>
        <v>Red</v>
      </c>
    </row>
    <row r="296" spans="1:30" x14ac:dyDescent="0.2">
      <c r="A296" t="str">
        <f t="shared" si="90"/>
        <v>22/07/2026NantesLa Roche VF</v>
      </c>
      <c r="D296" s="2">
        <v>46225</v>
      </c>
      <c r="E296" s="3">
        <v>0.64583333333333337</v>
      </c>
      <c r="F296" t="s">
        <v>1656</v>
      </c>
      <c r="G296" t="s">
        <v>1657</v>
      </c>
      <c r="H296">
        <v>0</v>
      </c>
      <c r="I296">
        <v>0</v>
      </c>
      <c r="J296">
        <v>1</v>
      </c>
      <c r="K296">
        <v>1</v>
      </c>
      <c r="L296" s="22" t="str">
        <f t="shared" si="108"/>
        <v>22/07/2026</v>
      </c>
      <c r="M296" s="23">
        <f t="shared" si="109"/>
        <v>0.52083333333333337</v>
      </c>
      <c r="N296" t="str">
        <f t="shared" si="91"/>
        <v>1 - 1</v>
      </c>
      <c r="O296" t="str">
        <f t="shared" si="92"/>
        <v>Red</v>
      </c>
      <c r="P296" t="str">
        <f t="shared" si="93"/>
        <v>Green</v>
      </c>
      <c r="Q296" t="str">
        <f t="shared" si="94"/>
        <v>Red</v>
      </c>
      <c r="R296" t="str">
        <f t="shared" si="95"/>
        <v>Green</v>
      </c>
      <c r="S296" t="str">
        <f t="shared" si="96"/>
        <v>Green</v>
      </c>
      <c r="T296" t="str">
        <f t="shared" si="97"/>
        <v>Red</v>
      </c>
      <c r="U296" t="str">
        <f t="shared" si="98"/>
        <v>Red</v>
      </c>
      <c r="V296" t="str">
        <f t="shared" si="99"/>
        <v>Green</v>
      </c>
      <c r="W296" t="str">
        <f t="shared" si="100"/>
        <v>Red</v>
      </c>
      <c r="X296" t="str">
        <f t="shared" si="101"/>
        <v>Red</v>
      </c>
      <c r="Y296" t="str">
        <f t="shared" si="102"/>
        <v>Green</v>
      </c>
      <c r="Z296" t="str">
        <f t="shared" si="103"/>
        <v>Red</v>
      </c>
      <c r="AA296" t="str">
        <f t="shared" si="104"/>
        <v>Green</v>
      </c>
      <c r="AB296" t="str">
        <f t="shared" si="105"/>
        <v>Green</v>
      </c>
      <c r="AC296" t="str">
        <f t="shared" si="106"/>
        <v>Green</v>
      </c>
      <c r="AD296" t="str">
        <f t="shared" si="107"/>
        <v>Red</v>
      </c>
    </row>
    <row r="297" spans="1:30" x14ac:dyDescent="0.2">
      <c r="A297" t="str">
        <f t="shared" si="90"/>
        <v>22/07/2026ND BeltinciAl Sharjah</v>
      </c>
      <c r="D297" s="2">
        <v>46225</v>
      </c>
      <c r="E297" s="3">
        <v>0.64583333333333337</v>
      </c>
      <c r="F297" t="s">
        <v>1658</v>
      </c>
      <c r="G297" t="s">
        <v>1659</v>
      </c>
      <c r="H297">
        <v>0</v>
      </c>
      <c r="I297">
        <v>3</v>
      </c>
      <c r="J297">
        <v>0</v>
      </c>
      <c r="K297">
        <v>4</v>
      </c>
      <c r="L297" s="22" t="str">
        <f t="shared" si="108"/>
        <v>22/07/2026</v>
      </c>
      <c r="M297" s="23">
        <f t="shared" si="109"/>
        <v>0.52083333333333337</v>
      </c>
      <c r="N297" t="str">
        <f t="shared" si="91"/>
        <v>0 - 4</v>
      </c>
      <c r="O297" t="str">
        <f t="shared" si="92"/>
        <v>Red</v>
      </c>
      <c r="P297" t="str">
        <f t="shared" si="93"/>
        <v>Red</v>
      </c>
      <c r="Q297" t="str">
        <f t="shared" si="94"/>
        <v>Green</v>
      </c>
      <c r="R297" t="str">
        <f t="shared" si="95"/>
        <v>Red</v>
      </c>
      <c r="S297" t="str">
        <f t="shared" si="96"/>
        <v>Green</v>
      </c>
      <c r="T297" t="str">
        <f t="shared" si="97"/>
        <v>Green</v>
      </c>
      <c r="U297" t="str">
        <f t="shared" si="98"/>
        <v>Red</v>
      </c>
      <c r="V297" t="str">
        <f t="shared" si="99"/>
        <v>Red</v>
      </c>
      <c r="W297" t="str">
        <f t="shared" si="100"/>
        <v>Green</v>
      </c>
      <c r="X297" t="str">
        <f t="shared" si="101"/>
        <v>Green</v>
      </c>
      <c r="Y297" t="str">
        <f t="shared" si="102"/>
        <v>Green</v>
      </c>
      <c r="Z297" t="str">
        <f t="shared" si="103"/>
        <v>Green</v>
      </c>
      <c r="AA297" t="str">
        <f t="shared" si="104"/>
        <v>Red</v>
      </c>
      <c r="AB297" t="str">
        <f t="shared" si="105"/>
        <v>Red</v>
      </c>
      <c r="AC297" t="str">
        <f t="shared" si="106"/>
        <v>Red</v>
      </c>
      <c r="AD297" t="str">
        <f t="shared" si="107"/>
        <v>Green</v>
      </c>
    </row>
    <row r="298" spans="1:30" x14ac:dyDescent="0.2">
      <c r="A298" t="str">
        <f t="shared" si="90"/>
        <v>22/07/2026SK Vysoke MytoPardubice II</v>
      </c>
      <c r="D298" s="2">
        <v>46225</v>
      </c>
      <c r="E298" s="3">
        <v>0.64583333333333337</v>
      </c>
      <c r="F298" t="s">
        <v>1660</v>
      </c>
      <c r="G298" t="s">
        <v>1661</v>
      </c>
      <c r="H298">
        <v>1</v>
      </c>
      <c r="I298">
        <v>0</v>
      </c>
      <c r="J298">
        <v>2</v>
      </c>
      <c r="K298">
        <v>3</v>
      </c>
      <c r="L298" s="22" t="str">
        <f t="shared" si="108"/>
        <v>22/07/2026</v>
      </c>
      <c r="M298" s="23">
        <f t="shared" si="109"/>
        <v>0.52083333333333337</v>
      </c>
      <c r="N298" t="str">
        <f t="shared" si="91"/>
        <v>2 - 3</v>
      </c>
      <c r="O298" t="str">
        <f t="shared" si="92"/>
        <v>Red</v>
      </c>
      <c r="P298" t="str">
        <f t="shared" si="93"/>
        <v>Red</v>
      </c>
      <c r="Q298" t="str">
        <f t="shared" si="94"/>
        <v>Green</v>
      </c>
      <c r="R298" t="str">
        <f t="shared" si="95"/>
        <v>Red</v>
      </c>
      <c r="S298" t="str">
        <f t="shared" si="96"/>
        <v>Green</v>
      </c>
      <c r="T298" t="str">
        <f t="shared" si="97"/>
        <v>Green</v>
      </c>
      <c r="U298" t="str">
        <f t="shared" si="98"/>
        <v>Green</v>
      </c>
      <c r="V298" t="str">
        <f t="shared" si="99"/>
        <v>Red</v>
      </c>
      <c r="W298" t="str">
        <f t="shared" si="100"/>
        <v>Red</v>
      </c>
      <c r="X298" t="str">
        <f t="shared" si="101"/>
        <v>Green</v>
      </c>
      <c r="Y298" t="str">
        <f t="shared" si="102"/>
        <v>Green</v>
      </c>
      <c r="Z298" t="str">
        <f t="shared" si="103"/>
        <v>Green</v>
      </c>
      <c r="AA298" t="str">
        <f t="shared" si="104"/>
        <v>Red</v>
      </c>
      <c r="AB298" t="str">
        <f t="shared" si="105"/>
        <v>Red</v>
      </c>
      <c r="AC298" t="str">
        <f t="shared" si="106"/>
        <v>Green</v>
      </c>
      <c r="AD298" t="str">
        <f t="shared" si="107"/>
        <v>Red</v>
      </c>
    </row>
    <row r="299" spans="1:30" x14ac:dyDescent="0.2">
      <c r="A299" t="str">
        <f t="shared" si="90"/>
        <v>22/07/2026TorinoASD Alcione</v>
      </c>
      <c r="D299" s="2">
        <v>46225</v>
      </c>
      <c r="E299" s="3">
        <v>0.64583333333333337</v>
      </c>
      <c r="F299" t="s">
        <v>1662</v>
      </c>
      <c r="G299" t="s">
        <v>1663</v>
      </c>
      <c r="H299">
        <v>0</v>
      </c>
      <c r="I299">
        <v>0</v>
      </c>
      <c r="J299">
        <v>1</v>
      </c>
      <c r="K299">
        <v>0</v>
      </c>
      <c r="L299" s="22" t="str">
        <f t="shared" si="108"/>
        <v>22/07/2026</v>
      </c>
      <c r="M299" s="23">
        <f t="shared" si="109"/>
        <v>0.52083333333333337</v>
      </c>
      <c r="N299" t="str">
        <f t="shared" si="91"/>
        <v>1 - 0</v>
      </c>
      <c r="O299" t="str">
        <f t="shared" si="92"/>
        <v>Green</v>
      </c>
      <c r="P299" t="str">
        <f t="shared" si="93"/>
        <v>Red</v>
      </c>
      <c r="Q299" t="str">
        <f t="shared" si="94"/>
        <v>Red</v>
      </c>
      <c r="R299" t="str">
        <f t="shared" si="95"/>
        <v>Green</v>
      </c>
      <c r="S299" t="str">
        <f t="shared" si="96"/>
        <v>Red</v>
      </c>
      <c r="T299" t="str">
        <f t="shared" si="97"/>
        <v>Green</v>
      </c>
      <c r="U299" t="str">
        <f t="shared" si="98"/>
        <v>Red</v>
      </c>
      <c r="V299" t="str">
        <f t="shared" si="99"/>
        <v>Green</v>
      </c>
      <c r="W299" t="str">
        <f t="shared" si="100"/>
        <v>Red</v>
      </c>
      <c r="X299" t="str">
        <f t="shared" si="101"/>
        <v>Red</v>
      </c>
      <c r="Y299" t="str">
        <f t="shared" si="102"/>
        <v>Red</v>
      </c>
      <c r="Z299" t="str">
        <f t="shared" si="103"/>
        <v>Red</v>
      </c>
      <c r="AA299" t="str">
        <f t="shared" si="104"/>
        <v>Green</v>
      </c>
      <c r="AB299" t="str">
        <f t="shared" si="105"/>
        <v>Green</v>
      </c>
      <c r="AC299" t="str">
        <f t="shared" si="106"/>
        <v>Red</v>
      </c>
      <c r="AD299" t="str">
        <f t="shared" si="107"/>
        <v>Green</v>
      </c>
    </row>
    <row r="300" spans="1:30" x14ac:dyDescent="0.2">
      <c r="A300" t="str">
        <f t="shared" si="90"/>
        <v>22/07/2026VeronaVirtus Vecomp Verona</v>
      </c>
      <c r="D300" s="2">
        <v>46225</v>
      </c>
      <c r="E300" s="3">
        <v>0.64583333333333337</v>
      </c>
      <c r="F300" t="s">
        <v>1664</v>
      </c>
      <c r="G300" t="s">
        <v>1665</v>
      </c>
      <c r="H300">
        <v>2</v>
      </c>
      <c r="I300">
        <v>0</v>
      </c>
      <c r="J300">
        <v>2</v>
      </c>
      <c r="K300">
        <v>1</v>
      </c>
      <c r="L300" s="22" t="str">
        <f t="shared" si="108"/>
        <v>22/07/2026</v>
      </c>
      <c r="M300" s="23">
        <f t="shared" si="109"/>
        <v>0.52083333333333337</v>
      </c>
      <c r="N300" t="str">
        <f t="shared" si="91"/>
        <v>2 - 1</v>
      </c>
      <c r="O300" t="str">
        <f t="shared" si="92"/>
        <v>Green</v>
      </c>
      <c r="P300" t="str">
        <f t="shared" si="93"/>
        <v>Red</v>
      </c>
      <c r="Q300" t="str">
        <f t="shared" si="94"/>
        <v>Red</v>
      </c>
      <c r="R300" t="str">
        <f t="shared" si="95"/>
        <v>Green</v>
      </c>
      <c r="S300" t="str">
        <f t="shared" si="96"/>
        <v>Red</v>
      </c>
      <c r="T300" t="str">
        <f t="shared" si="97"/>
        <v>Green</v>
      </c>
      <c r="U300" t="str">
        <f t="shared" si="98"/>
        <v>Green</v>
      </c>
      <c r="V300" t="str">
        <f t="shared" si="99"/>
        <v>Red</v>
      </c>
      <c r="W300" t="str">
        <f t="shared" si="100"/>
        <v>Red</v>
      </c>
      <c r="X300" t="str">
        <f t="shared" si="101"/>
        <v>Green</v>
      </c>
      <c r="Y300" t="str">
        <f t="shared" si="102"/>
        <v>Green</v>
      </c>
      <c r="Z300" t="str">
        <f t="shared" si="103"/>
        <v>Green</v>
      </c>
      <c r="AA300" t="str">
        <f t="shared" si="104"/>
        <v>Red</v>
      </c>
      <c r="AB300" t="str">
        <f t="shared" si="105"/>
        <v>Green</v>
      </c>
      <c r="AC300" t="str">
        <f t="shared" si="106"/>
        <v>Green</v>
      </c>
      <c r="AD300" t="str">
        <f t="shared" si="107"/>
        <v>Red</v>
      </c>
    </row>
    <row r="301" spans="1:30" x14ac:dyDescent="0.2">
      <c r="A301" t="str">
        <f t="shared" si="90"/>
        <v>22/07/2026Werder BremenFagiano Okayama</v>
      </c>
      <c r="D301" s="2">
        <v>46225</v>
      </c>
      <c r="E301" s="3">
        <v>0.64583333333333337</v>
      </c>
      <c r="F301" t="s">
        <v>1666</v>
      </c>
      <c r="G301" t="s">
        <v>1443</v>
      </c>
      <c r="H301">
        <v>1</v>
      </c>
      <c r="I301">
        <v>0</v>
      </c>
      <c r="J301">
        <v>2</v>
      </c>
      <c r="K301">
        <v>0</v>
      </c>
      <c r="L301" s="22" t="str">
        <f t="shared" si="108"/>
        <v>22/07/2026</v>
      </c>
      <c r="M301" s="23">
        <f t="shared" si="109"/>
        <v>0.52083333333333337</v>
      </c>
      <c r="N301" t="str">
        <f t="shared" si="91"/>
        <v>2 - 0</v>
      </c>
      <c r="O301" t="str">
        <f t="shared" si="92"/>
        <v>Green</v>
      </c>
      <c r="P301" t="str">
        <f t="shared" si="93"/>
        <v>Red</v>
      </c>
      <c r="Q301" t="str">
        <f t="shared" si="94"/>
        <v>Red</v>
      </c>
      <c r="R301" t="str">
        <f t="shared" si="95"/>
        <v>Green</v>
      </c>
      <c r="S301" t="str">
        <f t="shared" si="96"/>
        <v>Red</v>
      </c>
      <c r="T301" t="str">
        <f t="shared" si="97"/>
        <v>Green</v>
      </c>
      <c r="U301" t="str">
        <f t="shared" si="98"/>
        <v>Green</v>
      </c>
      <c r="V301" t="str">
        <f t="shared" si="99"/>
        <v>Red</v>
      </c>
      <c r="W301" t="str">
        <f t="shared" si="100"/>
        <v>Red</v>
      </c>
      <c r="X301" t="str">
        <f t="shared" si="101"/>
        <v>Green</v>
      </c>
      <c r="Y301" t="str">
        <f t="shared" si="102"/>
        <v>Green</v>
      </c>
      <c r="Z301" t="str">
        <f t="shared" si="103"/>
        <v>Red</v>
      </c>
      <c r="AA301" t="str">
        <f t="shared" si="104"/>
        <v>Green</v>
      </c>
      <c r="AB301" t="str">
        <f t="shared" si="105"/>
        <v>Green</v>
      </c>
      <c r="AC301" t="str">
        <f t="shared" si="106"/>
        <v>Red</v>
      </c>
      <c r="AD301" t="str">
        <f t="shared" si="107"/>
        <v>Green</v>
      </c>
    </row>
    <row r="302" spans="1:30" x14ac:dyDescent="0.2">
      <c r="A302" t="str">
        <f t="shared" si="90"/>
        <v>22/07/2026CS 2 de Mayo WomenSportivo Luqueno Women</v>
      </c>
      <c r="D302" s="2">
        <v>46225</v>
      </c>
      <c r="E302" s="3">
        <v>0.65625</v>
      </c>
      <c r="F302" t="s">
        <v>1667</v>
      </c>
      <c r="G302" t="s">
        <v>1668</v>
      </c>
      <c r="H302">
        <v>0</v>
      </c>
      <c r="I302">
        <v>0</v>
      </c>
      <c r="J302">
        <v>2</v>
      </c>
      <c r="K302">
        <v>2</v>
      </c>
      <c r="L302" s="22" t="str">
        <f t="shared" si="108"/>
        <v>22/07/2026</v>
      </c>
      <c r="M302" s="23">
        <f t="shared" si="109"/>
        <v>0.53125</v>
      </c>
      <c r="N302" t="str">
        <f t="shared" si="91"/>
        <v>2 - 2</v>
      </c>
      <c r="O302" t="str">
        <f t="shared" si="92"/>
        <v>Red</v>
      </c>
      <c r="P302" t="str">
        <f t="shared" si="93"/>
        <v>Green</v>
      </c>
      <c r="Q302" t="str">
        <f t="shared" si="94"/>
        <v>Red</v>
      </c>
      <c r="R302" t="str">
        <f t="shared" si="95"/>
        <v>Green</v>
      </c>
      <c r="S302" t="str">
        <f t="shared" si="96"/>
        <v>Green</v>
      </c>
      <c r="T302" t="str">
        <f t="shared" si="97"/>
        <v>Red</v>
      </c>
      <c r="U302" t="str">
        <f t="shared" si="98"/>
        <v>Red</v>
      </c>
      <c r="V302" t="str">
        <f t="shared" si="99"/>
        <v>Green</v>
      </c>
      <c r="W302" t="str">
        <f t="shared" si="100"/>
        <v>Red</v>
      </c>
      <c r="X302" t="str">
        <f t="shared" si="101"/>
        <v>Red</v>
      </c>
      <c r="Y302" t="str">
        <f t="shared" si="102"/>
        <v>Green</v>
      </c>
      <c r="Z302" t="str">
        <f t="shared" si="103"/>
        <v>Green</v>
      </c>
      <c r="AA302" t="str">
        <f t="shared" si="104"/>
        <v>Red</v>
      </c>
      <c r="AB302" t="str">
        <f t="shared" si="105"/>
        <v>Red</v>
      </c>
      <c r="AC302" t="str">
        <f t="shared" si="106"/>
        <v>Green</v>
      </c>
      <c r="AD302" t="str">
        <f t="shared" si="107"/>
        <v>Red</v>
      </c>
    </row>
    <row r="303" spans="1:30" x14ac:dyDescent="0.2">
      <c r="A303" t="str">
        <f t="shared" si="90"/>
        <v>22/07/2026FK Neftchi BakuDinamo Minsk</v>
      </c>
      <c r="B303" t="s">
        <v>802</v>
      </c>
      <c r="C303" t="s">
        <v>1326</v>
      </c>
      <c r="D303" s="2">
        <v>46225</v>
      </c>
      <c r="E303" s="3">
        <v>0.66666666666666663</v>
      </c>
      <c r="F303" t="s">
        <v>1669</v>
      </c>
      <c r="G303" t="s">
        <v>1670</v>
      </c>
      <c r="H303">
        <v>2</v>
      </c>
      <c r="I303">
        <v>1</v>
      </c>
      <c r="J303">
        <v>2</v>
      </c>
      <c r="K303">
        <v>4</v>
      </c>
      <c r="L303" s="22" t="str">
        <f t="shared" si="108"/>
        <v>22/07/2026</v>
      </c>
      <c r="M303" s="23">
        <f t="shared" si="109"/>
        <v>0.54166666666666663</v>
      </c>
      <c r="N303" t="str">
        <f t="shared" si="91"/>
        <v>2 - 4</v>
      </c>
      <c r="O303" t="str">
        <f t="shared" si="92"/>
        <v>Red</v>
      </c>
      <c r="P303" t="str">
        <f t="shared" si="93"/>
        <v>Red</v>
      </c>
      <c r="Q303" t="str">
        <f t="shared" si="94"/>
        <v>Green</v>
      </c>
      <c r="R303" t="str">
        <f t="shared" si="95"/>
        <v>Red</v>
      </c>
      <c r="S303" t="str">
        <f t="shared" si="96"/>
        <v>Green</v>
      </c>
      <c r="T303" t="str">
        <f t="shared" si="97"/>
        <v>Green</v>
      </c>
      <c r="U303" t="str">
        <f t="shared" si="98"/>
        <v>Green</v>
      </c>
      <c r="V303" t="str">
        <f t="shared" si="99"/>
        <v>Red</v>
      </c>
      <c r="W303" t="str">
        <f t="shared" si="100"/>
        <v>Red</v>
      </c>
      <c r="X303" t="str">
        <f t="shared" si="101"/>
        <v>Green</v>
      </c>
      <c r="Y303" t="str">
        <f t="shared" si="102"/>
        <v>Green</v>
      </c>
      <c r="Z303" t="str">
        <f t="shared" si="103"/>
        <v>Green</v>
      </c>
      <c r="AA303" t="str">
        <f t="shared" si="104"/>
        <v>Red</v>
      </c>
      <c r="AB303" t="str">
        <f t="shared" si="105"/>
        <v>Red</v>
      </c>
      <c r="AC303" t="str">
        <f t="shared" si="106"/>
        <v>Green</v>
      </c>
      <c r="AD303" t="str">
        <f t="shared" si="107"/>
        <v>Red</v>
      </c>
    </row>
    <row r="304" spans="1:30" x14ac:dyDescent="0.2">
      <c r="A304" t="str">
        <f t="shared" si="90"/>
        <v>22/07/2026JK Trans NarvaFlora Tallinn II</v>
      </c>
      <c r="D304" s="2">
        <v>46225</v>
      </c>
      <c r="E304" s="3">
        <v>0.66666666666666663</v>
      </c>
      <c r="F304" t="s">
        <v>1671</v>
      </c>
      <c r="G304" t="s">
        <v>1672</v>
      </c>
      <c r="H304">
        <v>0</v>
      </c>
      <c r="I304">
        <v>0</v>
      </c>
      <c r="J304">
        <v>0</v>
      </c>
      <c r="K304">
        <v>0</v>
      </c>
      <c r="L304" s="22" t="str">
        <f t="shared" si="108"/>
        <v>22/07/2026</v>
      </c>
      <c r="M304" s="23">
        <f t="shared" si="109"/>
        <v>0.54166666666666663</v>
      </c>
      <c r="N304" t="str">
        <f t="shared" si="91"/>
        <v>0 - 0</v>
      </c>
      <c r="O304" t="str">
        <f t="shared" si="92"/>
        <v>Red</v>
      </c>
      <c r="P304" t="str">
        <f t="shared" si="93"/>
        <v>Green</v>
      </c>
      <c r="Q304" t="str">
        <f t="shared" si="94"/>
        <v>Red</v>
      </c>
      <c r="R304" t="str">
        <f t="shared" si="95"/>
        <v>Green</v>
      </c>
      <c r="S304" t="str">
        <f t="shared" si="96"/>
        <v>Green</v>
      </c>
      <c r="T304" t="str">
        <f t="shared" si="97"/>
        <v>Red</v>
      </c>
      <c r="U304" t="str">
        <f t="shared" si="98"/>
        <v>Red</v>
      </c>
      <c r="V304" t="str">
        <f t="shared" si="99"/>
        <v>Green</v>
      </c>
      <c r="W304" t="str">
        <f t="shared" si="100"/>
        <v>Red</v>
      </c>
      <c r="X304" t="str">
        <f t="shared" si="101"/>
        <v>Red</v>
      </c>
      <c r="Y304" t="str">
        <f t="shared" si="102"/>
        <v>Red</v>
      </c>
      <c r="Z304" t="str">
        <f t="shared" si="103"/>
        <v>Red</v>
      </c>
      <c r="AA304" t="str">
        <f t="shared" si="104"/>
        <v>Green</v>
      </c>
      <c r="AB304" t="str">
        <f t="shared" si="105"/>
        <v>Green</v>
      </c>
      <c r="AC304" t="str">
        <f t="shared" si="106"/>
        <v>Red</v>
      </c>
      <c r="AD304" t="str">
        <f t="shared" si="107"/>
        <v>Green</v>
      </c>
    </row>
    <row r="305" spans="1:30" x14ac:dyDescent="0.2">
      <c r="A305" t="str">
        <f t="shared" si="90"/>
        <v>22/07/2026Johvi FC PhoenixFC Hell Hunt</v>
      </c>
      <c r="D305" s="2">
        <v>46225</v>
      </c>
      <c r="E305" s="3">
        <v>0.66666666666666663</v>
      </c>
      <c r="F305" t="s">
        <v>1673</v>
      </c>
      <c r="G305" t="s">
        <v>1674</v>
      </c>
      <c r="H305">
        <v>5</v>
      </c>
      <c r="I305">
        <v>1</v>
      </c>
      <c r="J305">
        <v>8</v>
      </c>
      <c r="K305">
        <v>1</v>
      </c>
      <c r="L305" s="22" t="str">
        <f t="shared" si="108"/>
        <v>22/07/2026</v>
      </c>
      <c r="M305" s="23">
        <f t="shared" si="109"/>
        <v>0.54166666666666663</v>
      </c>
      <c r="N305" t="str">
        <f t="shared" si="91"/>
        <v>8 - 1</v>
      </c>
      <c r="O305" t="str">
        <f t="shared" si="92"/>
        <v>Green</v>
      </c>
      <c r="P305" t="str">
        <f t="shared" si="93"/>
        <v>Red</v>
      </c>
      <c r="Q305" t="str">
        <f t="shared" si="94"/>
        <v>Red</v>
      </c>
      <c r="R305" t="str">
        <f t="shared" si="95"/>
        <v>Green</v>
      </c>
      <c r="S305" t="str">
        <f t="shared" si="96"/>
        <v>Red</v>
      </c>
      <c r="T305" t="str">
        <f t="shared" si="97"/>
        <v>Green</v>
      </c>
      <c r="U305" t="str">
        <f t="shared" si="98"/>
        <v>Green</v>
      </c>
      <c r="V305" t="str">
        <f t="shared" si="99"/>
        <v>Red</v>
      </c>
      <c r="W305" t="str">
        <f t="shared" si="100"/>
        <v>Red</v>
      </c>
      <c r="X305" t="str">
        <f t="shared" si="101"/>
        <v>Green</v>
      </c>
      <c r="Y305" t="str">
        <f t="shared" si="102"/>
        <v>Green</v>
      </c>
      <c r="Z305" t="str">
        <f t="shared" si="103"/>
        <v>Green</v>
      </c>
      <c r="AA305" t="str">
        <f t="shared" si="104"/>
        <v>Red</v>
      </c>
      <c r="AB305" t="str">
        <f t="shared" si="105"/>
        <v>Red</v>
      </c>
      <c r="AC305" t="str">
        <f t="shared" si="106"/>
        <v>Green</v>
      </c>
      <c r="AD305" t="str">
        <f t="shared" si="107"/>
        <v>Red</v>
      </c>
    </row>
    <row r="306" spans="1:30" x14ac:dyDescent="0.2">
      <c r="A306" t="str">
        <f t="shared" si="90"/>
        <v>22/07/2026Laanemaa JK HaapsaluElva</v>
      </c>
      <c r="D306" s="2">
        <v>46225</v>
      </c>
      <c r="E306" s="3">
        <v>0.66666666666666663</v>
      </c>
      <c r="F306" t="s">
        <v>1675</v>
      </c>
      <c r="G306" t="s">
        <v>1676</v>
      </c>
      <c r="H306">
        <v>0</v>
      </c>
      <c r="I306">
        <v>2</v>
      </c>
      <c r="J306">
        <v>0</v>
      </c>
      <c r="K306">
        <v>6</v>
      </c>
      <c r="L306" s="22" t="str">
        <f t="shared" si="108"/>
        <v>22/07/2026</v>
      </c>
      <c r="M306" s="23">
        <f t="shared" si="109"/>
        <v>0.54166666666666663</v>
      </c>
      <c r="N306" t="str">
        <f t="shared" si="91"/>
        <v>0 - 6</v>
      </c>
      <c r="O306" t="str">
        <f t="shared" si="92"/>
        <v>Red</v>
      </c>
      <c r="P306" t="str">
        <f t="shared" si="93"/>
        <v>Red</v>
      </c>
      <c r="Q306" t="str">
        <f t="shared" si="94"/>
        <v>Green</v>
      </c>
      <c r="R306" t="str">
        <f t="shared" si="95"/>
        <v>Red</v>
      </c>
      <c r="S306" t="str">
        <f t="shared" si="96"/>
        <v>Green</v>
      </c>
      <c r="T306" t="str">
        <f t="shared" si="97"/>
        <v>Green</v>
      </c>
      <c r="U306" t="str">
        <f t="shared" si="98"/>
        <v>Red</v>
      </c>
      <c r="V306" t="str">
        <f t="shared" si="99"/>
        <v>Red</v>
      </c>
      <c r="W306" t="str">
        <f t="shared" si="100"/>
        <v>Green</v>
      </c>
      <c r="X306" t="str">
        <f t="shared" si="101"/>
        <v>Green</v>
      </c>
      <c r="Y306" t="str">
        <f t="shared" si="102"/>
        <v>Green</v>
      </c>
      <c r="Z306" t="str">
        <f t="shared" si="103"/>
        <v>Green</v>
      </c>
      <c r="AA306" t="str">
        <f t="shared" si="104"/>
        <v>Red</v>
      </c>
      <c r="AB306" t="str">
        <f t="shared" si="105"/>
        <v>Red</v>
      </c>
      <c r="AC306" t="str">
        <f t="shared" si="106"/>
        <v>Red</v>
      </c>
      <c r="AD306" t="str">
        <f t="shared" si="107"/>
        <v>Green</v>
      </c>
    </row>
    <row r="307" spans="1:30" x14ac:dyDescent="0.2">
      <c r="A307" t="str">
        <f t="shared" si="90"/>
        <v>22/07/2026Czarni Sosnowiec WomenNike Women</v>
      </c>
      <c r="B307" t="s">
        <v>802</v>
      </c>
      <c r="D307" s="2">
        <v>46225</v>
      </c>
      <c r="E307" s="3">
        <v>0.66666666666666663</v>
      </c>
      <c r="F307" t="s">
        <v>1677</v>
      </c>
      <c r="G307" t="s">
        <v>1678</v>
      </c>
      <c r="H307">
        <v>3</v>
      </c>
      <c r="I307">
        <v>1</v>
      </c>
      <c r="J307">
        <v>7</v>
      </c>
      <c r="K307">
        <v>1</v>
      </c>
      <c r="L307" s="22" t="str">
        <f t="shared" si="108"/>
        <v>22/07/2026</v>
      </c>
      <c r="M307" s="23">
        <f t="shared" si="109"/>
        <v>0.54166666666666663</v>
      </c>
      <c r="N307" t="str">
        <f t="shared" si="91"/>
        <v>7 - 1</v>
      </c>
      <c r="O307" t="str">
        <f t="shared" si="92"/>
        <v>Green</v>
      </c>
      <c r="P307" t="str">
        <f t="shared" si="93"/>
        <v>Red</v>
      </c>
      <c r="Q307" t="str">
        <f t="shared" si="94"/>
        <v>Red</v>
      </c>
      <c r="R307" t="str">
        <f t="shared" si="95"/>
        <v>Green</v>
      </c>
      <c r="S307" t="str">
        <f t="shared" si="96"/>
        <v>Red</v>
      </c>
      <c r="T307" t="str">
        <f t="shared" si="97"/>
        <v>Green</v>
      </c>
      <c r="U307" t="str">
        <f t="shared" si="98"/>
        <v>Green</v>
      </c>
      <c r="V307" t="str">
        <f t="shared" si="99"/>
        <v>Red</v>
      </c>
      <c r="W307" t="str">
        <f t="shared" si="100"/>
        <v>Red</v>
      </c>
      <c r="X307" t="str">
        <f t="shared" si="101"/>
        <v>Green</v>
      </c>
      <c r="Y307" t="str">
        <f t="shared" si="102"/>
        <v>Green</v>
      </c>
      <c r="Z307" t="str">
        <f t="shared" si="103"/>
        <v>Green</v>
      </c>
      <c r="AA307" t="str">
        <f t="shared" si="104"/>
        <v>Red</v>
      </c>
      <c r="AB307" t="str">
        <f t="shared" si="105"/>
        <v>Red</v>
      </c>
      <c r="AC307" t="str">
        <f t="shared" si="106"/>
        <v>Green</v>
      </c>
      <c r="AD307" t="str">
        <f t="shared" si="107"/>
        <v>Red</v>
      </c>
    </row>
    <row r="308" spans="1:30" x14ac:dyDescent="0.2">
      <c r="A308" t="str">
        <f t="shared" si="90"/>
        <v>22/07/2026Flora Tallinn WomenMgarr United Women</v>
      </c>
      <c r="B308" t="s">
        <v>802</v>
      </c>
      <c r="D308" s="2">
        <v>46225</v>
      </c>
      <c r="E308" s="3">
        <v>0.66666666666666663</v>
      </c>
      <c r="F308" t="s">
        <v>1679</v>
      </c>
      <c r="G308" t="s">
        <v>1680</v>
      </c>
      <c r="H308">
        <v>0</v>
      </c>
      <c r="I308">
        <v>0</v>
      </c>
      <c r="J308">
        <v>0</v>
      </c>
      <c r="K308">
        <v>4</v>
      </c>
      <c r="L308" s="22" t="str">
        <f t="shared" ref="L308:L339" si="110">DAY(D308)&amp;"/"&amp;"07"&amp;"/"&amp;YEAR(D308)</f>
        <v>22/07/2026</v>
      </c>
      <c r="M308" s="23">
        <f t="shared" ref="M308:M339" si="111">E308-TIME(3,0,0)</f>
        <v>0.54166666666666663</v>
      </c>
      <c r="N308" t="str">
        <f t="shared" si="91"/>
        <v>0 - 4</v>
      </c>
      <c r="O308" t="str">
        <f t="shared" si="92"/>
        <v>Red</v>
      </c>
      <c r="P308" t="str">
        <f t="shared" si="93"/>
        <v>Red</v>
      </c>
      <c r="Q308" t="str">
        <f t="shared" si="94"/>
        <v>Green</v>
      </c>
      <c r="R308" t="str">
        <f t="shared" si="95"/>
        <v>Red</v>
      </c>
      <c r="S308" t="str">
        <f t="shared" si="96"/>
        <v>Green</v>
      </c>
      <c r="T308" t="str">
        <f t="shared" si="97"/>
        <v>Green</v>
      </c>
      <c r="U308" t="str">
        <f t="shared" si="98"/>
        <v>Red</v>
      </c>
      <c r="V308" t="str">
        <f t="shared" si="99"/>
        <v>Green</v>
      </c>
      <c r="W308" t="str">
        <f t="shared" si="100"/>
        <v>Red</v>
      </c>
      <c r="X308" t="str">
        <f t="shared" si="101"/>
        <v>Red</v>
      </c>
      <c r="Y308" t="str">
        <f t="shared" si="102"/>
        <v>Green</v>
      </c>
      <c r="Z308" t="str">
        <f t="shared" si="103"/>
        <v>Green</v>
      </c>
      <c r="AA308" t="str">
        <f t="shared" si="104"/>
        <v>Red</v>
      </c>
      <c r="AB308" t="str">
        <f t="shared" si="105"/>
        <v>Red</v>
      </c>
      <c r="AC308" t="str">
        <f t="shared" si="106"/>
        <v>Red</v>
      </c>
      <c r="AD308" t="str">
        <f t="shared" si="107"/>
        <v>Green</v>
      </c>
    </row>
    <row r="309" spans="1:30" x14ac:dyDescent="0.2">
      <c r="A309" t="str">
        <f t="shared" si="90"/>
        <v>22/07/2026Pallokerho Keski-UusimaaVJS Vantaa</v>
      </c>
      <c r="D309" s="2">
        <v>46225</v>
      </c>
      <c r="E309" s="3">
        <v>0.66666666666666663</v>
      </c>
      <c r="F309" t="s">
        <v>1681</v>
      </c>
      <c r="G309" t="s">
        <v>1682</v>
      </c>
      <c r="H309">
        <v>1</v>
      </c>
      <c r="I309">
        <v>0</v>
      </c>
      <c r="J309">
        <v>1</v>
      </c>
      <c r="K309">
        <v>3</v>
      </c>
      <c r="L309" s="22" t="str">
        <f t="shared" si="110"/>
        <v>22/07/2026</v>
      </c>
      <c r="M309" s="23">
        <f t="shared" si="111"/>
        <v>0.54166666666666663</v>
      </c>
      <c r="N309" t="str">
        <f t="shared" si="91"/>
        <v>1 - 3</v>
      </c>
      <c r="O309" t="str">
        <f t="shared" si="92"/>
        <v>Red</v>
      </c>
      <c r="P309" t="str">
        <f t="shared" si="93"/>
        <v>Red</v>
      </c>
      <c r="Q309" t="str">
        <f t="shared" si="94"/>
        <v>Green</v>
      </c>
      <c r="R309" t="str">
        <f t="shared" si="95"/>
        <v>Red</v>
      </c>
      <c r="S309" t="str">
        <f t="shared" si="96"/>
        <v>Green</v>
      </c>
      <c r="T309" t="str">
        <f t="shared" si="97"/>
        <v>Green</v>
      </c>
      <c r="U309" t="str">
        <f t="shared" si="98"/>
        <v>Green</v>
      </c>
      <c r="V309" t="str">
        <f t="shared" si="99"/>
        <v>Red</v>
      </c>
      <c r="W309" t="str">
        <f t="shared" si="100"/>
        <v>Red</v>
      </c>
      <c r="X309" t="str">
        <f t="shared" si="101"/>
        <v>Green</v>
      </c>
      <c r="Y309" t="str">
        <f t="shared" si="102"/>
        <v>Green</v>
      </c>
      <c r="Z309" t="str">
        <f t="shared" si="103"/>
        <v>Green</v>
      </c>
      <c r="AA309" t="str">
        <f t="shared" si="104"/>
        <v>Red</v>
      </c>
      <c r="AB309" t="str">
        <f t="shared" si="105"/>
        <v>Red</v>
      </c>
      <c r="AC309" t="str">
        <f t="shared" si="106"/>
        <v>Green</v>
      </c>
      <c r="AD309" t="str">
        <f t="shared" si="107"/>
        <v>Red</v>
      </c>
    </row>
    <row r="310" spans="1:30" x14ac:dyDescent="0.2">
      <c r="A310" t="str">
        <f t="shared" si="90"/>
        <v>22/07/2026LePaGilla FC</v>
      </c>
      <c r="D310" s="2">
        <v>46225</v>
      </c>
      <c r="E310" s="3">
        <v>0.66666666666666663</v>
      </c>
      <c r="F310" t="s">
        <v>1683</v>
      </c>
      <c r="G310" t="s">
        <v>1684</v>
      </c>
      <c r="H310">
        <v>0</v>
      </c>
      <c r="I310">
        <v>0</v>
      </c>
      <c r="J310">
        <v>2</v>
      </c>
      <c r="K310">
        <v>0</v>
      </c>
      <c r="L310" s="22" t="str">
        <f t="shared" si="110"/>
        <v>22/07/2026</v>
      </c>
      <c r="M310" s="23">
        <f t="shared" si="111"/>
        <v>0.54166666666666663</v>
      </c>
      <c r="N310" t="str">
        <f t="shared" si="91"/>
        <v>2 - 0</v>
      </c>
      <c r="O310" t="str">
        <f t="shared" si="92"/>
        <v>Green</v>
      </c>
      <c r="P310" t="str">
        <f t="shared" si="93"/>
        <v>Red</v>
      </c>
      <c r="Q310" t="str">
        <f t="shared" si="94"/>
        <v>Red</v>
      </c>
      <c r="R310" t="str">
        <f t="shared" si="95"/>
        <v>Green</v>
      </c>
      <c r="S310" t="str">
        <f t="shared" si="96"/>
        <v>Red</v>
      </c>
      <c r="T310" t="str">
        <f t="shared" si="97"/>
        <v>Green</v>
      </c>
      <c r="U310" t="str">
        <f t="shared" si="98"/>
        <v>Red</v>
      </c>
      <c r="V310" t="str">
        <f t="shared" si="99"/>
        <v>Green</v>
      </c>
      <c r="W310" t="str">
        <f t="shared" si="100"/>
        <v>Red</v>
      </c>
      <c r="X310" t="str">
        <f t="shared" si="101"/>
        <v>Red</v>
      </c>
      <c r="Y310" t="str">
        <f t="shared" si="102"/>
        <v>Green</v>
      </c>
      <c r="Z310" t="str">
        <f t="shared" si="103"/>
        <v>Red</v>
      </c>
      <c r="AA310" t="str">
        <f t="shared" si="104"/>
        <v>Green</v>
      </c>
      <c r="AB310" t="str">
        <f t="shared" si="105"/>
        <v>Green</v>
      </c>
      <c r="AC310" t="str">
        <f t="shared" si="106"/>
        <v>Red</v>
      </c>
      <c r="AD310" t="str">
        <f t="shared" si="107"/>
        <v>Green</v>
      </c>
    </row>
    <row r="311" spans="1:30" x14ac:dyDescent="0.2">
      <c r="A311" t="str">
        <f t="shared" si="90"/>
        <v>22/07/2026FCJ BlackbirdKomeetat</v>
      </c>
      <c r="D311" s="2">
        <v>46225</v>
      </c>
      <c r="E311" s="3">
        <v>0.66666666666666663</v>
      </c>
      <c r="F311" t="s">
        <v>1685</v>
      </c>
      <c r="G311" t="s">
        <v>1686</v>
      </c>
      <c r="H311">
        <v>0</v>
      </c>
      <c r="I311">
        <v>0</v>
      </c>
      <c r="J311">
        <v>2</v>
      </c>
      <c r="K311">
        <v>0</v>
      </c>
      <c r="L311" s="22" t="str">
        <f t="shared" si="110"/>
        <v>22/07/2026</v>
      </c>
      <c r="M311" s="23">
        <f t="shared" si="111"/>
        <v>0.54166666666666663</v>
      </c>
      <c r="N311" t="str">
        <f t="shared" si="91"/>
        <v>2 - 0</v>
      </c>
      <c r="O311" t="str">
        <f t="shared" si="92"/>
        <v>Green</v>
      </c>
      <c r="P311" t="str">
        <f t="shared" si="93"/>
        <v>Red</v>
      </c>
      <c r="Q311" t="str">
        <f t="shared" si="94"/>
        <v>Red</v>
      </c>
      <c r="R311" t="str">
        <f t="shared" si="95"/>
        <v>Green</v>
      </c>
      <c r="S311" t="str">
        <f t="shared" si="96"/>
        <v>Red</v>
      </c>
      <c r="T311" t="str">
        <f t="shared" si="97"/>
        <v>Green</v>
      </c>
      <c r="U311" t="str">
        <f t="shared" si="98"/>
        <v>Red</v>
      </c>
      <c r="V311" t="str">
        <f t="shared" si="99"/>
        <v>Green</v>
      </c>
      <c r="W311" t="str">
        <f t="shared" si="100"/>
        <v>Red</v>
      </c>
      <c r="X311" t="str">
        <f t="shared" si="101"/>
        <v>Red</v>
      </c>
      <c r="Y311" t="str">
        <f t="shared" si="102"/>
        <v>Green</v>
      </c>
      <c r="Z311" t="str">
        <f t="shared" si="103"/>
        <v>Red</v>
      </c>
      <c r="AA311" t="str">
        <f t="shared" si="104"/>
        <v>Green</v>
      </c>
      <c r="AB311" t="str">
        <f t="shared" si="105"/>
        <v>Green</v>
      </c>
      <c r="AC311" t="str">
        <f t="shared" si="106"/>
        <v>Red</v>
      </c>
      <c r="AD311" t="str">
        <f t="shared" si="107"/>
        <v>Green</v>
      </c>
    </row>
    <row r="312" spans="1:30" x14ac:dyDescent="0.2">
      <c r="A312" t="str">
        <f t="shared" si="90"/>
        <v>22/07/2026LarsmoSJK-j Apollo</v>
      </c>
      <c r="D312" s="2">
        <v>46225</v>
      </c>
      <c r="E312" s="3">
        <v>0.66666666666666663</v>
      </c>
      <c r="F312" t="s">
        <v>1687</v>
      </c>
      <c r="G312" t="s">
        <v>1688</v>
      </c>
      <c r="H312">
        <v>0</v>
      </c>
      <c r="I312">
        <v>0</v>
      </c>
      <c r="J312">
        <v>4</v>
      </c>
      <c r="K312">
        <v>2</v>
      </c>
      <c r="L312" s="22" t="str">
        <f t="shared" si="110"/>
        <v>22/07/2026</v>
      </c>
      <c r="M312" s="23">
        <f t="shared" si="111"/>
        <v>0.54166666666666663</v>
      </c>
      <c r="N312" t="str">
        <f t="shared" si="91"/>
        <v>4 - 2</v>
      </c>
      <c r="O312" t="str">
        <f t="shared" si="92"/>
        <v>Green</v>
      </c>
      <c r="P312" t="str">
        <f t="shared" si="93"/>
        <v>Red</v>
      </c>
      <c r="Q312" t="str">
        <f t="shared" si="94"/>
        <v>Red</v>
      </c>
      <c r="R312" t="str">
        <f t="shared" si="95"/>
        <v>Green</v>
      </c>
      <c r="S312" t="str">
        <f t="shared" si="96"/>
        <v>Red</v>
      </c>
      <c r="T312" t="str">
        <f t="shared" si="97"/>
        <v>Green</v>
      </c>
      <c r="U312" t="str">
        <f t="shared" si="98"/>
        <v>Red</v>
      </c>
      <c r="V312" t="str">
        <f t="shared" si="99"/>
        <v>Green</v>
      </c>
      <c r="W312" t="str">
        <f t="shared" si="100"/>
        <v>Red</v>
      </c>
      <c r="X312" t="str">
        <f t="shared" si="101"/>
        <v>Red</v>
      </c>
      <c r="Y312" t="str">
        <f t="shared" si="102"/>
        <v>Green</v>
      </c>
      <c r="Z312" t="str">
        <f t="shared" si="103"/>
        <v>Green</v>
      </c>
      <c r="AA312" t="str">
        <f t="shared" si="104"/>
        <v>Red</v>
      </c>
      <c r="AB312" t="str">
        <f t="shared" si="105"/>
        <v>Red</v>
      </c>
      <c r="AC312" t="str">
        <f t="shared" si="106"/>
        <v>Green</v>
      </c>
      <c r="AD312" t="str">
        <f t="shared" si="107"/>
        <v>Red</v>
      </c>
    </row>
    <row r="313" spans="1:30" x14ac:dyDescent="0.2">
      <c r="A313" t="str">
        <f t="shared" si="90"/>
        <v>22/07/20263 de MayoClub 1 de Marzo</v>
      </c>
      <c r="D313" s="2">
        <v>46225</v>
      </c>
      <c r="E313" s="3">
        <v>0.66666666666666663</v>
      </c>
      <c r="F313" t="s">
        <v>1689</v>
      </c>
      <c r="G313" t="s">
        <v>1690</v>
      </c>
      <c r="H313">
        <v>0</v>
      </c>
      <c r="I313">
        <v>1</v>
      </c>
      <c r="J313">
        <v>0</v>
      </c>
      <c r="K313">
        <v>3</v>
      </c>
      <c r="L313" s="22" t="str">
        <f t="shared" si="110"/>
        <v>22/07/2026</v>
      </c>
      <c r="M313" s="23">
        <f t="shared" si="111"/>
        <v>0.54166666666666663</v>
      </c>
      <c r="N313" t="str">
        <f t="shared" si="91"/>
        <v>0 - 3</v>
      </c>
      <c r="O313" t="str">
        <f t="shared" si="92"/>
        <v>Red</v>
      </c>
      <c r="P313" t="str">
        <f t="shared" si="93"/>
        <v>Red</v>
      </c>
      <c r="Q313" t="str">
        <f t="shared" si="94"/>
        <v>Green</v>
      </c>
      <c r="R313" t="str">
        <f t="shared" si="95"/>
        <v>Red</v>
      </c>
      <c r="S313" t="str">
        <f t="shared" si="96"/>
        <v>Green</v>
      </c>
      <c r="T313" t="str">
        <f t="shared" si="97"/>
        <v>Green</v>
      </c>
      <c r="U313" t="str">
        <f t="shared" si="98"/>
        <v>Red</v>
      </c>
      <c r="V313" t="str">
        <f t="shared" si="99"/>
        <v>Red</v>
      </c>
      <c r="W313" t="str">
        <f t="shared" si="100"/>
        <v>Green</v>
      </c>
      <c r="X313" t="str">
        <f t="shared" si="101"/>
        <v>Green</v>
      </c>
      <c r="Y313" t="str">
        <f t="shared" si="102"/>
        <v>Green</v>
      </c>
      <c r="Z313" t="str">
        <f t="shared" si="103"/>
        <v>Green</v>
      </c>
      <c r="AA313" t="str">
        <f t="shared" si="104"/>
        <v>Red</v>
      </c>
      <c r="AB313" t="str">
        <f t="shared" si="105"/>
        <v>Green</v>
      </c>
      <c r="AC313" t="str">
        <f t="shared" si="106"/>
        <v>Red</v>
      </c>
      <c r="AD313" t="str">
        <f t="shared" si="107"/>
        <v>Green</v>
      </c>
    </row>
    <row r="314" spans="1:30" x14ac:dyDescent="0.2">
      <c r="A314" t="str">
        <f t="shared" si="90"/>
        <v>22/07/2026BrestAl Wakrah</v>
      </c>
      <c r="D314" s="2">
        <v>46225</v>
      </c>
      <c r="E314" s="3">
        <v>0.66666666666666663</v>
      </c>
      <c r="F314" t="s">
        <v>1691</v>
      </c>
      <c r="G314" t="s">
        <v>1692</v>
      </c>
      <c r="H314">
        <v>0</v>
      </c>
      <c r="I314">
        <v>1</v>
      </c>
      <c r="J314">
        <v>0</v>
      </c>
      <c r="K314">
        <v>2</v>
      </c>
      <c r="L314" s="22" t="str">
        <f t="shared" si="110"/>
        <v>22/07/2026</v>
      </c>
      <c r="M314" s="23">
        <f t="shared" si="111"/>
        <v>0.54166666666666663</v>
      </c>
      <c r="N314" t="str">
        <f t="shared" si="91"/>
        <v>0 - 2</v>
      </c>
      <c r="O314" t="str">
        <f t="shared" si="92"/>
        <v>Red</v>
      </c>
      <c r="P314" t="str">
        <f t="shared" si="93"/>
        <v>Red</v>
      </c>
      <c r="Q314" t="str">
        <f t="shared" si="94"/>
        <v>Green</v>
      </c>
      <c r="R314" t="str">
        <f t="shared" si="95"/>
        <v>Red</v>
      </c>
      <c r="S314" t="str">
        <f t="shared" si="96"/>
        <v>Green</v>
      </c>
      <c r="T314" t="str">
        <f t="shared" si="97"/>
        <v>Green</v>
      </c>
      <c r="U314" t="str">
        <f t="shared" si="98"/>
        <v>Red</v>
      </c>
      <c r="V314" t="str">
        <f t="shared" si="99"/>
        <v>Red</v>
      </c>
      <c r="W314" t="str">
        <f t="shared" si="100"/>
        <v>Green</v>
      </c>
      <c r="X314" t="str">
        <f t="shared" si="101"/>
        <v>Green</v>
      </c>
      <c r="Y314" t="str">
        <f t="shared" si="102"/>
        <v>Green</v>
      </c>
      <c r="Z314" t="str">
        <f t="shared" si="103"/>
        <v>Red</v>
      </c>
      <c r="AA314" t="str">
        <f t="shared" si="104"/>
        <v>Green</v>
      </c>
      <c r="AB314" t="str">
        <f t="shared" si="105"/>
        <v>Green</v>
      </c>
      <c r="AC314" t="str">
        <f t="shared" si="106"/>
        <v>Red</v>
      </c>
      <c r="AD314" t="str">
        <f t="shared" si="107"/>
        <v>Green</v>
      </c>
    </row>
    <row r="315" spans="1:30" x14ac:dyDescent="0.2">
      <c r="A315" t="str">
        <f t="shared" si="90"/>
        <v>22/07/2026ClermontQuevilly</v>
      </c>
      <c r="D315" s="2">
        <v>46225</v>
      </c>
      <c r="E315" s="3">
        <v>0.66666666666666663</v>
      </c>
      <c r="F315" t="s">
        <v>1693</v>
      </c>
      <c r="G315" t="s">
        <v>1694</v>
      </c>
      <c r="H315">
        <v>0</v>
      </c>
      <c r="I315">
        <v>0</v>
      </c>
      <c r="J315">
        <v>1</v>
      </c>
      <c r="K315">
        <v>1</v>
      </c>
      <c r="L315" s="22" t="str">
        <f t="shared" si="110"/>
        <v>22/07/2026</v>
      </c>
      <c r="M315" s="23">
        <f t="shared" si="111"/>
        <v>0.54166666666666663</v>
      </c>
      <c r="N315" t="str">
        <f t="shared" si="91"/>
        <v>1 - 1</v>
      </c>
      <c r="O315" t="str">
        <f t="shared" si="92"/>
        <v>Red</v>
      </c>
      <c r="P315" t="str">
        <f t="shared" si="93"/>
        <v>Green</v>
      </c>
      <c r="Q315" t="str">
        <f t="shared" si="94"/>
        <v>Red</v>
      </c>
      <c r="R315" t="str">
        <f t="shared" si="95"/>
        <v>Green</v>
      </c>
      <c r="S315" t="str">
        <f t="shared" si="96"/>
        <v>Green</v>
      </c>
      <c r="T315" t="str">
        <f t="shared" si="97"/>
        <v>Red</v>
      </c>
      <c r="U315" t="str">
        <f t="shared" si="98"/>
        <v>Red</v>
      </c>
      <c r="V315" t="str">
        <f t="shared" si="99"/>
        <v>Green</v>
      </c>
      <c r="W315" t="str">
        <f t="shared" si="100"/>
        <v>Red</v>
      </c>
      <c r="X315" t="str">
        <f t="shared" si="101"/>
        <v>Red</v>
      </c>
      <c r="Y315" t="str">
        <f t="shared" si="102"/>
        <v>Green</v>
      </c>
      <c r="Z315" t="str">
        <f t="shared" si="103"/>
        <v>Red</v>
      </c>
      <c r="AA315" t="str">
        <f t="shared" si="104"/>
        <v>Green</v>
      </c>
      <c r="AB315" t="str">
        <f t="shared" si="105"/>
        <v>Green</v>
      </c>
      <c r="AC315" t="str">
        <f t="shared" si="106"/>
        <v>Green</v>
      </c>
      <c r="AD315" t="str">
        <f t="shared" si="107"/>
        <v>Red</v>
      </c>
    </row>
    <row r="316" spans="1:30" x14ac:dyDescent="0.2">
      <c r="A316" t="str">
        <f t="shared" si="90"/>
        <v>22/07/2026FC Sloboda UziceFK Omladinac Zablace</v>
      </c>
      <c r="D316" s="2">
        <v>46225</v>
      </c>
      <c r="E316" s="3">
        <v>0.66666666666666663</v>
      </c>
      <c r="F316" t="s">
        <v>1695</v>
      </c>
      <c r="G316" t="s">
        <v>1696</v>
      </c>
      <c r="H316">
        <v>1</v>
      </c>
      <c r="I316">
        <v>1</v>
      </c>
      <c r="J316">
        <v>2</v>
      </c>
      <c r="K316">
        <v>1</v>
      </c>
      <c r="L316" s="22" t="str">
        <f t="shared" si="110"/>
        <v>22/07/2026</v>
      </c>
      <c r="M316" s="23">
        <f t="shared" si="111"/>
        <v>0.54166666666666663</v>
      </c>
      <c r="N316" t="str">
        <f t="shared" si="91"/>
        <v>2 - 1</v>
      </c>
      <c r="O316" t="str">
        <f t="shared" si="92"/>
        <v>Green</v>
      </c>
      <c r="P316" t="str">
        <f t="shared" si="93"/>
        <v>Red</v>
      </c>
      <c r="Q316" t="str">
        <f t="shared" si="94"/>
        <v>Red</v>
      </c>
      <c r="R316" t="str">
        <f t="shared" si="95"/>
        <v>Green</v>
      </c>
      <c r="S316" t="str">
        <f t="shared" si="96"/>
        <v>Red</v>
      </c>
      <c r="T316" t="str">
        <f t="shared" si="97"/>
        <v>Green</v>
      </c>
      <c r="U316" t="str">
        <f t="shared" si="98"/>
        <v>Red</v>
      </c>
      <c r="V316" t="str">
        <f t="shared" si="99"/>
        <v>Green</v>
      </c>
      <c r="W316" t="str">
        <f t="shared" si="100"/>
        <v>Red</v>
      </c>
      <c r="X316" t="str">
        <f t="shared" si="101"/>
        <v>Green</v>
      </c>
      <c r="Y316" t="str">
        <f t="shared" si="102"/>
        <v>Green</v>
      </c>
      <c r="Z316" t="str">
        <f t="shared" si="103"/>
        <v>Green</v>
      </c>
      <c r="AA316" t="str">
        <f t="shared" si="104"/>
        <v>Red</v>
      </c>
      <c r="AB316" t="str">
        <f t="shared" si="105"/>
        <v>Green</v>
      </c>
      <c r="AC316" t="str">
        <f t="shared" si="106"/>
        <v>Green</v>
      </c>
      <c r="AD316" t="str">
        <f t="shared" si="107"/>
        <v>Red</v>
      </c>
    </row>
    <row r="317" spans="1:30" x14ac:dyDescent="0.2">
      <c r="A317" t="str">
        <f t="shared" si="90"/>
        <v>22/07/2026FelgueirasSanta Clara</v>
      </c>
      <c r="D317" s="2">
        <v>46225</v>
      </c>
      <c r="E317" s="3">
        <v>0.66666666666666663</v>
      </c>
      <c r="F317" t="s">
        <v>1697</v>
      </c>
      <c r="G317" t="s">
        <v>1698</v>
      </c>
      <c r="H317">
        <v>0</v>
      </c>
      <c r="I317">
        <v>0</v>
      </c>
      <c r="J317">
        <v>1</v>
      </c>
      <c r="K317">
        <v>1</v>
      </c>
      <c r="L317" s="22" t="str">
        <f t="shared" si="110"/>
        <v>22/07/2026</v>
      </c>
      <c r="M317" s="23">
        <f t="shared" si="111"/>
        <v>0.54166666666666663</v>
      </c>
      <c r="N317" t="str">
        <f t="shared" si="91"/>
        <v>1 - 1</v>
      </c>
      <c r="O317" t="str">
        <f t="shared" si="92"/>
        <v>Red</v>
      </c>
      <c r="P317" t="str">
        <f t="shared" si="93"/>
        <v>Green</v>
      </c>
      <c r="Q317" t="str">
        <f t="shared" si="94"/>
        <v>Red</v>
      </c>
      <c r="R317" t="str">
        <f t="shared" si="95"/>
        <v>Green</v>
      </c>
      <c r="S317" t="str">
        <f t="shared" si="96"/>
        <v>Green</v>
      </c>
      <c r="T317" t="str">
        <f t="shared" si="97"/>
        <v>Red</v>
      </c>
      <c r="U317" t="str">
        <f t="shared" si="98"/>
        <v>Red</v>
      </c>
      <c r="V317" t="str">
        <f t="shared" si="99"/>
        <v>Green</v>
      </c>
      <c r="W317" t="str">
        <f t="shared" si="100"/>
        <v>Red</v>
      </c>
      <c r="X317" t="str">
        <f t="shared" si="101"/>
        <v>Red</v>
      </c>
      <c r="Y317" t="str">
        <f t="shared" si="102"/>
        <v>Green</v>
      </c>
      <c r="Z317" t="str">
        <f t="shared" si="103"/>
        <v>Red</v>
      </c>
      <c r="AA317" t="str">
        <f t="shared" si="104"/>
        <v>Green</v>
      </c>
      <c r="AB317" t="str">
        <f t="shared" si="105"/>
        <v>Green</v>
      </c>
      <c r="AC317" t="str">
        <f t="shared" si="106"/>
        <v>Green</v>
      </c>
      <c r="AD317" t="str">
        <f t="shared" si="107"/>
        <v>Red</v>
      </c>
    </row>
    <row r="318" spans="1:30" x14ac:dyDescent="0.2">
      <c r="A318" t="str">
        <f t="shared" si="90"/>
        <v>22/07/2026FK KolinFK TJ Stechovice</v>
      </c>
      <c r="D318" s="2">
        <v>46225</v>
      </c>
      <c r="E318" s="3">
        <v>0.66666666666666663</v>
      </c>
      <c r="F318" t="s">
        <v>1699</v>
      </c>
      <c r="G318" t="s">
        <v>1700</v>
      </c>
      <c r="H318">
        <v>1</v>
      </c>
      <c r="I318">
        <v>0</v>
      </c>
      <c r="J318">
        <v>1</v>
      </c>
      <c r="K318">
        <v>1</v>
      </c>
      <c r="L318" s="22" t="str">
        <f t="shared" si="110"/>
        <v>22/07/2026</v>
      </c>
      <c r="M318" s="23">
        <f t="shared" si="111"/>
        <v>0.54166666666666663</v>
      </c>
      <c r="N318" t="str">
        <f t="shared" si="91"/>
        <v>1 - 1</v>
      </c>
      <c r="O318" t="str">
        <f t="shared" si="92"/>
        <v>Red</v>
      </c>
      <c r="P318" t="str">
        <f t="shared" si="93"/>
        <v>Green</v>
      </c>
      <c r="Q318" t="str">
        <f t="shared" si="94"/>
        <v>Red</v>
      </c>
      <c r="R318" t="str">
        <f t="shared" si="95"/>
        <v>Green</v>
      </c>
      <c r="S318" t="str">
        <f t="shared" si="96"/>
        <v>Green</v>
      </c>
      <c r="T318" t="str">
        <f t="shared" si="97"/>
        <v>Red</v>
      </c>
      <c r="U318" t="str">
        <f t="shared" si="98"/>
        <v>Green</v>
      </c>
      <c r="V318" t="str">
        <f t="shared" si="99"/>
        <v>Red</v>
      </c>
      <c r="W318" t="str">
        <f t="shared" si="100"/>
        <v>Red</v>
      </c>
      <c r="X318" t="str">
        <f t="shared" si="101"/>
        <v>Green</v>
      </c>
      <c r="Y318" t="str">
        <f t="shared" si="102"/>
        <v>Green</v>
      </c>
      <c r="Z318" t="str">
        <f t="shared" si="103"/>
        <v>Red</v>
      </c>
      <c r="AA318" t="str">
        <f t="shared" si="104"/>
        <v>Green</v>
      </c>
      <c r="AB318" t="str">
        <f t="shared" si="105"/>
        <v>Green</v>
      </c>
      <c r="AC318" t="str">
        <f t="shared" si="106"/>
        <v>Green</v>
      </c>
      <c r="AD318" t="str">
        <f t="shared" si="107"/>
        <v>Red</v>
      </c>
    </row>
    <row r="319" spans="1:30" x14ac:dyDescent="0.2">
      <c r="A319" t="str">
        <f t="shared" si="90"/>
        <v>22/07/2026HNK SegestaNK Jesenice</v>
      </c>
      <c r="D319" s="2">
        <v>46225</v>
      </c>
      <c r="E319" s="3">
        <v>0.66666666666666663</v>
      </c>
      <c r="F319" t="s">
        <v>1701</v>
      </c>
      <c r="G319" t="s">
        <v>1702</v>
      </c>
      <c r="H319">
        <v>6</v>
      </c>
      <c r="I319">
        <v>0</v>
      </c>
      <c r="J319">
        <v>8</v>
      </c>
      <c r="K319">
        <v>0</v>
      </c>
      <c r="L319" s="22" t="str">
        <f t="shared" si="110"/>
        <v>22/07/2026</v>
      </c>
      <c r="M319" s="23">
        <f t="shared" si="111"/>
        <v>0.54166666666666663</v>
      </c>
      <c r="N319" t="str">
        <f t="shared" si="91"/>
        <v>8 - 0</v>
      </c>
      <c r="O319" t="str">
        <f t="shared" si="92"/>
        <v>Green</v>
      </c>
      <c r="P319" t="str">
        <f t="shared" si="93"/>
        <v>Red</v>
      </c>
      <c r="Q319" t="str">
        <f t="shared" si="94"/>
        <v>Red</v>
      </c>
      <c r="R319" t="str">
        <f t="shared" si="95"/>
        <v>Green</v>
      </c>
      <c r="S319" t="str">
        <f t="shared" si="96"/>
        <v>Red</v>
      </c>
      <c r="T319" t="str">
        <f t="shared" si="97"/>
        <v>Green</v>
      </c>
      <c r="U319" t="str">
        <f t="shared" si="98"/>
        <v>Green</v>
      </c>
      <c r="V319" t="str">
        <f t="shared" si="99"/>
        <v>Red</v>
      </c>
      <c r="W319" t="str">
        <f t="shared" si="100"/>
        <v>Red</v>
      </c>
      <c r="X319" t="str">
        <f t="shared" si="101"/>
        <v>Green</v>
      </c>
      <c r="Y319" t="str">
        <f t="shared" si="102"/>
        <v>Green</v>
      </c>
      <c r="Z319" t="str">
        <f t="shared" si="103"/>
        <v>Green</v>
      </c>
      <c r="AA319" t="str">
        <f t="shared" si="104"/>
        <v>Red</v>
      </c>
      <c r="AB319" t="str">
        <f t="shared" si="105"/>
        <v>Red</v>
      </c>
      <c r="AC319" t="str">
        <f t="shared" si="106"/>
        <v>Red</v>
      </c>
      <c r="AD319" t="str">
        <f t="shared" si="107"/>
        <v>Green</v>
      </c>
    </row>
    <row r="320" spans="1:30" x14ac:dyDescent="0.2">
      <c r="A320" t="str">
        <f t="shared" si="90"/>
        <v>22/07/2026LavalAvranches</v>
      </c>
      <c r="D320" s="2">
        <v>46225</v>
      </c>
      <c r="E320" s="3">
        <v>0.66666666666666663</v>
      </c>
      <c r="F320" t="s">
        <v>1703</v>
      </c>
      <c r="G320" t="s">
        <v>1704</v>
      </c>
      <c r="H320">
        <v>2</v>
      </c>
      <c r="I320">
        <v>0</v>
      </c>
      <c r="J320">
        <v>2</v>
      </c>
      <c r="K320">
        <v>1</v>
      </c>
      <c r="L320" s="22" t="str">
        <f t="shared" si="110"/>
        <v>22/07/2026</v>
      </c>
      <c r="M320" s="23">
        <f t="shared" si="111"/>
        <v>0.54166666666666663</v>
      </c>
      <c r="N320" t="str">
        <f t="shared" si="91"/>
        <v>2 - 1</v>
      </c>
      <c r="O320" t="str">
        <f t="shared" si="92"/>
        <v>Green</v>
      </c>
      <c r="P320" t="str">
        <f t="shared" si="93"/>
        <v>Red</v>
      </c>
      <c r="Q320" t="str">
        <f t="shared" si="94"/>
        <v>Red</v>
      </c>
      <c r="R320" t="str">
        <f t="shared" si="95"/>
        <v>Green</v>
      </c>
      <c r="S320" t="str">
        <f t="shared" si="96"/>
        <v>Red</v>
      </c>
      <c r="T320" t="str">
        <f t="shared" si="97"/>
        <v>Green</v>
      </c>
      <c r="U320" t="str">
        <f t="shared" si="98"/>
        <v>Green</v>
      </c>
      <c r="V320" t="str">
        <f t="shared" si="99"/>
        <v>Red</v>
      </c>
      <c r="W320" t="str">
        <f t="shared" si="100"/>
        <v>Red</v>
      </c>
      <c r="X320" t="str">
        <f t="shared" si="101"/>
        <v>Green</v>
      </c>
      <c r="Y320" t="str">
        <f t="shared" si="102"/>
        <v>Green</v>
      </c>
      <c r="Z320" t="str">
        <f t="shared" si="103"/>
        <v>Green</v>
      </c>
      <c r="AA320" t="str">
        <f t="shared" si="104"/>
        <v>Red</v>
      </c>
      <c r="AB320" t="str">
        <f t="shared" si="105"/>
        <v>Green</v>
      </c>
      <c r="AC320" t="str">
        <f t="shared" si="106"/>
        <v>Green</v>
      </c>
      <c r="AD320" t="str">
        <f t="shared" si="107"/>
        <v>Red</v>
      </c>
    </row>
    <row r="321" spans="1:30" x14ac:dyDescent="0.2">
      <c r="A321" t="str">
        <f t="shared" si="90"/>
        <v>22/07/2026Le MansVersailles 78</v>
      </c>
      <c r="D321" s="2">
        <v>46225</v>
      </c>
      <c r="E321" s="3">
        <v>0.66666666666666663</v>
      </c>
      <c r="F321" t="s">
        <v>1705</v>
      </c>
      <c r="G321" t="s">
        <v>1706</v>
      </c>
      <c r="H321">
        <v>3</v>
      </c>
      <c r="I321">
        <v>0</v>
      </c>
      <c r="J321">
        <v>3</v>
      </c>
      <c r="K321">
        <v>1</v>
      </c>
      <c r="L321" s="22" t="str">
        <f t="shared" si="110"/>
        <v>22/07/2026</v>
      </c>
      <c r="M321" s="23">
        <f t="shared" si="111"/>
        <v>0.54166666666666663</v>
      </c>
      <c r="N321" t="str">
        <f t="shared" si="91"/>
        <v>3 - 1</v>
      </c>
      <c r="O321" t="str">
        <f t="shared" si="92"/>
        <v>Green</v>
      </c>
      <c r="P321" t="str">
        <f t="shared" si="93"/>
        <v>Red</v>
      </c>
      <c r="Q321" t="str">
        <f t="shared" si="94"/>
        <v>Red</v>
      </c>
      <c r="R321" t="str">
        <f t="shared" si="95"/>
        <v>Green</v>
      </c>
      <c r="S321" t="str">
        <f t="shared" si="96"/>
        <v>Red</v>
      </c>
      <c r="T321" t="str">
        <f t="shared" si="97"/>
        <v>Green</v>
      </c>
      <c r="U321" t="str">
        <f t="shared" si="98"/>
        <v>Green</v>
      </c>
      <c r="V321" t="str">
        <f t="shared" si="99"/>
        <v>Red</v>
      </c>
      <c r="W321" t="str">
        <f t="shared" si="100"/>
        <v>Red</v>
      </c>
      <c r="X321" t="str">
        <f t="shared" si="101"/>
        <v>Green</v>
      </c>
      <c r="Y321" t="str">
        <f t="shared" si="102"/>
        <v>Green</v>
      </c>
      <c r="Z321" t="str">
        <f t="shared" si="103"/>
        <v>Green</v>
      </c>
      <c r="AA321" t="str">
        <f t="shared" si="104"/>
        <v>Red</v>
      </c>
      <c r="AB321" t="str">
        <f t="shared" si="105"/>
        <v>Red</v>
      </c>
      <c r="AC321" t="str">
        <f t="shared" si="106"/>
        <v>Green</v>
      </c>
      <c r="AD321" t="str">
        <f t="shared" si="107"/>
        <v>Red</v>
      </c>
    </row>
    <row r="322" spans="1:30" x14ac:dyDescent="0.2">
      <c r="A322" t="str">
        <f t="shared" ref="A322:A385" si="112">L322&amp;F322&amp;G322</f>
        <v>22/07/2026MontpellierCannes</v>
      </c>
      <c r="D322" s="2">
        <v>46225</v>
      </c>
      <c r="E322" s="3">
        <v>0.66666666666666663</v>
      </c>
      <c r="F322" t="s">
        <v>1707</v>
      </c>
      <c r="G322" t="s">
        <v>1708</v>
      </c>
      <c r="H322">
        <v>2</v>
      </c>
      <c r="I322">
        <v>2</v>
      </c>
      <c r="J322">
        <v>3</v>
      </c>
      <c r="K322">
        <v>4</v>
      </c>
      <c r="L322" s="22" t="str">
        <f t="shared" si="110"/>
        <v>22/07/2026</v>
      </c>
      <c r="M322" s="23">
        <f t="shared" si="111"/>
        <v>0.54166666666666663</v>
      </c>
      <c r="N322" t="str">
        <f t="shared" ref="N322:N385" si="113">J322&amp;" - "&amp;K322</f>
        <v>3 - 4</v>
      </c>
      <c r="O322" t="str">
        <f t="shared" ref="O322:O385" si="114">IF($J322&gt;$K322,"Green","Red")</f>
        <v>Red</v>
      </c>
      <c r="P322" t="str">
        <f t="shared" ref="P322:P385" si="115">IF($J322=$K322,"Green","Red")</f>
        <v>Red</v>
      </c>
      <c r="Q322" t="str">
        <f t="shared" ref="Q322:Q385" si="116">IF($J322&lt;$K322,"Green","Red")</f>
        <v>Green</v>
      </c>
      <c r="R322" t="str">
        <f t="shared" ref="R322:R385" si="117">IF($J322&gt;=$K322,"Green","Red")</f>
        <v>Red</v>
      </c>
      <c r="S322" t="str">
        <f t="shared" ref="S322:S385" si="118">IF($J322&lt;=$K322,"Green","Red")</f>
        <v>Green</v>
      </c>
      <c r="T322" t="str">
        <f t="shared" ref="T322:T385" si="119">IF(OR($J322&gt;$K322,$J322&lt;$K322),"Green","Red")</f>
        <v>Green</v>
      </c>
      <c r="U322" t="str">
        <f t="shared" ref="U322:U385" si="120">IF($H322&gt;$I322,"Green","Red")</f>
        <v>Red</v>
      </c>
      <c r="V322" t="str">
        <f t="shared" ref="V322:V385" si="121">IF($H322=$I322,"Green","Red")</f>
        <v>Green</v>
      </c>
      <c r="W322" t="str">
        <f t="shared" ref="W322:W385" si="122">IF($H322&lt;$I322,"Green","Red")</f>
        <v>Red</v>
      </c>
      <c r="X322" t="str">
        <f t="shared" ref="X322:X385" si="123">IF($H322+$I322&gt;0,"Green","Red")</f>
        <v>Green</v>
      </c>
      <c r="Y322" t="str">
        <f t="shared" ref="Y322:Y385" si="124">IF($J322+$K322&gt;1.5,"Green","Red")</f>
        <v>Green</v>
      </c>
      <c r="Z322" t="str">
        <f t="shared" ref="Z322:Z385" si="125">IF($J322+$K322&gt;2.5,"Green","Red")</f>
        <v>Green</v>
      </c>
      <c r="AA322" t="str">
        <f t="shared" ref="AA322:AA385" si="126">IF($J322+$K322&lt;2.5,"Green","Red")</f>
        <v>Red</v>
      </c>
      <c r="AB322" t="str">
        <f t="shared" ref="AB322:AB385" si="127">IF($J322+$K322&lt;3.5,"Green","Red")</f>
        <v>Red</v>
      </c>
      <c r="AC322" t="str">
        <f t="shared" ref="AC322:AC385" si="128">IF(AND($J322&gt;0,$K322&gt;0),"Green","Red")</f>
        <v>Green</v>
      </c>
      <c r="AD322" t="str">
        <f t="shared" ref="AD322:AD385" si="129">IF(OR($J322=0,$K322=0),"Green","Red")</f>
        <v>Red</v>
      </c>
    </row>
    <row r="323" spans="1:30" x14ac:dyDescent="0.2">
      <c r="A323" t="str">
        <f t="shared" si="112"/>
        <v>22/07/2026MSV DuisburgKFCO Wilrijk</v>
      </c>
      <c r="D323" s="2">
        <v>46225</v>
      </c>
      <c r="E323" s="3">
        <v>0.66666666666666663</v>
      </c>
      <c r="F323" t="s">
        <v>1709</v>
      </c>
      <c r="G323" t="s">
        <v>1710</v>
      </c>
      <c r="H323">
        <v>1</v>
      </c>
      <c r="I323">
        <v>4</v>
      </c>
      <c r="J323">
        <v>2</v>
      </c>
      <c r="K323">
        <v>4</v>
      </c>
      <c r="L323" s="22" t="str">
        <f t="shared" si="110"/>
        <v>22/07/2026</v>
      </c>
      <c r="M323" s="23">
        <f t="shared" si="111"/>
        <v>0.54166666666666663</v>
      </c>
      <c r="N323" t="str">
        <f t="shared" si="113"/>
        <v>2 - 4</v>
      </c>
      <c r="O323" t="str">
        <f t="shared" si="114"/>
        <v>Red</v>
      </c>
      <c r="P323" t="str">
        <f t="shared" si="115"/>
        <v>Red</v>
      </c>
      <c r="Q323" t="str">
        <f t="shared" si="116"/>
        <v>Green</v>
      </c>
      <c r="R323" t="str">
        <f t="shared" si="117"/>
        <v>Red</v>
      </c>
      <c r="S323" t="str">
        <f t="shared" si="118"/>
        <v>Green</v>
      </c>
      <c r="T323" t="str">
        <f t="shared" si="119"/>
        <v>Green</v>
      </c>
      <c r="U323" t="str">
        <f t="shared" si="120"/>
        <v>Red</v>
      </c>
      <c r="V323" t="str">
        <f t="shared" si="121"/>
        <v>Red</v>
      </c>
      <c r="W323" t="str">
        <f t="shared" si="122"/>
        <v>Green</v>
      </c>
      <c r="X323" t="str">
        <f t="shared" si="123"/>
        <v>Green</v>
      </c>
      <c r="Y323" t="str">
        <f t="shared" si="124"/>
        <v>Green</v>
      </c>
      <c r="Z323" t="str">
        <f t="shared" si="125"/>
        <v>Green</v>
      </c>
      <c r="AA323" t="str">
        <f t="shared" si="126"/>
        <v>Red</v>
      </c>
      <c r="AB323" t="str">
        <f t="shared" si="127"/>
        <v>Red</v>
      </c>
      <c r="AC323" t="str">
        <f t="shared" si="128"/>
        <v>Green</v>
      </c>
      <c r="AD323" t="str">
        <f t="shared" si="129"/>
        <v>Red</v>
      </c>
    </row>
    <row r="324" spans="1:30" x14ac:dyDescent="0.2">
      <c r="A324" t="str">
        <f t="shared" si="112"/>
        <v>22/07/2026NapoliUS Arezzo</v>
      </c>
      <c r="D324" s="2">
        <v>46225</v>
      </c>
      <c r="E324" s="3">
        <v>0.66666666666666663</v>
      </c>
      <c r="F324" t="s">
        <v>1711</v>
      </c>
      <c r="G324" t="s">
        <v>1712</v>
      </c>
      <c r="H324">
        <v>0</v>
      </c>
      <c r="I324">
        <v>1</v>
      </c>
      <c r="J324">
        <v>1</v>
      </c>
      <c r="K324">
        <v>3</v>
      </c>
      <c r="L324" s="22" t="str">
        <f t="shared" si="110"/>
        <v>22/07/2026</v>
      </c>
      <c r="M324" s="23">
        <f t="shared" si="111"/>
        <v>0.54166666666666663</v>
      </c>
      <c r="N324" t="str">
        <f t="shared" si="113"/>
        <v>1 - 3</v>
      </c>
      <c r="O324" t="str">
        <f t="shared" si="114"/>
        <v>Red</v>
      </c>
      <c r="P324" t="str">
        <f t="shared" si="115"/>
        <v>Red</v>
      </c>
      <c r="Q324" t="str">
        <f t="shared" si="116"/>
        <v>Green</v>
      </c>
      <c r="R324" t="str">
        <f t="shared" si="117"/>
        <v>Red</v>
      </c>
      <c r="S324" t="str">
        <f t="shared" si="118"/>
        <v>Green</v>
      </c>
      <c r="T324" t="str">
        <f t="shared" si="119"/>
        <v>Green</v>
      </c>
      <c r="U324" t="str">
        <f t="shared" si="120"/>
        <v>Red</v>
      </c>
      <c r="V324" t="str">
        <f t="shared" si="121"/>
        <v>Red</v>
      </c>
      <c r="W324" t="str">
        <f t="shared" si="122"/>
        <v>Green</v>
      </c>
      <c r="X324" t="str">
        <f t="shared" si="123"/>
        <v>Green</v>
      </c>
      <c r="Y324" t="str">
        <f t="shared" si="124"/>
        <v>Green</v>
      </c>
      <c r="Z324" t="str">
        <f t="shared" si="125"/>
        <v>Green</v>
      </c>
      <c r="AA324" t="str">
        <f t="shared" si="126"/>
        <v>Red</v>
      </c>
      <c r="AB324" t="str">
        <f t="shared" si="127"/>
        <v>Red</v>
      </c>
      <c r="AC324" t="str">
        <f t="shared" si="128"/>
        <v>Green</v>
      </c>
      <c r="AD324" t="str">
        <f t="shared" si="129"/>
        <v>Red</v>
      </c>
    </row>
    <row r="325" spans="1:30" x14ac:dyDescent="0.2">
      <c r="A325" t="str">
        <f t="shared" si="112"/>
        <v>22/07/2026NK Hrvatski DragovoljacNK Dubrava Zagreb</v>
      </c>
      <c r="D325" s="2">
        <v>46225</v>
      </c>
      <c r="E325" s="3">
        <v>0.66666666666666663</v>
      </c>
      <c r="F325" t="s">
        <v>1713</v>
      </c>
      <c r="G325" t="s">
        <v>1714</v>
      </c>
      <c r="H325">
        <v>0</v>
      </c>
      <c r="I325">
        <v>0</v>
      </c>
      <c r="J325">
        <v>0</v>
      </c>
      <c r="K325">
        <v>0</v>
      </c>
      <c r="L325" s="22" t="str">
        <f t="shared" si="110"/>
        <v>22/07/2026</v>
      </c>
      <c r="M325" s="23">
        <f t="shared" si="111"/>
        <v>0.54166666666666663</v>
      </c>
      <c r="N325" t="str">
        <f t="shared" si="113"/>
        <v>0 - 0</v>
      </c>
      <c r="O325" t="str">
        <f t="shared" si="114"/>
        <v>Red</v>
      </c>
      <c r="P325" t="str">
        <f t="shared" si="115"/>
        <v>Green</v>
      </c>
      <c r="Q325" t="str">
        <f t="shared" si="116"/>
        <v>Red</v>
      </c>
      <c r="R325" t="str">
        <f t="shared" si="117"/>
        <v>Green</v>
      </c>
      <c r="S325" t="str">
        <f t="shared" si="118"/>
        <v>Green</v>
      </c>
      <c r="T325" t="str">
        <f t="shared" si="119"/>
        <v>Red</v>
      </c>
      <c r="U325" t="str">
        <f t="shared" si="120"/>
        <v>Red</v>
      </c>
      <c r="V325" t="str">
        <f t="shared" si="121"/>
        <v>Green</v>
      </c>
      <c r="W325" t="str">
        <f t="shared" si="122"/>
        <v>Red</v>
      </c>
      <c r="X325" t="str">
        <f t="shared" si="123"/>
        <v>Red</v>
      </c>
      <c r="Y325" t="str">
        <f t="shared" si="124"/>
        <v>Red</v>
      </c>
      <c r="Z325" t="str">
        <f t="shared" si="125"/>
        <v>Red</v>
      </c>
      <c r="AA325" t="str">
        <f t="shared" si="126"/>
        <v>Green</v>
      </c>
      <c r="AB325" t="str">
        <f t="shared" si="127"/>
        <v>Green</v>
      </c>
      <c r="AC325" t="str">
        <f t="shared" si="128"/>
        <v>Red</v>
      </c>
      <c r="AD325" t="str">
        <f t="shared" si="129"/>
        <v>Green</v>
      </c>
    </row>
    <row r="326" spans="1:30" x14ac:dyDescent="0.2">
      <c r="A326" t="str">
        <f t="shared" si="112"/>
        <v>22/07/2026OFK Brzi BrodFK Dubocica</v>
      </c>
      <c r="D326" s="2">
        <v>46225</v>
      </c>
      <c r="E326" s="3">
        <v>0.66666666666666663</v>
      </c>
      <c r="F326" t="s">
        <v>1715</v>
      </c>
      <c r="G326" t="s">
        <v>1716</v>
      </c>
      <c r="H326">
        <v>0</v>
      </c>
      <c r="I326">
        <v>2</v>
      </c>
      <c r="J326">
        <v>1</v>
      </c>
      <c r="K326">
        <v>2</v>
      </c>
      <c r="L326" s="22" t="str">
        <f t="shared" si="110"/>
        <v>22/07/2026</v>
      </c>
      <c r="M326" s="23">
        <f t="shared" si="111"/>
        <v>0.54166666666666663</v>
      </c>
      <c r="N326" t="str">
        <f t="shared" si="113"/>
        <v>1 - 2</v>
      </c>
      <c r="O326" t="str">
        <f t="shared" si="114"/>
        <v>Red</v>
      </c>
      <c r="P326" t="str">
        <f t="shared" si="115"/>
        <v>Red</v>
      </c>
      <c r="Q326" t="str">
        <f t="shared" si="116"/>
        <v>Green</v>
      </c>
      <c r="R326" t="str">
        <f t="shared" si="117"/>
        <v>Red</v>
      </c>
      <c r="S326" t="str">
        <f t="shared" si="118"/>
        <v>Green</v>
      </c>
      <c r="T326" t="str">
        <f t="shared" si="119"/>
        <v>Green</v>
      </c>
      <c r="U326" t="str">
        <f t="shared" si="120"/>
        <v>Red</v>
      </c>
      <c r="V326" t="str">
        <f t="shared" si="121"/>
        <v>Red</v>
      </c>
      <c r="W326" t="str">
        <f t="shared" si="122"/>
        <v>Green</v>
      </c>
      <c r="X326" t="str">
        <f t="shared" si="123"/>
        <v>Green</v>
      </c>
      <c r="Y326" t="str">
        <f t="shared" si="124"/>
        <v>Green</v>
      </c>
      <c r="Z326" t="str">
        <f t="shared" si="125"/>
        <v>Green</v>
      </c>
      <c r="AA326" t="str">
        <f t="shared" si="126"/>
        <v>Red</v>
      </c>
      <c r="AB326" t="str">
        <f t="shared" si="127"/>
        <v>Green</v>
      </c>
      <c r="AC326" t="str">
        <f t="shared" si="128"/>
        <v>Green</v>
      </c>
      <c r="AD326" t="str">
        <f t="shared" si="129"/>
        <v>Red</v>
      </c>
    </row>
    <row r="327" spans="1:30" x14ac:dyDescent="0.2">
      <c r="A327" t="str">
        <f t="shared" si="112"/>
        <v>22/07/2026RAAL La LouviereKifisias FC</v>
      </c>
      <c r="D327" s="2">
        <v>46225</v>
      </c>
      <c r="E327" s="3">
        <v>0.66666666666666663</v>
      </c>
      <c r="F327" t="s">
        <v>1717</v>
      </c>
      <c r="G327" t="s">
        <v>1718</v>
      </c>
      <c r="H327">
        <v>0</v>
      </c>
      <c r="I327">
        <v>1</v>
      </c>
      <c r="J327">
        <v>1</v>
      </c>
      <c r="K327">
        <v>1</v>
      </c>
      <c r="L327" s="22" t="str">
        <f t="shared" si="110"/>
        <v>22/07/2026</v>
      </c>
      <c r="M327" s="23">
        <f t="shared" si="111"/>
        <v>0.54166666666666663</v>
      </c>
      <c r="N327" t="str">
        <f t="shared" si="113"/>
        <v>1 - 1</v>
      </c>
      <c r="O327" t="str">
        <f t="shared" si="114"/>
        <v>Red</v>
      </c>
      <c r="P327" t="str">
        <f t="shared" si="115"/>
        <v>Green</v>
      </c>
      <c r="Q327" t="str">
        <f t="shared" si="116"/>
        <v>Red</v>
      </c>
      <c r="R327" t="str">
        <f t="shared" si="117"/>
        <v>Green</v>
      </c>
      <c r="S327" t="str">
        <f t="shared" si="118"/>
        <v>Green</v>
      </c>
      <c r="T327" t="str">
        <f t="shared" si="119"/>
        <v>Red</v>
      </c>
      <c r="U327" t="str">
        <f t="shared" si="120"/>
        <v>Red</v>
      </c>
      <c r="V327" t="str">
        <f t="shared" si="121"/>
        <v>Red</v>
      </c>
      <c r="W327" t="str">
        <f t="shared" si="122"/>
        <v>Green</v>
      </c>
      <c r="X327" t="str">
        <f t="shared" si="123"/>
        <v>Green</v>
      </c>
      <c r="Y327" t="str">
        <f t="shared" si="124"/>
        <v>Green</v>
      </c>
      <c r="Z327" t="str">
        <f t="shared" si="125"/>
        <v>Red</v>
      </c>
      <c r="AA327" t="str">
        <f t="shared" si="126"/>
        <v>Green</v>
      </c>
      <c r="AB327" t="str">
        <f t="shared" si="127"/>
        <v>Green</v>
      </c>
      <c r="AC327" t="str">
        <f t="shared" si="128"/>
        <v>Green</v>
      </c>
      <c r="AD327" t="str">
        <f t="shared" si="129"/>
        <v>Red</v>
      </c>
    </row>
    <row r="328" spans="1:30" x14ac:dyDescent="0.2">
      <c r="A328" t="str">
        <f t="shared" si="112"/>
        <v>22/07/2026RFC LiegeSint Truiden</v>
      </c>
      <c r="D328" s="2">
        <v>46225</v>
      </c>
      <c r="E328" s="3">
        <v>0.66666666666666663</v>
      </c>
      <c r="F328" t="s">
        <v>1719</v>
      </c>
      <c r="G328" t="s">
        <v>1720</v>
      </c>
      <c r="H328">
        <v>0</v>
      </c>
      <c r="I328">
        <v>0</v>
      </c>
      <c r="J328">
        <v>0</v>
      </c>
      <c r="K328">
        <v>1</v>
      </c>
      <c r="L328" s="22" t="str">
        <f t="shared" si="110"/>
        <v>22/07/2026</v>
      </c>
      <c r="M328" s="23">
        <f t="shared" si="111"/>
        <v>0.54166666666666663</v>
      </c>
      <c r="N328" t="str">
        <f t="shared" si="113"/>
        <v>0 - 1</v>
      </c>
      <c r="O328" t="str">
        <f t="shared" si="114"/>
        <v>Red</v>
      </c>
      <c r="P328" t="str">
        <f t="shared" si="115"/>
        <v>Red</v>
      </c>
      <c r="Q328" t="str">
        <f t="shared" si="116"/>
        <v>Green</v>
      </c>
      <c r="R328" t="str">
        <f t="shared" si="117"/>
        <v>Red</v>
      </c>
      <c r="S328" t="str">
        <f t="shared" si="118"/>
        <v>Green</v>
      </c>
      <c r="T328" t="str">
        <f t="shared" si="119"/>
        <v>Green</v>
      </c>
      <c r="U328" t="str">
        <f t="shared" si="120"/>
        <v>Red</v>
      </c>
      <c r="V328" t="str">
        <f t="shared" si="121"/>
        <v>Green</v>
      </c>
      <c r="W328" t="str">
        <f t="shared" si="122"/>
        <v>Red</v>
      </c>
      <c r="X328" t="str">
        <f t="shared" si="123"/>
        <v>Red</v>
      </c>
      <c r="Y328" t="str">
        <f t="shared" si="124"/>
        <v>Red</v>
      </c>
      <c r="Z328" t="str">
        <f t="shared" si="125"/>
        <v>Red</v>
      </c>
      <c r="AA328" t="str">
        <f t="shared" si="126"/>
        <v>Green</v>
      </c>
      <c r="AB328" t="str">
        <f t="shared" si="127"/>
        <v>Green</v>
      </c>
      <c r="AC328" t="str">
        <f t="shared" si="128"/>
        <v>Red</v>
      </c>
      <c r="AD328" t="str">
        <f t="shared" si="129"/>
        <v>Green</v>
      </c>
    </row>
    <row r="329" spans="1:30" x14ac:dyDescent="0.2">
      <c r="A329" t="str">
        <f t="shared" si="112"/>
        <v>22/07/2026Rodez AveyronNimes</v>
      </c>
      <c r="D329" s="2">
        <v>46225</v>
      </c>
      <c r="E329" s="3">
        <v>0.66666666666666663</v>
      </c>
      <c r="F329" t="s">
        <v>1721</v>
      </c>
      <c r="G329" t="s">
        <v>1722</v>
      </c>
      <c r="H329">
        <v>2</v>
      </c>
      <c r="I329">
        <v>1</v>
      </c>
      <c r="J329">
        <v>2</v>
      </c>
      <c r="K329">
        <v>1</v>
      </c>
      <c r="L329" s="22" t="str">
        <f t="shared" si="110"/>
        <v>22/07/2026</v>
      </c>
      <c r="M329" s="23">
        <f t="shared" si="111"/>
        <v>0.54166666666666663</v>
      </c>
      <c r="N329" t="str">
        <f t="shared" si="113"/>
        <v>2 - 1</v>
      </c>
      <c r="O329" t="str">
        <f t="shared" si="114"/>
        <v>Green</v>
      </c>
      <c r="P329" t="str">
        <f t="shared" si="115"/>
        <v>Red</v>
      </c>
      <c r="Q329" t="str">
        <f t="shared" si="116"/>
        <v>Red</v>
      </c>
      <c r="R329" t="str">
        <f t="shared" si="117"/>
        <v>Green</v>
      </c>
      <c r="S329" t="str">
        <f t="shared" si="118"/>
        <v>Red</v>
      </c>
      <c r="T329" t="str">
        <f t="shared" si="119"/>
        <v>Green</v>
      </c>
      <c r="U329" t="str">
        <f t="shared" si="120"/>
        <v>Green</v>
      </c>
      <c r="V329" t="str">
        <f t="shared" si="121"/>
        <v>Red</v>
      </c>
      <c r="W329" t="str">
        <f t="shared" si="122"/>
        <v>Red</v>
      </c>
      <c r="X329" t="str">
        <f t="shared" si="123"/>
        <v>Green</v>
      </c>
      <c r="Y329" t="str">
        <f t="shared" si="124"/>
        <v>Green</v>
      </c>
      <c r="Z329" t="str">
        <f t="shared" si="125"/>
        <v>Green</v>
      </c>
      <c r="AA329" t="str">
        <f t="shared" si="126"/>
        <v>Red</v>
      </c>
      <c r="AB329" t="str">
        <f t="shared" si="127"/>
        <v>Green</v>
      </c>
      <c r="AC329" t="str">
        <f t="shared" si="128"/>
        <v>Green</v>
      </c>
      <c r="AD329" t="str">
        <f t="shared" si="129"/>
        <v>Red</v>
      </c>
    </row>
    <row r="330" spans="1:30" x14ac:dyDescent="0.2">
      <c r="A330" t="str">
        <f t="shared" si="112"/>
        <v>22/07/2026Slovan RosiceSparta Brno</v>
      </c>
      <c r="D330" s="2">
        <v>46225</v>
      </c>
      <c r="E330" s="3">
        <v>0.66666666666666663</v>
      </c>
      <c r="F330" t="s">
        <v>1723</v>
      </c>
      <c r="G330" t="s">
        <v>1724</v>
      </c>
      <c r="H330">
        <v>0</v>
      </c>
      <c r="I330">
        <v>2</v>
      </c>
      <c r="J330">
        <v>0</v>
      </c>
      <c r="K330">
        <v>9</v>
      </c>
      <c r="L330" s="22" t="str">
        <f t="shared" si="110"/>
        <v>22/07/2026</v>
      </c>
      <c r="M330" s="23">
        <f t="shared" si="111"/>
        <v>0.54166666666666663</v>
      </c>
      <c r="N330" t="str">
        <f t="shared" si="113"/>
        <v>0 - 9</v>
      </c>
      <c r="O330" t="str">
        <f t="shared" si="114"/>
        <v>Red</v>
      </c>
      <c r="P330" t="str">
        <f t="shared" si="115"/>
        <v>Red</v>
      </c>
      <c r="Q330" t="str">
        <f t="shared" si="116"/>
        <v>Green</v>
      </c>
      <c r="R330" t="str">
        <f t="shared" si="117"/>
        <v>Red</v>
      </c>
      <c r="S330" t="str">
        <f t="shared" si="118"/>
        <v>Green</v>
      </c>
      <c r="T330" t="str">
        <f t="shared" si="119"/>
        <v>Green</v>
      </c>
      <c r="U330" t="str">
        <f t="shared" si="120"/>
        <v>Red</v>
      </c>
      <c r="V330" t="str">
        <f t="shared" si="121"/>
        <v>Red</v>
      </c>
      <c r="W330" t="str">
        <f t="shared" si="122"/>
        <v>Green</v>
      </c>
      <c r="X330" t="str">
        <f t="shared" si="123"/>
        <v>Green</v>
      </c>
      <c r="Y330" t="str">
        <f t="shared" si="124"/>
        <v>Green</v>
      </c>
      <c r="Z330" t="str">
        <f t="shared" si="125"/>
        <v>Green</v>
      </c>
      <c r="AA330" t="str">
        <f t="shared" si="126"/>
        <v>Red</v>
      </c>
      <c r="AB330" t="str">
        <f t="shared" si="127"/>
        <v>Red</v>
      </c>
      <c r="AC330" t="str">
        <f t="shared" si="128"/>
        <v>Red</v>
      </c>
      <c r="AD330" t="str">
        <f t="shared" si="129"/>
        <v>Green</v>
      </c>
    </row>
    <row r="331" spans="1:30" x14ac:dyDescent="0.2">
      <c r="A331" t="str">
        <f t="shared" si="112"/>
        <v>22/07/2026TottenhamMK Dons</v>
      </c>
      <c r="D331" s="2">
        <v>46225</v>
      </c>
      <c r="E331" s="3">
        <v>0.66666666666666663</v>
      </c>
      <c r="F331" t="s">
        <v>1725</v>
      </c>
      <c r="G331" t="s">
        <v>1726</v>
      </c>
      <c r="H331">
        <v>1</v>
      </c>
      <c r="I331">
        <v>0</v>
      </c>
      <c r="J331">
        <v>1</v>
      </c>
      <c r="K331">
        <v>0</v>
      </c>
      <c r="L331" s="22" t="str">
        <f t="shared" si="110"/>
        <v>22/07/2026</v>
      </c>
      <c r="M331" s="23">
        <f t="shared" si="111"/>
        <v>0.54166666666666663</v>
      </c>
      <c r="N331" t="str">
        <f t="shared" si="113"/>
        <v>1 - 0</v>
      </c>
      <c r="O331" t="str">
        <f t="shared" si="114"/>
        <v>Green</v>
      </c>
      <c r="P331" t="str">
        <f t="shared" si="115"/>
        <v>Red</v>
      </c>
      <c r="Q331" t="str">
        <f t="shared" si="116"/>
        <v>Red</v>
      </c>
      <c r="R331" t="str">
        <f t="shared" si="117"/>
        <v>Green</v>
      </c>
      <c r="S331" t="str">
        <f t="shared" si="118"/>
        <v>Red</v>
      </c>
      <c r="T331" t="str">
        <f t="shared" si="119"/>
        <v>Green</v>
      </c>
      <c r="U331" t="str">
        <f t="shared" si="120"/>
        <v>Green</v>
      </c>
      <c r="V331" t="str">
        <f t="shared" si="121"/>
        <v>Red</v>
      </c>
      <c r="W331" t="str">
        <f t="shared" si="122"/>
        <v>Red</v>
      </c>
      <c r="X331" t="str">
        <f t="shared" si="123"/>
        <v>Green</v>
      </c>
      <c r="Y331" t="str">
        <f t="shared" si="124"/>
        <v>Red</v>
      </c>
      <c r="Z331" t="str">
        <f t="shared" si="125"/>
        <v>Red</v>
      </c>
      <c r="AA331" t="str">
        <f t="shared" si="126"/>
        <v>Green</v>
      </c>
      <c r="AB331" t="str">
        <f t="shared" si="127"/>
        <v>Green</v>
      </c>
      <c r="AC331" t="str">
        <f t="shared" si="128"/>
        <v>Red</v>
      </c>
      <c r="AD331" t="str">
        <f t="shared" si="129"/>
        <v>Green</v>
      </c>
    </row>
    <row r="332" spans="1:30" x14ac:dyDescent="0.2">
      <c r="A332" t="str">
        <f t="shared" si="112"/>
        <v>22/07/2026VfL Halle 96TSV Lehnerz</v>
      </c>
      <c r="D332" s="2">
        <v>46225</v>
      </c>
      <c r="E332" s="3">
        <v>0.66666666666666663</v>
      </c>
      <c r="F332" t="s">
        <v>1727</v>
      </c>
      <c r="G332" t="s">
        <v>1728</v>
      </c>
      <c r="H332">
        <v>1</v>
      </c>
      <c r="I332">
        <v>0</v>
      </c>
      <c r="J332">
        <v>2</v>
      </c>
      <c r="K332">
        <v>1</v>
      </c>
      <c r="L332" s="22" t="str">
        <f t="shared" si="110"/>
        <v>22/07/2026</v>
      </c>
      <c r="M332" s="23">
        <f t="shared" si="111"/>
        <v>0.54166666666666663</v>
      </c>
      <c r="N332" t="str">
        <f t="shared" si="113"/>
        <v>2 - 1</v>
      </c>
      <c r="O332" t="str">
        <f t="shared" si="114"/>
        <v>Green</v>
      </c>
      <c r="P332" t="str">
        <f t="shared" si="115"/>
        <v>Red</v>
      </c>
      <c r="Q332" t="str">
        <f t="shared" si="116"/>
        <v>Red</v>
      </c>
      <c r="R332" t="str">
        <f t="shared" si="117"/>
        <v>Green</v>
      </c>
      <c r="S332" t="str">
        <f t="shared" si="118"/>
        <v>Red</v>
      </c>
      <c r="T332" t="str">
        <f t="shared" si="119"/>
        <v>Green</v>
      </c>
      <c r="U332" t="str">
        <f t="shared" si="120"/>
        <v>Green</v>
      </c>
      <c r="V332" t="str">
        <f t="shared" si="121"/>
        <v>Red</v>
      </c>
      <c r="W332" t="str">
        <f t="shared" si="122"/>
        <v>Red</v>
      </c>
      <c r="X332" t="str">
        <f t="shared" si="123"/>
        <v>Green</v>
      </c>
      <c r="Y332" t="str">
        <f t="shared" si="124"/>
        <v>Green</v>
      </c>
      <c r="Z332" t="str">
        <f t="shared" si="125"/>
        <v>Green</v>
      </c>
      <c r="AA332" t="str">
        <f t="shared" si="126"/>
        <v>Red</v>
      </c>
      <c r="AB332" t="str">
        <f t="shared" si="127"/>
        <v>Green</v>
      </c>
      <c r="AC332" t="str">
        <f t="shared" si="128"/>
        <v>Green</v>
      </c>
      <c r="AD332" t="str">
        <f t="shared" si="129"/>
        <v>Red</v>
      </c>
    </row>
    <row r="333" spans="1:30" x14ac:dyDescent="0.2">
      <c r="A333" t="str">
        <f t="shared" si="112"/>
        <v>22/07/2026ArukulaRaasiku FC Joker</v>
      </c>
      <c r="D333" s="2">
        <v>46225</v>
      </c>
      <c r="E333" s="3">
        <v>0.6875</v>
      </c>
      <c r="F333" t="s">
        <v>1729</v>
      </c>
      <c r="G333" t="s">
        <v>1730</v>
      </c>
      <c r="H333">
        <v>0</v>
      </c>
      <c r="I333">
        <v>0</v>
      </c>
      <c r="J333">
        <v>0</v>
      </c>
      <c r="K333">
        <v>1</v>
      </c>
      <c r="L333" s="22" t="str">
        <f t="shared" si="110"/>
        <v>22/07/2026</v>
      </c>
      <c r="M333" s="23">
        <f t="shared" si="111"/>
        <v>0.5625</v>
      </c>
      <c r="N333" t="str">
        <f t="shared" si="113"/>
        <v>0 - 1</v>
      </c>
      <c r="O333" t="str">
        <f t="shared" si="114"/>
        <v>Red</v>
      </c>
      <c r="P333" t="str">
        <f t="shared" si="115"/>
        <v>Red</v>
      </c>
      <c r="Q333" t="str">
        <f t="shared" si="116"/>
        <v>Green</v>
      </c>
      <c r="R333" t="str">
        <f t="shared" si="117"/>
        <v>Red</v>
      </c>
      <c r="S333" t="str">
        <f t="shared" si="118"/>
        <v>Green</v>
      </c>
      <c r="T333" t="str">
        <f t="shared" si="119"/>
        <v>Green</v>
      </c>
      <c r="U333" t="str">
        <f t="shared" si="120"/>
        <v>Red</v>
      </c>
      <c r="V333" t="str">
        <f t="shared" si="121"/>
        <v>Green</v>
      </c>
      <c r="W333" t="str">
        <f t="shared" si="122"/>
        <v>Red</v>
      </c>
      <c r="X333" t="str">
        <f t="shared" si="123"/>
        <v>Red</v>
      </c>
      <c r="Y333" t="str">
        <f t="shared" si="124"/>
        <v>Red</v>
      </c>
      <c r="Z333" t="str">
        <f t="shared" si="125"/>
        <v>Red</v>
      </c>
      <c r="AA333" t="str">
        <f t="shared" si="126"/>
        <v>Green</v>
      </c>
      <c r="AB333" t="str">
        <f t="shared" si="127"/>
        <v>Green</v>
      </c>
      <c r="AC333" t="str">
        <f t="shared" si="128"/>
        <v>Red</v>
      </c>
      <c r="AD333" t="str">
        <f t="shared" si="129"/>
        <v>Green</v>
      </c>
    </row>
    <row r="334" spans="1:30" x14ac:dyDescent="0.2">
      <c r="A334" t="str">
        <f t="shared" si="112"/>
        <v>22/07/2026Jippo IIYllatys</v>
      </c>
      <c r="D334" s="2">
        <v>46225</v>
      </c>
      <c r="E334" s="3">
        <v>0.6875</v>
      </c>
      <c r="F334" t="s">
        <v>1731</v>
      </c>
      <c r="G334" t="s">
        <v>1732</v>
      </c>
      <c r="H334">
        <v>0</v>
      </c>
      <c r="I334">
        <v>0</v>
      </c>
      <c r="J334">
        <v>3</v>
      </c>
      <c r="K334">
        <v>1</v>
      </c>
      <c r="L334" s="22" t="str">
        <f t="shared" si="110"/>
        <v>22/07/2026</v>
      </c>
      <c r="M334" s="23">
        <f t="shared" si="111"/>
        <v>0.5625</v>
      </c>
      <c r="N334" t="str">
        <f t="shared" si="113"/>
        <v>3 - 1</v>
      </c>
      <c r="O334" t="str">
        <f t="shared" si="114"/>
        <v>Green</v>
      </c>
      <c r="P334" t="str">
        <f t="shared" si="115"/>
        <v>Red</v>
      </c>
      <c r="Q334" t="str">
        <f t="shared" si="116"/>
        <v>Red</v>
      </c>
      <c r="R334" t="str">
        <f t="shared" si="117"/>
        <v>Green</v>
      </c>
      <c r="S334" t="str">
        <f t="shared" si="118"/>
        <v>Red</v>
      </c>
      <c r="T334" t="str">
        <f t="shared" si="119"/>
        <v>Green</v>
      </c>
      <c r="U334" t="str">
        <f t="shared" si="120"/>
        <v>Red</v>
      </c>
      <c r="V334" t="str">
        <f t="shared" si="121"/>
        <v>Green</v>
      </c>
      <c r="W334" t="str">
        <f t="shared" si="122"/>
        <v>Red</v>
      </c>
      <c r="X334" t="str">
        <f t="shared" si="123"/>
        <v>Red</v>
      </c>
      <c r="Y334" t="str">
        <f t="shared" si="124"/>
        <v>Green</v>
      </c>
      <c r="Z334" t="str">
        <f t="shared" si="125"/>
        <v>Green</v>
      </c>
      <c r="AA334" t="str">
        <f t="shared" si="126"/>
        <v>Red</v>
      </c>
      <c r="AB334" t="str">
        <f t="shared" si="127"/>
        <v>Red</v>
      </c>
      <c r="AC334" t="str">
        <f t="shared" si="128"/>
        <v>Green</v>
      </c>
      <c r="AD334" t="str">
        <f t="shared" si="129"/>
        <v>Red</v>
      </c>
    </row>
    <row r="335" spans="1:30" x14ac:dyDescent="0.2">
      <c r="A335" t="str">
        <f t="shared" si="112"/>
        <v>22/07/2026AZ AlkmaarGenk</v>
      </c>
      <c r="D335" s="2">
        <v>46225</v>
      </c>
      <c r="E335" s="3">
        <v>0.6875</v>
      </c>
      <c r="F335" t="s">
        <v>1733</v>
      </c>
      <c r="G335" t="s">
        <v>1734</v>
      </c>
      <c r="H335">
        <v>2</v>
      </c>
      <c r="I335">
        <v>0</v>
      </c>
      <c r="J335">
        <v>4</v>
      </c>
      <c r="K335">
        <v>0</v>
      </c>
      <c r="L335" s="22" t="str">
        <f t="shared" si="110"/>
        <v>22/07/2026</v>
      </c>
      <c r="M335" s="23">
        <f t="shared" si="111"/>
        <v>0.5625</v>
      </c>
      <c r="N335" t="str">
        <f t="shared" si="113"/>
        <v>4 - 0</v>
      </c>
      <c r="O335" t="str">
        <f t="shared" si="114"/>
        <v>Green</v>
      </c>
      <c r="P335" t="str">
        <f t="shared" si="115"/>
        <v>Red</v>
      </c>
      <c r="Q335" t="str">
        <f t="shared" si="116"/>
        <v>Red</v>
      </c>
      <c r="R335" t="str">
        <f t="shared" si="117"/>
        <v>Green</v>
      </c>
      <c r="S335" t="str">
        <f t="shared" si="118"/>
        <v>Red</v>
      </c>
      <c r="T335" t="str">
        <f t="shared" si="119"/>
        <v>Green</v>
      </c>
      <c r="U335" t="str">
        <f t="shared" si="120"/>
        <v>Green</v>
      </c>
      <c r="V335" t="str">
        <f t="shared" si="121"/>
        <v>Red</v>
      </c>
      <c r="W335" t="str">
        <f t="shared" si="122"/>
        <v>Red</v>
      </c>
      <c r="X335" t="str">
        <f t="shared" si="123"/>
        <v>Green</v>
      </c>
      <c r="Y335" t="str">
        <f t="shared" si="124"/>
        <v>Green</v>
      </c>
      <c r="Z335" t="str">
        <f t="shared" si="125"/>
        <v>Green</v>
      </c>
      <c r="AA335" t="str">
        <f t="shared" si="126"/>
        <v>Red</v>
      </c>
      <c r="AB335" t="str">
        <f t="shared" si="127"/>
        <v>Red</v>
      </c>
      <c r="AC335" t="str">
        <f t="shared" si="128"/>
        <v>Red</v>
      </c>
      <c r="AD335" t="str">
        <f t="shared" si="129"/>
        <v>Green</v>
      </c>
    </row>
    <row r="336" spans="1:30" x14ac:dyDescent="0.2">
      <c r="A336" t="str">
        <f t="shared" si="112"/>
        <v>22/07/2026Bronshoj BKAvarta</v>
      </c>
      <c r="D336" s="2">
        <v>46225</v>
      </c>
      <c r="E336" s="3">
        <v>0.6875</v>
      </c>
      <c r="F336" t="s">
        <v>1735</v>
      </c>
      <c r="G336" t="s">
        <v>1736</v>
      </c>
      <c r="H336">
        <v>0</v>
      </c>
      <c r="I336">
        <v>0</v>
      </c>
      <c r="J336">
        <v>1</v>
      </c>
      <c r="K336">
        <v>0</v>
      </c>
      <c r="L336" s="22" t="str">
        <f t="shared" si="110"/>
        <v>22/07/2026</v>
      </c>
      <c r="M336" s="23">
        <f t="shared" si="111"/>
        <v>0.5625</v>
      </c>
      <c r="N336" t="str">
        <f t="shared" si="113"/>
        <v>1 - 0</v>
      </c>
      <c r="O336" t="str">
        <f t="shared" si="114"/>
        <v>Green</v>
      </c>
      <c r="P336" t="str">
        <f t="shared" si="115"/>
        <v>Red</v>
      </c>
      <c r="Q336" t="str">
        <f t="shared" si="116"/>
        <v>Red</v>
      </c>
      <c r="R336" t="str">
        <f t="shared" si="117"/>
        <v>Green</v>
      </c>
      <c r="S336" t="str">
        <f t="shared" si="118"/>
        <v>Red</v>
      </c>
      <c r="T336" t="str">
        <f t="shared" si="119"/>
        <v>Green</v>
      </c>
      <c r="U336" t="str">
        <f t="shared" si="120"/>
        <v>Red</v>
      </c>
      <c r="V336" t="str">
        <f t="shared" si="121"/>
        <v>Green</v>
      </c>
      <c r="W336" t="str">
        <f t="shared" si="122"/>
        <v>Red</v>
      </c>
      <c r="X336" t="str">
        <f t="shared" si="123"/>
        <v>Red</v>
      </c>
      <c r="Y336" t="str">
        <f t="shared" si="124"/>
        <v>Red</v>
      </c>
      <c r="Z336" t="str">
        <f t="shared" si="125"/>
        <v>Red</v>
      </c>
      <c r="AA336" t="str">
        <f t="shared" si="126"/>
        <v>Green</v>
      </c>
      <c r="AB336" t="str">
        <f t="shared" si="127"/>
        <v>Green</v>
      </c>
      <c r="AC336" t="str">
        <f t="shared" si="128"/>
        <v>Red</v>
      </c>
      <c r="AD336" t="str">
        <f t="shared" si="129"/>
        <v>Green</v>
      </c>
    </row>
    <row r="337" spans="1:30" x14ac:dyDescent="0.2">
      <c r="A337" t="str">
        <f t="shared" si="112"/>
        <v>22/07/2026NK KarlovacNK Opatija</v>
      </c>
      <c r="D337" s="2">
        <v>46225</v>
      </c>
      <c r="E337" s="3">
        <v>0.6875</v>
      </c>
      <c r="F337" t="s">
        <v>1737</v>
      </c>
      <c r="G337" t="s">
        <v>1738</v>
      </c>
      <c r="H337">
        <v>0</v>
      </c>
      <c r="I337">
        <v>1</v>
      </c>
      <c r="J337">
        <v>0</v>
      </c>
      <c r="K337">
        <v>1</v>
      </c>
      <c r="L337" s="22" t="str">
        <f t="shared" si="110"/>
        <v>22/07/2026</v>
      </c>
      <c r="M337" s="23">
        <f t="shared" si="111"/>
        <v>0.5625</v>
      </c>
      <c r="N337" t="str">
        <f t="shared" si="113"/>
        <v>0 - 1</v>
      </c>
      <c r="O337" t="str">
        <f t="shared" si="114"/>
        <v>Red</v>
      </c>
      <c r="P337" t="str">
        <f t="shared" si="115"/>
        <v>Red</v>
      </c>
      <c r="Q337" t="str">
        <f t="shared" si="116"/>
        <v>Green</v>
      </c>
      <c r="R337" t="str">
        <f t="shared" si="117"/>
        <v>Red</v>
      </c>
      <c r="S337" t="str">
        <f t="shared" si="118"/>
        <v>Green</v>
      </c>
      <c r="T337" t="str">
        <f t="shared" si="119"/>
        <v>Green</v>
      </c>
      <c r="U337" t="str">
        <f t="shared" si="120"/>
        <v>Red</v>
      </c>
      <c r="V337" t="str">
        <f t="shared" si="121"/>
        <v>Red</v>
      </c>
      <c r="W337" t="str">
        <f t="shared" si="122"/>
        <v>Green</v>
      </c>
      <c r="X337" t="str">
        <f t="shared" si="123"/>
        <v>Green</v>
      </c>
      <c r="Y337" t="str">
        <f t="shared" si="124"/>
        <v>Red</v>
      </c>
      <c r="Z337" t="str">
        <f t="shared" si="125"/>
        <v>Red</v>
      </c>
      <c r="AA337" t="str">
        <f t="shared" si="126"/>
        <v>Green</v>
      </c>
      <c r="AB337" t="str">
        <f t="shared" si="127"/>
        <v>Green</v>
      </c>
      <c r="AC337" t="str">
        <f t="shared" si="128"/>
        <v>Red</v>
      </c>
      <c r="AD337" t="str">
        <f t="shared" si="129"/>
        <v>Green</v>
      </c>
    </row>
    <row r="338" spans="1:30" x14ac:dyDescent="0.2">
      <c r="A338" t="str">
        <f t="shared" si="112"/>
        <v>22/07/2026NK PrimorjeNK Uljanik</v>
      </c>
      <c r="D338" s="2">
        <v>46225</v>
      </c>
      <c r="E338" s="3">
        <v>0.6875</v>
      </c>
      <c r="F338" t="s">
        <v>1739</v>
      </c>
      <c r="G338" t="s">
        <v>1740</v>
      </c>
      <c r="H338">
        <v>0</v>
      </c>
      <c r="I338">
        <v>0</v>
      </c>
      <c r="J338">
        <v>0</v>
      </c>
      <c r="K338">
        <v>0</v>
      </c>
      <c r="L338" s="22" t="str">
        <f t="shared" si="110"/>
        <v>22/07/2026</v>
      </c>
      <c r="M338" s="23">
        <f t="shared" si="111"/>
        <v>0.5625</v>
      </c>
      <c r="N338" t="str">
        <f t="shared" si="113"/>
        <v>0 - 0</v>
      </c>
      <c r="O338" t="str">
        <f t="shared" si="114"/>
        <v>Red</v>
      </c>
      <c r="P338" t="str">
        <f t="shared" si="115"/>
        <v>Green</v>
      </c>
      <c r="Q338" t="str">
        <f t="shared" si="116"/>
        <v>Red</v>
      </c>
      <c r="R338" t="str">
        <f t="shared" si="117"/>
        <v>Green</v>
      </c>
      <c r="S338" t="str">
        <f t="shared" si="118"/>
        <v>Green</v>
      </c>
      <c r="T338" t="str">
        <f t="shared" si="119"/>
        <v>Red</v>
      </c>
      <c r="U338" t="str">
        <f t="shared" si="120"/>
        <v>Red</v>
      </c>
      <c r="V338" t="str">
        <f t="shared" si="121"/>
        <v>Green</v>
      </c>
      <c r="W338" t="str">
        <f t="shared" si="122"/>
        <v>Red</v>
      </c>
      <c r="X338" t="str">
        <f t="shared" si="123"/>
        <v>Red</v>
      </c>
      <c r="Y338" t="str">
        <f t="shared" si="124"/>
        <v>Red</v>
      </c>
      <c r="Z338" t="str">
        <f t="shared" si="125"/>
        <v>Red</v>
      </c>
      <c r="AA338" t="str">
        <f t="shared" si="126"/>
        <v>Green</v>
      </c>
      <c r="AB338" t="str">
        <f t="shared" si="127"/>
        <v>Green</v>
      </c>
      <c r="AC338" t="str">
        <f t="shared" si="128"/>
        <v>Red</v>
      </c>
      <c r="AD338" t="str">
        <f t="shared" si="129"/>
        <v>Green</v>
      </c>
    </row>
    <row r="339" spans="1:30" x14ac:dyDescent="0.2">
      <c r="A339" t="str">
        <f t="shared" si="112"/>
        <v>22/07/2026SV WienerbergerWiener Viktoria</v>
      </c>
      <c r="D339" s="2">
        <v>46225</v>
      </c>
      <c r="E339" s="3">
        <v>0.6875</v>
      </c>
      <c r="F339" t="s">
        <v>1741</v>
      </c>
      <c r="G339" t="s">
        <v>1742</v>
      </c>
      <c r="H339">
        <v>0</v>
      </c>
      <c r="I339">
        <v>1</v>
      </c>
      <c r="J339">
        <v>1</v>
      </c>
      <c r="K339">
        <v>1</v>
      </c>
      <c r="L339" s="22" t="str">
        <f t="shared" si="110"/>
        <v>22/07/2026</v>
      </c>
      <c r="M339" s="23">
        <f t="shared" si="111"/>
        <v>0.5625</v>
      </c>
      <c r="N339" t="str">
        <f t="shared" si="113"/>
        <v>1 - 1</v>
      </c>
      <c r="O339" t="str">
        <f t="shared" si="114"/>
        <v>Red</v>
      </c>
      <c r="P339" t="str">
        <f t="shared" si="115"/>
        <v>Green</v>
      </c>
      <c r="Q339" t="str">
        <f t="shared" si="116"/>
        <v>Red</v>
      </c>
      <c r="R339" t="str">
        <f t="shared" si="117"/>
        <v>Green</v>
      </c>
      <c r="S339" t="str">
        <f t="shared" si="118"/>
        <v>Green</v>
      </c>
      <c r="T339" t="str">
        <f t="shared" si="119"/>
        <v>Red</v>
      </c>
      <c r="U339" t="str">
        <f t="shared" si="120"/>
        <v>Red</v>
      </c>
      <c r="V339" t="str">
        <f t="shared" si="121"/>
        <v>Red</v>
      </c>
      <c r="W339" t="str">
        <f t="shared" si="122"/>
        <v>Green</v>
      </c>
      <c r="X339" t="str">
        <f t="shared" si="123"/>
        <v>Green</v>
      </c>
      <c r="Y339" t="str">
        <f t="shared" si="124"/>
        <v>Green</v>
      </c>
      <c r="Z339" t="str">
        <f t="shared" si="125"/>
        <v>Red</v>
      </c>
      <c r="AA339" t="str">
        <f t="shared" si="126"/>
        <v>Green</v>
      </c>
      <c r="AB339" t="str">
        <f t="shared" si="127"/>
        <v>Green</v>
      </c>
      <c r="AC339" t="str">
        <f t="shared" si="128"/>
        <v>Green</v>
      </c>
      <c r="AD339" t="str">
        <f t="shared" si="129"/>
        <v>Red</v>
      </c>
    </row>
    <row r="340" spans="1:30" x14ac:dyDescent="0.2">
      <c r="A340" t="str">
        <f t="shared" si="112"/>
        <v>22/07/2026TSG BalingenStuttgart</v>
      </c>
      <c r="D340" s="2">
        <v>46225</v>
      </c>
      <c r="E340" s="3">
        <v>0.6875</v>
      </c>
      <c r="F340" t="s">
        <v>1743</v>
      </c>
      <c r="G340" t="s">
        <v>1744</v>
      </c>
      <c r="L340" s="22" t="str">
        <f t="shared" ref="L340:L371" si="130">DAY(D340)&amp;"/"&amp;"07"&amp;"/"&amp;YEAR(D340)</f>
        <v>22/07/2026</v>
      </c>
      <c r="M340" s="23">
        <f t="shared" ref="M340:M371" si="131">E340-TIME(3,0,0)</f>
        <v>0.5625</v>
      </c>
      <c r="N340" t="str">
        <f t="shared" si="113"/>
        <v xml:space="preserve"> - </v>
      </c>
      <c r="O340" t="str">
        <f t="shared" si="114"/>
        <v>Red</v>
      </c>
      <c r="P340" t="str">
        <f t="shared" si="115"/>
        <v>Green</v>
      </c>
      <c r="Q340" t="str">
        <f t="shared" si="116"/>
        <v>Red</v>
      </c>
      <c r="R340" t="str">
        <f t="shared" si="117"/>
        <v>Green</v>
      </c>
      <c r="S340" t="str">
        <f t="shared" si="118"/>
        <v>Green</v>
      </c>
      <c r="T340" t="str">
        <f t="shared" si="119"/>
        <v>Red</v>
      </c>
      <c r="U340" t="str">
        <f t="shared" si="120"/>
        <v>Red</v>
      </c>
      <c r="V340" t="str">
        <f t="shared" si="121"/>
        <v>Green</v>
      </c>
      <c r="W340" t="str">
        <f t="shared" si="122"/>
        <v>Red</v>
      </c>
      <c r="X340" t="str">
        <f t="shared" si="123"/>
        <v>Red</v>
      </c>
      <c r="Y340" t="str">
        <f t="shared" si="124"/>
        <v>Red</v>
      </c>
      <c r="Z340" t="str">
        <f t="shared" si="125"/>
        <v>Red</v>
      </c>
      <c r="AA340" t="str">
        <f t="shared" si="126"/>
        <v>Green</v>
      </c>
      <c r="AB340" t="str">
        <f t="shared" si="127"/>
        <v>Green</v>
      </c>
      <c r="AC340" t="str">
        <f t="shared" si="128"/>
        <v>Red</v>
      </c>
      <c r="AD340" t="str">
        <f t="shared" si="129"/>
        <v>Green</v>
      </c>
    </row>
    <row r="341" spans="1:30" x14ac:dyDescent="0.2">
      <c r="A341" t="str">
        <f t="shared" si="112"/>
        <v>22/07/2026Mainz 05 IIFC Kreuzlingen</v>
      </c>
      <c r="D341" s="2">
        <v>46225</v>
      </c>
      <c r="E341" s="3">
        <v>0.69791666666666663</v>
      </c>
      <c r="F341" t="s">
        <v>1745</v>
      </c>
      <c r="G341" t="s">
        <v>1746</v>
      </c>
      <c r="H341">
        <v>0</v>
      </c>
      <c r="I341">
        <v>0</v>
      </c>
      <c r="J341">
        <v>2</v>
      </c>
      <c r="K341">
        <v>1</v>
      </c>
      <c r="L341" s="22" t="str">
        <f t="shared" si="130"/>
        <v>22/07/2026</v>
      </c>
      <c r="M341" s="23">
        <f t="shared" si="131"/>
        <v>0.57291666666666663</v>
      </c>
      <c r="N341" t="str">
        <f t="shared" si="113"/>
        <v>2 - 1</v>
      </c>
      <c r="O341" t="str">
        <f t="shared" si="114"/>
        <v>Green</v>
      </c>
      <c r="P341" t="str">
        <f t="shared" si="115"/>
        <v>Red</v>
      </c>
      <c r="Q341" t="str">
        <f t="shared" si="116"/>
        <v>Red</v>
      </c>
      <c r="R341" t="str">
        <f t="shared" si="117"/>
        <v>Green</v>
      </c>
      <c r="S341" t="str">
        <f t="shared" si="118"/>
        <v>Red</v>
      </c>
      <c r="T341" t="str">
        <f t="shared" si="119"/>
        <v>Green</v>
      </c>
      <c r="U341" t="str">
        <f t="shared" si="120"/>
        <v>Red</v>
      </c>
      <c r="V341" t="str">
        <f t="shared" si="121"/>
        <v>Green</v>
      </c>
      <c r="W341" t="str">
        <f t="shared" si="122"/>
        <v>Red</v>
      </c>
      <c r="X341" t="str">
        <f t="shared" si="123"/>
        <v>Red</v>
      </c>
      <c r="Y341" t="str">
        <f t="shared" si="124"/>
        <v>Green</v>
      </c>
      <c r="Z341" t="str">
        <f t="shared" si="125"/>
        <v>Green</v>
      </c>
      <c r="AA341" t="str">
        <f t="shared" si="126"/>
        <v>Red</v>
      </c>
      <c r="AB341" t="str">
        <f t="shared" si="127"/>
        <v>Green</v>
      </c>
      <c r="AC341" t="str">
        <f t="shared" si="128"/>
        <v>Green</v>
      </c>
      <c r="AD341" t="str">
        <f t="shared" si="129"/>
        <v>Red</v>
      </c>
    </row>
    <row r="342" spans="1:30" x14ac:dyDescent="0.2">
      <c r="A342" t="str">
        <f t="shared" si="112"/>
        <v>22/07/2026AC OmoniaKairat</v>
      </c>
      <c r="B342" t="s">
        <v>802</v>
      </c>
      <c r="C342" t="s">
        <v>803</v>
      </c>
      <c r="D342" s="2">
        <v>46225</v>
      </c>
      <c r="E342" s="3">
        <v>0.70833333333333337</v>
      </c>
      <c r="F342" t="s">
        <v>869</v>
      </c>
      <c r="G342" t="s">
        <v>870</v>
      </c>
      <c r="H342">
        <v>1</v>
      </c>
      <c r="I342">
        <v>0</v>
      </c>
      <c r="J342">
        <v>1</v>
      </c>
      <c r="K342">
        <v>0</v>
      </c>
      <c r="L342" s="22" t="str">
        <f t="shared" si="130"/>
        <v>22/07/2026</v>
      </c>
      <c r="M342" s="23">
        <f t="shared" si="131"/>
        <v>0.58333333333333337</v>
      </c>
      <c r="N342" t="str">
        <f t="shared" si="113"/>
        <v>1 - 0</v>
      </c>
      <c r="O342" t="str">
        <f t="shared" si="114"/>
        <v>Green</v>
      </c>
      <c r="P342" t="str">
        <f t="shared" si="115"/>
        <v>Red</v>
      </c>
      <c r="Q342" t="str">
        <f t="shared" si="116"/>
        <v>Red</v>
      </c>
      <c r="R342" t="str">
        <f t="shared" si="117"/>
        <v>Green</v>
      </c>
      <c r="S342" t="str">
        <f t="shared" si="118"/>
        <v>Red</v>
      </c>
      <c r="T342" t="str">
        <f t="shared" si="119"/>
        <v>Green</v>
      </c>
      <c r="U342" t="str">
        <f t="shared" si="120"/>
        <v>Green</v>
      </c>
      <c r="V342" t="str">
        <f t="shared" si="121"/>
        <v>Red</v>
      </c>
      <c r="W342" t="str">
        <f t="shared" si="122"/>
        <v>Red</v>
      </c>
      <c r="X342" t="str">
        <f t="shared" si="123"/>
        <v>Green</v>
      </c>
      <c r="Y342" t="str">
        <f t="shared" si="124"/>
        <v>Red</v>
      </c>
      <c r="Z342" t="str">
        <f t="shared" si="125"/>
        <v>Red</v>
      </c>
      <c r="AA342" t="str">
        <f t="shared" si="126"/>
        <v>Green</v>
      </c>
      <c r="AB342" t="str">
        <f t="shared" si="127"/>
        <v>Green</v>
      </c>
      <c r="AC342" t="str">
        <f t="shared" si="128"/>
        <v>Red</v>
      </c>
      <c r="AD342" t="str">
        <f t="shared" si="129"/>
        <v>Green</v>
      </c>
    </row>
    <row r="343" spans="1:30" x14ac:dyDescent="0.2">
      <c r="A343" t="str">
        <f t="shared" si="112"/>
        <v>22/07/2026BohemianKF Ballkani</v>
      </c>
      <c r="B343" t="s">
        <v>802</v>
      </c>
      <c r="C343" t="s">
        <v>1326</v>
      </c>
      <c r="D343" s="2">
        <v>46225</v>
      </c>
      <c r="E343" s="3">
        <v>0.70833333333333337</v>
      </c>
      <c r="F343" t="s">
        <v>1747</v>
      </c>
      <c r="G343" t="s">
        <v>1748</v>
      </c>
      <c r="H343">
        <v>0</v>
      </c>
      <c r="I343">
        <v>1</v>
      </c>
      <c r="J343">
        <v>2</v>
      </c>
      <c r="K343">
        <v>1</v>
      </c>
      <c r="L343" s="22" t="str">
        <f t="shared" si="130"/>
        <v>22/07/2026</v>
      </c>
      <c r="M343" s="23">
        <f t="shared" si="131"/>
        <v>0.58333333333333337</v>
      </c>
      <c r="N343" t="str">
        <f t="shared" si="113"/>
        <v>2 - 1</v>
      </c>
      <c r="O343" t="str">
        <f t="shared" si="114"/>
        <v>Green</v>
      </c>
      <c r="P343" t="str">
        <f t="shared" si="115"/>
        <v>Red</v>
      </c>
      <c r="Q343" t="str">
        <f t="shared" si="116"/>
        <v>Red</v>
      </c>
      <c r="R343" t="str">
        <f t="shared" si="117"/>
        <v>Green</v>
      </c>
      <c r="S343" t="str">
        <f t="shared" si="118"/>
        <v>Red</v>
      </c>
      <c r="T343" t="str">
        <f t="shared" si="119"/>
        <v>Green</v>
      </c>
      <c r="U343" t="str">
        <f t="shared" si="120"/>
        <v>Red</v>
      </c>
      <c r="V343" t="str">
        <f t="shared" si="121"/>
        <v>Red</v>
      </c>
      <c r="W343" t="str">
        <f t="shared" si="122"/>
        <v>Green</v>
      </c>
      <c r="X343" t="str">
        <f t="shared" si="123"/>
        <v>Green</v>
      </c>
      <c r="Y343" t="str">
        <f t="shared" si="124"/>
        <v>Green</v>
      </c>
      <c r="Z343" t="str">
        <f t="shared" si="125"/>
        <v>Green</v>
      </c>
      <c r="AA343" t="str">
        <f t="shared" si="126"/>
        <v>Red</v>
      </c>
      <c r="AB343" t="str">
        <f t="shared" si="127"/>
        <v>Green</v>
      </c>
      <c r="AC343" t="str">
        <f t="shared" si="128"/>
        <v>Green</v>
      </c>
      <c r="AD343" t="str">
        <f t="shared" si="129"/>
        <v>Red</v>
      </c>
    </row>
    <row r="344" spans="1:30" x14ac:dyDescent="0.2">
      <c r="A344" t="str">
        <f t="shared" si="112"/>
        <v>22/07/2026JaPS IIGnistan Ogeli</v>
      </c>
      <c r="D344" s="2">
        <v>46225</v>
      </c>
      <c r="E344" s="3">
        <v>0.70833333333333337</v>
      </c>
      <c r="F344" t="s">
        <v>1749</v>
      </c>
      <c r="G344" t="s">
        <v>1750</v>
      </c>
      <c r="H344">
        <v>0</v>
      </c>
      <c r="I344">
        <v>0</v>
      </c>
      <c r="J344">
        <v>3</v>
      </c>
      <c r="K344">
        <v>1</v>
      </c>
      <c r="L344" s="22" t="str">
        <f t="shared" si="130"/>
        <v>22/07/2026</v>
      </c>
      <c r="M344" s="23">
        <f t="shared" si="131"/>
        <v>0.58333333333333337</v>
      </c>
      <c r="N344" t="str">
        <f t="shared" si="113"/>
        <v>3 - 1</v>
      </c>
      <c r="O344" t="str">
        <f t="shared" si="114"/>
        <v>Green</v>
      </c>
      <c r="P344" t="str">
        <f t="shared" si="115"/>
        <v>Red</v>
      </c>
      <c r="Q344" t="str">
        <f t="shared" si="116"/>
        <v>Red</v>
      </c>
      <c r="R344" t="str">
        <f t="shared" si="117"/>
        <v>Green</v>
      </c>
      <c r="S344" t="str">
        <f t="shared" si="118"/>
        <v>Red</v>
      </c>
      <c r="T344" t="str">
        <f t="shared" si="119"/>
        <v>Green</v>
      </c>
      <c r="U344" t="str">
        <f t="shared" si="120"/>
        <v>Red</v>
      </c>
      <c r="V344" t="str">
        <f t="shared" si="121"/>
        <v>Green</v>
      </c>
      <c r="W344" t="str">
        <f t="shared" si="122"/>
        <v>Red</v>
      </c>
      <c r="X344" t="str">
        <f t="shared" si="123"/>
        <v>Red</v>
      </c>
      <c r="Y344" t="str">
        <f t="shared" si="124"/>
        <v>Green</v>
      </c>
      <c r="Z344" t="str">
        <f t="shared" si="125"/>
        <v>Green</v>
      </c>
      <c r="AA344" t="str">
        <f t="shared" si="126"/>
        <v>Red</v>
      </c>
      <c r="AB344" t="str">
        <f t="shared" si="127"/>
        <v>Red</v>
      </c>
      <c r="AC344" t="str">
        <f t="shared" si="128"/>
        <v>Green</v>
      </c>
      <c r="AD344" t="str">
        <f t="shared" si="129"/>
        <v>Red</v>
      </c>
    </row>
    <row r="345" spans="1:30" x14ac:dyDescent="0.2">
      <c r="A345" t="str">
        <f t="shared" si="112"/>
        <v>22/07/2026TPV IITP-T</v>
      </c>
      <c r="D345" s="2">
        <v>46225</v>
      </c>
      <c r="E345" s="3">
        <v>0.70833333333333337</v>
      </c>
      <c r="F345" t="s">
        <v>1751</v>
      </c>
      <c r="G345" t="s">
        <v>1752</v>
      </c>
      <c r="H345">
        <v>0</v>
      </c>
      <c r="I345">
        <v>0</v>
      </c>
      <c r="J345">
        <v>3</v>
      </c>
      <c r="K345">
        <v>0</v>
      </c>
      <c r="L345" s="22" t="str">
        <f t="shared" si="130"/>
        <v>22/07/2026</v>
      </c>
      <c r="M345" s="23">
        <f t="shared" si="131"/>
        <v>0.58333333333333337</v>
      </c>
      <c r="N345" t="str">
        <f t="shared" si="113"/>
        <v>3 - 0</v>
      </c>
      <c r="O345" t="str">
        <f t="shared" si="114"/>
        <v>Green</v>
      </c>
      <c r="P345" t="str">
        <f t="shared" si="115"/>
        <v>Red</v>
      </c>
      <c r="Q345" t="str">
        <f t="shared" si="116"/>
        <v>Red</v>
      </c>
      <c r="R345" t="str">
        <f t="shared" si="117"/>
        <v>Green</v>
      </c>
      <c r="S345" t="str">
        <f t="shared" si="118"/>
        <v>Red</v>
      </c>
      <c r="T345" t="str">
        <f t="shared" si="119"/>
        <v>Green</v>
      </c>
      <c r="U345" t="str">
        <f t="shared" si="120"/>
        <v>Red</v>
      </c>
      <c r="V345" t="str">
        <f t="shared" si="121"/>
        <v>Green</v>
      </c>
      <c r="W345" t="str">
        <f t="shared" si="122"/>
        <v>Red</v>
      </c>
      <c r="X345" t="str">
        <f t="shared" si="123"/>
        <v>Red</v>
      </c>
      <c r="Y345" t="str">
        <f t="shared" si="124"/>
        <v>Green</v>
      </c>
      <c r="Z345" t="str">
        <f t="shared" si="125"/>
        <v>Green</v>
      </c>
      <c r="AA345" t="str">
        <f t="shared" si="126"/>
        <v>Red</v>
      </c>
      <c r="AB345" t="str">
        <f t="shared" si="127"/>
        <v>Green</v>
      </c>
      <c r="AC345" t="str">
        <f t="shared" si="128"/>
        <v>Red</v>
      </c>
      <c r="AD345" t="str">
        <f t="shared" si="129"/>
        <v>Green</v>
      </c>
    </row>
    <row r="346" spans="1:30" x14ac:dyDescent="0.2">
      <c r="A346" t="str">
        <f t="shared" si="112"/>
        <v>22/07/2026LillestromViking</v>
      </c>
      <c r="D346" s="2">
        <v>46225</v>
      </c>
      <c r="E346" s="3">
        <v>0.70833333333333337</v>
      </c>
      <c r="F346" t="s">
        <v>33</v>
      </c>
      <c r="G346" t="s">
        <v>1753</v>
      </c>
      <c r="H346">
        <v>0</v>
      </c>
      <c r="I346">
        <v>1</v>
      </c>
      <c r="J346">
        <v>1</v>
      </c>
      <c r="K346">
        <v>2</v>
      </c>
      <c r="L346" s="22" t="str">
        <f t="shared" si="130"/>
        <v>22/07/2026</v>
      </c>
      <c r="M346" s="23">
        <f t="shared" si="131"/>
        <v>0.58333333333333337</v>
      </c>
      <c r="N346" t="str">
        <f t="shared" si="113"/>
        <v>1 - 2</v>
      </c>
      <c r="O346" t="str">
        <f t="shared" si="114"/>
        <v>Red</v>
      </c>
      <c r="P346" t="str">
        <f t="shared" si="115"/>
        <v>Red</v>
      </c>
      <c r="Q346" t="str">
        <f t="shared" si="116"/>
        <v>Green</v>
      </c>
      <c r="R346" t="str">
        <f t="shared" si="117"/>
        <v>Red</v>
      </c>
      <c r="S346" t="str">
        <f t="shared" si="118"/>
        <v>Green</v>
      </c>
      <c r="T346" t="str">
        <f t="shared" si="119"/>
        <v>Green</v>
      </c>
      <c r="U346" t="str">
        <f t="shared" si="120"/>
        <v>Red</v>
      </c>
      <c r="V346" t="str">
        <f t="shared" si="121"/>
        <v>Red</v>
      </c>
      <c r="W346" t="str">
        <f t="shared" si="122"/>
        <v>Green</v>
      </c>
      <c r="X346" t="str">
        <f t="shared" si="123"/>
        <v>Green</v>
      </c>
      <c r="Y346" t="str">
        <f t="shared" si="124"/>
        <v>Green</v>
      </c>
      <c r="Z346" t="str">
        <f t="shared" si="125"/>
        <v>Green</v>
      </c>
      <c r="AA346" t="str">
        <f t="shared" si="126"/>
        <v>Red</v>
      </c>
      <c r="AB346" t="str">
        <f t="shared" si="127"/>
        <v>Green</v>
      </c>
      <c r="AC346" t="str">
        <f t="shared" si="128"/>
        <v>Green</v>
      </c>
      <c r="AD346" t="str">
        <f t="shared" si="129"/>
        <v>Red</v>
      </c>
    </row>
    <row r="347" spans="1:30" x14ac:dyDescent="0.2">
      <c r="A347" t="str">
        <f t="shared" si="112"/>
        <v>22/07/2026Bodo/GlimtHamKam</v>
      </c>
      <c r="D347" s="2">
        <v>46225</v>
      </c>
      <c r="E347" s="3">
        <v>0.70833333333333337</v>
      </c>
      <c r="F347" t="s">
        <v>31</v>
      </c>
      <c r="G347" t="s">
        <v>1754</v>
      </c>
      <c r="H347">
        <v>1</v>
      </c>
      <c r="I347">
        <v>0</v>
      </c>
      <c r="J347">
        <v>3</v>
      </c>
      <c r="K347">
        <v>0</v>
      </c>
      <c r="L347" s="22" t="str">
        <f t="shared" si="130"/>
        <v>22/07/2026</v>
      </c>
      <c r="M347" s="23">
        <f t="shared" si="131"/>
        <v>0.58333333333333337</v>
      </c>
      <c r="N347" t="str">
        <f t="shared" si="113"/>
        <v>3 - 0</v>
      </c>
      <c r="O347" t="str">
        <f t="shared" si="114"/>
        <v>Green</v>
      </c>
      <c r="P347" t="str">
        <f t="shared" si="115"/>
        <v>Red</v>
      </c>
      <c r="Q347" t="str">
        <f t="shared" si="116"/>
        <v>Red</v>
      </c>
      <c r="R347" t="str">
        <f t="shared" si="117"/>
        <v>Green</v>
      </c>
      <c r="S347" t="str">
        <f t="shared" si="118"/>
        <v>Red</v>
      </c>
      <c r="T347" t="str">
        <f t="shared" si="119"/>
        <v>Green</v>
      </c>
      <c r="U347" t="str">
        <f t="shared" si="120"/>
        <v>Green</v>
      </c>
      <c r="V347" t="str">
        <f t="shared" si="121"/>
        <v>Red</v>
      </c>
      <c r="W347" t="str">
        <f t="shared" si="122"/>
        <v>Red</v>
      </c>
      <c r="X347" t="str">
        <f t="shared" si="123"/>
        <v>Green</v>
      </c>
      <c r="Y347" t="str">
        <f t="shared" si="124"/>
        <v>Green</v>
      </c>
      <c r="Z347" t="str">
        <f t="shared" si="125"/>
        <v>Green</v>
      </c>
      <c r="AA347" t="str">
        <f t="shared" si="126"/>
        <v>Red</v>
      </c>
      <c r="AB347" t="str">
        <f t="shared" si="127"/>
        <v>Green</v>
      </c>
      <c r="AC347" t="str">
        <f t="shared" si="128"/>
        <v>Red</v>
      </c>
      <c r="AD347" t="str">
        <f t="shared" si="129"/>
        <v>Green</v>
      </c>
    </row>
    <row r="348" spans="1:30" x14ac:dyDescent="0.2">
      <c r="A348" t="str">
        <f t="shared" si="112"/>
        <v>22/07/2026AngersLes Herbiers</v>
      </c>
      <c r="D348" s="2">
        <v>46225</v>
      </c>
      <c r="E348" s="3">
        <v>0.70833333333333337</v>
      </c>
      <c r="F348" t="s">
        <v>1755</v>
      </c>
      <c r="G348" t="s">
        <v>1756</v>
      </c>
      <c r="H348">
        <v>1</v>
      </c>
      <c r="I348">
        <v>1</v>
      </c>
      <c r="J348">
        <v>3</v>
      </c>
      <c r="K348">
        <v>1</v>
      </c>
      <c r="L348" s="22" t="str">
        <f t="shared" si="130"/>
        <v>22/07/2026</v>
      </c>
      <c r="M348" s="23">
        <f t="shared" si="131"/>
        <v>0.58333333333333337</v>
      </c>
      <c r="N348" t="str">
        <f t="shared" si="113"/>
        <v>3 - 1</v>
      </c>
      <c r="O348" t="str">
        <f t="shared" si="114"/>
        <v>Green</v>
      </c>
      <c r="P348" t="str">
        <f t="shared" si="115"/>
        <v>Red</v>
      </c>
      <c r="Q348" t="str">
        <f t="shared" si="116"/>
        <v>Red</v>
      </c>
      <c r="R348" t="str">
        <f t="shared" si="117"/>
        <v>Green</v>
      </c>
      <c r="S348" t="str">
        <f t="shared" si="118"/>
        <v>Red</v>
      </c>
      <c r="T348" t="str">
        <f t="shared" si="119"/>
        <v>Green</v>
      </c>
      <c r="U348" t="str">
        <f t="shared" si="120"/>
        <v>Red</v>
      </c>
      <c r="V348" t="str">
        <f t="shared" si="121"/>
        <v>Green</v>
      </c>
      <c r="W348" t="str">
        <f t="shared" si="122"/>
        <v>Red</v>
      </c>
      <c r="X348" t="str">
        <f t="shared" si="123"/>
        <v>Green</v>
      </c>
      <c r="Y348" t="str">
        <f t="shared" si="124"/>
        <v>Green</v>
      </c>
      <c r="Z348" t="str">
        <f t="shared" si="125"/>
        <v>Green</v>
      </c>
      <c r="AA348" t="str">
        <f t="shared" si="126"/>
        <v>Red</v>
      </c>
      <c r="AB348" t="str">
        <f t="shared" si="127"/>
        <v>Red</v>
      </c>
      <c r="AC348" t="str">
        <f t="shared" si="128"/>
        <v>Green</v>
      </c>
      <c r="AD348" t="str">
        <f t="shared" si="129"/>
        <v>Red</v>
      </c>
    </row>
    <row r="349" spans="1:30" x14ac:dyDescent="0.2">
      <c r="A349" t="str">
        <f t="shared" si="112"/>
        <v>22/07/2026CadizLeicester City</v>
      </c>
      <c r="D349" s="2">
        <v>46225</v>
      </c>
      <c r="E349" s="3">
        <v>0.70833333333333337</v>
      </c>
      <c r="F349" t="s">
        <v>1757</v>
      </c>
      <c r="G349" t="s">
        <v>1758</v>
      </c>
      <c r="H349">
        <v>0</v>
      </c>
      <c r="I349">
        <v>0</v>
      </c>
      <c r="J349">
        <v>0</v>
      </c>
      <c r="K349">
        <v>1</v>
      </c>
      <c r="L349" s="22" t="str">
        <f t="shared" si="130"/>
        <v>22/07/2026</v>
      </c>
      <c r="M349" s="23">
        <f t="shared" si="131"/>
        <v>0.58333333333333337</v>
      </c>
      <c r="N349" t="str">
        <f t="shared" si="113"/>
        <v>0 - 1</v>
      </c>
      <c r="O349" t="str">
        <f t="shared" si="114"/>
        <v>Red</v>
      </c>
      <c r="P349" t="str">
        <f t="shared" si="115"/>
        <v>Red</v>
      </c>
      <c r="Q349" t="str">
        <f t="shared" si="116"/>
        <v>Green</v>
      </c>
      <c r="R349" t="str">
        <f t="shared" si="117"/>
        <v>Red</v>
      </c>
      <c r="S349" t="str">
        <f t="shared" si="118"/>
        <v>Green</v>
      </c>
      <c r="T349" t="str">
        <f t="shared" si="119"/>
        <v>Green</v>
      </c>
      <c r="U349" t="str">
        <f t="shared" si="120"/>
        <v>Red</v>
      </c>
      <c r="V349" t="str">
        <f t="shared" si="121"/>
        <v>Green</v>
      </c>
      <c r="W349" t="str">
        <f t="shared" si="122"/>
        <v>Red</v>
      </c>
      <c r="X349" t="str">
        <f t="shared" si="123"/>
        <v>Red</v>
      </c>
      <c r="Y349" t="str">
        <f t="shared" si="124"/>
        <v>Red</v>
      </c>
      <c r="Z349" t="str">
        <f t="shared" si="125"/>
        <v>Red</v>
      </c>
      <c r="AA349" t="str">
        <f t="shared" si="126"/>
        <v>Green</v>
      </c>
      <c r="AB349" t="str">
        <f t="shared" si="127"/>
        <v>Green</v>
      </c>
      <c r="AC349" t="str">
        <f t="shared" si="128"/>
        <v>Red</v>
      </c>
      <c r="AD349" t="str">
        <f t="shared" si="129"/>
        <v>Green</v>
      </c>
    </row>
    <row r="350" spans="1:30" x14ac:dyDescent="0.2">
      <c r="A350" t="str">
        <f t="shared" si="112"/>
        <v>22/07/2026DijonBourg-Peronnas</v>
      </c>
      <c r="D350" s="2">
        <v>46225</v>
      </c>
      <c r="E350" s="3">
        <v>0.70833333333333337</v>
      </c>
      <c r="F350" t="s">
        <v>1759</v>
      </c>
      <c r="G350" t="s">
        <v>1760</v>
      </c>
      <c r="H350">
        <v>1</v>
      </c>
      <c r="I350">
        <v>0</v>
      </c>
      <c r="J350">
        <v>2</v>
      </c>
      <c r="K350">
        <v>1</v>
      </c>
      <c r="L350" s="22" t="str">
        <f t="shared" si="130"/>
        <v>22/07/2026</v>
      </c>
      <c r="M350" s="23">
        <f t="shared" si="131"/>
        <v>0.58333333333333337</v>
      </c>
      <c r="N350" t="str">
        <f t="shared" si="113"/>
        <v>2 - 1</v>
      </c>
      <c r="O350" t="str">
        <f t="shared" si="114"/>
        <v>Green</v>
      </c>
      <c r="P350" t="str">
        <f t="shared" si="115"/>
        <v>Red</v>
      </c>
      <c r="Q350" t="str">
        <f t="shared" si="116"/>
        <v>Red</v>
      </c>
      <c r="R350" t="str">
        <f t="shared" si="117"/>
        <v>Green</v>
      </c>
      <c r="S350" t="str">
        <f t="shared" si="118"/>
        <v>Red</v>
      </c>
      <c r="T350" t="str">
        <f t="shared" si="119"/>
        <v>Green</v>
      </c>
      <c r="U350" t="str">
        <f t="shared" si="120"/>
        <v>Green</v>
      </c>
      <c r="V350" t="str">
        <f t="shared" si="121"/>
        <v>Red</v>
      </c>
      <c r="W350" t="str">
        <f t="shared" si="122"/>
        <v>Red</v>
      </c>
      <c r="X350" t="str">
        <f t="shared" si="123"/>
        <v>Green</v>
      </c>
      <c r="Y350" t="str">
        <f t="shared" si="124"/>
        <v>Green</v>
      </c>
      <c r="Z350" t="str">
        <f t="shared" si="125"/>
        <v>Green</v>
      </c>
      <c r="AA350" t="str">
        <f t="shared" si="126"/>
        <v>Red</v>
      </c>
      <c r="AB350" t="str">
        <f t="shared" si="127"/>
        <v>Green</v>
      </c>
      <c r="AC350" t="str">
        <f t="shared" si="128"/>
        <v>Green</v>
      </c>
      <c r="AD350" t="str">
        <f t="shared" si="129"/>
        <v>Red</v>
      </c>
    </row>
    <row r="351" spans="1:30" x14ac:dyDescent="0.2">
      <c r="A351" t="str">
        <f t="shared" si="112"/>
        <v>22/07/2026FiorentinaAS Gubbio 1910</v>
      </c>
      <c r="D351" s="2">
        <v>46225</v>
      </c>
      <c r="E351" s="3">
        <v>0.70833333333333337</v>
      </c>
      <c r="F351" t="s">
        <v>1761</v>
      </c>
      <c r="G351" t="s">
        <v>1762</v>
      </c>
      <c r="H351">
        <v>1</v>
      </c>
      <c r="I351">
        <v>0</v>
      </c>
      <c r="J351">
        <v>1</v>
      </c>
      <c r="K351">
        <v>0</v>
      </c>
      <c r="L351" s="22" t="str">
        <f t="shared" si="130"/>
        <v>22/07/2026</v>
      </c>
      <c r="M351" s="23">
        <f t="shared" si="131"/>
        <v>0.58333333333333337</v>
      </c>
      <c r="N351" t="str">
        <f t="shared" si="113"/>
        <v>1 - 0</v>
      </c>
      <c r="O351" t="str">
        <f t="shared" si="114"/>
        <v>Green</v>
      </c>
      <c r="P351" t="str">
        <f t="shared" si="115"/>
        <v>Red</v>
      </c>
      <c r="Q351" t="str">
        <f t="shared" si="116"/>
        <v>Red</v>
      </c>
      <c r="R351" t="str">
        <f t="shared" si="117"/>
        <v>Green</v>
      </c>
      <c r="S351" t="str">
        <f t="shared" si="118"/>
        <v>Red</v>
      </c>
      <c r="T351" t="str">
        <f t="shared" si="119"/>
        <v>Green</v>
      </c>
      <c r="U351" t="str">
        <f t="shared" si="120"/>
        <v>Green</v>
      </c>
      <c r="V351" t="str">
        <f t="shared" si="121"/>
        <v>Red</v>
      </c>
      <c r="W351" t="str">
        <f t="shared" si="122"/>
        <v>Red</v>
      </c>
      <c r="X351" t="str">
        <f t="shared" si="123"/>
        <v>Green</v>
      </c>
      <c r="Y351" t="str">
        <f t="shared" si="124"/>
        <v>Red</v>
      </c>
      <c r="Z351" t="str">
        <f t="shared" si="125"/>
        <v>Red</v>
      </c>
      <c r="AA351" t="str">
        <f t="shared" si="126"/>
        <v>Green</v>
      </c>
      <c r="AB351" t="str">
        <f t="shared" si="127"/>
        <v>Green</v>
      </c>
      <c r="AC351" t="str">
        <f t="shared" si="128"/>
        <v>Red</v>
      </c>
      <c r="AD351" t="str">
        <f t="shared" si="129"/>
        <v>Green</v>
      </c>
    </row>
    <row r="352" spans="1:30" x14ac:dyDescent="0.2">
      <c r="A352" t="str">
        <f t="shared" si="112"/>
        <v>22/07/2026Juventud Torremolinos CFAD Ceuta</v>
      </c>
      <c r="D352" s="2">
        <v>46225</v>
      </c>
      <c r="E352" s="3">
        <v>0.70833333333333337</v>
      </c>
      <c r="F352" t="s">
        <v>1763</v>
      </c>
      <c r="G352" t="s">
        <v>1764</v>
      </c>
      <c r="H352">
        <v>0</v>
      </c>
      <c r="I352">
        <v>0</v>
      </c>
      <c r="J352">
        <v>1</v>
      </c>
      <c r="K352">
        <v>0</v>
      </c>
      <c r="L352" s="22" t="str">
        <f t="shared" si="130"/>
        <v>22/07/2026</v>
      </c>
      <c r="M352" s="23">
        <f t="shared" si="131"/>
        <v>0.58333333333333337</v>
      </c>
      <c r="N352" t="str">
        <f t="shared" si="113"/>
        <v>1 - 0</v>
      </c>
      <c r="O352" t="str">
        <f t="shared" si="114"/>
        <v>Green</v>
      </c>
      <c r="P352" t="str">
        <f t="shared" si="115"/>
        <v>Red</v>
      </c>
      <c r="Q352" t="str">
        <f t="shared" si="116"/>
        <v>Red</v>
      </c>
      <c r="R352" t="str">
        <f t="shared" si="117"/>
        <v>Green</v>
      </c>
      <c r="S352" t="str">
        <f t="shared" si="118"/>
        <v>Red</v>
      </c>
      <c r="T352" t="str">
        <f t="shared" si="119"/>
        <v>Green</v>
      </c>
      <c r="U352" t="str">
        <f t="shared" si="120"/>
        <v>Red</v>
      </c>
      <c r="V352" t="str">
        <f t="shared" si="121"/>
        <v>Green</v>
      </c>
      <c r="W352" t="str">
        <f t="shared" si="122"/>
        <v>Red</v>
      </c>
      <c r="X352" t="str">
        <f t="shared" si="123"/>
        <v>Red</v>
      </c>
      <c r="Y352" t="str">
        <f t="shared" si="124"/>
        <v>Red</v>
      </c>
      <c r="Z352" t="str">
        <f t="shared" si="125"/>
        <v>Red</v>
      </c>
      <c r="AA352" t="str">
        <f t="shared" si="126"/>
        <v>Green</v>
      </c>
      <c r="AB352" t="str">
        <f t="shared" si="127"/>
        <v>Green</v>
      </c>
      <c r="AC352" t="str">
        <f t="shared" si="128"/>
        <v>Red</v>
      </c>
      <c r="AD352" t="str">
        <f t="shared" si="129"/>
        <v>Green</v>
      </c>
    </row>
    <row r="353" spans="1:30" x14ac:dyDescent="0.2">
      <c r="A353" t="str">
        <f t="shared" si="112"/>
        <v>22/07/2026NK OsijekCibalia</v>
      </c>
      <c r="D353" s="2">
        <v>46225</v>
      </c>
      <c r="E353" s="3">
        <v>0.70833333333333337</v>
      </c>
      <c r="F353" t="s">
        <v>1765</v>
      </c>
      <c r="G353" t="s">
        <v>1766</v>
      </c>
      <c r="H353">
        <v>1</v>
      </c>
      <c r="I353">
        <v>0</v>
      </c>
      <c r="J353">
        <v>3</v>
      </c>
      <c r="K353">
        <v>0</v>
      </c>
      <c r="L353" s="22" t="str">
        <f t="shared" si="130"/>
        <v>22/07/2026</v>
      </c>
      <c r="M353" s="23">
        <f t="shared" si="131"/>
        <v>0.58333333333333337</v>
      </c>
      <c r="N353" t="str">
        <f t="shared" si="113"/>
        <v>3 - 0</v>
      </c>
      <c r="O353" t="str">
        <f t="shared" si="114"/>
        <v>Green</v>
      </c>
      <c r="P353" t="str">
        <f t="shared" si="115"/>
        <v>Red</v>
      </c>
      <c r="Q353" t="str">
        <f t="shared" si="116"/>
        <v>Red</v>
      </c>
      <c r="R353" t="str">
        <f t="shared" si="117"/>
        <v>Green</v>
      </c>
      <c r="S353" t="str">
        <f t="shared" si="118"/>
        <v>Red</v>
      </c>
      <c r="T353" t="str">
        <f t="shared" si="119"/>
        <v>Green</v>
      </c>
      <c r="U353" t="str">
        <f t="shared" si="120"/>
        <v>Green</v>
      </c>
      <c r="V353" t="str">
        <f t="shared" si="121"/>
        <v>Red</v>
      </c>
      <c r="W353" t="str">
        <f t="shared" si="122"/>
        <v>Red</v>
      </c>
      <c r="X353" t="str">
        <f t="shared" si="123"/>
        <v>Green</v>
      </c>
      <c r="Y353" t="str">
        <f t="shared" si="124"/>
        <v>Green</v>
      </c>
      <c r="Z353" t="str">
        <f t="shared" si="125"/>
        <v>Green</v>
      </c>
      <c r="AA353" t="str">
        <f t="shared" si="126"/>
        <v>Red</v>
      </c>
      <c r="AB353" t="str">
        <f t="shared" si="127"/>
        <v>Green</v>
      </c>
      <c r="AC353" t="str">
        <f t="shared" si="128"/>
        <v>Red</v>
      </c>
      <c r="AD353" t="str">
        <f t="shared" si="129"/>
        <v>Green</v>
      </c>
    </row>
    <row r="354" spans="1:30" x14ac:dyDescent="0.2">
      <c r="A354" t="str">
        <f t="shared" si="112"/>
        <v>22/07/2026UD Las PalmasOrlando Pirates</v>
      </c>
      <c r="D354" s="2">
        <v>46225</v>
      </c>
      <c r="E354" s="3">
        <v>0.70833333333333337</v>
      </c>
      <c r="F354" t="s">
        <v>1767</v>
      </c>
      <c r="G354" t="s">
        <v>1454</v>
      </c>
      <c r="H354">
        <v>0</v>
      </c>
      <c r="I354">
        <v>0</v>
      </c>
      <c r="J354">
        <v>0</v>
      </c>
      <c r="K354">
        <v>1</v>
      </c>
      <c r="L354" s="22" t="str">
        <f t="shared" si="130"/>
        <v>22/07/2026</v>
      </c>
      <c r="M354" s="23">
        <f t="shared" si="131"/>
        <v>0.58333333333333337</v>
      </c>
      <c r="N354" t="str">
        <f t="shared" si="113"/>
        <v>0 - 1</v>
      </c>
      <c r="O354" t="str">
        <f t="shared" si="114"/>
        <v>Red</v>
      </c>
      <c r="P354" t="str">
        <f t="shared" si="115"/>
        <v>Red</v>
      </c>
      <c r="Q354" t="str">
        <f t="shared" si="116"/>
        <v>Green</v>
      </c>
      <c r="R354" t="str">
        <f t="shared" si="117"/>
        <v>Red</v>
      </c>
      <c r="S354" t="str">
        <f t="shared" si="118"/>
        <v>Green</v>
      </c>
      <c r="T354" t="str">
        <f t="shared" si="119"/>
        <v>Green</v>
      </c>
      <c r="U354" t="str">
        <f t="shared" si="120"/>
        <v>Red</v>
      </c>
      <c r="V354" t="str">
        <f t="shared" si="121"/>
        <v>Green</v>
      </c>
      <c r="W354" t="str">
        <f t="shared" si="122"/>
        <v>Red</v>
      </c>
      <c r="X354" t="str">
        <f t="shared" si="123"/>
        <v>Red</v>
      </c>
      <c r="Y354" t="str">
        <f t="shared" si="124"/>
        <v>Red</v>
      </c>
      <c r="Z354" t="str">
        <f t="shared" si="125"/>
        <v>Red</v>
      </c>
      <c r="AA354" t="str">
        <f t="shared" si="126"/>
        <v>Green</v>
      </c>
      <c r="AB354" t="str">
        <f t="shared" si="127"/>
        <v>Green</v>
      </c>
      <c r="AC354" t="str">
        <f t="shared" si="128"/>
        <v>Red</v>
      </c>
      <c r="AD354" t="str">
        <f t="shared" si="129"/>
        <v>Green</v>
      </c>
    </row>
    <row r="355" spans="1:30" x14ac:dyDescent="0.2">
      <c r="A355" t="str">
        <f t="shared" si="112"/>
        <v>22/07/2026Algeria WomenZambia Women</v>
      </c>
      <c r="D355" s="2">
        <v>46225</v>
      </c>
      <c r="E355" s="3">
        <v>0.70833333333333337</v>
      </c>
      <c r="F355" t="s">
        <v>1768</v>
      </c>
      <c r="G355" t="s">
        <v>1769</v>
      </c>
      <c r="H355">
        <v>0</v>
      </c>
      <c r="I355">
        <v>0</v>
      </c>
      <c r="J355">
        <v>1</v>
      </c>
      <c r="K355">
        <v>0</v>
      </c>
      <c r="L355" s="22" t="str">
        <f t="shared" si="130"/>
        <v>22/07/2026</v>
      </c>
      <c r="M355" s="23">
        <f t="shared" si="131"/>
        <v>0.58333333333333337</v>
      </c>
      <c r="N355" t="str">
        <f t="shared" si="113"/>
        <v>1 - 0</v>
      </c>
      <c r="O355" t="str">
        <f t="shared" si="114"/>
        <v>Green</v>
      </c>
      <c r="P355" t="str">
        <f t="shared" si="115"/>
        <v>Red</v>
      </c>
      <c r="Q355" t="str">
        <f t="shared" si="116"/>
        <v>Red</v>
      </c>
      <c r="R355" t="str">
        <f t="shared" si="117"/>
        <v>Green</v>
      </c>
      <c r="S355" t="str">
        <f t="shared" si="118"/>
        <v>Red</v>
      </c>
      <c r="T355" t="str">
        <f t="shared" si="119"/>
        <v>Green</v>
      </c>
      <c r="U355" t="str">
        <f t="shared" si="120"/>
        <v>Red</v>
      </c>
      <c r="V355" t="str">
        <f t="shared" si="121"/>
        <v>Green</v>
      </c>
      <c r="W355" t="str">
        <f t="shared" si="122"/>
        <v>Red</v>
      </c>
      <c r="X355" t="str">
        <f t="shared" si="123"/>
        <v>Red</v>
      </c>
      <c r="Y355" t="str">
        <f t="shared" si="124"/>
        <v>Red</v>
      </c>
      <c r="Z355" t="str">
        <f t="shared" si="125"/>
        <v>Red</v>
      </c>
      <c r="AA355" t="str">
        <f t="shared" si="126"/>
        <v>Green</v>
      </c>
      <c r="AB355" t="str">
        <f t="shared" si="127"/>
        <v>Green</v>
      </c>
      <c r="AC355" t="str">
        <f t="shared" si="128"/>
        <v>Red</v>
      </c>
      <c r="AD355" t="str">
        <f t="shared" si="129"/>
        <v>Green</v>
      </c>
    </row>
    <row r="356" spans="1:30" x14ac:dyDescent="0.2">
      <c r="A356" t="str">
        <f t="shared" si="112"/>
        <v>22/07/2026LevskiCS Universitatea Craiova</v>
      </c>
      <c r="B356" t="s">
        <v>802</v>
      </c>
      <c r="C356" t="s">
        <v>803</v>
      </c>
      <c r="D356" s="2">
        <v>46225</v>
      </c>
      <c r="E356" s="3">
        <v>0.72916666666666663</v>
      </c>
      <c r="F356" t="s">
        <v>871</v>
      </c>
      <c r="G356" t="s">
        <v>872</v>
      </c>
      <c r="H356">
        <v>1</v>
      </c>
      <c r="I356">
        <v>0</v>
      </c>
      <c r="J356">
        <v>1</v>
      </c>
      <c r="K356">
        <v>0</v>
      </c>
      <c r="L356" s="22" t="str">
        <f t="shared" si="130"/>
        <v>22/07/2026</v>
      </c>
      <c r="M356" s="23">
        <f t="shared" si="131"/>
        <v>0.60416666666666663</v>
      </c>
      <c r="N356" t="str">
        <f t="shared" si="113"/>
        <v>1 - 0</v>
      </c>
      <c r="O356" t="str">
        <f t="shared" si="114"/>
        <v>Green</v>
      </c>
      <c r="P356" t="str">
        <f t="shared" si="115"/>
        <v>Red</v>
      </c>
      <c r="Q356" t="str">
        <f t="shared" si="116"/>
        <v>Red</v>
      </c>
      <c r="R356" t="str">
        <f t="shared" si="117"/>
        <v>Green</v>
      </c>
      <c r="S356" t="str">
        <f t="shared" si="118"/>
        <v>Red</v>
      </c>
      <c r="T356" t="str">
        <f t="shared" si="119"/>
        <v>Green</v>
      </c>
      <c r="U356" t="str">
        <f t="shared" si="120"/>
        <v>Green</v>
      </c>
      <c r="V356" t="str">
        <f t="shared" si="121"/>
        <v>Red</v>
      </c>
      <c r="W356" t="str">
        <f t="shared" si="122"/>
        <v>Red</v>
      </c>
      <c r="X356" t="str">
        <f t="shared" si="123"/>
        <v>Green</v>
      </c>
      <c r="Y356" t="str">
        <f t="shared" si="124"/>
        <v>Red</v>
      </c>
      <c r="Z356" t="str">
        <f t="shared" si="125"/>
        <v>Red</v>
      </c>
      <c r="AA356" t="str">
        <f t="shared" si="126"/>
        <v>Green</v>
      </c>
      <c r="AB356" t="str">
        <f t="shared" si="127"/>
        <v>Green</v>
      </c>
      <c r="AC356" t="str">
        <f t="shared" si="128"/>
        <v>Red</v>
      </c>
      <c r="AD356" t="str">
        <f t="shared" si="129"/>
        <v>Green</v>
      </c>
    </row>
    <row r="357" spans="1:30" x14ac:dyDescent="0.2">
      <c r="A357" t="str">
        <f t="shared" si="112"/>
        <v>22/07/2026FC EchallensFC Bavois</v>
      </c>
      <c r="D357" s="2">
        <v>46225</v>
      </c>
      <c r="E357" s="3">
        <v>0.72916666666666663</v>
      </c>
      <c r="F357" t="s">
        <v>1770</v>
      </c>
      <c r="G357" t="s">
        <v>1771</v>
      </c>
      <c r="H357">
        <v>0</v>
      </c>
      <c r="I357">
        <v>0</v>
      </c>
      <c r="J357">
        <v>0</v>
      </c>
      <c r="K357">
        <v>0</v>
      </c>
      <c r="L357" s="22" t="str">
        <f t="shared" si="130"/>
        <v>22/07/2026</v>
      </c>
      <c r="M357" s="23">
        <f t="shared" si="131"/>
        <v>0.60416666666666663</v>
      </c>
      <c r="N357" t="str">
        <f t="shared" si="113"/>
        <v>0 - 0</v>
      </c>
      <c r="O357" t="str">
        <f t="shared" si="114"/>
        <v>Red</v>
      </c>
      <c r="P357" t="str">
        <f t="shared" si="115"/>
        <v>Green</v>
      </c>
      <c r="Q357" t="str">
        <f t="shared" si="116"/>
        <v>Red</v>
      </c>
      <c r="R357" t="str">
        <f t="shared" si="117"/>
        <v>Green</v>
      </c>
      <c r="S357" t="str">
        <f t="shared" si="118"/>
        <v>Green</v>
      </c>
      <c r="T357" t="str">
        <f t="shared" si="119"/>
        <v>Red</v>
      </c>
      <c r="U357" t="str">
        <f t="shared" si="120"/>
        <v>Red</v>
      </c>
      <c r="V357" t="str">
        <f t="shared" si="121"/>
        <v>Green</v>
      </c>
      <c r="W357" t="str">
        <f t="shared" si="122"/>
        <v>Red</v>
      </c>
      <c r="X357" t="str">
        <f t="shared" si="123"/>
        <v>Red</v>
      </c>
      <c r="Y357" t="str">
        <f t="shared" si="124"/>
        <v>Red</v>
      </c>
      <c r="Z357" t="str">
        <f t="shared" si="125"/>
        <v>Red</v>
      </c>
      <c r="AA357" t="str">
        <f t="shared" si="126"/>
        <v>Green</v>
      </c>
      <c r="AB357" t="str">
        <f t="shared" si="127"/>
        <v>Green</v>
      </c>
      <c r="AC357" t="str">
        <f t="shared" si="128"/>
        <v>Red</v>
      </c>
      <c r="AD357" t="str">
        <f t="shared" si="129"/>
        <v>Green</v>
      </c>
    </row>
    <row r="358" spans="1:30" x14ac:dyDescent="0.2">
      <c r="A358" t="str">
        <f t="shared" si="112"/>
        <v>22/07/2026Sestao RiverAthletic Bilbao</v>
      </c>
      <c r="D358" s="2">
        <v>46225</v>
      </c>
      <c r="E358" s="3">
        <v>0.72916666666666663</v>
      </c>
      <c r="F358" t="s">
        <v>1772</v>
      </c>
      <c r="G358" t="s">
        <v>1773</v>
      </c>
      <c r="H358">
        <v>0</v>
      </c>
      <c r="I358">
        <v>1</v>
      </c>
      <c r="J358">
        <v>0</v>
      </c>
      <c r="K358">
        <v>2</v>
      </c>
      <c r="L358" s="22" t="str">
        <f t="shared" si="130"/>
        <v>22/07/2026</v>
      </c>
      <c r="M358" s="23">
        <f t="shared" si="131"/>
        <v>0.60416666666666663</v>
      </c>
      <c r="N358" t="str">
        <f t="shared" si="113"/>
        <v>0 - 2</v>
      </c>
      <c r="O358" t="str">
        <f t="shared" si="114"/>
        <v>Red</v>
      </c>
      <c r="P358" t="str">
        <f t="shared" si="115"/>
        <v>Red</v>
      </c>
      <c r="Q358" t="str">
        <f t="shared" si="116"/>
        <v>Green</v>
      </c>
      <c r="R358" t="str">
        <f t="shared" si="117"/>
        <v>Red</v>
      </c>
      <c r="S358" t="str">
        <f t="shared" si="118"/>
        <v>Green</v>
      </c>
      <c r="T358" t="str">
        <f t="shared" si="119"/>
        <v>Green</v>
      </c>
      <c r="U358" t="str">
        <f t="shared" si="120"/>
        <v>Red</v>
      </c>
      <c r="V358" t="str">
        <f t="shared" si="121"/>
        <v>Red</v>
      </c>
      <c r="W358" t="str">
        <f t="shared" si="122"/>
        <v>Green</v>
      </c>
      <c r="X358" t="str">
        <f t="shared" si="123"/>
        <v>Green</v>
      </c>
      <c r="Y358" t="str">
        <f t="shared" si="124"/>
        <v>Green</v>
      </c>
      <c r="Z358" t="str">
        <f t="shared" si="125"/>
        <v>Red</v>
      </c>
      <c r="AA358" t="str">
        <f t="shared" si="126"/>
        <v>Green</v>
      </c>
      <c r="AB358" t="str">
        <f t="shared" si="127"/>
        <v>Green</v>
      </c>
      <c r="AC358" t="str">
        <f t="shared" si="128"/>
        <v>Red</v>
      </c>
      <c r="AD358" t="str">
        <f t="shared" si="129"/>
        <v>Green</v>
      </c>
    </row>
    <row r="359" spans="1:30" x14ac:dyDescent="0.2">
      <c r="A359" t="str">
        <f t="shared" si="112"/>
        <v>22/07/2026VfB HildenUnterrath</v>
      </c>
      <c r="D359" s="2">
        <v>46225</v>
      </c>
      <c r="E359" s="3">
        <v>0.72916666666666663</v>
      </c>
      <c r="F359" t="s">
        <v>1774</v>
      </c>
      <c r="G359" t="s">
        <v>1775</v>
      </c>
      <c r="H359">
        <v>3</v>
      </c>
      <c r="I359">
        <v>0</v>
      </c>
      <c r="J359">
        <v>5</v>
      </c>
      <c r="K359">
        <v>0</v>
      </c>
      <c r="L359" s="22" t="str">
        <f t="shared" si="130"/>
        <v>22/07/2026</v>
      </c>
      <c r="M359" s="23">
        <f t="shared" si="131"/>
        <v>0.60416666666666663</v>
      </c>
      <c r="N359" t="str">
        <f t="shared" si="113"/>
        <v>5 - 0</v>
      </c>
      <c r="O359" t="str">
        <f t="shared" si="114"/>
        <v>Green</v>
      </c>
      <c r="P359" t="str">
        <f t="shared" si="115"/>
        <v>Red</v>
      </c>
      <c r="Q359" t="str">
        <f t="shared" si="116"/>
        <v>Red</v>
      </c>
      <c r="R359" t="str">
        <f t="shared" si="117"/>
        <v>Green</v>
      </c>
      <c r="S359" t="str">
        <f t="shared" si="118"/>
        <v>Red</v>
      </c>
      <c r="T359" t="str">
        <f t="shared" si="119"/>
        <v>Green</v>
      </c>
      <c r="U359" t="str">
        <f t="shared" si="120"/>
        <v>Green</v>
      </c>
      <c r="V359" t="str">
        <f t="shared" si="121"/>
        <v>Red</v>
      </c>
      <c r="W359" t="str">
        <f t="shared" si="122"/>
        <v>Red</v>
      </c>
      <c r="X359" t="str">
        <f t="shared" si="123"/>
        <v>Green</v>
      </c>
      <c r="Y359" t="str">
        <f t="shared" si="124"/>
        <v>Green</v>
      </c>
      <c r="Z359" t="str">
        <f t="shared" si="125"/>
        <v>Green</v>
      </c>
      <c r="AA359" t="str">
        <f t="shared" si="126"/>
        <v>Red</v>
      </c>
      <c r="AB359" t="str">
        <f t="shared" si="127"/>
        <v>Red</v>
      </c>
      <c r="AC359" t="str">
        <f t="shared" si="128"/>
        <v>Red</v>
      </c>
      <c r="AD359" t="str">
        <f t="shared" si="129"/>
        <v>Green</v>
      </c>
    </row>
    <row r="360" spans="1:30" x14ac:dyDescent="0.2">
      <c r="A360" t="str">
        <f t="shared" si="112"/>
        <v>22/07/2026Istanbul BBInter Turku</v>
      </c>
      <c r="B360" t="s">
        <v>802</v>
      </c>
      <c r="C360" t="s">
        <v>1326</v>
      </c>
      <c r="D360" s="2">
        <v>46225</v>
      </c>
      <c r="E360" s="3">
        <v>0.73958333333333337</v>
      </c>
      <c r="F360" t="s">
        <v>1776</v>
      </c>
      <c r="G360" t="s">
        <v>1777</v>
      </c>
      <c r="H360">
        <v>0</v>
      </c>
      <c r="I360">
        <v>1</v>
      </c>
      <c r="J360">
        <v>1</v>
      </c>
      <c r="K360">
        <v>1</v>
      </c>
      <c r="L360" s="22" t="str">
        <f t="shared" si="130"/>
        <v>22/07/2026</v>
      </c>
      <c r="M360" s="23">
        <f t="shared" si="131"/>
        <v>0.61458333333333337</v>
      </c>
      <c r="N360" t="str">
        <f t="shared" si="113"/>
        <v>1 - 1</v>
      </c>
      <c r="O360" t="str">
        <f t="shared" si="114"/>
        <v>Red</v>
      </c>
      <c r="P360" t="str">
        <f t="shared" si="115"/>
        <v>Green</v>
      </c>
      <c r="Q360" t="str">
        <f t="shared" si="116"/>
        <v>Red</v>
      </c>
      <c r="R360" t="str">
        <f t="shared" si="117"/>
        <v>Green</v>
      </c>
      <c r="S360" t="str">
        <f t="shared" si="118"/>
        <v>Green</v>
      </c>
      <c r="T360" t="str">
        <f t="shared" si="119"/>
        <v>Red</v>
      </c>
      <c r="U360" t="str">
        <f t="shared" si="120"/>
        <v>Red</v>
      </c>
      <c r="V360" t="str">
        <f t="shared" si="121"/>
        <v>Red</v>
      </c>
      <c r="W360" t="str">
        <f t="shared" si="122"/>
        <v>Green</v>
      </c>
      <c r="X360" t="str">
        <f t="shared" si="123"/>
        <v>Green</v>
      </c>
      <c r="Y360" t="str">
        <f t="shared" si="124"/>
        <v>Green</v>
      </c>
      <c r="Z360" t="str">
        <f t="shared" si="125"/>
        <v>Red</v>
      </c>
      <c r="AA360" t="str">
        <f t="shared" si="126"/>
        <v>Green</v>
      </c>
      <c r="AB360" t="str">
        <f t="shared" si="127"/>
        <v>Green</v>
      </c>
      <c r="AC360" t="str">
        <f t="shared" si="128"/>
        <v>Green</v>
      </c>
      <c r="AD360" t="str">
        <f t="shared" si="129"/>
        <v>Red</v>
      </c>
    </row>
    <row r="361" spans="1:30" x14ac:dyDescent="0.2">
      <c r="A361" t="str">
        <f t="shared" si="112"/>
        <v>22/07/2026Bangu RJOlaria RJ</v>
      </c>
      <c r="B361" t="s">
        <v>804</v>
      </c>
      <c r="C361" t="s">
        <v>829</v>
      </c>
      <c r="D361" s="2">
        <v>46225</v>
      </c>
      <c r="E361" s="3">
        <v>0.73958333333333337</v>
      </c>
      <c r="F361" t="s">
        <v>1778</v>
      </c>
      <c r="G361" t="s">
        <v>1779</v>
      </c>
      <c r="H361">
        <v>1</v>
      </c>
      <c r="I361">
        <v>0</v>
      </c>
      <c r="J361">
        <v>1</v>
      </c>
      <c r="K361">
        <v>1</v>
      </c>
      <c r="L361" s="22" t="str">
        <f t="shared" si="130"/>
        <v>22/07/2026</v>
      </c>
      <c r="M361" s="23">
        <f t="shared" si="131"/>
        <v>0.61458333333333337</v>
      </c>
      <c r="N361" t="str">
        <f t="shared" si="113"/>
        <v>1 - 1</v>
      </c>
      <c r="O361" t="str">
        <f t="shared" si="114"/>
        <v>Red</v>
      </c>
      <c r="P361" t="str">
        <f t="shared" si="115"/>
        <v>Green</v>
      </c>
      <c r="Q361" t="str">
        <f t="shared" si="116"/>
        <v>Red</v>
      </c>
      <c r="R361" t="str">
        <f t="shared" si="117"/>
        <v>Green</v>
      </c>
      <c r="S361" t="str">
        <f t="shared" si="118"/>
        <v>Green</v>
      </c>
      <c r="T361" t="str">
        <f t="shared" si="119"/>
        <v>Red</v>
      </c>
      <c r="U361" t="str">
        <f t="shared" si="120"/>
        <v>Green</v>
      </c>
      <c r="V361" t="str">
        <f t="shared" si="121"/>
        <v>Red</v>
      </c>
      <c r="W361" t="str">
        <f t="shared" si="122"/>
        <v>Red</v>
      </c>
      <c r="X361" t="str">
        <f t="shared" si="123"/>
        <v>Green</v>
      </c>
      <c r="Y361" t="str">
        <f t="shared" si="124"/>
        <v>Green</v>
      </c>
      <c r="Z361" t="str">
        <f t="shared" si="125"/>
        <v>Red</v>
      </c>
      <c r="AA361" t="str">
        <f t="shared" si="126"/>
        <v>Green</v>
      </c>
      <c r="AB361" t="str">
        <f t="shared" si="127"/>
        <v>Green</v>
      </c>
      <c r="AC361" t="str">
        <f t="shared" si="128"/>
        <v>Green</v>
      </c>
      <c r="AD361" t="str">
        <f t="shared" si="129"/>
        <v>Red</v>
      </c>
    </row>
    <row r="362" spans="1:30" x14ac:dyDescent="0.2">
      <c r="A362" t="str">
        <f t="shared" si="112"/>
        <v>22/07/2026CF Rio de JaneiroPerolas Negras</v>
      </c>
      <c r="B362" t="s">
        <v>804</v>
      </c>
      <c r="C362" t="s">
        <v>829</v>
      </c>
      <c r="D362" s="2">
        <v>46225</v>
      </c>
      <c r="E362" s="3">
        <v>0.73958333333333337</v>
      </c>
      <c r="F362" t="s">
        <v>1780</v>
      </c>
      <c r="G362" t="s">
        <v>1781</v>
      </c>
      <c r="H362">
        <v>1</v>
      </c>
      <c r="I362">
        <v>0</v>
      </c>
      <c r="J362">
        <v>3</v>
      </c>
      <c r="K362">
        <v>0</v>
      </c>
      <c r="L362" s="22" t="str">
        <f t="shared" si="130"/>
        <v>22/07/2026</v>
      </c>
      <c r="M362" s="23">
        <f t="shared" si="131"/>
        <v>0.61458333333333337</v>
      </c>
      <c r="N362" t="str">
        <f t="shared" si="113"/>
        <v>3 - 0</v>
      </c>
      <c r="O362" t="str">
        <f t="shared" si="114"/>
        <v>Green</v>
      </c>
      <c r="P362" t="str">
        <f t="shared" si="115"/>
        <v>Red</v>
      </c>
      <c r="Q362" t="str">
        <f t="shared" si="116"/>
        <v>Red</v>
      </c>
      <c r="R362" t="str">
        <f t="shared" si="117"/>
        <v>Green</v>
      </c>
      <c r="S362" t="str">
        <f t="shared" si="118"/>
        <v>Red</v>
      </c>
      <c r="T362" t="str">
        <f t="shared" si="119"/>
        <v>Green</v>
      </c>
      <c r="U362" t="str">
        <f t="shared" si="120"/>
        <v>Green</v>
      </c>
      <c r="V362" t="str">
        <f t="shared" si="121"/>
        <v>Red</v>
      </c>
      <c r="W362" t="str">
        <f t="shared" si="122"/>
        <v>Red</v>
      </c>
      <c r="X362" t="str">
        <f t="shared" si="123"/>
        <v>Green</v>
      </c>
      <c r="Y362" t="str">
        <f t="shared" si="124"/>
        <v>Green</v>
      </c>
      <c r="Z362" t="str">
        <f t="shared" si="125"/>
        <v>Green</v>
      </c>
      <c r="AA362" t="str">
        <f t="shared" si="126"/>
        <v>Red</v>
      </c>
      <c r="AB362" t="str">
        <f t="shared" si="127"/>
        <v>Green</v>
      </c>
      <c r="AC362" t="str">
        <f t="shared" si="128"/>
        <v>Red</v>
      </c>
      <c r="AD362" t="str">
        <f t="shared" si="129"/>
        <v>Green</v>
      </c>
    </row>
    <row r="363" spans="1:30" x14ac:dyDescent="0.2">
      <c r="A363" t="str">
        <f t="shared" si="112"/>
        <v>22/07/2026Madureira ECBonsucesso</v>
      </c>
      <c r="B363" t="s">
        <v>804</v>
      </c>
      <c r="C363" t="s">
        <v>829</v>
      </c>
      <c r="D363" s="2">
        <v>46225</v>
      </c>
      <c r="E363" s="3">
        <v>0.73958333333333337</v>
      </c>
      <c r="F363" t="s">
        <v>1782</v>
      </c>
      <c r="G363" t="s">
        <v>1783</v>
      </c>
      <c r="H363">
        <v>1</v>
      </c>
      <c r="I363">
        <v>1</v>
      </c>
      <c r="J363">
        <v>1</v>
      </c>
      <c r="K363">
        <v>1</v>
      </c>
      <c r="L363" s="22" t="str">
        <f t="shared" si="130"/>
        <v>22/07/2026</v>
      </c>
      <c r="M363" s="23">
        <f t="shared" si="131"/>
        <v>0.61458333333333337</v>
      </c>
      <c r="N363" t="str">
        <f t="shared" si="113"/>
        <v>1 - 1</v>
      </c>
      <c r="O363" t="str">
        <f t="shared" si="114"/>
        <v>Red</v>
      </c>
      <c r="P363" t="str">
        <f t="shared" si="115"/>
        <v>Green</v>
      </c>
      <c r="Q363" t="str">
        <f t="shared" si="116"/>
        <v>Red</v>
      </c>
      <c r="R363" t="str">
        <f t="shared" si="117"/>
        <v>Green</v>
      </c>
      <c r="S363" t="str">
        <f t="shared" si="118"/>
        <v>Green</v>
      </c>
      <c r="T363" t="str">
        <f t="shared" si="119"/>
        <v>Red</v>
      </c>
      <c r="U363" t="str">
        <f t="shared" si="120"/>
        <v>Red</v>
      </c>
      <c r="V363" t="str">
        <f t="shared" si="121"/>
        <v>Green</v>
      </c>
      <c r="W363" t="str">
        <f t="shared" si="122"/>
        <v>Red</v>
      </c>
      <c r="X363" t="str">
        <f t="shared" si="123"/>
        <v>Green</v>
      </c>
      <c r="Y363" t="str">
        <f t="shared" si="124"/>
        <v>Green</v>
      </c>
      <c r="Z363" t="str">
        <f t="shared" si="125"/>
        <v>Red</v>
      </c>
      <c r="AA363" t="str">
        <f t="shared" si="126"/>
        <v>Green</v>
      </c>
      <c r="AB363" t="str">
        <f t="shared" si="127"/>
        <v>Green</v>
      </c>
      <c r="AC363" t="str">
        <f t="shared" si="128"/>
        <v>Green</v>
      </c>
      <c r="AD363" t="str">
        <f t="shared" si="129"/>
        <v>Red</v>
      </c>
    </row>
    <row r="364" spans="1:30" x14ac:dyDescent="0.2">
      <c r="A364" t="str">
        <f t="shared" si="112"/>
        <v>22/07/2026Nova IguacuAmerica RJ</v>
      </c>
      <c r="B364" t="s">
        <v>804</v>
      </c>
      <c r="C364" t="s">
        <v>829</v>
      </c>
      <c r="D364" s="2">
        <v>46225</v>
      </c>
      <c r="E364" s="3">
        <v>0.73958333333333337</v>
      </c>
      <c r="F364" t="s">
        <v>1784</v>
      </c>
      <c r="G364" t="s">
        <v>1785</v>
      </c>
      <c r="H364">
        <v>0</v>
      </c>
      <c r="I364">
        <v>0</v>
      </c>
      <c r="J364">
        <v>1</v>
      </c>
      <c r="K364">
        <v>1</v>
      </c>
      <c r="L364" s="22" t="str">
        <f t="shared" si="130"/>
        <v>22/07/2026</v>
      </c>
      <c r="M364" s="23">
        <f t="shared" si="131"/>
        <v>0.61458333333333337</v>
      </c>
      <c r="N364" t="str">
        <f t="shared" si="113"/>
        <v>1 - 1</v>
      </c>
      <c r="O364" t="str">
        <f t="shared" si="114"/>
        <v>Red</v>
      </c>
      <c r="P364" t="str">
        <f t="shared" si="115"/>
        <v>Green</v>
      </c>
      <c r="Q364" t="str">
        <f t="shared" si="116"/>
        <v>Red</v>
      </c>
      <c r="R364" t="str">
        <f t="shared" si="117"/>
        <v>Green</v>
      </c>
      <c r="S364" t="str">
        <f t="shared" si="118"/>
        <v>Green</v>
      </c>
      <c r="T364" t="str">
        <f t="shared" si="119"/>
        <v>Red</v>
      </c>
      <c r="U364" t="str">
        <f t="shared" si="120"/>
        <v>Red</v>
      </c>
      <c r="V364" t="str">
        <f t="shared" si="121"/>
        <v>Green</v>
      </c>
      <c r="W364" t="str">
        <f t="shared" si="122"/>
        <v>Red</v>
      </c>
      <c r="X364" t="str">
        <f t="shared" si="123"/>
        <v>Red</v>
      </c>
      <c r="Y364" t="str">
        <f t="shared" si="124"/>
        <v>Green</v>
      </c>
      <c r="Z364" t="str">
        <f t="shared" si="125"/>
        <v>Red</v>
      </c>
      <c r="AA364" t="str">
        <f t="shared" si="126"/>
        <v>Green</v>
      </c>
      <c r="AB364" t="str">
        <f t="shared" si="127"/>
        <v>Green</v>
      </c>
      <c r="AC364" t="str">
        <f t="shared" si="128"/>
        <v>Green</v>
      </c>
      <c r="AD364" t="str">
        <f t="shared" si="129"/>
        <v>Red</v>
      </c>
    </row>
    <row r="365" spans="1:30" x14ac:dyDescent="0.2">
      <c r="A365" t="str">
        <f t="shared" si="112"/>
        <v>22/07/2026Club Olimpia WomenGuarani Asuncion Women</v>
      </c>
      <c r="D365" s="2">
        <v>46225</v>
      </c>
      <c r="E365" s="3">
        <v>0.73958333333333337</v>
      </c>
      <c r="F365" t="s">
        <v>1786</v>
      </c>
      <c r="G365" t="s">
        <v>1787</v>
      </c>
      <c r="H365">
        <v>0</v>
      </c>
      <c r="I365">
        <v>0</v>
      </c>
      <c r="J365">
        <v>4</v>
      </c>
      <c r="K365">
        <v>1</v>
      </c>
      <c r="L365" s="22" t="str">
        <f t="shared" si="130"/>
        <v>22/07/2026</v>
      </c>
      <c r="M365" s="23">
        <f t="shared" si="131"/>
        <v>0.61458333333333337</v>
      </c>
      <c r="N365" t="str">
        <f t="shared" si="113"/>
        <v>4 - 1</v>
      </c>
      <c r="O365" t="str">
        <f t="shared" si="114"/>
        <v>Green</v>
      </c>
      <c r="P365" t="str">
        <f t="shared" si="115"/>
        <v>Red</v>
      </c>
      <c r="Q365" t="str">
        <f t="shared" si="116"/>
        <v>Red</v>
      </c>
      <c r="R365" t="str">
        <f t="shared" si="117"/>
        <v>Green</v>
      </c>
      <c r="S365" t="str">
        <f t="shared" si="118"/>
        <v>Red</v>
      </c>
      <c r="T365" t="str">
        <f t="shared" si="119"/>
        <v>Green</v>
      </c>
      <c r="U365" t="str">
        <f t="shared" si="120"/>
        <v>Red</v>
      </c>
      <c r="V365" t="str">
        <f t="shared" si="121"/>
        <v>Green</v>
      </c>
      <c r="W365" t="str">
        <f t="shared" si="122"/>
        <v>Red</v>
      </c>
      <c r="X365" t="str">
        <f t="shared" si="123"/>
        <v>Red</v>
      </c>
      <c r="Y365" t="str">
        <f t="shared" si="124"/>
        <v>Green</v>
      </c>
      <c r="Z365" t="str">
        <f t="shared" si="125"/>
        <v>Green</v>
      </c>
      <c r="AA365" t="str">
        <f t="shared" si="126"/>
        <v>Red</v>
      </c>
      <c r="AB365" t="str">
        <f t="shared" si="127"/>
        <v>Red</v>
      </c>
      <c r="AC365" t="str">
        <f t="shared" si="128"/>
        <v>Green</v>
      </c>
      <c r="AD365" t="str">
        <f t="shared" si="129"/>
        <v>Red</v>
      </c>
    </row>
    <row r="366" spans="1:30" x14ac:dyDescent="0.2">
      <c r="A366" t="str">
        <f t="shared" si="112"/>
        <v>22/07/2026FK Vardar SkopjeRiga FC</v>
      </c>
      <c r="B366" t="s">
        <v>802</v>
      </c>
      <c r="C366" t="s">
        <v>1326</v>
      </c>
      <c r="D366" s="2">
        <v>46225</v>
      </c>
      <c r="E366" s="3">
        <v>0.75</v>
      </c>
      <c r="F366" t="s">
        <v>352</v>
      </c>
      <c r="G366" t="s">
        <v>991</v>
      </c>
      <c r="H366">
        <v>1</v>
      </c>
      <c r="I366">
        <v>2</v>
      </c>
      <c r="J366">
        <v>2</v>
      </c>
      <c r="K366">
        <v>3</v>
      </c>
      <c r="L366" s="22" t="str">
        <f t="shared" si="130"/>
        <v>22/07/2026</v>
      </c>
      <c r="M366" s="23">
        <f t="shared" si="131"/>
        <v>0.625</v>
      </c>
      <c r="N366" t="str">
        <f t="shared" si="113"/>
        <v>2 - 3</v>
      </c>
      <c r="O366" t="str">
        <f t="shared" si="114"/>
        <v>Red</v>
      </c>
      <c r="P366" t="str">
        <f t="shared" si="115"/>
        <v>Red</v>
      </c>
      <c r="Q366" t="str">
        <f t="shared" si="116"/>
        <v>Green</v>
      </c>
      <c r="R366" t="str">
        <f t="shared" si="117"/>
        <v>Red</v>
      </c>
      <c r="S366" t="str">
        <f t="shared" si="118"/>
        <v>Green</v>
      </c>
      <c r="T366" t="str">
        <f t="shared" si="119"/>
        <v>Green</v>
      </c>
      <c r="U366" t="str">
        <f t="shared" si="120"/>
        <v>Red</v>
      </c>
      <c r="V366" t="str">
        <f t="shared" si="121"/>
        <v>Red</v>
      </c>
      <c r="W366" t="str">
        <f t="shared" si="122"/>
        <v>Green</v>
      </c>
      <c r="X366" t="str">
        <f t="shared" si="123"/>
        <v>Green</v>
      </c>
      <c r="Y366" t="str">
        <f t="shared" si="124"/>
        <v>Green</v>
      </c>
      <c r="Z366" t="str">
        <f t="shared" si="125"/>
        <v>Green</v>
      </c>
      <c r="AA366" t="str">
        <f t="shared" si="126"/>
        <v>Red</v>
      </c>
      <c r="AB366" t="str">
        <f t="shared" si="127"/>
        <v>Red</v>
      </c>
      <c r="AC366" t="str">
        <f t="shared" si="128"/>
        <v>Green</v>
      </c>
      <c r="AD366" t="str">
        <f t="shared" si="129"/>
        <v>Red</v>
      </c>
    </row>
    <row r="367" spans="1:30" x14ac:dyDescent="0.2">
      <c r="A367" t="str">
        <f t="shared" si="112"/>
        <v>22/07/2026Huracan WomenBanfield Women</v>
      </c>
      <c r="B367" t="s">
        <v>806</v>
      </c>
      <c r="C367" t="s">
        <v>879</v>
      </c>
      <c r="D367" s="2">
        <v>46225</v>
      </c>
      <c r="E367" s="3">
        <v>0.75</v>
      </c>
      <c r="F367" t="s">
        <v>884</v>
      </c>
      <c r="G367" t="s">
        <v>885</v>
      </c>
      <c r="H367">
        <v>0</v>
      </c>
      <c r="I367">
        <v>0</v>
      </c>
      <c r="J367">
        <v>1</v>
      </c>
      <c r="K367">
        <v>2</v>
      </c>
      <c r="L367" s="22" t="str">
        <f t="shared" si="130"/>
        <v>22/07/2026</v>
      </c>
      <c r="M367" s="23">
        <f t="shared" si="131"/>
        <v>0.625</v>
      </c>
      <c r="N367" t="str">
        <f t="shared" si="113"/>
        <v>1 - 2</v>
      </c>
      <c r="O367" t="str">
        <f t="shared" si="114"/>
        <v>Red</v>
      </c>
      <c r="P367" t="str">
        <f t="shared" si="115"/>
        <v>Red</v>
      </c>
      <c r="Q367" t="str">
        <f t="shared" si="116"/>
        <v>Green</v>
      </c>
      <c r="R367" t="str">
        <f t="shared" si="117"/>
        <v>Red</v>
      </c>
      <c r="S367" t="str">
        <f t="shared" si="118"/>
        <v>Green</v>
      </c>
      <c r="T367" t="str">
        <f t="shared" si="119"/>
        <v>Green</v>
      </c>
      <c r="U367" t="str">
        <f t="shared" si="120"/>
        <v>Red</v>
      </c>
      <c r="V367" t="str">
        <f t="shared" si="121"/>
        <v>Green</v>
      </c>
      <c r="W367" t="str">
        <f t="shared" si="122"/>
        <v>Red</v>
      </c>
      <c r="X367" t="str">
        <f t="shared" si="123"/>
        <v>Red</v>
      </c>
      <c r="Y367" t="str">
        <f t="shared" si="124"/>
        <v>Green</v>
      </c>
      <c r="Z367" t="str">
        <f t="shared" si="125"/>
        <v>Green</v>
      </c>
      <c r="AA367" t="str">
        <f t="shared" si="126"/>
        <v>Red</v>
      </c>
      <c r="AB367" t="str">
        <f t="shared" si="127"/>
        <v>Green</v>
      </c>
      <c r="AC367" t="str">
        <f t="shared" si="128"/>
        <v>Green</v>
      </c>
      <c r="AD367" t="str">
        <f t="shared" si="129"/>
        <v>Red</v>
      </c>
    </row>
    <row r="368" spans="1:30" x14ac:dyDescent="0.2">
      <c r="A368" t="str">
        <f t="shared" si="112"/>
        <v>22/07/2026Lanus WomenSan Lorenzo Women</v>
      </c>
      <c r="B368" t="s">
        <v>806</v>
      </c>
      <c r="C368" t="s">
        <v>879</v>
      </c>
      <c r="D368" s="2">
        <v>46225</v>
      </c>
      <c r="E368" s="3">
        <v>0.75</v>
      </c>
      <c r="F368" t="s">
        <v>886</v>
      </c>
      <c r="G368" t="s">
        <v>887</v>
      </c>
      <c r="H368">
        <v>0</v>
      </c>
      <c r="I368">
        <v>0</v>
      </c>
      <c r="J368">
        <v>1</v>
      </c>
      <c r="K368">
        <v>0</v>
      </c>
      <c r="L368" s="22" t="str">
        <f t="shared" si="130"/>
        <v>22/07/2026</v>
      </c>
      <c r="M368" s="23">
        <f t="shared" si="131"/>
        <v>0.625</v>
      </c>
      <c r="N368" t="str">
        <f t="shared" si="113"/>
        <v>1 - 0</v>
      </c>
      <c r="O368" t="str">
        <f t="shared" si="114"/>
        <v>Green</v>
      </c>
      <c r="P368" t="str">
        <f t="shared" si="115"/>
        <v>Red</v>
      </c>
      <c r="Q368" t="str">
        <f t="shared" si="116"/>
        <v>Red</v>
      </c>
      <c r="R368" t="str">
        <f t="shared" si="117"/>
        <v>Green</v>
      </c>
      <c r="S368" t="str">
        <f t="shared" si="118"/>
        <v>Red</v>
      </c>
      <c r="T368" t="str">
        <f t="shared" si="119"/>
        <v>Green</v>
      </c>
      <c r="U368" t="str">
        <f t="shared" si="120"/>
        <v>Red</v>
      </c>
      <c r="V368" t="str">
        <f t="shared" si="121"/>
        <v>Green</v>
      </c>
      <c r="W368" t="str">
        <f t="shared" si="122"/>
        <v>Red</v>
      </c>
      <c r="X368" t="str">
        <f t="shared" si="123"/>
        <v>Red</v>
      </c>
      <c r="Y368" t="str">
        <f t="shared" si="124"/>
        <v>Red</v>
      </c>
      <c r="Z368" t="str">
        <f t="shared" si="125"/>
        <v>Red</v>
      </c>
      <c r="AA368" t="str">
        <f t="shared" si="126"/>
        <v>Green</v>
      </c>
      <c r="AB368" t="str">
        <f t="shared" si="127"/>
        <v>Green</v>
      </c>
      <c r="AC368" t="str">
        <f t="shared" si="128"/>
        <v>Red</v>
      </c>
      <c r="AD368" t="str">
        <f t="shared" si="129"/>
        <v>Green</v>
      </c>
    </row>
    <row r="369" spans="1:30" x14ac:dyDescent="0.2">
      <c r="A369" t="str">
        <f t="shared" si="112"/>
        <v>22/07/2026San Luis FC WomenRacing Avellaneda Women</v>
      </c>
      <c r="B369" t="s">
        <v>806</v>
      </c>
      <c r="C369" t="s">
        <v>879</v>
      </c>
      <c r="D369" s="2">
        <v>46225</v>
      </c>
      <c r="E369" s="3">
        <v>0.75</v>
      </c>
      <c r="F369" t="s">
        <v>888</v>
      </c>
      <c r="G369" t="s">
        <v>889</v>
      </c>
      <c r="H369">
        <v>0</v>
      </c>
      <c r="I369">
        <v>0</v>
      </c>
      <c r="J369">
        <v>0</v>
      </c>
      <c r="K369">
        <v>2</v>
      </c>
      <c r="L369" s="22" t="str">
        <f t="shared" si="130"/>
        <v>22/07/2026</v>
      </c>
      <c r="M369" s="23">
        <f t="shared" si="131"/>
        <v>0.625</v>
      </c>
      <c r="N369" t="str">
        <f t="shared" si="113"/>
        <v>0 - 2</v>
      </c>
      <c r="O369" t="str">
        <f t="shared" si="114"/>
        <v>Red</v>
      </c>
      <c r="P369" t="str">
        <f t="shared" si="115"/>
        <v>Red</v>
      </c>
      <c r="Q369" t="str">
        <f t="shared" si="116"/>
        <v>Green</v>
      </c>
      <c r="R369" t="str">
        <f t="shared" si="117"/>
        <v>Red</v>
      </c>
      <c r="S369" t="str">
        <f t="shared" si="118"/>
        <v>Green</v>
      </c>
      <c r="T369" t="str">
        <f t="shared" si="119"/>
        <v>Green</v>
      </c>
      <c r="U369" t="str">
        <f t="shared" si="120"/>
        <v>Red</v>
      </c>
      <c r="V369" t="str">
        <f t="shared" si="121"/>
        <v>Green</v>
      </c>
      <c r="W369" t="str">
        <f t="shared" si="122"/>
        <v>Red</v>
      </c>
      <c r="X369" t="str">
        <f t="shared" si="123"/>
        <v>Red</v>
      </c>
      <c r="Y369" t="str">
        <f t="shared" si="124"/>
        <v>Green</v>
      </c>
      <c r="Z369" t="str">
        <f t="shared" si="125"/>
        <v>Red</v>
      </c>
      <c r="AA369" t="str">
        <f t="shared" si="126"/>
        <v>Green</v>
      </c>
      <c r="AB369" t="str">
        <f t="shared" si="127"/>
        <v>Green</v>
      </c>
      <c r="AC369" t="str">
        <f t="shared" si="128"/>
        <v>Red</v>
      </c>
      <c r="AD369" t="str">
        <f t="shared" si="129"/>
        <v>Green</v>
      </c>
    </row>
    <row r="370" spans="1:30" x14ac:dyDescent="0.2">
      <c r="A370" t="str">
        <f t="shared" si="112"/>
        <v>22/07/2026Union de Santa Fe WomenNewell's Old Boys Women</v>
      </c>
      <c r="B370" t="s">
        <v>806</v>
      </c>
      <c r="C370" t="s">
        <v>879</v>
      </c>
      <c r="D370" s="2">
        <v>46225</v>
      </c>
      <c r="E370" s="3">
        <v>0.75</v>
      </c>
      <c r="F370" t="s">
        <v>890</v>
      </c>
      <c r="G370" t="s">
        <v>891</v>
      </c>
      <c r="H370">
        <v>0</v>
      </c>
      <c r="I370">
        <v>0</v>
      </c>
      <c r="J370">
        <v>0</v>
      </c>
      <c r="K370">
        <v>2</v>
      </c>
      <c r="L370" s="22" t="str">
        <f t="shared" si="130"/>
        <v>22/07/2026</v>
      </c>
      <c r="M370" s="23">
        <f t="shared" si="131"/>
        <v>0.625</v>
      </c>
      <c r="N370" t="str">
        <f t="shared" si="113"/>
        <v>0 - 2</v>
      </c>
      <c r="O370" t="str">
        <f t="shared" si="114"/>
        <v>Red</v>
      </c>
      <c r="P370" t="str">
        <f t="shared" si="115"/>
        <v>Red</v>
      </c>
      <c r="Q370" t="str">
        <f t="shared" si="116"/>
        <v>Green</v>
      </c>
      <c r="R370" t="str">
        <f t="shared" si="117"/>
        <v>Red</v>
      </c>
      <c r="S370" t="str">
        <f t="shared" si="118"/>
        <v>Green</v>
      </c>
      <c r="T370" t="str">
        <f t="shared" si="119"/>
        <v>Green</v>
      </c>
      <c r="U370" t="str">
        <f t="shared" si="120"/>
        <v>Red</v>
      </c>
      <c r="V370" t="str">
        <f t="shared" si="121"/>
        <v>Green</v>
      </c>
      <c r="W370" t="str">
        <f t="shared" si="122"/>
        <v>Red</v>
      </c>
      <c r="X370" t="str">
        <f t="shared" si="123"/>
        <v>Red</v>
      </c>
      <c r="Y370" t="str">
        <f t="shared" si="124"/>
        <v>Green</v>
      </c>
      <c r="Z370" t="str">
        <f t="shared" si="125"/>
        <v>Red</v>
      </c>
      <c r="AA370" t="str">
        <f t="shared" si="126"/>
        <v>Green</v>
      </c>
      <c r="AB370" t="str">
        <f t="shared" si="127"/>
        <v>Green</v>
      </c>
      <c r="AC370" t="str">
        <f t="shared" si="128"/>
        <v>Red</v>
      </c>
      <c r="AD370" t="str">
        <f t="shared" si="129"/>
        <v>Green</v>
      </c>
    </row>
    <row r="371" spans="1:30" x14ac:dyDescent="0.2">
      <c r="A371" t="str">
        <f t="shared" si="112"/>
        <v>22/07/2026Blumenau Nacao Esportes</v>
      </c>
      <c r="B371" t="s">
        <v>804</v>
      </c>
      <c r="C371" t="s">
        <v>917</v>
      </c>
      <c r="D371" s="2">
        <v>46225</v>
      </c>
      <c r="E371" s="3">
        <v>0.75</v>
      </c>
      <c r="F371" t="s">
        <v>918</v>
      </c>
      <c r="G371" t="s">
        <v>919</v>
      </c>
      <c r="H371">
        <v>0</v>
      </c>
      <c r="I371">
        <v>0</v>
      </c>
      <c r="J371">
        <v>0</v>
      </c>
      <c r="K371">
        <v>2</v>
      </c>
      <c r="L371" s="22" t="str">
        <f t="shared" si="130"/>
        <v>22/07/2026</v>
      </c>
      <c r="M371" s="23">
        <f t="shared" si="131"/>
        <v>0.625</v>
      </c>
      <c r="N371" t="str">
        <f t="shared" si="113"/>
        <v>0 - 2</v>
      </c>
      <c r="O371" t="str">
        <f t="shared" si="114"/>
        <v>Red</v>
      </c>
      <c r="P371" t="str">
        <f t="shared" si="115"/>
        <v>Red</v>
      </c>
      <c r="Q371" t="str">
        <f t="shared" si="116"/>
        <v>Green</v>
      </c>
      <c r="R371" t="str">
        <f t="shared" si="117"/>
        <v>Red</v>
      </c>
      <c r="S371" t="str">
        <f t="shared" si="118"/>
        <v>Green</v>
      </c>
      <c r="T371" t="str">
        <f t="shared" si="119"/>
        <v>Green</v>
      </c>
      <c r="U371" t="str">
        <f t="shared" si="120"/>
        <v>Red</v>
      </c>
      <c r="V371" t="str">
        <f t="shared" si="121"/>
        <v>Green</v>
      </c>
      <c r="W371" t="str">
        <f t="shared" si="122"/>
        <v>Red</v>
      </c>
      <c r="X371" t="str">
        <f t="shared" si="123"/>
        <v>Red</v>
      </c>
      <c r="Y371" t="str">
        <f t="shared" si="124"/>
        <v>Green</v>
      </c>
      <c r="Z371" t="str">
        <f t="shared" si="125"/>
        <v>Red</v>
      </c>
      <c r="AA371" t="str">
        <f t="shared" si="126"/>
        <v>Green</v>
      </c>
      <c r="AB371" t="str">
        <f t="shared" si="127"/>
        <v>Green</v>
      </c>
      <c r="AC371" t="str">
        <f t="shared" si="128"/>
        <v>Red</v>
      </c>
      <c r="AD371" t="str">
        <f t="shared" si="129"/>
        <v>Green</v>
      </c>
    </row>
    <row r="372" spans="1:30" x14ac:dyDescent="0.2">
      <c r="A372" t="str">
        <f t="shared" si="112"/>
        <v>22/07/2026Fluminense SCAtletico Tubarao SC</v>
      </c>
      <c r="B372" t="s">
        <v>804</v>
      </c>
      <c r="C372" t="s">
        <v>917</v>
      </c>
      <c r="D372" s="2">
        <v>46225</v>
      </c>
      <c r="E372" s="3">
        <v>0.75</v>
      </c>
      <c r="F372" t="s">
        <v>920</v>
      </c>
      <c r="G372" t="s">
        <v>921</v>
      </c>
      <c r="H372">
        <v>0</v>
      </c>
      <c r="I372">
        <v>0</v>
      </c>
      <c r="J372">
        <v>2</v>
      </c>
      <c r="K372">
        <v>1</v>
      </c>
      <c r="L372" s="22" t="str">
        <f t="shared" ref="L372:L403" si="132">DAY(D372)&amp;"/"&amp;"07"&amp;"/"&amp;YEAR(D372)</f>
        <v>22/07/2026</v>
      </c>
      <c r="M372" s="23">
        <f t="shared" ref="M372:M403" si="133">E372-TIME(3,0,0)</f>
        <v>0.625</v>
      </c>
      <c r="N372" t="str">
        <f t="shared" si="113"/>
        <v>2 - 1</v>
      </c>
      <c r="O372" t="str">
        <f t="shared" si="114"/>
        <v>Green</v>
      </c>
      <c r="P372" t="str">
        <f t="shared" si="115"/>
        <v>Red</v>
      </c>
      <c r="Q372" t="str">
        <f t="shared" si="116"/>
        <v>Red</v>
      </c>
      <c r="R372" t="str">
        <f t="shared" si="117"/>
        <v>Green</v>
      </c>
      <c r="S372" t="str">
        <f t="shared" si="118"/>
        <v>Red</v>
      </c>
      <c r="T372" t="str">
        <f t="shared" si="119"/>
        <v>Green</v>
      </c>
      <c r="U372" t="str">
        <f t="shared" si="120"/>
        <v>Red</v>
      </c>
      <c r="V372" t="str">
        <f t="shared" si="121"/>
        <v>Green</v>
      </c>
      <c r="W372" t="str">
        <f t="shared" si="122"/>
        <v>Red</v>
      </c>
      <c r="X372" t="str">
        <f t="shared" si="123"/>
        <v>Red</v>
      </c>
      <c r="Y372" t="str">
        <f t="shared" si="124"/>
        <v>Green</v>
      </c>
      <c r="Z372" t="str">
        <f t="shared" si="125"/>
        <v>Green</v>
      </c>
      <c r="AA372" t="str">
        <f t="shared" si="126"/>
        <v>Red</v>
      </c>
      <c r="AB372" t="str">
        <f t="shared" si="127"/>
        <v>Green</v>
      </c>
      <c r="AC372" t="str">
        <f t="shared" si="128"/>
        <v>Green</v>
      </c>
      <c r="AD372" t="str">
        <f t="shared" si="129"/>
        <v>Red</v>
      </c>
    </row>
    <row r="373" spans="1:30" x14ac:dyDescent="0.2">
      <c r="A373" t="str">
        <f t="shared" si="112"/>
        <v>22/07/2026GE Juventus CA Metropolitano</v>
      </c>
      <c r="B373" t="s">
        <v>804</v>
      </c>
      <c r="C373" t="s">
        <v>917</v>
      </c>
      <c r="D373" s="2">
        <v>46225</v>
      </c>
      <c r="E373" s="3">
        <v>0.75</v>
      </c>
      <c r="F373" t="s">
        <v>922</v>
      </c>
      <c r="G373" t="s">
        <v>923</v>
      </c>
      <c r="H373">
        <v>0</v>
      </c>
      <c r="I373">
        <v>0</v>
      </c>
      <c r="J373">
        <v>0</v>
      </c>
      <c r="K373">
        <v>2</v>
      </c>
      <c r="L373" s="22" t="str">
        <f t="shared" si="132"/>
        <v>22/07/2026</v>
      </c>
      <c r="M373" s="23">
        <f t="shared" si="133"/>
        <v>0.625</v>
      </c>
      <c r="N373" t="str">
        <f t="shared" si="113"/>
        <v>0 - 2</v>
      </c>
      <c r="O373" t="str">
        <f t="shared" si="114"/>
        <v>Red</v>
      </c>
      <c r="P373" t="str">
        <f t="shared" si="115"/>
        <v>Red</v>
      </c>
      <c r="Q373" t="str">
        <f t="shared" si="116"/>
        <v>Green</v>
      </c>
      <c r="R373" t="str">
        <f t="shared" si="117"/>
        <v>Red</v>
      </c>
      <c r="S373" t="str">
        <f t="shared" si="118"/>
        <v>Green</v>
      </c>
      <c r="T373" t="str">
        <f t="shared" si="119"/>
        <v>Green</v>
      </c>
      <c r="U373" t="str">
        <f t="shared" si="120"/>
        <v>Red</v>
      </c>
      <c r="V373" t="str">
        <f t="shared" si="121"/>
        <v>Green</v>
      </c>
      <c r="W373" t="str">
        <f t="shared" si="122"/>
        <v>Red</v>
      </c>
      <c r="X373" t="str">
        <f t="shared" si="123"/>
        <v>Red</v>
      </c>
      <c r="Y373" t="str">
        <f t="shared" si="124"/>
        <v>Green</v>
      </c>
      <c r="Z373" t="str">
        <f t="shared" si="125"/>
        <v>Red</v>
      </c>
      <c r="AA373" t="str">
        <f t="shared" si="126"/>
        <v>Green</v>
      </c>
      <c r="AB373" t="str">
        <f t="shared" si="127"/>
        <v>Green</v>
      </c>
      <c r="AC373" t="str">
        <f t="shared" si="128"/>
        <v>Red</v>
      </c>
      <c r="AD373" t="str">
        <f t="shared" si="129"/>
        <v>Green</v>
      </c>
    </row>
    <row r="374" spans="1:30" x14ac:dyDescent="0.2">
      <c r="A374" t="str">
        <f t="shared" si="112"/>
        <v>22/07/2026Guarani SCJaragua SC</v>
      </c>
      <c r="B374" t="s">
        <v>804</v>
      </c>
      <c r="C374" t="s">
        <v>917</v>
      </c>
      <c r="D374" s="2">
        <v>46225</v>
      </c>
      <c r="E374" s="3">
        <v>0.75</v>
      </c>
      <c r="F374" t="s">
        <v>924</v>
      </c>
      <c r="G374" t="s">
        <v>925</v>
      </c>
      <c r="H374">
        <v>0</v>
      </c>
      <c r="I374">
        <v>0</v>
      </c>
      <c r="J374">
        <v>7</v>
      </c>
      <c r="K374">
        <v>0</v>
      </c>
      <c r="L374" s="22" t="str">
        <f t="shared" si="132"/>
        <v>22/07/2026</v>
      </c>
      <c r="M374" s="23">
        <f t="shared" si="133"/>
        <v>0.625</v>
      </c>
      <c r="N374" t="str">
        <f t="shared" si="113"/>
        <v>7 - 0</v>
      </c>
      <c r="O374" t="str">
        <f t="shared" si="114"/>
        <v>Green</v>
      </c>
      <c r="P374" t="str">
        <f t="shared" si="115"/>
        <v>Red</v>
      </c>
      <c r="Q374" t="str">
        <f t="shared" si="116"/>
        <v>Red</v>
      </c>
      <c r="R374" t="str">
        <f t="shared" si="117"/>
        <v>Green</v>
      </c>
      <c r="S374" t="str">
        <f t="shared" si="118"/>
        <v>Red</v>
      </c>
      <c r="T374" t="str">
        <f t="shared" si="119"/>
        <v>Green</v>
      </c>
      <c r="U374" t="str">
        <f t="shared" si="120"/>
        <v>Red</v>
      </c>
      <c r="V374" t="str">
        <f t="shared" si="121"/>
        <v>Green</v>
      </c>
      <c r="W374" t="str">
        <f t="shared" si="122"/>
        <v>Red</v>
      </c>
      <c r="X374" t="str">
        <f t="shared" si="123"/>
        <v>Red</v>
      </c>
      <c r="Y374" t="str">
        <f t="shared" si="124"/>
        <v>Green</v>
      </c>
      <c r="Z374" t="str">
        <f t="shared" si="125"/>
        <v>Green</v>
      </c>
      <c r="AA374" t="str">
        <f t="shared" si="126"/>
        <v>Red</v>
      </c>
      <c r="AB374" t="str">
        <f t="shared" si="127"/>
        <v>Red</v>
      </c>
      <c r="AC374" t="str">
        <f t="shared" si="128"/>
        <v>Red</v>
      </c>
      <c r="AD374" t="str">
        <f t="shared" si="129"/>
        <v>Green</v>
      </c>
    </row>
    <row r="375" spans="1:30" x14ac:dyDescent="0.2">
      <c r="A375" t="str">
        <f t="shared" si="112"/>
        <v>22/07/2026Audax Sao MateusEspirito Santo FC</v>
      </c>
      <c r="B375" t="s">
        <v>804</v>
      </c>
      <c r="C375" t="s">
        <v>818</v>
      </c>
      <c r="D375" s="2">
        <v>46225</v>
      </c>
      <c r="E375" s="3">
        <v>0.75</v>
      </c>
      <c r="F375" t="s">
        <v>928</v>
      </c>
      <c r="G375" t="s">
        <v>929</v>
      </c>
      <c r="H375">
        <v>0</v>
      </c>
      <c r="I375">
        <v>0</v>
      </c>
      <c r="J375">
        <v>2</v>
      </c>
      <c r="K375">
        <v>0</v>
      </c>
      <c r="L375" s="22" t="str">
        <f t="shared" si="132"/>
        <v>22/07/2026</v>
      </c>
      <c r="M375" s="23">
        <f t="shared" si="133"/>
        <v>0.625</v>
      </c>
      <c r="N375" t="str">
        <f t="shared" si="113"/>
        <v>2 - 0</v>
      </c>
      <c r="O375" t="str">
        <f t="shared" si="114"/>
        <v>Green</v>
      </c>
      <c r="P375" t="str">
        <f t="shared" si="115"/>
        <v>Red</v>
      </c>
      <c r="Q375" t="str">
        <f t="shared" si="116"/>
        <v>Red</v>
      </c>
      <c r="R375" t="str">
        <f t="shared" si="117"/>
        <v>Green</v>
      </c>
      <c r="S375" t="str">
        <f t="shared" si="118"/>
        <v>Red</v>
      </c>
      <c r="T375" t="str">
        <f t="shared" si="119"/>
        <v>Green</v>
      </c>
      <c r="U375" t="str">
        <f t="shared" si="120"/>
        <v>Red</v>
      </c>
      <c r="V375" t="str">
        <f t="shared" si="121"/>
        <v>Green</v>
      </c>
      <c r="W375" t="str">
        <f t="shared" si="122"/>
        <v>Red</v>
      </c>
      <c r="X375" t="str">
        <f t="shared" si="123"/>
        <v>Red</v>
      </c>
      <c r="Y375" t="str">
        <f t="shared" si="124"/>
        <v>Green</v>
      </c>
      <c r="Z375" t="str">
        <f t="shared" si="125"/>
        <v>Red</v>
      </c>
      <c r="AA375" t="str">
        <f t="shared" si="126"/>
        <v>Green</v>
      </c>
      <c r="AB375" t="str">
        <f t="shared" si="127"/>
        <v>Green</v>
      </c>
      <c r="AC375" t="str">
        <f t="shared" si="128"/>
        <v>Red</v>
      </c>
      <c r="AD375" t="str">
        <f t="shared" si="129"/>
        <v>Green</v>
      </c>
    </row>
    <row r="376" spans="1:30" x14ac:dyDescent="0.2">
      <c r="A376" t="str">
        <f t="shared" si="112"/>
        <v>22/07/2026Estrela do NortePinheiros ES</v>
      </c>
      <c r="B376" t="s">
        <v>804</v>
      </c>
      <c r="C376" t="s">
        <v>818</v>
      </c>
      <c r="D376" s="2">
        <v>46225</v>
      </c>
      <c r="E376" s="3">
        <v>0.75</v>
      </c>
      <c r="F376" t="s">
        <v>1788</v>
      </c>
      <c r="G376" t="s">
        <v>1789</v>
      </c>
      <c r="H376">
        <v>0</v>
      </c>
      <c r="I376">
        <v>0</v>
      </c>
      <c r="J376">
        <v>5</v>
      </c>
      <c r="K376">
        <v>0</v>
      </c>
      <c r="L376" s="22" t="str">
        <f t="shared" si="132"/>
        <v>22/07/2026</v>
      </c>
      <c r="M376" s="23">
        <f t="shared" si="133"/>
        <v>0.625</v>
      </c>
      <c r="N376" t="str">
        <f t="shared" si="113"/>
        <v>5 - 0</v>
      </c>
      <c r="O376" t="str">
        <f t="shared" si="114"/>
        <v>Green</v>
      </c>
      <c r="P376" t="str">
        <f t="shared" si="115"/>
        <v>Red</v>
      </c>
      <c r="Q376" t="str">
        <f t="shared" si="116"/>
        <v>Red</v>
      </c>
      <c r="R376" t="str">
        <f t="shared" si="117"/>
        <v>Green</v>
      </c>
      <c r="S376" t="str">
        <f t="shared" si="118"/>
        <v>Red</v>
      </c>
      <c r="T376" t="str">
        <f t="shared" si="119"/>
        <v>Green</v>
      </c>
      <c r="U376" t="str">
        <f t="shared" si="120"/>
        <v>Red</v>
      </c>
      <c r="V376" t="str">
        <f t="shared" si="121"/>
        <v>Green</v>
      </c>
      <c r="W376" t="str">
        <f t="shared" si="122"/>
        <v>Red</v>
      </c>
      <c r="X376" t="str">
        <f t="shared" si="123"/>
        <v>Red</v>
      </c>
      <c r="Y376" t="str">
        <f t="shared" si="124"/>
        <v>Green</v>
      </c>
      <c r="Z376" t="str">
        <f t="shared" si="125"/>
        <v>Green</v>
      </c>
      <c r="AA376" t="str">
        <f t="shared" si="126"/>
        <v>Red</v>
      </c>
      <c r="AB376" t="str">
        <f t="shared" si="127"/>
        <v>Red</v>
      </c>
      <c r="AC376" t="str">
        <f t="shared" si="128"/>
        <v>Red</v>
      </c>
      <c r="AD376" t="str">
        <f t="shared" si="129"/>
        <v>Green</v>
      </c>
    </row>
    <row r="377" spans="1:30" x14ac:dyDescent="0.2">
      <c r="A377" t="str">
        <f t="shared" si="112"/>
        <v>22/07/2026Zumbi EC U20Coruripe U20</v>
      </c>
      <c r="B377" t="s">
        <v>804</v>
      </c>
      <c r="D377" s="2">
        <v>46225</v>
      </c>
      <c r="E377" s="3">
        <v>0.75</v>
      </c>
      <c r="F377" t="s">
        <v>1790</v>
      </c>
      <c r="G377" t="s">
        <v>1791</v>
      </c>
      <c r="H377">
        <v>0</v>
      </c>
      <c r="I377">
        <v>0</v>
      </c>
      <c r="J377">
        <v>0</v>
      </c>
      <c r="K377">
        <v>0</v>
      </c>
      <c r="L377" s="22" t="str">
        <f t="shared" si="132"/>
        <v>22/07/2026</v>
      </c>
      <c r="M377" s="23">
        <f t="shared" si="133"/>
        <v>0.625</v>
      </c>
      <c r="N377" t="str">
        <f t="shared" si="113"/>
        <v>0 - 0</v>
      </c>
      <c r="O377" t="str">
        <f t="shared" si="114"/>
        <v>Red</v>
      </c>
      <c r="P377" t="str">
        <f t="shared" si="115"/>
        <v>Green</v>
      </c>
      <c r="Q377" t="str">
        <f t="shared" si="116"/>
        <v>Red</v>
      </c>
      <c r="R377" t="str">
        <f t="shared" si="117"/>
        <v>Green</v>
      </c>
      <c r="S377" t="str">
        <f t="shared" si="118"/>
        <v>Green</v>
      </c>
      <c r="T377" t="str">
        <f t="shared" si="119"/>
        <v>Red</v>
      </c>
      <c r="U377" t="str">
        <f t="shared" si="120"/>
        <v>Red</v>
      </c>
      <c r="V377" t="str">
        <f t="shared" si="121"/>
        <v>Green</v>
      </c>
      <c r="W377" t="str">
        <f t="shared" si="122"/>
        <v>Red</v>
      </c>
      <c r="X377" t="str">
        <f t="shared" si="123"/>
        <v>Red</v>
      </c>
      <c r="Y377" t="str">
        <f t="shared" si="124"/>
        <v>Red</v>
      </c>
      <c r="Z377" t="str">
        <f t="shared" si="125"/>
        <v>Red</v>
      </c>
      <c r="AA377" t="str">
        <f t="shared" si="126"/>
        <v>Green</v>
      </c>
      <c r="AB377" t="str">
        <f t="shared" si="127"/>
        <v>Green</v>
      </c>
      <c r="AC377" t="str">
        <f t="shared" si="128"/>
        <v>Red</v>
      </c>
      <c r="AD377" t="str">
        <f t="shared" si="129"/>
        <v>Green</v>
      </c>
    </row>
    <row r="378" spans="1:30" x14ac:dyDescent="0.2">
      <c r="A378" t="str">
        <f t="shared" si="112"/>
        <v>22/07/2026Figueirense U20Carlos Renaux U20</v>
      </c>
      <c r="B378" t="s">
        <v>804</v>
      </c>
      <c r="D378" s="2">
        <v>46225</v>
      </c>
      <c r="E378" s="3">
        <v>0.75</v>
      </c>
      <c r="F378" t="s">
        <v>1792</v>
      </c>
      <c r="G378" t="s">
        <v>1793</v>
      </c>
      <c r="H378">
        <v>0</v>
      </c>
      <c r="I378">
        <v>0</v>
      </c>
      <c r="J378">
        <v>1</v>
      </c>
      <c r="K378">
        <v>2</v>
      </c>
      <c r="L378" s="22" t="str">
        <f t="shared" si="132"/>
        <v>22/07/2026</v>
      </c>
      <c r="M378" s="23">
        <f t="shared" si="133"/>
        <v>0.625</v>
      </c>
      <c r="N378" t="str">
        <f t="shared" si="113"/>
        <v>1 - 2</v>
      </c>
      <c r="O378" t="str">
        <f t="shared" si="114"/>
        <v>Red</v>
      </c>
      <c r="P378" t="str">
        <f t="shared" si="115"/>
        <v>Red</v>
      </c>
      <c r="Q378" t="str">
        <f t="shared" si="116"/>
        <v>Green</v>
      </c>
      <c r="R378" t="str">
        <f t="shared" si="117"/>
        <v>Red</v>
      </c>
      <c r="S378" t="str">
        <f t="shared" si="118"/>
        <v>Green</v>
      </c>
      <c r="T378" t="str">
        <f t="shared" si="119"/>
        <v>Green</v>
      </c>
      <c r="U378" t="str">
        <f t="shared" si="120"/>
        <v>Red</v>
      </c>
      <c r="V378" t="str">
        <f t="shared" si="121"/>
        <v>Green</v>
      </c>
      <c r="W378" t="str">
        <f t="shared" si="122"/>
        <v>Red</v>
      </c>
      <c r="X378" t="str">
        <f t="shared" si="123"/>
        <v>Red</v>
      </c>
      <c r="Y378" t="str">
        <f t="shared" si="124"/>
        <v>Green</v>
      </c>
      <c r="Z378" t="str">
        <f t="shared" si="125"/>
        <v>Green</v>
      </c>
      <c r="AA378" t="str">
        <f t="shared" si="126"/>
        <v>Red</v>
      </c>
      <c r="AB378" t="str">
        <f t="shared" si="127"/>
        <v>Green</v>
      </c>
      <c r="AC378" t="str">
        <f t="shared" si="128"/>
        <v>Green</v>
      </c>
      <c r="AD378" t="str">
        <f t="shared" si="129"/>
        <v>Red</v>
      </c>
    </row>
    <row r="379" spans="1:30" x14ac:dyDescent="0.2">
      <c r="A379" t="str">
        <f t="shared" si="112"/>
        <v>22/07/2026Joinville U20Criciuma U20</v>
      </c>
      <c r="B379" t="s">
        <v>804</v>
      </c>
      <c r="D379" s="2">
        <v>46225</v>
      </c>
      <c r="E379" s="3">
        <v>0.75</v>
      </c>
      <c r="F379" t="s">
        <v>1794</v>
      </c>
      <c r="G379" t="s">
        <v>1795</v>
      </c>
      <c r="H379">
        <v>0</v>
      </c>
      <c r="I379">
        <v>0</v>
      </c>
      <c r="J379">
        <v>1</v>
      </c>
      <c r="K379">
        <v>3</v>
      </c>
      <c r="L379" s="22" t="str">
        <f t="shared" si="132"/>
        <v>22/07/2026</v>
      </c>
      <c r="M379" s="23">
        <f t="shared" si="133"/>
        <v>0.625</v>
      </c>
      <c r="N379" t="str">
        <f t="shared" si="113"/>
        <v>1 - 3</v>
      </c>
      <c r="O379" t="str">
        <f t="shared" si="114"/>
        <v>Red</v>
      </c>
      <c r="P379" t="str">
        <f t="shared" si="115"/>
        <v>Red</v>
      </c>
      <c r="Q379" t="str">
        <f t="shared" si="116"/>
        <v>Green</v>
      </c>
      <c r="R379" t="str">
        <f t="shared" si="117"/>
        <v>Red</v>
      </c>
      <c r="S379" t="str">
        <f t="shared" si="118"/>
        <v>Green</v>
      </c>
      <c r="T379" t="str">
        <f t="shared" si="119"/>
        <v>Green</v>
      </c>
      <c r="U379" t="str">
        <f t="shared" si="120"/>
        <v>Red</v>
      </c>
      <c r="V379" t="str">
        <f t="shared" si="121"/>
        <v>Green</v>
      </c>
      <c r="W379" t="str">
        <f t="shared" si="122"/>
        <v>Red</v>
      </c>
      <c r="X379" t="str">
        <f t="shared" si="123"/>
        <v>Red</v>
      </c>
      <c r="Y379" t="str">
        <f t="shared" si="124"/>
        <v>Green</v>
      </c>
      <c r="Z379" t="str">
        <f t="shared" si="125"/>
        <v>Green</v>
      </c>
      <c r="AA379" t="str">
        <f t="shared" si="126"/>
        <v>Red</v>
      </c>
      <c r="AB379" t="str">
        <f t="shared" si="127"/>
        <v>Red</v>
      </c>
      <c r="AC379" t="str">
        <f t="shared" si="128"/>
        <v>Green</v>
      </c>
      <c r="AD379" t="str">
        <f t="shared" si="129"/>
        <v>Red</v>
      </c>
    </row>
    <row r="380" spans="1:30" x14ac:dyDescent="0.2">
      <c r="A380" t="str">
        <f t="shared" si="112"/>
        <v>22/07/2026Nacao Esportes U20Avai U20</v>
      </c>
      <c r="B380" t="s">
        <v>804</v>
      </c>
      <c r="D380" s="2">
        <v>46225</v>
      </c>
      <c r="E380" s="3">
        <v>0.75</v>
      </c>
      <c r="F380" t="s">
        <v>1796</v>
      </c>
      <c r="G380" t="s">
        <v>1797</v>
      </c>
      <c r="H380">
        <v>0</v>
      </c>
      <c r="I380">
        <v>0</v>
      </c>
      <c r="J380">
        <v>1</v>
      </c>
      <c r="K380">
        <v>2</v>
      </c>
      <c r="L380" s="22" t="str">
        <f t="shared" si="132"/>
        <v>22/07/2026</v>
      </c>
      <c r="M380" s="23">
        <f t="shared" si="133"/>
        <v>0.625</v>
      </c>
      <c r="N380" t="str">
        <f t="shared" si="113"/>
        <v>1 - 2</v>
      </c>
      <c r="O380" t="str">
        <f t="shared" si="114"/>
        <v>Red</v>
      </c>
      <c r="P380" t="str">
        <f t="shared" si="115"/>
        <v>Red</v>
      </c>
      <c r="Q380" t="str">
        <f t="shared" si="116"/>
        <v>Green</v>
      </c>
      <c r="R380" t="str">
        <f t="shared" si="117"/>
        <v>Red</v>
      </c>
      <c r="S380" t="str">
        <f t="shared" si="118"/>
        <v>Green</v>
      </c>
      <c r="T380" t="str">
        <f t="shared" si="119"/>
        <v>Green</v>
      </c>
      <c r="U380" t="str">
        <f t="shared" si="120"/>
        <v>Red</v>
      </c>
      <c r="V380" t="str">
        <f t="shared" si="121"/>
        <v>Green</v>
      </c>
      <c r="W380" t="str">
        <f t="shared" si="122"/>
        <v>Red</v>
      </c>
      <c r="X380" t="str">
        <f t="shared" si="123"/>
        <v>Red</v>
      </c>
      <c r="Y380" t="str">
        <f t="shared" si="124"/>
        <v>Green</v>
      </c>
      <c r="Z380" t="str">
        <f t="shared" si="125"/>
        <v>Green</v>
      </c>
      <c r="AA380" t="str">
        <f t="shared" si="126"/>
        <v>Red</v>
      </c>
      <c r="AB380" t="str">
        <f t="shared" si="127"/>
        <v>Green</v>
      </c>
      <c r="AC380" t="str">
        <f t="shared" si="128"/>
        <v>Green</v>
      </c>
      <c r="AD380" t="str">
        <f t="shared" si="129"/>
        <v>Red</v>
      </c>
    </row>
    <row r="381" spans="1:30" x14ac:dyDescent="0.2">
      <c r="A381" t="str">
        <f t="shared" si="112"/>
        <v>22/07/2026Pyunik Women WomenWrexham Women</v>
      </c>
      <c r="B381" t="s">
        <v>802</v>
      </c>
      <c r="D381" s="2">
        <v>46225</v>
      </c>
      <c r="E381" s="3">
        <v>0.75</v>
      </c>
      <c r="F381" t="s">
        <v>1798</v>
      </c>
      <c r="G381" t="s">
        <v>1799</v>
      </c>
      <c r="H381">
        <v>1</v>
      </c>
      <c r="I381">
        <v>1</v>
      </c>
      <c r="J381">
        <v>2</v>
      </c>
      <c r="K381">
        <v>4</v>
      </c>
      <c r="L381" s="22" t="str">
        <f t="shared" si="132"/>
        <v>22/07/2026</v>
      </c>
      <c r="M381" s="23">
        <f t="shared" si="133"/>
        <v>0.625</v>
      </c>
      <c r="N381" t="str">
        <f t="shared" si="113"/>
        <v>2 - 4</v>
      </c>
      <c r="O381" t="str">
        <f t="shared" si="114"/>
        <v>Red</v>
      </c>
      <c r="P381" t="str">
        <f t="shared" si="115"/>
        <v>Red</v>
      </c>
      <c r="Q381" t="str">
        <f t="shared" si="116"/>
        <v>Green</v>
      </c>
      <c r="R381" t="str">
        <f t="shared" si="117"/>
        <v>Red</v>
      </c>
      <c r="S381" t="str">
        <f t="shared" si="118"/>
        <v>Green</v>
      </c>
      <c r="T381" t="str">
        <f t="shared" si="119"/>
        <v>Green</v>
      </c>
      <c r="U381" t="str">
        <f t="shared" si="120"/>
        <v>Red</v>
      </c>
      <c r="V381" t="str">
        <f t="shared" si="121"/>
        <v>Green</v>
      </c>
      <c r="W381" t="str">
        <f t="shared" si="122"/>
        <v>Red</v>
      </c>
      <c r="X381" t="str">
        <f t="shared" si="123"/>
        <v>Green</v>
      </c>
      <c r="Y381" t="str">
        <f t="shared" si="124"/>
        <v>Green</v>
      </c>
      <c r="Z381" t="str">
        <f t="shared" si="125"/>
        <v>Green</v>
      </c>
      <c r="AA381" t="str">
        <f t="shared" si="126"/>
        <v>Red</v>
      </c>
      <c r="AB381" t="str">
        <f t="shared" si="127"/>
        <v>Red</v>
      </c>
      <c r="AC381" t="str">
        <f t="shared" si="128"/>
        <v>Green</v>
      </c>
      <c r="AD381" t="str">
        <f t="shared" si="129"/>
        <v>Red</v>
      </c>
    </row>
    <row r="382" spans="1:30" x14ac:dyDescent="0.2">
      <c r="A382" t="str">
        <f t="shared" si="112"/>
        <v>22/07/2026KAC KenitraAS Mansouria</v>
      </c>
      <c r="D382" s="2">
        <v>46225</v>
      </c>
      <c r="E382" s="3">
        <v>0.75</v>
      </c>
      <c r="F382" t="s">
        <v>1800</v>
      </c>
      <c r="G382" t="s">
        <v>1801</v>
      </c>
      <c r="H382">
        <v>0</v>
      </c>
      <c r="I382">
        <v>0</v>
      </c>
      <c r="J382">
        <v>2</v>
      </c>
      <c r="K382">
        <v>0</v>
      </c>
      <c r="L382" s="22" t="str">
        <f t="shared" si="132"/>
        <v>22/07/2026</v>
      </c>
      <c r="M382" s="23">
        <f t="shared" si="133"/>
        <v>0.625</v>
      </c>
      <c r="N382" t="str">
        <f t="shared" si="113"/>
        <v>2 - 0</v>
      </c>
      <c r="O382" t="str">
        <f t="shared" si="114"/>
        <v>Green</v>
      </c>
      <c r="P382" t="str">
        <f t="shared" si="115"/>
        <v>Red</v>
      </c>
      <c r="Q382" t="str">
        <f t="shared" si="116"/>
        <v>Red</v>
      </c>
      <c r="R382" t="str">
        <f t="shared" si="117"/>
        <v>Green</v>
      </c>
      <c r="S382" t="str">
        <f t="shared" si="118"/>
        <v>Red</v>
      </c>
      <c r="T382" t="str">
        <f t="shared" si="119"/>
        <v>Green</v>
      </c>
      <c r="U382" t="str">
        <f t="shared" si="120"/>
        <v>Red</v>
      </c>
      <c r="V382" t="str">
        <f t="shared" si="121"/>
        <v>Green</v>
      </c>
      <c r="W382" t="str">
        <f t="shared" si="122"/>
        <v>Red</v>
      </c>
      <c r="X382" t="str">
        <f t="shared" si="123"/>
        <v>Red</v>
      </c>
      <c r="Y382" t="str">
        <f t="shared" si="124"/>
        <v>Green</v>
      </c>
      <c r="Z382" t="str">
        <f t="shared" si="125"/>
        <v>Red</v>
      </c>
      <c r="AA382" t="str">
        <f t="shared" si="126"/>
        <v>Green</v>
      </c>
      <c r="AB382" t="str">
        <f t="shared" si="127"/>
        <v>Green</v>
      </c>
      <c r="AC382" t="str">
        <f t="shared" si="128"/>
        <v>Red</v>
      </c>
      <c r="AD382" t="str">
        <f t="shared" si="129"/>
        <v>Green</v>
      </c>
    </row>
    <row r="383" spans="1:30" x14ac:dyDescent="0.2">
      <c r="A383" t="str">
        <f t="shared" si="112"/>
        <v>22/07/2026US BoujaadRapide Oued Zem</v>
      </c>
      <c r="D383" s="2">
        <v>46225</v>
      </c>
      <c r="E383" s="3">
        <v>0.75</v>
      </c>
      <c r="F383" t="s">
        <v>1802</v>
      </c>
      <c r="G383" t="s">
        <v>1803</v>
      </c>
      <c r="H383">
        <v>0</v>
      </c>
      <c r="I383">
        <v>0</v>
      </c>
      <c r="J383">
        <v>4</v>
      </c>
      <c r="K383">
        <v>1</v>
      </c>
      <c r="L383" s="22" t="str">
        <f t="shared" si="132"/>
        <v>22/07/2026</v>
      </c>
      <c r="M383" s="23">
        <f t="shared" si="133"/>
        <v>0.625</v>
      </c>
      <c r="N383" t="str">
        <f t="shared" si="113"/>
        <v>4 - 1</v>
      </c>
      <c r="O383" t="str">
        <f t="shared" si="114"/>
        <v>Green</v>
      </c>
      <c r="P383" t="str">
        <f t="shared" si="115"/>
        <v>Red</v>
      </c>
      <c r="Q383" t="str">
        <f t="shared" si="116"/>
        <v>Red</v>
      </c>
      <c r="R383" t="str">
        <f t="shared" si="117"/>
        <v>Green</v>
      </c>
      <c r="S383" t="str">
        <f t="shared" si="118"/>
        <v>Red</v>
      </c>
      <c r="T383" t="str">
        <f t="shared" si="119"/>
        <v>Green</v>
      </c>
      <c r="U383" t="str">
        <f t="shared" si="120"/>
        <v>Red</v>
      </c>
      <c r="V383" t="str">
        <f t="shared" si="121"/>
        <v>Green</v>
      </c>
      <c r="W383" t="str">
        <f t="shared" si="122"/>
        <v>Red</v>
      </c>
      <c r="X383" t="str">
        <f t="shared" si="123"/>
        <v>Red</v>
      </c>
      <c r="Y383" t="str">
        <f t="shared" si="124"/>
        <v>Green</v>
      </c>
      <c r="Z383" t="str">
        <f t="shared" si="125"/>
        <v>Green</v>
      </c>
      <c r="AA383" t="str">
        <f t="shared" si="126"/>
        <v>Red</v>
      </c>
      <c r="AB383" t="str">
        <f t="shared" si="127"/>
        <v>Red</v>
      </c>
      <c r="AC383" t="str">
        <f t="shared" si="128"/>
        <v>Green</v>
      </c>
      <c r="AD383" t="str">
        <f t="shared" si="129"/>
        <v>Red</v>
      </c>
    </row>
    <row r="384" spans="1:30" x14ac:dyDescent="0.2">
      <c r="A384" t="str">
        <f t="shared" si="112"/>
        <v>22/07/2026AFC WimbledonNorwich</v>
      </c>
      <c r="D384" s="2">
        <v>46225</v>
      </c>
      <c r="E384" s="3">
        <v>0.75</v>
      </c>
      <c r="F384" t="s">
        <v>1804</v>
      </c>
      <c r="G384" t="s">
        <v>1805</v>
      </c>
      <c r="H384">
        <v>0</v>
      </c>
      <c r="I384">
        <v>0</v>
      </c>
      <c r="J384">
        <v>0</v>
      </c>
      <c r="K384">
        <v>0</v>
      </c>
      <c r="L384" s="22" t="str">
        <f t="shared" si="132"/>
        <v>22/07/2026</v>
      </c>
      <c r="M384" s="23">
        <f t="shared" si="133"/>
        <v>0.625</v>
      </c>
      <c r="N384" t="str">
        <f t="shared" si="113"/>
        <v>0 - 0</v>
      </c>
      <c r="O384" t="str">
        <f t="shared" si="114"/>
        <v>Red</v>
      </c>
      <c r="P384" t="str">
        <f t="shared" si="115"/>
        <v>Green</v>
      </c>
      <c r="Q384" t="str">
        <f t="shared" si="116"/>
        <v>Red</v>
      </c>
      <c r="R384" t="str">
        <f t="shared" si="117"/>
        <v>Green</v>
      </c>
      <c r="S384" t="str">
        <f t="shared" si="118"/>
        <v>Green</v>
      </c>
      <c r="T384" t="str">
        <f t="shared" si="119"/>
        <v>Red</v>
      </c>
      <c r="U384" t="str">
        <f t="shared" si="120"/>
        <v>Red</v>
      </c>
      <c r="V384" t="str">
        <f t="shared" si="121"/>
        <v>Green</v>
      </c>
      <c r="W384" t="str">
        <f t="shared" si="122"/>
        <v>Red</v>
      </c>
      <c r="X384" t="str">
        <f t="shared" si="123"/>
        <v>Red</v>
      </c>
      <c r="Y384" t="str">
        <f t="shared" si="124"/>
        <v>Red</v>
      </c>
      <c r="Z384" t="str">
        <f t="shared" si="125"/>
        <v>Red</v>
      </c>
      <c r="AA384" t="str">
        <f t="shared" si="126"/>
        <v>Green</v>
      </c>
      <c r="AB384" t="str">
        <f t="shared" si="127"/>
        <v>Green</v>
      </c>
      <c r="AC384" t="str">
        <f t="shared" si="128"/>
        <v>Red</v>
      </c>
      <c r="AD384" t="str">
        <f t="shared" si="129"/>
        <v>Green</v>
      </c>
    </row>
    <row r="385" spans="1:30" x14ac:dyDescent="0.2">
      <c r="A385" t="str">
        <f t="shared" si="112"/>
        <v>22/07/2026UE OlotGirona</v>
      </c>
      <c r="D385" s="2">
        <v>46225</v>
      </c>
      <c r="E385" s="3">
        <v>0.75</v>
      </c>
      <c r="F385" t="s">
        <v>1806</v>
      </c>
      <c r="G385" t="s">
        <v>1807</v>
      </c>
      <c r="H385">
        <v>0</v>
      </c>
      <c r="I385">
        <v>2</v>
      </c>
      <c r="J385">
        <v>1</v>
      </c>
      <c r="K385">
        <v>3</v>
      </c>
      <c r="L385" s="22" t="str">
        <f t="shared" si="132"/>
        <v>22/07/2026</v>
      </c>
      <c r="M385" s="23">
        <f t="shared" si="133"/>
        <v>0.625</v>
      </c>
      <c r="N385" t="str">
        <f t="shared" si="113"/>
        <v>1 - 3</v>
      </c>
      <c r="O385" t="str">
        <f t="shared" si="114"/>
        <v>Red</v>
      </c>
      <c r="P385" t="str">
        <f t="shared" si="115"/>
        <v>Red</v>
      </c>
      <c r="Q385" t="str">
        <f t="shared" si="116"/>
        <v>Green</v>
      </c>
      <c r="R385" t="str">
        <f t="shared" si="117"/>
        <v>Red</v>
      </c>
      <c r="S385" t="str">
        <f t="shared" si="118"/>
        <v>Green</v>
      </c>
      <c r="T385" t="str">
        <f t="shared" si="119"/>
        <v>Green</v>
      </c>
      <c r="U385" t="str">
        <f t="shared" si="120"/>
        <v>Red</v>
      </c>
      <c r="V385" t="str">
        <f t="shared" si="121"/>
        <v>Red</v>
      </c>
      <c r="W385" t="str">
        <f t="shared" si="122"/>
        <v>Green</v>
      </c>
      <c r="X385" t="str">
        <f t="shared" si="123"/>
        <v>Green</v>
      </c>
      <c r="Y385" t="str">
        <f t="shared" si="124"/>
        <v>Green</v>
      </c>
      <c r="Z385" t="str">
        <f t="shared" si="125"/>
        <v>Green</v>
      </c>
      <c r="AA385" t="str">
        <f t="shared" si="126"/>
        <v>Red</v>
      </c>
      <c r="AB385" t="str">
        <f t="shared" si="127"/>
        <v>Red</v>
      </c>
      <c r="AC385" t="str">
        <f t="shared" si="128"/>
        <v>Green</v>
      </c>
      <c r="AD385" t="str">
        <f t="shared" si="129"/>
        <v>Red</v>
      </c>
    </row>
    <row r="386" spans="1:30" x14ac:dyDescent="0.2">
      <c r="A386" t="str">
        <f t="shared" ref="A386:A449" si="134">L386&amp;F386&amp;G386</f>
        <v>22/07/2026ValenciaEldense</v>
      </c>
      <c r="D386" s="2">
        <v>46225</v>
      </c>
      <c r="E386" s="3">
        <v>0.75</v>
      </c>
      <c r="F386" t="s">
        <v>1808</v>
      </c>
      <c r="G386" t="s">
        <v>1809</v>
      </c>
      <c r="H386">
        <v>3</v>
      </c>
      <c r="I386">
        <v>0</v>
      </c>
      <c r="J386">
        <v>3</v>
      </c>
      <c r="K386">
        <v>0</v>
      </c>
      <c r="L386" s="22" t="str">
        <f t="shared" si="132"/>
        <v>22/07/2026</v>
      </c>
      <c r="M386" s="23">
        <f t="shared" si="133"/>
        <v>0.625</v>
      </c>
      <c r="N386" t="str">
        <f t="shared" ref="N386:N449" si="135">J386&amp;" - "&amp;K386</f>
        <v>3 - 0</v>
      </c>
      <c r="O386" t="str">
        <f t="shared" ref="O386:O449" si="136">IF($J386&gt;$K386,"Green","Red")</f>
        <v>Green</v>
      </c>
      <c r="P386" t="str">
        <f t="shared" ref="P386:P449" si="137">IF($J386=$K386,"Green","Red")</f>
        <v>Red</v>
      </c>
      <c r="Q386" t="str">
        <f t="shared" ref="Q386:Q449" si="138">IF($J386&lt;$K386,"Green","Red")</f>
        <v>Red</v>
      </c>
      <c r="R386" t="str">
        <f t="shared" ref="R386:R449" si="139">IF($J386&gt;=$K386,"Green","Red")</f>
        <v>Green</v>
      </c>
      <c r="S386" t="str">
        <f t="shared" ref="S386:S449" si="140">IF($J386&lt;=$K386,"Green","Red")</f>
        <v>Red</v>
      </c>
      <c r="T386" t="str">
        <f t="shared" ref="T386:T449" si="141">IF(OR($J386&gt;$K386,$J386&lt;$K386),"Green","Red")</f>
        <v>Green</v>
      </c>
      <c r="U386" t="str">
        <f t="shared" ref="U386:U449" si="142">IF($H386&gt;$I386,"Green","Red")</f>
        <v>Green</v>
      </c>
      <c r="V386" t="str">
        <f t="shared" ref="V386:V449" si="143">IF($H386=$I386,"Green","Red")</f>
        <v>Red</v>
      </c>
      <c r="W386" t="str">
        <f t="shared" ref="W386:W449" si="144">IF($H386&lt;$I386,"Green","Red")</f>
        <v>Red</v>
      </c>
      <c r="X386" t="str">
        <f t="shared" ref="X386:X449" si="145">IF($H386+$I386&gt;0,"Green","Red")</f>
        <v>Green</v>
      </c>
      <c r="Y386" t="str">
        <f t="shared" ref="Y386:Y449" si="146">IF($J386+$K386&gt;1.5,"Green","Red")</f>
        <v>Green</v>
      </c>
      <c r="Z386" t="str">
        <f t="shared" ref="Z386:Z449" si="147">IF($J386+$K386&gt;2.5,"Green","Red")</f>
        <v>Green</v>
      </c>
      <c r="AA386" t="str">
        <f t="shared" ref="AA386:AA449" si="148">IF($J386+$K386&lt;2.5,"Green","Red")</f>
        <v>Red</v>
      </c>
      <c r="AB386" t="str">
        <f t="shared" ref="AB386:AB449" si="149">IF($J386+$K386&lt;3.5,"Green","Red")</f>
        <v>Green</v>
      </c>
      <c r="AC386" t="str">
        <f t="shared" ref="AC386:AC449" si="150">IF(AND($J386&gt;0,$K386&gt;0),"Green","Red")</f>
        <v>Red</v>
      </c>
      <c r="AD386" t="str">
        <f t="shared" ref="AD386:AD449" si="151">IF(OR($J386=0,$K386=0),"Green","Red")</f>
        <v>Green</v>
      </c>
    </row>
    <row r="387" spans="1:30" x14ac:dyDescent="0.2">
      <c r="A387" t="str">
        <f t="shared" si="134"/>
        <v>22/07/2026Huracan WomenBanfield Women</v>
      </c>
      <c r="B387" t="s">
        <v>806</v>
      </c>
      <c r="C387" t="s">
        <v>879</v>
      </c>
      <c r="D387" s="2">
        <v>46225</v>
      </c>
      <c r="E387" s="3">
        <v>0.75002314814814819</v>
      </c>
      <c r="F387" t="s">
        <v>884</v>
      </c>
      <c r="G387" t="s">
        <v>885</v>
      </c>
      <c r="H387">
        <v>1</v>
      </c>
      <c r="I387">
        <v>1</v>
      </c>
      <c r="J387">
        <v>1</v>
      </c>
      <c r="K387">
        <v>2</v>
      </c>
      <c r="L387" s="22" t="str">
        <f t="shared" si="132"/>
        <v>22/07/2026</v>
      </c>
      <c r="M387" s="23">
        <f t="shared" si="133"/>
        <v>0.62502314814814819</v>
      </c>
      <c r="N387" t="str">
        <f t="shared" si="135"/>
        <v>1 - 2</v>
      </c>
      <c r="O387" t="str">
        <f t="shared" si="136"/>
        <v>Red</v>
      </c>
      <c r="P387" t="str">
        <f t="shared" si="137"/>
        <v>Red</v>
      </c>
      <c r="Q387" t="str">
        <f t="shared" si="138"/>
        <v>Green</v>
      </c>
      <c r="R387" t="str">
        <f t="shared" si="139"/>
        <v>Red</v>
      </c>
      <c r="S387" t="str">
        <f t="shared" si="140"/>
        <v>Green</v>
      </c>
      <c r="T387" t="str">
        <f t="shared" si="141"/>
        <v>Green</v>
      </c>
      <c r="U387" t="str">
        <f t="shared" si="142"/>
        <v>Red</v>
      </c>
      <c r="V387" t="str">
        <f t="shared" si="143"/>
        <v>Green</v>
      </c>
      <c r="W387" t="str">
        <f t="shared" si="144"/>
        <v>Red</v>
      </c>
      <c r="X387" t="str">
        <f t="shared" si="145"/>
        <v>Green</v>
      </c>
      <c r="Y387" t="str">
        <f t="shared" si="146"/>
        <v>Green</v>
      </c>
      <c r="Z387" t="str">
        <f t="shared" si="147"/>
        <v>Green</v>
      </c>
      <c r="AA387" t="str">
        <f t="shared" si="148"/>
        <v>Red</v>
      </c>
      <c r="AB387" t="str">
        <f t="shared" si="149"/>
        <v>Green</v>
      </c>
      <c r="AC387" t="str">
        <f t="shared" si="150"/>
        <v>Green</v>
      </c>
      <c r="AD387" t="str">
        <f t="shared" si="151"/>
        <v>Red</v>
      </c>
    </row>
    <row r="388" spans="1:30" x14ac:dyDescent="0.2">
      <c r="A388" t="str">
        <f t="shared" si="134"/>
        <v>22/07/2026Spartak TrnavaCSKA 1948</v>
      </c>
      <c r="B388" t="s">
        <v>802</v>
      </c>
      <c r="C388" t="s">
        <v>1326</v>
      </c>
      <c r="D388" s="2">
        <v>46225</v>
      </c>
      <c r="E388" s="3">
        <v>0.77083333333333337</v>
      </c>
      <c r="F388" t="s">
        <v>1810</v>
      </c>
      <c r="G388" t="s">
        <v>1811</v>
      </c>
      <c r="H388">
        <v>0</v>
      </c>
      <c r="I388">
        <v>0</v>
      </c>
      <c r="J388">
        <v>0</v>
      </c>
      <c r="K388">
        <v>0</v>
      </c>
      <c r="L388" s="22" t="str">
        <f t="shared" si="132"/>
        <v>22/07/2026</v>
      </c>
      <c r="M388" s="23">
        <f t="shared" si="133"/>
        <v>0.64583333333333337</v>
      </c>
      <c r="N388" t="str">
        <f t="shared" si="135"/>
        <v>0 - 0</v>
      </c>
      <c r="O388" t="str">
        <f t="shared" si="136"/>
        <v>Red</v>
      </c>
      <c r="P388" t="str">
        <f t="shared" si="137"/>
        <v>Green</v>
      </c>
      <c r="Q388" t="str">
        <f t="shared" si="138"/>
        <v>Red</v>
      </c>
      <c r="R388" t="str">
        <f t="shared" si="139"/>
        <v>Green</v>
      </c>
      <c r="S388" t="str">
        <f t="shared" si="140"/>
        <v>Green</v>
      </c>
      <c r="T388" t="str">
        <f t="shared" si="141"/>
        <v>Red</v>
      </c>
      <c r="U388" t="str">
        <f t="shared" si="142"/>
        <v>Red</v>
      </c>
      <c r="V388" t="str">
        <f t="shared" si="143"/>
        <v>Green</v>
      </c>
      <c r="W388" t="str">
        <f t="shared" si="144"/>
        <v>Red</v>
      </c>
      <c r="X388" t="str">
        <f t="shared" si="145"/>
        <v>Red</v>
      </c>
      <c r="Y388" t="str">
        <f t="shared" si="146"/>
        <v>Red</v>
      </c>
      <c r="Z388" t="str">
        <f t="shared" si="147"/>
        <v>Red</v>
      </c>
      <c r="AA388" t="str">
        <f t="shared" si="148"/>
        <v>Green</v>
      </c>
      <c r="AB388" t="str">
        <f t="shared" si="149"/>
        <v>Green</v>
      </c>
      <c r="AC388" t="str">
        <f t="shared" si="150"/>
        <v>Red</v>
      </c>
      <c r="AD388" t="str">
        <f t="shared" si="151"/>
        <v>Green</v>
      </c>
    </row>
    <row r="389" spans="1:30" x14ac:dyDescent="0.2">
      <c r="A389" t="str">
        <f t="shared" si="134"/>
        <v>22/07/2026Deportivo HumaitaEncarnacion FC</v>
      </c>
      <c r="D389" s="2">
        <v>46225</v>
      </c>
      <c r="E389" s="3">
        <v>0.77083333333333337</v>
      </c>
      <c r="F389" t="s">
        <v>1812</v>
      </c>
      <c r="G389" t="s">
        <v>1813</v>
      </c>
      <c r="H389">
        <v>0</v>
      </c>
      <c r="I389">
        <v>0</v>
      </c>
      <c r="J389">
        <v>1</v>
      </c>
      <c r="K389">
        <v>1</v>
      </c>
      <c r="L389" s="22" t="str">
        <f t="shared" si="132"/>
        <v>22/07/2026</v>
      </c>
      <c r="M389" s="23">
        <f t="shared" si="133"/>
        <v>0.64583333333333337</v>
      </c>
      <c r="N389" t="str">
        <f t="shared" si="135"/>
        <v>1 - 1</v>
      </c>
      <c r="O389" t="str">
        <f t="shared" si="136"/>
        <v>Red</v>
      </c>
      <c r="P389" t="str">
        <f t="shared" si="137"/>
        <v>Green</v>
      </c>
      <c r="Q389" t="str">
        <f t="shared" si="138"/>
        <v>Red</v>
      </c>
      <c r="R389" t="str">
        <f t="shared" si="139"/>
        <v>Green</v>
      </c>
      <c r="S389" t="str">
        <f t="shared" si="140"/>
        <v>Green</v>
      </c>
      <c r="T389" t="str">
        <f t="shared" si="141"/>
        <v>Red</v>
      </c>
      <c r="U389" t="str">
        <f t="shared" si="142"/>
        <v>Red</v>
      </c>
      <c r="V389" t="str">
        <f t="shared" si="143"/>
        <v>Green</v>
      </c>
      <c r="W389" t="str">
        <f t="shared" si="144"/>
        <v>Red</v>
      </c>
      <c r="X389" t="str">
        <f t="shared" si="145"/>
        <v>Red</v>
      </c>
      <c r="Y389" t="str">
        <f t="shared" si="146"/>
        <v>Green</v>
      </c>
      <c r="Z389" t="str">
        <f t="shared" si="147"/>
        <v>Red</v>
      </c>
      <c r="AA389" t="str">
        <f t="shared" si="148"/>
        <v>Green</v>
      </c>
      <c r="AB389" t="str">
        <f t="shared" si="149"/>
        <v>Green</v>
      </c>
      <c r="AC389" t="str">
        <f t="shared" si="150"/>
        <v>Green</v>
      </c>
      <c r="AD389" t="str">
        <f t="shared" si="151"/>
        <v>Red</v>
      </c>
    </row>
    <row r="390" spans="1:30" x14ac:dyDescent="0.2">
      <c r="A390" t="str">
        <f t="shared" si="134"/>
        <v>22/07/2026Burton AlbionBirmingham</v>
      </c>
      <c r="D390" s="2">
        <v>46225</v>
      </c>
      <c r="E390" s="3">
        <v>0.77083333333333337</v>
      </c>
      <c r="F390" t="s">
        <v>1814</v>
      </c>
      <c r="G390" t="s">
        <v>1815</v>
      </c>
      <c r="H390">
        <v>0</v>
      </c>
      <c r="I390">
        <v>1</v>
      </c>
      <c r="J390">
        <v>0</v>
      </c>
      <c r="K390">
        <v>1</v>
      </c>
      <c r="L390" s="22" t="str">
        <f t="shared" si="132"/>
        <v>22/07/2026</v>
      </c>
      <c r="M390" s="23">
        <f t="shared" si="133"/>
        <v>0.64583333333333337</v>
      </c>
      <c r="N390" t="str">
        <f t="shared" si="135"/>
        <v>0 - 1</v>
      </c>
      <c r="O390" t="str">
        <f t="shared" si="136"/>
        <v>Red</v>
      </c>
      <c r="P390" t="str">
        <f t="shared" si="137"/>
        <v>Red</v>
      </c>
      <c r="Q390" t="str">
        <f t="shared" si="138"/>
        <v>Green</v>
      </c>
      <c r="R390" t="str">
        <f t="shared" si="139"/>
        <v>Red</v>
      </c>
      <c r="S390" t="str">
        <f t="shared" si="140"/>
        <v>Green</v>
      </c>
      <c r="T390" t="str">
        <f t="shared" si="141"/>
        <v>Green</v>
      </c>
      <c r="U390" t="str">
        <f t="shared" si="142"/>
        <v>Red</v>
      </c>
      <c r="V390" t="str">
        <f t="shared" si="143"/>
        <v>Red</v>
      </c>
      <c r="W390" t="str">
        <f t="shared" si="144"/>
        <v>Green</v>
      </c>
      <c r="X390" t="str">
        <f t="shared" si="145"/>
        <v>Green</v>
      </c>
      <c r="Y390" t="str">
        <f t="shared" si="146"/>
        <v>Red</v>
      </c>
      <c r="Z390" t="str">
        <f t="shared" si="147"/>
        <v>Red</v>
      </c>
      <c r="AA390" t="str">
        <f t="shared" si="148"/>
        <v>Green</v>
      </c>
      <c r="AB390" t="str">
        <f t="shared" si="149"/>
        <v>Green</v>
      </c>
      <c r="AC390" t="str">
        <f t="shared" si="150"/>
        <v>Red</v>
      </c>
      <c r="AD390" t="str">
        <f t="shared" si="151"/>
        <v>Green</v>
      </c>
    </row>
    <row r="391" spans="1:30" x14ac:dyDescent="0.2">
      <c r="A391" t="str">
        <f t="shared" si="134"/>
        <v>22/07/2026Maidenhead UnitedWolves</v>
      </c>
      <c r="D391" s="2">
        <v>46225</v>
      </c>
      <c r="E391" s="3">
        <v>0.77083333333333337</v>
      </c>
      <c r="F391" t="s">
        <v>1816</v>
      </c>
      <c r="G391" t="s">
        <v>1817</v>
      </c>
      <c r="H391">
        <v>0</v>
      </c>
      <c r="I391">
        <v>0</v>
      </c>
      <c r="J391">
        <v>0</v>
      </c>
      <c r="K391">
        <v>1</v>
      </c>
      <c r="L391" s="22" t="str">
        <f t="shared" si="132"/>
        <v>22/07/2026</v>
      </c>
      <c r="M391" s="23">
        <f t="shared" si="133"/>
        <v>0.64583333333333337</v>
      </c>
      <c r="N391" t="str">
        <f t="shared" si="135"/>
        <v>0 - 1</v>
      </c>
      <c r="O391" t="str">
        <f t="shared" si="136"/>
        <v>Red</v>
      </c>
      <c r="P391" t="str">
        <f t="shared" si="137"/>
        <v>Red</v>
      </c>
      <c r="Q391" t="str">
        <f t="shared" si="138"/>
        <v>Green</v>
      </c>
      <c r="R391" t="str">
        <f t="shared" si="139"/>
        <v>Red</v>
      </c>
      <c r="S391" t="str">
        <f t="shared" si="140"/>
        <v>Green</v>
      </c>
      <c r="T391" t="str">
        <f t="shared" si="141"/>
        <v>Green</v>
      </c>
      <c r="U391" t="str">
        <f t="shared" si="142"/>
        <v>Red</v>
      </c>
      <c r="V391" t="str">
        <f t="shared" si="143"/>
        <v>Green</v>
      </c>
      <c r="W391" t="str">
        <f t="shared" si="144"/>
        <v>Red</v>
      </c>
      <c r="X391" t="str">
        <f t="shared" si="145"/>
        <v>Red</v>
      </c>
      <c r="Y391" t="str">
        <f t="shared" si="146"/>
        <v>Red</v>
      </c>
      <c r="Z391" t="str">
        <f t="shared" si="147"/>
        <v>Red</v>
      </c>
      <c r="AA391" t="str">
        <f t="shared" si="148"/>
        <v>Green</v>
      </c>
      <c r="AB391" t="str">
        <f t="shared" si="149"/>
        <v>Green</v>
      </c>
      <c r="AC391" t="str">
        <f t="shared" si="150"/>
        <v>Red</v>
      </c>
      <c r="AD391" t="str">
        <f t="shared" si="151"/>
        <v>Green</v>
      </c>
    </row>
    <row r="392" spans="1:30" x14ac:dyDescent="0.2">
      <c r="A392" t="str">
        <f t="shared" si="134"/>
        <v>22/07/2026Recreativo HuelvaReal Betis</v>
      </c>
      <c r="D392" s="2">
        <v>46225</v>
      </c>
      <c r="E392" s="3">
        <v>0.77083333333333337</v>
      </c>
      <c r="F392" t="s">
        <v>1818</v>
      </c>
      <c r="G392" t="s">
        <v>1819</v>
      </c>
      <c r="H392">
        <v>0</v>
      </c>
      <c r="I392">
        <v>0</v>
      </c>
      <c r="J392">
        <v>0</v>
      </c>
      <c r="K392">
        <v>1</v>
      </c>
      <c r="L392" s="22" t="str">
        <f t="shared" si="132"/>
        <v>22/07/2026</v>
      </c>
      <c r="M392" s="23">
        <f t="shared" si="133"/>
        <v>0.64583333333333337</v>
      </c>
      <c r="N392" t="str">
        <f t="shared" si="135"/>
        <v>0 - 1</v>
      </c>
      <c r="O392" t="str">
        <f t="shared" si="136"/>
        <v>Red</v>
      </c>
      <c r="P392" t="str">
        <f t="shared" si="137"/>
        <v>Red</v>
      </c>
      <c r="Q392" t="str">
        <f t="shared" si="138"/>
        <v>Green</v>
      </c>
      <c r="R392" t="str">
        <f t="shared" si="139"/>
        <v>Red</v>
      </c>
      <c r="S392" t="str">
        <f t="shared" si="140"/>
        <v>Green</v>
      </c>
      <c r="T392" t="str">
        <f t="shared" si="141"/>
        <v>Green</v>
      </c>
      <c r="U392" t="str">
        <f t="shared" si="142"/>
        <v>Red</v>
      </c>
      <c r="V392" t="str">
        <f t="shared" si="143"/>
        <v>Green</v>
      </c>
      <c r="W392" t="str">
        <f t="shared" si="144"/>
        <v>Red</v>
      </c>
      <c r="X392" t="str">
        <f t="shared" si="145"/>
        <v>Red</v>
      </c>
      <c r="Y392" t="str">
        <f t="shared" si="146"/>
        <v>Red</v>
      </c>
      <c r="Z392" t="str">
        <f t="shared" si="147"/>
        <v>Red</v>
      </c>
      <c r="AA392" t="str">
        <f t="shared" si="148"/>
        <v>Green</v>
      </c>
      <c r="AB392" t="str">
        <f t="shared" si="149"/>
        <v>Green</v>
      </c>
      <c r="AC392" t="str">
        <f t="shared" si="150"/>
        <v>Red</v>
      </c>
      <c r="AD392" t="str">
        <f t="shared" si="151"/>
        <v>Green</v>
      </c>
    </row>
    <row r="393" spans="1:30" x14ac:dyDescent="0.2">
      <c r="A393" t="str">
        <f t="shared" si="134"/>
        <v>22/07/2026Southend UnitedNorthampton</v>
      </c>
      <c r="D393" s="2">
        <v>46225</v>
      </c>
      <c r="E393" s="3">
        <v>0.77083333333333337</v>
      </c>
      <c r="F393" t="s">
        <v>1820</v>
      </c>
      <c r="G393" t="s">
        <v>1821</v>
      </c>
      <c r="H393">
        <v>0</v>
      </c>
      <c r="I393">
        <v>2</v>
      </c>
      <c r="J393">
        <v>1</v>
      </c>
      <c r="K393">
        <v>3</v>
      </c>
      <c r="L393" s="22" t="str">
        <f t="shared" si="132"/>
        <v>22/07/2026</v>
      </c>
      <c r="M393" s="23">
        <f t="shared" si="133"/>
        <v>0.64583333333333337</v>
      </c>
      <c r="N393" t="str">
        <f t="shared" si="135"/>
        <v>1 - 3</v>
      </c>
      <c r="O393" t="str">
        <f t="shared" si="136"/>
        <v>Red</v>
      </c>
      <c r="P393" t="str">
        <f t="shared" si="137"/>
        <v>Red</v>
      </c>
      <c r="Q393" t="str">
        <f t="shared" si="138"/>
        <v>Green</v>
      </c>
      <c r="R393" t="str">
        <f t="shared" si="139"/>
        <v>Red</v>
      </c>
      <c r="S393" t="str">
        <f t="shared" si="140"/>
        <v>Green</v>
      </c>
      <c r="T393" t="str">
        <f t="shared" si="141"/>
        <v>Green</v>
      </c>
      <c r="U393" t="str">
        <f t="shared" si="142"/>
        <v>Red</v>
      </c>
      <c r="V393" t="str">
        <f t="shared" si="143"/>
        <v>Red</v>
      </c>
      <c r="W393" t="str">
        <f t="shared" si="144"/>
        <v>Green</v>
      </c>
      <c r="X393" t="str">
        <f t="shared" si="145"/>
        <v>Green</v>
      </c>
      <c r="Y393" t="str">
        <f t="shared" si="146"/>
        <v>Green</v>
      </c>
      <c r="Z393" t="str">
        <f t="shared" si="147"/>
        <v>Green</v>
      </c>
      <c r="AA393" t="str">
        <f t="shared" si="148"/>
        <v>Red</v>
      </c>
      <c r="AB393" t="str">
        <f t="shared" si="149"/>
        <v>Red</v>
      </c>
      <c r="AC393" t="str">
        <f t="shared" si="150"/>
        <v>Green</v>
      </c>
      <c r="AD393" t="str">
        <f t="shared" si="151"/>
        <v>Red</v>
      </c>
    </row>
    <row r="394" spans="1:30" x14ac:dyDescent="0.2">
      <c r="A394" t="str">
        <f t="shared" si="134"/>
        <v>22/07/2026TenerifeGetafe</v>
      </c>
      <c r="D394" s="2">
        <v>46225</v>
      </c>
      <c r="E394" s="3">
        <v>0.77083333333333337</v>
      </c>
      <c r="F394" t="s">
        <v>1822</v>
      </c>
      <c r="G394" t="s">
        <v>1823</v>
      </c>
      <c r="H394">
        <v>1</v>
      </c>
      <c r="I394">
        <v>0</v>
      </c>
      <c r="J394">
        <v>1</v>
      </c>
      <c r="K394">
        <v>2</v>
      </c>
      <c r="L394" s="22" t="str">
        <f t="shared" si="132"/>
        <v>22/07/2026</v>
      </c>
      <c r="M394" s="23">
        <f t="shared" si="133"/>
        <v>0.64583333333333337</v>
      </c>
      <c r="N394" t="str">
        <f t="shared" si="135"/>
        <v>1 - 2</v>
      </c>
      <c r="O394" t="str">
        <f t="shared" si="136"/>
        <v>Red</v>
      </c>
      <c r="P394" t="str">
        <f t="shared" si="137"/>
        <v>Red</v>
      </c>
      <c r="Q394" t="str">
        <f t="shared" si="138"/>
        <v>Green</v>
      </c>
      <c r="R394" t="str">
        <f t="shared" si="139"/>
        <v>Red</v>
      </c>
      <c r="S394" t="str">
        <f t="shared" si="140"/>
        <v>Green</v>
      </c>
      <c r="T394" t="str">
        <f t="shared" si="141"/>
        <v>Green</v>
      </c>
      <c r="U394" t="str">
        <f t="shared" si="142"/>
        <v>Green</v>
      </c>
      <c r="V394" t="str">
        <f t="shared" si="143"/>
        <v>Red</v>
      </c>
      <c r="W394" t="str">
        <f t="shared" si="144"/>
        <v>Red</v>
      </c>
      <c r="X394" t="str">
        <f t="shared" si="145"/>
        <v>Green</v>
      </c>
      <c r="Y394" t="str">
        <f t="shared" si="146"/>
        <v>Green</v>
      </c>
      <c r="Z394" t="str">
        <f t="shared" si="147"/>
        <v>Green</v>
      </c>
      <c r="AA394" t="str">
        <f t="shared" si="148"/>
        <v>Red</v>
      </c>
      <c r="AB394" t="str">
        <f t="shared" si="149"/>
        <v>Green</v>
      </c>
      <c r="AC394" t="str">
        <f t="shared" si="150"/>
        <v>Green</v>
      </c>
      <c r="AD394" t="str">
        <f t="shared" si="151"/>
        <v>Red</v>
      </c>
    </row>
    <row r="395" spans="1:30" x14ac:dyDescent="0.2">
      <c r="A395" t="str">
        <f t="shared" si="134"/>
        <v>22/07/2026Queen of the SouthAberdeen</v>
      </c>
      <c r="D395" s="2">
        <v>46225</v>
      </c>
      <c r="E395" s="3">
        <v>0.78125</v>
      </c>
      <c r="F395" t="s">
        <v>1824</v>
      </c>
      <c r="G395" t="s">
        <v>1825</v>
      </c>
      <c r="H395">
        <v>1</v>
      </c>
      <c r="I395">
        <v>1</v>
      </c>
      <c r="J395">
        <v>1</v>
      </c>
      <c r="K395">
        <v>4</v>
      </c>
      <c r="L395" s="22" t="str">
        <f t="shared" si="132"/>
        <v>22/07/2026</v>
      </c>
      <c r="M395" s="23">
        <f t="shared" si="133"/>
        <v>0.65625</v>
      </c>
      <c r="N395" t="str">
        <f t="shared" si="135"/>
        <v>1 - 4</v>
      </c>
      <c r="O395" t="str">
        <f t="shared" si="136"/>
        <v>Red</v>
      </c>
      <c r="P395" t="str">
        <f t="shared" si="137"/>
        <v>Red</v>
      </c>
      <c r="Q395" t="str">
        <f t="shared" si="138"/>
        <v>Green</v>
      </c>
      <c r="R395" t="str">
        <f t="shared" si="139"/>
        <v>Red</v>
      </c>
      <c r="S395" t="str">
        <f t="shared" si="140"/>
        <v>Green</v>
      </c>
      <c r="T395" t="str">
        <f t="shared" si="141"/>
        <v>Green</v>
      </c>
      <c r="U395" t="str">
        <f t="shared" si="142"/>
        <v>Red</v>
      </c>
      <c r="V395" t="str">
        <f t="shared" si="143"/>
        <v>Green</v>
      </c>
      <c r="W395" t="str">
        <f t="shared" si="144"/>
        <v>Red</v>
      </c>
      <c r="X395" t="str">
        <f t="shared" si="145"/>
        <v>Green</v>
      </c>
      <c r="Y395" t="str">
        <f t="shared" si="146"/>
        <v>Green</v>
      </c>
      <c r="Z395" t="str">
        <f t="shared" si="147"/>
        <v>Green</v>
      </c>
      <c r="AA395" t="str">
        <f t="shared" si="148"/>
        <v>Red</v>
      </c>
      <c r="AB395" t="str">
        <f t="shared" si="149"/>
        <v>Red</v>
      </c>
      <c r="AC395" t="str">
        <f t="shared" si="150"/>
        <v>Green</v>
      </c>
      <c r="AD395" t="str">
        <f t="shared" si="151"/>
        <v>Red</v>
      </c>
    </row>
    <row r="396" spans="1:30" x14ac:dyDescent="0.2">
      <c r="A396" t="str">
        <f t="shared" si="134"/>
        <v>22/07/2026EastleighValenciennes</v>
      </c>
      <c r="D396" s="2">
        <v>46225</v>
      </c>
      <c r="E396" s="3">
        <v>0.78125</v>
      </c>
      <c r="F396" t="s">
        <v>1826</v>
      </c>
      <c r="G396" t="s">
        <v>1827</v>
      </c>
      <c r="H396">
        <v>0</v>
      </c>
      <c r="I396">
        <v>1</v>
      </c>
      <c r="J396">
        <v>0</v>
      </c>
      <c r="K396">
        <v>3</v>
      </c>
      <c r="L396" s="22" t="str">
        <f t="shared" si="132"/>
        <v>22/07/2026</v>
      </c>
      <c r="M396" s="23">
        <f t="shared" si="133"/>
        <v>0.65625</v>
      </c>
      <c r="N396" t="str">
        <f t="shared" si="135"/>
        <v>0 - 3</v>
      </c>
      <c r="O396" t="str">
        <f t="shared" si="136"/>
        <v>Red</v>
      </c>
      <c r="P396" t="str">
        <f t="shared" si="137"/>
        <v>Red</v>
      </c>
      <c r="Q396" t="str">
        <f t="shared" si="138"/>
        <v>Green</v>
      </c>
      <c r="R396" t="str">
        <f t="shared" si="139"/>
        <v>Red</v>
      </c>
      <c r="S396" t="str">
        <f t="shared" si="140"/>
        <v>Green</v>
      </c>
      <c r="T396" t="str">
        <f t="shared" si="141"/>
        <v>Green</v>
      </c>
      <c r="U396" t="str">
        <f t="shared" si="142"/>
        <v>Red</v>
      </c>
      <c r="V396" t="str">
        <f t="shared" si="143"/>
        <v>Red</v>
      </c>
      <c r="W396" t="str">
        <f t="shared" si="144"/>
        <v>Green</v>
      </c>
      <c r="X396" t="str">
        <f t="shared" si="145"/>
        <v>Green</v>
      </c>
      <c r="Y396" t="str">
        <f t="shared" si="146"/>
        <v>Green</v>
      </c>
      <c r="Z396" t="str">
        <f t="shared" si="147"/>
        <v>Green</v>
      </c>
      <c r="AA396" t="str">
        <f t="shared" si="148"/>
        <v>Red</v>
      </c>
      <c r="AB396" t="str">
        <f t="shared" si="149"/>
        <v>Green</v>
      </c>
      <c r="AC396" t="str">
        <f t="shared" si="150"/>
        <v>Red</v>
      </c>
      <c r="AD396" t="str">
        <f t="shared" si="151"/>
        <v>Green</v>
      </c>
    </row>
    <row r="397" spans="1:30" x14ac:dyDescent="0.2">
      <c r="A397" t="str">
        <f t="shared" si="134"/>
        <v>22/07/2026Peterborough SportsPeterborough United</v>
      </c>
      <c r="D397" s="2">
        <v>46225</v>
      </c>
      <c r="E397" s="3">
        <v>0.78125</v>
      </c>
      <c r="F397" t="s">
        <v>1828</v>
      </c>
      <c r="G397" t="s">
        <v>1535</v>
      </c>
      <c r="H397">
        <v>0</v>
      </c>
      <c r="I397">
        <v>0</v>
      </c>
      <c r="J397">
        <v>0</v>
      </c>
      <c r="K397">
        <v>1</v>
      </c>
      <c r="L397" s="22" t="str">
        <f t="shared" si="132"/>
        <v>22/07/2026</v>
      </c>
      <c r="M397" s="23">
        <f t="shared" si="133"/>
        <v>0.65625</v>
      </c>
      <c r="N397" t="str">
        <f t="shared" si="135"/>
        <v>0 - 1</v>
      </c>
      <c r="O397" t="str">
        <f t="shared" si="136"/>
        <v>Red</v>
      </c>
      <c r="P397" t="str">
        <f t="shared" si="137"/>
        <v>Red</v>
      </c>
      <c r="Q397" t="str">
        <f t="shared" si="138"/>
        <v>Green</v>
      </c>
      <c r="R397" t="str">
        <f t="shared" si="139"/>
        <v>Red</v>
      </c>
      <c r="S397" t="str">
        <f t="shared" si="140"/>
        <v>Green</v>
      </c>
      <c r="T397" t="str">
        <f t="shared" si="141"/>
        <v>Green</v>
      </c>
      <c r="U397" t="str">
        <f t="shared" si="142"/>
        <v>Red</v>
      </c>
      <c r="V397" t="str">
        <f t="shared" si="143"/>
        <v>Green</v>
      </c>
      <c r="W397" t="str">
        <f t="shared" si="144"/>
        <v>Red</v>
      </c>
      <c r="X397" t="str">
        <f t="shared" si="145"/>
        <v>Red</v>
      </c>
      <c r="Y397" t="str">
        <f t="shared" si="146"/>
        <v>Red</v>
      </c>
      <c r="Z397" t="str">
        <f t="shared" si="147"/>
        <v>Red</v>
      </c>
      <c r="AA397" t="str">
        <f t="shared" si="148"/>
        <v>Green</v>
      </c>
      <c r="AB397" t="str">
        <f t="shared" si="149"/>
        <v>Green</v>
      </c>
      <c r="AC397" t="str">
        <f t="shared" si="150"/>
        <v>Red</v>
      </c>
      <c r="AD397" t="str">
        <f t="shared" si="151"/>
        <v>Green</v>
      </c>
    </row>
    <row r="398" spans="1:30" x14ac:dyDescent="0.2">
      <c r="A398" t="str">
        <f t="shared" si="134"/>
        <v>22/07/2026RangersSaint-Etienne</v>
      </c>
      <c r="D398" s="2">
        <v>46225</v>
      </c>
      <c r="E398" s="3">
        <v>0.78125</v>
      </c>
      <c r="F398" t="s">
        <v>1829</v>
      </c>
      <c r="G398" t="s">
        <v>1830</v>
      </c>
      <c r="H398">
        <v>1</v>
      </c>
      <c r="I398">
        <v>1</v>
      </c>
      <c r="J398">
        <v>2</v>
      </c>
      <c r="K398">
        <v>1</v>
      </c>
      <c r="L398" s="22" t="str">
        <f t="shared" si="132"/>
        <v>22/07/2026</v>
      </c>
      <c r="M398" s="23">
        <f t="shared" si="133"/>
        <v>0.65625</v>
      </c>
      <c r="N398" t="str">
        <f t="shared" si="135"/>
        <v>2 - 1</v>
      </c>
      <c r="O398" t="str">
        <f t="shared" si="136"/>
        <v>Green</v>
      </c>
      <c r="P398" t="str">
        <f t="shared" si="137"/>
        <v>Red</v>
      </c>
      <c r="Q398" t="str">
        <f t="shared" si="138"/>
        <v>Red</v>
      </c>
      <c r="R398" t="str">
        <f t="shared" si="139"/>
        <v>Green</v>
      </c>
      <c r="S398" t="str">
        <f t="shared" si="140"/>
        <v>Red</v>
      </c>
      <c r="T398" t="str">
        <f t="shared" si="141"/>
        <v>Green</v>
      </c>
      <c r="U398" t="str">
        <f t="shared" si="142"/>
        <v>Red</v>
      </c>
      <c r="V398" t="str">
        <f t="shared" si="143"/>
        <v>Green</v>
      </c>
      <c r="W398" t="str">
        <f t="shared" si="144"/>
        <v>Red</v>
      </c>
      <c r="X398" t="str">
        <f t="shared" si="145"/>
        <v>Green</v>
      </c>
      <c r="Y398" t="str">
        <f t="shared" si="146"/>
        <v>Green</v>
      </c>
      <c r="Z398" t="str">
        <f t="shared" si="147"/>
        <v>Green</v>
      </c>
      <c r="AA398" t="str">
        <f t="shared" si="148"/>
        <v>Red</v>
      </c>
      <c r="AB398" t="str">
        <f t="shared" si="149"/>
        <v>Green</v>
      </c>
      <c r="AC398" t="str">
        <f t="shared" si="150"/>
        <v>Green</v>
      </c>
      <c r="AD398" t="str">
        <f t="shared" si="151"/>
        <v>Red</v>
      </c>
    </row>
    <row r="399" spans="1:30" x14ac:dyDescent="0.2">
      <c r="A399" t="str">
        <f t="shared" si="134"/>
        <v>22/07/2026StevenageWest Ham</v>
      </c>
      <c r="D399" s="2">
        <v>46225</v>
      </c>
      <c r="E399" s="3">
        <v>0.78125</v>
      </c>
      <c r="F399" t="s">
        <v>1831</v>
      </c>
      <c r="G399" t="s">
        <v>1832</v>
      </c>
      <c r="H399">
        <v>0</v>
      </c>
      <c r="I399">
        <v>2</v>
      </c>
      <c r="J399">
        <v>0</v>
      </c>
      <c r="K399">
        <v>5</v>
      </c>
      <c r="L399" s="22" t="str">
        <f t="shared" si="132"/>
        <v>22/07/2026</v>
      </c>
      <c r="M399" s="23">
        <f t="shared" si="133"/>
        <v>0.65625</v>
      </c>
      <c r="N399" t="str">
        <f t="shared" si="135"/>
        <v>0 - 5</v>
      </c>
      <c r="O399" t="str">
        <f t="shared" si="136"/>
        <v>Red</v>
      </c>
      <c r="P399" t="str">
        <f t="shared" si="137"/>
        <v>Red</v>
      </c>
      <c r="Q399" t="str">
        <f t="shared" si="138"/>
        <v>Green</v>
      </c>
      <c r="R399" t="str">
        <f t="shared" si="139"/>
        <v>Red</v>
      </c>
      <c r="S399" t="str">
        <f t="shared" si="140"/>
        <v>Green</v>
      </c>
      <c r="T399" t="str">
        <f t="shared" si="141"/>
        <v>Green</v>
      </c>
      <c r="U399" t="str">
        <f t="shared" si="142"/>
        <v>Red</v>
      </c>
      <c r="V399" t="str">
        <f t="shared" si="143"/>
        <v>Red</v>
      </c>
      <c r="W399" t="str">
        <f t="shared" si="144"/>
        <v>Green</v>
      </c>
      <c r="X399" t="str">
        <f t="shared" si="145"/>
        <v>Green</v>
      </c>
      <c r="Y399" t="str">
        <f t="shared" si="146"/>
        <v>Green</v>
      </c>
      <c r="Z399" t="str">
        <f t="shared" si="147"/>
        <v>Green</v>
      </c>
      <c r="AA399" t="str">
        <f t="shared" si="148"/>
        <v>Red</v>
      </c>
      <c r="AB399" t="str">
        <f t="shared" si="149"/>
        <v>Red</v>
      </c>
      <c r="AC399" t="str">
        <f t="shared" si="150"/>
        <v>Red</v>
      </c>
      <c r="AD399" t="str">
        <f t="shared" si="151"/>
        <v>Green</v>
      </c>
    </row>
    <row r="400" spans="1:30" x14ac:dyDescent="0.2">
      <c r="A400" t="str">
        <f t="shared" si="134"/>
        <v>22/07/2026FK EgnatiaNK Celje</v>
      </c>
      <c r="B400" t="s">
        <v>802</v>
      </c>
      <c r="C400" t="s">
        <v>803</v>
      </c>
      <c r="D400" s="2">
        <v>46225</v>
      </c>
      <c r="E400" s="3">
        <v>0.79166666666666663</v>
      </c>
      <c r="F400" t="s">
        <v>873</v>
      </c>
      <c r="G400" t="s">
        <v>874</v>
      </c>
      <c r="H400">
        <v>1</v>
      </c>
      <c r="I400">
        <v>1</v>
      </c>
      <c r="J400">
        <v>3</v>
      </c>
      <c r="K400">
        <v>3</v>
      </c>
      <c r="L400" s="22" t="str">
        <f t="shared" si="132"/>
        <v>22/07/2026</v>
      </c>
      <c r="M400" s="23">
        <f t="shared" si="133"/>
        <v>0.66666666666666663</v>
      </c>
      <c r="N400" t="str">
        <f t="shared" si="135"/>
        <v>3 - 3</v>
      </c>
      <c r="O400" t="str">
        <f t="shared" si="136"/>
        <v>Red</v>
      </c>
      <c r="P400" t="str">
        <f t="shared" si="137"/>
        <v>Green</v>
      </c>
      <c r="Q400" t="str">
        <f t="shared" si="138"/>
        <v>Red</v>
      </c>
      <c r="R400" t="str">
        <f t="shared" si="139"/>
        <v>Green</v>
      </c>
      <c r="S400" t="str">
        <f t="shared" si="140"/>
        <v>Green</v>
      </c>
      <c r="T400" t="str">
        <f t="shared" si="141"/>
        <v>Red</v>
      </c>
      <c r="U400" t="str">
        <f t="shared" si="142"/>
        <v>Red</v>
      </c>
      <c r="V400" t="str">
        <f t="shared" si="143"/>
        <v>Green</v>
      </c>
      <c r="W400" t="str">
        <f t="shared" si="144"/>
        <v>Red</v>
      </c>
      <c r="X400" t="str">
        <f t="shared" si="145"/>
        <v>Green</v>
      </c>
      <c r="Y400" t="str">
        <f t="shared" si="146"/>
        <v>Green</v>
      </c>
      <c r="Z400" t="str">
        <f t="shared" si="147"/>
        <v>Green</v>
      </c>
      <c r="AA400" t="str">
        <f t="shared" si="148"/>
        <v>Red</v>
      </c>
      <c r="AB400" t="str">
        <f t="shared" si="149"/>
        <v>Red</v>
      </c>
      <c r="AC400" t="str">
        <f t="shared" si="150"/>
        <v>Green</v>
      </c>
      <c r="AD400" t="str">
        <f t="shared" si="151"/>
        <v>Red</v>
      </c>
    </row>
    <row r="401" spans="1:30" x14ac:dyDescent="0.2">
      <c r="A401" t="str">
        <f t="shared" si="134"/>
        <v>22/07/2026FK Zeleznicar PancevoBraga</v>
      </c>
      <c r="B401" t="s">
        <v>802</v>
      </c>
      <c r="C401" t="s">
        <v>1326</v>
      </c>
      <c r="D401" s="2">
        <v>46225</v>
      </c>
      <c r="E401" s="3">
        <v>0.79166666666666663</v>
      </c>
      <c r="F401" t="s">
        <v>1134</v>
      </c>
      <c r="G401" t="s">
        <v>1833</v>
      </c>
      <c r="H401">
        <v>0</v>
      </c>
      <c r="I401">
        <v>0</v>
      </c>
      <c r="J401">
        <v>0</v>
      </c>
      <c r="K401">
        <v>1</v>
      </c>
      <c r="L401" s="22" t="str">
        <f t="shared" si="132"/>
        <v>22/07/2026</v>
      </c>
      <c r="M401" s="23">
        <f t="shared" si="133"/>
        <v>0.66666666666666663</v>
      </c>
      <c r="N401" t="str">
        <f t="shared" si="135"/>
        <v>0 - 1</v>
      </c>
      <c r="O401" t="str">
        <f t="shared" si="136"/>
        <v>Red</v>
      </c>
      <c r="P401" t="str">
        <f t="shared" si="137"/>
        <v>Red</v>
      </c>
      <c r="Q401" t="str">
        <f t="shared" si="138"/>
        <v>Green</v>
      </c>
      <c r="R401" t="str">
        <f t="shared" si="139"/>
        <v>Red</v>
      </c>
      <c r="S401" t="str">
        <f t="shared" si="140"/>
        <v>Green</v>
      </c>
      <c r="T401" t="str">
        <f t="shared" si="141"/>
        <v>Green</v>
      </c>
      <c r="U401" t="str">
        <f t="shared" si="142"/>
        <v>Red</v>
      </c>
      <c r="V401" t="str">
        <f t="shared" si="143"/>
        <v>Green</v>
      </c>
      <c r="W401" t="str">
        <f t="shared" si="144"/>
        <v>Red</v>
      </c>
      <c r="X401" t="str">
        <f t="shared" si="145"/>
        <v>Red</v>
      </c>
      <c r="Y401" t="str">
        <f t="shared" si="146"/>
        <v>Red</v>
      </c>
      <c r="Z401" t="str">
        <f t="shared" si="147"/>
        <v>Red</v>
      </c>
      <c r="AA401" t="str">
        <f t="shared" si="148"/>
        <v>Green</v>
      </c>
      <c r="AB401" t="str">
        <f t="shared" si="149"/>
        <v>Green</v>
      </c>
      <c r="AC401" t="str">
        <f t="shared" si="150"/>
        <v>Red</v>
      </c>
      <c r="AD401" t="str">
        <f t="shared" si="151"/>
        <v>Green</v>
      </c>
    </row>
    <row r="402" spans="1:30" x14ac:dyDescent="0.2">
      <c r="A402" t="str">
        <f t="shared" si="134"/>
        <v>22/07/2026Boavista RJAraruama FC</v>
      </c>
      <c r="B402" t="s">
        <v>804</v>
      </c>
      <c r="C402" t="s">
        <v>829</v>
      </c>
      <c r="D402" s="2">
        <v>46225</v>
      </c>
      <c r="E402" s="3">
        <v>0.79166666666666663</v>
      </c>
      <c r="F402" t="s">
        <v>1834</v>
      </c>
      <c r="G402" t="s">
        <v>1835</v>
      </c>
      <c r="H402">
        <v>0</v>
      </c>
      <c r="I402">
        <v>0</v>
      </c>
      <c r="J402">
        <v>4</v>
      </c>
      <c r="K402">
        <v>0</v>
      </c>
      <c r="L402" s="22" t="str">
        <f t="shared" si="132"/>
        <v>22/07/2026</v>
      </c>
      <c r="M402" s="23">
        <f t="shared" si="133"/>
        <v>0.66666666666666663</v>
      </c>
      <c r="N402" t="str">
        <f t="shared" si="135"/>
        <v>4 - 0</v>
      </c>
      <c r="O402" t="str">
        <f t="shared" si="136"/>
        <v>Green</v>
      </c>
      <c r="P402" t="str">
        <f t="shared" si="137"/>
        <v>Red</v>
      </c>
      <c r="Q402" t="str">
        <f t="shared" si="138"/>
        <v>Red</v>
      </c>
      <c r="R402" t="str">
        <f t="shared" si="139"/>
        <v>Green</v>
      </c>
      <c r="S402" t="str">
        <f t="shared" si="140"/>
        <v>Red</v>
      </c>
      <c r="T402" t="str">
        <f t="shared" si="141"/>
        <v>Green</v>
      </c>
      <c r="U402" t="str">
        <f t="shared" si="142"/>
        <v>Red</v>
      </c>
      <c r="V402" t="str">
        <f t="shared" si="143"/>
        <v>Green</v>
      </c>
      <c r="W402" t="str">
        <f t="shared" si="144"/>
        <v>Red</v>
      </c>
      <c r="X402" t="str">
        <f t="shared" si="145"/>
        <v>Red</v>
      </c>
      <c r="Y402" t="str">
        <f t="shared" si="146"/>
        <v>Green</v>
      </c>
      <c r="Z402" t="str">
        <f t="shared" si="147"/>
        <v>Green</v>
      </c>
      <c r="AA402" t="str">
        <f t="shared" si="148"/>
        <v>Red</v>
      </c>
      <c r="AB402" t="str">
        <f t="shared" si="149"/>
        <v>Red</v>
      </c>
      <c r="AC402" t="str">
        <f t="shared" si="150"/>
        <v>Red</v>
      </c>
      <c r="AD402" t="str">
        <f t="shared" si="151"/>
        <v>Green</v>
      </c>
    </row>
    <row r="403" spans="1:30" x14ac:dyDescent="0.2">
      <c r="A403" t="str">
        <f t="shared" si="134"/>
        <v>22/07/2026ComercialEC Noroeste</v>
      </c>
      <c r="B403" t="s">
        <v>804</v>
      </c>
      <c r="D403" s="2">
        <v>46225</v>
      </c>
      <c r="E403" s="3">
        <v>0.79166666666666663</v>
      </c>
      <c r="F403" t="s">
        <v>1836</v>
      </c>
      <c r="G403" t="s">
        <v>1837</v>
      </c>
      <c r="L403" s="22" t="str">
        <f t="shared" si="132"/>
        <v>22/07/2026</v>
      </c>
      <c r="M403" s="23">
        <f t="shared" si="133"/>
        <v>0.66666666666666663</v>
      </c>
      <c r="N403" t="str">
        <f t="shared" si="135"/>
        <v xml:space="preserve"> - </v>
      </c>
      <c r="O403" t="str">
        <f t="shared" si="136"/>
        <v>Red</v>
      </c>
      <c r="P403" t="str">
        <f t="shared" si="137"/>
        <v>Green</v>
      </c>
      <c r="Q403" t="str">
        <f t="shared" si="138"/>
        <v>Red</v>
      </c>
      <c r="R403" t="str">
        <f t="shared" si="139"/>
        <v>Green</v>
      </c>
      <c r="S403" t="str">
        <f t="shared" si="140"/>
        <v>Green</v>
      </c>
      <c r="T403" t="str">
        <f t="shared" si="141"/>
        <v>Red</v>
      </c>
      <c r="U403" t="str">
        <f t="shared" si="142"/>
        <v>Red</v>
      </c>
      <c r="V403" t="str">
        <f t="shared" si="143"/>
        <v>Green</v>
      </c>
      <c r="W403" t="str">
        <f t="shared" si="144"/>
        <v>Red</v>
      </c>
      <c r="X403" t="str">
        <f t="shared" si="145"/>
        <v>Red</v>
      </c>
      <c r="Y403" t="str">
        <f t="shared" si="146"/>
        <v>Red</v>
      </c>
      <c r="Z403" t="str">
        <f t="shared" si="147"/>
        <v>Red</v>
      </c>
      <c r="AA403" t="str">
        <f t="shared" si="148"/>
        <v>Green</v>
      </c>
      <c r="AB403" t="str">
        <f t="shared" si="149"/>
        <v>Green</v>
      </c>
      <c r="AC403" t="str">
        <f t="shared" si="150"/>
        <v>Red</v>
      </c>
      <c r="AD403" t="str">
        <f t="shared" si="151"/>
        <v>Green</v>
      </c>
    </row>
    <row r="404" spans="1:30" x14ac:dyDescent="0.2">
      <c r="A404" t="str">
        <f t="shared" si="134"/>
        <v>22/07/2026Santos U20Vasco Da Gama RJ U20</v>
      </c>
      <c r="B404" t="s">
        <v>804</v>
      </c>
      <c r="D404" s="2">
        <v>46225</v>
      </c>
      <c r="E404" s="3">
        <v>0.79166666666666663</v>
      </c>
      <c r="F404" t="s">
        <v>1838</v>
      </c>
      <c r="G404" t="s">
        <v>1839</v>
      </c>
      <c r="H404">
        <v>0</v>
      </c>
      <c r="I404">
        <v>0</v>
      </c>
      <c r="J404">
        <v>2</v>
      </c>
      <c r="K404">
        <v>0</v>
      </c>
      <c r="L404" s="22" t="str">
        <f t="shared" ref="L404:L435" si="152">DAY(D404)&amp;"/"&amp;"07"&amp;"/"&amp;YEAR(D404)</f>
        <v>22/07/2026</v>
      </c>
      <c r="M404" s="23">
        <f t="shared" ref="M404:M435" si="153">E404-TIME(3,0,0)</f>
        <v>0.66666666666666663</v>
      </c>
      <c r="N404" t="str">
        <f t="shared" si="135"/>
        <v>2 - 0</v>
      </c>
      <c r="O404" t="str">
        <f t="shared" si="136"/>
        <v>Green</v>
      </c>
      <c r="P404" t="str">
        <f t="shared" si="137"/>
        <v>Red</v>
      </c>
      <c r="Q404" t="str">
        <f t="shared" si="138"/>
        <v>Red</v>
      </c>
      <c r="R404" t="str">
        <f t="shared" si="139"/>
        <v>Green</v>
      </c>
      <c r="S404" t="str">
        <f t="shared" si="140"/>
        <v>Red</v>
      </c>
      <c r="T404" t="str">
        <f t="shared" si="141"/>
        <v>Green</v>
      </c>
      <c r="U404" t="str">
        <f t="shared" si="142"/>
        <v>Red</v>
      </c>
      <c r="V404" t="str">
        <f t="shared" si="143"/>
        <v>Green</v>
      </c>
      <c r="W404" t="str">
        <f t="shared" si="144"/>
        <v>Red</v>
      </c>
      <c r="X404" t="str">
        <f t="shared" si="145"/>
        <v>Red</v>
      </c>
      <c r="Y404" t="str">
        <f t="shared" si="146"/>
        <v>Green</v>
      </c>
      <c r="Z404" t="str">
        <f t="shared" si="147"/>
        <v>Red</v>
      </c>
      <c r="AA404" t="str">
        <f t="shared" si="148"/>
        <v>Green</v>
      </c>
      <c r="AB404" t="str">
        <f t="shared" si="149"/>
        <v>Green</v>
      </c>
      <c r="AC404" t="str">
        <f t="shared" si="150"/>
        <v>Red</v>
      </c>
      <c r="AD404" t="str">
        <f t="shared" si="151"/>
        <v>Green</v>
      </c>
    </row>
    <row r="405" spans="1:30" x14ac:dyDescent="0.2">
      <c r="A405" t="str">
        <f t="shared" si="134"/>
        <v>22/07/2026CSD MacaraDeportivo Cuenca</v>
      </c>
      <c r="D405" s="2">
        <v>46225</v>
      </c>
      <c r="E405" s="3">
        <v>0.79166666666666663</v>
      </c>
      <c r="F405" t="s">
        <v>1840</v>
      </c>
      <c r="G405" t="s">
        <v>1841</v>
      </c>
      <c r="H405">
        <v>1</v>
      </c>
      <c r="I405">
        <v>0</v>
      </c>
      <c r="J405">
        <v>3</v>
      </c>
      <c r="K405">
        <v>0</v>
      </c>
      <c r="L405" s="22" t="str">
        <f t="shared" si="152"/>
        <v>22/07/2026</v>
      </c>
      <c r="M405" s="23">
        <f t="shared" si="153"/>
        <v>0.66666666666666663</v>
      </c>
      <c r="N405" t="str">
        <f t="shared" si="135"/>
        <v>3 - 0</v>
      </c>
      <c r="O405" t="str">
        <f t="shared" si="136"/>
        <v>Green</v>
      </c>
      <c r="P405" t="str">
        <f t="shared" si="137"/>
        <v>Red</v>
      </c>
      <c r="Q405" t="str">
        <f t="shared" si="138"/>
        <v>Red</v>
      </c>
      <c r="R405" t="str">
        <f t="shared" si="139"/>
        <v>Green</v>
      </c>
      <c r="S405" t="str">
        <f t="shared" si="140"/>
        <v>Red</v>
      </c>
      <c r="T405" t="str">
        <f t="shared" si="141"/>
        <v>Green</v>
      </c>
      <c r="U405" t="str">
        <f t="shared" si="142"/>
        <v>Green</v>
      </c>
      <c r="V405" t="str">
        <f t="shared" si="143"/>
        <v>Red</v>
      </c>
      <c r="W405" t="str">
        <f t="shared" si="144"/>
        <v>Red</v>
      </c>
      <c r="X405" t="str">
        <f t="shared" si="145"/>
        <v>Green</v>
      </c>
      <c r="Y405" t="str">
        <f t="shared" si="146"/>
        <v>Green</v>
      </c>
      <c r="Z405" t="str">
        <f t="shared" si="147"/>
        <v>Green</v>
      </c>
      <c r="AA405" t="str">
        <f t="shared" si="148"/>
        <v>Red</v>
      </c>
      <c r="AB405" t="str">
        <f t="shared" si="149"/>
        <v>Green</v>
      </c>
      <c r="AC405" t="str">
        <f t="shared" si="150"/>
        <v>Red</v>
      </c>
      <c r="AD405" t="str">
        <f t="shared" si="151"/>
        <v>Green</v>
      </c>
    </row>
    <row r="406" spans="1:30" x14ac:dyDescent="0.2">
      <c r="A406" t="str">
        <f t="shared" si="134"/>
        <v>22/07/2026Gil VicentePorto</v>
      </c>
      <c r="D406" s="2">
        <v>46225</v>
      </c>
      <c r="E406" s="3">
        <v>0.79166666666666663</v>
      </c>
      <c r="F406" t="s">
        <v>1842</v>
      </c>
      <c r="G406" t="s">
        <v>1843</v>
      </c>
      <c r="H406">
        <v>0</v>
      </c>
      <c r="I406">
        <v>0</v>
      </c>
      <c r="J406">
        <v>1</v>
      </c>
      <c r="K406">
        <v>0</v>
      </c>
      <c r="L406" s="22" t="str">
        <f t="shared" si="152"/>
        <v>22/07/2026</v>
      </c>
      <c r="M406" s="23">
        <f t="shared" si="153"/>
        <v>0.66666666666666663</v>
      </c>
      <c r="N406" t="str">
        <f t="shared" si="135"/>
        <v>1 - 0</v>
      </c>
      <c r="O406" t="str">
        <f t="shared" si="136"/>
        <v>Green</v>
      </c>
      <c r="P406" t="str">
        <f t="shared" si="137"/>
        <v>Red</v>
      </c>
      <c r="Q406" t="str">
        <f t="shared" si="138"/>
        <v>Red</v>
      </c>
      <c r="R406" t="str">
        <f t="shared" si="139"/>
        <v>Green</v>
      </c>
      <c r="S406" t="str">
        <f t="shared" si="140"/>
        <v>Red</v>
      </c>
      <c r="T406" t="str">
        <f t="shared" si="141"/>
        <v>Green</v>
      </c>
      <c r="U406" t="str">
        <f t="shared" si="142"/>
        <v>Red</v>
      </c>
      <c r="V406" t="str">
        <f t="shared" si="143"/>
        <v>Green</v>
      </c>
      <c r="W406" t="str">
        <f t="shared" si="144"/>
        <v>Red</v>
      </c>
      <c r="X406" t="str">
        <f t="shared" si="145"/>
        <v>Red</v>
      </c>
      <c r="Y406" t="str">
        <f t="shared" si="146"/>
        <v>Red</v>
      </c>
      <c r="Z406" t="str">
        <f t="shared" si="147"/>
        <v>Red</v>
      </c>
      <c r="AA406" t="str">
        <f t="shared" si="148"/>
        <v>Green</v>
      </c>
      <c r="AB406" t="str">
        <f t="shared" si="149"/>
        <v>Green</v>
      </c>
      <c r="AC406" t="str">
        <f t="shared" si="150"/>
        <v>Red</v>
      </c>
      <c r="AD406" t="str">
        <f t="shared" si="151"/>
        <v>Green</v>
      </c>
    </row>
    <row r="407" spans="1:30" x14ac:dyDescent="0.2">
      <c r="A407" t="str">
        <f t="shared" si="134"/>
        <v>22/07/2026EllidiAlafoss</v>
      </c>
      <c r="D407" s="2">
        <v>46225</v>
      </c>
      <c r="E407" s="3">
        <v>0.80208333333333337</v>
      </c>
      <c r="F407" t="s">
        <v>1844</v>
      </c>
      <c r="G407" t="s">
        <v>1845</v>
      </c>
      <c r="H407">
        <v>0</v>
      </c>
      <c r="I407">
        <v>0</v>
      </c>
      <c r="J407">
        <v>1</v>
      </c>
      <c r="K407">
        <v>0</v>
      </c>
      <c r="L407" s="22" t="str">
        <f t="shared" si="152"/>
        <v>22/07/2026</v>
      </c>
      <c r="M407" s="23">
        <f t="shared" si="153"/>
        <v>0.67708333333333337</v>
      </c>
      <c r="N407" t="str">
        <f t="shared" si="135"/>
        <v>1 - 0</v>
      </c>
      <c r="O407" t="str">
        <f t="shared" si="136"/>
        <v>Green</v>
      </c>
      <c r="P407" t="str">
        <f t="shared" si="137"/>
        <v>Red</v>
      </c>
      <c r="Q407" t="str">
        <f t="shared" si="138"/>
        <v>Red</v>
      </c>
      <c r="R407" t="str">
        <f t="shared" si="139"/>
        <v>Green</v>
      </c>
      <c r="S407" t="str">
        <f t="shared" si="140"/>
        <v>Red</v>
      </c>
      <c r="T407" t="str">
        <f t="shared" si="141"/>
        <v>Green</v>
      </c>
      <c r="U407" t="str">
        <f t="shared" si="142"/>
        <v>Red</v>
      </c>
      <c r="V407" t="str">
        <f t="shared" si="143"/>
        <v>Green</v>
      </c>
      <c r="W407" t="str">
        <f t="shared" si="144"/>
        <v>Red</v>
      </c>
      <c r="X407" t="str">
        <f t="shared" si="145"/>
        <v>Red</v>
      </c>
      <c r="Y407" t="str">
        <f t="shared" si="146"/>
        <v>Red</v>
      </c>
      <c r="Z407" t="str">
        <f t="shared" si="147"/>
        <v>Red</v>
      </c>
      <c r="AA407" t="str">
        <f t="shared" si="148"/>
        <v>Green</v>
      </c>
      <c r="AB407" t="str">
        <f t="shared" si="149"/>
        <v>Green</v>
      </c>
      <c r="AC407" t="str">
        <f t="shared" si="150"/>
        <v>Red</v>
      </c>
      <c r="AD407" t="str">
        <f t="shared" si="151"/>
        <v>Green</v>
      </c>
    </row>
    <row r="408" spans="1:30" x14ac:dyDescent="0.2">
      <c r="A408" t="str">
        <f t="shared" si="134"/>
        <v>22/07/20269 de OctubreGualaceo SC</v>
      </c>
      <c r="D408" s="2">
        <v>46225</v>
      </c>
      <c r="E408" s="3">
        <v>0.83333333333333337</v>
      </c>
      <c r="F408" t="s">
        <v>1846</v>
      </c>
      <c r="G408" t="s">
        <v>1847</v>
      </c>
      <c r="L408" s="22" t="str">
        <f t="shared" si="152"/>
        <v>22/07/2026</v>
      </c>
      <c r="M408" s="23">
        <f t="shared" si="153"/>
        <v>0.70833333333333337</v>
      </c>
      <c r="N408" t="str">
        <f t="shared" si="135"/>
        <v xml:space="preserve"> - </v>
      </c>
      <c r="O408" t="str">
        <f t="shared" si="136"/>
        <v>Red</v>
      </c>
      <c r="P408" t="str">
        <f t="shared" si="137"/>
        <v>Green</v>
      </c>
      <c r="Q408" t="str">
        <f t="shared" si="138"/>
        <v>Red</v>
      </c>
      <c r="R408" t="str">
        <f t="shared" si="139"/>
        <v>Green</v>
      </c>
      <c r="S408" t="str">
        <f t="shared" si="140"/>
        <v>Green</v>
      </c>
      <c r="T408" t="str">
        <f t="shared" si="141"/>
        <v>Red</v>
      </c>
      <c r="U408" t="str">
        <f t="shared" si="142"/>
        <v>Red</v>
      </c>
      <c r="V408" t="str">
        <f t="shared" si="143"/>
        <v>Green</v>
      </c>
      <c r="W408" t="str">
        <f t="shared" si="144"/>
        <v>Red</v>
      </c>
      <c r="X408" t="str">
        <f t="shared" si="145"/>
        <v>Red</v>
      </c>
      <c r="Y408" t="str">
        <f t="shared" si="146"/>
        <v>Red</v>
      </c>
      <c r="Z408" t="str">
        <f t="shared" si="147"/>
        <v>Red</v>
      </c>
      <c r="AA408" t="str">
        <f t="shared" si="148"/>
        <v>Green</v>
      </c>
      <c r="AB408" t="str">
        <f t="shared" si="149"/>
        <v>Green</v>
      </c>
      <c r="AC408" t="str">
        <f t="shared" si="150"/>
        <v>Red</v>
      </c>
      <c r="AD408" t="str">
        <f t="shared" si="151"/>
        <v>Green</v>
      </c>
    </row>
    <row r="409" spans="1:30" x14ac:dyDescent="0.2">
      <c r="A409" t="str">
        <f t="shared" si="134"/>
        <v>22/07/2026Independiente JuniorsAtletico Rojiblanco</v>
      </c>
      <c r="D409" s="2">
        <v>46225</v>
      </c>
      <c r="E409" s="3">
        <v>0.83333333333333337</v>
      </c>
      <c r="F409" t="s">
        <v>1848</v>
      </c>
      <c r="G409" t="s">
        <v>1849</v>
      </c>
      <c r="L409" s="22" t="str">
        <f t="shared" si="152"/>
        <v>22/07/2026</v>
      </c>
      <c r="M409" s="23">
        <f t="shared" si="153"/>
        <v>0.70833333333333337</v>
      </c>
      <c r="N409" t="str">
        <f t="shared" si="135"/>
        <v xml:space="preserve"> - </v>
      </c>
      <c r="O409" t="str">
        <f t="shared" si="136"/>
        <v>Red</v>
      </c>
      <c r="P409" t="str">
        <f t="shared" si="137"/>
        <v>Green</v>
      </c>
      <c r="Q409" t="str">
        <f t="shared" si="138"/>
        <v>Red</v>
      </c>
      <c r="R409" t="str">
        <f t="shared" si="139"/>
        <v>Green</v>
      </c>
      <c r="S409" t="str">
        <f t="shared" si="140"/>
        <v>Green</v>
      </c>
      <c r="T409" t="str">
        <f t="shared" si="141"/>
        <v>Red</v>
      </c>
      <c r="U409" t="str">
        <f t="shared" si="142"/>
        <v>Red</v>
      </c>
      <c r="V409" t="str">
        <f t="shared" si="143"/>
        <v>Green</v>
      </c>
      <c r="W409" t="str">
        <f t="shared" si="144"/>
        <v>Red</v>
      </c>
      <c r="X409" t="str">
        <f t="shared" si="145"/>
        <v>Red</v>
      </c>
      <c r="Y409" t="str">
        <f t="shared" si="146"/>
        <v>Red</v>
      </c>
      <c r="Z409" t="str">
        <f t="shared" si="147"/>
        <v>Red</v>
      </c>
      <c r="AA409" t="str">
        <f t="shared" si="148"/>
        <v>Green</v>
      </c>
      <c r="AB409" t="str">
        <f t="shared" si="149"/>
        <v>Green</v>
      </c>
      <c r="AC409" t="str">
        <f t="shared" si="150"/>
        <v>Red</v>
      </c>
      <c r="AD409" t="str">
        <f t="shared" si="151"/>
        <v>Green</v>
      </c>
    </row>
    <row r="410" spans="1:30" x14ac:dyDescent="0.2">
      <c r="A410" t="str">
        <f t="shared" si="134"/>
        <v>22/07/2026Deportivo Cuenca ReservesLDU Portoviejo</v>
      </c>
      <c r="D410" s="2">
        <v>46225</v>
      </c>
      <c r="E410" s="3">
        <v>0.83333333333333337</v>
      </c>
      <c r="F410" t="s">
        <v>1850</v>
      </c>
      <c r="G410" t="s">
        <v>1851</v>
      </c>
      <c r="L410" s="22" t="str">
        <f t="shared" si="152"/>
        <v>22/07/2026</v>
      </c>
      <c r="M410" s="23">
        <f t="shared" si="153"/>
        <v>0.70833333333333337</v>
      </c>
      <c r="N410" t="str">
        <f t="shared" si="135"/>
        <v xml:space="preserve"> - </v>
      </c>
      <c r="O410" t="str">
        <f t="shared" si="136"/>
        <v>Red</v>
      </c>
      <c r="P410" t="str">
        <f t="shared" si="137"/>
        <v>Green</v>
      </c>
      <c r="Q410" t="str">
        <f t="shared" si="138"/>
        <v>Red</v>
      </c>
      <c r="R410" t="str">
        <f t="shared" si="139"/>
        <v>Green</v>
      </c>
      <c r="S410" t="str">
        <f t="shared" si="140"/>
        <v>Green</v>
      </c>
      <c r="T410" t="str">
        <f t="shared" si="141"/>
        <v>Red</v>
      </c>
      <c r="U410" t="str">
        <f t="shared" si="142"/>
        <v>Red</v>
      </c>
      <c r="V410" t="str">
        <f t="shared" si="143"/>
        <v>Green</v>
      </c>
      <c r="W410" t="str">
        <f t="shared" si="144"/>
        <v>Red</v>
      </c>
      <c r="X410" t="str">
        <f t="shared" si="145"/>
        <v>Red</v>
      </c>
      <c r="Y410" t="str">
        <f t="shared" si="146"/>
        <v>Red</v>
      </c>
      <c r="Z410" t="str">
        <f t="shared" si="147"/>
        <v>Red</v>
      </c>
      <c r="AA410" t="str">
        <f t="shared" si="148"/>
        <v>Green</v>
      </c>
      <c r="AB410" t="str">
        <f t="shared" si="149"/>
        <v>Green</v>
      </c>
      <c r="AC410" t="str">
        <f t="shared" si="150"/>
        <v>Red</v>
      </c>
      <c r="AD410" t="str">
        <f t="shared" si="151"/>
        <v>Green</v>
      </c>
    </row>
    <row r="411" spans="1:30" x14ac:dyDescent="0.2">
      <c r="A411" t="str">
        <f t="shared" si="134"/>
        <v>22/07/2026El NacionalCumbaya</v>
      </c>
      <c r="D411" s="2">
        <v>46225</v>
      </c>
      <c r="E411" s="3">
        <v>0.83333333333333337</v>
      </c>
      <c r="F411" t="s">
        <v>1852</v>
      </c>
      <c r="G411" t="s">
        <v>1853</v>
      </c>
      <c r="L411" s="22" t="str">
        <f t="shared" si="152"/>
        <v>22/07/2026</v>
      </c>
      <c r="M411" s="23">
        <f t="shared" si="153"/>
        <v>0.70833333333333337</v>
      </c>
      <c r="N411" t="str">
        <f t="shared" si="135"/>
        <v xml:space="preserve"> - </v>
      </c>
      <c r="O411" t="str">
        <f t="shared" si="136"/>
        <v>Red</v>
      </c>
      <c r="P411" t="str">
        <f t="shared" si="137"/>
        <v>Green</v>
      </c>
      <c r="Q411" t="str">
        <f t="shared" si="138"/>
        <v>Red</v>
      </c>
      <c r="R411" t="str">
        <f t="shared" si="139"/>
        <v>Green</v>
      </c>
      <c r="S411" t="str">
        <f t="shared" si="140"/>
        <v>Green</v>
      </c>
      <c r="T411" t="str">
        <f t="shared" si="141"/>
        <v>Red</v>
      </c>
      <c r="U411" t="str">
        <f t="shared" si="142"/>
        <v>Red</v>
      </c>
      <c r="V411" t="str">
        <f t="shared" si="143"/>
        <v>Green</v>
      </c>
      <c r="W411" t="str">
        <f t="shared" si="144"/>
        <v>Red</v>
      </c>
      <c r="X411" t="str">
        <f t="shared" si="145"/>
        <v>Red</v>
      </c>
      <c r="Y411" t="str">
        <f t="shared" si="146"/>
        <v>Red</v>
      </c>
      <c r="Z411" t="str">
        <f t="shared" si="147"/>
        <v>Red</v>
      </c>
      <c r="AA411" t="str">
        <f t="shared" si="148"/>
        <v>Green</v>
      </c>
      <c r="AB411" t="str">
        <f t="shared" si="149"/>
        <v>Green</v>
      </c>
      <c r="AC411" t="str">
        <f t="shared" si="150"/>
        <v>Red</v>
      </c>
      <c r="AD411" t="str">
        <f t="shared" si="151"/>
        <v>Green</v>
      </c>
    </row>
    <row r="412" spans="1:30" x14ac:dyDescent="0.2">
      <c r="A412" t="str">
        <f t="shared" si="134"/>
        <v>22/07/2026San Antonio CotacachiDSD Santo Domingo</v>
      </c>
      <c r="D412" s="2">
        <v>46225</v>
      </c>
      <c r="E412" s="3">
        <v>0.83333333333333337</v>
      </c>
      <c r="F412" t="s">
        <v>1854</v>
      </c>
      <c r="G412" t="s">
        <v>1855</v>
      </c>
      <c r="L412" s="22" t="str">
        <f t="shared" si="152"/>
        <v>22/07/2026</v>
      </c>
      <c r="M412" s="23">
        <f t="shared" si="153"/>
        <v>0.70833333333333337</v>
      </c>
      <c r="N412" t="str">
        <f t="shared" si="135"/>
        <v xml:space="preserve"> - </v>
      </c>
      <c r="O412" t="str">
        <f t="shared" si="136"/>
        <v>Red</v>
      </c>
      <c r="P412" t="str">
        <f t="shared" si="137"/>
        <v>Green</v>
      </c>
      <c r="Q412" t="str">
        <f t="shared" si="138"/>
        <v>Red</v>
      </c>
      <c r="R412" t="str">
        <f t="shared" si="139"/>
        <v>Green</v>
      </c>
      <c r="S412" t="str">
        <f t="shared" si="140"/>
        <v>Green</v>
      </c>
      <c r="T412" t="str">
        <f t="shared" si="141"/>
        <v>Red</v>
      </c>
      <c r="U412" t="str">
        <f t="shared" si="142"/>
        <v>Red</v>
      </c>
      <c r="V412" t="str">
        <f t="shared" si="143"/>
        <v>Green</v>
      </c>
      <c r="W412" t="str">
        <f t="shared" si="144"/>
        <v>Red</v>
      </c>
      <c r="X412" t="str">
        <f t="shared" si="145"/>
        <v>Red</v>
      </c>
      <c r="Y412" t="str">
        <f t="shared" si="146"/>
        <v>Red</v>
      </c>
      <c r="Z412" t="str">
        <f t="shared" si="147"/>
        <v>Red</v>
      </c>
      <c r="AA412" t="str">
        <f t="shared" si="148"/>
        <v>Green</v>
      </c>
      <c r="AB412" t="str">
        <f t="shared" si="149"/>
        <v>Green</v>
      </c>
      <c r="AC412" t="str">
        <f t="shared" si="150"/>
        <v>Red</v>
      </c>
      <c r="AD412" t="str">
        <f t="shared" si="151"/>
        <v>Green</v>
      </c>
    </row>
    <row r="413" spans="1:30" x14ac:dyDescent="0.2">
      <c r="A413" t="str">
        <f t="shared" si="134"/>
        <v>22/07/2026Universitario de Deportes WomenCarlos Mannucci Women</v>
      </c>
      <c r="D413" s="2">
        <v>46225</v>
      </c>
      <c r="E413" s="3">
        <v>0.84375</v>
      </c>
      <c r="F413" t="s">
        <v>1856</v>
      </c>
      <c r="G413" t="s">
        <v>1857</v>
      </c>
      <c r="H413">
        <v>0</v>
      </c>
      <c r="I413">
        <v>0</v>
      </c>
      <c r="J413">
        <v>12</v>
      </c>
      <c r="K413">
        <v>0</v>
      </c>
      <c r="L413" s="22" t="str">
        <f t="shared" si="152"/>
        <v>22/07/2026</v>
      </c>
      <c r="M413" s="23">
        <f t="shared" si="153"/>
        <v>0.71875</v>
      </c>
      <c r="N413" t="str">
        <f t="shared" si="135"/>
        <v>12 - 0</v>
      </c>
      <c r="O413" t="str">
        <f t="shared" si="136"/>
        <v>Green</v>
      </c>
      <c r="P413" t="str">
        <f t="shared" si="137"/>
        <v>Red</v>
      </c>
      <c r="Q413" t="str">
        <f t="shared" si="138"/>
        <v>Red</v>
      </c>
      <c r="R413" t="str">
        <f t="shared" si="139"/>
        <v>Green</v>
      </c>
      <c r="S413" t="str">
        <f t="shared" si="140"/>
        <v>Red</v>
      </c>
      <c r="T413" t="str">
        <f t="shared" si="141"/>
        <v>Green</v>
      </c>
      <c r="U413" t="str">
        <f t="shared" si="142"/>
        <v>Red</v>
      </c>
      <c r="V413" t="str">
        <f t="shared" si="143"/>
        <v>Green</v>
      </c>
      <c r="W413" t="str">
        <f t="shared" si="144"/>
        <v>Red</v>
      </c>
      <c r="X413" t="str">
        <f t="shared" si="145"/>
        <v>Red</v>
      </c>
      <c r="Y413" t="str">
        <f t="shared" si="146"/>
        <v>Green</v>
      </c>
      <c r="Z413" t="str">
        <f t="shared" si="147"/>
        <v>Green</v>
      </c>
      <c r="AA413" t="str">
        <f t="shared" si="148"/>
        <v>Red</v>
      </c>
      <c r="AB413" t="str">
        <f t="shared" si="149"/>
        <v>Red</v>
      </c>
      <c r="AC413" t="str">
        <f t="shared" si="150"/>
        <v>Red</v>
      </c>
      <c r="AD413" t="str">
        <f t="shared" si="151"/>
        <v>Green</v>
      </c>
    </row>
    <row r="414" spans="1:30" x14ac:dyDescent="0.2">
      <c r="A414" t="str">
        <f t="shared" si="134"/>
        <v>22/07/2026San Antonio CotacachiCumbaya</v>
      </c>
      <c r="D414" s="2">
        <v>46225</v>
      </c>
      <c r="E414" s="3">
        <v>0.85416666666666663</v>
      </c>
      <c r="F414" t="s">
        <v>1854</v>
      </c>
      <c r="G414" t="s">
        <v>1853</v>
      </c>
      <c r="H414">
        <v>0</v>
      </c>
      <c r="I414">
        <v>0</v>
      </c>
      <c r="J414">
        <v>0</v>
      </c>
      <c r="K414">
        <v>0</v>
      </c>
      <c r="L414" s="22" t="str">
        <f t="shared" si="152"/>
        <v>22/07/2026</v>
      </c>
      <c r="M414" s="23">
        <f t="shared" si="153"/>
        <v>0.72916666666666663</v>
      </c>
      <c r="N414" t="str">
        <f t="shared" si="135"/>
        <v>0 - 0</v>
      </c>
      <c r="O414" t="str">
        <f t="shared" si="136"/>
        <v>Red</v>
      </c>
      <c r="P414" t="str">
        <f t="shared" si="137"/>
        <v>Green</v>
      </c>
      <c r="Q414" t="str">
        <f t="shared" si="138"/>
        <v>Red</v>
      </c>
      <c r="R414" t="str">
        <f t="shared" si="139"/>
        <v>Green</v>
      </c>
      <c r="S414" t="str">
        <f t="shared" si="140"/>
        <v>Green</v>
      </c>
      <c r="T414" t="str">
        <f t="shared" si="141"/>
        <v>Red</v>
      </c>
      <c r="U414" t="str">
        <f t="shared" si="142"/>
        <v>Red</v>
      </c>
      <c r="V414" t="str">
        <f t="shared" si="143"/>
        <v>Green</v>
      </c>
      <c r="W414" t="str">
        <f t="shared" si="144"/>
        <v>Red</v>
      </c>
      <c r="X414" t="str">
        <f t="shared" si="145"/>
        <v>Red</v>
      </c>
      <c r="Y414" t="str">
        <f t="shared" si="146"/>
        <v>Red</v>
      </c>
      <c r="Z414" t="str">
        <f t="shared" si="147"/>
        <v>Red</v>
      </c>
      <c r="AA414" t="str">
        <f t="shared" si="148"/>
        <v>Green</v>
      </c>
      <c r="AB414" t="str">
        <f t="shared" si="149"/>
        <v>Green</v>
      </c>
      <c r="AC414" t="str">
        <f t="shared" si="150"/>
        <v>Red</v>
      </c>
      <c r="AD414" t="str">
        <f t="shared" si="151"/>
        <v>Green</v>
      </c>
    </row>
    <row r="415" spans="1:30" x14ac:dyDescent="0.2">
      <c r="A415" t="str">
        <f t="shared" si="134"/>
        <v>22/07/2026Club Sport ColombiaGuairena FC</v>
      </c>
      <c r="D415" s="2">
        <v>46225</v>
      </c>
      <c r="E415" s="3">
        <v>0.875</v>
      </c>
      <c r="F415" t="s">
        <v>1858</v>
      </c>
      <c r="G415" t="s">
        <v>1859</v>
      </c>
      <c r="H415">
        <v>1</v>
      </c>
      <c r="I415">
        <v>1</v>
      </c>
      <c r="J415">
        <v>1</v>
      </c>
      <c r="K415">
        <v>3</v>
      </c>
      <c r="L415" s="22" t="str">
        <f t="shared" si="152"/>
        <v>22/07/2026</v>
      </c>
      <c r="M415" s="23">
        <f t="shared" si="153"/>
        <v>0.75</v>
      </c>
      <c r="N415" t="str">
        <f t="shared" si="135"/>
        <v>1 - 3</v>
      </c>
      <c r="O415" t="str">
        <f t="shared" si="136"/>
        <v>Red</v>
      </c>
      <c r="P415" t="str">
        <f t="shared" si="137"/>
        <v>Red</v>
      </c>
      <c r="Q415" t="str">
        <f t="shared" si="138"/>
        <v>Green</v>
      </c>
      <c r="R415" t="str">
        <f t="shared" si="139"/>
        <v>Red</v>
      </c>
      <c r="S415" t="str">
        <f t="shared" si="140"/>
        <v>Green</v>
      </c>
      <c r="T415" t="str">
        <f t="shared" si="141"/>
        <v>Green</v>
      </c>
      <c r="U415" t="str">
        <f t="shared" si="142"/>
        <v>Red</v>
      </c>
      <c r="V415" t="str">
        <f t="shared" si="143"/>
        <v>Green</v>
      </c>
      <c r="W415" t="str">
        <f t="shared" si="144"/>
        <v>Red</v>
      </c>
      <c r="X415" t="str">
        <f t="shared" si="145"/>
        <v>Green</v>
      </c>
      <c r="Y415" t="str">
        <f t="shared" si="146"/>
        <v>Green</v>
      </c>
      <c r="Z415" t="str">
        <f t="shared" si="147"/>
        <v>Green</v>
      </c>
      <c r="AA415" t="str">
        <f t="shared" si="148"/>
        <v>Red</v>
      </c>
      <c r="AB415" t="str">
        <f t="shared" si="149"/>
        <v>Red</v>
      </c>
      <c r="AC415" t="str">
        <f t="shared" si="150"/>
        <v>Green</v>
      </c>
      <c r="AD415" t="str">
        <f t="shared" si="151"/>
        <v>Red</v>
      </c>
    </row>
    <row r="416" spans="1:30" x14ac:dyDescent="0.2">
      <c r="A416" t="str">
        <f t="shared" si="134"/>
        <v>22/07/2026Independiente del ValleTecnico Universitario</v>
      </c>
      <c r="D416" s="2">
        <v>46225</v>
      </c>
      <c r="E416" s="3">
        <v>0.89583333333333337</v>
      </c>
      <c r="F416" t="s">
        <v>37</v>
      </c>
      <c r="G416" t="s">
        <v>38</v>
      </c>
      <c r="H416">
        <v>1</v>
      </c>
      <c r="I416">
        <v>0</v>
      </c>
      <c r="J416">
        <v>3</v>
      </c>
      <c r="K416">
        <v>0</v>
      </c>
      <c r="L416" s="22" t="str">
        <f t="shared" si="152"/>
        <v>22/07/2026</v>
      </c>
      <c r="M416" s="23">
        <f t="shared" si="153"/>
        <v>0.77083333333333337</v>
      </c>
      <c r="N416" t="str">
        <f t="shared" si="135"/>
        <v>3 - 0</v>
      </c>
      <c r="O416" t="str">
        <f t="shared" si="136"/>
        <v>Green</v>
      </c>
      <c r="P416" t="str">
        <f t="shared" si="137"/>
        <v>Red</v>
      </c>
      <c r="Q416" t="str">
        <f t="shared" si="138"/>
        <v>Red</v>
      </c>
      <c r="R416" t="str">
        <f t="shared" si="139"/>
        <v>Green</v>
      </c>
      <c r="S416" t="str">
        <f t="shared" si="140"/>
        <v>Red</v>
      </c>
      <c r="T416" t="str">
        <f t="shared" si="141"/>
        <v>Green</v>
      </c>
      <c r="U416" t="str">
        <f t="shared" si="142"/>
        <v>Green</v>
      </c>
      <c r="V416" t="str">
        <f t="shared" si="143"/>
        <v>Red</v>
      </c>
      <c r="W416" t="str">
        <f t="shared" si="144"/>
        <v>Red</v>
      </c>
      <c r="X416" t="str">
        <f t="shared" si="145"/>
        <v>Green</v>
      </c>
      <c r="Y416" t="str">
        <f t="shared" si="146"/>
        <v>Green</v>
      </c>
      <c r="Z416" t="str">
        <f t="shared" si="147"/>
        <v>Green</v>
      </c>
      <c r="AA416" t="str">
        <f t="shared" si="148"/>
        <v>Red</v>
      </c>
      <c r="AB416" t="str">
        <f t="shared" si="149"/>
        <v>Green</v>
      </c>
      <c r="AC416" t="str">
        <f t="shared" si="150"/>
        <v>Red</v>
      </c>
      <c r="AD416" t="str">
        <f t="shared" si="151"/>
        <v>Green</v>
      </c>
    </row>
    <row r="417" spans="1:30" x14ac:dyDescent="0.2">
      <c r="A417" t="str">
        <f t="shared" si="134"/>
        <v>22/07/2026Independiente MedellinVasco Da Gama RJ</v>
      </c>
      <c r="B417" t="s">
        <v>1321</v>
      </c>
      <c r="C417" t="s">
        <v>1322</v>
      </c>
      <c r="D417" s="2">
        <v>46225</v>
      </c>
      <c r="E417" s="3">
        <v>0.91666666666666663</v>
      </c>
      <c r="F417" t="s">
        <v>1860</v>
      </c>
      <c r="G417" t="s">
        <v>1861</v>
      </c>
      <c r="H417">
        <v>1</v>
      </c>
      <c r="I417">
        <v>0</v>
      </c>
      <c r="J417">
        <v>2</v>
      </c>
      <c r="K417">
        <v>2</v>
      </c>
      <c r="L417" s="22" t="str">
        <f t="shared" si="152"/>
        <v>22/07/2026</v>
      </c>
      <c r="M417" s="23">
        <f t="shared" si="153"/>
        <v>0.79166666666666663</v>
      </c>
      <c r="N417" t="str">
        <f t="shared" si="135"/>
        <v>2 - 2</v>
      </c>
      <c r="O417" t="str">
        <f t="shared" si="136"/>
        <v>Red</v>
      </c>
      <c r="P417" t="str">
        <f t="shared" si="137"/>
        <v>Green</v>
      </c>
      <c r="Q417" t="str">
        <f t="shared" si="138"/>
        <v>Red</v>
      </c>
      <c r="R417" t="str">
        <f t="shared" si="139"/>
        <v>Green</v>
      </c>
      <c r="S417" t="str">
        <f t="shared" si="140"/>
        <v>Green</v>
      </c>
      <c r="T417" t="str">
        <f t="shared" si="141"/>
        <v>Red</v>
      </c>
      <c r="U417" t="str">
        <f t="shared" si="142"/>
        <v>Green</v>
      </c>
      <c r="V417" t="str">
        <f t="shared" si="143"/>
        <v>Red</v>
      </c>
      <c r="W417" t="str">
        <f t="shared" si="144"/>
        <v>Red</v>
      </c>
      <c r="X417" t="str">
        <f t="shared" si="145"/>
        <v>Green</v>
      </c>
      <c r="Y417" t="str">
        <f t="shared" si="146"/>
        <v>Green</v>
      </c>
      <c r="Z417" t="str">
        <f t="shared" si="147"/>
        <v>Green</v>
      </c>
      <c r="AA417" t="str">
        <f t="shared" si="148"/>
        <v>Red</v>
      </c>
      <c r="AB417" t="str">
        <f t="shared" si="149"/>
        <v>Red</v>
      </c>
      <c r="AC417" t="str">
        <f t="shared" si="150"/>
        <v>Green</v>
      </c>
      <c r="AD417" t="str">
        <f t="shared" si="151"/>
        <v>Red</v>
      </c>
    </row>
    <row r="418" spans="1:30" x14ac:dyDescent="0.2">
      <c r="A418" t="str">
        <f t="shared" si="134"/>
        <v>22/07/2026Uniao Sao JoaoXV de Novembro</v>
      </c>
      <c r="B418" t="s">
        <v>804</v>
      </c>
      <c r="D418" s="2">
        <v>46225</v>
      </c>
      <c r="E418" s="3">
        <v>0.91666666666666663</v>
      </c>
      <c r="F418" t="s">
        <v>1862</v>
      </c>
      <c r="G418" t="s">
        <v>1863</v>
      </c>
      <c r="H418">
        <v>0</v>
      </c>
      <c r="I418">
        <v>0</v>
      </c>
      <c r="J418">
        <v>0</v>
      </c>
      <c r="K418">
        <v>0</v>
      </c>
      <c r="L418" s="22" t="str">
        <f t="shared" si="152"/>
        <v>22/07/2026</v>
      </c>
      <c r="M418" s="23">
        <f t="shared" si="153"/>
        <v>0.79166666666666663</v>
      </c>
      <c r="N418" t="str">
        <f t="shared" si="135"/>
        <v>0 - 0</v>
      </c>
      <c r="O418" t="str">
        <f t="shared" si="136"/>
        <v>Red</v>
      </c>
      <c r="P418" t="str">
        <f t="shared" si="137"/>
        <v>Green</v>
      </c>
      <c r="Q418" t="str">
        <f t="shared" si="138"/>
        <v>Red</v>
      </c>
      <c r="R418" t="str">
        <f t="shared" si="139"/>
        <v>Green</v>
      </c>
      <c r="S418" t="str">
        <f t="shared" si="140"/>
        <v>Green</v>
      </c>
      <c r="T418" t="str">
        <f t="shared" si="141"/>
        <v>Red</v>
      </c>
      <c r="U418" t="str">
        <f t="shared" si="142"/>
        <v>Red</v>
      </c>
      <c r="V418" t="str">
        <f t="shared" si="143"/>
        <v>Green</v>
      </c>
      <c r="W418" t="str">
        <f t="shared" si="144"/>
        <v>Red</v>
      </c>
      <c r="X418" t="str">
        <f t="shared" si="145"/>
        <v>Red</v>
      </c>
      <c r="Y418" t="str">
        <f t="shared" si="146"/>
        <v>Red</v>
      </c>
      <c r="Z418" t="str">
        <f t="shared" si="147"/>
        <v>Red</v>
      </c>
      <c r="AA418" t="str">
        <f t="shared" si="148"/>
        <v>Green</v>
      </c>
      <c r="AB418" t="str">
        <f t="shared" si="149"/>
        <v>Green</v>
      </c>
      <c r="AC418" t="str">
        <f t="shared" si="150"/>
        <v>Red</v>
      </c>
      <c r="AD418" t="str">
        <f t="shared" si="151"/>
        <v>Green</v>
      </c>
    </row>
    <row r="419" spans="1:30" x14ac:dyDescent="0.2">
      <c r="A419" t="str">
        <f t="shared" si="134"/>
        <v>22/07/2026Botafogo RJ WomenRed Bull Bragantino Women</v>
      </c>
      <c r="B419" t="s">
        <v>804</v>
      </c>
      <c r="D419" s="2">
        <v>46225</v>
      </c>
      <c r="E419" s="3">
        <v>0.91666666666666663</v>
      </c>
      <c r="F419" t="s">
        <v>1864</v>
      </c>
      <c r="G419" t="s">
        <v>1865</v>
      </c>
      <c r="H419">
        <v>0</v>
      </c>
      <c r="I419">
        <v>0</v>
      </c>
      <c r="J419">
        <v>0</v>
      </c>
      <c r="K419">
        <v>2</v>
      </c>
      <c r="L419" s="22" t="str">
        <f t="shared" si="152"/>
        <v>22/07/2026</v>
      </c>
      <c r="M419" s="23">
        <f t="shared" si="153"/>
        <v>0.79166666666666663</v>
      </c>
      <c r="N419" t="str">
        <f t="shared" si="135"/>
        <v>0 - 2</v>
      </c>
      <c r="O419" t="str">
        <f t="shared" si="136"/>
        <v>Red</v>
      </c>
      <c r="P419" t="str">
        <f t="shared" si="137"/>
        <v>Red</v>
      </c>
      <c r="Q419" t="str">
        <f t="shared" si="138"/>
        <v>Green</v>
      </c>
      <c r="R419" t="str">
        <f t="shared" si="139"/>
        <v>Red</v>
      </c>
      <c r="S419" t="str">
        <f t="shared" si="140"/>
        <v>Green</v>
      </c>
      <c r="T419" t="str">
        <f t="shared" si="141"/>
        <v>Green</v>
      </c>
      <c r="U419" t="str">
        <f t="shared" si="142"/>
        <v>Red</v>
      </c>
      <c r="V419" t="str">
        <f t="shared" si="143"/>
        <v>Green</v>
      </c>
      <c r="W419" t="str">
        <f t="shared" si="144"/>
        <v>Red</v>
      </c>
      <c r="X419" t="str">
        <f t="shared" si="145"/>
        <v>Red</v>
      </c>
      <c r="Y419" t="str">
        <f t="shared" si="146"/>
        <v>Green</v>
      </c>
      <c r="Z419" t="str">
        <f t="shared" si="147"/>
        <v>Red</v>
      </c>
      <c r="AA419" t="str">
        <f t="shared" si="148"/>
        <v>Green</v>
      </c>
      <c r="AB419" t="str">
        <f t="shared" si="149"/>
        <v>Green</v>
      </c>
      <c r="AC419" t="str">
        <f t="shared" si="150"/>
        <v>Red</v>
      </c>
      <c r="AD419" t="str">
        <f t="shared" si="151"/>
        <v>Green</v>
      </c>
    </row>
    <row r="420" spans="1:30" x14ac:dyDescent="0.2">
      <c r="A420" t="str">
        <f t="shared" si="134"/>
        <v>22/07/2026Coritiba PRPalmeiras</v>
      </c>
      <c r="B420" t="s">
        <v>804</v>
      </c>
      <c r="C420" t="s">
        <v>805</v>
      </c>
      <c r="D420" s="2">
        <v>46225</v>
      </c>
      <c r="E420" s="3">
        <v>0.9375</v>
      </c>
      <c r="F420" t="s">
        <v>875</v>
      </c>
      <c r="G420" t="s">
        <v>40</v>
      </c>
      <c r="H420">
        <v>0</v>
      </c>
      <c r="I420">
        <v>2</v>
      </c>
      <c r="J420">
        <v>1</v>
      </c>
      <c r="K420">
        <v>3</v>
      </c>
      <c r="L420" s="22" t="str">
        <f t="shared" si="152"/>
        <v>22/07/2026</v>
      </c>
      <c r="M420" s="23">
        <f t="shared" si="153"/>
        <v>0.8125</v>
      </c>
      <c r="N420" t="str">
        <f t="shared" si="135"/>
        <v>1 - 3</v>
      </c>
      <c r="O420" t="str">
        <f t="shared" si="136"/>
        <v>Red</v>
      </c>
      <c r="P420" t="str">
        <f t="shared" si="137"/>
        <v>Red</v>
      </c>
      <c r="Q420" t="str">
        <f t="shared" si="138"/>
        <v>Green</v>
      </c>
      <c r="R420" t="str">
        <f t="shared" si="139"/>
        <v>Red</v>
      </c>
      <c r="S420" t="str">
        <f t="shared" si="140"/>
        <v>Green</v>
      </c>
      <c r="T420" t="str">
        <f t="shared" si="141"/>
        <v>Green</v>
      </c>
      <c r="U420" t="str">
        <f t="shared" si="142"/>
        <v>Red</v>
      </c>
      <c r="V420" t="str">
        <f t="shared" si="143"/>
        <v>Red</v>
      </c>
      <c r="W420" t="str">
        <f t="shared" si="144"/>
        <v>Green</v>
      </c>
      <c r="X420" t="str">
        <f t="shared" si="145"/>
        <v>Green</v>
      </c>
      <c r="Y420" t="str">
        <f t="shared" si="146"/>
        <v>Green</v>
      </c>
      <c r="Z420" t="str">
        <f t="shared" si="147"/>
        <v>Green</v>
      </c>
      <c r="AA420" t="str">
        <f t="shared" si="148"/>
        <v>Red</v>
      </c>
      <c r="AB420" t="str">
        <f t="shared" si="149"/>
        <v>Red</v>
      </c>
      <c r="AC420" t="str">
        <f t="shared" si="150"/>
        <v>Green</v>
      </c>
      <c r="AD420" t="str">
        <f t="shared" si="151"/>
        <v>Red</v>
      </c>
    </row>
    <row r="421" spans="1:30" x14ac:dyDescent="0.2">
      <c r="A421" t="str">
        <f t="shared" si="134"/>
        <v>22/07/2026CearaClube de Regatas Brasil</v>
      </c>
      <c r="B421" t="s">
        <v>804</v>
      </c>
      <c r="C421" t="s">
        <v>817</v>
      </c>
      <c r="D421" s="2">
        <v>46225</v>
      </c>
      <c r="E421" s="3">
        <v>0.9375</v>
      </c>
      <c r="F421" t="s">
        <v>912</v>
      </c>
      <c r="G421" t="s">
        <v>913</v>
      </c>
      <c r="H421">
        <v>0</v>
      </c>
      <c r="I421">
        <v>1</v>
      </c>
      <c r="J421">
        <v>0</v>
      </c>
      <c r="K421">
        <v>1</v>
      </c>
      <c r="L421" s="22" t="str">
        <f t="shared" si="152"/>
        <v>22/07/2026</v>
      </c>
      <c r="M421" s="23">
        <f t="shared" si="153"/>
        <v>0.8125</v>
      </c>
      <c r="N421" t="str">
        <f t="shared" si="135"/>
        <v>0 - 1</v>
      </c>
      <c r="O421" t="str">
        <f t="shared" si="136"/>
        <v>Red</v>
      </c>
      <c r="P421" t="str">
        <f t="shared" si="137"/>
        <v>Red</v>
      </c>
      <c r="Q421" t="str">
        <f t="shared" si="138"/>
        <v>Green</v>
      </c>
      <c r="R421" t="str">
        <f t="shared" si="139"/>
        <v>Red</v>
      </c>
      <c r="S421" t="str">
        <f t="shared" si="140"/>
        <v>Green</v>
      </c>
      <c r="T421" t="str">
        <f t="shared" si="141"/>
        <v>Green</v>
      </c>
      <c r="U421" t="str">
        <f t="shared" si="142"/>
        <v>Red</v>
      </c>
      <c r="V421" t="str">
        <f t="shared" si="143"/>
        <v>Red</v>
      </c>
      <c r="W421" t="str">
        <f t="shared" si="144"/>
        <v>Green</v>
      </c>
      <c r="X421" t="str">
        <f t="shared" si="145"/>
        <v>Green</v>
      </c>
      <c r="Y421" t="str">
        <f t="shared" si="146"/>
        <v>Red</v>
      </c>
      <c r="Z421" t="str">
        <f t="shared" si="147"/>
        <v>Red</v>
      </c>
      <c r="AA421" t="str">
        <f t="shared" si="148"/>
        <v>Green</v>
      </c>
      <c r="AB421" t="str">
        <f t="shared" si="149"/>
        <v>Green</v>
      </c>
      <c r="AC421" t="str">
        <f t="shared" si="150"/>
        <v>Red</v>
      </c>
      <c r="AD421" t="str">
        <f t="shared" si="151"/>
        <v>Green</v>
      </c>
    </row>
    <row r="422" spans="1:30" x14ac:dyDescent="0.2">
      <c r="A422" t="str">
        <f t="shared" si="134"/>
        <v>22/07/2026Operario PRPonte Preta</v>
      </c>
      <c r="B422" t="s">
        <v>804</v>
      </c>
      <c r="C422" t="s">
        <v>817</v>
      </c>
      <c r="D422" s="2">
        <v>46225</v>
      </c>
      <c r="E422" s="3">
        <v>0.9375</v>
      </c>
      <c r="F422" t="s">
        <v>914</v>
      </c>
      <c r="G422" t="s">
        <v>44</v>
      </c>
      <c r="H422">
        <v>1</v>
      </c>
      <c r="I422">
        <v>1</v>
      </c>
      <c r="J422">
        <v>3</v>
      </c>
      <c r="K422">
        <v>2</v>
      </c>
      <c r="L422" s="22" t="str">
        <f t="shared" si="152"/>
        <v>22/07/2026</v>
      </c>
      <c r="M422" s="23">
        <f t="shared" si="153"/>
        <v>0.8125</v>
      </c>
      <c r="N422" t="str">
        <f t="shared" si="135"/>
        <v>3 - 2</v>
      </c>
      <c r="O422" t="str">
        <f t="shared" si="136"/>
        <v>Green</v>
      </c>
      <c r="P422" t="str">
        <f t="shared" si="137"/>
        <v>Red</v>
      </c>
      <c r="Q422" t="str">
        <f t="shared" si="138"/>
        <v>Red</v>
      </c>
      <c r="R422" t="str">
        <f t="shared" si="139"/>
        <v>Green</v>
      </c>
      <c r="S422" t="str">
        <f t="shared" si="140"/>
        <v>Red</v>
      </c>
      <c r="T422" t="str">
        <f t="shared" si="141"/>
        <v>Green</v>
      </c>
      <c r="U422" t="str">
        <f t="shared" si="142"/>
        <v>Red</v>
      </c>
      <c r="V422" t="str">
        <f t="shared" si="143"/>
        <v>Green</v>
      </c>
      <c r="W422" t="str">
        <f t="shared" si="144"/>
        <v>Red</v>
      </c>
      <c r="X422" t="str">
        <f t="shared" si="145"/>
        <v>Green</v>
      </c>
      <c r="Y422" t="str">
        <f t="shared" si="146"/>
        <v>Green</v>
      </c>
      <c r="Z422" t="str">
        <f t="shared" si="147"/>
        <v>Green</v>
      </c>
      <c r="AA422" t="str">
        <f t="shared" si="148"/>
        <v>Red</v>
      </c>
      <c r="AB422" t="str">
        <f t="shared" si="149"/>
        <v>Red</v>
      </c>
      <c r="AC422" t="str">
        <f t="shared" si="150"/>
        <v>Green</v>
      </c>
      <c r="AD422" t="str">
        <f t="shared" si="151"/>
        <v>Red</v>
      </c>
    </row>
    <row r="423" spans="1:30" x14ac:dyDescent="0.2">
      <c r="A423" t="str">
        <f t="shared" si="134"/>
        <v>22/07/2026Sampaio Correa RJResende RJ</v>
      </c>
      <c r="B423" t="s">
        <v>804</v>
      </c>
      <c r="C423" t="s">
        <v>829</v>
      </c>
      <c r="D423" s="2">
        <v>46225</v>
      </c>
      <c r="E423" s="3">
        <v>0.9375</v>
      </c>
      <c r="F423" t="s">
        <v>1866</v>
      </c>
      <c r="G423" t="s">
        <v>1867</v>
      </c>
      <c r="H423">
        <v>0</v>
      </c>
      <c r="I423">
        <v>0</v>
      </c>
      <c r="J423">
        <v>2</v>
      </c>
      <c r="K423">
        <v>0</v>
      </c>
      <c r="L423" s="22" t="str">
        <f t="shared" si="152"/>
        <v>22/07/2026</v>
      </c>
      <c r="M423" s="23">
        <f t="shared" si="153"/>
        <v>0.8125</v>
      </c>
      <c r="N423" t="str">
        <f t="shared" si="135"/>
        <v>2 - 0</v>
      </c>
      <c r="O423" t="str">
        <f t="shared" si="136"/>
        <v>Green</v>
      </c>
      <c r="P423" t="str">
        <f t="shared" si="137"/>
        <v>Red</v>
      </c>
      <c r="Q423" t="str">
        <f t="shared" si="138"/>
        <v>Red</v>
      </c>
      <c r="R423" t="str">
        <f t="shared" si="139"/>
        <v>Green</v>
      </c>
      <c r="S423" t="str">
        <f t="shared" si="140"/>
        <v>Red</v>
      </c>
      <c r="T423" t="str">
        <f t="shared" si="141"/>
        <v>Green</v>
      </c>
      <c r="U423" t="str">
        <f t="shared" si="142"/>
        <v>Red</v>
      </c>
      <c r="V423" t="str">
        <f t="shared" si="143"/>
        <v>Green</v>
      </c>
      <c r="W423" t="str">
        <f t="shared" si="144"/>
        <v>Red</v>
      </c>
      <c r="X423" t="str">
        <f t="shared" si="145"/>
        <v>Red</v>
      </c>
      <c r="Y423" t="str">
        <f t="shared" si="146"/>
        <v>Green</v>
      </c>
      <c r="Z423" t="str">
        <f t="shared" si="147"/>
        <v>Red</v>
      </c>
      <c r="AA423" t="str">
        <f t="shared" si="148"/>
        <v>Green</v>
      </c>
      <c r="AB423" t="str">
        <f t="shared" si="149"/>
        <v>Green</v>
      </c>
      <c r="AC423" t="str">
        <f t="shared" si="150"/>
        <v>Red</v>
      </c>
      <c r="AD423" t="str">
        <f t="shared" si="151"/>
        <v>Green</v>
      </c>
    </row>
    <row r="424" spans="1:30" x14ac:dyDescent="0.2">
      <c r="A424" t="str">
        <f t="shared" si="134"/>
        <v>22/07/2026Atletico Mineiro WomenCA Piauiense Women</v>
      </c>
      <c r="B424" t="s">
        <v>804</v>
      </c>
      <c r="D424" s="2">
        <v>46225</v>
      </c>
      <c r="E424" s="3">
        <v>0.9375</v>
      </c>
      <c r="F424" t="s">
        <v>1868</v>
      </c>
      <c r="G424" t="s">
        <v>1869</v>
      </c>
      <c r="H424">
        <v>0</v>
      </c>
      <c r="I424">
        <v>0</v>
      </c>
      <c r="J424">
        <v>2</v>
      </c>
      <c r="K424">
        <v>1</v>
      </c>
      <c r="L424" s="22" t="str">
        <f t="shared" si="152"/>
        <v>22/07/2026</v>
      </c>
      <c r="M424" s="23">
        <f t="shared" si="153"/>
        <v>0.8125</v>
      </c>
      <c r="N424" t="str">
        <f t="shared" si="135"/>
        <v>2 - 1</v>
      </c>
      <c r="O424" t="str">
        <f t="shared" si="136"/>
        <v>Green</v>
      </c>
      <c r="P424" t="str">
        <f t="shared" si="137"/>
        <v>Red</v>
      </c>
      <c r="Q424" t="str">
        <f t="shared" si="138"/>
        <v>Red</v>
      </c>
      <c r="R424" t="str">
        <f t="shared" si="139"/>
        <v>Green</v>
      </c>
      <c r="S424" t="str">
        <f t="shared" si="140"/>
        <v>Red</v>
      </c>
      <c r="T424" t="str">
        <f t="shared" si="141"/>
        <v>Green</v>
      </c>
      <c r="U424" t="str">
        <f t="shared" si="142"/>
        <v>Red</v>
      </c>
      <c r="V424" t="str">
        <f t="shared" si="143"/>
        <v>Green</v>
      </c>
      <c r="W424" t="str">
        <f t="shared" si="144"/>
        <v>Red</v>
      </c>
      <c r="X424" t="str">
        <f t="shared" si="145"/>
        <v>Red</v>
      </c>
      <c r="Y424" t="str">
        <f t="shared" si="146"/>
        <v>Green</v>
      </c>
      <c r="Z424" t="str">
        <f t="shared" si="147"/>
        <v>Green</v>
      </c>
      <c r="AA424" t="str">
        <f t="shared" si="148"/>
        <v>Red</v>
      </c>
      <c r="AB424" t="str">
        <f t="shared" si="149"/>
        <v>Green</v>
      </c>
      <c r="AC424" t="str">
        <f t="shared" si="150"/>
        <v>Green</v>
      </c>
      <c r="AD424" t="str">
        <f t="shared" si="151"/>
        <v>Red</v>
      </c>
    </row>
    <row r="425" spans="1:30" x14ac:dyDescent="0.2">
      <c r="A425" t="str">
        <f t="shared" si="134"/>
        <v>22/07/2026Carolina CoreInter Miami II</v>
      </c>
      <c r="D425" s="2">
        <v>46225</v>
      </c>
      <c r="E425" s="3">
        <v>0.9375</v>
      </c>
      <c r="F425" t="s">
        <v>1870</v>
      </c>
      <c r="G425" t="s">
        <v>1871</v>
      </c>
      <c r="H425">
        <v>2</v>
      </c>
      <c r="I425">
        <v>0</v>
      </c>
      <c r="J425">
        <v>4</v>
      </c>
      <c r="K425">
        <v>0</v>
      </c>
      <c r="L425" s="22" t="str">
        <f t="shared" si="152"/>
        <v>22/07/2026</v>
      </c>
      <c r="M425" s="23">
        <f t="shared" si="153"/>
        <v>0.8125</v>
      </c>
      <c r="N425" t="str">
        <f t="shared" si="135"/>
        <v>4 - 0</v>
      </c>
      <c r="O425" t="str">
        <f t="shared" si="136"/>
        <v>Green</v>
      </c>
      <c r="P425" t="str">
        <f t="shared" si="137"/>
        <v>Red</v>
      </c>
      <c r="Q425" t="str">
        <f t="shared" si="138"/>
        <v>Red</v>
      </c>
      <c r="R425" t="str">
        <f t="shared" si="139"/>
        <v>Green</v>
      </c>
      <c r="S425" t="str">
        <f t="shared" si="140"/>
        <v>Red</v>
      </c>
      <c r="T425" t="str">
        <f t="shared" si="141"/>
        <v>Green</v>
      </c>
      <c r="U425" t="str">
        <f t="shared" si="142"/>
        <v>Green</v>
      </c>
      <c r="V425" t="str">
        <f t="shared" si="143"/>
        <v>Red</v>
      </c>
      <c r="W425" t="str">
        <f t="shared" si="144"/>
        <v>Red</v>
      </c>
      <c r="X425" t="str">
        <f t="shared" si="145"/>
        <v>Green</v>
      </c>
      <c r="Y425" t="str">
        <f t="shared" si="146"/>
        <v>Green</v>
      </c>
      <c r="Z425" t="str">
        <f t="shared" si="147"/>
        <v>Green</v>
      </c>
      <c r="AA425" t="str">
        <f t="shared" si="148"/>
        <v>Red</v>
      </c>
      <c r="AB425" t="str">
        <f t="shared" si="149"/>
        <v>Red</v>
      </c>
      <c r="AC425" t="str">
        <f t="shared" si="150"/>
        <v>Red</v>
      </c>
      <c r="AD425" t="str">
        <f t="shared" si="151"/>
        <v>Green</v>
      </c>
    </row>
    <row r="426" spans="1:30" x14ac:dyDescent="0.2">
      <c r="A426" t="str">
        <f t="shared" si="134"/>
        <v>22/07/2026Hercilio LuzCF Caravaggio</v>
      </c>
      <c r="B426" t="s">
        <v>804</v>
      </c>
      <c r="C426" t="s">
        <v>917</v>
      </c>
      <c r="D426" s="2">
        <v>46225</v>
      </c>
      <c r="E426" s="3">
        <v>0.95833333333333337</v>
      </c>
      <c r="F426" t="s">
        <v>926</v>
      </c>
      <c r="G426" t="s">
        <v>927</v>
      </c>
      <c r="H426">
        <v>0</v>
      </c>
      <c r="I426">
        <v>0</v>
      </c>
      <c r="J426">
        <v>0</v>
      </c>
      <c r="K426">
        <v>0</v>
      </c>
      <c r="L426" s="22" t="str">
        <f t="shared" si="152"/>
        <v>22/07/2026</v>
      </c>
      <c r="M426" s="23">
        <f t="shared" si="153"/>
        <v>0.83333333333333337</v>
      </c>
      <c r="N426" t="str">
        <f t="shared" si="135"/>
        <v>0 - 0</v>
      </c>
      <c r="O426" t="str">
        <f t="shared" si="136"/>
        <v>Red</v>
      </c>
      <c r="P426" t="str">
        <f t="shared" si="137"/>
        <v>Green</v>
      </c>
      <c r="Q426" t="str">
        <f t="shared" si="138"/>
        <v>Red</v>
      </c>
      <c r="R426" t="str">
        <f t="shared" si="139"/>
        <v>Green</v>
      </c>
      <c r="S426" t="str">
        <f t="shared" si="140"/>
        <v>Green</v>
      </c>
      <c r="T426" t="str">
        <f t="shared" si="141"/>
        <v>Red</v>
      </c>
      <c r="U426" t="str">
        <f t="shared" si="142"/>
        <v>Red</v>
      </c>
      <c r="V426" t="str">
        <f t="shared" si="143"/>
        <v>Green</v>
      </c>
      <c r="W426" t="str">
        <f t="shared" si="144"/>
        <v>Red</v>
      </c>
      <c r="X426" t="str">
        <f t="shared" si="145"/>
        <v>Red</v>
      </c>
      <c r="Y426" t="str">
        <f t="shared" si="146"/>
        <v>Red</v>
      </c>
      <c r="Z426" t="str">
        <f t="shared" si="147"/>
        <v>Red</v>
      </c>
      <c r="AA426" t="str">
        <f t="shared" si="148"/>
        <v>Green</v>
      </c>
      <c r="AB426" t="str">
        <f t="shared" si="149"/>
        <v>Green</v>
      </c>
      <c r="AC426" t="str">
        <f t="shared" si="150"/>
        <v>Red</v>
      </c>
      <c r="AD426" t="str">
        <f t="shared" si="151"/>
        <v>Green</v>
      </c>
    </row>
    <row r="427" spans="1:30" x14ac:dyDescent="0.2">
      <c r="A427" t="str">
        <f t="shared" si="134"/>
        <v>22/07/2026Lexington SCOakland Roots</v>
      </c>
      <c r="D427" s="2">
        <v>46225</v>
      </c>
      <c r="E427" s="3">
        <v>0.95833333333333337</v>
      </c>
      <c r="F427" t="s">
        <v>47</v>
      </c>
      <c r="G427" t="s">
        <v>48</v>
      </c>
      <c r="H427">
        <v>0</v>
      </c>
      <c r="I427">
        <v>0</v>
      </c>
      <c r="J427">
        <v>2</v>
      </c>
      <c r="K427">
        <v>0</v>
      </c>
      <c r="L427" s="22" t="str">
        <f t="shared" si="152"/>
        <v>22/07/2026</v>
      </c>
      <c r="M427" s="23">
        <f t="shared" si="153"/>
        <v>0.83333333333333337</v>
      </c>
      <c r="N427" t="str">
        <f t="shared" si="135"/>
        <v>2 - 0</v>
      </c>
      <c r="O427" t="str">
        <f t="shared" si="136"/>
        <v>Green</v>
      </c>
      <c r="P427" t="str">
        <f t="shared" si="137"/>
        <v>Red</v>
      </c>
      <c r="Q427" t="str">
        <f t="shared" si="138"/>
        <v>Red</v>
      </c>
      <c r="R427" t="str">
        <f t="shared" si="139"/>
        <v>Green</v>
      </c>
      <c r="S427" t="str">
        <f t="shared" si="140"/>
        <v>Red</v>
      </c>
      <c r="T427" t="str">
        <f t="shared" si="141"/>
        <v>Green</v>
      </c>
      <c r="U427" t="str">
        <f t="shared" si="142"/>
        <v>Red</v>
      </c>
      <c r="V427" t="str">
        <f t="shared" si="143"/>
        <v>Green</v>
      </c>
      <c r="W427" t="str">
        <f t="shared" si="144"/>
        <v>Red</v>
      </c>
      <c r="X427" t="str">
        <f t="shared" si="145"/>
        <v>Red</v>
      </c>
      <c r="Y427" t="str">
        <f t="shared" si="146"/>
        <v>Green</v>
      </c>
      <c r="Z427" t="str">
        <f t="shared" si="147"/>
        <v>Red</v>
      </c>
      <c r="AA427" t="str">
        <f t="shared" si="148"/>
        <v>Green</v>
      </c>
      <c r="AB427" t="str">
        <f t="shared" si="149"/>
        <v>Green</v>
      </c>
      <c r="AC427" t="str">
        <f t="shared" si="150"/>
        <v>Red</v>
      </c>
      <c r="AD427" t="str">
        <f t="shared" si="151"/>
        <v>Green</v>
      </c>
    </row>
    <row r="428" spans="1:30" x14ac:dyDescent="0.2">
      <c r="A428" t="str">
        <f t="shared" si="134"/>
        <v>22/07/2026Portland Hearts of PineUnion Omaha SC</v>
      </c>
      <c r="D428" s="2">
        <v>46225</v>
      </c>
      <c r="E428" s="3">
        <v>0.95833333333333337</v>
      </c>
      <c r="F428" t="s">
        <v>1872</v>
      </c>
      <c r="G428" t="s">
        <v>1873</v>
      </c>
      <c r="H428">
        <v>1</v>
      </c>
      <c r="I428">
        <v>2</v>
      </c>
      <c r="J428">
        <v>1</v>
      </c>
      <c r="K428">
        <v>2</v>
      </c>
      <c r="L428" s="22" t="str">
        <f t="shared" si="152"/>
        <v>22/07/2026</v>
      </c>
      <c r="M428" s="23">
        <f t="shared" si="153"/>
        <v>0.83333333333333337</v>
      </c>
      <c r="N428" t="str">
        <f t="shared" si="135"/>
        <v>1 - 2</v>
      </c>
      <c r="O428" t="str">
        <f t="shared" si="136"/>
        <v>Red</v>
      </c>
      <c r="P428" t="str">
        <f t="shared" si="137"/>
        <v>Red</v>
      </c>
      <c r="Q428" t="str">
        <f t="shared" si="138"/>
        <v>Green</v>
      </c>
      <c r="R428" t="str">
        <f t="shared" si="139"/>
        <v>Red</v>
      </c>
      <c r="S428" t="str">
        <f t="shared" si="140"/>
        <v>Green</v>
      </c>
      <c r="T428" t="str">
        <f t="shared" si="141"/>
        <v>Green</v>
      </c>
      <c r="U428" t="str">
        <f t="shared" si="142"/>
        <v>Red</v>
      </c>
      <c r="V428" t="str">
        <f t="shared" si="143"/>
        <v>Red</v>
      </c>
      <c r="W428" t="str">
        <f t="shared" si="144"/>
        <v>Green</v>
      </c>
      <c r="X428" t="str">
        <f t="shared" si="145"/>
        <v>Green</v>
      </c>
      <c r="Y428" t="str">
        <f t="shared" si="146"/>
        <v>Green</v>
      </c>
      <c r="Z428" t="str">
        <f t="shared" si="147"/>
        <v>Green</v>
      </c>
      <c r="AA428" t="str">
        <f t="shared" si="148"/>
        <v>Red</v>
      </c>
      <c r="AB428" t="str">
        <f t="shared" si="149"/>
        <v>Green</v>
      </c>
      <c r="AC428" t="str">
        <f t="shared" si="150"/>
        <v>Green</v>
      </c>
      <c r="AD428" t="str">
        <f t="shared" si="151"/>
        <v>Red</v>
      </c>
    </row>
    <row r="429" spans="1:30" x14ac:dyDescent="0.2">
      <c r="A429" t="str">
        <f t="shared" si="134"/>
        <v>22/07/2026Westchester SCNew York Cosmos</v>
      </c>
      <c r="D429" s="2">
        <v>46225</v>
      </c>
      <c r="E429" s="3">
        <v>0.95833333333333337</v>
      </c>
      <c r="F429" t="s">
        <v>1874</v>
      </c>
      <c r="G429" t="s">
        <v>1875</v>
      </c>
      <c r="H429">
        <v>1</v>
      </c>
      <c r="I429">
        <v>0</v>
      </c>
      <c r="J429">
        <v>3</v>
      </c>
      <c r="K429">
        <v>0</v>
      </c>
      <c r="L429" s="22" t="str">
        <f t="shared" si="152"/>
        <v>22/07/2026</v>
      </c>
      <c r="M429" s="23">
        <f t="shared" si="153"/>
        <v>0.83333333333333337</v>
      </c>
      <c r="N429" t="str">
        <f t="shared" si="135"/>
        <v>3 - 0</v>
      </c>
      <c r="O429" t="str">
        <f t="shared" si="136"/>
        <v>Green</v>
      </c>
      <c r="P429" t="str">
        <f t="shared" si="137"/>
        <v>Red</v>
      </c>
      <c r="Q429" t="str">
        <f t="shared" si="138"/>
        <v>Red</v>
      </c>
      <c r="R429" t="str">
        <f t="shared" si="139"/>
        <v>Green</v>
      </c>
      <c r="S429" t="str">
        <f t="shared" si="140"/>
        <v>Red</v>
      </c>
      <c r="T429" t="str">
        <f t="shared" si="141"/>
        <v>Green</v>
      </c>
      <c r="U429" t="str">
        <f t="shared" si="142"/>
        <v>Green</v>
      </c>
      <c r="V429" t="str">
        <f t="shared" si="143"/>
        <v>Red</v>
      </c>
      <c r="W429" t="str">
        <f t="shared" si="144"/>
        <v>Red</v>
      </c>
      <c r="X429" t="str">
        <f t="shared" si="145"/>
        <v>Green</v>
      </c>
      <c r="Y429" t="str">
        <f t="shared" si="146"/>
        <v>Green</v>
      </c>
      <c r="Z429" t="str">
        <f t="shared" si="147"/>
        <v>Green</v>
      </c>
      <c r="AA429" t="str">
        <f t="shared" si="148"/>
        <v>Red</v>
      </c>
      <c r="AB429" t="str">
        <f t="shared" si="149"/>
        <v>Green</v>
      </c>
      <c r="AC429" t="str">
        <f t="shared" si="150"/>
        <v>Red</v>
      </c>
      <c r="AD429" t="str">
        <f t="shared" si="151"/>
        <v>Green</v>
      </c>
    </row>
    <row r="430" spans="1:30" x14ac:dyDescent="0.2">
      <c r="A430" t="str">
        <f t="shared" si="134"/>
        <v>22/07/2026GoiasSport Recife</v>
      </c>
      <c r="B430" t="s">
        <v>804</v>
      </c>
      <c r="C430" t="s">
        <v>817</v>
      </c>
      <c r="D430" s="2">
        <v>46225</v>
      </c>
      <c r="E430" s="3">
        <v>0.97916666666666663</v>
      </c>
      <c r="F430" t="s">
        <v>915</v>
      </c>
      <c r="G430" t="s">
        <v>50</v>
      </c>
      <c r="H430">
        <v>0</v>
      </c>
      <c r="I430">
        <v>1</v>
      </c>
      <c r="J430">
        <v>1</v>
      </c>
      <c r="K430">
        <v>1</v>
      </c>
      <c r="L430" s="22" t="str">
        <f t="shared" si="152"/>
        <v>22/07/2026</v>
      </c>
      <c r="M430" s="23">
        <f t="shared" si="153"/>
        <v>0.85416666666666663</v>
      </c>
      <c r="N430" t="str">
        <f t="shared" si="135"/>
        <v>1 - 1</v>
      </c>
      <c r="O430" t="str">
        <f t="shared" si="136"/>
        <v>Red</v>
      </c>
      <c r="P430" t="str">
        <f t="shared" si="137"/>
        <v>Green</v>
      </c>
      <c r="Q430" t="str">
        <f t="shared" si="138"/>
        <v>Red</v>
      </c>
      <c r="R430" t="str">
        <f t="shared" si="139"/>
        <v>Green</v>
      </c>
      <c r="S430" t="str">
        <f t="shared" si="140"/>
        <v>Green</v>
      </c>
      <c r="T430" t="str">
        <f t="shared" si="141"/>
        <v>Red</v>
      </c>
      <c r="U430" t="str">
        <f t="shared" si="142"/>
        <v>Red</v>
      </c>
      <c r="V430" t="str">
        <f t="shared" si="143"/>
        <v>Red</v>
      </c>
      <c r="W430" t="str">
        <f t="shared" si="144"/>
        <v>Green</v>
      </c>
      <c r="X430" t="str">
        <f t="shared" si="145"/>
        <v>Green</v>
      </c>
      <c r="Y430" t="str">
        <f t="shared" si="146"/>
        <v>Green</v>
      </c>
      <c r="Z430" t="str">
        <f t="shared" si="147"/>
        <v>Red</v>
      </c>
      <c r="AA430" t="str">
        <f t="shared" si="148"/>
        <v>Green</v>
      </c>
      <c r="AB430" t="str">
        <f t="shared" si="149"/>
        <v>Green</v>
      </c>
      <c r="AC430" t="str">
        <f t="shared" si="150"/>
        <v>Green</v>
      </c>
      <c r="AD430" t="str">
        <f t="shared" si="151"/>
        <v>Red</v>
      </c>
    </row>
    <row r="431" spans="1:30" x14ac:dyDescent="0.2">
      <c r="A431" t="str">
        <f t="shared" si="134"/>
        <v>22/07/2026Columbus CrewNew York City</v>
      </c>
      <c r="D431" s="2">
        <v>46225</v>
      </c>
      <c r="E431" s="3">
        <v>0.97916666666666663</v>
      </c>
      <c r="F431" t="s">
        <v>860</v>
      </c>
      <c r="G431" t="s">
        <v>861</v>
      </c>
      <c r="H431">
        <v>0</v>
      </c>
      <c r="I431">
        <v>1</v>
      </c>
      <c r="J431">
        <v>1</v>
      </c>
      <c r="K431">
        <v>2</v>
      </c>
      <c r="L431" s="22" t="str">
        <f t="shared" si="152"/>
        <v>22/07/2026</v>
      </c>
      <c r="M431" s="23">
        <f t="shared" si="153"/>
        <v>0.85416666666666663</v>
      </c>
      <c r="N431" t="str">
        <f t="shared" si="135"/>
        <v>1 - 2</v>
      </c>
      <c r="O431" t="str">
        <f t="shared" si="136"/>
        <v>Red</v>
      </c>
      <c r="P431" t="str">
        <f t="shared" si="137"/>
        <v>Red</v>
      </c>
      <c r="Q431" t="str">
        <f t="shared" si="138"/>
        <v>Green</v>
      </c>
      <c r="R431" t="str">
        <f t="shared" si="139"/>
        <v>Red</v>
      </c>
      <c r="S431" t="str">
        <f t="shared" si="140"/>
        <v>Green</v>
      </c>
      <c r="T431" t="str">
        <f t="shared" si="141"/>
        <v>Green</v>
      </c>
      <c r="U431" t="str">
        <f t="shared" si="142"/>
        <v>Red</v>
      </c>
      <c r="V431" t="str">
        <f t="shared" si="143"/>
        <v>Red</v>
      </c>
      <c r="W431" t="str">
        <f t="shared" si="144"/>
        <v>Green</v>
      </c>
      <c r="X431" t="str">
        <f t="shared" si="145"/>
        <v>Green</v>
      </c>
      <c r="Y431" t="str">
        <f t="shared" si="146"/>
        <v>Green</v>
      </c>
      <c r="Z431" t="str">
        <f t="shared" si="147"/>
        <v>Green</v>
      </c>
      <c r="AA431" t="str">
        <f t="shared" si="148"/>
        <v>Red</v>
      </c>
      <c r="AB431" t="str">
        <f t="shared" si="149"/>
        <v>Green</v>
      </c>
      <c r="AC431" t="str">
        <f t="shared" si="150"/>
        <v>Green</v>
      </c>
      <c r="AD431" t="str">
        <f t="shared" si="151"/>
        <v>Red</v>
      </c>
    </row>
    <row r="432" spans="1:30" x14ac:dyDescent="0.2">
      <c r="A432" t="str">
        <f t="shared" si="134"/>
        <v>22/07/2026FC CincinnatiVancouver Whitecaps</v>
      </c>
      <c r="D432" s="2">
        <v>46225</v>
      </c>
      <c r="E432" s="3">
        <v>0.97916666666666663</v>
      </c>
      <c r="F432" t="s">
        <v>53</v>
      </c>
      <c r="G432" t="s">
        <v>54</v>
      </c>
      <c r="H432">
        <v>3</v>
      </c>
      <c r="I432">
        <v>2</v>
      </c>
      <c r="J432">
        <v>4</v>
      </c>
      <c r="K432">
        <v>3</v>
      </c>
      <c r="L432" s="22" t="str">
        <f t="shared" si="152"/>
        <v>22/07/2026</v>
      </c>
      <c r="M432" s="23">
        <f t="shared" si="153"/>
        <v>0.85416666666666663</v>
      </c>
      <c r="N432" t="str">
        <f t="shared" si="135"/>
        <v>4 - 3</v>
      </c>
      <c r="O432" t="str">
        <f t="shared" si="136"/>
        <v>Green</v>
      </c>
      <c r="P432" t="str">
        <f t="shared" si="137"/>
        <v>Red</v>
      </c>
      <c r="Q432" t="str">
        <f t="shared" si="138"/>
        <v>Red</v>
      </c>
      <c r="R432" t="str">
        <f t="shared" si="139"/>
        <v>Green</v>
      </c>
      <c r="S432" t="str">
        <f t="shared" si="140"/>
        <v>Red</v>
      </c>
      <c r="T432" t="str">
        <f t="shared" si="141"/>
        <v>Green</v>
      </c>
      <c r="U432" t="str">
        <f t="shared" si="142"/>
        <v>Green</v>
      </c>
      <c r="V432" t="str">
        <f t="shared" si="143"/>
        <v>Red</v>
      </c>
      <c r="W432" t="str">
        <f t="shared" si="144"/>
        <v>Red</v>
      </c>
      <c r="X432" t="str">
        <f t="shared" si="145"/>
        <v>Green</v>
      </c>
      <c r="Y432" t="str">
        <f t="shared" si="146"/>
        <v>Green</v>
      </c>
      <c r="Z432" t="str">
        <f t="shared" si="147"/>
        <v>Green</v>
      </c>
      <c r="AA432" t="str">
        <f t="shared" si="148"/>
        <v>Red</v>
      </c>
      <c r="AB432" t="str">
        <f t="shared" si="149"/>
        <v>Red</v>
      </c>
      <c r="AC432" t="str">
        <f t="shared" si="150"/>
        <v>Green</v>
      </c>
      <c r="AD432" t="str">
        <f t="shared" si="151"/>
        <v>Red</v>
      </c>
    </row>
    <row r="433" spans="1:30" x14ac:dyDescent="0.2">
      <c r="A433" t="str">
        <f t="shared" si="134"/>
        <v>22/07/2026Inter Miami CFChicago Fire</v>
      </c>
      <c r="D433" s="2">
        <v>46225</v>
      </c>
      <c r="E433" s="3">
        <v>0.97916666666666663</v>
      </c>
      <c r="F433" t="s">
        <v>55</v>
      </c>
      <c r="G433" t="s">
        <v>56</v>
      </c>
      <c r="H433">
        <v>1</v>
      </c>
      <c r="I433">
        <v>1</v>
      </c>
      <c r="J433">
        <v>3</v>
      </c>
      <c r="K433">
        <v>2</v>
      </c>
      <c r="L433" s="22" t="str">
        <f t="shared" si="152"/>
        <v>22/07/2026</v>
      </c>
      <c r="M433" s="23">
        <f t="shared" si="153"/>
        <v>0.85416666666666663</v>
      </c>
      <c r="N433" t="str">
        <f t="shared" si="135"/>
        <v>3 - 2</v>
      </c>
      <c r="O433" t="str">
        <f t="shared" si="136"/>
        <v>Green</v>
      </c>
      <c r="P433" t="str">
        <f t="shared" si="137"/>
        <v>Red</v>
      </c>
      <c r="Q433" t="str">
        <f t="shared" si="138"/>
        <v>Red</v>
      </c>
      <c r="R433" t="str">
        <f t="shared" si="139"/>
        <v>Green</v>
      </c>
      <c r="S433" t="str">
        <f t="shared" si="140"/>
        <v>Red</v>
      </c>
      <c r="T433" t="str">
        <f t="shared" si="141"/>
        <v>Green</v>
      </c>
      <c r="U433" t="str">
        <f t="shared" si="142"/>
        <v>Red</v>
      </c>
      <c r="V433" t="str">
        <f t="shared" si="143"/>
        <v>Green</v>
      </c>
      <c r="W433" t="str">
        <f t="shared" si="144"/>
        <v>Red</v>
      </c>
      <c r="X433" t="str">
        <f t="shared" si="145"/>
        <v>Green</v>
      </c>
      <c r="Y433" t="str">
        <f t="shared" si="146"/>
        <v>Green</v>
      </c>
      <c r="Z433" t="str">
        <f t="shared" si="147"/>
        <v>Green</v>
      </c>
      <c r="AA433" t="str">
        <f t="shared" si="148"/>
        <v>Red</v>
      </c>
      <c r="AB433" t="str">
        <f t="shared" si="149"/>
        <v>Red</v>
      </c>
      <c r="AC433" t="str">
        <f t="shared" si="150"/>
        <v>Green</v>
      </c>
      <c r="AD433" t="str">
        <f t="shared" si="151"/>
        <v>Red</v>
      </c>
    </row>
    <row r="434" spans="1:30" x14ac:dyDescent="0.2">
      <c r="A434" t="str">
        <f t="shared" si="134"/>
        <v>22/07/2026New England RevolutionToronto FC</v>
      </c>
      <c r="D434" s="2">
        <v>46225</v>
      </c>
      <c r="E434" s="3">
        <v>0.97916666666666663</v>
      </c>
      <c r="F434" t="s">
        <v>57</v>
      </c>
      <c r="G434" t="s">
        <v>58</v>
      </c>
      <c r="H434">
        <v>0</v>
      </c>
      <c r="I434">
        <v>0</v>
      </c>
      <c r="J434">
        <v>0</v>
      </c>
      <c r="K434">
        <v>0</v>
      </c>
      <c r="L434" s="22" t="str">
        <f t="shared" si="152"/>
        <v>22/07/2026</v>
      </c>
      <c r="M434" s="23">
        <f t="shared" si="153"/>
        <v>0.85416666666666663</v>
      </c>
      <c r="N434" t="str">
        <f t="shared" si="135"/>
        <v>0 - 0</v>
      </c>
      <c r="O434" t="str">
        <f t="shared" si="136"/>
        <v>Red</v>
      </c>
      <c r="P434" t="str">
        <f t="shared" si="137"/>
        <v>Green</v>
      </c>
      <c r="Q434" t="str">
        <f t="shared" si="138"/>
        <v>Red</v>
      </c>
      <c r="R434" t="str">
        <f t="shared" si="139"/>
        <v>Green</v>
      </c>
      <c r="S434" t="str">
        <f t="shared" si="140"/>
        <v>Green</v>
      </c>
      <c r="T434" t="str">
        <f t="shared" si="141"/>
        <v>Red</v>
      </c>
      <c r="U434" t="str">
        <f t="shared" si="142"/>
        <v>Red</v>
      </c>
      <c r="V434" t="str">
        <f t="shared" si="143"/>
        <v>Green</v>
      </c>
      <c r="W434" t="str">
        <f t="shared" si="144"/>
        <v>Red</v>
      </c>
      <c r="X434" t="str">
        <f t="shared" si="145"/>
        <v>Red</v>
      </c>
      <c r="Y434" t="str">
        <f t="shared" si="146"/>
        <v>Red</v>
      </c>
      <c r="Z434" t="str">
        <f t="shared" si="147"/>
        <v>Red</v>
      </c>
      <c r="AA434" t="str">
        <f t="shared" si="148"/>
        <v>Green</v>
      </c>
      <c r="AB434" t="str">
        <f t="shared" si="149"/>
        <v>Green</v>
      </c>
      <c r="AC434" t="str">
        <f t="shared" si="150"/>
        <v>Red</v>
      </c>
      <c r="AD434" t="str">
        <f t="shared" si="151"/>
        <v>Green</v>
      </c>
    </row>
    <row r="435" spans="1:30" x14ac:dyDescent="0.2">
      <c r="A435" t="str">
        <f t="shared" si="134"/>
        <v>22/07/2026Philadelphia UnionNew York Red Bulls</v>
      </c>
      <c r="D435" s="2">
        <v>46225</v>
      </c>
      <c r="E435" s="3">
        <v>0.97916666666666663</v>
      </c>
      <c r="F435" t="s">
        <v>59</v>
      </c>
      <c r="G435" t="s">
        <v>60</v>
      </c>
      <c r="H435">
        <v>1</v>
      </c>
      <c r="I435">
        <v>1</v>
      </c>
      <c r="J435">
        <v>3</v>
      </c>
      <c r="K435">
        <v>1</v>
      </c>
      <c r="L435" s="22" t="str">
        <f t="shared" si="152"/>
        <v>22/07/2026</v>
      </c>
      <c r="M435" s="23">
        <f t="shared" si="153"/>
        <v>0.85416666666666663</v>
      </c>
      <c r="N435" t="str">
        <f t="shared" si="135"/>
        <v>3 - 1</v>
      </c>
      <c r="O435" t="str">
        <f t="shared" si="136"/>
        <v>Green</v>
      </c>
      <c r="P435" t="str">
        <f t="shared" si="137"/>
        <v>Red</v>
      </c>
      <c r="Q435" t="str">
        <f t="shared" si="138"/>
        <v>Red</v>
      </c>
      <c r="R435" t="str">
        <f t="shared" si="139"/>
        <v>Green</v>
      </c>
      <c r="S435" t="str">
        <f t="shared" si="140"/>
        <v>Red</v>
      </c>
      <c r="T435" t="str">
        <f t="shared" si="141"/>
        <v>Green</v>
      </c>
      <c r="U435" t="str">
        <f t="shared" si="142"/>
        <v>Red</v>
      </c>
      <c r="V435" t="str">
        <f t="shared" si="143"/>
        <v>Green</v>
      </c>
      <c r="W435" t="str">
        <f t="shared" si="144"/>
        <v>Red</v>
      </c>
      <c r="X435" t="str">
        <f t="shared" si="145"/>
        <v>Green</v>
      </c>
      <c r="Y435" t="str">
        <f t="shared" si="146"/>
        <v>Green</v>
      </c>
      <c r="Z435" t="str">
        <f t="shared" si="147"/>
        <v>Green</v>
      </c>
      <c r="AA435" t="str">
        <f t="shared" si="148"/>
        <v>Red</v>
      </c>
      <c r="AB435" t="str">
        <f t="shared" si="149"/>
        <v>Red</v>
      </c>
      <c r="AC435" t="str">
        <f t="shared" si="150"/>
        <v>Green</v>
      </c>
      <c r="AD435" t="str">
        <f t="shared" si="151"/>
        <v>Red</v>
      </c>
    </row>
    <row r="436" spans="1:30" x14ac:dyDescent="0.2">
      <c r="A436" t="str">
        <f t="shared" si="134"/>
        <v xml:space="preserve">22/07/2026Portuguesa RJAmericano </v>
      </c>
      <c r="B436" t="s">
        <v>804</v>
      </c>
      <c r="C436" t="s">
        <v>829</v>
      </c>
      <c r="D436" s="2">
        <v>46226</v>
      </c>
      <c r="E436" s="3">
        <v>0</v>
      </c>
      <c r="F436" t="s">
        <v>1876</v>
      </c>
      <c r="G436" t="s">
        <v>1877</v>
      </c>
      <c r="H436">
        <v>1</v>
      </c>
      <c r="I436">
        <v>0</v>
      </c>
      <c r="J436">
        <v>1</v>
      </c>
      <c r="K436">
        <v>0</v>
      </c>
      <c r="L436" s="29" t="s">
        <v>17</v>
      </c>
      <c r="M436" s="23">
        <v>0.875</v>
      </c>
      <c r="N436" t="str">
        <f t="shared" si="135"/>
        <v>1 - 0</v>
      </c>
      <c r="O436" t="str">
        <f t="shared" si="136"/>
        <v>Green</v>
      </c>
      <c r="P436" t="str">
        <f t="shared" si="137"/>
        <v>Red</v>
      </c>
      <c r="Q436" t="str">
        <f t="shared" si="138"/>
        <v>Red</v>
      </c>
      <c r="R436" t="str">
        <f t="shared" si="139"/>
        <v>Green</v>
      </c>
      <c r="S436" t="str">
        <f t="shared" si="140"/>
        <v>Red</v>
      </c>
      <c r="T436" t="str">
        <f t="shared" si="141"/>
        <v>Green</v>
      </c>
      <c r="U436" t="str">
        <f t="shared" si="142"/>
        <v>Green</v>
      </c>
      <c r="V436" t="str">
        <f t="shared" si="143"/>
        <v>Red</v>
      </c>
      <c r="W436" t="str">
        <f t="shared" si="144"/>
        <v>Red</v>
      </c>
      <c r="X436" t="str">
        <f t="shared" si="145"/>
        <v>Green</v>
      </c>
      <c r="Y436" t="str">
        <f t="shared" si="146"/>
        <v>Red</v>
      </c>
      <c r="Z436" t="str">
        <f t="shared" si="147"/>
        <v>Red</v>
      </c>
      <c r="AA436" t="str">
        <f t="shared" si="148"/>
        <v>Green</v>
      </c>
      <c r="AB436" t="str">
        <f t="shared" si="149"/>
        <v>Green</v>
      </c>
      <c r="AC436" t="str">
        <f t="shared" si="150"/>
        <v>Red</v>
      </c>
      <c r="AD436" t="str">
        <f t="shared" si="151"/>
        <v>Green</v>
      </c>
    </row>
    <row r="437" spans="1:30" x14ac:dyDescent="0.2">
      <c r="A437" t="str">
        <f t="shared" si="134"/>
        <v>22/07/2026Manta FCLDU Quito</v>
      </c>
      <c r="D437" s="2">
        <v>46226</v>
      </c>
      <c r="E437" s="3">
        <v>0</v>
      </c>
      <c r="F437" t="s">
        <v>61</v>
      </c>
      <c r="G437" t="s">
        <v>62</v>
      </c>
      <c r="H437">
        <v>0</v>
      </c>
      <c r="I437">
        <v>1</v>
      </c>
      <c r="J437">
        <v>1</v>
      </c>
      <c r="K437">
        <v>1</v>
      </c>
      <c r="L437" s="29" t="s">
        <v>17</v>
      </c>
      <c r="M437" s="23">
        <v>0.875</v>
      </c>
      <c r="N437" t="str">
        <f t="shared" si="135"/>
        <v>1 - 1</v>
      </c>
      <c r="O437" t="str">
        <f t="shared" si="136"/>
        <v>Red</v>
      </c>
      <c r="P437" t="str">
        <f t="shared" si="137"/>
        <v>Green</v>
      </c>
      <c r="Q437" t="str">
        <f t="shared" si="138"/>
        <v>Red</v>
      </c>
      <c r="R437" t="str">
        <f t="shared" si="139"/>
        <v>Green</v>
      </c>
      <c r="S437" t="str">
        <f t="shared" si="140"/>
        <v>Green</v>
      </c>
      <c r="T437" t="str">
        <f t="shared" si="141"/>
        <v>Red</v>
      </c>
      <c r="U437" t="str">
        <f t="shared" si="142"/>
        <v>Red</v>
      </c>
      <c r="V437" t="str">
        <f t="shared" si="143"/>
        <v>Red</v>
      </c>
      <c r="W437" t="str">
        <f t="shared" si="144"/>
        <v>Green</v>
      </c>
      <c r="X437" t="str">
        <f t="shared" si="145"/>
        <v>Green</v>
      </c>
      <c r="Y437" t="str">
        <f t="shared" si="146"/>
        <v>Green</v>
      </c>
      <c r="Z437" t="str">
        <f t="shared" si="147"/>
        <v>Red</v>
      </c>
      <c r="AA437" t="str">
        <f t="shared" si="148"/>
        <v>Green</v>
      </c>
      <c r="AB437" t="str">
        <f t="shared" si="149"/>
        <v>Green</v>
      </c>
      <c r="AC437" t="str">
        <f t="shared" si="150"/>
        <v>Green</v>
      </c>
      <c r="AD437" t="str">
        <f t="shared" si="151"/>
        <v>Red</v>
      </c>
    </row>
    <row r="438" spans="1:30" x14ac:dyDescent="0.2">
      <c r="A438" t="str">
        <f t="shared" si="134"/>
        <v>22/07/2026Charlotte FCAtlanta United</v>
      </c>
      <c r="D438" s="2">
        <v>46226</v>
      </c>
      <c r="E438" s="3">
        <v>1.0416666666666666E-2</v>
      </c>
      <c r="F438" t="s">
        <v>63</v>
      </c>
      <c r="G438" t="s">
        <v>862</v>
      </c>
      <c r="H438">
        <v>2</v>
      </c>
      <c r="I438">
        <v>0</v>
      </c>
      <c r="J438">
        <v>2</v>
      </c>
      <c r="K438">
        <v>2</v>
      </c>
      <c r="L438" s="30" t="str">
        <f t="shared" ref="L438:L457" si="154">DAY(D438)-1&amp;"/"&amp;"07"&amp;"/"&amp;YEAR(D438)</f>
        <v>22/07/2026</v>
      </c>
      <c r="M438" s="31">
        <f t="shared" ref="M438:M457" si="155">E438-TIME(3,0,0)+TIME(12,0,0)+TIME(12,0,0)</f>
        <v>0.88541666666666674</v>
      </c>
      <c r="N438" t="str">
        <f t="shared" si="135"/>
        <v>2 - 2</v>
      </c>
      <c r="O438" t="str">
        <f t="shared" si="136"/>
        <v>Red</v>
      </c>
      <c r="P438" t="str">
        <f t="shared" si="137"/>
        <v>Green</v>
      </c>
      <c r="Q438" t="str">
        <f t="shared" si="138"/>
        <v>Red</v>
      </c>
      <c r="R438" t="str">
        <f t="shared" si="139"/>
        <v>Green</v>
      </c>
      <c r="S438" t="str">
        <f t="shared" si="140"/>
        <v>Green</v>
      </c>
      <c r="T438" t="str">
        <f t="shared" si="141"/>
        <v>Red</v>
      </c>
      <c r="U438" t="str">
        <f t="shared" si="142"/>
        <v>Green</v>
      </c>
      <c r="V438" t="str">
        <f t="shared" si="143"/>
        <v>Red</v>
      </c>
      <c r="W438" t="str">
        <f t="shared" si="144"/>
        <v>Red</v>
      </c>
      <c r="X438" t="str">
        <f t="shared" si="145"/>
        <v>Green</v>
      </c>
      <c r="Y438" t="str">
        <f t="shared" si="146"/>
        <v>Green</v>
      </c>
      <c r="Z438" t="str">
        <f t="shared" si="147"/>
        <v>Green</v>
      </c>
      <c r="AA438" t="str">
        <f t="shared" si="148"/>
        <v>Red</v>
      </c>
      <c r="AB438" t="str">
        <f t="shared" si="149"/>
        <v>Red</v>
      </c>
      <c r="AC438" t="str">
        <f t="shared" si="150"/>
        <v>Green</v>
      </c>
      <c r="AD438" t="str">
        <f t="shared" si="151"/>
        <v>Red</v>
      </c>
    </row>
    <row r="439" spans="1:30" x14ac:dyDescent="0.2">
      <c r="A439" t="str">
        <f t="shared" si="134"/>
        <v>22/07/2026LanusCienciano</v>
      </c>
      <c r="B439" t="s">
        <v>1321</v>
      </c>
      <c r="C439" t="s">
        <v>1322</v>
      </c>
      <c r="D439" s="2">
        <v>46226</v>
      </c>
      <c r="E439" s="3">
        <v>2.0833333333333332E-2</v>
      </c>
      <c r="F439" t="s">
        <v>1878</v>
      </c>
      <c r="G439" t="s">
        <v>734</v>
      </c>
      <c r="H439">
        <v>1</v>
      </c>
      <c r="I439">
        <v>0</v>
      </c>
      <c r="J439">
        <v>2</v>
      </c>
      <c r="K439">
        <v>0</v>
      </c>
      <c r="L439" s="30" t="str">
        <f t="shared" si="154"/>
        <v>22/07/2026</v>
      </c>
      <c r="M439" s="31">
        <f t="shared" si="155"/>
        <v>0.89583333333333326</v>
      </c>
      <c r="N439" t="str">
        <f t="shared" si="135"/>
        <v>2 - 0</v>
      </c>
      <c r="O439" t="str">
        <f t="shared" si="136"/>
        <v>Green</v>
      </c>
      <c r="P439" t="str">
        <f t="shared" si="137"/>
        <v>Red</v>
      </c>
      <c r="Q439" t="str">
        <f t="shared" si="138"/>
        <v>Red</v>
      </c>
      <c r="R439" t="str">
        <f t="shared" si="139"/>
        <v>Green</v>
      </c>
      <c r="S439" t="str">
        <f t="shared" si="140"/>
        <v>Red</v>
      </c>
      <c r="T439" t="str">
        <f t="shared" si="141"/>
        <v>Green</v>
      </c>
      <c r="U439" t="str">
        <f t="shared" si="142"/>
        <v>Green</v>
      </c>
      <c r="V439" t="str">
        <f t="shared" si="143"/>
        <v>Red</v>
      </c>
      <c r="W439" t="str">
        <f t="shared" si="144"/>
        <v>Red</v>
      </c>
      <c r="X439" t="str">
        <f t="shared" si="145"/>
        <v>Green</v>
      </c>
      <c r="Y439" t="str">
        <f t="shared" si="146"/>
        <v>Green</v>
      </c>
      <c r="Z439" t="str">
        <f t="shared" si="147"/>
        <v>Red</v>
      </c>
      <c r="AA439" t="str">
        <f t="shared" si="148"/>
        <v>Green</v>
      </c>
      <c r="AB439" t="str">
        <f t="shared" si="149"/>
        <v>Green</v>
      </c>
      <c r="AC439" t="str">
        <f t="shared" si="150"/>
        <v>Red</v>
      </c>
      <c r="AD439" t="str">
        <f t="shared" si="151"/>
        <v>Green</v>
      </c>
    </row>
    <row r="440" spans="1:30" x14ac:dyDescent="0.2">
      <c r="A440" t="str">
        <f t="shared" si="134"/>
        <v>22/07/2026Sporting CristalRed Bull Bragantino</v>
      </c>
      <c r="B440" t="s">
        <v>1321</v>
      </c>
      <c r="C440" t="s">
        <v>1322</v>
      </c>
      <c r="D440" s="2">
        <v>46226</v>
      </c>
      <c r="E440" s="3">
        <v>2.0833333333333332E-2</v>
      </c>
      <c r="F440" t="s">
        <v>791</v>
      </c>
      <c r="G440" t="s">
        <v>1879</v>
      </c>
      <c r="H440">
        <v>0</v>
      </c>
      <c r="I440">
        <v>0</v>
      </c>
      <c r="J440">
        <v>0</v>
      </c>
      <c r="K440">
        <v>0</v>
      </c>
      <c r="L440" s="30" t="str">
        <f t="shared" si="154"/>
        <v>22/07/2026</v>
      </c>
      <c r="M440" s="31">
        <f t="shared" si="155"/>
        <v>0.89583333333333326</v>
      </c>
      <c r="N440" t="str">
        <f t="shared" si="135"/>
        <v>0 - 0</v>
      </c>
      <c r="O440" t="str">
        <f t="shared" si="136"/>
        <v>Red</v>
      </c>
      <c r="P440" t="str">
        <f t="shared" si="137"/>
        <v>Green</v>
      </c>
      <c r="Q440" t="str">
        <f t="shared" si="138"/>
        <v>Red</v>
      </c>
      <c r="R440" t="str">
        <f t="shared" si="139"/>
        <v>Green</v>
      </c>
      <c r="S440" t="str">
        <f t="shared" si="140"/>
        <v>Green</v>
      </c>
      <c r="T440" t="str">
        <f t="shared" si="141"/>
        <v>Red</v>
      </c>
      <c r="U440" t="str">
        <f t="shared" si="142"/>
        <v>Red</v>
      </c>
      <c r="V440" t="str">
        <f t="shared" si="143"/>
        <v>Green</v>
      </c>
      <c r="W440" t="str">
        <f t="shared" si="144"/>
        <v>Red</v>
      </c>
      <c r="X440" t="str">
        <f t="shared" si="145"/>
        <v>Red</v>
      </c>
      <c r="Y440" t="str">
        <f t="shared" si="146"/>
        <v>Red</v>
      </c>
      <c r="Z440" t="str">
        <f t="shared" si="147"/>
        <v>Red</v>
      </c>
      <c r="AA440" t="str">
        <f t="shared" si="148"/>
        <v>Green</v>
      </c>
      <c r="AB440" t="str">
        <f t="shared" si="149"/>
        <v>Green</v>
      </c>
      <c r="AC440" t="str">
        <f t="shared" si="150"/>
        <v>Red</v>
      </c>
      <c r="AD440" t="str">
        <f t="shared" si="151"/>
        <v>Green</v>
      </c>
    </row>
    <row r="441" spans="1:30" x14ac:dyDescent="0.2">
      <c r="A441" t="str">
        <f t="shared" si="134"/>
        <v>22/07/2026ChapecoenseFlamengo RJ</v>
      </c>
      <c r="B441" t="s">
        <v>804</v>
      </c>
      <c r="C441" t="s">
        <v>805</v>
      </c>
      <c r="D441" s="2">
        <v>46226</v>
      </c>
      <c r="E441" s="3">
        <v>2.0833333333333332E-2</v>
      </c>
      <c r="F441" t="s">
        <v>65</v>
      </c>
      <c r="G441" t="s">
        <v>876</v>
      </c>
      <c r="H441">
        <v>0</v>
      </c>
      <c r="I441">
        <v>2</v>
      </c>
      <c r="J441">
        <v>0</v>
      </c>
      <c r="K441">
        <v>4</v>
      </c>
      <c r="L441" s="30" t="str">
        <f t="shared" si="154"/>
        <v>22/07/2026</v>
      </c>
      <c r="M441" s="31">
        <f t="shared" si="155"/>
        <v>0.89583333333333326</v>
      </c>
      <c r="N441" t="str">
        <f t="shared" si="135"/>
        <v>0 - 4</v>
      </c>
      <c r="O441" t="str">
        <f t="shared" si="136"/>
        <v>Red</v>
      </c>
      <c r="P441" t="str">
        <f t="shared" si="137"/>
        <v>Red</v>
      </c>
      <c r="Q441" t="str">
        <f t="shared" si="138"/>
        <v>Green</v>
      </c>
      <c r="R441" t="str">
        <f t="shared" si="139"/>
        <v>Red</v>
      </c>
      <c r="S441" t="str">
        <f t="shared" si="140"/>
        <v>Green</v>
      </c>
      <c r="T441" t="str">
        <f t="shared" si="141"/>
        <v>Green</v>
      </c>
      <c r="U441" t="str">
        <f t="shared" si="142"/>
        <v>Red</v>
      </c>
      <c r="V441" t="str">
        <f t="shared" si="143"/>
        <v>Red</v>
      </c>
      <c r="W441" t="str">
        <f t="shared" si="144"/>
        <v>Green</v>
      </c>
      <c r="X441" t="str">
        <f t="shared" si="145"/>
        <v>Green</v>
      </c>
      <c r="Y441" t="str">
        <f t="shared" si="146"/>
        <v>Green</v>
      </c>
      <c r="Z441" t="str">
        <f t="shared" si="147"/>
        <v>Green</v>
      </c>
      <c r="AA441" t="str">
        <f t="shared" si="148"/>
        <v>Red</v>
      </c>
      <c r="AB441" t="str">
        <f t="shared" si="149"/>
        <v>Red</v>
      </c>
      <c r="AC441" t="str">
        <f t="shared" si="150"/>
        <v>Red</v>
      </c>
      <c r="AD441" t="str">
        <f t="shared" si="151"/>
        <v>Green</v>
      </c>
    </row>
    <row r="442" spans="1:30" x14ac:dyDescent="0.2">
      <c r="A442" t="str">
        <f t="shared" si="134"/>
        <v>22/07/2026InternacionalCruzeiro</v>
      </c>
      <c r="B442" t="s">
        <v>804</v>
      </c>
      <c r="C442" t="s">
        <v>805</v>
      </c>
      <c r="D442" s="2">
        <v>46226</v>
      </c>
      <c r="E442" s="3">
        <v>2.0833333333333332E-2</v>
      </c>
      <c r="F442" t="s">
        <v>67</v>
      </c>
      <c r="G442" t="s">
        <v>68</v>
      </c>
      <c r="H442">
        <v>0</v>
      </c>
      <c r="I442">
        <v>1</v>
      </c>
      <c r="J442">
        <v>1</v>
      </c>
      <c r="K442">
        <v>2</v>
      </c>
      <c r="L442" s="30" t="str">
        <f t="shared" si="154"/>
        <v>22/07/2026</v>
      </c>
      <c r="M442" s="31">
        <f t="shared" si="155"/>
        <v>0.89583333333333326</v>
      </c>
      <c r="N442" t="str">
        <f t="shared" si="135"/>
        <v>1 - 2</v>
      </c>
      <c r="O442" t="str">
        <f t="shared" si="136"/>
        <v>Red</v>
      </c>
      <c r="P442" t="str">
        <f t="shared" si="137"/>
        <v>Red</v>
      </c>
      <c r="Q442" t="str">
        <f t="shared" si="138"/>
        <v>Green</v>
      </c>
      <c r="R442" t="str">
        <f t="shared" si="139"/>
        <v>Red</v>
      </c>
      <c r="S442" t="str">
        <f t="shared" si="140"/>
        <v>Green</v>
      </c>
      <c r="T442" t="str">
        <f t="shared" si="141"/>
        <v>Green</v>
      </c>
      <c r="U442" t="str">
        <f t="shared" si="142"/>
        <v>Red</v>
      </c>
      <c r="V442" t="str">
        <f t="shared" si="143"/>
        <v>Red</v>
      </c>
      <c r="W442" t="str">
        <f t="shared" si="144"/>
        <v>Green</v>
      </c>
      <c r="X442" t="str">
        <f t="shared" si="145"/>
        <v>Green</v>
      </c>
      <c r="Y442" t="str">
        <f t="shared" si="146"/>
        <v>Green</v>
      </c>
      <c r="Z442" t="str">
        <f t="shared" si="147"/>
        <v>Green</v>
      </c>
      <c r="AA442" t="str">
        <f t="shared" si="148"/>
        <v>Red</v>
      </c>
      <c r="AB442" t="str">
        <f t="shared" si="149"/>
        <v>Green</v>
      </c>
      <c r="AC442" t="str">
        <f t="shared" si="150"/>
        <v>Green</v>
      </c>
      <c r="AD442" t="str">
        <f t="shared" si="151"/>
        <v>Red</v>
      </c>
    </row>
    <row r="443" spans="1:30" x14ac:dyDescent="0.2">
      <c r="A443" t="str">
        <f t="shared" si="134"/>
        <v>22/07/2026Sao PauloAthletico Paranaense</v>
      </c>
      <c r="B443" t="s">
        <v>804</v>
      </c>
      <c r="C443" t="s">
        <v>805</v>
      </c>
      <c r="D443" s="2">
        <v>46226</v>
      </c>
      <c r="E443" s="3">
        <v>2.0833333333333332E-2</v>
      </c>
      <c r="F443" t="s">
        <v>877</v>
      </c>
      <c r="G443" t="s">
        <v>878</v>
      </c>
      <c r="H443">
        <v>1</v>
      </c>
      <c r="I443">
        <v>0</v>
      </c>
      <c r="J443">
        <v>1</v>
      </c>
      <c r="K443">
        <v>2</v>
      </c>
      <c r="L443" s="30" t="str">
        <f t="shared" si="154"/>
        <v>22/07/2026</v>
      </c>
      <c r="M443" s="31">
        <f t="shared" si="155"/>
        <v>0.89583333333333326</v>
      </c>
      <c r="N443" t="str">
        <f t="shared" si="135"/>
        <v>1 - 2</v>
      </c>
      <c r="O443" t="str">
        <f t="shared" si="136"/>
        <v>Red</v>
      </c>
      <c r="P443" t="str">
        <f t="shared" si="137"/>
        <v>Red</v>
      </c>
      <c r="Q443" t="str">
        <f t="shared" si="138"/>
        <v>Green</v>
      </c>
      <c r="R443" t="str">
        <f t="shared" si="139"/>
        <v>Red</v>
      </c>
      <c r="S443" t="str">
        <f t="shared" si="140"/>
        <v>Green</v>
      </c>
      <c r="T443" t="str">
        <f t="shared" si="141"/>
        <v>Green</v>
      </c>
      <c r="U443" t="str">
        <f t="shared" si="142"/>
        <v>Green</v>
      </c>
      <c r="V443" t="str">
        <f t="shared" si="143"/>
        <v>Red</v>
      </c>
      <c r="W443" t="str">
        <f t="shared" si="144"/>
        <v>Red</v>
      </c>
      <c r="X443" t="str">
        <f t="shared" si="145"/>
        <v>Green</v>
      </c>
      <c r="Y443" t="str">
        <f t="shared" si="146"/>
        <v>Green</v>
      </c>
      <c r="Z443" t="str">
        <f t="shared" si="147"/>
        <v>Green</v>
      </c>
      <c r="AA443" t="str">
        <f t="shared" si="148"/>
        <v>Red</v>
      </c>
      <c r="AB443" t="str">
        <f t="shared" si="149"/>
        <v>Green</v>
      </c>
      <c r="AC443" t="str">
        <f t="shared" si="150"/>
        <v>Green</v>
      </c>
      <c r="AD443" t="str">
        <f t="shared" si="151"/>
        <v>Red</v>
      </c>
    </row>
    <row r="444" spans="1:30" x14ac:dyDescent="0.2">
      <c r="A444" t="str">
        <f t="shared" si="134"/>
        <v>22/07/2026NauticoLondrina EC</v>
      </c>
      <c r="B444" t="s">
        <v>804</v>
      </c>
      <c r="C444" t="s">
        <v>817</v>
      </c>
      <c r="D444" s="2">
        <v>46226</v>
      </c>
      <c r="E444" s="3">
        <v>2.0833333333333332E-2</v>
      </c>
      <c r="F444" t="s">
        <v>71</v>
      </c>
      <c r="G444" t="s">
        <v>916</v>
      </c>
      <c r="H444">
        <v>1</v>
      </c>
      <c r="I444">
        <v>0</v>
      </c>
      <c r="J444">
        <v>2</v>
      </c>
      <c r="K444">
        <v>1</v>
      </c>
      <c r="L444" s="30" t="str">
        <f t="shared" si="154"/>
        <v>22/07/2026</v>
      </c>
      <c r="M444" s="31">
        <f t="shared" si="155"/>
        <v>0.89583333333333326</v>
      </c>
      <c r="N444" t="str">
        <f t="shared" si="135"/>
        <v>2 - 1</v>
      </c>
      <c r="O444" t="str">
        <f t="shared" si="136"/>
        <v>Green</v>
      </c>
      <c r="P444" t="str">
        <f t="shared" si="137"/>
        <v>Red</v>
      </c>
      <c r="Q444" t="str">
        <f t="shared" si="138"/>
        <v>Red</v>
      </c>
      <c r="R444" t="str">
        <f t="shared" si="139"/>
        <v>Green</v>
      </c>
      <c r="S444" t="str">
        <f t="shared" si="140"/>
        <v>Red</v>
      </c>
      <c r="T444" t="str">
        <f t="shared" si="141"/>
        <v>Green</v>
      </c>
      <c r="U444" t="str">
        <f t="shared" si="142"/>
        <v>Green</v>
      </c>
      <c r="V444" t="str">
        <f t="shared" si="143"/>
        <v>Red</v>
      </c>
      <c r="W444" t="str">
        <f t="shared" si="144"/>
        <v>Red</v>
      </c>
      <c r="X444" t="str">
        <f t="shared" si="145"/>
        <v>Green</v>
      </c>
      <c r="Y444" t="str">
        <f t="shared" si="146"/>
        <v>Green</v>
      </c>
      <c r="Z444" t="str">
        <f t="shared" si="147"/>
        <v>Green</v>
      </c>
      <c r="AA444" t="str">
        <f t="shared" si="148"/>
        <v>Red</v>
      </c>
      <c r="AB444" t="str">
        <f t="shared" si="149"/>
        <v>Green</v>
      </c>
      <c r="AC444" t="str">
        <f t="shared" si="150"/>
        <v>Green</v>
      </c>
      <c r="AD444" t="str">
        <f t="shared" si="151"/>
        <v>Red</v>
      </c>
    </row>
    <row r="445" spans="1:30" x14ac:dyDescent="0.2">
      <c r="A445" t="str">
        <f t="shared" si="134"/>
        <v>22/07/2026Junior FCBarranquilla</v>
      </c>
      <c r="D445" s="2">
        <v>46226</v>
      </c>
      <c r="E445" s="3">
        <v>2.0833333333333332E-2</v>
      </c>
      <c r="F445" t="s">
        <v>1880</v>
      </c>
      <c r="G445" t="s">
        <v>1881</v>
      </c>
      <c r="H445">
        <v>2</v>
      </c>
      <c r="I445">
        <v>0</v>
      </c>
      <c r="J445">
        <v>2</v>
      </c>
      <c r="K445">
        <v>2</v>
      </c>
      <c r="L445" s="30" t="str">
        <f t="shared" si="154"/>
        <v>22/07/2026</v>
      </c>
      <c r="M445" s="31">
        <f t="shared" si="155"/>
        <v>0.89583333333333326</v>
      </c>
      <c r="N445" t="str">
        <f t="shared" si="135"/>
        <v>2 - 2</v>
      </c>
      <c r="O445" t="str">
        <f t="shared" si="136"/>
        <v>Red</v>
      </c>
      <c r="P445" t="str">
        <f t="shared" si="137"/>
        <v>Green</v>
      </c>
      <c r="Q445" t="str">
        <f t="shared" si="138"/>
        <v>Red</v>
      </c>
      <c r="R445" t="str">
        <f t="shared" si="139"/>
        <v>Green</v>
      </c>
      <c r="S445" t="str">
        <f t="shared" si="140"/>
        <v>Green</v>
      </c>
      <c r="T445" t="str">
        <f t="shared" si="141"/>
        <v>Red</v>
      </c>
      <c r="U445" t="str">
        <f t="shared" si="142"/>
        <v>Green</v>
      </c>
      <c r="V445" t="str">
        <f t="shared" si="143"/>
        <v>Red</v>
      </c>
      <c r="W445" t="str">
        <f t="shared" si="144"/>
        <v>Red</v>
      </c>
      <c r="X445" t="str">
        <f t="shared" si="145"/>
        <v>Green</v>
      </c>
      <c r="Y445" t="str">
        <f t="shared" si="146"/>
        <v>Green</v>
      </c>
      <c r="Z445" t="str">
        <f t="shared" si="147"/>
        <v>Green</v>
      </c>
      <c r="AA445" t="str">
        <f t="shared" si="148"/>
        <v>Red</v>
      </c>
      <c r="AB445" t="str">
        <f t="shared" si="149"/>
        <v>Red</v>
      </c>
      <c r="AC445" t="str">
        <f t="shared" si="150"/>
        <v>Green</v>
      </c>
      <c r="AD445" t="str">
        <f t="shared" si="151"/>
        <v>Red</v>
      </c>
    </row>
    <row r="446" spans="1:30" x14ac:dyDescent="0.2">
      <c r="A446" t="str">
        <f t="shared" si="134"/>
        <v>22/07/2026Houston DynamoDC United</v>
      </c>
      <c r="D446" s="2">
        <v>46226</v>
      </c>
      <c r="E446" s="3">
        <v>2.0833333333333332E-2</v>
      </c>
      <c r="F446" t="s">
        <v>75</v>
      </c>
      <c r="G446" t="s">
        <v>76</v>
      </c>
      <c r="H446">
        <v>1</v>
      </c>
      <c r="I446">
        <v>0</v>
      </c>
      <c r="J446">
        <v>1</v>
      </c>
      <c r="K446">
        <v>1</v>
      </c>
      <c r="L446" s="30" t="str">
        <f t="shared" si="154"/>
        <v>22/07/2026</v>
      </c>
      <c r="M446" s="31">
        <f t="shared" si="155"/>
        <v>0.89583333333333326</v>
      </c>
      <c r="N446" t="str">
        <f t="shared" si="135"/>
        <v>1 - 1</v>
      </c>
      <c r="O446" t="str">
        <f t="shared" si="136"/>
        <v>Red</v>
      </c>
      <c r="P446" t="str">
        <f t="shared" si="137"/>
        <v>Green</v>
      </c>
      <c r="Q446" t="str">
        <f t="shared" si="138"/>
        <v>Red</v>
      </c>
      <c r="R446" t="str">
        <f t="shared" si="139"/>
        <v>Green</v>
      </c>
      <c r="S446" t="str">
        <f t="shared" si="140"/>
        <v>Green</v>
      </c>
      <c r="T446" t="str">
        <f t="shared" si="141"/>
        <v>Red</v>
      </c>
      <c r="U446" t="str">
        <f t="shared" si="142"/>
        <v>Green</v>
      </c>
      <c r="V446" t="str">
        <f t="shared" si="143"/>
        <v>Red</v>
      </c>
      <c r="W446" t="str">
        <f t="shared" si="144"/>
        <v>Red</v>
      </c>
      <c r="X446" t="str">
        <f t="shared" si="145"/>
        <v>Green</v>
      </c>
      <c r="Y446" t="str">
        <f t="shared" si="146"/>
        <v>Green</v>
      </c>
      <c r="Z446" t="str">
        <f t="shared" si="147"/>
        <v>Red</v>
      </c>
      <c r="AA446" t="str">
        <f t="shared" si="148"/>
        <v>Green</v>
      </c>
      <c r="AB446" t="str">
        <f t="shared" si="149"/>
        <v>Green</v>
      </c>
      <c r="AC446" t="str">
        <f t="shared" si="150"/>
        <v>Green</v>
      </c>
      <c r="AD446" t="str">
        <f t="shared" si="151"/>
        <v>Red</v>
      </c>
    </row>
    <row r="447" spans="1:30" x14ac:dyDescent="0.2">
      <c r="A447" t="str">
        <f t="shared" si="134"/>
        <v>22/07/2026Nashville FCMontreal Impact</v>
      </c>
      <c r="D447" s="2">
        <v>46226</v>
      </c>
      <c r="E447" s="3">
        <v>2.0833333333333332E-2</v>
      </c>
      <c r="F447" t="s">
        <v>863</v>
      </c>
      <c r="G447" t="s">
        <v>864</v>
      </c>
      <c r="H447">
        <v>0</v>
      </c>
      <c r="I447">
        <v>0</v>
      </c>
      <c r="J447">
        <v>1</v>
      </c>
      <c r="K447">
        <v>0</v>
      </c>
      <c r="L447" s="30" t="str">
        <f t="shared" si="154"/>
        <v>22/07/2026</v>
      </c>
      <c r="M447" s="31">
        <f t="shared" si="155"/>
        <v>0.89583333333333326</v>
      </c>
      <c r="N447" t="str">
        <f t="shared" si="135"/>
        <v>1 - 0</v>
      </c>
      <c r="O447" t="str">
        <f t="shared" si="136"/>
        <v>Green</v>
      </c>
      <c r="P447" t="str">
        <f t="shared" si="137"/>
        <v>Red</v>
      </c>
      <c r="Q447" t="str">
        <f t="shared" si="138"/>
        <v>Red</v>
      </c>
      <c r="R447" t="str">
        <f t="shared" si="139"/>
        <v>Green</v>
      </c>
      <c r="S447" t="str">
        <f t="shared" si="140"/>
        <v>Red</v>
      </c>
      <c r="T447" t="str">
        <f t="shared" si="141"/>
        <v>Green</v>
      </c>
      <c r="U447" t="str">
        <f t="shared" si="142"/>
        <v>Red</v>
      </c>
      <c r="V447" t="str">
        <f t="shared" si="143"/>
        <v>Green</v>
      </c>
      <c r="W447" t="str">
        <f t="shared" si="144"/>
        <v>Red</v>
      </c>
      <c r="X447" t="str">
        <f t="shared" si="145"/>
        <v>Red</v>
      </c>
      <c r="Y447" t="str">
        <f t="shared" si="146"/>
        <v>Red</v>
      </c>
      <c r="Z447" t="str">
        <f t="shared" si="147"/>
        <v>Red</v>
      </c>
      <c r="AA447" t="str">
        <f t="shared" si="148"/>
        <v>Green</v>
      </c>
      <c r="AB447" t="str">
        <f t="shared" si="149"/>
        <v>Green</v>
      </c>
      <c r="AC447" t="str">
        <f t="shared" si="150"/>
        <v>Red</v>
      </c>
      <c r="AD447" t="str">
        <f t="shared" si="151"/>
        <v>Green</v>
      </c>
    </row>
    <row r="448" spans="1:30" x14ac:dyDescent="0.2">
      <c r="A448" t="str">
        <f t="shared" si="134"/>
        <v>22/07/2026Sporting Kansas CityMinnesota United</v>
      </c>
      <c r="D448" s="2">
        <v>46226</v>
      </c>
      <c r="E448" s="3">
        <v>2.0833333333333332E-2</v>
      </c>
      <c r="F448" t="s">
        <v>79</v>
      </c>
      <c r="G448" t="s">
        <v>865</v>
      </c>
      <c r="H448">
        <v>1</v>
      </c>
      <c r="I448">
        <v>0</v>
      </c>
      <c r="J448">
        <v>2</v>
      </c>
      <c r="K448">
        <v>1</v>
      </c>
      <c r="L448" s="30" t="str">
        <f t="shared" si="154"/>
        <v>22/07/2026</v>
      </c>
      <c r="M448" s="31">
        <f t="shared" si="155"/>
        <v>0.89583333333333326</v>
      </c>
      <c r="N448" t="str">
        <f t="shared" si="135"/>
        <v>2 - 1</v>
      </c>
      <c r="O448" t="str">
        <f t="shared" si="136"/>
        <v>Green</v>
      </c>
      <c r="P448" t="str">
        <f t="shared" si="137"/>
        <v>Red</v>
      </c>
      <c r="Q448" t="str">
        <f t="shared" si="138"/>
        <v>Red</v>
      </c>
      <c r="R448" t="str">
        <f t="shared" si="139"/>
        <v>Green</v>
      </c>
      <c r="S448" t="str">
        <f t="shared" si="140"/>
        <v>Red</v>
      </c>
      <c r="T448" t="str">
        <f t="shared" si="141"/>
        <v>Green</v>
      </c>
      <c r="U448" t="str">
        <f t="shared" si="142"/>
        <v>Green</v>
      </c>
      <c r="V448" t="str">
        <f t="shared" si="143"/>
        <v>Red</v>
      </c>
      <c r="W448" t="str">
        <f t="shared" si="144"/>
        <v>Red</v>
      </c>
      <c r="X448" t="str">
        <f t="shared" si="145"/>
        <v>Green</v>
      </c>
      <c r="Y448" t="str">
        <f t="shared" si="146"/>
        <v>Green</v>
      </c>
      <c r="Z448" t="str">
        <f t="shared" si="147"/>
        <v>Green</v>
      </c>
      <c r="AA448" t="str">
        <f t="shared" si="148"/>
        <v>Red</v>
      </c>
      <c r="AB448" t="str">
        <f t="shared" si="149"/>
        <v>Green</v>
      </c>
      <c r="AC448" t="str">
        <f t="shared" si="150"/>
        <v>Green</v>
      </c>
      <c r="AD448" t="str">
        <f t="shared" si="151"/>
        <v>Red</v>
      </c>
    </row>
    <row r="449" spans="1:30" x14ac:dyDescent="0.2">
      <c r="A449" t="str">
        <f t="shared" si="134"/>
        <v>22/07/2026Colorado SwitchbacksMiami FC</v>
      </c>
      <c r="D449" s="2">
        <v>46226</v>
      </c>
      <c r="E449" s="3">
        <v>4.1666666666666664E-2</v>
      </c>
      <c r="F449" t="s">
        <v>1882</v>
      </c>
      <c r="G449" t="s">
        <v>82</v>
      </c>
      <c r="H449">
        <v>0</v>
      </c>
      <c r="I449">
        <v>0</v>
      </c>
      <c r="J449">
        <v>2</v>
      </c>
      <c r="K449">
        <v>0</v>
      </c>
      <c r="L449" s="30" t="str">
        <f t="shared" si="154"/>
        <v>22/07/2026</v>
      </c>
      <c r="M449" s="31">
        <f t="shared" si="155"/>
        <v>0.91666666666666663</v>
      </c>
      <c r="N449" t="str">
        <f t="shared" si="135"/>
        <v>2 - 0</v>
      </c>
      <c r="O449" t="str">
        <f t="shared" si="136"/>
        <v>Green</v>
      </c>
      <c r="P449" t="str">
        <f t="shared" si="137"/>
        <v>Red</v>
      </c>
      <c r="Q449" t="str">
        <f t="shared" si="138"/>
        <v>Red</v>
      </c>
      <c r="R449" t="str">
        <f t="shared" si="139"/>
        <v>Green</v>
      </c>
      <c r="S449" t="str">
        <f t="shared" si="140"/>
        <v>Red</v>
      </c>
      <c r="T449" t="str">
        <f t="shared" si="141"/>
        <v>Green</v>
      </c>
      <c r="U449" t="str">
        <f t="shared" si="142"/>
        <v>Red</v>
      </c>
      <c r="V449" t="str">
        <f t="shared" si="143"/>
        <v>Green</v>
      </c>
      <c r="W449" t="str">
        <f t="shared" si="144"/>
        <v>Red</v>
      </c>
      <c r="X449" t="str">
        <f t="shared" si="145"/>
        <v>Red</v>
      </c>
      <c r="Y449" t="str">
        <f t="shared" si="146"/>
        <v>Green</v>
      </c>
      <c r="Z449" t="str">
        <f t="shared" si="147"/>
        <v>Red</v>
      </c>
      <c r="AA449" t="str">
        <f t="shared" si="148"/>
        <v>Green</v>
      </c>
      <c r="AB449" t="str">
        <f t="shared" si="149"/>
        <v>Green</v>
      </c>
      <c r="AC449" t="str">
        <f t="shared" si="150"/>
        <v>Red</v>
      </c>
      <c r="AD449" t="str">
        <f t="shared" si="151"/>
        <v>Green</v>
      </c>
    </row>
    <row r="450" spans="1:30" x14ac:dyDescent="0.2">
      <c r="A450" t="str">
        <f t="shared" ref="A450:A513" si="156">L450&amp;F450&amp;G450</f>
        <v>22/07/2026Spokane Velocity FCCharlotte Independence</v>
      </c>
      <c r="D450" s="2">
        <v>46226</v>
      </c>
      <c r="E450" s="3">
        <v>4.1666666666666664E-2</v>
      </c>
      <c r="F450" t="s">
        <v>1883</v>
      </c>
      <c r="G450" t="s">
        <v>1884</v>
      </c>
      <c r="H450">
        <v>0</v>
      </c>
      <c r="I450">
        <v>0</v>
      </c>
      <c r="J450">
        <v>3</v>
      </c>
      <c r="K450">
        <v>0</v>
      </c>
      <c r="L450" s="30" t="str">
        <f t="shared" si="154"/>
        <v>22/07/2026</v>
      </c>
      <c r="M450" s="31">
        <f t="shared" si="155"/>
        <v>0.91666666666666663</v>
      </c>
      <c r="N450" t="str">
        <f t="shared" ref="N450:N513" si="157">J450&amp;" - "&amp;K450</f>
        <v>3 - 0</v>
      </c>
      <c r="O450" t="str">
        <f t="shared" ref="O450:O513" si="158">IF($J450&gt;$K450,"Green","Red")</f>
        <v>Green</v>
      </c>
      <c r="P450" t="str">
        <f t="shared" ref="P450:P513" si="159">IF($J450=$K450,"Green","Red")</f>
        <v>Red</v>
      </c>
      <c r="Q450" t="str">
        <f t="shared" ref="Q450:Q513" si="160">IF($J450&lt;$K450,"Green","Red")</f>
        <v>Red</v>
      </c>
      <c r="R450" t="str">
        <f t="shared" ref="R450:R513" si="161">IF($J450&gt;=$K450,"Green","Red")</f>
        <v>Green</v>
      </c>
      <c r="S450" t="str">
        <f t="shared" ref="S450:S513" si="162">IF($J450&lt;=$K450,"Green","Red")</f>
        <v>Red</v>
      </c>
      <c r="T450" t="str">
        <f t="shared" ref="T450:T513" si="163">IF(OR($J450&gt;$K450,$J450&lt;$K450),"Green","Red")</f>
        <v>Green</v>
      </c>
      <c r="U450" t="str">
        <f t="shared" ref="U450:U513" si="164">IF($H450&gt;$I450,"Green","Red")</f>
        <v>Red</v>
      </c>
      <c r="V450" t="str">
        <f t="shared" ref="V450:V513" si="165">IF($H450=$I450,"Green","Red")</f>
        <v>Green</v>
      </c>
      <c r="W450" t="str">
        <f t="shared" ref="W450:W513" si="166">IF($H450&lt;$I450,"Green","Red")</f>
        <v>Red</v>
      </c>
      <c r="X450" t="str">
        <f t="shared" ref="X450:X513" si="167">IF($H450+$I450&gt;0,"Green","Red")</f>
        <v>Red</v>
      </c>
      <c r="Y450" t="str">
        <f t="shared" ref="Y450:Y513" si="168">IF($J450+$K450&gt;1.5,"Green","Red")</f>
        <v>Green</v>
      </c>
      <c r="Z450" t="str">
        <f t="shared" ref="Z450:Z513" si="169">IF($J450+$K450&gt;2.5,"Green","Red")</f>
        <v>Green</v>
      </c>
      <c r="AA450" t="str">
        <f t="shared" ref="AA450:AA513" si="170">IF($J450+$K450&lt;2.5,"Green","Red")</f>
        <v>Red</v>
      </c>
      <c r="AB450" t="str">
        <f t="shared" ref="AB450:AB513" si="171">IF($J450+$K450&lt;3.5,"Green","Red")</f>
        <v>Green</v>
      </c>
      <c r="AC450" t="str">
        <f t="shared" ref="AC450:AC513" si="172">IF(AND($J450&gt;0,$K450&gt;0),"Green","Red")</f>
        <v>Red</v>
      </c>
      <c r="AD450" t="str">
        <f t="shared" ref="AD450:AD513" si="173">IF(OR($J450=0,$K450=0),"Green","Red")</f>
        <v>Green</v>
      </c>
    </row>
    <row r="451" spans="1:30" x14ac:dyDescent="0.2">
      <c r="A451" t="str">
        <f t="shared" si="156"/>
        <v>22/07/2026Vancouver Whitecaps IIAustin FC II</v>
      </c>
      <c r="D451" s="2">
        <v>46226</v>
      </c>
      <c r="E451" s="3">
        <v>4.1666666666666664E-2</v>
      </c>
      <c r="F451" t="s">
        <v>83</v>
      </c>
      <c r="G451" t="s">
        <v>84</v>
      </c>
      <c r="H451">
        <v>0</v>
      </c>
      <c r="I451">
        <v>3</v>
      </c>
      <c r="J451">
        <v>0</v>
      </c>
      <c r="K451">
        <v>4</v>
      </c>
      <c r="L451" s="30" t="str">
        <f t="shared" si="154"/>
        <v>22/07/2026</v>
      </c>
      <c r="M451" s="31">
        <f t="shared" si="155"/>
        <v>0.91666666666666663</v>
      </c>
      <c r="N451" t="str">
        <f t="shared" si="157"/>
        <v>0 - 4</v>
      </c>
      <c r="O451" t="str">
        <f t="shared" si="158"/>
        <v>Red</v>
      </c>
      <c r="P451" t="str">
        <f t="shared" si="159"/>
        <v>Red</v>
      </c>
      <c r="Q451" t="str">
        <f t="shared" si="160"/>
        <v>Green</v>
      </c>
      <c r="R451" t="str">
        <f t="shared" si="161"/>
        <v>Red</v>
      </c>
      <c r="S451" t="str">
        <f t="shared" si="162"/>
        <v>Green</v>
      </c>
      <c r="T451" t="str">
        <f t="shared" si="163"/>
        <v>Green</v>
      </c>
      <c r="U451" t="str">
        <f t="shared" si="164"/>
        <v>Red</v>
      </c>
      <c r="V451" t="str">
        <f t="shared" si="165"/>
        <v>Red</v>
      </c>
      <c r="W451" t="str">
        <f t="shared" si="166"/>
        <v>Green</v>
      </c>
      <c r="X451" t="str">
        <f t="shared" si="167"/>
        <v>Green</v>
      </c>
      <c r="Y451" t="str">
        <f t="shared" si="168"/>
        <v>Green</v>
      </c>
      <c r="Z451" t="str">
        <f t="shared" si="169"/>
        <v>Green</v>
      </c>
      <c r="AA451" t="str">
        <f t="shared" si="170"/>
        <v>Red</v>
      </c>
      <c r="AB451" t="str">
        <f t="shared" si="171"/>
        <v>Red</v>
      </c>
      <c r="AC451" t="str">
        <f t="shared" si="172"/>
        <v>Red</v>
      </c>
      <c r="AD451" t="str">
        <f t="shared" si="173"/>
        <v>Green</v>
      </c>
    </row>
    <row r="452" spans="1:30" x14ac:dyDescent="0.2">
      <c r="A452" t="str">
        <f t="shared" si="156"/>
        <v>22/07/2026Austin FCSeattle Sounders FC</v>
      </c>
      <c r="D452" s="2">
        <v>46226</v>
      </c>
      <c r="E452" s="3">
        <v>6.25E-2</v>
      </c>
      <c r="F452" t="s">
        <v>73</v>
      </c>
      <c r="G452" t="s">
        <v>74</v>
      </c>
      <c r="H452">
        <v>1</v>
      </c>
      <c r="I452">
        <v>1</v>
      </c>
      <c r="J452">
        <v>3</v>
      </c>
      <c r="K452">
        <v>1</v>
      </c>
      <c r="L452" s="30" t="str">
        <f t="shared" si="154"/>
        <v>22/07/2026</v>
      </c>
      <c r="M452" s="31">
        <f t="shared" si="155"/>
        <v>0.9375</v>
      </c>
      <c r="N452" t="str">
        <f t="shared" si="157"/>
        <v>3 - 1</v>
      </c>
      <c r="O452" t="str">
        <f t="shared" si="158"/>
        <v>Green</v>
      </c>
      <c r="P452" t="str">
        <f t="shared" si="159"/>
        <v>Red</v>
      </c>
      <c r="Q452" t="str">
        <f t="shared" si="160"/>
        <v>Red</v>
      </c>
      <c r="R452" t="str">
        <f t="shared" si="161"/>
        <v>Green</v>
      </c>
      <c r="S452" t="str">
        <f t="shared" si="162"/>
        <v>Red</v>
      </c>
      <c r="T452" t="str">
        <f t="shared" si="163"/>
        <v>Green</v>
      </c>
      <c r="U452" t="str">
        <f t="shared" si="164"/>
        <v>Red</v>
      </c>
      <c r="V452" t="str">
        <f t="shared" si="165"/>
        <v>Green</v>
      </c>
      <c r="W452" t="str">
        <f t="shared" si="166"/>
        <v>Red</v>
      </c>
      <c r="X452" t="str">
        <f t="shared" si="167"/>
        <v>Green</v>
      </c>
      <c r="Y452" t="str">
        <f t="shared" si="168"/>
        <v>Green</v>
      </c>
      <c r="Z452" t="str">
        <f t="shared" si="169"/>
        <v>Green</v>
      </c>
      <c r="AA452" t="str">
        <f t="shared" si="170"/>
        <v>Red</v>
      </c>
      <c r="AB452" t="str">
        <f t="shared" si="171"/>
        <v>Red</v>
      </c>
      <c r="AC452" t="str">
        <f t="shared" si="172"/>
        <v>Green</v>
      </c>
      <c r="AD452" t="str">
        <f t="shared" si="173"/>
        <v>Red</v>
      </c>
    </row>
    <row r="453" spans="1:30" x14ac:dyDescent="0.2">
      <c r="A453" t="str">
        <f t="shared" si="156"/>
        <v>22/07/2026Colorado RapidsSan Diego FC</v>
      </c>
      <c r="D453" s="2">
        <v>46226</v>
      </c>
      <c r="E453" s="3">
        <v>6.25E-2</v>
      </c>
      <c r="F453" t="s">
        <v>85</v>
      </c>
      <c r="G453" t="s">
        <v>86</v>
      </c>
      <c r="H453">
        <v>0</v>
      </c>
      <c r="I453">
        <v>0</v>
      </c>
      <c r="J453">
        <v>1</v>
      </c>
      <c r="K453">
        <v>0</v>
      </c>
      <c r="L453" s="30" t="str">
        <f t="shared" si="154"/>
        <v>22/07/2026</v>
      </c>
      <c r="M453" s="31">
        <f t="shared" si="155"/>
        <v>0.9375</v>
      </c>
      <c r="N453" t="str">
        <f t="shared" si="157"/>
        <v>1 - 0</v>
      </c>
      <c r="O453" t="str">
        <f t="shared" si="158"/>
        <v>Green</v>
      </c>
      <c r="P453" t="str">
        <f t="shared" si="159"/>
        <v>Red</v>
      </c>
      <c r="Q453" t="str">
        <f t="shared" si="160"/>
        <v>Red</v>
      </c>
      <c r="R453" t="str">
        <f t="shared" si="161"/>
        <v>Green</v>
      </c>
      <c r="S453" t="str">
        <f t="shared" si="162"/>
        <v>Red</v>
      </c>
      <c r="T453" t="str">
        <f t="shared" si="163"/>
        <v>Green</v>
      </c>
      <c r="U453" t="str">
        <f t="shared" si="164"/>
        <v>Red</v>
      </c>
      <c r="V453" t="str">
        <f t="shared" si="165"/>
        <v>Green</v>
      </c>
      <c r="W453" t="str">
        <f t="shared" si="166"/>
        <v>Red</v>
      </c>
      <c r="X453" t="str">
        <f t="shared" si="167"/>
        <v>Red</v>
      </c>
      <c r="Y453" t="str">
        <f t="shared" si="168"/>
        <v>Red</v>
      </c>
      <c r="Z453" t="str">
        <f t="shared" si="169"/>
        <v>Red</v>
      </c>
      <c r="AA453" t="str">
        <f t="shared" si="170"/>
        <v>Green</v>
      </c>
      <c r="AB453" t="str">
        <f t="shared" si="171"/>
        <v>Green</v>
      </c>
      <c r="AC453" t="str">
        <f t="shared" si="172"/>
        <v>Red</v>
      </c>
      <c r="AD453" t="str">
        <f t="shared" si="173"/>
        <v>Green</v>
      </c>
    </row>
    <row r="454" spans="1:30" x14ac:dyDescent="0.2">
      <c r="A454" t="str">
        <f t="shared" si="156"/>
        <v>22/07/2026LA GalaxySaint Louis City</v>
      </c>
      <c r="D454" s="2">
        <v>46226</v>
      </c>
      <c r="E454" s="3">
        <v>0.10416666666666667</v>
      </c>
      <c r="F454" t="s">
        <v>87</v>
      </c>
      <c r="G454" t="s">
        <v>866</v>
      </c>
      <c r="H454">
        <v>0</v>
      </c>
      <c r="I454">
        <v>2</v>
      </c>
      <c r="J454">
        <v>1</v>
      </c>
      <c r="K454">
        <v>3</v>
      </c>
      <c r="L454" s="30" t="str">
        <f t="shared" si="154"/>
        <v>22/07/2026</v>
      </c>
      <c r="M454" s="31">
        <f t="shared" si="155"/>
        <v>0.97916666666666674</v>
      </c>
      <c r="N454" t="str">
        <f t="shared" si="157"/>
        <v>1 - 3</v>
      </c>
      <c r="O454" t="str">
        <f t="shared" si="158"/>
        <v>Red</v>
      </c>
      <c r="P454" t="str">
        <f t="shared" si="159"/>
        <v>Red</v>
      </c>
      <c r="Q454" t="str">
        <f t="shared" si="160"/>
        <v>Green</v>
      </c>
      <c r="R454" t="str">
        <f t="shared" si="161"/>
        <v>Red</v>
      </c>
      <c r="S454" t="str">
        <f t="shared" si="162"/>
        <v>Green</v>
      </c>
      <c r="T454" t="str">
        <f t="shared" si="163"/>
        <v>Green</v>
      </c>
      <c r="U454" t="str">
        <f t="shared" si="164"/>
        <v>Red</v>
      </c>
      <c r="V454" t="str">
        <f t="shared" si="165"/>
        <v>Red</v>
      </c>
      <c r="W454" t="str">
        <f t="shared" si="166"/>
        <v>Green</v>
      </c>
      <c r="X454" t="str">
        <f t="shared" si="167"/>
        <v>Green</v>
      </c>
      <c r="Y454" t="str">
        <f t="shared" si="168"/>
        <v>Green</v>
      </c>
      <c r="Z454" t="str">
        <f t="shared" si="169"/>
        <v>Green</v>
      </c>
      <c r="AA454" t="str">
        <f t="shared" si="170"/>
        <v>Red</v>
      </c>
      <c r="AB454" t="str">
        <f t="shared" si="171"/>
        <v>Red</v>
      </c>
      <c r="AC454" t="str">
        <f t="shared" si="172"/>
        <v>Green</v>
      </c>
      <c r="AD454" t="str">
        <f t="shared" si="173"/>
        <v>Red</v>
      </c>
    </row>
    <row r="455" spans="1:30" x14ac:dyDescent="0.2">
      <c r="A455" t="str">
        <f t="shared" si="156"/>
        <v>22/07/2026Los Angeles FCReal Salt Lake</v>
      </c>
      <c r="D455" s="2">
        <v>46226</v>
      </c>
      <c r="E455" s="3">
        <v>0.10416666666666667</v>
      </c>
      <c r="F455" t="s">
        <v>89</v>
      </c>
      <c r="G455" t="s">
        <v>90</v>
      </c>
      <c r="H455">
        <v>2</v>
      </c>
      <c r="I455">
        <v>0</v>
      </c>
      <c r="J455">
        <v>3</v>
      </c>
      <c r="K455">
        <v>1</v>
      </c>
      <c r="L455" s="30" t="str">
        <f t="shared" si="154"/>
        <v>22/07/2026</v>
      </c>
      <c r="M455" s="31">
        <f t="shared" si="155"/>
        <v>0.97916666666666674</v>
      </c>
      <c r="N455" t="str">
        <f t="shared" si="157"/>
        <v>3 - 1</v>
      </c>
      <c r="O455" t="str">
        <f t="shared" si="158"/>
        <v>Green</v>
      </c>
      <c r="P455" t="str">
        <f t="shared" si="159"/>
        <v>Red</v>
      </c>
      <c r="Q455" t="str">
        <f t="shared" si="160"/>
        <v>Red</v>
      </c>
      <c r="R455" t="str">
        <f t="shared" si="161"/>
        <v>Green</v>
      </c>
      <c r="S455" t="str">
        <f t="shared" si="162"/>
        <v>Red</v>
      </c>
      <c r="T455" t="str">
        <f t="shared" si="163"/>
        <v>Green</v>
      </c>
      <c r="U455" t="str">
        <f t="shared" si="164"/>
        <v>Green</v>
      </c>
      <c r="V455" t="str">
        <f t="shared" si="165"/>
        <v>Red</v>
      </c>
      <c r="W455" t="str">
        <f t="shared" si="166"/>
        <v>Red</v>
      </c>
      <c r="X455" t="str">
        <f t="shared" si="167"/>
        <v>Green</v>
      </c>
      <c r="Y455" t="str">
        <f t="shared" si="168"/>
        <v>Green</v>
      </c>
      <c r="Z455" t="str">
        <f t="shared" si="169"/>
        <v>Green</v>
      </c>
      <c r="AA455" t="str">
        <f t="shared" si="170"/>
        <v>Red</v>
      </c>
      <c r="AB455" t="str">
        <f t="shared" si="171"/>
        <v>Red</v>
      </c>
      <c r="AC455" t="str">
        <f t="shared" si="172"/>
        <v>Green</v>
      </c>
      <c r="AD455" t="str">
        <f t="shared" si="173"/>
        <v>Red</v>
      </c>
    </row>
    <row r="456" spans="1:30" x14ac:dyDescent="0.2">
      <c r="A456" t="str">
        <f t="shared" si="156"/>
        <v>22/07/2026Portland TimbersDallas</v>
      </c>
      <c r="D456" s="2">
        <v>46226</v>
      </c>
      <c r="E456" s="3">
        <v>0.10416666666666667</v>
      </c>
      <c r="F456" t="s">
        <v>91</v>
      </c>
      <c r="G456" t="s">
        <v>867</v>
      </c>
      <c r="H456">
        <v>0</v>
      </c>
      <c r="I456">
        <v>1</v>
      </c>
      <c r="J456">
        <v>2</v>
      </c>
      <c r="K456">
        <v>2</v>
      </c>
      <c r="L456" s="30" t="str">
        <f t="shared" si="154"/>
        <v>22/07/2026</v>
      </c>
      <c r="M456" s="31">
        <f t="shared" si="155"/>
        <v>0.97916666666666674</v>
      </c>
      <c r="N456" t="str">
        <f t="shared" si="157"/>
        <v>2 - 2</v>
      </c>
      <c r="O456" t="str">
        <f t="shared" si="158"/>
        <v>Red</v>
      </c>
      <c r="P456" t="str">
        <f t="shared" si="159"/>
        <v>Green</v>
      </c>
      <c r="Q456" t="str">
        <f t="shared" si="160"/>
        <v>Red</v>
      </c>
      <c r="R456" t="str">
        <f t="shared" si="161"/>
        <v>Green</v>
      </c>
      <c r="S456" t="str">
        <f t="shared" si="162"/>
        <v>Green</v>
      </c>
      <c r="T456" t="str">
        <f t="shared" si="163"/>
        <v>Red</v>
      </c>
      <c r="U456" t="str">
        <f t="shared" si="164"/>
        <v>Red</v>
      </c>
      <c r="V456" t="str">
        <f t="shared" si="165"/>
        <v>Red</v>
      </c>
      <c r="W456" t="str">
        <f t="shared" si="166"/>
        <v>Green</v>
      </c>
      <c r="X456" t="str">
        <f t="shared" si="167"/>
        <v>Green</v>
      </c>
      <c r="Y456" t="str">
        <f t="shared" si="168"/>
        <v>Green</v>
      </c>
      <c r="Z456" t="str">
        <f t="shared" si="169"/>
        <v>Green</v>
      </c>
      <c r="AA456" t="str">
        <f t="shared" si="170"/>
        <v>Red</v>
      </c>
      <c r="AB456" t="str">
        <f t="shared" si="171"/>
        <v>Red</v>
      </c>
      <c r="AC456" t="str">
        <f t="shared" si="172"/>
        <v>Green</v>
      </c>
      <c r="AD456" t="str">
        <f t="shared" si="173"/>
        <v>Red</v>
      </c>
    </row>
    <row r="457" spans="1:30" x14ac:dyDescent="0.2">
      <c r="A457" t="str">
        <f t="shared" si="156"/>
        <v>22/07/2026San Jose EarthquakesOrlando City</v>
      </c>
      <c r="D457" s="2">
        <v>46226</v>
      </c>
      <c r="E457" s="3">
        <v>0.10416666666666667</v>
      </c>
      <c r="F457" t="s">
        <v>93</v>
      </c>
      <c r="G457" t="s">
        <v>868</v>
      </c>
      <c r="H457">
        <v>0</v>
      </c>
      <c r="I457">
        <v>2</v>
      </c>
      <c r="J457">
        <v>0</v>
      </c>
      <c r="K457">
        <v>4</v>
      </c>
      <c r="L457" s="30" t="str">
        <f t="shared" si="154"/>
        <v>22/07/2026</v>
      </c>
      <c r="M457" s="31">
        <f t="shared" si="155"/>
        <v>0.97916666666666674</v>
      </c>
      <c r="N457" t="str">
        <f t="shared" si="157"/>
        <v>0 - 4</v>
      </c>
      <c r="O457" t="str">
        <f t="shared" si="158"/>
        <v>Red</v>
      </c>
      <c r="P457" t="str">
        <f t="shared" si="159"/>
        <v>Red</v>
      </c>
      <c r="Q457" t="str">
        <f t="shared" si="160"/>
        <v>Green</v>
      </c>
      <c r="R457" t="str">
        <f t="shared" si="161"/>
        <v>Red</v>
      </c>
      <c r="S457" t="str">
        <f t="shared" si="162"/>
        <v>Green</v>
      </c>
      <c r="T457" t="str">
        <f t="shared" si="163"/>
        <v>Green</v>
      </c>
      <c r="U457" t="str">
        <f t="shared" si="164"/>
        <v>Red</v>
      </c>
      <c r="V457" t="str">
        <f t="shared" si="165"/>
        <v>Red</v>
      </c>
      <c r="W457" t="str">
        <f t="shared" si="166"/>
        <v>Green</v>
      </c>
      <c r="X457" t="str">
        <f t="shared" si="167"/>
        <v>Green</v>
      </c>
      <c r="Y457" t="str">
        <f t="shared" si="168"/>
        <v>Green</v>
      </c>
      <c r="Z457" t="str">
        <f t="shared" si="169"/>
        <v>Green</v>
      </c>
      <c r="AA457" t="str">
        <f t="shared" si="170"/>
        <v>Red</v>
      </c>
      <c r="AB457" t="str">
        <f t="shared" si="171"/>
        <v>Red</v>
      </c>
      <c r="AC457" t="str">
        <f t="shared" si="172"/>
        <v>Red</v>
      </c>
      <c r="AD457" t="str">
        <f t="shared" si="173"/>
        <v>Green</v>
      </c>
    </row>
    <row r="458" spans="1:30" x14ac:dyDescent="0.2">
      <c r="A458" t="str">
        <f t="shared" si="156"/>
        <v>23/07/2026FC LieferingEintracht Braunschweig</v>
      </c>
      <c r="D458" s="2">
        <v>46226</v>
      </c>
      <c r="E458" s="3">
        <v>0.35416666666666669</v>
      </c>
      <c r="F458" t="s">
        <v>2078</v>
      </c>
      <c r="G458" t="s">
        <v>2079</v>
      </c>
      <c r="L458" s="22" t="str">
        <f t="shared" ref="L458:L489" si="174">DAY(D458)&amp;"/"&amp;"07"&amp;"/"&amp;YEAR(D458)</f>
        <v>23/07/2026</v>
      </c>
      <c r="M458" s="23">
        <f t="shared" ref="M458:M489" si="175">E458-TIME(3,0,0)</f>
        <v>0.22916666666666669</v>
      </c>
      <c r="N458" t="str">
        <f t="shared" si="157"/>
        <v xml:space="preserve"> - </v>
      </c>
      <c r="O458" t="str">
        <f t="shared" si="158"/>
        <v>Red</v>
      </c>
      <c r="P458" t="str">
        <f t="shared" si="159"/>
        <v>Green</v>
      </c>
      <c r="Q458" t="str">
        <f t="shared" si="160"/>
        <v>Red</v>
      </c>
      <c r="R458" t="str">
        <f t="shared" si="161"/>
        <v>Green</v>
      </c>
      <c r="S458" t="str">
        <f t="shared" si="162"/>
        <v>Green</v>
      </c>
      <c r="T458" t="str">
        <f t="shared" si="163"/>
        <v>Red</v>
      </c>
      <c r="U458" t="str">
        <f t="shared" si="164"/>
        <v>Red</v>
      </c>
      <c r="V458" t="str">
        <f t="shared" si="165"/>
        <v>Green</v>
      </c>
      <c r="W458" t="str">
        <f t="shared" si="166"/>
        <v>Red</v>
      </c>
      <c r="X458" t="str">
        <f t="shared" si="167"/>
        <v>Red</v>
      </c>
      <c r="Y458" t="str">
        <f t="shared" si="168"/>
        <v>Red</v>
      </c>
      <c r="Z458" t="str">
        <f t="shared" si="169"/>
        <v>Red</v>
      </c>
      <c r="AA458" t="str">
        <f t="shared" si="170"/>
        <v>Green</v>
      </c>
      <c r="AB458" t="str">
        <f t="shared" si="171"/>
        <v>Green</v>
      </c>
      <c r="AC458" t="str">
        <f t="shared" si="172"/>
        <v>Red</v>
      </c>
      <c r="AD458" t="str">
        <f t="shared" si="173"/>
        <v>Green</v>
      </c>
    </row>
    <row r="459" spans="1:30" x14ac:dyDescent="0.2">
      <c r="A459" t="str">
        <f t="shared" si="156"/>
        <v>23/07/2026Hellenic AthleticPalmerston Rovers</v>
      </c>
      <c r="D459" s="2">
        <v>46226</v>
      </c>
      <c r="E459" s="3">
        <v>0.375</v>
      </c>
      <c r="F459" t="s">
        <v>1977</v>
      </c>
      <c r="G459" t="s">
        <v>1978</v>
      </c>
      <c r="H459">
        <v>1</v>
      </c>
      <c r="I459">
        <v>0</v>
      </c>
      <c r="J459">
        <v>2</v>
      </c>
      <c r="K459">
        <v>1</v>
      </c>
      <c r="L459" s="22" t="str">
        <f t="shared" si="174"/>
        <v>23/07/2026</v>
      </c>
      <c r="M459" s="23">
        <f t="shared" si="175"/>
        <v>0.25</v>
      </c>
      <c r="N459" t="str">
        <f t="shared" si="157"/>
        <v>2 - 1</v>
      </c>
      <c r="O459" t="str">
        <f t="shared" si="158"/>
        <v>Green</v>
      </c>
      <c r="P459" t="str">
        <f t="shared" si="159"/>
        <v>Red</v>
      </c>
      <c r="Q459" t="str">
        <f t="shared" si="160"/>
        <v>Red</v>
      </c>
      <c r="R459" t="str">
        <f t="shared" si="161"/>
        <v>Green</v>
      </c>
      <c r="S459" t="str">
        <f t="shared" si="162"/>
        <v>Red</v>
      </c>
      <c r="T459" t="str">
        <f t="shared" si="163"/>
        <v>Green</v>
      </c>
      <c r="U459" t="str">
        <f t="shared" si="164"/>
        <v>Green</v>
      </c>
      <c r="V459" t="str">
        <f t="shared" si="165"/>
        <v>Red</v>
      </c>
      <c r="W459" t="str">
        <f t="shared" si="166"/>
        <v>Red</v>
      </c>
      <c r="X459" t="str">
        <f t="shared" si="167"/>
        <v>Green</v>
      </c>
      <c r="Y459" t="str">
        <f t="shared" si="168"/>
        <v>Green</v>
      </c>
      <c r="Z459" t="str">
        <f t="shared" si="169"/>
        <v>Green</v>
      </c>
      <c r="AA459" t="str">
        <f t="shared" si="170"/>
        <v>Red</v>
      </c>
      <c r="AB459" t="str">
        <f t="shared" si="171"/>
        <v>Green</v>
      </c>
      <c r="AC459" t="str">
        <f t="shared" si="172"/>
        <v>Green</v>
      </c>
      <c r="AD459" t="str">
        <f t="shared" si="173"/>
        <v>Red</v>
      </c>
    </row>
    <row r="460" spans="1:30" x14ac:dyDescent="0.2">
      <c r="A460" t="str">
        <f t="shared" si="156"/>
        <v>23/07/2026Garuda DarwinDarwin Hearts</v>
      </c>
      <c r="D460" s="2">
        <v>46226</v>
      </c>
      <c r="E460" s="3">
        <v>0.45833333333333331</v>
      </c>
      <c r="F460" t="s">
        <v>1979</v>
      </c>
      <c r="G460" t="s">
        <v>1980</v>
      </c>
      <c r="H460">
        <v>0</v>
      </c>
      <c r="I460">
        <v>1</v>
      </c>
      <c r="J460">
        <v>2</v>
      </c>
      <c r="K460">
        <v>3</v>
      </c>
      <c r="L460" s="22" t="str">
        <f t="shared" si="174"/>
        <v>23/07/2026</v>
      </c>
      <c r="M460" s="23">
        <f t="shared" si="175"/>
        <v>0.33333333333333331</v>
      </c>
      <c r="N460" t="str">
        <f t="shared" si="157"/>
        <v>2 - 3</v>
      </c>
      <c r="O460" t="str">
        <f t="shared" si="158"/>
        <v>Red</v>
      </c>
      <c r="P460" t="str">
        <f t="shared" si="159"/>
        <v>Red</v>
      </c>
      <c r="Q460" t="str">
        <f t="shared" si="160"/>
        <v>Green</v>
      </c>
      <c r="R460" t="str">
        <f t="shared" si="161"/>
        <v>Red</v>
      </c>
      <c r="S460" t="str">
        <f t="shared" si="162"/>
        <v>Green</v>
      </c>
      <c r="T460" t="str">
        <f t="shared" si="163"/>
        <v>Green</v>
      </c>
      <c r="U460" t="str">
        <f t="shared" si="164"/>
        <v>Red</v>
      </c>
      <c r="V460" t="str">
        <f t="shared" si="165"/>
        <v>Red</v>
      </c>
      <c r="W460" t="str">
        <f t="shared" si="166"/>
        <v>Green</v>
      </c>
      <c r="X460" t="str">
        <f t="shared" si="167"/>
        <v>Green</v>
      </c>
      <c r="Y460" t="str">
        <f t="shared" si="168"/>
        <v>Green</v>
      </c>
      <c r="Z460" t="str">
        <f t="shared" si="169"/>
        <v>Green</v>
      </c>
      <c r="AA460" t="str">
        <f t="shared" si="170"/>
        <v>Red</v>
      </c>
      <c r="AB460" t="str">
        <f t="shared" si="171"/>
        <v>Red</v>
      </c>
      <c r="AC460" t="str">
        <f t="shared" si="172"/>
        <v>Green</v>
      </c>
      <c r="AD460" t="str">
        <f t="shared" si="173"/>
        <v>Red</v>
      </c>
    </row>
    <row r="461" spans="1:30" x14ac:dyDescent="0.2">
      <c r="A461" t="str">
        <f t="shared" si="156"/>
        <v>23/07/2026Akademiya OntustikAstana U21</v>
      </c>
      <c r="D461" s="2">
        <v>46226</v>
      </c>
      <c r="E461" s="3">
        <v>0.5</v>
      </c>
      <c r="F461" t="s">
        <v>2062</v>
      </c>
      <c r="G461" t="s">
        <v>2063</v>
      </c>
      <c r="H461">
        <v>0</v>
      </c>
      <c r="I461">
        <v>1</v>
      </c>
      <c r="J461">
        <v>2</v>
      </c>
      <c r="K461">
        <v>1</v>
      </c>
      <c r="L461" s="22" t="str">
        <f t="shared" si="174"/>
        <v>23/07/2026</v>
      </c>
      <c r="M461" s="23">
        <f t="shared" si="175"/>
        <v>0.375</v>
      </c>
      <c r="N461" t="str">
        <f t="shared" si="157"/>
        <v>2 - 1</v>
      </c>
      <c r="O461" t="str">
        <f t="shared" si="158"/>
        <v>Green</v>
      </c>
      <c r="P461" t="str">
        <f t="shared" si="159"/>
        <v>Red</v>
      </c>
      <c r="Q461" t="str">
        <f t="shared" si="160"/>
        <v>Red</v>
      </c>
      <c r="R461" t="str">
        <f t="shared" si="161"/>
        <v>Green</v>
      </c>
      <c r="S461" t="str">
        <f t="shared" si="162"/>
        <v>Red</v>
      </c>
      <c r="T461" t="str">
        <f t="shared" si="163"/>
        <v>Green</v>
      </c>
      <c r="U461" t="str">
        <f t="shared" si="164"/>
        <v>Red</v>
      </c>
      <c r="V461" t="str">
        <f t="shared" si="165"/>
        <v>Red</v>
      </c>
      <c r="W461" t="str">
        <f t="shared" si="166"/>
        <v>Green</v>
      </c>
      <c r="X461" t="str">
        <f t="shared" si="167"/>
        <v>Green</v>
      </c>
      <c r="Y461" t="str">
        <f t="shared" si="168"/>
        <v>Green</v>
      </c>
      <c r="Z461" t="str">
        <f t="shared" si="169"/>
        <v>Green</v>
      </c>
      <c r="AA461" t="str">
        <f t="shared" si="170"/>
        <v>Red</v>
      </c>
      <c r="AB461" t="str">
        <f t="shared" si="171"/>
        <v>Green</v>
      </c>
      <c r="AC461" t="str">
        <f t="shared" si="172"/>
        <v>Green</v>
      </c>
      <c r="AD461" t="str">
        <f t="shared" si="173"/>
        <v>Red</v>
      </c>
    </row>
    <row r="462" spans="1:30" x14ac:dyDescent="0.2">
      <c r="A462" t="str">
        <f t="shared" si="156"/>
        <v>23/07/2026Zlatibor CajetinaFK Grbalj</v>
      </c>
      <c r="D462" s="2">
        <v>46226</v>
      </c>
      <c r="E462" s="3">
        <v>0.5</v>
      </c>
      <c r="F462" t="s">
        <v>1429</v>
      </c>
      <c r="G462" t="s">
        <v>2080</v>
      </c>
      <c r="H462">
        <v>0</v>
      </c>
      <c r="I462">
        <v>1</v>
      </c>
      <c r="J462">
        <v>0</v>
      </c>
      <c r="K462">
        <v>1</v>
      </c>
      <c r="L462" s="22" t="str">
        <f t="shared" si="174"/>
        <v>23/07/2026</v>
      </c>
      <c r="M462" s="23">
        <f t="shared" si="175"/>
        <v>0.375</v>
      </c>
      <c r="N462" t="str">
        <f t="shared" si="157"/>
        <v>0 - 1</v>
      </c>
      <c r="O462" t="str">
        <f t="shared" si="158"/>
        <v>Red</v>
      </c>
      <c r="P462" t="str">
        <f t="shared" si="159"/>
        <v>Red</v>
      </c>
      <c r="Q462" t="str">
        <f t="shared" si="160"/>
        <v>Green</v>
      </c>
      <c r="R462" t="str">
        <f t="shared" si="161"/>
        <v>Red</v>
      </c>
      <c r="S462" t="str">
        <f t="shared" si="162"/>
        <v>Green</v>
      </c>
      <c r="T462" t="str">
        <f t="shared" si="163"/>
        <v>Green</v>
      </c>
      <c r="U462" t="str">
        <f t="shared" si="164"/>
        <v>Red</v>
      </c>
      <c r="V462" t="str">
        <f t="shared" si="165"/>
        <v>Red</v>
      </c>
      <c r="W462" t="str">
        <f t="shared" si="166"/>
        <v>Green</v>
      </c>
      <c r="X462" t="str">
        <f t="shared" si="167"/>
        <v>Green</v>
      </c>
      <c r="Y462" t="str">
        <f t="shared" si="168"/>
        <v>Red</v>
      </c>
      <c r="Z462" t="str">
        <f t="shared" si="169"/>
        <v>Red</v>
      </c>
      <c r="AA462" t="str">
        <f t="shared" si="170"/>
        <v>Green</v>
      </c>
      <c r="AB462" t="str">
        <f t="shared" si="171"/>
        <v>Green</v>
      </c>
      <c r="AC462" t="str">
        <f t="shared" si="172"/>
        <v>Red</v>
      </c>
      <c r="AD462" t="str">
        <f t="shared" si="173"/>
        <v>Green</v>
      </c>
    </row>
    <row r="463" spans="1:30" x14ac:dyDescent="0.2">
      <c r="A463" t="str">
        <f t="shared" si="156"/>
        <v>23/07/2026TromsoViktoria Plzen</v>
      </c>
      <c r="B463" t="s">
        <v>802</v>
      </c>
      <c r="C463" t="s">
        <v>1889</v>
      </c>
      <c r="D463" s="2">
        <v>46226</v>
      </c>
      <c r="E463" s="3">
        <v>0.54166666666666663</v>
      </c>
      <c r="F463" t="s">
        <v>1890</v>
      </c>
      <c r="G463" t="s">
        <v>1891</v>
      </c>
      <c r="L463" s="22" t="str">
        <f t="shared" si="174"/>
        <v>23/07/2026</v>
      </c>
      <c r="M463" s="23">
        <f t="shared" si="175"/>
        <v>0.41666666666666663</v>
      </c>
      <c r="N463" t="str">
        <f t="shared" si="157"/>
        <v xml:space="preserve"> - </v>
      </c>
      <c r="O463" t="str">
        <f t="shared" si="158"/>
        <v>Red</v>
      </c>
      <c r="P463" t="str">
        <f t="shared" si="159"/>
        <v>Green</v>
      </c>
      <c r="Q463" t="str">
        <f t="shared" si="160"/>
        <v>Red</v>
      </c>
      <c r="R463" t="str">
        <f t="shared" si="161"/>
        <v>Green</v>
      </c>
      <c r="S463" t="str">
        <f t="shared" si="162"/>
        <v>Green</v>
      </c>
      <c r="T463" t="str">
        <f t="shared" si="163"/>
        <v>Red</v>
      </c>
      <c r="U463" t="str">
        <f t="shared" si="164"/>
        <v>Red</v>
      </c>
      <c r="V463" t="str">
        <f t="shared" si="165"/>
        <v>Green</v>
      </c>
      <c r="W463" t="str">
        <f t="shared" si="166"/>
        <v>Red</v>
      </c>
      <c r="X463" t="str">
        <f t="shared" si="167"/>
        <v>Red</v>
      </c>
      <c r="Y463" t="str">
        <f t="shared" si="168"/>
        <v>Red</v>
      </c>
      <c r="Z463" t="str">
        <f t="shared" si="169"/>
        <v>Red</v>
      </c>
      <c r="AA463" t="str">
        <f t="shared" si="170"/>
        <v>Green</v>
      </c>
      <c r="AB463" t="str">
        <f t="shared" si="171"/>
        <v>Green</v>
      </c>
      <c r="AC463" t="str">
        <f t="shared" si="172"/>
        <v>Red</v>
      </c>
      <c r="AD463" t="str">
        <f t="shared" si="173"/>
        <v>Green</v>
      </c>
    </row>
    <row r="464" spans="1:30" x14ac:dyDescent="0.2">
      <c r="A464" t="str">
        <f t="shared" si="156"/>
        <v>23/07/2026Kuopio PSRiga FC</v>
      </c>
      <c r="B464" t="s">
        <v>802</v>
      </c>
      <c r="C464" t="s">
        <v>1326</v>
      </c>
      <c r="D464" s="2">
        <v>46226</v>
      </c>
      <c r="E464" s="3">
        <v>0.54166666666666663</v>
      </c>
      <c r="F464" t="s">
        <v>357</v>
      </c>
      <c r="G464" t="s">
        <v>991</v>
      </c>
      <c r="L464" s="22" t="str">
        <f t="shared" si="174"/>
        <v>23/07/2026</v>
      </c>
      <c r="M464" s="23">
        <f t="shared" si="175"/>
        <v>0.41666666666666663</v>
      </c>
      <c r="N464" t="str">
        <f t="shared" si="157"/>
        <v xml:space="preserve"> - </v>
      </c>
      <c r="O464" t="str">
        <f t="shared" si="158"/>
        <v>Red</v>
      </c>
      <c r="P464" t="str">
        <f t="shared" si="159"/>
        <v>Green</v>
      </c>
      <c r="Q464" t="str">
        <f t="shared" si="160"/>
        <v>Red</v>
      </c>
      <c r="R464" t="str">
        <f t="shared" si="161"/>
        <v>Green</v>
      </c>
      <c r="S464" t="str">
        <f t="shared" si="162"/>
        <v>Green</v>
      </c>
      <c r="T464" t="str">
        <f t="shared" si="163"/>
        <v>Red</v>
      </c>
      <c r="U464" t="str">
        <f t="shared" si="164"/>
        <v>Red</v>
      </c>
      <c r="V464" t="str">
        <f t="shared" si="165"/>
        <v>Green</v>
      </c>
      <c r="W464" t="str">
        <f t="shared" si="166"/>
        <v>Red</v>
      </c>
      <c r="X464" t="str">
        <f t="shared" si="167"/>
        <v>Red</v>
      </c>
      <c r="Y464" t="str">
        <f t="shared" si="168"/>
        <v>Red</v>
      </c>
      <c r="Z464" t="str">
        <f t="shared" si="169"/>
        <v>Red</v>
      </c>
      <c r="AA464" t="str">
        <f t="shared" si="170"/>
        <v>Green</v>
      </c>
      <c r="AB464" t="str">
        <f t="shared" si="171"/>
        <v>Green</v>
      </c>
      <c r="AC464" t="str">
        <f t="shared" si="172"/>
        <v>Red</v>
      </c>
      <c r="AD464" t="str">
        <f t="shared" si="173"/>
        <v>Green</v>
      </c>
    </row>
    <row r="465" spans="1:30" x14ac:dyDescent="0.2">
      <c r="A465" t="str">
        <f t="shared" si="156"/>
        <v>23/07/2026NK VarazdinHradec Kralove</v>
      </c>
      <c r="B465" t="s">
        <v>802</v>
      </c>
      <c r="C465" t="s">
        <v>1326</v>
      </c>
      <c r="D465" s="2">
        <v>46226</v>
      </c>
      <c r="E465" s="3">
        <v>0.54166666666666663</v>
      </c>
      <c r="F465" t="s">
        <v>1906</v>
      </c>
      <c r="G465" t="s">
        <v>1899</v>
      </c>
      <c r="L465" s="22" t="str">
        <f t="shared" si="174"/>
        <v>23/07/2026</v>
      </c>
      <c r="M465" s="23">
        <f t="shared" si="175"/>
        <v>0.41666666666666663</v>
      </c>
      <c r="N465" t="str">
        <f t="shared" si="157"/>
        <v xml:space="preserve"> - </v>
      </c>
      <c r="O465" t="str">
        <f t="shared" si="158"/>
        <v>Red</v>
      </c>
      <c r="P465" t="str">
        <f t="shared" si="159"/>
        <v>Green</v>
      </c>
      <c r="Q465" t="str">
        <f t="shared" si="160"/>
        <v>Red</v>
      </c>
      <c r="R465" t="str">
        <f t="shared" si="161"/>
        <v>Green</v>
      </c>
      <c r="S465" t="str">
        <f t="shared" si="162"/>
        <v>Green</v>
      </c>
      <c r="T465" t="str">
        <f t="shared" si="163"/>
        <v>Red</v>
      </c>
      <c r="U465" t="str">
        <f t="shared" si="164"/>
        <v>Red</v>
      </c>
      <c r="V465" t="str">
        <f t="shared" si="165"/>
        <v>Green</v>
      </c>
      <c r="W465" t="str">
        <f t="shared" si="166"/>
        <v>Red</v>
      </c>
      <c r="X465" t="str">
        <f t="shared" si="167"/>
        <v>Red</v>
      </c>
      <c r="Y465" t="str">
        <f t="shared" si="168"/>
        <v>Red</v>
      </c>
      <c r="Z465" t="str">
        <f t="shared" si="169"/>
        <v>Red</v>
      </c>
      <c r="AA465" t="str">
        <f t="shared" si="170"/>
        <v>Green</v>
      </c>
      <c r="AB465" t="str">
        <f t="shared" si="171"/>
        <v>Green</v>
      </c>
      <c r="AC465" t="str">
        <f t="shared" si="172"/>
        <v>Red</v>
      </c>
      <c r="AD465" t="str">
        <f t="shared" si="173"/>
        <v>Green</v>
      </c>
    </row>
    <row r="466" spans="1:30" x14ac:dyDescent="0.2">
      <c r="A466" t="str">
        <f t="shared" si="156"/>
        <v>23/07/2026Akzhayik UralskKhan Tengry</v>
      </c>
      <c r="D466" s="2">
        <v>46226</v>
      </c>
      <c r="E466" s="3">
        <v>0.54166666666666663</v>
      </c>
      <c r="F466" t="s">
        <v>2064</v>
      </c>
      <c r="G466" t="s">
        <v>2065</v>
      </c>
      <c r="H466">
        <v>1</v>
      </c>
      <c r="I466">
        <v>0</v>
      </c>
      <c r="J466">
        <v>2</v>
      </c>
      <c r="K466">
        <v>0</v>
      </c>
      <c r="L466" s="22" t="str">
        <f t="shared" si="174"/>
        <v>23/07/2026</v>
      </c>
      <c r="M466" s="23">
        <f t="shared" si="175"/>
        <v>0.41666666666666663</v>
      </c>
      <c r="N466" t="str">
        <f t="shared" si="157"/>
        <v>2 - 0</v>
      </c>
      <c r="O466" t="str">
        <f t="shared" si="158"/>
        <v>Green</v>
      </c>
      <c r="P466" t="str">
        <f t="shared" si="159"/>
        <v>Red</v>
      </c>
      <c r="Q466" t="str">
        <f t="shared" si="160"/>
        <v>Red</v>
      </c>
      <c r="R466" t="str">
        <f t="shared" si="161"/>
        <v>Green</v>
      </c>
      <c r="S466" t="str">
        <f t="shared" si="162"/>
        <v>Red</v>
      </c>
      <c r="T466" t="str">
        <f t="shared" si="163"/>
        <v>Green</v>
      </c>
      <c r="U466" t="str">
        <f t="shared" si="164"/>
        <v>Green</v>
      </c>
      <c r="V466" t="str">
        <f t="shared" si="165"/>
        <v>Red</v>
      </c>
      <c r="W466" t="str">
        <f t="shared" si="166"/>
        <v>Red</v>
      </c>
      <c r="X466" t="str">
        <f t="shared" si="167"/>
        <v>Green</v>
      </c>
      <c r="Y466" t="str">
        <f t="shared" si="168"/>
        <v>Green</v>
      </c>
      <c r="Z466" t="str">
        <f t="shared" si="169"/>
        <v>Red</v>
      </c>
      <c r="AA466" t="str">
        <f t="shared" si="170"/>
        <v>Green</v>
      </c>
      <c r="AB466" t="str">
        <f t="shared" si="171"/>
        <v>Green</v>
      </c>
      <c r="AC466" t="str">
        <f t="shared" si="172"/>
        <v>Red</v>
      </c>
      <c r="AD466" t="str">
        <f t="shared" si="173"/>
        <v>Green</v>
      </c>
    </row>
    <row r="467" spans="1:30" x14ac:dyDescent="0.2">
      <c r="A467" t="str">
        <f t="shared" si="156"/>
        <v>23/07/2026FK Kaspyi Aktau U21Ekibastuz</v>
      </c>
      <c r="D467" s="2">
        <v>46226</v>
      </c>
      <c r="E467" s="3">
        <v>0.54166666666666663</v>
      </c>
      <c r="F467" t="s">
        <v>2066</v>
      </c>
      <c r="G467" t="s">
        <v>2067</v>
      </c>
      <c r="H467">
        <v>2</v>
      </c>
      <c r="I467">
        <v>0</v>
      </c>
      <c r="J467">
        <v>3</v>
      </c>
      <c r="K467">
        <v>0</v>
      </c>
      <c r="L467" s="22" t="str">
        <f t="shared" si="174"/>
        <v>23/07/2026</v>
      </c>
      <c r="M467" s="23">
        <f t="shared" si="175"/>
        <v>0.41666666666666663</v>
      </c>
      <c r="N467" t="str">
        <f t="shared" si="157"/>
        <v>3 - 0</v>
      </c>
      <c r="O467" t="str">
        <f t="shared" si="158"/>
        <v>Green</v>
      </c>
      <c r="P467" t="str">
        <f t="shared" si="159"/>
        <v>Red</v>
      </c>
      <c r="Q467" t="str">
        <f t="shared" si="160"/>
        <v>Red</v>
      </c>
      <c r="R467" t="str">
        <f t="shared" si="161"/>
        <v>Green</v>
      </c>
      <c r="S467" t="str">
        <f t="shared" si="162"/>
        <v>Red</v>
      </c>
      <c r="T467" t="str">
        <f t="shared" si="163"/>
        <v>Green</v>
      </c>
      <c r="U467" t="str">
        <f t="shared" si="164"/>
        <v>Green</v>
      </c>
      <c r="V467" t="str">
        <f t="shared" si="165"/>
        <v>Red</v>
      </c>
      <c r="W467" t="str">
        <f t="shared" si="166"/>
        <v>Red</v>
      </c>
      <c r="X467" t="str">
        <f t="shared" si="167"/>
        <v>Green</v>
      </c>
      <c r="Y467" t="str">
        <f t="shared" si="168"/>
        <v>Green</v>
      </c>
      <c r="Z467" t="str">
        <f t="shared" si="169"/>
        <v>Green</v>
      </c>
      <c r="AA467" t="str">
        <f t="shared" si="170"/>
        <v>Red</v>
      </c>
      <c r="AB467" t="str">
        <f t="shared" si="171"/>
        <v>Green</v>
      </c>
      <c r="AC467" t="str">
        <f t="shared" si="172"/>
        <v>Red</v>
      </c>
      <c r="AD467" t="str">
        <f t="shared" si="173"/>
        <v>Green</v>
      </c>
    </row>
    <row r="468" spans="1:30" x14ac:dyDescent="0.2">
      <c r="A468" t="str">
        <f t="shared" si="156"/>
        <v>23/07/2026Waldhof MannheimFC Liefering</v>
      </c>
      <c r="D468" s="2">
        <v>46226</v>
      </c>
      <c r="E468" s="3">
        <v>0.54166666666666663</v>
      </c>
      <c r="F468" t="s">
        <v>2081</v>
      </c>
      <c r="G468" t="s">
        <v>2078</v>
      </c>
      <c r="H468">
        <v>0</v>
      </c>
      <c r="I468">
        <v>0</v>
      </c>
      <c r="J468">
        <v>4</v>
      </c>
      <c r="K468">
        <v>1</v>
      </c>
      <c r="L468" s="22" t="str">
        <f t="shared" si="174"/>
        <v>23/07/2026</v>
      </c>
      <c r="M468" s="23">
        <f t="shared" si="175"/>
        <v>0.41666666666666663</v>
      </c>
      <c r="N468" t="str">
        <f t="shared" si="157"/>
        <v>4 - 1</v>
      </c>
      <c r="O468" t="str">
        <f t="shared" si="158"/>
        <v>Green</v>
      </c>
      <c r="P468" t="str">
        <f t="shared" si="159"/>
        <v>Red</v>
      </c>
      <c r="Q468" t="str">
        <f t="shared" si="160"/>
        <v>Red</v>
      </c>
      <c r="R468" t="str">
        <f t="shared" si="161"/>
        <v>Green</v>
      </c>
      <c r="S468" t="str">
        <f t="shared" si="162"/>
        <v>Red</v>
      </c>
      <c r="T468" t="str">
        <f t="shared" si="163"/>
        <v>Green</v>
      </c>
      <c r="U468" t="str">
        <f t="shared" si="164"/>
        <v>Red</v>
      </c>
      <c r="V468" t="str">
        <f t="shared" si="165"/>
        <v>Green</v>
      </c>
      <c r="W468" t="str">
        <f t="shared" si="166"/>
        <v>Red</v>
      </c>
      <c r="X468" t="str">
        <f t="shared" si="167"/>
        <v>Red</v>
      </c>
      <c r="Y468" t="str">
        <f t="shared" si="168"/>
        <v>Green</v>
      </c>
      <c r="Z468" t="str">
        <f t="shared" si="169"/>
        <v>Green</v>
      </c>
      <c r="AA468" t="str">
        <f t="shared" si="170"/>
        <v>Red</v>
      </c>
      <c r="AB468" t="str">
        <f t="shared" si="171"/>
        <v>Red</v>
      </c>
      <c r="AC468" t="str">
        <f t="shared" si="172"/>
        <v>Green</v>
      </c>
      <c r="AD468" t="str">
        <f t="shared" si="173"/>
        <v>Red</v>
      </c>
    </row>
    <row r="469" spans="1:30" x14ac:dyDescent="0.2">
      <c r="A469" t="str">
        <f t="shared" si="156"/>
        <v>23/07/2026Agama FCHardrock</v>
      </c>
      <c r="D469" s="2">
        <v>46226</v>
      </c>
      <c r="E469" s="3">
        <v>0.54166666666666663</v>
      </c>
      <c r="F469" t="s">
        <v>2099</v>
      </c>
      <c r="G469" t="s">
        <v>2100</v>
      </c>
      <c r="H469">
        <v>0</v>
      </c>
      <c r="I469">
        <v>0</v>
      </c>
      <c r="J469">
        <v>0</v>
      </c>
      <c r="K469">
        <v>2</v>
      </c>
      <c r="L469" s="22" t="str">
        <f t="shared" si="174"/>
        <v>23/07/2026</v>
      </c>
      <c r="M469" s="23">
        <f t="shared" si="175"/>
        <v>0.41666666666666663</v>
      </c>
      <c r="N469" t="str">
        <f t="shared" si="157"/>
        <v>0 - 2</v>
      </c>
      <c r="O469" t="str">
        <f t="shared" si="158"/>
        <v>Red</v>
      </c>
      <c r="P469" t="str">
        <f t="shared" si="159"/>
        <v>Red</v>
      </c>
      <c r="Q469" t="str">
        <f t="shared" si="160"/>
        <v>Green</v>
      </c>
      <c r="R469" t="str">
        <f t="shared" si="161"/>
        <v>Red</v>
      </c>
      <c r="S469" t="str">
        <f t="shared" si="162"/>
        <v>Green</v>
      </c>
      <c r="T469" t="str">
        <f t="shared" si="163"/>
        <v>Green</v>
      </c>
      <c r="U469" t="str">
        <f t="shared" si="164"/>
        <v>Red</v>
      </c>
      <c r="V469" t="str">
        <f t="shared" si="165"/>
        <v>Green</v>
      </c>
      <c r="W469" t="str">
        <f t="shared" si="166"/>
        <v>Red</v>
      </c>
      <c r="X469" t="str">
        <f t="shared" si="167"/>
        <v>Red</v>
      </c>
      <c r="Y469" t="str">
        <f t="shared" si="168"/>
        <v>Green</v>
      </c>
      <c r="Z469" t="str">
        <f t="shared" si="169"/>
        <v>Red</v>
      </c>
      <c r="AA469" t="str">
        <f t="shared" si="170"/>
        <v>Green</v>
      </c>
      <c r="AB469" t="str">
        <f t="shared" si="171"/>
        <v>Green</v>
      </c>
      <c r="AC469" t="str">
        <f t="shared" si="172"/>
        <v>Red</v>
      </c>
      <c r="AD469" t="str">
        <f t="shared" si="173"/>
        <v>Green</v>
      </c>
    </row>
    <row r="470" spans="1:30" x14ac:dyDescent="0.2">
      <c r="A470" t="str">
        <f t="shared" si="156"/>
        <v>23/07/2026CAPS UnitedHunters 2020</v>
      </c>
      <c r="D470" s="2">
        <v>46226</v>
      </c>
      <c r="E470" s="3">
        <v>0.54166666666666663</v>
      </c>
      <c r="F470" t="s">
        <v>2101</v>
      </c>
      <c r="G470" t="s">
        <v>2102</v>
      </c>
      <c r="H470">
        <v>0</v>
      </c>
      <c r="I470">
        <v>0</v>
      </c>
      <c r="J470">
        <v>0</v>
      </c>
      <c r="K470">
        <v>1</v>
      </c>
      <c r="L470" s="22" t="str">
        <f t="shared" si="174"/>
        <v>23/07/2026</v>
      </c>
      <c r="M470" s="23">
        <f t="shared" si="175"/>
        <v>0.41666666666666663</v>
      </c>
      <c r="N470" t="str">
        <f t="shared" si="157"/>
        <v>0 - 1</v>
      </c>
      <c r="O470" t="str">
        <f t="shared" si="158"/>
        <v>Red</v>
      </c>
      <c r="P470" t="str">
        <f t="shared" si="159"/>
        <v>Red</v>
      </c>
      <c r="Q470" t="str">
        <f t="shared" si="160"/>
        <v>Green</v>
      </c>
      <c r="R470" t="str">
        <f t="shared" si="161"/>
        <v>Red</v>
      </c>
      <c r="S470" t="str">
        <f t="shared" si="162"/>
        <v>Green</v>
      </c>
      <c r="T470" t="str">
        <f t="shared" si="163"/>
        <v>Green</v>
      </c>
      <c r="U470" t="str">
        <f t="shared" si="164"/>
        <v>Red</v>
      </c>
      <c r="V470" t="str">
        <f t="shared" si="165"/>
        <v>Green</v>
      </c>
      <c r="W470" t="str">
        <f t="shared" si="166"/>
        <v>Red</v>
      </c>
      <c r="X470" t="str">
        <f t="shared" si="167"/>
        <v>Red</v>
      </c>
      <c r="Y470" t="str">
        <f t="shared" si="168"/>
        <v>Red</v>
      </c>
      <c r="Z470" t="str">
        <f t="shared" si="169"/>
        <v>Red</v>
      </c>
      <c r="AA470" t="str">
        <f t="shared" si="170"/>
        <v>Green</v>
      </c>
      <c r="AB470" t="str">
        <f t="shared" si="171"/>
        <v>Green</v>
      </c>
      <c r="AC470" t="str">
        <f t="shared" si="172"/>
        <v>Red</v>
      </c>
      <c r="AD470" t="str">
        <f t="shared" si="173"/>
        <v>Green</v>
      </c>
    </row>
    <row r="471" spans="1:30" x14ac:dyDescent="0.2">
      <c r="A471" t="str">
        <f t="shared" si="156"/>
        <v>23/07/2026Triangle UnitedNgezi Platinum FC</v>
      </c>
      <c r="D471" s="2">
        <v>46226</v>
      </c>
      <c r="E471" s="3">
        <v>0.54166666666666663</v>
      </c>
      <c r="F471" t="s">
        <v>2103</v>
      </c>
      <c r="G471" t="s">
        <v>2104</v>
      </c>
      <c r="H471">
        <v>0</v>
      </c>
      <c r="I471">
        <v>0</v>
      </c>
      <c r="J471">
        <v>1</v>
      </c>
      <c r="K471">
        <v>1</v>
      </c>
      <c r="L471" s="22" t="str">
        <f t="shared" si="174"/>
        <v>23/07/2026</v>
      </c>
      <c r="M471" s="23">
        <f t="shared" si="175"/>
        <v>0.41666666666666663</v>
      </c>
      <c r="N471" t="str">
        <f t="shared" si="157"/>
        <v>1 - 1</v>
      </c>
      <c r="O471" t="str">
        <f t="shared" si="158"/>
        <v>Red</v>
      </c>
      <c r="P471" t="str">
        <f t="shared" si="159"/>
        <v>Green</v>
      </c>
      <c r="Q471" t="str">
        <f t="shared" si="160"/>
        <v>Red</v>
      </c>
      <c r="R471" t="str">
        <f t="shared" si="161"/>
        <v>Green</v>
      </c>
      <c r="S471" t="str">
        <f t="shared" si="162"/>
        <v>Green</v>
      </c>
      <c r="T471" t="str">
        <f t="shared" si="163"/>
        <v>Red</v>
      </c>
      <c r="U471" t="str">
        <f t="shared" si="164"/>
        <v>Red</v>
      </c>
      <c r="V471" t="str">
        <f t="shared" si="165"/>
        <v>Green</v>
      </c>
      <c r="W471" t="str">
        <f t="shared" si="166"/>
        <v>Red</v>
      </c>
      <c r="X471" t="str">
        <f t="shared" si="167"/>
        <v>Red</v>
      </c>
      <c r="Y471" t="str">
        <f t="shared" si="168"/>
        <v>Green</v>
      </c>
      <c r="Z471" t="str">
        <f t="shared" si="169"/>
        <v>Red</v>
      </c>
      <c r="AA471" t="str">
        <f t="shared" si="170"/>
        <v>Green</v>
      </c>
      <c r="AB471" t="str">
        <f t="shared" si="171"/>
        <v>Green</v>
      </c>
      <c r="AC471" t="str">
        <f t="shared" si="172"/>
        <v>Green</v>
      </c>
      <c r="AD471" t="str">
        <f t="shared" si="173"/>
        <v>Red</v>
      </c>
    </row>
    <row r="472" spans="1:30" x14ac:dyDescent="0.2">
      <c r="A472" t="str">
        <f t="shared" si="156"/>
        <v>23/07/2026MalishevaHibernian</v>
      </c>
      <c r="B472" t="s">
        <v>802</v>
      </c>
      <c r="C472" t="s">
        <v>1326</v>
      </c>
      <c r="D472" s="2">
        <v>46226</v>
      </c>
      <c r="E472" s="3">
        <v>0.60416666666666663</v>
      </c>
      <c r="F472" t="s">
        <v>1907</v>
      </c>
      <c r="G472" t="s">
        <v>1908</v>
      </c>
      <c r="H472">
        <v>1</v>
      </c>
      <c r="I472">
        <v>0</v>
      </c>
      <c r="J472">
        <v>2</v>
      </c>
      <c r="K472">
        <v>0</v>
      </c>
      <c r="L472" s="22" t="str">
        <f t="shared" si="174"/>
        <v>23/07/2026</v>
      </c>
      <c r="M472" s="23">
        <f t="shared" si="175"/>
        <v>0.47916666666666663</v>
      </c>
      <c r="N472" t="str">
        <f t="shared" si="157"/>
        <v>2 - 0</v>
      </c>
      <c r="O472" t="str">
        <f t="shared" si="158"/>
        <v>Green</v>
      </c>
      <c r="P472" t="str">
        <f t="shared" si="159"/>
        <v>Red</v>
      </c>
      <c r="Q472" t="str">
        <f t="shared" si="160"/>
        <v>Red</v>
      </c>
      <c r="R472" t="str">
        <f t="shared" si="161"/>
        <v>Green</v>
      </c>
      <c r="S472" t="str">
        <f t="shared" si="162"/>
        <v>Red</v>
      </c>
      <c r="T472" t="str">
        <f t="shared" si="163"/>
        <v>Green</v>
      </c>
      <c r="U472" t="str">
        <f t="shared" si="164"/>
        <v>Green</v>
      </c>
      <c r="V472" t="str">
        <f t="shared" si="165"/>
        <v>Red</v>
      </c>
      <c r="W472" t="str">
        <f t="shared" si="166"/>
        <v>Red</v>
      </c>
      <c r="X472" t="str">
        <f t="shared" si="167"/>
        <v>Green</v>
      </c>
      <c r="Y472" t="str">
        <f t="shared" si="168"/>
        <v>Green</v>
      </c>
      <c r="Z472" t="str">
        <f t="shared" si="169"/>
        <v>Red</v>
      </c>
      <c r="AA472" t="str">
        <f t="shared" si="170"/>
        <v>Green</v>
      </c>
      <c r="AB472" t="str">
        <f t="shared" si="171"/>
        <v>Green</v>
      </c>
      <c r="AC472" t="str">
        <f t="shared" si="172"/>
        <v>Red</v>
      </c>
      <c r="AD472" t="str">
        <f t="shared" si="173"/>
        <v>Green</v>
      </c>
    </row>
    <row r="473" spans="1:30" x14ac:dyDescent="0.2">
      <c r="A473" t="str">
        <f t="shared" si="156"/>
        <v>23/07/2026FK GazalkentMetallurg Bekabad</v>
      </c>
      <c r="D473" s="2">
        <v>46226</v>
      </c>
      <c r="E473" s="3">
        <v>0.60416666666666663</v>
      </c>
      <c r="F473" t="s">
        <v>2076</v>
      </c>
      <c r="G473" t="s">
        <v>2077</v>
      </c>
      <c r="H473">
        <v>0</v>
      </c>
      <c r="I473">
        <v>0</v>
      </c>
      <c r="J473">
        <v>3</v>
      </c>
      <c r="K473">
        <v>2</v>
      </c>
      <c r="L473" s="22" t="str">
        <f t="shared" si="174"/>
        <v>23/07/2026</v>
      </c>
      <c r="M473" s="23">
        <f t="shared" si="175"/>
        <v>0.47916666666666663</v>
      </c>
      <c r="N473" t="str">
        <f t="shared" si="157"/>
        <v>3 - 2</v>
      </c>
      <c r="O473" t="str">
        <f t="shared" si="158"/>
        <v>Green</v>
      </c>
      <c r="P473" t="str">
        <f t="shared" si="159"/>
        <v>Red</v>
      </c>
      <c r="Q473" t="str">
        <f t="shared" si="160"/>
        <v>Red</v>
      </c>
      <c r="R473" t="str">
        <f t="shared" si="161"/>
        <v>Green</v>
      </c>
      <c r="S473" t="str">
        <f t="shared" si="162"/>
        <v>Red</v>
      </c>
      <c r="T473" t="str">
        <f t="shared" si="163"/>
        <v>Green</v>
      </c>
      <c r="U473" t="str">
        <f t="shared" si="164"/>
        <v>Red</v>
      </c>
      <c r="V473" t="str">
        <f t="shared" si="165"/>
        <v>Green</v>
      </c>
      <c r="W473" t="str">
        <f t="shared" si="166"/>
        <v>Red</v>
      </c>
      <c r="X473" t="str">
        <f t="shared" si="167"/>
        <v>Red</v>
      </c>
      <c r="Y473" t="str">
        <f t="shared" si="168"/>
        <v>Green</v>
      </c>
      <c r="Z473" t="str">
        <f t="shared" si="169"/>
        <v>Green</v>
      </c>
      <c r="AA473" t="str">
        <f t="shared" si="170"/>
        <v>Red</v>
      </c>
      <c r="AB473" t="str">
        <f t="shared" si="171"/>
        <v>Red</v>
      </c>
      <c r="AC473" t="str">
        <f t="shared" si="172"/>
        <v>Green</v>
      </c>
      <c r="AD473" t="str">
        <f t="shared" si="173"/>
        <v>Red</v>
      </c>
    </row>
    <row r="474" spans="1:30" x14ac:dyDescent="0.2">
      <c r="A474" t="str">
        <f t="shared" si="156"/>
        <v>23/07/2026AlashkertCFR Cluj</v>
      </c>
      <c r="B474" t="s">
        <v>802</v>
      </c>
      <c r="C474" t="s">
        <v>1326</v>
      </c>
      <c r="D474" s="2">
        <v>46226</v>
      </c>
      <c r="E474" s="3">
        <v>0.625</v>
      </c>
      <c r="F474" t="s">
        <v>1909</v>
      </c>
      <c r="G474" t="s">
        <v>1910</v>
      </c>
      <c r="H474">
        <v>1</v>
      </c>
      <c r="I474">
        <v>0</v>
      </c>
      <c r="J474">
        <v>1</v>
      </c>
      <c r="K474">
        <v>1</v>
      </c>
      <c r="L474" s="22" t="str">
        <f t="shared" si="174"/>
        <v>23/07/2026</v>
      </c>
      <c r="M474" s="23">
        <f t="shared" si="175"/>
        <v>0.5</v>
      </c>
      <c r="N474" t="str">
        <f t="shared" si="157"/>
        <v>1 - 1</v>
      </c>
      <c r="O474" t="str">
        <f t="shared" si="158"/>
        <v>Red</v>
      </c>
      <c r="P474" t="str">
        <f t="shared" si="159"/>
        <v>Green</v>
      </c>
      <c r="Q474" t="str">
        <f t="shared" si="160"/>
        <v>Red</v>
      </c>
      <c r="R474" t="str">
        <f t="shared" si="161"/>
        <v>Green</v>
      </c>
      <c r="S474" t="str">
        <f t="shared" si="162"/>
        <v>Green</v>
      </c>
      <c r="T474" t="str">
        <f t="shared" si="163"/>
        <v>Red</v>
      </c>
      <c r="U474" t="str">
        <f t="shared" si="164"/>
        <v>Green</v>
      </c>
      <c r="V474" t="str">
        <f t="shared" si="165"/>
        <v>Red</v>
      </c>
      <c r="W474" t="str">
        <f t="shared" si="166"/>
        <v>Red</v>
      </c>
      <c r="X474" t="str">
        <f t="shared" si="167"/>
        <v>Green</v>
      </c>
      <c r="Y474" t="str">
        <f t="shared" si="168"/>
        <v>Green</v>
      </c>
      <c r="Z474" t="str">
        <f t="shared" si="169"/>
        <v>Red</v>
      </c>
      <c r="AA474" t="str">
        <f t="shared" si="170"/>
        <v>Green</v>
      </c>
      <c r="AB474" t="str">
        <f t="shared" si="171"/>
        <v>Green</v>
      </c>
      <c r="AC474" t="str">
        <f t="shared" si="172"/>
        <v>Green</v>
      </c>
      <c r="AD474" t="str">
        <f t="shared" si="173"/>
        <v>Red</v>
      </c>
    </row>
    <row r="475" spans="1:30" x14ac:dyDescent="0.2">
      <c r="A475" t="str">
        <f t="shared" si="156"/>
        <v>23/07/2026FK LiepajaAustria Wien</v>
      </c>
      <c r="B475" t="s">
        <v>802</v>
      </c>
      <c r="C475" t="s">
        <v>1326</v>
      </c>
      <c r="D475" s="2">
        <v>46226</v>
      </c>
      <c r="E475" s="3">
        <v>0.625</v>
      </c>
      <c r="F475" t="s">
        <v>1076</v>
      </c>
      <c r="G475" t="s">
        <v>1911</v>
      </c>
      <c r="H475">
        <v>0</v>
      </c>
      <c r="I475">
        <v>1</v>
      </c>
      <c r="J475">
        <v>0</v>
      </c>
      <c r="K475">
        <v>2</v>
      </c>
      <c r="L475" s="22" t="str">
        <f t="shared" si="174"/>
        <v>23/07/2026</v>
      </c>
      <c r="M475" s="23">
        <f t="shared" si="175"/>
        <v>0.5</v>
      </c>
      <c r="N475" t="str">
        <f t="shared" si="157"/>
        <v>0 - 2</v>
      </c>
      <c r="O475" t="str">
        <f t="shared" si="158"/>
        <v>Red</v>
      </c>
      <c r="P475" t="str">
        <f t="shared" si="159"/>
        <v>Red</v>
      </c>
      <c r="Q475" t="str">
        <f t="shared" si="160"/>
        <v>Green</v>
      </c>
      <c r="R475" t="str">
        <f t="shared" si="161"/>
        <v>Red</v>
      </c>
      <c r="S475" t="str">
        <f t="shared" si="162"/>
        <v>Green</v>
      </c>
      <c r="T475" t="str">
        <f t="shared" si="163"/>
        <v>Green</v>
      </c>
      <c r="U475" t="str">
        <f t="shared" si="164"/>
        <v>Red</v>
      </c>
      <c r="V475" t="str">
        <f t="shared" si="165"/>
        <v>Red</v>
      </c>
      <c r="W475" t="str">
        <f t="shared" si="166"/>
        <v>Green</v>
      </c>
      <c r="X475" t="str">
        <f t="shared" si="167"/>
        <v>Green</v>
      </c>
      <c r="Y475" t="str">
        <f t="shared" si="168"/>
        <v>Green</v>
      </c>
      <c r="Z475" t="str">
        <f t="shared" si="169"/>
        <v>Red</v>
      </c>
      <c r="AA475" t="str">
        <f t="shared" si="170"/>
        <v>Green</v>
      </c>
      <c r="AB475" t="str">
        <f t="shared" si="171"/>
        <v>Green</v>
      </c>
      <c r="AC475" t="str">
        <f t="shared" si="172"/>
        <v>Red</v>
      </c>
      <c r="AD475" t="str">
        <f t="shared" si="173"/>
        <v>Green</v>
      </c>
    </row>
    <row r="476" spans="1:30" x14ac:dyDescent="0.2">
      <c r="A476" t="str">
        <f t="shared" si="156"/>
        <v>23/07/2026Toolon TaistoTIPS Vantaa</v>
      </c>
      <c r="D476" s="2">
        <v>46226</v>
      </c>
      <c r="E476" s="3">
        <v>0.625</v>
      </c>
      <c r="F476" t="s">
        <v>2021</v>
      </c>
      <c r="G476" t="s">
        <v>2022</v>
      </c>
      <c r="H476">
        <v>0</v>
      </c>
      <c r="I476">
        <v>0</v>
      </c>
      <c r="J476">
        <v>1</v>
      </c>
      <c r="K476">
        <v>1</v>
      </c>
      <c r="L476" s="22" t="str">
        <f t="shared" si="174"/>
        <v>23/07/2026</v>
      </c>
      <c r="M476" s="23">
        <f t="shared" si="175"/>
        <v>0.5</v>
      </c>
      <c r="N476" t="str">
        <f t="shared" si="157"/>
        <v>1 - 1</v>
      </c>
      <c r="O476" t="str">
        <f t="shared" si="158"/>
        <v>Red</v>
      </c>
      <c r="P476" t="str">
        <f t="shared" si="159"/>
        <v>Green</v>
      </c>
      <c r="Q476" t="str">
        <f t="shared" si="160"/>
        <v>Red</v>
      </c>
      <c r="R476" t="str">
        <f t="shared" si="161"/>
        <v>Green</v>
      </c>
      <c r="S476" t="str">
        <f t="shared" si="162"/>
        <v>Green</v>
      </c>
      <c r="T476" t="str">
        <f t="shared" si="163"/>
        <v>Red</v>
      </c>
      <c r="U476" t="str">
        <f t="shared" si="164"/>
        <v>Red</v>
      </c>
      <c r="V476" t="str">
        <f t="shared" si="165"/>
        <v>Green</v>
      </c>
      <c r="W476" t="str">
        <f t="shared" si="166"/>
        <v>Red</v>
      </c>
      <c r="X476" t="str">
        <f t="shared" si="167"/>
        <v>Red</v>
      </c>
      <c r="Y476" t="str">
        <f t="shared" si="168"/>
        <v>Green</v>
      </c>
      <c r="Z476" t="str">
        <f t="shared" si="169"/>
        <v>Red</v>
      </c>
      <c r="AA476" t="str">
        <f t="shared" si="170"/>
        <v>Green</v>
      </c>
      <c r="AB476" t="str">
        <f t="shared" si="171"/>
        <v>Green</v>
      </c>
      <c r="AC476" t="str">
        <f t="shared" si="172"/>
        <v>Green</v>
      </c>
      <c r="AD476" t="str">
        <f t="shared" si="173"/>
        <v>Red</v>
      </c>
    </row>
    <row r="477" spans="1:30" x14ac:dyDescent="0.2">
      <c r="A477" t="str">
        <f t="shared" si="156"/>
        <v>23/07/2026New England Revolution IINew York City II</v>
      </c>
      <c r="D477" s="2">
        <v>46226</v>
      </c>
      <c r="E477" s="3">
        <v>0.625</v>
      </c>
      <c r="F477" t="s">
        <v>96</v>
      </c>
      <c r="G477" t="s">
        <v>2071</v>
      </c>
      <c r="H477">
        <v>3</v>
      </c>
      <c r="I477">
        <v>0</v>
      </c>
      <c r="J477">
        <v>3</v>
      </c>
      <c r="K477">
        <v>0</v>
      </c>
      <c r="L477" s="22" t="str">
        <f t="shared" si="174"/>
        <v>23/07/2026</v>
      </c>
      <c r="M477" s="23">
        <f t="shared" si="175"/>
        <v>0.5</v>
      </c>
      <c r="N477" t="str">
        <f t="shared" si="157"/>
        <v>3 - 0</v>
      </c>
      <c r="O477" t="str">
        <f t="shared" si="158"/>
        <v>Green</v>
      </c>
      <c r="P477" t="str">
        <f t="shared" si="159"/>
        <v>Red</v>
      </c>
      <c r="Q477" t="str">
        <f t="shared" si="160"/>
        <v>Red</v>
      </c>
      <c r="R477" t="str">
        <f t="shared" si="161"/>
        <v>Green</v>
      </c>
      <c r="S477" t="str">
        <f t="shared" si="162"/>
        <v>Red</v>
      </c>
      <c r="T477" t="str">
        <f t="shared" si="163"/>
        <v>Green</v>
      </c>
      <c r="U477" t="str">
        <f t="shared" si="164"/>
        <v>Green</v>
      </c>
      <c r="V477" t="str">
        <f t="shared" si="165"/>
        <v>Red</v>
      </c>
      <c r="W477" t="str">
        <f t="shared" si="166"/>
        <v>Red</v>
      </c>
      <c r="X477" t="str">
        <f t="shared" si="167"/>
        <v>Green</v>
      </c>
      <c r="Y477" t="str">
        <f t="shared" si="168"/>
        <v>Green</v>
      </c>
      <c r="Z477" t="str">
        <f t="shared" si="169"/>
        <v>Green</v>
      </c>
      <c r="AA477" t="str">
        <f t="shared" si="170"/>
        <v>Red</v>
      </c>
      <c r="AB477" t="str">
        <f t="shared" si="171"/>
        <v>Green</v>
      </c>
      <c r="AC477" t="str">
        <f t="shared" si="172"/>
        <v>Red</v>
      </c>
      <c r="AD477" t="str">
        <f t="shared" si="173"/>
        <v>Green</v>
      </c>
    </row>
    <row r="478" spans="1:30" x14ac:dyDescent="0.2">
      <c r="A478" t="str">
        <f t="shared" si="156"/>
        <v>23/07/2026Navbahor NamanganQizilqum Zarafshon</v>
      </c>
      <c r="D478" s="2">
        <v>46226</v>
      </c>
      <c r="E478" s="3">
        <v>0.625</v>
      </c>
      <c r="F478" t="s">
        <v>2072</v>
      </c>
      <c r="G478" t="s">
        <v>2073</v>
      </c>
      <c r="H478">
        <v>1</v>
      </c>
      <c r="I478">
        <v>1</v>
      </c>
      <c r="J478">
        <v>1</v>
      </c>
      <c r="K478">
        <v>1</v>
      </c>
      <c r="L478" s="22" t="str">
        <f t="shared" si="174"/>
        <v>23/07/2026</v>
      </c>
      <c r="M478" s="23">
        <f t="shared" si="175"/>
        <v>0.5</v>
      </c>
      <c r="N478" t="str">
        <f t="shared" si="157"/>
        <v>1 - 1</v>
      </c>
      <c r="O478" t="str">
        <f t="shared" si="158"/>
        <v>Red</v>
      </c>
      <c r="P478" t="str">
        <f t="shared" si="159"/>
        <v>Green</v>
      </c>
      <c r="Q478" t="str">
        <f t="shared" si="160"/>
        <v>Red</v>
      </c>
      <c r="R478" t="str">
        <f t="shared" si="161"/>
        <v>Green</v>
      </c>
      <c r="S478" t="str">
        <f t="shared" si="162"/>
        <v>Green</v>
      </c>
      <c r="T478" t="str">
        <f t="shared" si="163"/>
        <v>Red</v>
      </c>
      <c r="U478" t="str">
        <f t="shared" si="164"/>
        <v>Red</v>
      </c>
      <c r="V478" t="str">
        <f t="shared" si="165"/>
        <v>Green</v>
      </c>
      <c r="W478" t="str">
        <f t="shared" si="166"/>
        <v>Red</v>
      </c>
      <c r="X478" t="str">
        <f t="shared" si="167"/>
        <v>Green</v>
      </c>
      <c r="Y478" t="str">
        <f t="shared" si="168"/>
        <v>Green</v>
      </c>
      <c r="Z478" t="str">
        <f t="shared" si="169"/>
        <v>Red</v>
      </c>
      <c r="AA478" t="str">
        <f t="shared" si="170"/>
        <v>Green</v>
      </c>
      <c r="AB478" t="str">
        <f t="shared" si="171"/>
        <v>Green</v>
      </c>
      <c r="AC478" t="str">
        <f t="shared" si="172"/>
        <v>Green</v>
      </c>
      <c r="AD478" t="str">
        <f t="shared" si="173"/>
        <v>Red</v>
      </c>
    </row>
    <row r="479" spans="1:30" x14ac:dyDescent="0.2">
      <c r="A479" t="str">
        <f t="shared" si="156"/>
        <v>23/07/2026Termez SurkhonDinamo Samarqand</v>
      </c>
      <c r="D479" s="2">
        <v>46226</v>
      </c>
      <c r="E479" s="3">
        <v>0.625</v>
      </c>
      <c r="F479" t="s">
        <v>2074</v>
      </c>
      <c r="G479" t="s">
        <v>2075</v>
      </c>
      <c r="H479">
        <v>0</v>
      </c>
      <c r="I479">
        <v>1</v>
      </c>
      <c r="J479">
        <v>1</v>
      </c>
      <c r="K479">
        <v>2</v>
      </c>
      <c r="L479" s="22" t="str">
        <f t="shared" si="174"/>
        <v>23/07/2026</v>
      </c>
      <c r="M479" s="23">
        <f t="shared" si="175"/>
        <v>0.5</v>
      </c>
      <c r="N479" t="str">
        <f t="shared" si="157"/>
        <v>1 - 2</v>
      </c>
      <c r="O479" t="str">
        <f t="shared" si="158"/>
        <v>Red</v>
      </c>
      <c r="P479" t="str">
        <f t="shared" si="159"/>
        <v>Red</v>
      </c>
      <c r="Q479" t="str">
        <f t="shared" si="160"/>
        <v>Green</v>
      </c>
      <c r="R479" t="str">
        <f t="shared" si="161"/>
        <v>Red</v>
      </c>
      <c r="S479" t="str">
        <f t="shared" si="162"/>
        <v>Green</v>
      </c>
      <c r="T479" t="str">
        <f t="shared" si="163"/>
        <v>Green</v>
      </c>
      <c r="U479" t="str">
        <f t="shared" si="164"/>
        <v>Red</v>
      </c>
      <c r="V479" t="str">
        <f t="shared" si="165"/>
        <v>Red</v>
      </c>
      <c r="W479" t="str">
        <f t="shared" si="166"/>
        <v>Green</v>
      </c>
      <c r="X479" t="str">
        <f t="shared" si="167"/>
        <v>Green</v>
      </c>
      <c r="Y479" t="str">
        <f t="shared" si="168"/>
        <v>Green</v>
      </c>
      <c r="Z479" t="str">
        <f t="shared" si="169"/>
        <v>Green</v>
      </c>
      <c r="AA479" t="str">
        <f t="shared" si="170"/>
        <v>Red</v>
      </c>
      <c r="AB479" t="str">
        <f t="shared" si="171"/>
        <v>Green</v>
      </c>
      <c r="AC479" t="str">
        <f t="shared" si="172"/>
        <v>Green</v>
      </c>
      <c r="AD479" t="str">
        <f t="shared" si="173"/>
        <v>Red</v>
      </c>
    </row>
    <row r="480" spans="1:30" x14ac:dyDescent="0.2">
      <c r="A480" t="str">
        <f t="shared" si="156"/>
        <v>23/07/2026CagliariSampdoria</v>
      </c>
      <c r="D480" s="2">
        <v>46226</v>
      </c>
      <c r="E480" s="3">
        <v>0.625</v>
      </c>
      <c r="F480" t="s">
        <v>2082</v>
      </c>
      <c r="G480" t="s">
        <v>2083</v>
      </c>
      <c r="H480">
        <v>0</v>
      </c>
      <c r="I480">
        <v>0</v>
      </c>
      <c r="J480">
        <v>0</v>
      </c>
      <c r="K480">
        <v>0</v>
      </c>
      <c r="L480" s="22" t="str">
        <f t="shared" si="174"/>
        <v>23/07/2026</v>
      </c>
      <c r="M480" s="23">
        <f t="shared" si="175"/>
        <v>0.5</v>
      </c>
      <c r="N480" t="str">
        <f t="shared" si="157"/>
        <v>0 - 0</v>
      </c>
      <c r="O480" t="str">
        <f t="shared" si="158"/>
        <v>Red</v>
      </c>
      <c r="P480" t="str">
        <f t="shared" si="159"/>
        <v>Green</v>
      </c>
      <c r="Q480" t="str">
        <f t="shared" si="160"/>
        <v>Red</v>
      </c>
      <c r="R480" t="str">
        <f t="shared" si="161"/>
        <v>Green</v>
      </c>
      <c r="S480" t="str">
        <f t="shared" si="162"/>
        <v>Green</v>
      </c>
      <c r="T480" t="str">
        <f t="shared" si="163"/>
        <v>Red</v>
      </c>
      <c r="U480" t="str">
        <f t="shared" si="164"/>
        <v>Red</v>
      </c>
      <c r="V480" t="str">
        <f t="shared" si="165"/>
        <v>Green</v>
      </c>
      <c r="W480" t="str">
        <f t="shared" si="166"/>
        <v>Red</v>
      </c>
      <c r="X480" t="str">
        <f t="shared" si="167"/>
        <v>Red</v>
      </c>
      <c r="Y480" t="str">
        <f t="shared" si="168"/>
        <v>Red</v>
      </c>
      <c r="Z480" t="str">
        <f t="shared" si="169"/>
        <v>Red</v>
      </c>
      <c r="AA480" t="str">
        <f t="shared" si="170"/>
        <v>Green</v>
      </c>
      <c r="AB480" t="str">
        <f t="shared" si="171"/>
        <v>Green</v>
      </c>
      <c r="AC480" t="str">
        <f t="shared" si="172"/>
        <v>Red</v>
      </c>
      <c r="AD480" t="str">
        <f t="shared" si="173"/>
        <v>Green</v>
      </c>
    </row>
    <row r="481" spans="1:30" x14ac:dyDescent="0.2">
      <c r="A481" t="str">
        <f t="shared" si="156"/>
        <v>23/07/2026Zorya LuhanskGoztepe</v>
      </c>
      <c r="D481" s="2">
        <v>46226</v>
      </c>
      <c r="E481" s="3">
        <v>0.625</v>
      </c>
      <c r="F481" t="s">
        <v>2084</v>
      </c>
      <c r="G481" t="s">
        <v>2085</v>
      </c>
      <c r="H481">
        <v>0</v>
      </c>
      <c r="I481">
        <v>1</v>
      </c>
      <c r="J481">
        <v>1</v>
      </c>
      <c r="K481">
        <v>2</v>
      </c>
      <c r="L481" s="22" t="str">
        <f t="shared" si="174"/>
        <v>23/07/2026</v>
      </c>
      <c r="M481" s="23">
        <f t="shared" si="175"/>
        <v>0.5</v>
      </c>
      <c r="N481" t="str">
        <f t="shared" si="157"/>
        <v>1 - 2</v>
      </c>
      <c r="O481" t="str">
        <f t="shared" si="158"/>
        <v>Red</v>
      </c>
      <c r="P481" t="str">
        <f t="shared" si="159"/>
        <v>Red</v>
      </c>
      <c r="Q481" t="str">
        <f t="shared" si="160"/>
        <v>Green</v>
      </c>
      <c r="R481" t="str">
        <f t="shared" si="161"/>
        <v>Red</v>
      </c>
      <c r="S481" t="str">
        <f t="shared" si="162"/>
        <v>Green</v>
      </c>
      <c r="T481" t="str">
        <f t="shared" si="163"/>
        <v>Green</v>
      </c>
      <c r="U481" t="str">
        <f t="shared" si="164"/>
        <v>Red</v>
      </c>
      <c r="V481" t="str">
        <f t="shared" si="165"/>
        <v>Red</v>
      </c>
      <c r="W481" t="str">
        <f t="shared" si="166"/>
        <v>Green</v>
      </c>
      <c r="X481" t="str">
        <f t="shared" si="167"/>
        <v>Green</v>
      </c>
      <c r="Y481" t="str">
        <f t="shared" si="168"/>
        <v>Green</v>
      </c>
      <c r="Z481" t="str">
        <f t="shared" si="169"/>
        <v>Green</v>
      </c>
      <c r="AA481" t="str">
        <f t="shared" si="170"/>
        <v>Red</v>
      </c>
      <c r="AB481" t="str">
        <f t="shared" si="171"/>
        <v>Green</v>
      </c>
      <c r="AC481" t="str">
        <f t="shared" si="172"/>
        <v>Green</v>
      </c>
      <c r="AD481" t="str">
        <f t="shared" si="173"/>
        <v>Red</v>
      </c>
    </row>
    <row r="482" spans="1:30" x14ac:dyDescent="0.2">
      <c r="A482" t="str">
        <f t="shared" si="156"/>
        <v>23/07/2026JyTy TurkuMasku</v>
      </c>
      <c r="D482" s="2">
        <v>46226</v>
      </c>
      <c r="E482" s="3">
        <v>0.63541666666666663</v>
      </c>
      <c r="F482" t="s">
        <v>2023</v>
      </c>
      <c r="G482" t="s">
        <v>2024</v>
      </c>
      <c r="H482">
        <v>0</v>
      </c>
      <c r="I482">
        <v>0</v>
      </c>
      <c r="J482">
        <v>1</v>
      </c>
      <c r="K482">
        <v>1</v>
      </c>
      <c r="L482" s="22" t="str">
        <f t="shared" si="174"/>
        <v>23/07/2026</v>
      </c>
      <c r="M482" s="23">
        <f t="shared" si="175"/>
        <v>0.51041666666666663</v>
      </c>
      <c r="N482" t="str">
        <f t="shared" si="157"/>
        <v>1 - 1</v>
      </c>
      <c r="O482" t="str">
        <f t="shared" si="158"/>
        <v>Red</v>
      </c>
      <c r="P482" t="str">
        <f t="shared" si="159"/>
        <v>Green</v>
      </c>
      <c r="Q482" t="str">
        <f t="shared" si="160"/>
        <v>Red</v>
      </c>
      <c r="R482" t="str">
        <f t="shared" si="161"/>
        <v>Green</v>
      </c>
      <c r="S482" t="str">
        <f t="shared" si="162"/>
        <v>Green</v>
      </c>
      <c r="T482" t="str">
        <f t="shared" si="163"/>
        <v>Red</v>
      </c>
      <c r="U482" t="str">
        <f t="shared" si="164"/>
        <v>Red</v>
      </c>
      <c r="V482" t="str">
        <f t="shared" si="165"/>
        <v>Green</v>
      </c>
      <c r="W482" t="str">
        <f t="shared" si="166"/>
        <v>Red</v>
      </c>
      <c r="X482" t="str">
        <f t="shared" si="167"/>
        <v>Red</v>
      </c>
      <c r="Y482" t="str">
        <f t="shared" si="168"/>
        <v>Green</v>
      </c>
      <c r="Z482" t="str">
        <f t="shared" si="169"/>
        <v>Red</v>
      </c>
      <c r="AA482" t="str">
        <f t="shared" si="170"/>
        <v>Green</v>
      </c>
      <c r="AB482" t="str">
        <f t="shared" si="171"/>
        <v>Green</v>
      </c>
      <c r="AC482" t="str">
        <f t="shared" si="172"/>
        <v>Green</v>
      </c>
      <c r="AD482" t="str">
        <f t="shared" si="173"/>
        <v>Red</v>
      </c>
    </row>
    <row r="483" spans="1:30" x14ac:dyDescent="0.2">
      <c r="A483" t="str">
        <f t="shared" si="156"/>
        <v>23/07/2026FK PanevezysFC Tobol</v>
      </c>
      <c r="B483" t="s">
        <v>802</v>
      </c>
      <c r="C483" t="s">
        <v>1326</v>
      </c>
      <c r="D483" s="2">
        <v>46226</v>
      </c>
      <c r="E483" s="3">
        <v>0.64583333333333337</v>
      </c>
      <c r="F483" t="s">
        <v>1912</v>
      </c>
      <c r="G483" t="s">
        <v>1913</v>
      </c>
      <c r="H483">
        <v>1</v>
      </c>
      <c r="I483">
        <v>0</v>
      </c>
      <c r="J483">
        <v>1</v>
      </c>
      <c r="K483">
        <v>1</v>
      </c>
      <c r="L483" s="22" t="str">
        <f t="shared" si="174"/>
        <v>23/07/2026</v>
      </c>
      <c r="M483" s="23">
        <f t="shared" si="175"/>
        <v>0.52083333333333337</v>
      </c>
      <c r="N483" t="str">
        <f t="shared" si="157"/>
        <v>1 - 1</v>
      </c>
      <c r="O483" t="str">
        <f t="shared" si="158"/>
        <v>Red</v>
      </c>
      <c r="P483" t="str">
        <f t="shared" si="159"/>
        <v>Green</v>
      </c>
      <c r="Q483" t="str">
        <f t="shared" si="160"/>
        <v>Red</v>
      </c>
      <c r="R483" t="str">
        <f t="shared" si="161"/>
        <v>Green</v>
      </c>
      <c r="S483" t="str">
        <f t="shared" si="162"/>
        <v>Green</v>
      </c>
      <c r="T483" t="str">
        <f t="shared" si="163"/>
        <v>Red</v>
      </c>
      <c r="U483" t="str">
        <f t="shared" si="164"/>
        <v>Green</v>
      </c>
      <c r="V483" t="str">
        <f t="shared" si="165"/>
        <v>Red</v>
      </c>
      <c r="W483" t="str">
        <f t="shared" si="166"/>
        <v>Red</v>
      </c>
      <c r="X483" t="str">
        <f t="shared" si="167"/>
        <v>Green</v>
      </c>
      <c r="Y483" t="str">
        <f t="shared" si="168"/>
        <v>Green</v>
      </c>
      <c r="Z483" t="str">
        <f t="shared" si="169"/>
        <v>Red</v>
      </c>
      <c r="AA483" t="str">
        <f t="shared" si="170"/>
        <v>Green</v>
      </c>
      <c r="AB483" t="str">
        <f t="shared" si="171"/>
        <v>Green</v>
      </c>
      <c r="AC483" t="str">
        <f t="shared" si="172"/>
        <v>Green</v>
      </c>
      <c r="AD483" t="str">
        <f t="shared" si="173"/>
        <v>Red</v>
      </c>
    </row>
    <row r="484" spans="1:30" x14ac:dyDescent="0.2">
      <c r="A484" t="str">
        <f t="shared" si="156"/>
        <v>23/07/2026Tornion Pallo 47JS Hercules</v>
      </c>
      <c r="D484" s="2">
        <v>46226</v>
      </c>
      <c r="E484" s="3">
        <v>0.64583333333333337</v>
      </c>
      <c r="F484" t="s">
        <v>2019</v>
      </c>
      <c r="G484" t="s">
        <v>2020</v>
      </c>
      <c r="H484">
        <v>0</v>
      </c>
      <c r="I484">
        <v>0</v>
      </c>
      <c r="J484">
        <v>0</v>
      </c>
      <c r="K484">
        <v>1</v>
      </c>
      <c r="L484" s="22" t="str">
        <f t="shared" si="174"/>
        <v>23/07/2026</v>
      </c>
      <c r="M484" s="23">
        <f t="shared" si="175"/>
        <v>0.52083333333333337</v>
      </c>
      <c r="N484" t="str">
        <f t="shared" si="157"/>
        <v>0 - 1</v>
      </c>
      <c r="O484" t="str">
        <f t="shared" si="158"/>
        <v>Red</v>
      </c>
      <c r="P484" t="str">
        <f t="shared" si="159"/>
        <v>Red</v>
      </c>
      <c r="Q484" t="str">
        <f t="shared" si="160"/>
        <v>Green</v>
      </c>
      <c r="R484" t="str">
        <f t="shared" si="161"/>
        <v>Red</v>
      </c>
      <c r="S484" t="str">
        <f t="shared" si="162"/>
        <v>Green</v>
      </c>
      <c r="T484" t="str">
        <f t="shared" si="163"/>
        <v>Green</v>
      </c>
      <c r="U484" t="str">
        <f t="shared" si="164"/>
        <v>Red</v>
      </c>
      <c r="V484" t="str">
        <f t="shared" si="165"/>
        <v>Green</v>
      </c>
      <c r="W484" t="str">
        <f t="shared" si="166"/>
        <v>Red</v>
      </c>
      <c r="X484" t="str">
        <f t="shared" si="167"/>
        <v>Red</v>
      </c>
      <c r="Y484" t="str">
        <f t="shared" si="168"/>
        <v>Red</v>
      </c>
      <c r="Z484" t="str">
        <f t="shared" si="169"/>
        <v>Red</v>
      </c>
      <c r="AA484" t="str">
        <f t="shared" si="170"/>
        <v>Green</v>
      </c>
      <c r="AB484" t="str">
        <f t="shared" si="171"/>
        <v>Green</v>
      </c>
      <c r="AC484" t="str">
        <f t="shared" si="172"/>
        <v>Red</v>
      </c>
      <c r="AD484" t="str">
        <f t="shared" si="173"/>
        <v>Green</v>
      </c>
    </row>
    <row r="485" spans="1:30" x14ac:dyDescent="0.2">
      <c r="A485" t="str">
        <f t="shared" si="156"/>
        <v>23/07/2026KoPaPeKa</v>
      </c>
      <c r="D485" s="2">
        <v>46226</v>
      </c>
      <c r="E485" s="3">
        <v>0.64583333333333337</v>
      </c>
      <c r="F485" t="s">
        <v>2025</v>
      </c>
      <c r="G485" t="s">
        <v>2026</v>
      </c>
      <c r="H485">
        <v>0</v>
      </c>
      <c r="I485">
        <v>0</v>
      </c>
      <c r="J485">
        <v>2</v>
      </c>
      <c r="K485">
        <v>2</v>
      </c>
      <c r="L485" s="22" t="str">
        <f t="shared" si="174"/>
        <v>23/07/2026</v>
      </c>
      <c r="M485" s="23">
        <f t="shared" si="175"/>
        <v>0.52083333333333337</v>
      </c>
      <c r="N485" t="str">
        <f t="shared" si="157"/>
        <v>2 - 2</v>
      </c>
      <c r="O485" t="str">
        <f t="shared" si="158"/>
        <v>Red</v>
      </c>
      <c r="P485" t="str">
        <f t="shared" si="159"/>
        <v>Green</v>
      </c>
      <c r="Q485" t="str">
        <f t="shared" si="160"/>
        <v>Red</v>
      </c>
      <c r="R485" t="str">
        <f t="shared" si="161"/>
        <v>Green</v>
      </c>
      <c r="S485" t="str">
        <f t="shared" si="162"/>
        <v>Green</v>
      </c>
      <c r="T485" t="str">
        <f t="shared" si="163"/>
        <v>Red</v>
      </c>
      <c r="U485" t="str">
        <f t="shared" si="164"/>
        <v>Red</v>
      </c>
      <c r="V485" t="str">
        <f t="shared" si="165"/>
        <v>Green</v>
      </c>
      <c r="W485" t="str">
        <f t="shared" si="166"/>
        <v>Red</v>
      </c>
      <c r="X485" t="str">
        <f t="shared" si="167"/>
        <v>Red</v>
      </c>
      <c r="Y485" t="str">
        <f t="shared" si="168"/>
        <v>Green</v>
      </c>
      <c r="Z485" t="str">
        <f t="shared" si="169"/>
        <v>Green</v>
      </c>
      <c r="AA485" t="str">
        <f t="shared" si="170"/>
        <v>Red</v>
      </c>
      <c r="AB485" t="str">
        <f t="shared" si="171"/>
        <v>Red</v>
      </c>
      <c r="AC485" t="str">
        <f t="shared" si="172"/>
        <v>Green</v>
      </c>
      <c r="AD485" t="str">
        <f t="shared" si="173"/>
        <v>Red</v>
      </c>
    </row>
    <row r="486" spans="1:30" x14ac:dyDescent="0.2">
      <c r="A486" t="str">
        <f t="shared" si="156"/>
        <v>23/07/2026VG-62Abo CF</v>
      </c>
      <c r="D486" s="2">
        <v>46226</v>
      </c>
      <c r="E486" s="3">
        <v>0.64583333333333337</v>
      </c>
      <c r="F486" t="s">
        <v>2027</v>
      </c>
      <c r="G486" t="s">
        <v>2028</v>
      </c>
      <c r="H486">
        <v>0</v>
      </c>
      <c r="I486">
        <v>0</v>
      </c>
      <c r="J486">
        <v>3</v>
      </c>
      <c r="K486">
        <v>0</v>
      </c>
      <c r="L486" s="22" t="str">
        <f t="shared" si="174"/>
        <v>23/07/2026</v>
      </c>
      <c r="M486" s="23">
        <f t="shared" si="175"/>
        <v>0.52083333333333337</v>
      </c>
      <c r="N486" t="str">
        <f t="shared" si="157"/>
        <v>3 - 0</v>
      </c>
      <c r="O486" t="str">
        <f t="shared" si="158"/>
        <v>Green</v>
      </c>
      <c r="P486" t="str">
        <f t="shared" si="159"/>
        <v>Red</v>
      </c>
      <c r="Q486" t="str">
        <f t="shared" si="160"/>
        <v>Red</v>
      </c>
      <c r="R486" t="str">
        <f t="shared" si="161"/>
        <v>Green</v>
      </c>
      <c r="S486" t="str">
        <f t="shared" si="162"/>
        <v>Red</v>
      </c>
      <c r="T486" t="str">
        <f t="shared" si="163"/>
        <v>Green</v>
      </c>
      <c r="U486" t="str">
        <f t="shared" si="164"/>
        <v>Red</v>
      </c>
      <c r="V486" t="str">
        <f t="shared" si="165"/>
        <v>Green</v>
      </c>
      <c r="W486" t="str">
        <f t="shared" si="166"/>
        <v>Red</v>
      </c>
      <c r="X486" t="str">
        <f t="shared" si="167"/>
        <v>Red</v>
      </c>
      <c r="Y486" t="str">
        <f t="shared" si="168"/>
        <v>Green</v>
      </c>
      <c r="Z486" t="str">
        <f t="shared" si="169"/>
        <v>Green</v>
      </c>
      <c r="AA486" t="str">
        <f t="shared" si="170"/>
        <v>Red</v>
      </c>
      <c r="AB486" t="str">
        <f t="shared" si="171"/>
        <v>Green</v>
      </c>
      <c r="AC486" t="str">
        <f t="shared" si="172"/>
        <v>Red</v>
      </c>
      <c r="AD486" t="str">
        <f t="shared" si="173"/>
        <v>Green</v>
      </c>
    </row>
    <row r="487" spans="1:30" x14ac:dyDescent="0.2">
      <c r="A487" t="str">
        <f t="shared" si="156"/>
        <v>23/07/2026Venezia FCVis Pesaro</v>
      </c>
      <c r="D487" s="2">
        <v>46226</v>
      </c>
      <c r="E487" s="3">
        <v>0.64583333333333337</v>
      </c>
      <c r="F487" t="s">
        <v>2086</v>
      </c>
      <c r="G487" t="s">
        <v>2087</v>
      </c>
      <c r="H487">
        <v>3</v>
      </c>
      <c r="I487">
        <v>0</v>
      </c>
      <c r="J487">
        <v>8</v>
      </c>
      <c r="K487">
        <v>0</v>
      </c>
      <c r="L487" s="22" t="str">
        <f t="shared" si="174"/>
        <v>23/07/2026</v>
      </c>
      <c r="M487" s="23">
        <f t="shared" si="175"/>
        <v>0.52083333333333337</v>
      </c>
      <c r="N487" t="str">
        <f t="shared" si="157"/>
        <v>8 - 0</v>
      </c>
      <c r="O487" t="str">
        <f t="shared" si="158"/>
        <v>Green</v>
      </c>
      <c r="P487" t="str">
        <f t="shared" si="159"/>
        <v>Red</v>
      </c>
      <c r="Q487" t="str">
        <f t="shared" si="160"/>
        <v>Red</v>
      </c>
      <c r="R487" t="str">
        <f t="shared" si="161"/>
        <v>Green</v>
      </c>
      <c r="S487" t="str">
        <f t="shared" si="162"/>
        <v>Red</v>
      </c>
      <c r="T487" t="str">
        <f t="shared" si="163"/>
        <v>Green</v>
      </c>
      <c r="U487" t="str">
        <f t="shared" si="164"/>
        <v>Green</v>
      </c>
      <c r="V487" t="str">
        <f t="shared" si="165"/>
        <v>Red</v>
      </c>
      <c r="W487" t="str">
        <f t="shared" si="166"/>
        <v>Red</v>
      </c>
      <c r="X487" t="str">
        <f t="shared" si="167"/>
        <v>Green</v>
      </c>
      <c r="Y487" t="str">
        <f t="shared" si="168"/>
        <v>Green</v>
      </c>
      <c r="Z487" t="str">
        <f t="shared" si="169"/>
        <v>Green</v>
      </c>
      <c r="AA487" t="str">
        <f t="shared" si="170"/>
        <v>Red</v>
      </c>
      <c r="AB487" t="str">
        <f t="shared" si="171"/>
        <v>Red</v>
      </c>
      <c r="AC487" t="str">
        <f t="shared" si="172"/>
        <v>Red</v>
      </c>
      <c r="AD487" t="str">
        <f t="shared" si="173"/>
        <v>Green</v>
      </c>
    </row>
    <row r="488" spans="1:30" x14ac:dyDescent="0.2">
      <c r="A488" t="str">
        <f t="shared" si="156"/>
        <v>23/07/2026Qarabag FKCSKA</v>
      </c>
      <c r="B488" t="s">
        <v>802</v>
      </c>
      <c r="C488" t="s">
        <v>1889</v>
      </c>
      <c r="D488" s="2">
        <v>46226</v>
      </c>
      <c r="E488" s="3">
        <v>0.66666666666666663</v>
      </c>
      <c r="F488" t="s">
        <v>1892</v>
      </c>
      <c r="G488" t="s">
        <v>303</v>
      </c>
      <c r="H488">
        <v>0</v>
      </c>
      <c r="I488">
        <v>0</v>
      </c>
      <c r="J488">
        <v>0</v>
      </c>
      <c r="K488">
        <v>0</v>
      </c>
      <c r="L488" s="22" t="str">
        <f t="shared" si="174"/>
        <v>23/07/2026</v>
      </c>
      <c r="M488" s="23">
        <f t="shared" si="175"/>
        <v>0.54166666666666663</v>
      </c>
      <c r="N488" t="str">
        <f t="shared" si="157"/>
        <v>0 - 0</v>
      </c>
      <c r="O488" t="str">
        <f t="shared" si="158"/>
        <v>Red</v>
      </c>
      <c r="P488" t="str">
        <f t="shared" si="159"/>
        <v>Green</v>
      </c>
      <c r="Q488" t="str">
        <f t="shared" si="160"/>
        <v>Red</v>
      </c>
      <c r="R488" t="str">
        <f t="shared" si="161"/>
        <v>Green</v>
      </c>
      <c r="S488" t="str">
        <f t="shared" si="162"/>
        <v>Green</v>
      </c>
      <c r="T488" t="str">
        <f t="shared" si="163"/>
        <v>Red</v>
      </c>
      <c r="U488" t="str">
        <f t="shared" si="164"/>
        <v>Red</v>
      </c>
      <c r="V488" t="str">
        <f t="shared" si="165"/>
        <v>Green</v>
      </c>
      <c r="W488" t="str">
        <f t="shared" si="166"/>
        <v>Red</v>
      </c>
      <c r="X488" t="str">
        <f t="shared" si="167"/>
        <v>Red</v>
      </c>
      <c r="Y488" t="str">
        <f t="shared" si="168"/>
        <v>Red</v>
      </c>
      <c r="Z488" t="str">
        <f t="shared" si="169"/>
        <v>Red</v>
      </c>
      <c r="AA488" t="str">
        <f t="shared" si="170"/>
        <v>Green</v>
      </c>
      <c r="AB488" t="str">
        <f t="shared" si="171"/>
        <v>Green</v>
      </c>
      <c r="AC488" t="str">
        <f t="shared" si="172"/>
        <v>Red</v>
      </c>
      <c r="AD488" t="str">
        <f t="shared" si="173"/>
        <v>Green</v>
      </c>
    </row>
    <row r="489" spans="1:30" x14ac:dyDescent="0.2">
      <c r="A489" t="str">
        <f t="shared" si="156"/>
        <v>23/07/2026Debreceni VSCPyunik Yerevan</v>
      </c>
      <c r="B489" t="s">
        <v>802</v>
      </c>
      <c r="C489" t="s">
        <v>1326</v>
      </c>
      <c r="D489" s="2">
        <v>46226</v>
      </c>
      <c r="E489" s="3">
        <v>0.66666666666666663</v>
      </c>
      <c r="F489" t="s">
        <v>1089</v>
      </c>
      <c r="G489" t="s">
        <v>1914</v>
      </c>
      <c r="H489">
        <v>0</v>
      </c>
      <c r="I489">
        <v>0</v>
      </c>
      <c r="J489">
        <v>1</v>
      </c>
      <c r="K489">
        <v>0</v>
      </c>
      <c r="L489" s="22" t="str">
        <f t="shared" si="174"/>
        <v>23/07/2026</v>
      </c>
      <c r="M489" s="23">
        <f t="shared" si="175"/>
        <v>0.54166666666666663</v>
      </c>
      <c r="N489" t="str">
        <f t="shared" si="157"/>
        <v>1 - 0</v>
      </c>
      <c r="O489" t="str">
        <f t="shared" si="158"/>
        <v>Green</v>
      </c>
      <c r="P489" t="str">
        <f t="shared" si="159"/>
        <v>Red</v>
      </c>
      <c r="Q489" t="str">
        <f t="shared" si="160"/>
        <v>Red</v>
      </c>
      <c r="R489" t="str">
        <f t="shared" si="161"/>
        <v>Green</v>
      </c>
      <c r="S489" t="str">
        <f t="shared" si="162"/>
        <v>Red</v>
      </c>
      <c r="T489" t="str">
        <f t="shared" si="163"/>
        <v>Green</v>
      </c>
      <c r="U489" t="str">
        <f t="shared" si="164"/>
        <v>Red</v>
      </c>
      <c r="V489" t="str">
        <f t="shared" si="165"/>
        <v>Green</v>
      </c>
      <c r="W489" t="str">
        <f t="shared" si="166"/>
        <v>Red</v>
      </c>
      <c r="X489" t="str">
        <f t="shared" si="167"/>
        <v>Red</v>
      </c>
      <c r="Y489" t="str">
        <f t="shared" si="168"/>
        <v>Red</v>
      </c>
      <c r="Z489" t="str">
        <f t="shared" si="169"/>
        <v>Red</v>
      </c>
      <c r="AA489" t="str">
        <f t="shared" si="170"/>
        <v>Green</v>
      </c>
      <c r="AB489" t="str">
        <f t="shared" si="171"/>
        <v>Green</v>
      </c>
      <c r="AC489" t="str">
        <f t="shared" si="172"/>
        <v>Red</v>
      </c>
      <c r="AD489" t="str">
        <f t="shared" si="173"/>
        <v>Green</v>
      </c>
    </row>
    <row r="490" spans="1:30" x14ac:dyDescent="0.2">
      <c r="A490" t="str">
        <f t="shared" si="156"/>
        <v>23/07/2026Dila GoriApollon Limassol</v>
      </c>
      <c r="B490" t="s">
        <v>802</v>
      </c>
      <c r="C490" t="s">
        <v>1326</v>
      </c>
      <c r="D490" s="2">
        <v>46226</v>
      </c>
      <c r="E490" s="3">
        <v>0.66666666666666663</v>
      </c>
      <c r="F490" t="s">
        <v>1915</v>
      </c>
      <c r="G490" t="s">
        <v>1916</v>
      </c>
      <c r="H490">
        <v>0</v>
      </c>
      <c r="I490">
        <v>2</v>
      </c>
      <c r="J490">
        <v>0</v>
      </c>
      <c r="K490">
        <v>4</v>
      </c>
      <c r="L490" s="22" t="str">
        <f t="shared" ref="L490:L521" si="176">DAY(D490)&amp;"/"&amp;"07"&amp;"/"&amp;YEAR(D490)</f>
        <v>23/07/2026</v>
      </c>
      <c r="M490" s="23">
        <f t="shared" ref="M490:M521" si="177">E490-TIME(3,0,0)</f>
        <v>0.54166666666666663</v>
      </c>
      <c r="N490" t="str">
        <f t="shared" si="157"/>
        <v>0 - 4</v>
      </c>
      <c r="O490" t="str">
        <f t="shared" si="158"/>
        <v>Red</v>
      </c>
      <c r="P490" t="str">
        <f t="shared" si="159"/>
        <v>Red</v>
      </c>
      <c r="Q490" t="str">
        <f t="shared" si="160"/>
        <v>Green</v>
      </c>
      <c r="R490" t="str">
        <f t="shared" si="161"/>
        <v>Red</v>
      </c>
      <c r="S490" t="str">
        <f t="shared" si="162"/>
        <v>Green</v>
      </c>
      <c r="T490" t="str">
        <f t="shared" si="163"/>
        <v>Green</v>
      </c>
      <c r="U490" t="str">
        <f t="shared" si="164"/>
        <v>Red</v>
      </c>
      <c r="V490" t="str">
        <f t="shared" si="165"/>
        <v>Red</v>
      </c>
      <c r="W490" t="str">
        <f t="shared" si="166"/>
        <v>Green</v>
      </c>
      <c r="X490" t="str">
        <f t="shared" si="167"/>
        <v>Green</v>
      </c>
      <c r="Y490" t="str">
        <f t="shared" si="168"/>
        <v>Green</v>
      </c>
      <c r="Z490" t="str">
        <f t="shared" si="169"/>
        <v>Green</v>
      </c>
      <c r="AA490" t="str">
        <f t="shared" si="170"/>
        <v>Red</v>
      </c>
      <c r="AB490" t="str">
        <f t="shared" si="171"/>
        <v>Red</v>
      </c>
      <c r="AC490" t="str">
        <f t="shared" si="172"/>
        <v>Red</v>
      </c>
      <c r="AD490" t="str">
        <f t="shared" si="173"/>
        <v>Green</v>
      </c>
    </row>
    <row r="491" spans="1:30" x14ac:dyDescent="0.2">
      <c r="A491" t="str">
        <f t="shared" si="156"/>
        <v>23/07/2026Flora TallinnThe New Saints</v>
      </c>
      <c r="B491" t="s">
        <v>802</v>
      </c>
      <c r="C491" t="s">
        <v>1326</v>
      </c>
      <c r="D491" s="2">
        <v>46226</v>
      </c>
      <c r="E491" s="3">
        <v>0.66666666666666663</v>
      </c>
      <c r="F491" t="s">
        <v>1917</v>
      </c>
      <c r="G491" t="s">
        <v>1918</v>
      </c>
      <c r="H491">
        <v>1</v>
      </c>
      <c r="I491">
        <v>0</v>
      </c>
      <c r="J491">
        <v>1</v>
      </c>
      <c r="K491">
        <v>0</v>
      </c>
      <c r="L491" s="22" t="str">
        <f t="shared" si="176"/>
        <v>23/07/2026</v>
      </c>
      <c r="M491" s="23">
        <f t="shared" si="177"/>
        <v>0.54166666666666663</v>
      </c>
      <c r="N491" t="str">
        <f t="shared" si="157"/>
        <v>1 - 0</v>
      </c>
      <c r="O491" t="str">
        <f t="shared" si="158"/>
        <v>Green</v>
      </c>
      <c r="P491" t="str">
        <f t="shared" si="159"/>
        <v>Red</v>
      </c>
      <c r="Q491" t="str">
        <f t="shared" si="160"/>
        <v>Red</v>
      </c>
      <c r="R491" t="str">
        <f t="shared" si="161"/>
        <v>Green</v>
      </c>
      <c r="S491" t="str">
        <f t="shared" si="162"/>
        <v>Red</v>
      </c>
      <c r="T491" t="str">
        <f t="shared" si="163"/>
        <v>Green</v>
      </c>
      <c r="U491" t="str">
        <f t="shared" si="164"/>
        <v>Green</v>
      </c>
      <c r="V491" t="str">
        <f t="shared" si="165"/>
        <v>Red</v>
      </c>
      <c r="W491" t="str">
        <f t="shared" si="166"/>
        <v>Red</v>
      </c>
      <c r="X491" t="str">
        <f t="shared" si="167"/>
        <v>Green</v>
      </c>
      <c r="Y491" t="str">
        <f t="shared" si="168"/>
        <v>Red</v>
      </c>
      <c r="Z491" t="str">
        <f t="shared" si="169"/>
        <v>Red</v>
      </c>
      <c r="AA491" t="str">
        <f t="shared" si="170"/>
        <v>Green</v>
      </c>
      <c r="AB491" t="str">
        <f t="shared" si="171"/>
        <v>Green</v>
      </c>
      <c r="AC491" t="str">
        <f t="shared" si="172"/>
        <v>Red</v>
      </c>
      <c r="AD491" t="str">
        <f t="shared" si="173"/>
        <v>Green</v>
      </c>
    </row>
    <row r="492" spans="1:30" x14ac:dyDescent="0.2">
      <c r="A492" t="str">
        <f t="shared" si="156"/>
        <v>23/07/2026HJK HelsinkiColeraine</v>
      </c>
      <c r="B492" t="s">
        <v>802</v>
      </c>
      <c r="C492" t="s">
        <v>1326</v>
      </c>
      <c r="D492" s="2">
        <v>46226</v>
      </c>
      <c r="E492" s="3">
        <v>0.66666666666666663</v>
      </c>
      <c r="F492" t="s">
        <v>1036</v>
      </c>
      <c r="G492" t="s">
        <v>1919</v>
      </c>
      <c r="H492">
        <v>2</v>
      </c>
      <c r="I492">
        <v>0</v>
      </c>
      <c r="J492">
        <v>5</v>
      </c>
      <c r="K492">
        <v>0</v>
      </c>
      <c r="L492" s="22" t="str">
        <f t="shared" si="176"/>
        <v>23/07/2026</v>
      </c>
      <c r="M492" s="23">
        <f t="shared" si="177"/>
        <v>0.54166666666666663</v>
      </c>
      <c r="N492" t="str">
        <f t="shared" si="157"/>
        <v>5 - 0</v>
      </c>
      <c r="O492" t="str">
        <f t="shared" si="158"/>
        <v>Green</v>
      </c>
      <c r="P492" t="str">
        <f t="shared" si="159"/>
        <v>Red</v>
      </c>
      <c r="Q492" t="str">
        <f t="shared" si="160"/>
        <v>Red</v>
      </c>
      <c r="R492" t="str">
        <f t="shared" si="161"/>
        <v>Green</v>
      </c>
      <c r="S492" t="str">
        <f t="shared" si="162"/>
        <v>Red</v>
      </c>
      <c r="T492" t="str">
        <f t="shared" si="163"/>
        <v>Green</v>
      </c>
      <c r="U492" t="str">
        <f t="shared" si="164"/>
        <v>Green</v>
      </c>
      <c r="V492" t="str">
        <f t="shared" si="165"/>
        <v>Red</v>
      </c>
      <c r="W492" t="str">
        <f t="shared" si="166"/>
        <v>Red</v>
      </c>
      <c r="X492" t="str">
        <f t="shared" si="167"/>
        <v>Green</v>
      </c>
      <c r="Y492" t="str">
        <f t="shared" si="168"/>
        <v>Green</v>
      </c>
      <c r="Z492" t="str">
        <f t="shared" si="169"/>
        <v>Green</v>
      </c>
      <c r="AA492" t="str">
        <f t="shared" si="170"/>
        <v>Red</v>
      </c>
      <c r="AB492" t="str">
        <f t="shared" si="171"/>
        <v>Red</v>
      </c>
      <c r="AC492" t="str">
        <f t="shared" si="172"/>
        <v>Red</v>
      </c>
      <c r="AD492" t="str">
        <f t="shared" si="173"/>
        <v>Green</v>
      </c>
    </row>
    <row r="493" spans="1:30" x14ac:dyDescent="0.2">
      <c r="A493" t="str">
        <f t="shared" si="156"/>
        <v>23/07/2026Paide LinnameeskondZira IK</v>
      </c>
      <c r="B493" t="s">
        <v>802</v>
      </c>
      <c r="C493" t="s">
        <v>1326</v>
      </c>
      <c r="D493" s="2">
        <v>46226</v>
      </c>
      <c r="E493" s="3">
        <v>0.66666666666666663</v>
      </c>
      <c r="F493" t="s">
        <v>1920</v>
      </c>
      <c r="G493" t="s">
        <v>1921</v>
      </c>
      <c r="H493">
        <v>0</v>
      </c>
      <c r="I493">
        <v>0</v>
      </c>
      <c r="J493">
        <v>1</v>
      </c>
      <c r="K493">
        <v>0</v>
      </c>
      <c r="L493" s="22" t="str">
        <f t="shared" si="176"/>
        <v>23/07/2026</v>
      </c>
      <c r="M493" s="23">
        <f t="shared" si="177"/>
        <v>0.54166666666666663</v>
      </c>
      <c r="N493" t="str">
        <f t="shared" si="157"/>
        <v>1 - 0</v>
      </c>
      <c r="O493" t="str">
        <f t="shared" si="158"/>
        <v>Green</v>
      </c>
      <c r="P493" t="str">
        <f t="shared" si="159"/>
        <v>Red</v>
      </c>
      <c r="Q493" t="str">
        <f t="shared" si="160"/>
        <v>Red</v>
      </c>
      <c r="R493" t="str">
        <f t="shared" si="161"/>
        <v>Green</v>
      </c>
      <c r="S493" t="str">
        <f t="shared" si="162"/>
        <v>Red</v>
      </c>
      <c r="T493" t="str">
        <f t="shared" si="163"/>
        <v>Green</v>
      </c>
      <c r="U493" t="str">
        <f t="shared" si="164"/>
        <v>Red</v>
      </c>
      <c r="V493" t="str">
        <f t="shared" si="165"/>
        <v>Green</v>
      </c>
      <c r="W493" t="str">
        <f t="shared" si="166"/>
        <v>Red</v>
      </c>
      <c r="X493" t="str">
        <f t="shared" si="167"/>
        <v>Red</v>
      </c>
      <c r="Y493" t="str">
        <f t="shared" si="168"/>
        <v>Red</v>
      </c>
      <c r="Z493" t="str">
        <f t="shared" si="169"/>
        <v>Red</v>
      </c>
      <c r="AA493" t="str">
        <f t="shared" si="170"/>
        <v>Green</v>
      </c>
      <c r="AB493" t="str">
        <f t="shared" si="171"/>
        <v>Green</v>
      </c>
      <c r="AC493" t="str">
        <f t="shared" si="172"/>
        <v>Red</v>
      </c>
      <c r="AD493" t="str">
        <f t="shared" si="173"/>
        <v>Green</v>
      </c>
    </row>
    <row r="494" spans="1:30" x14ac:dyDescent="0.2">
      <c r="A494" t="str">
        <f t="shared" si="156"/>
        <v>23/07/2026FC Helios TartuFC Soccernet Tallinn</v>
      </c>
      <c r="D494" s="2">
        <v>46226</v>
      </c>
      <c r="E494" s="3">
        <v>0.66666666666666663</v>
      </c>
      <c r="F494" t="s">
        <v>2003</v>
      </c>
      <c r="G494" t="s">
        <v>2004</v>
      </c>
      <c r="H494">
        <v>0</v>
      </c>
      <c r="I494">
        <v>0</v>
      </c>
      <c r="J494">
        <v>0</v>
      </c>
      <c r="K494">
        <v>0</v>
      </c>
      <c r="L494" s="22" t="str">
        <f t="shared" si="176"/>
        <v>23/07/2026</v>
      </c>
      <c r="M494" s="23">
        <f t="shared" si="177"/>
        <v>0.54166666666666663</v>
      </c>
      <c r="N494" t="str">
        <f t="shared" si="157"/>
        <v>0 - 0</v>
      </c>
      <c r="O494" t="str">
        <f t="shared" si="158"/>
        <v>Red</v>
      </c>
      <c r="P494" t="str">
        <f t="shared" si="159"/>
        <v>Green</v>
      </c>
      <c r="Q494" t="str">
        <f t="shared" si="160"/>
        <v>Red</v>
      </c>
      <c r="R494" t="str">
        <f t="shared" si="161"/>
        <v>Green</v>
      </c>
      <c r="S494" t="str">
        <f t="shared" si="162"/>
        <v>Green</v>
      </c>
      <c r="T494" t="str">
        <f t="shared" si="163"/>
        <v>Red</v>
      </c>
      <c r="U494" t="str">
        <f t="shared" si="164"/>
        <v>Red</v>
      </c>
      <c r="V494" t="str">
        <f t="shared" si="165"/>
        <v>Green</v>
      </c>
      <c r="W494" t="str">
        <f t="shared" si="166"/>
        <v>Red</v>
      </c>
      <c r="X494" t="str">
        <f t="shared" si="167"/>
        <v>Red</v>
      </c>
      <c r="Y494" t="str">
        <f t="shared" si="168"/>
        <v>Red</v>
      </c>
      <c r="Z494" t="str">
        <f t="shared" si="169"/>
        <v>Red</v>
      </c>
      <c r="AA494" t="str">
        <f t="shared" si="170"/>
        <v>Green</v>
      </c>
      <c r="AB494" t="str">
        <f t="shared" si="171"/>
        <v>Green</v>
      </c>
      <c r="AC494" t="str">
        <f t="shared" si="172"/>
        <v>Red</v>
      </c>
      <c r="AD494" t="str">
        <f t="shared" si="173"/>
        <v>Green</v>
      </c>
    </row>
    <row r="495" spans="1:30" x14ac:dyDescent="0.2">
      <c r="A495" t="str">
        <f t="shared" si="156"/>
        <v>23/07/2026Harju JalgpallikoolRae Spordikool</v>
      </c>
      <c r="D495" s="2">
        <v>46226</v>
      </c>
      <c r="E495" s="3">
        <v>0.66666666666666663</v>
      </c>
      <c r="F495" t="s">
        <v>2005</v>
      </c>
      <c r="G495" t="s">
        <v>2006</v>
      </c>
      <c r="H495">
        <v>2</v>
      </c>
      <c r="I495">
        <v>0</v>
      </c>
      <c r="J495">
        <v>8</v>
      </c>
      <c r="K495">
        <v>0</v>
      </c>
      <c r="L495" s="22" t="str">
        <f t="shared" si="176"/>
        <v>23/07/2026</v>
      </c>
      <c r="M495" s="23">
        <f t="shared" si="177"/>
        <v>0.54166666666666663</v>
      </c>
      <c r="N495" t="str">
        <f t="shared" si="157"/>
        <v>8 - 0</v>
      </c>
      <c r="O495" t="str">
        <f t="shared" si="158"/>
        <v>Green</v>
      </c>
      <c r="P495" t="str">
        <f t="shared" si="159"/>
        <v>Red</v>
      </c>
      <c r="Q495" t="str">
        <f t="shared" si="160"/>
        <v>Red</v>
      </c>
      <c r="R495" t="str">
        <f t="shared" si="161"/>
        <v>Green</v>
      </c>
      <c r="S495" t="str">
        <f t="shared" si="162"/>
        <v>Red</v>
      </c>
      <c r="T495" t="str">
        <f t="shared" si="163"/>
        <v>Green</v>
      </c>
      <c r="U495" t="str">
        <f t="shared" si="164"/>
        <v>Green</v>
      </c>
      <c r="V495" t="str">
        <f t="shared" si="165"/>
        <v>Red</v>
      </c>
      <c r="W495" t="str">
        <f t="shared" si="166"/>
        <v>Red</v>
      </c>
      <c r="X495" t="str">
        <f t="shared" si="167"/>
        <v>Green</v>
      </c>
      <c r="Y495" t="str">
        <f t="shared" si="168"/>
        <v>Green</v>
      </c>
      <c r="Z495" t="str">
        <f t="shared" si="169"/>
        <v>Green</v>
      </c>
      <c r="AA495" t="str">
        <f t="shared" si="170"/>
        <v>Red</v>
      </c>
      <c r="AB495" t="str">
        <f t="shared" si="171"/>
        <v>Red</v>
      </c>
      <c r="AC495" t="str">
        <f t="shared" si="172"/>
        <v>Red</v>
      </c>
      <c r="AD495" t="str">
        <f t="shared" si="173"/>
        <v>Green</v>
      </c>
    </row>
    <row r="496" spans="1:30" x14ac:dyDescent="0.2">
      <c r="A496" t="str">
        <f t="shared" si="156"/>
        <v>23/07/2026JK Nomme UnitedRaplamaa JK</v>
      </c>
      <c r="D496" s="2">
        <v>46226</v>
      </c>
      <c r="E496" s="3">
        <v>0.66666666666666663</v>
      </c>
      <c r="F496" t="s">
        <v>2007</v>
      </c>
      <c r="G496" t="s">
        <v>2008</v>
      </c>
      <c r="H496">
        <v>6</v>
      </c>
      <c r="I496">
        <v>0</v>
      </c>
      <c r="J496">
        <v>12</v>
      </c>
      <c r="K496">
        <v>0</v>
      </c>
      <c r="L496" s="22" t="str">
        <f t="shared" si="176"/>
        <v>23/07/2026</v>
      </c>
      <c r="M496" s="23">
        <f t="shared" si="177"/>
        <v>0.54166666666666663</v>
      </c>
      <c r="N496" t="str">
        <f t="shared" si="157"/>
        <v>12 - 0</v>
      </c>
      <c r="O496" t="str">
        <f t="shared" si="158"/>
        <v>Green</v>
      </c>
      <c r="P496" t="str">
        <f t="shared" si="159"/>
        <v>Red</v>
      </c>
      <c r="Q496" t="str">
        <f t="shared" si="160"/>
        <v>Red</v>
      </c>
      <c r="R496" t="str">
        <f t="shared" si="161"/>
        <v>Green</v>
      </c>
      <c r="S496" t="str">
        <f t="shared" si="162"/>
        <v>Red</v>
      </c>
      <c r="T496" t="str">
        <f t="shared" si="163"/>
        <v>Green</v>
      </c>
      <c r="U496" t="str">
        <f t="shared" si="164"/>
        <v>Green</v>
      </c>
      <c r="V496" t="str">
        <f t="shared" si="165"/>
        <v>Red</v>
      </c>
      <c r="W496" t="str">
        <f t="shared" si="166"/>
        <v>Red</v>
      </c>
      <c r="X496" t="str">
        <f t="shared" si="167"/>
        <v>Green</v>
      </c>
      <c r="Y496" t="str">
        <f t="shared" si="168"/>
        <v>Green</v>
      </c>
      <c r="Z496" t="str">
        <f t="shared" si="169"/>
        <v>Green</v>
      </c>
      <c r="AA496" t="str">
        <f t="shared" si="170"/>
        <v>Red</v>
      </c>
      <c r="AB496" t="str">
        <f t="shared" si="171"/>
        <v>Red</v>
      </c>
      <c r="AC496" t="str">
        <f t="shared" si="172"/>
        <v>Red</v>
      </c>
      <c r="AD496" t="str">
        <f t="shared" si="173"/>
        <v>Green</v>
      </c>
    </row>
    <row r="497" spans="1:30" x14ac:dyDescent="0.2">
      <c r="A497" t="str">
        <f t="shared" si="156"/>
        <v>23/07/2026JK PoseidonTeam Helm</v>
      </c>
      <c r="D497" s="2">
        <v>46226</v>
      </c>
      <c r="E497" s="3">
        <v>0.66666666666666663</v>
      </c>
      <c r="F497" t="s">
        <v>2009</v>
      </c>
      <c r="G497" t="s">
        <v>2010</v>
      </c>
      <c r="H497">
        <v>1</v>
      </c>
      <c r="I497">
        <v>1</v>
      </c>
      <c r="J497">
        <v>2</v>
      </c>
      <c r="K497">
        <v>2</v>
      </c>
      <c r="L497" s="22" t="str">
        <f t="shared" si="176"/>
        <v>23/07/2026</v>
      </c>
      <c r="M497" s="23">
        <f t="shared" si="177"/>
        <v>0.54166666666666663</v>
      </c>
      <c r="N497" t="str">
        <f t="shared" si="157"/>
        <v>2 - 2</v>
      </c>
      <c r="O497" t="str">
        <f t="shared" si="158"/>
        <v>Red</v>
      </c>
      <c r="P497" t="str">
        <f t="shared" si="159"/>
        <v>Green</v>
      </c>
      <c r="Q497" t="str">
        <f t="shared" si="160"/>
        <v>Red</v>
      </c>
      <c r="R497" t="str">
        <f t="shared" si="161"/>
        <v>Green</v>
      </c>
      <c r="S497" t="str">
        <f t="shared" si="162"/>
        <v>Green</v>
      </c>
      <c r="T497" t="str">
        <f t="shared" si="163"/>
        <v>Red</v>
      </c>
      <c r="U497" t="str">
        <f t="shared" si="164"/>
        <v>Red</v>
      </c>
      <c r="V497" t="str">
        <f t="shared" si="165"/>
        <v>Green</v>
      </c>
      <c r="W497" t="str">
        <f t="shared" si="166"/>
        <v>Red</v>
      </c>
      <c r="X497" t="str">
        <f t="shared" si="167"/>
        <v>Green</v>
      </c>
      <c r="Y497" t="str">
        <f t="shared" si="168"/>
        <v>Green</v>
      </c>
      <c r="Z497" t="str">
        <f t="shared" si="169"/>
        <v>Green</v>
      </c>
      <c r="AA497" t="str">
        <f t="shared" si="170"/>
        <v>Red</v>
      </c>
      <c r="AB497" t="str">
        <f t="shared" si="171"/>
        <v>Red</v>
      </c>
      <c r="AC497" t="str">
        <f t="shared" si="172"/>
        <v>Green</v>
      </c>
      <c r="AD497" t="str">
        <f t="shared" si="173"/>
        <v>Red</v>
      </c>
    </row>
    <row r="498" spans="1:30" x14ac:dyDescent="0.2">
      <c r="A498" t="str">
        <f t="shared" si="156"/>
        <v>23/07/2026KuressaareTartu JK Welco X</v>
      </c>
      <c r="D498" s="2">
        <v>46226</v>
      </c>
      <c r="E498" s="3">
        <v>0.66666666666666663</v>
      </c>
      <c r="F498" t="s">
        <v>2011</v>
      </c>
      <c r="G498" t="s">
        <v>2012</v>
      </c>
      <c r="H498">
        <v>3</v>
      </c>
      <c r="I498">
        <v>1</v>
      </c>
      <c r="J498">
        <v>5</v>
      </c>
      <c r="K498">
        <v>1</v>
      </c>
      <c r="L498" s="22" t="str">
        <f t="shared" si="176"/>
        <v>23/07/2026</v>
      </c>
      <c r="M498" s="23">
        <f t="shared" si="177"/>
        <v>0.54166666666666663</v>
      </c>
      <c r="N498" t="str">
        <f t="shared" si="157"/>
        <v>5 - 1</v>
      </c>
      <c r="O498" t="str">
        <f t="shared" si="158"/>
        <v>Green</v>
      </c>
      <c r="P498" t="str">
        <f t="shared" si="159"/>
        <v>Red</v>
      </c>
      <c r="Q498" t="str">
        <f t="shared" si="160"/>
        <v>Red</v>
      </c>
      <c r="R498" t="str">
        <f t="shared" si="161"/>
        <v>Green</v>
      </c>
      <c r="S498" t="str">
        <f t="shared" si="162"/>
        <v>Red</v>
      </c>
      <c r="T498" t="str">
        <f t="shared" si="163"/>
        <v>Green</v>
      </c>
      <c r="U498" t="str">
        <f t="shared" si="164"/>
        <v>Green</v>
      </c>
      <c r="V498" t="str">
        <f t="shared" si="165"/>
        <v>Red</v>
      </c>
      <c r="W498" t="str">
        <f t="shared" si="166"/>
        <v>Red</v>
      </c>
      <c r="X498" t="str">
        <f t="shared" si="167"/>
        <v>Green</v>
      </c>
      <c r="Y498" t="str">
        <f t="shared" si="168"/>
        <v>Green</v>
      </c>
      <c r="Z498" t="str">
        <f t="shared" si="169"/>
        <v>Green</v>
      </c>
      <c r="AA498" t="str">
        <f t="shared" si="170"/>
        <v>Red</v>
      </c>
      <c r="AB498" t="str">
        <f t="shared" si="171"/>
        <v>Red</v>
      </c>
      <c r="AC498" t="str">
        <f t="shared" si="172"/>
        <v>Green</v>
      </c>
      <c r="AD498" t="str">
        <f t="shared" si="173"/>
        <v>Red</v>
      </c>
    </row>
    <row r="499" spans="1:30" x14ac:dyDescent="0.2">
      <c r="A499" t="str">
        <f t="shared" si="156"/>
        <v>23/07/2026Rumori Calcio IIJk Welco Elekter</v>
      </c>
      <c r="D499" s="2">
        <v>46226</v>
      </c>
      <c r="E499" s="3">
        <v>0.66666666666666663</v>
      </c>
      <c r="F499" t="s">
        <v>2013</v>
      </c>
      <c r="G499" t="s">
        <v>2014</v>
      </c>
      <c r="H499">
        <v>0</v>
      </c>
      <c r="I499">
        <v>4</v>
      </c>
      <c r="J499">
        <v>0</v>
      </c>
      <c r="K499">
        <v>12</v>
      </c>
      <c r="L499" s="22" t="str">
        <f t="shared" si="176"/>
        <v>23/07/2026</v>
      </c>
      <c r="M499" s="23">
        <f t="shared" si="177"/>
        <v>0.54166666666666663</v>
      </c>
      <c r="N499" t="str">
        <f t="shared" si="157"/>
        <v>0 - 12</v>
      </c>
      <c r="O499" t="str">
        <f t="shared" si="158"/>
        <v>Red</v>
      </c>
      <c r="P499" t="str">
        <f t="shared" si="159"/>
        <v>Red</v>
      </c>
      <c r="Q499" t="str">
        <f t="shared" si="160"/>
        <v>Green</v>
      </c>
      <c r="R499" t="str">
        <f t="shared" si="161"/>
        <v>Red</v>
      </c>
      <c r="S499" t="str">
        <f t="shared" si="162"/>
        <v>Green</v>
      </c>
      <c r="T499" t="str">
        <f t="shared" si="163"/>
        <v>Green</v>
      </c>
      <c r="U499" t="str">
        <f t="shared" si="164"/>
        <v>Red</v>
      </c>
      <c r="V499" t="str">
        <f t="shared" si="165"/>
        <v>Red</v>
      </c>
      <c r="W499" t="str">
        <f t="shared" si="166"/>
        <v>Green</v>
      </c>
      <c r="X499" t="str">
        <f t="shared" si="167"/>
        <v>Green</v>
      </c>
      <c r="Y499" t="str">
        <f t="shared" si="168"/>
        <v>Green</v>
      </c>
      <c r="Z499" t="str">
        <f t="shared" si="169"/>
        <v>Green</v>
      </c>
      <c r="AA499" t="str">
        <f t="shared" si="170"/>
        <v>Red</v>
      </c>
      <c r="AB499" t="str">
        <f t="shared" si="171"/>
        <v>Red</v>
      </c>
      <c r="AC499" t="str">
        <f t="shared" si="172"/>
        <v>Red</v>
      </c>
      <c r="AD499" t="str">
        <f t="shared" si="173"/>
        <v>Green</v>
      </c>
    </row>
    <row r="500" spans="1:30" x14ac:dyDescent="0.2">
      <c r="A500" t="str">
        <f t="shared" si="156"/>
        <v>23/07/2026Tartu KalevJK Kuusalu Kalev</v>
      </c>
      <c r="D500" s="2">
        <v>46226</v>
      </c>
      <c r="E500" s="3">
        <v>0.66666666666666663</v>
      </c>
      <c r="F500" t="s">
        <v>2015</v>
      </c>
      <c r="G500" t="s">
        <v>2016</v>
      </c>
      <c r="H500">
        <v>5</v>
      </c>
      <c r="I500">
        <v>0</v>
      </c>
      <c r="J500">
        <v>7</v>
      </c>
      <c r="K500">
        <v>0</v>
      </c>
      <c r="L500" s="22" t="str">
        <f t="shared" si="176"/>
        <v>23/07/2026</v>
      </c>
      <c r="M500" s="23">
        <f t="shared" si="177"/>
        <v>0.54166666666666663</v>
      </c>
      <c r="N500" t="str">
        <f t="shared" si="157"/>
        <v>7 - 0</v>
      </c>
      <c r="O500" t="str">
        <f t="shared" si="158"/>
        <v>Green</v>
      </c>
      <c r="P500" t="str">
        <f t="shared" si="159"/>
        <v>Red</v>
      </c>
      <c r="Q500" t="str">
        <f t="shared" si="160"/>
        <v>Red</v>
      </c>
      <c r="R500" t="str">
        <f t="shared" si="161"/>
        <v>Green</v>
      </c>
      <c r="S500" t="str">
        <f t="shared" si="162"/>
        <v>Red</v>
      </c>
      <c r="T500" t="str">
        <f t="shared" si="163"/>
        <v>Green</v>
      </c>
      <c r="U500" t="str">
        <f t="shared" si="164"/>
        <v>Green</v>
      </c>
      <c r="V500" t="str">
        <f t="shared" si="165"/>
        <v>Red</v>
      </c>
      <c r="W500" t="str">
        <f t="shared" si="166"/>
        <v>Red</v>
      </c>
      <c r="X500" t="str">
        <f t="shared" si="167"/>
        <v>Green</v>
      </c>
      <c r="Y500" t="str">
        <f t="shared" si="168"/>
        <v>Green</v>
      </c>
      <c r="Z500" t="str">
        <f t="shared" si="169"/>
        <v>Green</v>
      </c>
      <c r="AA500" t="str">
        <f t="shared" si="170"/>
        <v>Red</v>
      </c>
      <c r="AB500" t="str">
        <f t="shared" si="171"/>
        <v>Red</v>
      </c>
      <c r="AC500" t="str">
        <f t="shared" si="172"/>
        <v>Red</v>
      </c>
      <c r="AD500" t="str">
        <f t="shared" si="173"/>
        <v>Green</v>
      </c>
    </row>
    <row r="501" spans="1:30" x14ac:dyDescent="0.2">
      <c r="A501" t="str">
        <f t="shared" si="156"/>
        <v>23/07/2026Saku Sporting WomenHarju Jalgpallikooli Women</v>
      </c>
      <c r="D501" s="2">
        <v>46226</v>
      </c>
      <c r="E501" s="3">
        <v>0.66666666666666663</v>
      </c>
      <c r="F501" t="s">
        <v>2017</v>
      </c>
      <c r="G501" t="s">
        <v>2018</v>
      </c>
      <c r="H501">
        <v>2</v>
      </c>
      <c r="I501">
        <v>0</v>
      </c>
      <c r="J501">
        <v>2</v>
      </c>
      <c r="K501">
        <v>1</v>
      </c>
      <c r="L501" s="22" t="str">
        <f t="shared" si="176"/>
        <v>23/07/2026</v>
      </c>
      <c r="M501" s="23">
        <f t="shared" si="177"/>
        <v>0.54166666666666663</v>
      </c>
      <c r="N501" t="str">
        <f t="shared" si="157"/>
        <v>2 - 1</v>
      </c>
      <c r="O501" t="str">
        <f t="shared" si="158"/>
        <v>Green</v>
      </c>
      <c r="P501" t="str">
        <f t="shared" si="159"/>
        <v>Red</v>
      </c>
      <c r="Q501" t="str">
        <f t="shared" si="160"/>
        <v>Red</v>
      </c>
      <c r="R501" t="str">
        <f t="shared" si="161"/>
        <v>Green</v>
      </c>
      <c r="S501" t="str">
        <f t="shared" si="162"/>
        <v>Red</v>
      </c>
      <c r="T501" t="str">
        <f t="shared" si="163"/>
        <v>Green</v>
      </c>
      <c r="U501" t="str">
        <f t="shared" si="164"/>
        <v>Green</v>
      </c>
      <c r="V501" t="str">
        <f t="shared" si="165"/>
        <v>Red</v>
      </c>
      <c r="W501" t="str">
        <f t="shared" si="166"/>
        <v>Red</v>
      </c>
      <c r="X501" t="str">
        <f t="shared" si="167"/>
        <v>Green</v>
      </c>
      <c r="Y501" t="str">
        <f t="shared" si="168"/>
        <v>Green</v>
      </c>
      <c r="Z501" t="str">
        <f t="shared" si="169"/>
        <v>Green</v>
      </c>
      <c r="AA501" t="str">
        <f t="shared" si="170"/>
        <v>Red</v>
      </c>
      <c r="AB501" t="str">
        <f t="shared" si="171"/>
        <v>Green</v>
      </c>
      <c r="AC501" t="str">
        <f t="shared" si="172"/>
        <v>Green</v>
      </c>
      <c r="AD501" t="str">
        <f t="shared" si="173"/>
        <v>Red</v>
      </c>
    </row>
    <row r="502" spans="1:30" x14ac:dyDescent="0.2">
      <c r="A502" t="str">
        <f t="shared" si="156"/>
        <v>23/07/2026Atlantis/PMFC Kontu</v>
      </c>
      <c r="D502" s="2">
        <v>46226</v>
      </c>
      <c r="E502" s="3">
        <v>0.66666666666666663</v>
      </c>
      <c r="F502" t="s">
        <v>2029</v>
      </c>
      <c r="G502" t="s">
        <v>2030</v>
      </c>
      <c r="H502">
        <v>0</v>
      </c>
      <c r="I502">
        <v>0</v>
      </c>
      <c r="J502">
        <v>3</v>
      </c>
      <c r="K502">
        <v>2</v>
      </c>
      <c r="L502" s="22" t="str">
        <f t="shared" si="176"/>
        <v>23/07/2026</v>
      </c>
      <c r="M502" s="23">
        <f t="shared" si="177"/>
        <v>0.54166666666666663</v>
      </c>
      <c r="N502" t="str">
        <f t="shared" si="157"/>
        <v>3 - 2</v>
      </c>
      <c r="O502" t="str">
        <f t="shared" si="158"/>
        <v>Green</v>
      </c>
      <c r="P502" t="str">
        <f t="shared" si="159"/>
        <v>Red</v>
      </c>
      <c r="Q502" t="str">
        <f t="shared" si="160"/>
        <v>Red</v>
      </c>
      <c r="R502" t="str">
        <f t="shared" si="161"/>
        <v>Green</v>
      </c>
      <c r="S502" t="str">
        <f t="shared" si="162"/>
        <v>Red</v>
      </c>
      <c r="T502" t="str">
        <f t="shared" si="163"/>
        <v>Green</v>
      </c>
      <c r="U502" t="str">
        <f t="shared" si="164"/>
        <v>Red</v>
      </c>
      <c r="V502" t="str">
        <f t="shared" si="165"/>
        <v>Green</v>
      </c>
      <c r="W502" t="str">
        <f t="shared" si="166"/>
        <v>Red</v>
      </c>
      <c r="X502" t="str">
        <f t="shared" si="167"/>
        <v>Red</v>
      </c>
      <c r="Y502" t="str">
        <f t="shared" si="168"/>
        <v>Green</v>
      </c>
      <c r="Z502" t="str">
        <f t="shared" si="169"/>
        <v>Green</v>
      </c>
      <c r="AA502" t="str">
        <f t="shared" si="170"/>
        <v>Red</v>
      </c>
      <c r="AB502" t="str">
        <f t="shared" si="171"/>
        <v>Red</v>
      </c>
      <c r="AC502" t="str">
        <f t="shared" si="172"/>
        <v>Green</v>
      </c>
      <c r="AD502" t="str">
        <f t="shared" si="173"/>
        <v>Red</v>
      </c>
    </row>
    <row r="503" spans="1:30" x14ac:dyDescent="0.2">
      <c r="A503" t="str">
        <f t="shared" si="156"/>
        <v>23/07/2026FC KiistoYPA</v>
      </c>
      <c r="D503" s="2">
        <v>46226</v>
      </c>
      <c r="E503" s="3">
        <v>0.66666666666666663</v>
      </c>
      <c r="F503" t="s">
        <v>2039</v>
      </c>
      <c r="G503" t="s">
        <v>2040</v>
      </c>
      <c r="H503">
        <v>0</v>
      </c>
      <c r="I503">
        <v>0</v>
      </c>
      <c r="J503">
        <v>0</v>
      </c>
      <c r="K503">
        <v>1</v>
      </c>
      <c r="L503" s="22" t="str">
        <f t="shared" si="176"/>
        <v>23/07/2026</v>
      </c>
      <c r="M503" s="23">
        <f t="shared" si="177"/>
        <v>0.54166666666666663</v>
      </c>
      <c r="N503" t="str">
        <f t="shared" si="157"/>
        <v>0 - 1</v>
      </c>
      <c r="O503" t="str">
        <f t="shared" si="158"/>
        <v>Red</v>
      </c>
      <c r="P503" t="str">
        <f t="shared" si="159"/>
        <v>Red</v>
      </c>
      <c r="Q503" t="str">
        <f t="shared" si="160"/>
        <v>Green</v>
      </c>
      <c r="R503" t="str">
        <f t="shared" si="161"/>
        <v>Red</v>
      </c>
      <c r="S503" t="str">
        <f t="shared" si="162"/>
        <v>Green</v>
      </c>
      <c r="T503" t="str">
        <f t="shared" si="163"/>
        <v>Green</v>
      </c>
      <c r="U503" t="str">
        <f t="shared" si="164"/>
        <v>Red</v>
      </c>
      <c r="V503" t="str">
        <f t="shared" si="165"/>
        <v>Green</v>
      </c>
      <c r="W503" t="str">
        <f t="shared" si="166"/>
        <v>Red</v>
      </c>
      <c r="X503" t="str">
        <f t="shared" si="167"/>
        <v>Red</v>
      </c>
      <c r="Y503" t="str">
        <f t="shared" si="168"/>
        <v>Red</v>
      </c>
      <c r="Z503" t="str">
        <f t="shared" si="169"/>
        <v>Red</v>
      </c>
      <c r="AA503" t="str">
        <f t="shared" si="170"/>
        <v>Green</v>
      </c>
      <c r="AB503" t="str">
        <f t="shared" si="171"/>
        <v>Green</v>
      </c>
      <c r="AC503" t="str">
        <f t="shared" si="172"/>
        <v>Red</v>
      </c>
      <c r="AD503" t="str">
        <f t="shared" si="173"/>
        <v>Green</v>
      </c>
    </row>
    <row r="504" spans="1:30" x14ac:dyDescent="0.2">
      <c r="A504" t="str">
        <f t="shared" si="156"/>
        <v>23/07/2026KPV AkatemiaVPV Pallo-Veikot</v>
      </c>
      <c r="D504" s="2">
        <v>46226</v>
      </c>
      <c r="E504" s="3">
        <v>0.66666666666666663</v>
      </c>
      <c r="F504" t="s">
        <v>2041</v>
      </c>
      <c r="G504" t="s">
        <v>2042</v>
      </c>
      <c r="H504">
        <v>0</v>
      </c>
      <c r="I504">
        <v>0</v>
      </c>
      <c r="J504">
        <v>2</v>
      </c>
      <c r="K504">
        <v>1</v>
      </c>
      <c r="L504" s="22" t="str">
        <f t="shared" si="176"/>
        <v>23/07/2026</v>
      </c>
      <c r="M504" s="23">
        <f t="shared" si="177"/>
        <v>0.54166666666666663</v>
      </c>
      <c r="N504" t="str">
        <f t="shared" si="157"/>
        <v>2 - 1</v>
      </c>
      <c r="O504" t="str">
        <f t="shared" si="158"/>
        <v>Green</v>
      </c>
      <c r="P504" t="str">
        <f t="shared" si="159"/>
        <v>Red</v>
      </c>
      <c r="Q504" t="str">
        <f t="shared" si="160"/>
        <v>Red</v>
      </c>
      <c r="R504" t="str">
        <f t="shared" si="161"/>
        <v>Green</v>
      </c>
      <c r="S504" t="str">
        <f t="shared" si="162"/>
        <v>Red</v>
      </c>
      <c r="T504" t="str">
        <f t="shared" si="163"/>
        <v>Green</v>
      </c>
      <c r="U504" t="str">
        <f t="shared" si="164"/>
        <v>Red</v>
      </c>
      <c r="V504" t="str">
        <f t="shared" si="165"/>
        <v>Green</v>
      </c>
      <c r="W504" t="str">
        <f t="shared" si="166"/>
        <v>Red</v>
      </c>
      <c r="X504" t="str">
        <f t="shared" si="167"/>
        <v>Red</v>
      </c>
      <c r="Y504" t="str">
        <f t="shared" si="168"/>
        <v>Green</v>
      </c>
      <c r="Z504" t="str">
        <f t="shared" si="169"/>
        <v>Green</v>
      </c>
      <c r="AA504" t="str">
        <f t="shared" si="170"/>
        <v>Red</v>
      </c>
      <c r="AB504" t="str">
        <f t="shared" si="171"/>
        <v>Green</v>
      </c>
      <c r="AC504" t="str">
        <f t="shared" si="172"/>
        <v>Green</v>
      </c>
      <c r="AD504" t="str">
        <f t="shared" si="173"/>
        <v>Red</v>
      </c>
    </row>
    <row r="505" spans="1:30" x14ac:dyDescent="0.2">
      <c r="A505" t="str">
        <f t="shared" si="156"/>
        <v>23/07/2026Nykarleby IKVasa IFK</v>
      </c>
      <c r="D505" s="2">
        <v>46226</v>
      </c>
      <c r="E505" s="3">
        <v>0.66666666666666663</v>
      </c>
      <c r="F505" t="s">
        <v>2043</v>
      </c>
      <c r="G505" t="s">
        <v>2044</v>
      </c>
      <c r="H505">
        <v>0</v>
      </c>
      <c r="I505">
        <v>0</v>
      </c>
      <c r="J505">
        <v>1</v>
      </c>
      <c r="K505">
        <v>3</v>
      </c>
      <c r="L505" s="22" t="str">
        <f t="shared" si="176"/>
        <v>23/07/2026</v>
      </c>
      <c r="M505" s="23">
        <f t="shared" si="177"/>
        <v>0.54166666666666663</v>
      </c>
      <c r="N505" t="str">
        <f t="shared" si="157"/>
        <v>1 - 3</v>
      </c>
      <c r="O505" t="str">
        <f t="shared" si="158"/>
        <v>Red</v>
      </c>
      <c r="P505" t="str">
        <f t="shared" si="159"/>
        <v>Red</v>
      </c>
      <c r="Q505" t="str">
        <f t="shared" si="160"/>
        <v>Green</v>
      </c>
      <c r="R505" t="str">
        <f t="shared" si="161"/>
        <v>Red</v>
      </c>
      <c r="S505" t="str">
        <f t="shared" si="162"/>
        <v>Green</v>
      </c>
      <c r="T505" t="str">
        <f t="shared" si="163"/>
        <v>Green</v>
      </c>
      <c r="U505" t="str">
        <f t="shared" si="164"/>
        <v>Red</v>
      </c>
      <c r="V505" t="str">
        <f t="shared" si="165"/>
        <v>Green</v>
      </c>
      <c r="W505" t="str">
        <f t="shared" si="166"/>
        <v>Red</v>
      </c>
      <c r="X505" t="str">
        <f t="shared" si="167"/>
        <v>Red</v>
      </c>
      <c r="Y505" t="str">
        <f t="shared" si="168"/>
        <v>Green</v>
      </c>
      <c r="Z505" t="str">
        <f t="shared" si="169"/>
        <v>Green</v>
      </c>
      <c r="AA505" t="str">
        <f t="shared" si="170"/>
        <v>Red</v>
      </c>
      <c r="AB505" t="str">
        <f t="shared" si="171"/>
        <v>Red</v>
      </c>
      <c r="AC505" t="str">
        <f t="shared" si="172"/>
        <v>Green</v>
      </c>
      <c r="AD505" t="str">
        <f t="shared" si="173"/>
        <v>Red</v>
      </c>
    </row>
    <row r="506" spans="1:30" x14ac:dyDescent="0.2">
      <c r="A506" t="str">
        <f t="shared" si="156"/>
        <v>23/07/2026AscoliUS Grosseto</v>
      </c>
      <c r="D506" s="2">
        <v>46226</v>
      </c>
      <c r="E506" s="3">
        <v>0.66666666666666663</v>
      </c>
      <c r="F506" t="s">
        <v>2088</v>
      </c>
      <c r="G506" t="s">
        <v>2089</v>
      </c>
      <c r="L506" s="22" t="str">
        <f t="shared" si="176"/>
        <v>23/07/2026</v>
      </c>
      <c r="M506" s="23">
        <f t="shared" si="177"/>
        <v>0.54166666666666663</v>
      </c>
      <c r="N506" t="str">
        <f t="shared" si="157"/>
        <v xml:space="preserve"> - </v>
      </c>
      <c r="O506" t="str">
        <f t="shared" si="158"/>
        <v>Red</v>
      </c>
      <c r="P506" t="str">
        <f t="shared" si="159"/>
        <v>Green</v>
      </c>
      <c r="Q506" t="str">
        <f t="shared" si="160"/>
        <v>Red</v>
      </c>
      <c r="R506" t="str">
        <f t="shared" si="161"/>
        <v>Green</v>
      </c>
      <c r="S506" t="str">
        <f t="shared" si="162"/>
        <v>Green</v>
      </c>
      <c r="T506" t="str">
        <f t="shared" si="163"/>
        <v>Red</v>
      </c>
      <c r="U506" t="str">
        <f t="shared" si="164"/>
        <v>Red</v>
      </c>
      <c r="V506" t="str">
        <f t="shared" si="165"/>
        <v>Green</v>
      </c>
      <c r="W506" t="str">
        <f t="shared" si="166"/>
        <v>Red</v>
      </c>
      <c r="X506" t="str">
        <f t="shared" si="167"/>
        <v>Red</v>
      </c>
      <c r="Y506" t="str">
        <f t="shared" si="168"/>
        <v>Red</v>
      </c>
      <c r="Z506" t="str">
        <f t="shared" si="169"/>
        <v>Red</v>
      </c>
      <c r="AA506" t="str">
        <f t="shared" si="170"/>
        <v>Green</v>
      </c>
      <c r="AB506" t="str">
        <f t="shared" si="171"/>
        <v>Green</v>
      </c>
      <c r="AC506" t="str">
        <f t="shared" si="172"/>
        <v>Red</v>
      </c>
      <c r="AD506" t="str">
        <f t="shared" si="173"/>
        <v>Green</v>
      </c>
    </row>
    <row r="507" spans="1:30" x14ac:dyDescent="0.2">
      <c r="A507" t="str">
        <f t="shared" si="156"/>
        <v>23/07/2026Bergisch GladbachFC Cologne</v>
      </c>
      <c r="D507" s="2">
        <v>46226</v>
      </c>
      <c r="E507" s="3">
        <v>0.66666666666666663</v>
      </c>
      <c r="F507" t="s">
        <v>2090</v>
      </c>
      <c r="G507" t="s">
        <v>2091</v>
      </c>
      <c r="H507">
        <v>0</v>
      </c>
      <c r="I507">
        <v>2</v>
      </c>
      <c r="J507">
        <v>0</v>
      </c>
      <c r="K507">
        <v>8</v>
      </c>
      <c r="L507" s="22" t="str">
        <f t="shared" si="176"/>
        <v>23/07/2026</v>
      </c>
      <c r="M507" s="23">
        <f t="shared" si="177"/>
        <v>0.54166666666666663</v>
      </c>
      <c r="N507" t="str">
        <f t="shared" si="157"/>
        <v>0 - 8</v>
      </c>
      <c r="O507" t="str">
        <f t="shared" si="158"/>
        <v>Red</v>
      </c>
      <c r="P507" t="str">
        <f t="shared" si="159"/>
        <v>Red</v>
      </c>
      <c r="Q507" t="str">
        <f t="shared" si="160"/>
        <v>Green</v>
      </c>
      <c r="R507" t="str">
        <f t="shared" si="161"/>
        <v>Red</v>
      </c>
      <c r="S507" t="str">
        <f t="shared" si="162"/>
        <v>Green</v>
      </c>
      <c r="T507" t="str">
        <f t="shared" si="163"/>
        <v>Green</v>
      </c>
      <c r="U507" t="str">
        <f t="shared" si="164"/>
        <v>Red</v>
      </c>
      <c r="V507" t="str">
        <f t="shared" si="165"/>
        <v>Red</v>
      </c>
      <c r="W507" t="str">
        <f t="shared" si="166"/>
        <v>Green</v>
      </c>
      <c r="X507" t="str">
        <f t="shared" si="167"/>
        <v>Green</v>
      </c>
      <c r="Y507" t="str">
        <f t="shared" si="168"/>
        <v>Green</v>
      </c>
      <c r="Z507" t="str">
        <f t="shared" si="169"/>
        <v>Green</v>
      </c>
      <c r="AA507" t="str">
        <f t="shared" si="170"/>
        <v>Red</v>
      </c>
      <c r="AB507" t="str">
        <f t="shared" si="171"/>
        <v>Red</v>
      </c>
      <c r="AC507" t="str">
        <f t="shared" si="172"/>
        <v>Red</v>
      </c>
      <c r="AD507" t="str">
        <f t="shared" si="173"/>
        <v>Green</v>
      </c>
    </row>
    <row r="508" spans="1:30" x14ac:dyDescent="0.2">
      <c r="A508" t="str">
        <f t="shared" si="156"/>
        <v>23/07/2026Shakhtar DonetskHNK Gorica</v>
      </c>
      <c r="D508" s="2">
        <v>46226</v>
      </c>
      <c r="E508" s="3">
        <v>0.66666666666666663</v>
      </c>
      <c r="F508" t="s">
        <v>1447</v>
      </c>
      <c r="G508" t="s">
        <v>2092</v>
      </c>
      <c r="H508">
        <v>1</v>
      </c>
      <c r="I508">
        <v>0</v>
      </c>
      <c r="J508">
        <v>2</v>
      </c>
      <c r="K508">
        <v>0</v>
      </c>
      <c r="L508" s="22" t="str">
        <f t="shared" si="176"/>
        <v>23/07/2026</v>
      </c>
      <c r="M508" s="23">
        <f t="shared" si="177"/>
        <v>0.54166666666666663</v>
      </c>
      <c r="N508" t="str">
        <f t="shared" si="157"/>
        <v>2 - 0</v>
      </c>
      <c r="O508" t="str">
        <f t="shared" si="158"/>
        <v>Green</v>
      </c>
      <c r="P508" t="str">
        <f t="shared" si="159"/>
        <v>Red</v>
      </c>
      <c r="Q508" t="str">
        <f t="shared" si="160"/>
        <v>Red</v>
      </c>
      <c r="R508" t="str">
        <f t="shared" si="161"/>
        <v>Green</v>
      </c>
      <c r="S508" t="str">
        <f t="shared" si="162"/>
        <v>Red</v>
      </c>
      <c r="T508" t="str">
        <f t="shared" si="163"/>
        <v>Green</v>
      </c>
      <c r="U508" t="str">
        <f t="shared" si="164"/>
        <v>Green</v>
      </c>
      <c r="V508" t="str">
        <f t="shared" si="165"/>
        <v>Red</v>
      </c>
      <c r="W508" t="str">
        <f t="shared" si="166"/>
        <v>Red</v>
      </c>
      <c r="X508" t="str">
        <f t="shared" si="167"/>
        <v>Green</v>
      </c>
      <c r="Y508" t="str">
        <f t="shared" si="168"/>
        <v>Green</v>
      </c>
      <c r="Z508" t="str">
        <f t="shared" si="169"/>
        <v>Red</v>
      </c>
      <c r="AA508" t="str">
        <f t="shared" si="170"/>
        <v>Green</v>
      </c>
      <c r="AB508" t="str">
        <f t="shared" si="171"/>
        <v>Green</v>
      </c>
      <c r="AC508" t="str">
        <f t="shared" si="172"/>
        <v>Red</v>
      </c>
      <c r="AD508" t="str">
        <f t="shared" si="173"/>
        <v>Green</v>
      </c>
    </row>
    <row r="509" spans="1:30" x14ac:dyDescent="0.2">
      <c r="A509" t="str">
        <f t="shared" si="156"/>
        <v>23/07/2026TIPS Vantaa IIAtlantis FC/Akatemia</v>
      </c>
      <c r="D509" s="2">
        <v>46226</v>
      </c>
      <c r="E509" s="3">
        <v>0.67708333333333337</v>
      </c>
      <c r="F509" t="s">
        <v>2031</v>
      </c>
      <c r="G509" t="s">
        <v>2032</v>
      </c>
      <c r="H509">
        <v>0</v>
      </c>
      <c r="I509">
        <v>0</v>
      </c>
      <c r="J509">
        <v>3</v>
      </c>
      <c r="K509">
        <v>2</v>
      </c>
      <c r="L509" s="22" t="str">
        <f t="shared" si="176"/>
        <v>23/07/2026</v>
      </c>
      <c r="M509" s="23">
        <f t="shared" si="177"/>
        <v>0.55208333333333337</v>
      </c>
      <c r="N509" t="str">
        <f t="shared" si="157"/>
        <v>3 - 2</v>
      </c>
      <c r="O509" t="str">
        <f t="shared" si="158"/>
        <v>Green</v>
      </c>
      <c r="P509" t="str">
        <f t="shared" si="159"/>
        <v>Red</v>
      </c>
      <c r="Q509" t="str">
        <f t="shared" si="160"/>
        <v>Red</v>
      </c>
      <c r="R509" t="str">
        <f t="shared" si="161"/>
        <v>Green</v>
      </c>
      <c r="S509" t="str">
        <f t="shared" si="162"/>
        <v>Red</v>
      </c>
      <c r="T509" t="str">
        <f t="shared" si="163"/>
        <v>Green</v>
      </c>
      <c r="U509" t="str">
        <f t="shared" si="164"/>
        <v>Red</v>
      </c>
      <c r="V509" t="str">
        <f t="shared" si="165"/>
        <v>Green</v>
      </c>
      <c r="W509" t="str">
        <f t="shared" si="166"/>
        <v>Red</v>
      </c>
      <c r="X509" t="str">
        <f t="shared" si="167"/>
        <v>Red</v>
      </c>
      <c r="Y509" t="str">
        <f t="shared" si="168"/>
        <v>Green</v>
      </c>
      <c r="Z509" t="str">
        <f t="shared" si="169"/>
        <v>Green</v>
      </c>
      <c r="AA509" t="str">
        <f t="shared" si="170"/>
        <v>Red</v>
      </c>
      <c r="AB509" t="str">
        <f t="shared" si="171"/>
        <v>Red</v>
      </c>
      <c r="AC509" t="str">
        <f t="shared" si="172"/>
        <v>Green</v>
      </c>
      <c r="AD509" t="str">
        <f t="shared" si="173"/>
        <v>Red</v>
      </c>
    </row>
    <row r="510" spans="1:30" x14ac:dyDescent="0.2">
      <c r="A510" t="str">
        <f t="shared" si="156"/>
        <v>23/07/2026AEK LarnacaBeitar Jerusalem</v>
      </c>
      <c r="B510" t="s">
        <v>802</v>
      </c>
      <c r="C510" t="s">
        <v>1326</v>
      </c>
      <c r="D510" s="2">
        <v>46226</v>
      </c>
      <c r="E510" s="3">
        <v>0.6875</v>
      </c>
      <c r="F510" t="s">
        <v>1922</v>
      </c>
      <c r="G510" t="s">
        <v>1923</v>
      </c>
      <c r="H510">
        <v>0</v>
      </c>
      <c r="I510">
        <v>0</v>
      </c>
      <c r="J510">
        <v>0</v>
      </c>
      <c r="K510">
        <v>1</v>
      </c>
      <c r="L510" s="22" t="str">
        <f t="shared" si="176"/>
        <v>23/07/2026</v>
      </c>
      <c r="M510" s="23">
        <f t="shared" si="177"/>
        <v>0.5625</v>
      </c>
      <c r="N510" t="str">
        <f t="shared" si="157"/>
        <v>0 - 1</v>
      </c>
      <c r="O510" t="str">
        <f t="shared" si="158"/>
        <v>Red</v>
      </c>
      <c r="P510" t="str">
        <f t="shared" si="159"/>
        <v>Red</v>
      </c>
      <c r="Q510" t="str">
        <f t="shared" si="160"/>
        <v>Green</v>
      </c>
      <c r="R510" t="str">
        <f t="shared" si="161"/>
        <v>Red</v>
      </c>
      <c r="S510" t="str">
        <f t="shared" si="162"/>
        <v>Green</v>
      </c>
      <c r="T510" t="str">
        <f t="shared" si="163"/>
        <v>Green</v>
      </c>
      <c r="U510" t="str">
        <f t="shared" si="164"/>
        <v>Red</v>
      </c>
      <c r="V510" t="str">
        <f t="shared" si="165"/>
        <v>Green</v>
      </c>
      <c r="W510" t="str">
        <f t="shared" si="166"/>
        <v>Red</v>
      </c>
      <c r="X510" t="str">
        <f t="shared" si="167"/>
        <v>Red</v>
      </c>
      <c r="Y510" t="str">
        <f t="shared" si="168"/>
        <v>Red</v>
      </c>
      <c r="Z510" t="str">
        <f t="shared" si="169"/>
        <v>Red</v>
      </c>
      <c r="AA510" t="str">
        <f t="shared" si="170"/>
        <v>Green</v>
      </c>
      <c r="AB510" t="str">
        <f t="shared" si="171"/>
        <v>Green</v>
      </c>
      <c r="AC510" t="str">
        <f t="shared" si="172"/>
        <v>Red</v>
      </c>
      <c r="AD510" t="str">
        <f t="shared" si="173"/>
        <v>Green</v>
      </c>
    </row>
    <row r="511" spans="1:30" x14ac:dyDescent="0.2">
      <c r="A511" t="str">
        <f t="shared" si="156"/>
        <v>23/07/2026Dunajska StredaFK Velez Mostar</v>
      </c>
      <c r="B511" t="s">
        <v>802</v>
      </c>
      <c r="C511" t="s">
        <v>1326</v>
      </c>
      <c r="D511" s="2">
        <v>46226</v>
      </c>
      <c r="E511" s="3">
        <v>0.6875</v>
      </c>
      <c r="F511" t="s">
        <v>1924</v>
      </c>
      <c r="G511" t="s">
        <v>1925</v>
      </c>
      <c r="H511">
        <v>0</v>
      </c>
      <c r="I511">
        <v>0</v>
      </c>
      <c r="J511">
        <v>1</v>
      </c>
      <c r="K511">
        <v>0</v>
      </c>
      <c r="L511" s="22" t="str">
        <f t="shared" si="176"/>
        <v>23/07/2026</v>
      </c>
      <c r="M511" s="23">
        <f t="shared" si="177"/>
        <v>0.5625</v>
      </c>
      <c r="N511" t="str">
        <f t="shared" si="157"/>
        <v>1 - 0</v>
      </c>
      <c r="O511" t="str">
        <f t="shared" si="158"/>
        <v>Green</v>
      </c>
      <c r="P511" t="str">
        <f t="shared" si="159"/>
        <v>Red</v>
      </c>
      <c r="Q511" t="str">
        <f t="shared" si="160"/>
        <v>Red</v>
      </c>
      <c r="R511" t="str">
        <f t="shared" si="161"/>
        <v>Green</v>
      </c>
      <c r="S511" t="str">
        <f t="shared" si="162"/>
        <v>Red</v>
      </c>
      <c r="T511" t="str">
        <f t="shared" si="163"/>
        <v>Green</v>
      </c>
      <c r="U511" t="str">
        <f t="shared" si="164"/>
        <v>Red</v>
      </c>
      <c r="V511" t="str">
        <f t="shared" si="165"/>
        <v>Green</v>
      </c>
      <c r="W511" t="str">
        <f t="shared" si="166"/>
        <v>Red</v>
      </c>
      <c r="X511" t="str">
        <f t="shared" si="167"/>
        <v>Red</v>
      </c>
      <c r="Y511" t="str">
        <f t="shared" si="168"/>
        <v>Red</v>
      </c>
      <c r="Z511" t="str">
        <f t="shared" si="169"/>
        <v>Red</v>
      </c>
      <c r="AA511" t="str">
        <f t="shared" si="170"/>
        <v>Green</v>
      </c>
      <c r="AB511" t="str">
        <f t="shared" si="171"/>
        <v>Green</v>
      </c>
      <c r="AC511" t="str">
        <f t="shared" si="172"/>
        <v>Red</v>
      </c>
      <c r="AD511" t="str">
        <f t="shared" si="173"/>
        <v>Green</v>
      </c>
    </row>
    <row r="512" spans="1:30" x14ac:dyDescent="0.2">
      <c r="A512" t="str">
        <f t="shared" si="156"/>
        <v>23/07/2026Rakow CzestochowaValletta</v>
      </c>
      <c r="B512" t="s">
        <v>802</v>
      </c>
      <c r="C512" t="s">
        <v>1326</v>
      </c>
      <c r="D512" s="2">
        <v>46226</v>
      </c>
      <c r="E512" s="3">
        <v>0.6875</v>
      </c>
      <c r="F512" t="s">
        <v>1016</v>
      </c>
      <c r="G512" t="s">
        <v>1926</v>
      </c>
      <c r="H512">
        <v>0</v>
      </c>
      <c r="I512">
        <v>1</v>
      </c>
      <c r="J512">
        <v>3</v>
      </c>
      <c r="K512">
        <v>1</v>
      </c>
      <c r="L512" s="22" t="str">
        <f t="shared" si="176"/>
        <v>23/07/2026</v>
      </c>
      <c r="M512" s="23">
        <f t="shared" si="177"/>
        <v>0.5625</v>
      </c>
      <c r="N512" t="str">
        <f t="shared" si="157"/>
        <v>3 - 1</v>
      </c>
      <c r="O512" t="str">
        <f t="shared" si="158"/>
        <v>Green</v>
      </c>
      <c r="P512" t="str">
        <f t="shared" si="159"/>
        <v>Red</v>
      </c>
      <c r="Q512" t="str">
        <f t="shared" si="160"/>
        <v>Red</v>
      </c>
      <c r="R512" t="str">
        <f t="shared" si="161"/>
        <v>Green</v>
      </c>
      <c r="S512" t="str">
        <f t="shared" si="162"/>
        <v>Red</v>
      </c>
      <c r="T512" t="str">
        <f t="shared" si="163"/>
        <v>Green</v>
      </c>
      <c r="U512" t="str">
        <f t="shared" si="164"/>
        <v>Red</v>
      </c>
      <c r="V512" t="str">
        <f t="shared" si="165"/>
        <v>Red</v>
      </c>
      <c r="W512" t="str">
        <f t="shared" si="166"/>
        <v>Green</v>
      </c>
      <c r="X512" t="str">
        <f t="shared" si="167"/>
        <v>Green</v>
      </c>
      <c r="Y512" t="str">
        <f t="shared" si="168"/>
        <v>Green</v>
      </c>
      <c r="Z512" t="str">
        <f t="shared" si="169"/>
        <v>Green</v>
      </c>
      <c r="AA512" t="str">
        <f t="shared" si="170"/>
        <v>Red</v>
      </c>
      <c r="AB512" t="str">
        <f t="shared" si="171"/>
        <v>Red</v>
      </c>
      <c r="AC512" t="str">
        <f t="shared" si="172"/>
        <v>Green</v>
      </c>
      <c r="AD512" t="str">
        <f t="shared" si="173"/>
        <v>Red</v>
      </c>
    </row>
    <row r="513" spans="1:30" x14ac:dyDescent="0.2">
      <c r="A513" t="str">
        <f t="shared" si="156"/>
        <v>23/07/2026Rigas Futbola SkolaIF Vestri</v>
      </c>
      <c r="B513" t="s">
        <v>802</v>
      </c>
      <c r="C513" t="s">
        <v>1326</v>
      </c>
      <c r="D513" s="2">
        <v>46226</v>
      </c>
      <c r="E513" s="3">
        <v>0.6875</v>
      </c>
      <c r="F513" t="s">
        <v>290</v>
      </c>
      <c r="G513" t="s">
        <v>265</v>
      </c>
      <c r="H513">
        <v>3</v>
      </c>
      <c r="I513">
        <v>0</v>
      </c>
      <c r="J513">
        <v>4</v>
      </c>
      <c r="K513">
        <v>1</v>
      </c>
      <c r="L513" s="22" t="str">
        <f t="shared" si="176"/>
        <v>23/07/2026</v>
      </c>
      <c r="M513" s="23">
        <f t="shared" si="177"/>
        <v>0.5625</v>
      </c>
      <c r="N513" t="str">
        <f t="shared" si="157"/>
        <v>4 - 1</v>
      </c>
      <c r="O513" t="str">
        <f t="shared" si="158"/>
        <v>Green</v>
      </c>
      <c r="P513" t="str">
        <f t="shared" si="159"/>
        <v>Red</v>
      </c>
      <c r="Q513" t="str">
        <f t="shared" si="160"/>
        <v>Red</v>
      </c>
      <c r="R513" t="str">
        <f t="shared" si="161"/>
        <v>Green</v>
      </c>
      <c r="S513" t="str">
        <f t="shared" si="162"/>
        <v>Red</v>
      </c>
      <c r="T513" t="str">
        <f t="shared" si="163"/>
        <v>Green</v>
      </c>
      <c r="U513" t="str">
        <f t="shared" si="164"/>
        <v>Green</v>
      </c>
      <c r="V513" t="str">
        <f t="shared" si="165"/>
        <v>Red</v>
      </c>
      <c r="W513" t="str">
        <f t="shared" si="166"/>
        <v>Red</v>
      </c>
      <c r="X513" t="str">
        <f t="shared" si="167"/>
        <v>Green</v>
      </c>
      <c r="Y513" t="str">
        <f t="shared" si="168"/>
        <v>Green</v>
      </c>
      <c r="Z513" t="str">
        <f t="shared" si="169"/>
        <v>Green</v>
      </c>
      <c r="AA513" t="str">
        <f t="shared" si="170"/>
        <v>Red</v>
      </c>
      <c r="AB513" t="str">
        <f t="shared" si="171"/>
        <v>Red</v>
      </c>
      <c r="AC513" t="str">
        <f t="shared" si="172"/>
        <v>Green</v>
      </c>
      <c r="AD513" t="str">
        <f t="shared" si="173"/>
        <v>Red</v>
      </c>
    </row>
    <row r="514" spans="1:30" x14ac:dyDescent="0.2">
      <c r="A514" t="str">
        <f t="shared" ref="A514:A577" si="178">L514&amp;F514&amp;G514</f>
        <v>23/07/2026Dynamo KievPAOK FC</v>
      </c>
      <c r="B514" t="s">
        <v>802</v>
      </c>
      <c r="C514" t="s">
        <v>1889</v>
      </c>
      <c r="D514" s="2">
        <v>46226</v>
      </c>
      <c r="E514" s="3">
        <v>0.70833333333333337</v>
      </c>
      <c r="F514" t="s">
        <v>1893</v>
      </c>
      <c r="G514" t="s">
        <v>1894</v>
      </c>
      <c r="H514">
        <v>1</v>
      </c>
      <c r="I514">
        <v>2</v>
      </c>
      <c r="J514">
        <v>2</v>
      </c>
      <c r="K514">
        <v>3</v>
      </c>
      <c r="L514" s="22" t="str">
        <f t="shared" si="176"/>
        <v>23/07/2026</v>
      </c>
      <c r="M514" s="23">
        <f t="shared" si="177"/>
        <v>0.58333333333333337</v>
      </c>
      <c r="N514" t="str">
        <f t="shared" ref="N514:N577" si="179">J514&amp;" - "&amp;K514</f>
        <v>2 - 3</v>
      </c>
      <c r="O514" t="str">
        <f t="shared" ref="O514:O577" si="180">IF($J514&gt;$K514,"Green","Red")</f>
        <v>Red</v>
      </c>
      <c r="P514" t="str">
        <f t="shared" ref="P514:P577" si="181">IF($J514=$K514,"Green","Red")</f>
        <v>Red</v>
      </c>
      <c r="Q514" t="str">
        <f t="shared" ref="Q514:Q577" si="182">IF($J514&lt;$K514,"Green","Red")</f>
        <v>Green</v>
      </c>
      <c r="R514" t="str">
        <f t="shared" ref="R514:R577" si="183">IF($J514&gt;=$K514,"Green","Red")</f>
        <v>Red</v>
      </c>
      <c r="S514" t="str">
        <f t="shared" ref="S514:S577" si="184">IF($J514&lt;=$K514,"Green","Red")</f>
        <v>Green</v>
      </c>
      <c r="T514" t="str">
        <f t="shared" ref="T514:T577" si="185">IF(OR($J514&gt;$K514,$J514&lt;$K514),"Green","Red")</f>
        <v>Green</v>
      </c>
      <c r="U514" t="str">
        <f t="shared" ref="U514:U577" si="186">IF($H514&gt;$I514,"Green","Red")</f>
        <v>Red</v>
      </c>
      <c r="V514" t="str">
        <f t="shared" ref="V514:V577" si="187">IF($H514=$I514,"Green","Red")</f>
        <v>Red</v>
      </c>
      <c r="W514" t="str">
        <f t="shared" ref="W514:W577" si="188">IF($H514&lt;$I514,"Green","Red")</f>
        <v>Green</v>
      </c>
      <c r="X514" t="str">
        <f t="shared" ref="X514:X577" si="189">IF($H514+$I514&gt;0,"Green","Red")</f>
        <v>Green</v>
      </c>
      <c r="Y514" t="str">
        <f t="shared" ref="Y514:Y577" si="190">IF($J514+$K514&gt;1.5,"Green","Red")</f>
        <v>Green</v>
      </c>
      <c r="Z514" t="str">
        <f t="shared" ref="Z514:Z577" si="191">IF($J514+$K514&gt;2.5,"Green","Red")</f>
        <v>Green</v>
      </c>
      <c r="AA514" t="str">
        <f t="shared" ref="AA514:AA577" si="192">IF($J514+$K514&lt;2.5,"Green","Red")</f>
        <v>Red</v>
      </c>
      <c r="AB514" t="str">
        <f t="shared" ref="AB514:AB577" si="193">IF($J514+$K514&lt;3.5,"Green","Red")</f>
        <v>Red</v>
      </c>
      <c r="AC514" t="str">
        <f t="shared" ref="AC514:AC577" si="194">IF(AND($J514&gt;0,$K514&gt;0),"Green","Red")</f>
        <v>Green</v>
      </c>
      <c r="AD514" t="str">
        <f t="shared" ref="AD514:AD577" si="195">IF(OR($J514=0,$K514=0),"Green","Red")</f>
        <v>Red</v>
      </c>
    </row>
    <row r="515" spans="1:30" x14ac:dyDescent="0.2">
      <c r="A515" t="str">
        <f t="shared" si="178"/>
        <v>23/07/2026FC Sheriff TiraspolMaccabi Tel Aviv</v>
      </c>
      <c r="B515" t="s">
        <v>802</v>
      </c>
      <c r="C515" t="s">
        <v>1889</v>
      </c>
      <c r="D515" s="2">
        <v>46226</v>
      </c>
      <c r="E515" s="3">
        <v>0.70833333333333337</v>
      </c>
      <c r="F515" t="s">
        <v>1895</v>
      </c>
      <c r="G515" t="s">
        <v>1896</v>
      </c>
      <c r="H515">
        <v>0</v>
      </c>
      <c r="I515">
        <v>2</v>
      </c>
      <c r="J515">
        <v>0</v>
      </c>
      <c r="K515">
        <v>5</v>
      </c>
      <c r="L515" s="22" t="str">
        <f t="shared" si="176"/>
        <v>23/07/2026</v>
      </c>
      <c r="M515" s="23">
        <f t="shared" si="177"/>
        <v>0.58333333333333337</v>
      </c>
      <c r="N515" t="str">
        <f t="shared" si="179"/>
        <v>0 - 5</v>
      </c>
      <c r="O515" t="str">
        <f t="shared" si="180"/>
        <v>Red</v>
      </c>
      <c r="P515" t="str">
        <f t="shared" si="181"/>
        <v>Red</v>
      </c>
      <c r="Q515" t="str">
        <f t="shared" si="182"/>
        <v>Green</v>
      </c>
      <c r="R515" t="str">
        <f t="shared" si="183"/>
        <v>Red</v>
      </c>
      <c r="S515" t="str">
        <f t="shared" si="184"/>
        <v>Green</v>
      </c>
      <c r="T515" t="str">
        <f t="shared" si="185"/>
        <v>Green</v>
      </c>
      <c r="U515" t="str">
        <f t="shared" si="186"/>
        <v>Red</v>
      </c>
      <c r="V515" t="str">
        <f t="shared" si="187"/>
        <v>Red</v>
      </c>
      <c r="W515" t="str">
        <f t="shared" si="188"/>
        <v>Green</v>
      </c>
      <c r="X515" t="str">
        <f t="shared" si="189"/>
        <v>Green</v>
      </c>
      <c r="Y515" t="str">
        <f t="shared" si="190"/>
        <v>Green</v>
      </c>
      <c r="Z515" t="str">
        <f t="shared" si="191"/>
        <v>Green</v>
      </c>
      <c r="AA515" t="str">
        <f t="shared" si="192"/>
        <v>Red</v>
      </c>
      <c r="AB515" t="str">
        <f t="shared" si="193"/>
        <v>Red</v>
      </c>
      <c r="AC515" t="str">
        <f t="shared" si="194"/>
        <v>Red</v>
      </c>
      <c r="AD515" t="str">
        <f t="shared" si="195"/>
        <v>Green</v>
      </c>
    </row>
    <row r="516" spans="1:30" x14ac:dyDescent="0.2">
      <c r="A516" t="str">
        <f t="shared" si="178"/>
        <v>23/07/2026Hammarby IFAnderlecht</v>
      </c>
      <c r="B516" t="s">
        <v>802</v>
      </c>
      <c r="C516" t="s">
        <v>1889</v>
      </c>
      <c r="D516" s="2">
        <v>46226</v>
      </c>
      <c r="E516" s="3">
        <v>0.70833333333333337</v>
      </c>
      <c r="F516" t="s">
        <v>1897</v>
      </c>
      <c r="G516" t="s">
        <v>1898</v>
      </c>
      <c r="H516">
        <v>0</v>
      </c>
      <c r="I516">
        <v>1</v>
      </c>
      <c r="J516">
        <v>1</v>
      </c>
      <c r="K516">
        <v>1</v>
      </c>
      <c r="L516" s="22" t="str">
        <f t="shared" si="176"/>
        <v>23/07/2026</v>
      </c>
      <c r="M516" s="23">
        <f t="shared" si="177"/>
        <v>0.58333333333333337</v>
      </c>
      <c r="N516" t="str">
        <f t="shared" si="179"/>
        <v>1 - 1</v>
      </c>
      <c r="O516" t="str">
        <f t="shared" si="180"/>
        <v>Red</v>
      </c>
      <c r="P516" t="str">
        <f t="shared" si="181"/>
        <v>Green</v>
      </c>
      <c r="Q516" t="str">
        <f t="shared" si="182"/>
        <v>Red</v>
      </c>
      <c r="R516" t="str">
        <f t="shared" si="183"/>
        <v>Green</v>
      </c>
      <c r="S516" t="str">
        <f t="shared" si="184"/>
        <v>Green</v>
      </c>
      <c r="T516" t="str">
        <f t="shared" si="185"/>
        <v>Red</v>
      </c>
      <c r="U516" t="str">
        <f t="shared" si="186"/>
        <v>Red</v>
      </c>
      <c r="V516" t="str">
        <f t="shared" si="187"/>
        <v>Red</v>
      </c>
      <c r="W516" t="str">
        <f t="shared" si="188"/>
        <v>Green</v>
      </c>
      <c r="X516" t="str">
        <f t="shared" si="189"/>
        <v>Green</v>
      </c>
      <c r="Y516" t="str">
        <f t="shared" si="190"/>
        <v>Green</v>
      </c>
      <c r="Z516" t="str">
        <f t="shared" si="191"/>
        <v>Red</v>
      </c>
      <c r="AA516" t="str">
        <f t="shared" si="192"/>
        <v>Green</v>
      </c>
      <c r="AB516" t="str">
        <f t="shared" si="193"/>
        <v>Green</v>
      </c>
      <c r="AC516" t="str">
        <f t="shared" si="194"/>
        <v>Green</v>
      </c>
      <c r="AD516" t="str">
        <f t="shared" si="195"/>
        <v>Red</v>
      </c>
    </row>
    <row r="517" spans="1:30" x14ac:dyDescent="0.2">
      <c r="A517" t="str">
        <f t="shared" si="178"/>
        <v>23/07/2026TromsoHradec Kralove</v>
      </c>
      <c r="B517" t="s">
        <v>802</v>
      </c>
      <c r="C517" t="s">
        <v>1889</v>
      </c>
      <c r="D517" s="2">
        <v>46226</v>
      </c>
      <c r="E517" s="3">
        <v>0.70833333333333337</v>
      </c>
      <c r="F517" t="s">
        <v>1890</v>
      </c>
      <c r="G517" t="s">
        <v>1899</v>
      </c>
      <c r="H517">
        <v>0</v>
      </c>
      <c r="I517">
        <v>0</v>
      </c>
      <c r="J517">
        <v>0</v>
      </c>
      <c r="K517">
        <v>1</v>
      </c>
      <c r="L517" s="22" t="str">
        <f t="shared" si="176"/>
        <v>23/07/2026</v>
      </c>
      <c r="M517" s="23">
        <f t="shared" si="177"/>
        <v>0.58333333333333337</v>
      </c>
      <c r="N517" t="str">
        <f t="shared" si="179"/>
        <v>0 - 1</v>
      </c>
      <c r="O517" t="str">
        <f t="shared" si="180"/>
        <v>Red</v>
      </c>
      <c r="P517" t="str">
        <f t="shared" si="181"/>
        <v>Red</v>
      </c>
      <c r="Q517" t="str">
        <f t="shared" si="182"/>
        <v>Green</v>
      </c>
      <c r="R517" t="str">
        <f t="shared" si="183"/>
        <v>Red</v>
      </c>
      <c r="S517" t="str">
        <f t="shared" si="184"/>
        <v>Green</v>
      </c>
      <c r="T517" t="str">
        <f t="shared" si="185"/>
        <v>Green</v>
      </c>
      <c r="U517" t="str">
        <f t="shared" si="186"/>
        <v>Red</v>
      </c>
      <c r="V517" t="str">
        <f t="shared" si="187"/>
        <v>Green</v>
      </c>
      <c r="W517" t="str">
        <f t="shared" si="188"/>
        <v>Red</v>
      </c>
      <c r="X517" t="str">
        <f t="shared" si="189"/>
        <v>Red</v>
      </c>
      <c r="Y517" t="str">
        <f t="shared" si="190"/>
        <v>Red</v>
      </c>
      <c r="Z517" t="str">
        <f t="shared" si="191"/>
        <v>Red</v>
      </c>
      <c r="AA517" t="str">
        <f t="shared" si="192"/>
        <v>Green</v>
      </c>
      <c r="AB517" t="str">
        <f t="shared" si="193"/>
        <v>Green</v>
      </c>
      <c r="AC517" t="str">
        <f t="shared" si="194"/>
        <v>Red</v>
      </c>
      <c r="AD517" t="str">
        <f t="shared" si="195"/>
        <v>Green</v>
      </c>
    </row>
    <row r="518" spans="1:30" x14ac:dyDescent="0.2">
      <c r="A518" t="str">
        <f t="shared" si="178"/>
        <v>23/07/2026BATE BorisovFC Sion</v>
      </c>
      <c r="B518" t="s">
        <v>802</v>
      </c>
      <c r="C518" t="s">
        <v>1326</v>
      </c>
      <c r="D518" s="2">
        <v>46226</v>
      </c>
      <c r="E518" s="3">
        <v>0.70833333333333337</v>
      </c>
      <c r="F518" t="s">
        <v>1927</v>
      </c>
      <c r="G518" t="s">
        <v>1928</v>
      </c>
      <c r="H518">
        <v>1</v>
      </c>
      <c r="I518">
        <v>1</v>
      </c>
      <c r="J518">
        <v>1</v>
      </c>
      <c r="K518">
        <v>1</v>
      </c>
      <c r="L518" s="22" t="str">
        <f t="shared" si="176"/>
        <v>23/07/2026</v>
      </c>
      <c r="M518" s="23">
        <f t="shared" si="177"/>
        <v>0.58333333333333337</v>
      </c>
      <c r="N518" t="str">
        <f t="shared" si="179"/>
        <v>1 - 1</v>
      </c>
      <c r="O518" t="str">
        <f t="shared" si="180"/>
        <v>Red</v>
      </c>
      <c r="P518" t="str">
        <f t="shared" si="181"/>
        <v>Green</v>
      </c>
      <c r="Q518" t="str">
        <f t="shared" si="182"/>
        <v>Red</v>
      </c>
      <c r="R518" t="str">
        <f t="shared" si="183"/>
        <v>Green</v>
      </c>
      <c r="S518" t="str">
        <f t="shared" si="184"/>
        <v>Green</v>
      </c>
      <c r="T518" t="str">
        <f t="shared" si="185"/>
        <v>Red</v>
      </c>
      <c r="U518" t="str">
        <f t="shared" si="186"/>
        <v>Red</v>
      </c>
      <c r="V518" t="str">
        <f t="shared" si="187"/>
        <v>Green</v>
      </c>
      <c r="W518" t="str">
        <f t="shared" si="188"/>
        <v>Red</v>
      </c>
      <c r="X518" t="str">
        <f t="shared" si="189"/>
        <v>Green</v>
      </c>
      <c r="Y518" t="str">
        <f t="shared" si="190"/>
        <v>Green</v>
      </c>
      <c r="Z518" t="str">
        <f t="shared" si="191"/>
        <v>Red</v>
      </c>
      <c r="AA518" t="str">
        <f t="shared" si="192"/>
        <v>Green</v>
      </c>
      <c r="AB518" t="str">
        <f t="shared" si="193"/>
        <v>Green</v>
      </c>
      <c r="AC518" t="str">
        <f t="shared" si="194"/>
        <v>Green</v>
      </c>
      <c r="AD518" t="str">
        <f t="shared" si="195"/>
        <v>Red</v>
      </c>
    </row>
    <row r="519" spans="1:30" x14ac:dyDescent="0.2">
      <c r="A519" t="str">
        <f t="shared" si="178"/>
        <v>23/07/2026Dinamo TbilisiVMFD Zalgiris</v>
      </c>
      <c r="B519" t="s">
        <v>802</v>
      </c>
      <c r="C519" t="s">
        <v>1326</v>
      </c>
      <c r="D519" s="2">
        <v>46226</v>
      </c>
      <c r="E519" s="3">
        <v>0.70833333333333337</v>
      </c>
      <c r="F519" t="s">
        <v>1929</v>
      </c>
      <c r="G519" t="s">
        <v>1930</v>
      </c>
      <c r="H519">
        <v>3</v>
      </c>
      <c r="I519">
        <v>0</v>
      </c>
      <c r="J519">
        <v>3</v>
      </c>
      <c r="K519">
        <v>0</v>
      </c>
      <c r="L519" s="22" t="str">
        <f t="shared" si="176"/>
        <v>23/07/2026</v>
      </c>
      <c r="M519" s="23">
        <f t="shared" si="177"/>
        <v>0.58333333333333337</v>
      </c>
      <c r="N519" t="str">
        <f t="shared" si="179"/>
        <v>3 - 0</v>
      </c>
      <c r="O519" t="str">
        <f t="shared" si="180"/>
        <v>Green</v>
      </c>
      <c r="P519" t="str">
        <f t="shared" si="181"/>
        <v>Red</v>
      </c>
      <c r="Q519" t="str">
        <f t="shared" si="182"/>
        <v>Red</v>
      </c>
      <c r="R519" t="str">
        <f t="shared" si="183"/>
        <v>Green</v>
      </c>
      <c r="S519" t="str">
        <f t="shared" si="184"/>
        <v>Red</v>
      </c>
      <c r="T519" t="str">
        <f t="shared" si="185"/>
        <v>Green</v>
      </c>
      <c r="U519" t="str">
        <f t="shared" si="186"/>
        <v>Green</v>
      </c>
      <c r="V519" t="str">
        <f t="shared" si="187"/>
        <v>Red</v>
      </c>
      <c r="W519" t="str">
        <f t="shared" si="188"/>
        <v>Red</v>
      </c>
      <c r="X519" t="str">
        <f t="shared" si="189"/>
        <v>Green</v>
      </c>
      <c r="Y519" t="str">
        <f t="shared" si="190"/>
        <v>Green</v>
      </c>
      <c r="Z519" t="str">
        <f t="shared" si="191"/>
        <v>Green</v>
      </c>
      <c r="AA519" t="str">
        <f t="shared" si="192"/>
        <v>Red</v>
      </c>
      <c r="AB519" t="str">
        <f t="shared" si="193"/>
        <v>Green</v>
      </c>
      <c r="AC519" t="str">
        <f t="shared" si="194"/>
        <v>Red</v>
      </c>
      <c r="AD519" t="str">
        <f t="shared" si="195"/>
        <v>Green</v>
      </c>
    </row>
    <row r="520" spans="1:30" x14ac:dyDescent="0.2">
      <c r="A520" t="str">
        <f t="shared" si="178"/>
        <v>23/07/2026FC Santa ColomaRapid Wien</v>
      </c>
      <c r="B520" t="s">
        <v>802</v>
      </c>
      <c r="C520" t="s">
        <v>1326</v>
      </c>
      <c r="D520" s="2">
        <v>46226</v>
      </c>
      <c r="E520" s="3">
        <v>0.70833333333333337</v>
      </c>
      <c r="F520" t="s">
        <v>1931</v>
      </c>
      <c r="G520" t="s">
        <v>1932</v>
      </c>
      <c r="H520">
        <v>0</v>
      </c>
      <c r="I520">
        <v>0</v>
      </c>
      <c r="J520">
        <v>1</v>
      </c>
      <c r="K520">
        <v>3</v>
      </c>
      <c r="L520" s="22" t="str">
        <f t="shared" si="176"/>
        <v>23/07/2026</v>
      </c>
      <c r="M520" s="23">
        <f t="shared" si="177"/>
        <v>0.58333333333333337</v>
      </c>
      <c r="N520" t="str">
        <f t="shared" si="179"/>
        <v>1 - 3</v>
      </c>
      <c r="O520" t="str">
        <f t="shared" si="180"/>
        <v>Red</v>
      </c>
      <c r="P520" t="str">
        <f t="shared" si="181"/>
        <v>Red</v>
      </c>
      <c r="Q520" t="str">
        <f t="shared" si="182"/>
        <v>Green</v>
      </c>
      <c r="R520" t="str">
        <f t="shared" si="183"/>
        <v>Red</v>
      </c>
      <c r="S520" t="str">
        <f t="shared" si="184"/>
        <v>Green</v>
      </c>
      <c r="T520" t="str">
        <f t="shared" si="185"/>
        <v>Green</v>
      </c>
      <c r="U520" t="str">
        <f t="shared" si="186"/>
        <v>Red</v>
      </c>
      <c r="V520" t="str">
        <f t="shared" si="187"/>
        <v>Green</v>
      </c>
      <c r="W520" t="str">
        <f t="shared" si="188"/>
        <v>Red</v>
      </c>
      <c r="X520" t="str">
        <f t="shared" si="189"/>
        <v>Red</v>
      </c>
      <c r="Y520" t="str">
        <f t="shared" si="190"/>
        <v>Green</v>
      </c>
      <c r="Z520" t="str">
        <f t="shared" si="191"/>
        <v>Green</v>
      </c>
      <c r="AA520" t="str">
        <f t="shared" si="192"/>
        <v>Red</v>
      </c>
      <c r="AB520" t="str">
        <f t="shared" si="193"/>
        <v>Red</v>
      </c>
      <c r="AC520" t="str">
        <f t="shared" si="194"/>
        <v>Green</v>
      </c>
      <c r="AD520" t="str">
        <f t="shared" si="195"/>
        <v>Red</v>
      </c>
    </row>
    <row r="521" spans="1:30" x14ac:dyDescent="0.2">
      <c r="A521" t="str">
        <f t="shared" si="178"/>
        <v>23/07/2026FC ZimbruFC Noah</v>
      </c>
      <c r="B521" t="s">
        <v>802</v>
      </c>
      <c r="C521" t="s">
        <v>1326</v>
      </c>
      <c r="D521" s="2">
        <v>46226</v>
      </c>
      <c r="E521" s="3">
        <v>0.70833333333333337</v>
      </c>
      <c r="F521" t="s">
        <v>1933</v>
      </c>
      <c r="G521" t="s">
        <v>1934</v>
      </c>
      <c r="H521">
        <v>1</v>
      </c>
      <c r="I521">
        <v>0</v>
      </c>
      <c r="J521">
        <v>1</v>
      </c>
      <c r="K521">
        <v>1</v>
      </c>
      <c r="L521" s="22" t="str">
        <f t="shared" si="176"/>
        <v>23/07/2026</v>
      </c>
      <c r="M521" s="23">
        <f t="shared" si="177"/>
        <v>0.58333333333333337</v>
      </c>
      <c r="N521" t="str">
        <f t="shared" si="179"/>
        <v>1 - 1</v>
      </c>
      <c r="O521" t="str">
        <f t="shared" si="180"/>
        <v>Red</v>
      </c>
      <c r="P521" t="str">
        <f t="shared" si="181"/>
        <v>Green</v>
      </c>
      <c r="Q521" t="str">
        <f t="shared" si="182"/>
        <v>Red</v>
      </c>
      <c r="R521" t="str">
        <f t="shared" si="183"/>
        <v>Green</v>
      </c>
      <c r="S521" t="str">
        <f t="shared" si="184"/>
        <v>Green</v>
      </c>
      <c r="T521" t="str">
        <f t="shared" si="185"/>
        <v>Red</v>
      </c>
      <c r="U521" t="str">
        <f t="shared" si="186"/>
        <v>Green</v>
      </c>
      <c r="V521" t="str">
        <f t="shared" si="187"/>
        <v>Red</v>
      </c>
      <c r="W521" t="str">
        <f t="shared" si="188"/>
        <v>Red</v>
      </c>
      <c r="X521" t="str">
        <f t="shared" si="189"/>
        <v>Green</v>
      </c>
      <c r="Y521" t="str">
        <f t="shared" si="190"/>
        <v>Green</v>
      </c>
      <c r="Z521" t="str">
        <f t="shared" si="191"/>
        <v>Red</v>
      </c>
      <c r="AA521" t="str">
        <f t="shared" si="192"/>
        <v>Green</v>
      </c>
      <c r="AB521" t="str">
        <f t="shared" si="193"/>
        <v>Green</v>
      </c>
      <c r="AC521" t="str">
        <f t="shared" si="194"/>
        <v>Green</v>
      </c>
      <c r="AD521" t="str">
        <f t="shared" si="195"/>
        <v>Red</v>
      </c>
    </row>
    <row r="522" spans="1:30" x14ac:dyDescent="0.2">
      <c r="A522" t="str">
        <f t="shared" si="178"/>
        <v>23/07/2026GAIS GothenburgFC Nordsjaelland</v>
      </c>
      <c r="B522" t="s">
        <v>802</v>
      </c>
      <c r="C522" t="s">
        <v>1326</v>
      </c>
      <c r="D522" s="2">
        <v>46226</v>
      </c>
      <c r="E522" s="3">
        <v>0.70833333333333337</v>
      </c>
      <c r="F522" t="s">
        <v>1935</v>
      </c>
      <c r="G522" t="s">
        <v>1085</v>
      </c>
      <c r="H522">
        <v>1</v>
      </c>
      <c r="I522">
        <v>0</v>
      </c>
      <c r="J522">
        <v>1</v>
      </c>
      <c r="K522">
        <v>0</v>
      </c>
      <c r="L522" s="22" t="str">
        <f t="shared" ref="L522:L553" si="196">DAY(D522)&amp;"/"&amp;"07"&amp;"/"&amp;YEAR(D522)</f>
        <v>23/07/2026</v>
      </c>
      <c r="M522" s="23">
        <f t="shared" ref="M522:M553" si="197">E522-TIME(3,0,0)</f>
        <v>0.58333333333333337</v>
      </c>
      <c r="N522" t="str">
        <f t="shared" si="179"/>
        <v>1 - 0</v>
      </c>
      <c r="O522" t="str">
        <f t="shared" si="180"/>
        <v>Green</v>
      </c>
      <c r="P522" t="str">
        <f t="shared" si="181"/>
        <v>Red</v>
      </c>
      <c r="Q522" t="str">
        <f t="shared" si="182"/>
        <v>Red</v>
      </c>
      <c r="R522" t="str">
        <f t="shared" si="183"/>
        <v>Green</v>
      </c>
      <c r="S522" t="str">
        <f t="shared" si="184"/>
        <v>Red</v>
      </c>
      <c r="T522" t="str">
        <f t="shared" si="185"/>
        <v>Green</v>
      </c>
      <c r="U522" t="str">
        <f t="shared" si="186"/>
        <v>Green</v>
      </c>
      <c r="V522" t="str">
        <f t="shared" si="187"/>
        <v>Red</v>
      </c>
      <c r="W522" t="str">
        <f t="shared" si="188"/>
        <v>Red</v>
      </c>
      <c r="X522" t="str">
        <f t="shared" si="189"/>
        <v>Green</v>
      </c>
      <c r="Y522" t="str">
        <f t="shared" si="190"/>
        <v>Red</v>
      </c>
      <c r="Z522" t="str">
        <f t="shared" si="191"/>
        <v>Red</v>
      </c>
      <c r="AA522" t="str">
        <f t="shared" si="192"/>
        <v>Green</v>
      </c>
      <c r="AB522" t="str">
        <f t="shared" si="193"/>
        <v>Green</v>
      </c>
      <c r="AC522" t="str">
        <f t="shared" si="194"/>
        <v>Red</v>
      </c>
      <c r="AD522" t="str">
        <f t="shared" si="195"/>
        <v>Green</v>
      </c>
    </row>
    <row r="523" spans="1:30" x14ac:dyDescent="0.2">
      <c r="A523" t="str">
        <f t="shared" si="178"/>
        <v>23/07/2026Maxline VitebskFK Sutjeska Niksic</v>
      </c>
      <c r="B523" t="s">
        <v>802</v>
      </c>
      <c r="C523" t="s">
        <v>1326</v>
      </c>
      <c r="D523" s="2">
        <v>46226</v>
      </c>
      <c r="E523" s="3">
        <v>0.70833333333333337</v>
      </c>
      <c r="F523" t="s">
        <v>1936</v>
      </c>
      <c r="G523" t="s">
        <v>1937</v>
      </c>
      <c r="H523">
        <v>2</v>
      </c>
      <c r="I523">
        <v>0</v>
      </c>
      <c r="J523">
        <v>3</v>
      </c>
      <c r="K523">
        <v>0</v>
      </c>
      <c r="L523" s="22" t="str">
        <f t="shared" si="196"/>
        <v>23/07/2026</v>
      </c>
      <c r="M523" s="23">
        <f t="shared" si="197"/>
        <v>0.58333333333333337</v>
      </c>
      <c r="N523" t="str">
        <f t="shared" si="179"/>
        <v>3 - 0</v>
      </c>
      <c r="O523" t="str">
        <f t="shared" si="180"/>
        <v>Green</v>
      </c>
      <c r="P523" t="str">
        <f t="shared" si="181"/>
        <v>Red</v>
      </c>
      <c r="Q523" t="str">
        <f t="shared" si="182"/>
        <v>Red</v>
      </c>
      <c r="R523" t="str">
        <f t="shared" si="183"/>
        <v>Green</v>
      </c>
      <c r="S523" t="str">
        <f t="shared" si="184"/>
        <v>Red</v>
      </c>
      <c r="T523" t="str">
        <f t="shared" si="185"/>
        <v>Green</v>
      </c>
      <c r="U523" t="str">
        <f t="shared" si="186"/>
        <v>Green</v>
      </c>
      <c r="V523" t="str">
        <f t="shared" si="187"/>
        <v>Red</v>
      </c>
      <c r="W523" t="str">
        <f t="shared" si="188"/>
        <v>Red</v>
      </c>
      <c r="X523" t="str">
        <f t="shared" si="189"/>
        <v>Green</v>
      </c>
      <c r="Y523" t="str">
        <f t="shared" si="190"/>
        <v>Green</v>
      </c>
      <c r="Z523" t="str">
        <f t="shared" si="191"/>
        <v>Green</v>
      </c>
      <c r="AA523" t="str">
        <f t="shared" si="192"/>
        <v>Red</v>
      </c>
      <c r="AB523" t="str">
        <f t="shared" si="193"/>
        <v>Green</v>
      </c>
      <c r="AC523" t="str">
        <f t="shared" si="194"/>
        <v>Red</v>
      </c>
      <c r="AD523" t="str">
        <f t="shared" si="195"/>
        <v>Green</v>
      </c>
    </row>
    <row r="524" spans="1:30" x14ac:dyDescent="0.2">
      <c r="A524" t="str">
        <f t="shared" si="178"/>
        <v>23/07/2026Universitatea ClujBrann</v>
      </c>
      <c r="B524" t="s">
        <v>802</v>
      </c>
      <c r="C524" t="s">
        <v>1326</v>
      </c>
      <c r="D524" s="2">
        <v>46226</v>
      </c>
      <c r="E524" s="3">
        <v>0.70833333333333337</v>
      </c>
      <c r="F524" t="s">
        <v>1045</v>
      </c>
      <c r="G524" t="s">
        <v>1938</v>
      </c>
      <c r="H524">
        <v>0</v>
      </c>
      <c r="I524">
        <v>1</v>
      </c>
      <c r="J524">
        <v>2</v>
      </c>
      <c r="K524">
        <v>2</v>
      </c>
      <c r="L524" s="22" t="str">
        <f t="shared" si="196"/>
        <v>23/07/2026</v>
      </c>
      <c r="M524" s="23">
        <f t="shared" si="197"/>
        <v>0.58333333333333337</v>
      </c>
      <c r="N524" t="str">
        <f t="shared" si="179"/>
        <v>2 - 2</v>
      </c>
      <c r="O524" t="str">
        <f t="shared" si="180"/>
        <v>Red</v>
      </c>
      <c r="P524" t="str">
        <f t="shared" si="181"/>
        <v>Green</v>
      </c>
      <c r="Q524" t="str">
        <f t="shared" si="182"/>
        <v>Red</v>
      </c>
      <c r="R524" t="str">
        <f t="shared" si="183"/>
        <v>Green</v>
      </c>
      <c r="S524" t="str">
        <f t="shared" si="184"/>
        <v>Green</v>
      </c>
      <c r="T524" t="str">
        <f t="shared" si="185"/>
        <v>Red</v>
      </c>
      <c r="U524" t="str">
        <f t="shared" si="186"/>
        <v>Red</v>
      </c>
      <c r="V524" t="str">
        <f t="shared" si="187"/>
        <v>Red</v>
      </c>
      <c r="W524" t="str">
        <f t="shared" si="188"/>
        <v>Green</v>
      </c>
      <c r="X524" t="str">
        <f t="shared" si="189"/>
        <v>Green</v>
      </c>
      <c r="Y524" t="str">
        <f t="shared" si="190"/>
        <v>Green</v>
      </c>
      <c r="Z524" t="str">
        <f t="shared" si="191"/>
        <v>Green</v>
      </c>
      <c r="AA524" t="str">
        <f t="shared" si="192"/>
        <v>Red</v>
      </c>
      <c r="AB524" t="str">
        <f t="shared" si="193"/>
        <v>Red</v>
      </c>
      <c r="AC524" t="str">
        <f t="shared" si="194"/>
        <v>Green</v>
      </c>
      <c r="AD524" t="str">
        <f t="shared" si="195"/>
        <v>Red</v>
      </c>
    </row>
    <row r="525" spans="1:30" x14ac:dyDescent="0.2">
      <c r="A525" t="str">
        <f t="shared" si="178"/>
        <v>23/07/2026Fish UnitedAC Estudiantes</v>
      </c>
      <c r="D525" s="2">
        <v>46226</v>
      </c>
      <c r="E525" s="3">
        <v>0.70833333333333337</v>
      </c>
      <c r="F525" t="s">
        <v>2033</v>
      </c>
      <c r="G525" t="s">
        <v>2034</v>
      </c>
      <c r="H525">
        <v>0</v>
      </c>
      <c r="I525">
        <v>0</v>
      </c>
      <c r="J525">
        <v>5</v>
      </c>
      <c r="K525">
        <v>2</v>
      </c>
      <c r="L525" s="22" t="str">
        <f t="shared" si="196"/>
        <v>23/07/2026</v>
      </c>
      <c r="M525" s="23">
        <f t="shared" si="197"/>
        <v>0.58333333333333337</v>
      </c>
      <c r="N525" t="str">
        <f t="shared" si="179"/>
        <v>5 - 2</v>
      </c>
      <c r="O525" t="str">
        <f t="shared" si="180"/>
        <v>Green</v>
      </c>
      <c r="P525" t="str">
        <f t="shared" si="181"/>
        <v>Red</v>
      </c>
      <c r="Q525" t="str">
        <f t="shared" si="182"/>
        <v>Red</v>
      </c>
      <c r="R525" t="str">
        <f t="shared" si="183"/>
        <v>Green</v>
      </c>
      <c r="S525" t="str">
        <f t="shared" si="184"/>
        <v>Red</v>
      </c>
      <c r="T525" t="str">
        <f t="shared" si="185"/>
        <v>Green</v>
      </c>
      <c r="U525" t="str">
        <f t="shared" si="186"/>
        <v>Red</v>
      </c>
      <c r="V525" t="str">
        <f t="shared" si="187"/>
        <v>Green</v>
      </c>
      <c r="W525" t="str">
        <f t="shared" si="188"/>
        <v>Red</v>
      </c>
      <c r="X525" t="str">
        <f t="shared" si="189"/>
        <v>Red</v>
      </c>
      <c r="Y525" t="str">
        <f t="shared" si="190"/>
        <v>Green</v>
      </c>
      <c r="Z525" t="str">
        <f t="shared" si="191"/>
        <v>Green</v>
      </c>
      <c r="AA525" t="str">
        <f t="shared" si="192"/>
        <v>Red</v>
      </c>
      <c r="AB525" t="str">
        <f t="shared" si="193"/>
        <v>Red</v>
      </c>
      <c r="AC525" t="str">
        <f t="shared" si="194"/>
        <v>Green</v>
      </c>
      <c r="AD525" t="str">
        <f t="shared" si="195"/>
        <v>Red</v>
      </c>
    </row>
    <row r="526" spans="1:30" x14ac:dyDescent="0.2">
      <c r="A526" t="str">
        <f t="shared" si="178"/>
        <v>23/07/2026PonnistusSibboV</v>
      </c>
      <c r="D526" s="2">
        <v>46226</v>
      </c>
      <c r="E526" s="3">
        <v>0.70833333333333337</v>
      </c>
      <c r="F526" t="s">
        <v>2035</v>
      </c>
      <c r="G526" t="s">
        <v>2036</v>
      </c>
      <c r="H526">
        <v>0</v>
      </c>
      <c r="I526">
        <v>0</v>
      </c>
      <c r="J526">
        <v>0</v>
      </c>
      <c r="K526">
        <v>2</v>
      </c>
      <c r="L526" s="22" t="str">
        <f t="shared" si="196"/>
        <v>23/07/2026</v>
      </c>
      <c r="M526" s="23">
        <f t="shared" si="197"/>
        <v>0.58333333333333337</v>
      </c>
      <c r="N526" t="str">
        <f t="shared" si="179"/>
        <v>0 - 2</v>
      </c>
      <c r="O526" t="str">
        <f t="shared" si="180"/>
        <v>Red</v>
      </c>
      <c r="P526" t="str">
        <f t="shared" si="181"/>
        <v>Red</v>
      </c>
      <c r="Q526" t="str">
        <f t="shared" si="182"/>
        <v>Green</v>
      </c>
      <c r="R526" t="str">
        <f t="shared" si="183"/>
        <v>Red</v>
      </c>
      <c r="S526" t="str">
        <f t="shared" si="184"/>
        <v>Green</v>
      </c>
      <c r="T526" t="str">
        <f t="shared" si="185"/>
        <v>Green</v>
      </c>
      <c r="U526" t="str">
        <f t="shared" si="186"/>
        <v>Red</v>
      </c>
      <c r="V526" t="str">
        <f t="shared" si="187"/>
        <v>Green</v>
      </c>
      <c r="W526" t="str">
        <f t="shared" si="188"/>
        <v>Red</v>
      </c>
      <c r="X526" t="str">
        <f t="shared" si="189"/>
        <v>Red</v>
      </c>
      <c r="Y526" t="str">
        <f t="shared" si="190"/>
        <v>Green</v>
      </c>
      <c r="Z526" t="str">
        <f t="shared" si="191"/>
        <v>Red</v>
      </c>
      <c r="AA526" t="str">
        <f t="shared" si="192"/>
        <v>Green</v>
      </c>
      <c r="AB526" t="str">
        <f t="shared" si="193"/>
        <v>Green</v>
      </c>
      <c r="AC526" t="str">
        <f t="shared" si="194"/>
        <v>Red</v>
      </c>
      <c r="AD526" t="str">
        <f t="shared" si="195"/>
        <v>Green</v>
      </c>
    </row>
    <row r="527" spans="1:30" x14ac:dyDescent="0.2">
      <c r="A527" t="str">
        <f t="shared" si="178"/>
        <v>23/07/2026Bayern AlzenauWormatia Worms</v>
      </c>
      <c r="D527" s="2">
        <v>46226</v>
      </c>
      <c r="E527" s="3">
        <v>0.70833333333333337</v>
      </c>
      <c r="F527" t="s">
        <v>2093</v>
      </c>
      <c r="G527" t="s">
        <v>2094</v>
      </c>
      <c r="H527">
        <v>3</v>
      </c>
      <c r="I527">
        <v>1</v>
      </c>
      <c r="J527">
        <v>7</v>
      </c>
      <c r="K527">
        <v>2</v>
      </c>
      <c r="L527" s="22" t="str">
        <f t="shared" si="196"/>
        <v>23/07/2026</v>
      </c>
      <c r="M527" s="23">
        <f t="shared" si="197"/>
        <v>0.58333333333333337</v>
      </c>
      <c r="N527" t="str">
        <f t="shared" si="179"/>
        <v>7 - 2</v>
      </c>
      <c r="O527" t="str">
        <f t="shared" si="180"/>
        <v>Green</v>
      </c>
      <c r="P527" t="str">
        <f t="shared" si="181"/>
        <v>Red</v>
      </c>
      <c r="Q527" t="str">
        <f t="shared" si="182"/>
        <v>Red</v>
      </c>
      <c r="R527" t="str">
        <f t="shared" si="183"/>
        <v>Green</v>
      </c>
      <c r="S527" t="str">
        <f t="shared" si="184"/>
        <v>Red</v>
      </c>
      <c r="T527" t="str">
        <f t="shared" si="185"/>
        <v>Green</v>
      </c>
      <c r="U527" t="str">
        <f t="shared" si="186"/>
        <v>Green</v>
      </c>
      <c r="V527" t="str">
        <f t="shared" si="187"/>
        <v>Red</v>
      </c>
      <c r="W527" t="str">
        <f t="shared" si="188"/>
        <v>Red</v>
      </c>
      <c r="X527" t="str">
        <f t="shared" si="189"/>
        <v>Green</v>
      </c>
      <c r="Y527" t="str">
        <f t="shared" si="190"/>
        <v>Green</v>
      </c>
      <c r="Z527" t="str">
        <f t="shared" si="191"/>
        <v>Green</v>
      </c>
      <c r="AA527" t="str">
        <f t="shared" si="192"/>
        <v>Red</v>
      </c>
      <c r="AB527" t="str">
        <f t="shared" si="193"/>
        <v>Red</v>
      </c>
      <c r="AC527" t="str">
        <f t="shared" si="194"/>
        <v>Green</v>
      </c>
      <c r="AD527" t="str">
        <f t="shared" si="195"/>
        <v>Red</v>
      </c>
    </row>
    <row r="528" spans="1:30" x14ac:dyDescent="0.2">
      <c r="A528" t="str">
        <f t="shared" si="178"/>
        <v>23/07/2026HooGeeSexy Poxyt</v>
      </c>
      <c r="D528" s="2">
        <v>46226</v>
      </c>
      <c r="E528" s="3">
        <v>0.71875</v>
      </c>
      <c r="F528" t="s">
        <v>2037</v>
      </c>
      <c r="G528" t="s">
        <v>2038</v>
      </c>
      <c r="H528">
        <v>0</v>
      </c>
      <c r="I528">
        <v>0</v>
      </c>
      <c r="J528">
        <v>1</v>
      </c>
      <c r="K528">
        <v>2</v>
      </c>
      <c r="L528" s="22" t="str">
        <f t="shared" si="196"/>
        <v>23/07/2026</v>
      </c>
      <c r="M528" s="23">
        <f t="shared" si="197"/>
        <v>0.59375</v>
      </c>
      <c r="N528" t="str">
        <f t="shared" si="179"/>
        <v>1 - 2</v>
      </c>
      <c r="O528" t="str">
        <f t="shared" si="180"/>
        <v>Red</v>
      </c>
      <c r="P528" t="str">
        <f t="shared" si="181"/>
        <v>Red</v>
      </c>
      <c r="Q528" t="str">
        <f t="shared" si="182"/>
        <v>Green</v>
      </c>
      <c r="R528" t="str">
        <f t="shared" si="183"/>
        <v>Red</v>
      </c>
      <c r="S528" t="str">
        <f t="shared" si="184"/>
        <v>Green</v>
      </c>
      <c r="T528" t="str">
        <f t="shared" si="185"/>
        <v>Green</v>
      </c>
      <c r="U528" t="str">
        <f t="shared" si="186"/>
        <v>Red</v>
      </c>
      <c r="V528" t="str">
        <f t="shared" si="187"/>
        <v>Green</v>
      </c>
      <c r="W528" t="str">
        <f t="shared" si="188"/>
        <v>Red</v>
      </c>
      <c r="X528" t="str">
        <f t="shared" si="189"/>
        <v>Red</v>
      </c>
      <c r="Y528" t="str">
        <f t="shared" si="190"/>
        <v>Green</v>
      </c>
      <c r="Z528" t="str">
        <f t="shared" si="191"/>
        <v>Green</v>
      </c>
      <c r="AA528" t="str">
        <f t="shared" si="192"/>
        <v>Red</v>
      </c>
      <c r="AB528" t="str">
        <f t="shared" si="193"/>
        <v>Green</v>
      </c>
      <c r="AC528" t="str">
        <f t="shared" si="194"/>
        <v>Green</v>
      </c>
      <c r="AD528" t="str">
        <f t="shared" si="195"/>
        <v>Red</v>
      </c>
    </row>
    <row r="529" spans="1:30" x14ac:dyDescent="0.2">
      <c r="A529" t="str">
        <f t="shared" si="178"/>
        <v>23/07/2026VaduzAtletic Club Escaldes</v>
      </c>
      <c r="B529" t="s">
        <v>802</v>
      </c>
      <c r="C529" t="s">
        <v>1326</v>
      </c>
      <c r="D529" s="2">
        <v>46226</v>
      </c>
      <c r="E529" s="3">
        <v>0.72916666666666663</v>
      </c>
      <c r="F529" t="s">
        <v>1939</v>
      </c>
      <c r="G529" t="s">
        <v>1940</v>
      </c>
      <c r="H529">
        <v>1</v>
      </c>
      <c r="I529">
        <v>0</v>
      </c>
      <c r="J529">
        <v>4</v>
      </c>
      <c r="K529">
        <v>0</v>
      </c>
      <c r="L529" s="22" t="str">
        <f t="shared" si="196"/>
        <v>23/07/2026</v>
      </c>
      <c r="M529" s="23">
        <f t="shared" si="197"/>
        <v>0.60416666666666663</v>
      </c>
      <c r="N529" t="str">
        <f t="shared" si="179"/>
        <v>4 - 0</v>
      </c>
      <c r="O529" t="str">
        <f t="shared" si="180"/>
        <v>Green</v>
      </c>
      <c r="P529" t="str">
        <f t="shared" si="181"/>
        <v>Red</v>
      </c>
      <c r="Q529" t="str">
        <f t="shared" si="182"/>
        <v>Red</v>
      </c>
      <c r="R529" t="str">
        <f t="shared" si="183"/>
        <v>Green</v>
      </c>
      <c r="S529" t="str">
        <f t="shared" si="184"/>
        <v>Red</v>
      </c>
      <c r="T529" t="str">
        <f t="shared" si="185"/>
        <v>Green</v>
      </c>
      <c r="U529" t="str">
        <f t="shared" si="186"/>
        <v>Green</v>
      </c>
      <c r="V529" t="str">
        <f t="shared" si="187"/>
        <v>Red</v>
      </c>
      <c r="W529" t="str">
        <f t="shared" si="188"/>
        <v>Red</v>
      </c>
      <c r="X529" t="str">
        <f t="shared" si="189"/>
        <v>Green</v>
      </c>
      <c r="Y529" t="str">
        <f t="shared" si="190"/>
        <v>Green</v>
      </c>
      <c r="Z529" t="str">
        <f t="shared" si="191"/>
        <v>Green</v>
      </c>
      <c r="AA529" t="str">
        <f t="shared" si="192"/>
        <v>Red</v>
      </c>
      <c r="AB529" t="str">
        <f t="shared" si="193"/>
        <v>Red</v>
      </c>
      <c r="AC529" t="str">
        <f t="shared" si="194"/>
        <v>Red</v>
      </c>
      <c r="AD529" t="str">
        <f t="shared" si="195"/>
        <v>Green</v>
      </c>
    </row>
    <row r="530" spans="1:30" x14ac:dyDescent="0.2">
      <c r="A530" t="str">
        <f t="shared" si="178"/>
        <v>23/07/2026FCSBFK Auda</v>
      </c>
      <c r="B530" t="s">
        <v>802</v>
      </c>
      <c r="C530" t="s">
        <v>1326</v>
      </c>
      <c r="D530" s="2">
        <v>46226</v>
      </c>
      <c r="E530" s="3">
        <v>0.73958333333333337</v>
      </c>
      <c r="F530" t="s">
        <v>1111</v>
      </c>
      <c r="G530" t="s">
        <v>1091</v>
      </c>
      <c r="H530">
        <v>1</v>
      </c>
      <c r="I530">
        <v>2</v>
      </c>
      <c r="J530">
        <v>2</v>
      </c>
      <c r="K530">
        <v>3</v>
      </c>
      <c r="L530" s="22" t="str">
        <f t="shared" si="196"/>
        <v>23/07/2026</v>
      </c>
      <c r="M530" s="23">
        <f t="shared" si="197"/>
        <v>0.61458333333333337</v>
      </c>
      <c r="N530" t="str">
        <f t="shared" si="179"/>
        <v>2 - 3</v>
      </c>
      <c r="O530" t="str">
        <f t="shared" si="180"/>
        <v>Red</v>
      </c>
      <c r="P530" t="str">
        <f t="shared" si="181"/>
        <v>Red</v>
      </c>
      <c r="Q530" t="str">
        <f t="shared" si="182"/>
        <v>Green</v>
      </c>
      <c r="R530" t="str">
        <f t="shared" si="183"/>
        <v>Red</v>
      </c>
      <c r="S530" t="str">
        <f t="shared" si="184"/>
        <v>Green</v>
      </c>
      <c r="T530" t="str">
        <f t="shared" si="185"/>
        <v>Green</v>
      </c>
      <c r="U530" t="str">
        <f t="shared" si="186"/>
        <v>Red</v>
      </c>
      <c r="V530" t="str">
        <f t="shared" si="187"/>
        <v>Red</v>
      </c>
      <c r="W530" t="str">
        <f t="shared" si="188"/>
        <v>Green</v>
      </c>
      <c r="X530" t="str">
        <f t="shared" si="189"/>
        <v>Green</v>
      </c>
      <c r="Y530" t="str">
        <f t="shared" si="190"/>
        <v>Green</v>
      </c>
      <c r="Z530" t="str">
        <f t="shared" si="191"/>
        <v>Green</v>
      </c>
      <c r="AA530" t="str">
        <f t="shared" si="192"/>
        <v>Red</v>
      </c>
      <c r="AB530" t="str">
        <f t="shared" si="193"/>
        <v>Red</v>
      </c>
      <c r="AC530" t="str">
        <f t="shared" si="194"/>
        <v>Green</v>
      </c>
      <c r="AD530" t="str">
        <f t="shared" si="195"/>
        <v>Red</v>
      </c>
    </row>
    <row r="531" spans="1:30" x14ac:dyDescent="0.2">
      <c r="A531" t="str">
        <f t="shared" si="178"/>
        <v>23/07/2026BesiktasFC Midtjylland</v>
      </c>
      <c r="B531" t="s">
        <v>802</v>
      </c>
      <c r="C531" t="s">
        <v>1889</v>
      </c>
      <c r="D531" s="2">
        <v>46226</v>
      </c>
      <c r="E531" s="3">
        <v>0.75</v>
      </c>
      <c r="F531" t="s">
        <v>1900</v>
      </c>
      <c r="G531" t="s">
        <v>984</v>
      </c>
      <c r="H531">
        <v>1</v>
      </c>
      <c r="I531">
        <v>0</v>
      </c>
      <c r="J531">
        <v>1</v>
      </c>
      <c r="K531">
        <v>0</v>
      </c>
      <c r="L531" s="22" t="str">
        <f t="shared" si="196"/>
        <v>23/07/2026</v>
      </c>
      <c r="M531" s="23">
        <f t="shared" si="197"/>
        <v>0.625</v>
      </c>
      <c r="N531" t="str">
        <f t="shared" si="179"/>
        <v>1 - 0</v>
      </c>
      <c r="O531" t="str">
        <f t="shared" si="180"/>
        <v>Green</v>
      </c>
      <c r="P531" t="str">
        <f t="shared" si="181"/>
        <v>Red</v>
      </c>
      <c r="Q531" t="str">
        <f t="shared" si="182"/>
        <v>Red</v>
      </c>
      <c r="R531" t="str">
        <f t="shared" si="183"/>
        <v>Green</v>
      </c>
      <c r="S531" t="str">
        <f t="shared" si="184"/>
        <v>Red</v>
      </c>
      <c r="T531" t="str">
        <f t="shared" si="185"/>
        <v>Green</v>
      </c>
      <c r="U531" t="str">
        <f t="shared" si="186"/>
        <v>Green</v>
      </c>
      <c r="V531" t="str">
        <f t="shared" si="187"/>
        <v>Red</v>
      </c>
      <c r="W531" t="str">
        <f t="shared" si="188"/>
        <v>Red</v>
      </c>
      <c r="X531" t="str">
        <f t="shared" si="189"/>
        <v>Green</v>
      </c>
      <c r="Y531" t="str">
        <f t="shared" si="190"/>
        <v>Red</v>
      </c>
      <c r="Z531" t="str">
        <f t="shared" si="191"/>
        <v>Red</v>
      </c>
      <c r="AA531" t="str">
        <f t="shared" si="192"/>
        <v>Green</v>
      </c>
      <c r="AB531" t="str">
        <f t="shared" si="193"/>
        <v>Green</v>
      </c>
      <c r="AC531" t="str">
        <f t="shared" si="194"/>
        <v>Red</v>
      </c>
      <c r="AD531" t="str">
        <f t="shared" si="195"/>
        <v>Green</v>
      </c>
    </row>
    <row r="532" spans="1:30" x14ac:dyDescent="0.2">
      <c r="A532" t="str">
        <f t="shared" si="178"/>
        <v>23/07/2026St GallenBenfica</v>
      </c>
      <c r="B532" t="s">
        <v>802</v>
      </c>
      <c r="C532" t="s">
        <v>1889</v>
      </c>
      <c r="D532" s="2">
        <v>46226</v>
      </c>
      <c r="E532" s="3">
        <v>0.75</v>
      </c>
      <c r="F532" t="s">
        <v>1901</v>
      </c>
      <c r="G532" t="s">
        <v>1902</v>
      </c>
      <c r="H532">
        <v>1</v>
      </c>
      <c r="I532">
        <v>1</v>
      </c>
      <c r="J532">
        <v>2</v>
      </c>
      <c r="K532">
        <v>1</v>
      </c>
      <c r="L532" s="22" t="str">
        <f t="shared" si="196"/>
        <v>23/07/2026</v>
      </c>
      <c r="M532" s="23">
        <f t="shared" si="197"/>
        <v>0.625</v>
      </c>
      <c r="N532" t="str">
        <f t="shared" si="179"/>
        <v>2 - 1</v>
      </c>
      <c r="O532" t="str">
        <f t="shared" si="180"/>
        <v>Green</v>
      </c>
      <c r="P532" t="str">
        <f t="shared" si="181"/>
        <v>Red</v>
      </c>
      <c r="Q532" t="str">
        <f t="shared" si="182"/>
        <v>Red</v>
      </c>
      <c r="R532" t="str">
        <f t="shared" si="183"/>
        <v>Green</v>
      </c>
      <c r="S532" t="str">
        <f t="shared" si="184"/>
        <v>Red</v>
      </c>
      <c r="T532" t="str">
        <f t="shared" si="185"/>
        <v>Green</v>
      </c>
      <c r="U532" t="str">
        <f t="shared" si="186"/>
        <v>Red</v>
      </c>
      <c r="V532" t="str">
        <f t="shared" si="187"/>
        <v>Green</v>
      </c>
      <c r="W532" t="str">
        <f t="shared" si="188"/>
        <v>Red</v>
      </c>
      <c r="X532" t="str">
        <f t="shared" si="189"/>
        <v>Green</v>
      </c>
      <c r="Y532" t="str">
        <f t="shared" si="190"/>
        <v>Green</v>
      </c>
      <c r="Z532" t="str">
        <f t="shared" si="191"/>
        <v>Green</v>
      </c>
      <c r="AA532" t="str">
        <f t="shared" si="192"/>
        <v>Red</v>
      </c>
      <c r="AB532" t="str">
        <f t="shared" si="193"/>
        <v>Green</v>
      </c>
      <c r="AC532" t="str">
        <f t="shared" si="194"/>
        <v>Green</v>
      </c>
      <c r="AD532" t="str">
        <f t="shared" si="195"/>
        <v>Red</v>
      </c>
    </row>
    <row r="533" spans="1:30" x14ac:dyDescent="0.2">
      <c r="A533" t="str">
        <f t="shared" si="178"/>
        <v>23/07/2026TwenteFerencvarosi TC</v>
      </c>
      <c r="B533" t="s">
        <v>802</v>
      </c>
      <c r="C533" t="s">
        <v>1889</v>
      </c>
      <c r="D533" s="2">
        <v>46226</v>
      </c>
      <c r="E533" s="3">
        <v>0.75</v>
      </c>
      <c r="F533" t="s">
        <v>1903</v>
      </c>
      <c r="G533" t="s">
        <v>1120</v>
      </c>
      <c r="H533">
        <v>1</v>
      </c>
      <c r="I533">
        <v>1</v>
      </c>
      <c r="J533">
        <v>1</v>
      </c>
      <c r="K533">
        <v>2</v>
      </c>
      <c r="L533" s="22" t="str">
        <f t="shared" si="196"/>
        <v>23/07/2026</v>
      </c>
      <c r="M533" s="23">
        <f t="shared" si="197"/>
        <v>0.625</v>
      </c>
      <c r="N533" t="str">
        <f t="shared" si="179"/>
        <v>1 - 2</v>
      </c>
      <c r="O533" t="str">
        <f t="shared" si="180"/>
        <v>Red</v>
      </c>
      <c r="P533" t="str">
        <f t="shared" si="181"/>
        <v>Red</v>
      </c>
      <c r="Q533" t="str">
        <f t="shared" si="182"/>
        <v>Green</v>
      </c>
      <c r="R533" t="str">
        <f t="shared" si="183"/>
        <v>Red</v>
      </c>
      <c r="S533" t="str">
        <f t="shared" si="184"/>
        <v>Green</v>
      </c>
      <c r="T533" t="str">
        <f t="shared" si="185"/>
        <v>Green</v>
      </c>
      <c r="U533" t="str">
        <f t="shared" si="186"/>
        <v>Red</v>
      </c>
      <c r="V533" t="str">
        <f t="shared" si="187"/>
        <v>Green</v>
      </c>
      <c r="W533" t="str">
        <f t="shared" si="188"/>
        <v>Red</v>
      </c>
      <c r="X533" t="str">
        <f t="shared" si="189"/>
        <v>Green</v>
      </c>
      <c r="Y533" t="str">
        <f t="shared" si="190"/>
        <v>Green</v>
      </c>
      <c r="Z533" t="str">
        <f t="shared" si="191"/>
        <v>Green</v>
      </c>
      <c r="AA533" t="str">
        <f t="shared" si="192"/>
        <v>Red</v>
      </c>
      <c r="AB533" t="str">
        <f t="shared" si="193"/>
        <v>Green</v>
      </c>
      <c r="AC533" t="str">
        <f t="shared" si="194"/>
        <v>Green</v>
      </c>
      <c r="AD533" t="str">
        <f t="shared" si="195"/>
        <v>Red</v>
      </c>
    </row>
    <row r="534" spans="1:30" x14ac:dyDescent="0.2">
      <c r="A534" t="str">
        <f t="shared" si="178"/>
        <v>23/07/2026MFC ZhytomyrCopenhagen</v>
      </c>
      <c r="B534" t="s">
        <v>802</v>
      </c>
      <c r="C534" t="s">
        <v>1326</v>
      </c>
      <c r="D534" s="2">
        <v>46226</v>
      </c>
      <c r="E534" s="3">
        <v>0.75</v>
      </c>
      <c r="F534" t="s">
        <v>1941</v>
      </c>
      <c r="G534" t="s">
        <v>1942</v>
      </c>
      <c r="H534">
        <v>2</v>
      </c>
      <c r="I534">
        <v>1</v>
      </c>
      <c r="J534">
        <v>3</v>
      </c>
      <c r="K534">
        <v>3</v>
      </c>
      <c r="L534" s="22" t="str">
        <f t="shared" si="196"/>
        <v>23/07/2026</v>
      </c>
      <c r="M534" s="23">
        <f t="shared" si="197"/>
        <v>0.625</v>
      </c>
      <c r="N534" t="str">
        <f t="shared" si="179"/>
        <v>3 - 3</v>
      </c>
      <c r="O534" t="str">
        <f t="shared" si="180"/>
        <v>Red</v>
      </c>
      <c r="P534" t="str">
        <f t="shared" si="181"/>
        <v>Green</v>
      </c>
      <c r="Q534" t="str">
        <f t="shared" si="182"/>
        <v>Red</v>
      </c>
      <c r="R534" t="str">
        <f t="shared" si="183"/>
        <v>Green</v>
      </c>
      <c r="S534" t="str">
        <f t="shared" si="184"/>
        <v>Green</v>
      </c>
      <c r="T534" t="str">
        <f t="shared" si="185"/>
        <v>Red</v>
      </c>
      <c r="U534" t="str">
        <f t="shared" si="186"/>
        <v>Green</v>
      </c>
      <c r="V534" t="str">
        <f t="shared" si="187"/>
        <v>Red</v>
      </c>
      <c r="W534" t="str">
        <f t="shared" si="188"/>
        <v>Red</v>
      </c>
      <c r="X534" t="str">
        <f t="shared" si="189"/>
        <v>Green</v>
      </c>
      <c r="Y534" t="str">
        <f t="shared" si="190"/>
        <v>Green</v>
      </c>
      <c r="Z534" t="str">
        <f t="shared" si="191"/>
        <v>Green</v>
      </c>
      <c r="AA534" t="str">
        <f t="shared" si="192"/>
        <v>Red</v>
      </c>
      <c r="AB534" t="str">
        <f t="shared" si="193"/>
        <v>Red</v>
      </c>
      <c r="AC534" t="str">
        <f t="shared" si="194"/>
        <v>Green</v>
      </c>
      <c r="AD534" t="str">
        <f t="shared" si="195"/>
        <v>Red</v>
      </c>
    </row>
    <row r="535" spans="1:30" x14ac:dyDescent="0.2">
      <c r="A535" t="str">
        <f t="shared" si="178"/>
        <v>23/07/2026NK AluminijFK Dinamo Tirana</v>
      </c>
      <c r="B535" t="s">
        <v>802</v>
      </c>
      <c r="C535" t="s">
        <v>1326</v>
      </c>
      <c r="D535" s="2">
        <v>46226</v>
      </c>
      <c r="E535" s="3">
        <v>0.75</v>
      </c>
      <c r="F535" t="s">
        <v>1943</v>
      </c>
      <c r="G535" t="s">
        <v>1944</v>
      </c>
      <c r="H535">
        <v>0</v>
      </c>
      <c r="I535">
        <v>1</v>
      </c>
      <c r="J535">
        <v>1</v>
      </c>
      <c r="K535">
        <v>1</v>
      </c>
      <c r="L535" s="22" t="str">
        <f t="shared" si="196"/>
        <v>23/07/2026</v>
      </c>
      <c r="M535" s="23">
        <f t="shared" si="197"/>
        <v>0.625</v>
      </c>
      <c r="N535" t="str">
        <f t="shared" si="179"/>
        <v>1 - 1</v>
      </c>
      <c r="O535" t="str">
        <f t="shared" si="180"/>
        <v>Red</v>
      </c>
      <c r="P535" t="str">
        <f t="shared" si="181"/>
        <v>Green</v>
      </c>
      <c r="Q535" t="str">
        <f t="shared" si="182"/>
        <v>Red</v>
      </c>
      <c r="R535" t="str">
        <f t="shared" si="183"/>
        <v>Green</v>
      </c>
      <c r="S535" t="str">
        <f t="shared" si="184"/>
        <v>Green</v>
      </c>
      <c r="T535" t="str">
        <f t="shared" si="185"/>
        <v>Red</v>
      </c>
      <c r="U535" t="str">
        <f t="shared" si="186"/>
        <v>Red</v>
      </c>
      <c r="V535" t="str">
        <f t="shared" si="187"/>
        <v>Red</v>
      </c>
      <c r="W535" t="str">
        <f t="shared" si="188"/>
        <v>Green</v>
      </c>
      <c r="X535" t="str">
        <f t="shared" si="189"/>
        <v>Green</v>
      </c>
      <c r="Y535" t="str">
        <f t="shared" si="190"/>
        <v>Green</v>
      </c>
      <c r="Z535" t="str">
        <f t="shared" si="191"/>
        <v>Red</v>
      </c>
      <c r="AA535" t="str">
        <f t="shared" si="192"/>
        <v>Green</v>
      </c>
      <c r="AB535" t="str">
        <f t="shared" si="193"/>
        <v>Green</v>
      </c>
      <c r="AC535" t="str">
        <f t="shared" si="194"/>
        <v>Green</v>
      </c>
      <c r="AD535" t="str">
        <f t="shared" si="195"/>
        <v>Red</v>
      </c>
    </row>
    <row r="536" spans="1:30" x14ac:dyDescent="0.2">
      <c r="A536" t="str">
        <f t="shared" si="178"/>
        <v>23/07/2026NK VarazdinBaumit Jablonec</v>
      </c>
      <c r="B536" t="s">
        <v>802</v>
      </c>
      <c r="C536" t="s">
        <v>1326</v>
      </c>
      <c r="D536" s="2">
        <v>46226</v>
      </c>
      <c r="E536" s="3">
        <v>0.75</v>
      </c>
      <c r="F536" t="s">
        <v>1906</v>
      </c>
      <c r="G536" t="s">
        <v>1945</v>
      </c>
      <c r="H536">
        <v>1</v>
      </c>
      <c r="I536">
        <v>1</v>
      </c>
      <c r="J536">
        <v>3</v>
      </c>
      <c r="K536">
        <v>2</v>
      </c>
      <c r="L536" s="22" t="str">
        <f t="shared" si="196"/>
        <v>23/07/2026</v>
      </c>
      <c r="M536" s="23">
        <f t="shared" si="197"/>
        <v>0.625</v>
      </c>
      <c r="N536" t="str">
        <f t="shared" si="179"/>
        <v>3 - 2</v>
      </c>
      <c r="O536" t="str">
        <f t="shared" si="180"/>
        <v>Green</v>
      </c>
      <c r="P536" t="str">
        <f t="shared" si="181"/>
        <v>Red</v>
      </c>
      <c r="Q536" t="str">
        <f t="shared" si="182"/>
        <v>Red</v>
      </c>
      <c r="R536" t="str">
        <f t="shared" si="183"/>
        <v>Green</v>
      </c>
      <c r="S536" t="str">
        <f t="shared" si="184"/>
        <v>Red</v>
      </c>
      <c r="T536" t="str">
        <f t="shared" si="185"/>
        <v>Green</v>
      </c>
      <c r="U536" t="str">
        <f t="shared" si="186"/>
        <v>Red</v>
      </c>
      <c r="V536" t="str">
        <f t="shared" si="187"/>
        <v>Green</v>
      </c>
      <c r="W536" t="str">
        <f t="shared" si="188"/>
        <v>Red</v>
      </c>
      <c r="X536" t="str">
        <f t="shared" si="189"/>
        <v>Green</v>
      </c>
      <c r="Y536" t="str">
        <f t="shared" si="190"/>
        <v>Green</v>
      </c>
      <c r="Z536" t="str">
        <f t="shared" si="191"/>
        <v>Green</v>
      </c>
      <c r="AA536" t="str">
        <f t="shared" si="192"/>
        <v>Red</v>
      </c>
      <c r="AB536" t="str">
        <f t="shared" si="193"/>
        <v>Red</v>
      </c>
      <c r="AC536" t="str">
        <f t="shared" si="194"/>
        <v>Green</v>
      </c>
      <c r="AD536" t="str">
        <f t="shared" si="195"/>
        <v>Red</v>
      </c>
    </row>
    <row r="537" spans="1:30" x14ac:dyDescent="0.2">
      <c r="A537" t="str">
        <f t="shared" si="178"/>
        <v>23/07/2026Paksi SEPanathinaikos</v>
      </c>
      <c r="B537" t="s">
        <v>802</v>
      </c>
      <c r="C537" t="s">
        <v>1326</v>
      </c>
      <c r="D537" s="2">
        <v>46226</v>
      </c>
      <c r="E537" s="3">
        <v>0.75</v>
      </c>
      <c r="F537" t="s">
        <v>1946</v>
      </c>
      <c r="G537" t="s">
        <v>1947</v>
      </c>
      <c r="H537">
        <v>0</v>
      </c>
      <c r="I537">
        <v>1</v>
      </c>
      <c r="J537">
        <v>1</v>
      </c>
      <c r="K537">
        <v>2</v>
      </c>
      <c r="L537" s="22" t="str">
        <f t="shared" si="196"/>
        <v>23/07/2026</v>
      </c>
      <c r="M537" s="23">
        <f t="shared" si="197"/>
        <v>0.625</v>
      </c>
      <c r="N537" t="str">
        <f t="shared" si="179"/>
        <v>1 - 2</v>
      </c>
      <c r="O537" t="str">
        <f t="shared" si="180"/>
        <v>Red</v>
      </c>
      <c r="P537" t="str">
        <f t="shared" si="181"/>
        <v>Red</v>
      </c>
      <c r="Q537" t="str">
        <f t="shared" si="182"/>
        <v>Green</v>
      </c>
      <c r="R537" t="str">
        <f t="shared" si="183"/>
        <v>Red</v>
      </c>
      <c r="S537" t="str">
        <f t="shared" si="184"/>
        <v>Green</v>
      </c>
      <c r="T537" t="str">
        <f t="shared" si="185"/>
        <v>Green</v>
      </c>
      <c r="U537" t="str">
        <f t="shared" si="186"/>
        <v>Red</v>
      </c>
      <c r="V537" t="str">
        <f t="shared" si="187"/>
        <v>Red</v>
      </c>
      <c r="W537" t="str">
        <f t="shared" si="188"/>
        <v>Green</v>
      </c>
      <c r="X537" t="str">
        <f t="shared" si="189"/>
        <v>Green</v>
      </c>
      <c r="Y537" t="str">
        <f t="shared" si="190"/>
        <v>Green</v>
      </c>
      <c r="Z537" t="str">
        <f t="shared" si="191"/>
        <v>Green</v>
      </c>
      <c r="AA537" t="str">
        <f t="shared" si="192"/>
        <v>Red</v>
      </c>
      <c r="AB537" t="str">
        <f t="shared" si="193"/>
        <v>Green</v>
      </c>
      <c r="AC537" t="str">
        <f t="shared" si="194"/>
        <v>Green</v>
      </c>
      <c r="AD537" t="str">
        <f t="shared" si="195"/>
        <v>Red</v>
      </c>
    </row>
    <row r="538" spans="1:30" x14ac:dyDescent="0.2">
      <c r="A538" t="str">
        <f t="shared" si="178"/>
        <v>23/07/2026VojvodinaAjax</v>
      </c>
      <c r="B538" t="s">
        <v>802</v>
      </c>
      <c r="C538" t="s">
        <v>1326</v>
      </c>
      <c r="D538" s="2">
        <v>46226</v>
      </c>
      <c r="E538" s="3">
        <v>0.75</v>
      </c>
      <c r="F538" t="s">
        <v>1106</v>
      </c>
      <c r="G538" t="s">
        <v>1948</v>
      </c>
      <c r="H538">
        <v>1</v>
      </c>
      <c r="I538">
        <v>2</v>
      </c>
      <c r="J538">
        <v>1</v>
      </c>
      <c r="K538">
        <v>4</v>
      </c>
      <c r="L538" s="22" t="str">
        <f t="shared" si="196"/>
        <v>23/07/2026</v>
      </c>
      <c r="M538" s="23">
        <f t="shared" si="197"/>
        <v>0.625</v>
      </c>
      <c r="N538" t="str">
        <f t="shared" si="179"/>
        <v>1 - 4</v>
      </c>
      <c r="O538" t="str">
        <f t="shared" si="180"/>
        <v>Red</v>
      </c>
      <c r="P538" t="str">
        <f t="shared" si="181"/>
        <v>Red</v>
      </c>
      <c r="Q538" t="str">
        <f t="shared" si="182"/>
        <v>Green</v>
      </c>
      <c r="R538" t="str">
        <f t="shared" si="183"/>
        <v>Red</v>
      </c>
      <c r="S538" t="str">
        <f t="shared" si="184"/>
        <v>Green</v>
      </c>
      <c r="T538" t="str">
        <f t="shared" si="185"/>
        <v>Green</v>
      </c>
      <c r="U538" t="str">
        <f t="shared" si="186"/>
        <v>Red</v>
      </c>
      <c r="V538" t="str">
        <f t="shared" si="187"/>
        <v>Red</v>
      </c>
      <c r="W538" t="str">
        <f t="shared" si="188"/>
        <v>Green</v>
      </c>
      <c r="X538" t="str">
        <f t="shared" si="189"/>
        <v>Green</v>
      </c>
      <c r="Y538" t="str">
        <f t="shared" si="190"/>
        <v>Green</v>
      </c>
      <c r="Z538" t="str">
        <f t="shared" si="191"/>
        <v>Green</v>
      </c>
      <c r="AA538" t="str">
        <f t="shared" si="192"/>
        <v>Red</v>
      </c>
      <c r="AB538" t="str">
        <f t="shared" si="193"/>
        <v>Red</v>
      </c>
      <c r="AC538" t="str">
        <f t="shared" si="194"/>
        <v>Green</v>
      </c>
      <c r="AD538" t="str">
        <f t="shared" si="195"/>
        <v>Red</v>
      </c>
    </row>
    <row r="539" spans="1:30" x14ac:dyDescent="0.2">
      <c r="A539" t="str">
        <f t="shared" si="178"/>
        <v>23/07/2026Atletico ArgentinoPuerto Nuevo</v>
      </c>
      <c r="D539" s="2">
        <v>46226</v>
      </c>
      <c r="E539" s="3">
        <v>0.75</v>
      </c>
      <c r="F539" t="s">
        <v>1976</v>
      </c>
      <c r="G539" t="s">
        <v>652</v>
      </c>
      <c r="H539">
        <v>0</v>
      </c>
      <c r="I539">
        <v>0</v>
      </c>
      <c r="J539">
        <v>0</v>
      </c>
      <c r="K539">
        <v>0</v>
      </c>
      <c r="L539" s="22" t="str">
        <f t="shared" si="196"/>
        <v>23/07/2026</v>
      </c>
      <c r="M539" s="23">
        <f t="shared" si="197"/>
        <v>0.625</v>
      </c>
      <c r="N539" t="str">
        <f t="shared" si="179"/>
        <v>0 - 0</v>
      </c>
      <c r="O539" t="str">
        <f t="shared" si="180"/>
        <v>Red</v>
      </c>
      <c r="P539" t="str">
        <f t="shared" si="181"/>
        <v>Green</v>
      </c>
      <c r="Q539" t="str">
        <f t="shared" si="182"/>
        <v>Red</v>
      </c>
      <c r="R539" t="str">
        <f t="shared" si="183"/>
        <v>Green</v>
      </c>
      <c r="S539" t="str">
        <f t="shared" si="184"/>
        <v>Green</v>
      </c>
      <c r="T539" t="str">
        <f t="shared" si="185"/>
        <v>Red</v>
      </c>
      <c r="U539" t="str">
        <f t="shared" si="186"/>
        <v>Red</v>
      </c>
      <c r="V539" t="str">
        <f t="shared" si="187"/>
        <v>Green</v>
      </c>
      <c r="W539" t="str">
        <f t="shared" si="188"/>
        <v>Red</v>
      </c>
      <c r="X539" t="str">
        <f t="shared" si="189"/>
        <v>Red</v>
      </c>
      <c r="Y539" t="str">
        <f t="shared" si="190"/>
        <v>Red</v>
      </c>
      <c r="Z539" t="str">
        <f t="shared" si="191"/>
        <v>Red</v>
      </c>
      <c r="AA539" t="str">
        <f t="shared" si="192"/>
        <v>Green</v>
      </c>
      <c r="AB539" t="str">
        <f t="shared" si="193"/>
        <v>Green</v>
      </c>
      <c r="AC539" t="str">
        <f t="shared" si="194"/>
        <v>Red</v>
      </c>
      <c r="AD539" t="str">
        <f t="shared" si="195"/>
        <v>Green</v>
      </c>
    </row>
    <row r="540" spans="1:30" x14ac:dyDescent="0.2">
      <c r="A540" t="str">
        <f t="shared" si="178"/>
        <v>23/07/2026Gremio LaranjeirasDoze ES</v>
      </c>
      <c r="D540" s="2">
        <v>46226</v>
      </c>
      <c r="E540" s="3">
        <v>0.75</v>
      </c>
      <c r="F540" t="s">
        <v>1986</v>
      </c>
      <c r="G540" t="s">
        <v>1987</v>
      </c>
      <c r="H540">
        <v>0</v>
      </c>
      <c r="I540">
        <v>0</v>
      </c>
      <c r="J540">
        <v>0</v>
      </c>
      <c r="K540">
        <v>0</v>
      </c>
      <c r="L540" s="22" t="str">
        <f t="shared" si="196"/>
        <v>23/07/2026</v>
      </c>
      <c r="M540" s="23">
        <f t="shared" si="197"/>
        <v>0.625</v>
      </c>
      <c r="N540" t="str">
        <f t="shared" si="179"/>
        <v>0 - 0</v>
      </c>
      <c r="O540" t="str">
        <f t="shared" si="180"/>
        <v>Red</v>
      </c>
      <c r="P540" t="str">
        <f t="shared" si="181"/>
        <v>Green</v>
      </c>
      <c r="Q540" t="str">
        <f t="shared" si="182"/>
        <v>Red</v>
      </c>
      <c r="R540" t="str">
        <f t="shared" si="183"/>
        <v>Green</v>
      </c>
      <c r="S540" t="str">
        <f t="shared" si="184"/>
        <v>Green</v>
      </c>
      <c r="T540" t="str">
        <f t="shared" si="185"/>
        <v>Red</v>
      </c>
      <c r="U540" t="str">
        <f t="shared" si="186"/>
        <v>Red</v>
      </c>
      <c r="V540" t="str">
        <f t="shared" si="187"/>
        <v>Green</v>
      </c>
      <c r="W540" t="str">
        <f t="shared" si="188"/>
        <v>Red</v>
      </c>
      <c r="X540" t="str">
        <f t="shared" si="189"/>
        <v>Red</v>
      </c>
      <c r="Y540" t="str">
        <f t="shared" si="190"/>
        <v>Red</v>
      </c>
      <c r="Z540" t="str">
        <f t="shared" si="191"/>
        <v>Red</v>
      </c>
      <c r="AA540" t="str">
        <f t="shared" si="192"/>
        <v>Green</v>
      </c>
      <c r="AB540" t="str">
        <f t="shared" si="193"/>
        <v>Green</v>
      </c>
      <c r="AC540" t="str">
        <f t="shared" si="194"/>
        <v>Red</v>
      </c>
      <c r="AD540" t="str">
        <f t="shared" si="195"/>
        <v>Green</v>
      </c>
    </row>
    <row r="541" spans="1:30" x14ac:dyDescent="0.2">
      <c r="A541" t="str">
        <f t="shared" si="178"/>
        <v>23/07/2026Chapecoense U20Barra dos Coqueiros U20</v>
      </c>
      <c r="D541" s="2">
        <v>46226</v>
      </c>
      <c r="E541" s="3">
        <v>0.75</v>
      </c>
      <c r="F541" t="s">
        <v>1994</v>
      </c>
      <c r="G541" t="s">
        <v>1995</v>
      </c>
      <c r="H541">
        <v>0</v>
      </c>
      <c r="I541">
        <v>0</v>
      </c>
      <c r="J541">
        <v>2</v>
      </c>
      <c r="K541">
        <v>1</v>
      </c>
      <c r="L541" s="22" t="str">
        <f t="shared" si="196"/>
        <v>23/07/2026</v>
      </c>
      <c r="M541" s="23">
        <f t="shared" si="197"/>
        <v>0.625</v>
      </c>
      <c r="N541" t="str">
        <f t="shared" si="179"/>
        <v>2 - 1</v>
      </c>
      <c r="O541" t="str">
        <f t="shared" si="180"/>
        <v>Green</v>
      </c>
      <c r="P541" t="str">
        <f t="shared" si="181"/>
        <v>Red</v>
      </c>
      <c r="Q541" t="str">
        <f t="shared" si="182"/>
        <v>Red</v>
      </c>
      <c r="R541" t="str">
        <f t="shared" si="183"/>
        <v>Green</v>
      </c>
      <c r="S541" t="str">
        <f t="shared" si="184"/>
        <v>Red</v>
      </c>
      <c r="T541" t="str">
        <f t="shared" si="185"/>
        <v>Green</v>
      </c>
      <c r="U541" t="str">
        <f t="shared" si="186"/>
        <v>Red</v>
      </c>
      <c r="V541" t="str">
        <f t="shared" si="187"/>
        <v>Green</v>
      </c>
      <c r="W541" t="str">
        <f t="shared" si="188"/>
        <v>Red</v>
      </c>
      <c r="X541" t="str">
        <f t="shared" si="189"/>
        <v>Red</v>
      </c>
      <c r="Y541" t="str">
        <f t="shared" si="190"/>
        <v>Green</v>
      </c>
      <c r="Z541" t="str">
        <f t="shared" si="191"/>
        <v>Green</v>
      </c>
      <c r="AA541" t="str">
        <f t="shared" si="192"/>
        <v>Red</v>
      </c>
      <c r="AB541" t="str">
        <f t="shared" si="193"/>
        <v>Green</v>
      </c>
      <c r="AC541" t="str">
        <f t="shared" si="194"/>
        <v>Green</v>
      </c>
      <c r="AD541" t="str">
        <f t="shared" si="195"/>
        <v>Red</v>
      </c>
    </row>
    <row r="542" spans="1:30" x14ac:dyDescent="0.2">
      <c r="A542" t="str">
        <f t="shared" si="178"/>
        <v>23/07/2026FK Borac Banja LukaCS Petrocub</v>
      </c>
      <c r="B542" t="s">
        <v>802</v>
      </c>
      <c r="C542" t="s">
        <v>1326</v>
      </c>
      <c r="D542" s="2">
        <v>46226</v>
      </c>
      <c r="E542" s="3">
        <v>0.77083333333333337</v>
      </c>
      <c r="F542" t="s">
        <v>1949</v>
      </c>
      <c r="G542" t="s">
        <v>1102</v>
      </c>
      <c r="H542">
        <v>1</v>
      </c>
      <c r="I542">
        <v>0</v>
      </c>
      <c r="J542">
        <v>3</v>
      </c>
      <c r="K542">
        <v>0</v>
      </c>
      <c r="L542" s="22" t="str">
        <f t="shared" si="196"/>
        <v>23/07/2026</v>
      </c>
      <c r="M542" s="23">
        <f t="shared" si="197"/>
        <v>0.64583333333333337</v>
      </c>
      <c r="N542" t="str">
        <f t="shared" si="179"/>
        <v>3 - 0</v>
      </c>
      <c r="O542" t="str">
        <f t="shared" si="180"/>
        <v>Green</v>
      </c>
      <c r="P542" t="str">
        <f t="shared" si="181"/>
        <v>Red</v>
      </c>
      <c r="Q542" t="str">
        <f t="shared" si="182"/>
        <v>Red</v>
      </c>
      <c r="R542" t="str">
        <f t="shared" si="183"/>
        <v>Green</v>
      </c>
      <c r="S542" t="str">
        <f t="shared" si="184"/>
        <v>Red</v>
      </c>
      <c r="T542" t="str">
        <f t="shared" si="185"/>
        <v>Green</v>
      </c>
      <c r="U542" t="str">
        <f t="shared" si="186"/>
        <v>Green</v>
      </c>
      <c r="V542" t="str">
        <f t="shared" si="187"/>
        <v>Red</v>
      </c>
      <c r="W542" t="str">
        <f t="shared" si="188"/>
        <v>Red</v>
      </c>
      <c r="X542" t="str">
        <f t="shared" si="189"/>
        <v>Green</v>
      </c>
      <c r="Y542" t="str">
        <f t="shared" si="190"/>
        <v>Green</v>
      </c>
      <c r="Z542" t="str">
        <f t="shared" si="191"/>
        <v>Green</v>
      </c>
      <c r="AA542" t="str">
        <f t="shared" si="192"/>
        <v>Red</v>
      </c>
      <c r="AB542" t="str">
        <f t="shared" si="193"/>
        <v>Green</v>
      </c>
      <c r="AC542" t="str">
        <f t="shared" si="194"/>
        <v>Red</v>
      </c>
      <c r="AD542" t="str">
        <f t="shared" si="195"/>
        <v>Green</v>
      </c>
    </row>
    <row r="543" spans="1:30" x14ac:dyDescent="0.2">
      <c r="A543" t="str">
        <f t="shared" si="178"/>
        <v>23/07/2026Hapoel Tel AvivLudogorets</v>
      </c>
      <c r="B543" t="s">
        <v>802</v>
      </c>
      <c r="C543" t="s">
        <v>1326</v>
      </c>
      <c r="D543" s="2">
        <v>46226</v>
      </c>
      <c r="E543" s="3">
        <v>0.77083333333333337</v>
      </c>
      <c r="F543" t="s">
        <v>1950</v>
      </c>
      <c r="G543" t="s">
        <v>1951</v>
      </c>
      <c r="H543">
        <v>1</v>
      </c>
      <c r="I543">
        <v>0</v>
      </c>
      <c r="J543">
        <v>2</v>
      </c>
      <c r="K543">
        <v>0</v>
      </c>
      <c r="L543" s="22" t="str">
        <f t="shared" si="196"/>
        <v>23/07/2026</v>
      </c>
      <c r="M543" s="23">
        <f t="shared" si="197"/>
        <v>0.64583333333333337</v>
      </c>
      <c r="N543" t="str">
        <f t="shared" si="179"/>
        <v>2 - 0</v>
      </c>
      <c r="O543" t="str">
        <f t="shared" si="180"/>
        <v>Green</v>
      </c>
      <c r="P543" t="str">
        <f t="shared" si="181"/>
        <v>Red</v>
      </c>
      <c r="Q543" t="str">
        <f t="shared" si="182"/>
        <v>Red</v>
      </c>
      <c r="R543" t="str">
        <f t="shared" si="183"/>
        <v>Green</v>
      </c>
      <c r="S543" t="str">
        <f t="shared" si="184"/>
        <v>Red</v>
      </c>
      <c r="T543" t="str">
        <f t="shared" si="185"/>
        <v>Green</v>
      </c>
      <c r="U543" t="str">
        <f t="shared" si="186"/>
        <v>Green</v>
      </c>
      <c r="V543" t="str">
        <f t="shared" si="187"/>
        <v>Red</v>
      </c>
      <c r="W543" t="str">
        <f t="shared" si="188"/>
        <v>Red</v>
      </c>
      <c r="X543" t="str">
        <f t="shared" si="189"/>
        <v>Green</v>
      </c>
      <c r="Y543" t="str">
        <f t="shared" si="190"/>
        <v>Green</v>
      </c>
      <c r="Z543" t="str">
        <f t="shared" si="191"/>
        <v>Red</v>
      </c>
      <c r="AA543" t="str">
        <f t="shared" si="192"/>
        <v>Green</v>
      </c>
      <c r="AB543" t="str">
        <f t="shared" si="193"/>
        <v>Green</v>
      </c>
      <c r="AC543" t="str">
        <f t="shared" si="194"/>
        <v>Red</v>
      </c>
      <c r="AD543" t="str">
        <f t="shared" si="195"/>
        <v>Green</v>
      </c>
    </row>
    <row r="544" spans="1:30" x14ac:dyDescent="0.2">
      <c r="A544" t="str">
        <f t="shared" si="178"/>
        <v>23/07/2026LNZ LebedynGent</v>
      </c>
      <c r="B544" t="s">
        <v>802</v>
      </c>
      <c r="C544" t="s">
        <v>1326</v>
      </c>
      <c r="D544" s="2">
        <v>46226</v>
      </c>
      <c r="E544" s="3">
        <v>0.77083333333333337</v>
      </c>
      <c r="F544" t="s">
        <v>1952</v>
      </c>
      <c r="G544" t="s">
        <v>1953</v>
      </c>
      <c r="H544">
        <v>0</v>
      </c>
      <c r="I544">
        <v>0</v>
      </c>
      <c r="J544">
        <v>0</v>
      </c>
      <c r="K544">
        <v>0</v>
      </c>
      <c r="L544" s="22" t="str">
        <f t="shared" si="196"/>
        <v>23/07/2026</v>
      </c>
      <c r="M544" s="23">
        <f t="shared" si="197"/>
        <v>0.64583333333333337</v>
      </c>
      <c r="N544" t="str">
        <f t="shared" si="179"/>
        <v>0 - 0</v>
      </c>
      <c r="O544" t="str">
        <f t="shared" si="180"/>
        <v>Red</v>
      </c>
      <c r="P544" t="str">
        <f t="shared" si="181"/>
        <v>Green</v>
      </c>
      <c r="Q544" t="str">
        <f t="shared" si="182"/>
        <v>Red</v>
      </c>
      <c r="R544" t="str">
        <f t="shared" si="183"/>
        <v>Green</v>
      </c>
      <c r="S544" t="str">
        <f t="shared" si="184"/>
        <v>Green</v>
      </c>
      <c r="T544" t="str">
        <f t="shared" si="185"/>
        <v>Red</v>
      </c>
      <c r="U544" t="str">
        <f t="shared" si="186"/>
        <v>Red</v>
      </c>
      <c r="V544" t="str">
        <f t="shared" si="187"/>
        <v>Green</v>
      </c>
      <c r="W544" t="str">
        <f t="shared" si="188"/>
        <v>Red</v>
      </c>
      <c r="X544" t="str">
        <f t="shared" si="189"/>
        <v>Red</v>
      </c>
      <c r="Y544" t="str">
        <f t="shared" si="190"/>
        <v>Red</v>
      </c>
      <c r="Z544" t="str">
        <f t="shared" si="191"/>
        <v>Red</v>
      </c>
      <c r="AA544" t="str">
        <f t="shared" si="192"/>
        <v>Green</v>
      </c>
      <c r="AB544" t="str">
        <f t="shared" si="193"/>
        <v>Green</v>
      </c>
      <c r="AC544" t="str">
        <f t="shared" si="194"/>
        <v>Red</v>
      </c>
      <c r="AD544" t="str">
        <f t="shared" si="195"/>
        <v>Green</v>
      </c>
    </row>
    <row r="545" spans="1:30" x14ac:dyDescent="0.2">
      <c r="A545" t="str">
        <f t="shared" si="178"/>
        <v>23/07/2026LuganoDukagjini FK</v>
      </c>
      <c r="B545" t="s">
        <v>802</v>
      </c>
      <c r="C545" t="s">
        <v>1326</v>
      </c>
      <c r="D545" s="2">
        <v>46226</v>
      </c>
      <c r="E545" s="3">
        <v>0.77083333333333337</v>
      </c>
      <c r="F545" t="s">
        <v>667</v>
      </c>
      <c r="G545" t="s">
        <v>1954</v>
      </c>
      <c r="H545">
        <v>1</v>
      </c>
      <c r="I545">
        <v>0</v>
      </c>
      <c r="J545">
        <v>1</v>
      </c>
      <c r="K545">
        <v>0</v>
      </c>
      <c r="L545" s="22" t="str">
        <f t="shared" si="196"/>
        <v>23/07/2026</v>
      </c>
      <c r="M545" s="23">
        <f t="shared" si="197"/>
        <v>0.64583333333333337</v>
      </c>
      <c r="N545" t="str">
        <f t="shared" si="179"/>
        <v>1 - 0</v>
      </c>
      <c r="O545" t="str">
        <f t="shared" si="180"/>
        <v>Green</v>
      </c>
      <c r="P545" t="str">
        <f t="shared" si="181"/>
        <v>Red</v>
      </c>
      <c r="Q545" t="str">
        <f t="shared" si="182"/>
        <v>Red</v>
      </c>
      <c r="R545" t="str">
        <f t="shared" si="183"/>
        <v>Green</v>
      </c>
      <c r="S545" t="str">
        <f t="shared" si="184"/>
        <v>Red</v>
      </c>
      <c r="T545" t="str">
        <f t="shared" si="185"/>
        <v>Green</v>
      </c>
      <c r="U545" t="str">
        <f t="shared" si="186"/>
        <v>Green</v>
      </c>
      <c r="V545" t="str">
        <f t="shared" si="187"/>
        <v>Red</v>
      </c>
      <c r="W545" t="str">
        <f t="shared" si="188"/>
        <v>Red</v>
      </c>
      <c r="X545" t="str">
        <f t="shared" si="189"/>
        <v>Green</v>
      </c>
      <c r="Y545" t="str">
        <f t="shared" si="190"/>
        <v>Red</v>
      </c>
      <c r="Z545" t="str">
        <f t="shared" si="191"/>
        <v>Red</v>
      </c>
      <c r="AA545" t="str">
        <f t="shared" si="192"/>
        <v>Green</v>
      </c>
      <c r="AB545" t="str">
        <f t="shared" si="193"/>
        <v>Green</v>
      </c>
      <c r="AC545" t="str">
        <f t="shared" si="194"/>
        <v>Red</v>
      </c>
      <c r="AD545" t="str">
        <f t="shared" si="195"/>
        <v>Green</v>
      </c>
    </row>
    <row r="546" spans="1:30" x14ac:dyDescent="0.2">
      <c r="A546" t="str">
        <f t="shared" si="178"/>
        <v>23/07/2026MSK ZilinaGKS Katowice</v>
      </c>
      <c r="B546" t="s">
        <v>802</v>
      </c>
      <c r="C546" t="s">
        <v>1326</v>
      </c>
      <c r="D546" s="2">
        <v>46226</v>
      </c>
      <c r="E546" s="3">
        <v>0.77083333333333337</v>
      </c>
      <c r="F546" t="s">
        <v>1955</v>
      </c>
      <c r="G546" t="s">
        <v>1956</v>
      </c>
      <c r="H546">
        <v>1</v>
      </c>
      <c r="I546">
        <v>1</v>
      </c>
      <c r="J546">
        <v>2</v>
      </c>
      <c r="K546">
        <v>1</v>
      </c>
      <c r="L546" s="22" t="str">
        <f t="shared" si="196"/>
        <v>23/07/2026</v>
      </c>
      <c r="M546" s="23">
        <f t="shared" si="197"/>
        <v>0.64583333333333337</v>
      </c>
      <c r="N546" t="str">
        <f t="shared" si="179"/>
        <v>2 - 1</v>
      </c>
      <c r="O546" t="str">
        <f t="shared" si="180"/>
        <v>Green</v>
      </c>
      <c r="P546" t="str">
        <f t="shared" si="181"/>
        <v>Red</v>
      </c>
      <c r="Q546" t="str">
        <f t="shared" si="182"/>
        <v>Red</v>
      </c>
      <c r="R546" t="str">
        <f t="shared" si="183"/>
        <v>Green</v>
      </c>
      <c r="S546" t="str">
        <f t="shared" si="184"/>
        <v>Red</v>
      </c>
      <c r="T546" t="str">
        <f t="shared" si="185"/>
        <v>Green</v>
      </c>
      <c r="U546" t="str">
        <f t="shared" si="186"/>
        <v>Red</v>
      </c>
      <c r="V546" t="str">
        <f t="shared" si="187"/>
        <v>Green</v>
      </c>
      <c r="W546" t="str">
        <f t="shared" si="188"/>
        <v>Red</v>
      </c>
      <c r="X546" t="str">
        <f t="shared" si="189"/>
        <v>Green</v>
      </c>
      <c r="Y546" t="str">
        <f t="shared" si="190"/>
        <v>Green</v>
      </c>
      <c r="Z546" t="str">
        <f t="shared" si="191"/>
        <v>Green</v>
      </c>
      <c r="AA546" t="str">
        <f t="shared" si="192"/>
        <v>Red</v>
      </c>
      <c r="AB546" t="str">
        <f t="shared" si="193"/>
        <v>Green</v>
      </c>
      <c r="AC546" t="str">
        <f t="shared" si="194"/>
        <v>Green</v>
      </c>
      <c r="AD546" t="str">
        <f t="shared" si="195"/>
        <v>Red</v>
      </c>
    </row>
    <row r="547" spans="1:30" x14ac:dyDescent="0.2">
      <c r="A547" t="str">
        <f t="shared" si="178"/>
        <v>23/07/2026Sportivo ItenoDeportivo Capiata</v>
      </c>
      <c r="D547" s="2">
        <v>46226</v>
      </c>
      <c r="E547" s="3">
        <v>0.77083333333333337</v>
      </c>
      <c r="F547" t="s">
        <v>2068</v>
      </c>
      <c r="G547" t="s">
        <v>280</v>
      </c>
      <c r="H547">
        <v>1</v>
      </c>
      <c r="I547">
        <v>0</v>
      </c>
      <c r="J547">
        <v>3</v>
      </c>
      <c r="K547">
        <v>2</v>
      </c>
      <c r="L547" s="22" t="str">
        <f t="shared" si="196"/>
        <v>23/07/2026</v>
      </c>
      <c r="M547" s="23">
        <f t="shared" si="197"/>
        <v>0.64583333333333337</v>
      </c>
      <c r="N547" t="str">
        <f t="shared" si="179"/>
        <v>3 - 2</v>
      </c>
      <c r="O547" t="str">
        <f t="shared" si="180"/>
        <v>Green</v>
      </c>
      <c r="P547" t="str">
        <f t="shared" si="181"/>
        <v>Red</v>
      </c>
      <c r="Q547" t="str">
        <f t="shared" si="182"/>
        <v>Red</v>
      </c>
      <c r="R547" t="str">
        <f t="shared" si="183"/>
        <v>Green</v>
      </c>
      <c r="S547" t="str">
        <f t="shared" si="184"/>
        <v>Red</v>
      </c>
      <c r="T547" t="str">
        <f t="shared" si="185"/>
        <v>Green</v>
      </c>
      <c r="U547" t="str">
        <f t="shared" si="186"/>
        <v>Green</v>
      </c>
      <c r="V547" t="str">
        <f t="shared" si="187"/>
        <v>Red</v>
      </c>
      <c r="W547" t="str">
        <f t="shared" si="188"/>
        <v>Red</v>
      </c>
      <c r="X547" t="str">
        <f t="shared" si="189"/>
        <v>Green</v>
      </c>
      <c r="Y547" t="str">
        <f t="shared" si="190"/>
        <v>Green</v>
      </c>
      <c r="Z547" t="str">
        <f t="shared" si="191"/>
        <v>Green</v>
      </c>
      <c r="AA547" t="str">
        <f t="shared" si="192"/>
        <v>Red</v>
      </c>
      <c r="AB547" t="str">
        <f t="shared" si="193"/>
        <v>Red</v>
      </c>
      <c r="AC547" t="str">
        <f t="shared" si="194"/>
        <v>Green</v>
      </c>
      <c r="AD547" t="str">
        <f t="shared" si="195"/>
        <v>Red</v>
      </c>
    </row>
    <row r="548" spans="1:30" x14ac:dyDescent="0.2">
      <c r="A548" t="str">
        <f t="shared" si="178"/>
        <v>23/07/2026HNK RijekaDerry City</v>
      </c>
      <c r="B548" t="s">
        <v>802</v>
      </c>
      <c r="C548" t="s">
        <v>1326</v>
      </c>
      <c r="D548" s="2">
        <v>46226</v>
      </c>
      <c r="E548" s="3">
        <v>0.78125</v>
      </c>
      <c r="F548" t="s">
        <v>1957</v>
      </c>
      <c r="G548" t="s">
        <v>1958</v>
      </c>
      <c r="H548">
        <v>0</v>
      </c>
      <c r="I548">
        <v>0</v>
      </c>
      <c r="J548">
        <v>1</v>
      </c>
      <c r="K548">
        <v>0</v>
      </c>
      <c r="L548" s="22" t="str">
        <f t="shared" si="196"/>
        <v>23/07/2026</v>
      </c>
      <c r="M548" s="23">
        <f t="shared" si="197"/>
        <v>0.65625</v>
      </c>
      <c r="N548" t="str">
        <f t="shared" si="179"/>
        <v>1 - 0</v>
      </c>
      <c r="O548" t="str">
        <f t="shared" si="180"/>
        <v>Green</v>
      </c>
      <c r="P548" t="str">
        <f t="shared" si="181"/>
        <v>Red</v>
      </c>
      <c r="Q548" t="str">
        <f t="shared" si="182"/>
        <v>Red</v>
      </c>
      <c r="R548" t="str">
        <f t="shared" si="183"/>
        <v>Green</v>
      </c>
      <c r="S548" t="str">
        <f t="shared" si="184"/>
        <v>Red</v>
      </c>
      <c r="T548" t="str">
        <f t="shared" si="185"/>
        <v>Green</v>
      </c>
      <c r="U548" t="str">
        <f t="shared" si="186"/>
        <v>Red</v>
      </c>
      <c r="V548" t="str">
        <f t="shared" si="187"/>
        <v>Green</v>
      </c>
      <c r="W548" t="str">
        <f t="shared" si="188"/>
        <v>Red</v>
      </c>
      <c r="X548" t="str">
        <f t="shared" si="189"/>
        <v>Red</v>
      </c>
      <c r="Y548" t="str">
        <f t="shared" si="190"/>
        <v>Red</v>
      </c>
      <c r="Z548" t="str">
        <f t="shared" si="191"/>
        <v>Red</v>
      </c>
      <c r="AA548" t="str">
        <f t="shared" si="192"/>
        <v>Green</v>
      </c>
      <c r="AB548" t="str">
        <f t="shared" si="193"/>
        <v>Green</v>
      </c>
      <c r="AC548" t="str">
        <f t="shared" si="194"/>
        <v>Red</v>
      </c>
      <c r="AD548" t="str">
        <f t="shared" si="195"/>
        <v>Green</v>
      </c>
    </row>
    <row r="549" spans="1:30" x14ac:dyDescent="0.2">
      <c r="A549" t="str">
        <f t="shared" si="178"/>
        <v>23/07/2026MotherwellHB Torshavn</v>
      </c>
      <c r="B549" t="s">
        <v>802</v>
      </c>
      <c r="C549" t="s">
        <v>1326</v>
      </c>
      <c r="D549" s="2">
        <v>46226</v>
      </c>
      <c r="E549" s="3">
        <v>0.78125</v>
      </c>
      <c r="F549" t="s">
        <v>1959</v>
      </c>
      <c r="G549" t="s">
        <v>1960</v>
      </c>
      <c r="H549">
        <v>1</v>
      </c>
      <c r="I549">
        <v>0</v>
      </c>
      <c r="J549">
        <v>2</v>
      </c>
      <c r="K549">
        <v>0</v>
      </c>
      <c r="L549" s="22" t="str">
        <f t="shared" si="196"/>
        <v>23/07/2026</v>
      </c>
      <c r="M549" s="23">
        <f t="shared" si="197"/>
        <v>0.65625</v>
      </c>
      <c r="N549" t="str">
        <f t="shared" si="179"/>
        <v>2 - 0</v>
      </c>
      <c r="O549" t="str">
        <f t="shared" si="180"/>
        <v>Green</v>
      </c>
      <c r="P549" t="str">
        <f t="shared" si="181"/>
        <v>Red</v>
      </c>
      <c r="Q549" t="str">
        <f t="shared" si="182"/>
        <v>Red</v>
      </c>
      <c r="R549" t="str">
        <f t="shared" si="183"/>
        <v>Green</v>
      </c>
      <c r="S549" t="str">
        <f t="shared" si="184"/>
        <v>Red</v>
      </c>
      <c r="T549" t="str">
        <f t="shared" si="185"/>
        <v>Green</v>
      </c>
      <c r="U549" t="str">
        <f t="shared" si="186"/>
        <v>Green</v>
      </c>
      <c r="V549" t="str">
        <f t="shared" si="187"/>
        <v>Red</v>
      </c>
      <c r="W549" t="str">
        <f t="shared" si="188"/>
        <v>Red</v>
      </c>
      <c r="X549" t="str">
        <f t="shared" si="189"/>
        <v>Green</v>
      </c>
      <c r="Y549" t="str">
        <f t="shared" si="190"/>
        <v>Green</v>
      </c>
      <c r="Z549" t="str">
        <f t="shared" si="191"/>
        <v>Red</v>
      </c>
      <c r="AA549" t="str">
        <f t="shared" si="192"/>
        <v>Green</v>
      </c>
      <c r="AB549" t="str">
        <f t="shared" si="193"/>
        <v>Green</v>
      </c>
      <c r="AC549" t="str">
        <f t="shared" si="194"/>
        <v>Red</v>
      </c>
      <c r="AD549" t="str">
        <f t="shared" si="195"/>
        <v>Green</v>
      </c>
    </row>
    <row r="550" spans="1:30" x14ac:dyDescent="0.2">
      <c r="A550" t="str">
        <f t="shared" si="178"/>
        <v>23/07/2026NK BravoFK Shkendija</v>
      </c>
      <c r="B550" t="s">
        <v>802</v>
      </c>
      <c r="C550" t="s">
        <v>1326</v>
      </c>
      <c r="D550" s="2">
        <v>46226</v>
      </c>
      <c r="E550" s="3">
        <v>0.78125</v>
      </c>
      <c r="F550" t="s">
        <v>1087</v>
      </c>
      <c r="G550" t="s">
        <v>1961</v>
      </c>
      <c r="H550">
        <v>1</v>
      </c>
      <c r="I550">
        <v>1</v>
      </c>
      <c r="J550">
        <v>2</v>
      </c>
      <c r="K550">
        <v>1</v>
      </c>
      <c r="L550" s="22" t="str">
        <f t="shared" si="196"/>
        <v>23/07/2026</v>
      </c>
      <c r="M550" s="23">
        <f t="shared" si="197"/>
        <v>0.65625</v>
      </c>
      <c r="N550" t="str">
        <f t="shared" si="179"/>
        <v>2 - 1</v>
      </c>
      <c r="O550" t="str">
        <f t="shared" si="180"/>
        <v>Green</v>
      </c>
      <c r="P550" t="str">
        <f t="shared" si="181"/>
        <v>Red</v>
      </c>
      <c r="Q550" t="str">
        <f t="shared" si="182"/>
        <v>Red</v>
      </c>
      <c r="R550" t="str">
        <f t="shared" si="183"/>
        <v>Green</v>
      </c>
      <c r="S550" t="str">
        <f t="shared" si="184"/>
        <v>Red</v>
      </c>
      <c r="T550" t="str">
        <f t="shared" si="185"/>
        <v>Green</v>
      </c>
      <c r="U550" t="str">
        <f t="shared" si="186"/>
        <v>Red</v>
      </c>
      <c r="V550" t="str">
        <f t="shared" si="187"/>
        <v>Green</v>
      </c>
      <c r="W550" t="str">
        <f t="shared" si="188"/>
        <v>Red</v>
      </c>
      <c r="X550" t="str">
        <f t="shared" si="189"/>
        <v>Green</v>
      </c>
      <c r="Y550" t="str">
        <f t="shared" si="190"/>
        <v>Green</v>
      </c>
      <c r="Z550" t="str">
        <f t="shared" si="191"/>
        <v>Green</v>
      </c>
      <c r="AA550" t="str">
        <f t="shared" si="192"/>
        <v>Red</v>
      </c>
      <c r="AB550" t="str">
        <f t="shared" si="193"/>
        <v>Green</v>
      </c>
      <c r="AC550" t="str">
        <f t="shared" si="194"/>
        <v>Green</v>
      </c>
      <c r="AD550" t="str">
        <f t="shared" si="195"/>
        <v>Red</v>
      </c>
    </row>
    <row r="551" spans="1:30" x14ac:dyDescent="0.2">
      <c r="A551" t="str">
        <f t="shared" si="178"/>
        <v>23/07/2026NSI RunavikKoper</v>
      </c>
      <c r="B551" t="s">
        <v>802</v>
      </c>
      <c r="C551" t="s">
        <v>1326</v>
      </c>
      <c r="D551" s="2">
        <v>46226</v>
      </c>
      <c r="E551" s="3">
        <v>0.78125</v>
      </c>
      <c r="F551" t="s">
        <v>1962</v>
      </c>
      <c r="G551" t="s">
        <v>1963</v>
      </c>
      <c r="H551">
        <v>0</v>
      </c>
      <c r="I551">
        <v>0</v>
      </c>
      <c r="J551">
        <v>0</v>
      </c>
      <c r="K551">
        <v>2</v>
      </c>
      <c r="L551" s="22" t="str">
        <f t="shared" si="196"/>
        <v>23/07/2026</v>
      </c>
      <c r="M551" s="23">
        <f t="shared" si="197"/>
        <v>0.65625</v>
      </c>
      <c r="N551" t="str">
        <f t="shared" si="179"/>
        <v>0 - 2</v>
      </c>
      <c r="O551" t="str">
        <f t="shared" si="180"/>
        <v>Red</v>
      </c>
      <c r="P551" t="str">
        <f t="shared" si="181"/>
        <v>Red</v>
      </c>
      <c r="Q551" t="str">
        <f t="shared" si="182"/>
        <v>Green</v>
      </c>
      <c r="R551" t="str">
        <f t="shared" si="183"/>
        <v>Red</v>
      </c>
      <c r="S551" t="str">
        <f t="shared" si="184"/>
        <v>Green</v>
      </c>
      <c r="T551" t="str">
        <f t="shared" si="185"/>
        <v>Green</v>
      </c>
      <c r="U551" t="str">
        <f t="shared" si="186"/>
        <v>Red</v>
      </c>
      <c r="V551" t="str">
        <f t="shared" si="187"/>
        <v>Green</v>
      </c>
      <c r="W551" t="str">
        <f t="shared" si="188"/>
        <v>Red</v>
      </c>
      <c r="X551" t="str">
        <f t="shared" si="189"/>
        <v>Red</v>
      </c>
      <c r="Y551" t="str">
        <f t="shared" si="190"/>
        <v>Green</v>
      </c>
      <c r="Z551" t="str">
        <f t="shared" si="191"/>
        <v>Red</v>
      </c>
      <c r="AA551" t="str">
        <f t="shared" si="192"/>
        <v>Green</v>
      </c>
      <c r="AB551" t="str">
        <f t="shared" si="193"/>
        <v>Green</v>
      </c>
      <c r="AC551" t="str">
        <f t="shared" si="194"/>
        <v>Red</v>
      </c>
      <c r="AD551" t="str">
        <f t="shared" si="195"/>
        <v>Green</v>
      </c>
    </row>
    <row r="552" spans="1:30" x14ac:dyDescent="0.2">
      <c r="A552" t="str">
        <f t="shared" si="178"/>
        <v>23/07/2026ShelbourneNomme Kalju</v>
      </c>
      <c r="B552" t="s">
        <v>802</v>
      </c>
      <c r="C552" t="s">
        <v>1326</v>
      </c>
      <c r="D552" s="2">
        <v>46226</v>
      </c>
      <c r="E552" s="3">
        <v>0.78125</v>
      </c>
      <c r="F552" t="s">
        <v>1964</v>
      </c>
      <c r="G552" t="s">
        <v>1965</v>
      </c>
      <c r="H552">
        <v>3</v>
      </c>
      <c r="I552">
        <v>1</v>
      </c>
      <c r="J552">
        <v>5</v>
      </c>
      <c r="K552">
        <v>2</v>
      </c>
      <c r="L552" s="22" t="str">
        <f t="shared" si="196"/>
        <v>23/07/2026</v>
      </c>
      <c r="M552" s="23">
        <f t="shared" si="197"/>
        <v>0.65625</v>
      </c>
      <c r="N552" t="str">
        <f t="shared" si="179"/>
        <v>5 - 2</v>
      </c>
      <c r="O552" t="str">
        <f t="shared" si="180"/>
        <v>Green</v>
      </c>
      <c r="P552" t="str">
        <f t="shared" si="181"/>
        <v>Red</v>
      </c>
      <c r="Q552" t="str">
        <f t="shared" si="182"/>
        <v>Red</v>
      </c>
      <c r="R552" t="str">
        <f t="shared" si="183"/>
        <v>Green</v>
      </c>
      <c r="S552" t="str">
        <f t="shared" si="184"/>
        <v>Red</v>
      </c>
      <c r="T552" t="str">
        <f t="shared" si="185"/>
        <v>Green</v>
      </c>
      <c r="U552" t="str">
        <f t="shared" si="186"/>
        <v>Green</v>
      </c>
      <c r="V552" t="str">
        <f t="shared" si="187"/>
        <v>Red</v>
      </c>
      <c r="W552" t="str">
        <f t="shared" si="188"/>
        <v>Red</v>
      </c>
      <c r="X552" t="str">
        <f t="shared" si="189"/>
        <v>Green</v>
      </c>
      <c r="Y552" t="str">
        <f t="shared" si="190"/>
        <v>Green</v>
      </c>
      <c r="Z552" t="str">
        <f t="shared" si="191"/>
        <v>Green</v>
      </c>
      <c r="AA552" t="str">
        <f t="shared" si="192"/>
        <v>Red</v>
      </c>
      <c r="AB552" t="str">
        <f t="shared" si="193"/>
        <v>Red</v>
      </c>
      <c r="AC552" t="str">
        <f t="shared" si="194"/>
        <v>Green</v>
      </c>
      <c r="AD552" t="str">
        <f t="shared" si="195"/>
        <v>Red</v>
      </c>
    </row>
    <row r="553" spans="1:30" x14ac:dyDescent="0.2">
      <c r="A553" t="str">
        <f t="shared" si="178"/>
        <v>23/07/2026SC InkberrowEvesham United</v>
      </c>
      <c r="D553" s="2">
        <v>46226</v>
      </c>
      <c r="E553" s="3">
        <v>0.78125</v>
      </c>
      <c r="F553" t="s">
        <v>2095</v>
      </c>
      <c r="G553" t="s">
        <v>2096</v>
      </c>
      <c r="H553">
        <v>1</v>
      </c>
      <c r="I553">
        <v>0</v>
      </c>
      <c r="J553">
        <v>1</v>
      </c>
      <c r="K553">
        <v>1</v>
      </c>
      <c r="L553" s="22" t="str">
        <f t="shared" si="196"/>
        <v>23/07/2026</v>
      </c>
      <c r="M553" s="23">
        <f t="shared" si="197"/>
        <v>0.65625</v>
      </c>
      <c r="N553" t="str">
        <f t="shared" si="179"/>
        <v>1 - 1</v>
      </c>
      <c r="O553" t="str">
        <f t="shared" si="180"/>
        <v>Red</v>
      </c>
      <c r="P553" t="str">
        <f t="shared" si="181"/>
        <v>Green</v>
      </c>
      <c r="Q553" t="str">
        <f t="shared" si="182"/>
        <v>Red</v>
      </c>
      <c r="R553" t="str">
        <f t="shared" si="183"/>
        <v>Green</v>
      </c>
      <c r="S553" t="str">
        <f t="shared" si="184"/>
        <v>Green</v>
      </c>
      <c r="T553" t="str">
        <f t="shared" si="185"/>
        <v>Red</v>
      </c>
      <c r="U553" t="str">
        <f t="shared" si="186"/>
        <v>Green</v>
      </c>
      <c r="V553" t="str">
        <f t="shared" si="187"/>
        <v>Red</v>
      </c>
      <c r="W553" t="str">
        <f t="shared" si="188"/>
        <v>Red</v>
      </c>
      <c r="X553" t="str">
        <f t="shared" si="189"/>
        <v>Green</v>
      </c>
      <c r="Y553" t="str">
        <f t="shared" si="190"/>
        <v>Green</v>
      </c>
      <c r="Z553" t="str">
        <f t="shared" si="191"/>
        <v>Red</v>
      </c>
      <c r="AA553" t="str">
        <f t="shared" si="192"/>
        <v>Green</v>
      </c>
      <c r="AB553" t="str">
        <f t="shared" si="193"/>
        <v>Green</v>
      </c>
      <c r="AC553" t="str">
        <f t="shared" si="194"/>
        <v>Green</v>
      </c>
      <c r="AD553" t="str">
        <f t="shared" si="195"/>
        <v>Red</v>
      </c>
    </row>
    <row r="554" spans="1:30" x14ac:dyDescent="0.2">
      <c r="A554" t="str">
        <f t="shared" si="178"/>
        <v>23/07/2026HNK Hadjuk SplitPafos</v>
      </c>
      <c r="B554" t="s">
        <v>802</v>
      </c>
      <c r="C554" t="s">
        <v>1889</v>
      </c>
      <c r="D554" s="2">
        <v>46226</v>
      </c>
      <c r="E554" s="3">
        <v>0.79166666666666663</v>
      </c>
      <c r="F554" t="s">
        <v>1904</v>
      </c>
      <c r="G554" t="s">
        <v>1905</v>
      </c>
      <c r="H554">
        <v>0</v>
      </c>
      <c r="I554">
        <v>0</v>
      </c>
      <c r="J554">
        <v>2</v>
      </c>
      <c r="K554">
        <v>0</v>
      </c>
      <c r="L554" s="22" t="str">
        <f t="shared" ref="L554:L581" si="198">DAY(D554)&amp;"/"&amp;"07"&amp;"/"&amp;YEAR(D554)</f>
        <v>23/07/2026</v>
      </c>
      <c r="M554" s="23">
        <f t="shared" ref="M554:M581" si="199">E554-TIME(3,0,0)</f>
        <v>0.66666666666666663</v>
      </c>
      <c r="N554" t="str">
        <f t="shared" si="179"/>
        <v>2 - 0</v>
      </c>
      <c r="O554" t="str">
        <f t="shared" si="180"/>
        <v>Green</v>
      </c>
      <c r="P554" t="str">
        <f t="shared" si="181"/>
        <v>Red</v>
      </c>
      <c r="Q554" t="str">
        <f t="shared" si="182"/>
        <v>Red</v>
      </c>
      <c r="R554" t="str">
        <f t="shared" si="183"/>
        <v>Green</v>
      </c>
      <c r="S554" t="str">
        <f t="shared" si="184"/>
        <v>Red</v>
      </c>
      <c r="T554" t="str">
        <f t="shared" si="185"/>
        <v>Green</v>
      </c>
      <c r="U554" t="str">
        <f t="shared" si="186"/>
        <v>Red</v>
      </c>
      <c r="V554" t="str">
        <f t="shared" si="187"/>
        <v>Green</v>
      </c>
      <c r="W554" t="str">
        <f t="shared" si="188"/>
        <v>Red</v>
      </c>
      <c r="X554" t="str">
        <f t="shared" si="189"/>
        <v>Red</v>
      </c>
      <c r="Y554" t="str">
        <f t="shared" si="190"/>
        <v>Green</v>
      </c>
      <c r="Z554" t="str">
        <f t="shared" si="191"/>
        <v>Red</v>
      </c>
      <c r="AA554" t="str">
        <f t="shared" si="192"/>
        <v>Green</v>
      </c>
      <c r="AB554" t="str">
        <f t="shared" si="193"/>
        <v>Green</v>
      </c>
      <c r="AC554" t="str">
        <f t="shared" si="194"/>
        <v>Red</v>
      </c>
      <c r="AD554" t="str">
        <f t="shared" si="195"/>
        <v>Green</v>
      </c>
    </row>
    <row r="555" spans="1:30" x14ac:dyDescent="0.2">
      <c r="A555" t="str">
        <f t="shared" si="178"/>
        <v>23/07/2026Partizan BelgradeUNA Strassen</v>
      </c>
      <c r="B555" t="s">
        <v>802</v>
      </c>
      <c r="C555" t="s">
        <v>1326</v>
      </c>
      <c r="D555" s="2">
        <v>46226</v>
      </c>
      <c r="E555" s="3">
        <v>0.79166666666666663</v>
      </c>
      <c r="F555" t="s">
        <v>1159</v>
      </c>
      <c r="G555" t="s">
        <v>1966</v>
      </c>
      <c r="H555">
        <v>2</v>
      </c>
      <c r="I555">
        <v>0</v>
      </c>
      <c r="J555">
        <v>4</v>
      </c>
      <c r="K555">
        <v>0</v>
      </c>
      <c r="L555" s="22" t="str">
        <f t="shared" si="198"/>
        <v>23/07/2026</v>
      </c>
      <c r="M555" s="23">
        <f t="shared" si="199"/>
        <v>0.66666666666666663</v>
      </c>
      <c r="N555" t="str">
        <f t="shared" si="179"/>
        <v>4 - 0</v>
      </c>
      <c r="O555" t="str">
        <f t="shared" si="180"/>
        <v>Green</v>
      </c>
      <c r="P555" t="str">
        <f t="shared" si="181"/>
        <v>Red</v>
      </c>
      <c r="Q555" t="str">
        <f t="shared" si="182"/>
        <v>Red</v>
      </c>
      <c r="R555" t="str">
        <f t="shared" si="183"/>
        <v>Green</v>
      </c>
      <c r="S555" t="str">
        <f t="shared" si="184"/>
        <v>Red</v>
      </c>
      <c r="T555" t="str">
        <f t="shared" si="185"/>
        <v>Green</v>
      </c>
      <c r="U555" t="str">
        <f t="shared" si="186"/>
        <v>Green</v>
      </c>
      <c r="V555" t="str">
        <f t="shared" si="187"/>
        <v>Red</v>
      </c>
      <c r="W555" t="str">
        <f t="shared" si="188"/>
        <v>Red</v>
      </c>
      <c r="X555" t="str">
        <f t="shared" si="189"/>
        <v>Green</v>
      </c>
      <c r="Y555" t="str">
        <f t="shared" si="190"/>
        <v>Green</v>
      </c>
      <c r="Z555" t="str">
        <f t="shared" si="191"/>
        <v>Green</v>
      </c>
      <c r="AA555" t="str">
        <f t="shared" si="192"/>
        <v>Red</v>
      </c>
      <c r="AB555" t="str">
        <f t="shared" si="193"/>
        <v>Red</v>
      </c>
      <c r="AC555" t="str">
        <f t="shared" si="194"/>
        <v>Red</v>
      </c>
      <c r="AD555" t="str">
        <f t="shared" si="195"/>
        <v>Green</v>
      </c>
    </row>
    <row r="556" spans="1:30" x14ac:dyDescent="0.2">
      <c r="A556" t="str">
        <f t="shared" si="178"/>
        <v>23/07/2026Stjarnan FCIlves</v>
      </c>
      <c r="B556" t="s">
        <v>802</v>
      </c>
      <c r="C556" t="s">
        <v>1326</v>
      </c>
      <c r="D556" s="2">
        <v>46226</v>
      </c>
      <c r="E556" s="3">
        <v>0.79166666666666663</v>
      </c>
      <c r="F556" t="s">
        <v>1967</v>
      </c>
      <c r="G556" t="s">
        <v>296</v>
      </c>
      <c r="H556">
        <v>0</v>
      </c>
      <c r="I556">
        <v>0</v>
      </c>
      <c r="J556">
        <v>1</v>
      </c>
      <c r="K556">
        <v>0</v>
      </c>
      <c r="L556" s="22" t="str">
        <f t="shared" si="198"/>
        <v>23/07/2026</v>
      </c>
      <c r="M556" s="23">
        <f t="shared" si="199"/>
        <v>0.66666666666666663</v>
      </c>
      <c r="N556" t="str">
        <f t="shared" si="179"/>
        <v>1 - 0</v>
      </c>
      <c r="O556" t="str">
        <f t="shared" si="180"/>
        <v>Green</v>
      </c>
      <c r="P556" t="str">
        <f t="shared" si="181"/>
        <v>Red</v>
      </c>
      <c r="Q556" t="str">
        <f t="shared" si="182"/>
        <v>Red</v>
      </c>
      <c r="R556" t="str">
        <f t="shared" si="183"/>
        <v>Green</v>
      </c>
      <c r="S556" t="str">
        <f t="shared" si="184"/>
        <v>Red</v>
      </c>
      <c r="T556" t="str">
        <f t="shared" si="185"/>
        <v>Green</v>
      </c>
      <c r="U556" t="str">
        <f t="shared" si="186"/>
        <v>Red</v>
      </c>
      <c r="V556" t="str">
        <f t="shared" si="187"/>
        <v>Green</v>
      </c>
      <c r="W556" t="str">
        <f t="shared" si="188"/>
        <v>Red</v>
      </c>
      <c r="X556" t="str">
        <f t="shared" si="189"/>
        <v>Red</v>
      </c>
      <c r="Y556" t="str">
        <f t="shared" si="190"/>
        <v>Red</v>
      </c>
      <c r="Z556" t="str">
        <f t="shared" si="191"/>
        <v>Red</v>
      </c>
      <c r="AA556" t="str">
        <f t="shared" si="192"/>
        <v>Green</v>
      </c>
      <c r="AB556" t="str">
        <f t="shared" si="193"/>
        <v>Green</v>
      </c>
      <c r="AC556" t="str">
        <f t="shared" si="194"/>
        <v>Red</v>
      </c>
      <c r="AD556" t="str">
        <f t="shared" si="195"/>
        <v>Green</v>
      </c>
    </row>
    <row r="557" spans="1:30" x14ac:dyDescent="0.2">
      <c r="A557" t="str">
        <f t="shared" si="178"/>
        <v>23/07/2026Red Bull Bragantino U20Palmeiras U20</v>
      </c>
      <c r="D557" s="2">
        <v>46226</v>
      </c>
      <c r="E557" s="3">
        <v>0.79166666666666663</v>
      </c>
      <c r="F557" t="s">
        <v>1990</v>
      </c>
      <c r="G557" t="s">
        <v>1991</v>
      </c>
      <c r="H557">
        <v>1</v>
      </c>
      <c r="I557">
        <v>1</v>
      </c>
      <c r="J557">
        <v>3</v>
      </c>
      <c r="K557">
        <v>3</v>
      </c>
      <c r="L557" s="22" t="str">
        <f t="shared" si="198"/>
        <v>23/07/2026</v>
      </c>
      <c r="M557" s="23">
        <f t="shared" si="199"/>
        <v>0.66666666666666663</v>
      </c>
      <c r="N557" t="str">
        <f t="shared" si="179"/>
        <v>3 - 3</v>
      </c>
      <c r="O557" t="str">
        <f t="shared" si="180"/>
        <v>Red</v>
      </c>
      <c r="P557" t="str">
        <f t="shared" si="181"/>
        <v>Green</v>
      </c>
      <c r="Q557" t="str">
        <f t="shared" si="182"/>
        <v>Red</v>
      </c>
      <c r="R557" t="str">
        <f t="shared" si="183"/>
        <v>Green</v>
      </c>
      <c r="S557" t="str">
        <f t="shared" si="184"/>
        <v>Green</v>
      </c>
      <c r="T557" t="str">
        <f t="shared" si="185"/>
        <v>Red</v>
      </c>
      <c r="U557" t="str">
        <f t="shared" si="186"/>
        <v>Red</v>
      </c>
      <c r="V557" t="str">
        <f t="shared" si="187"/>
        <v>Green</v>
      </c>
      <c r="W557" t="str">
        <f t="shared" si="188"/>
        <v>Red</v>
      </c>
      <c r="X557" t="str">
        <f t="shared" si="189"/>
        <v>Green</v>
      </c>
      <c r="Y557" t="str">
        <f t="shared" si="190"/>
        <v>Green</v>
      </c>
      <c r="Z557" t="str">
        <f t="shared" si="191"/>
        <v>Green</v>
      </c>
      <c r="AA557" t="str">
        <f t="shared" si="192"/>
        <v>Red</v>
      </c>
      <c r="AB557" t="str">
        <f t="shared" si="193"/>
        <v>Red</v>
      </c>
      <c r="AC557" t="str">
        <f t="shared" si="194"/>
        <v>Green</v>
      </c>
      <c r="AD557" t="str">
        <f t="shared" si="195"/>
        <v>Red</v>
      </c>
    </row>
    <row r="558" spans="1:30" x14ac:dyDescent="0.2">
      <c r="A558" t="str">
        <f t="shared" si="178"/>
        <v>23/07/2026CordobaSevilla</v>
      </c>
      <c r="D558" s="2">
        <v>46226</v>
      </c>
      <c r="E558" s="3">
        <v>0.79166666666666663</v>
      </c>
      <c r="F558" t="s">
        <v>2097</v>
      </c>
      <c r="G558" t="s">
        <v>2098</v>
      </c>
      <c r="H558">
        <v>0</v>
      </c>
      <c r="I558">
        <v>0</v>
      </c>
      <c r="J558">
        <v>0</v>
      </c>
      <c r="K558">
        <v>0</v>
      </c>
      <c r="L558" s="22" t="str">
        <f t="shared" si="198"/>
        <v>23/07/2026</v>
      </c>
      <c r="M558" s="23">
        <f t="shared" si="199"/>
        <v>0.66666666666666663</v>
      </c>
      <c r="N558" t="str">
        <f t="shared" si="179"/>
        <v>0 - 0</v>
      </c>
      <c r="O558" t="str">
        <f t="shared" si="180"/>
        <v>Red</v>
      </c>
      <c r="P558" t="str">
        <f t="shared" si="181"/>
        <v>Green</v>
      </c>
      <c r="Q558" t="str">
        <f t="shared" si="182"/>
        <v>Red</v>
      </c>
      <c r="R558" t="str">
        <f t="shared" si="183"/>
        <v>Green</v>
      </c>
      <c r="S558" t="str">
        <f t="shared" si="184"/>
        <v>Green</v>
      </c>
      <c r="T558" t="str">
        <f t="shared" si="185"/>
        <v>Red</v>
      </c>
      <c r="U558" t="str">
        <f t="shared" si="186"/>
        <v>Red</v>
      </c>
      <c r="V558" t="str">
        <f t="shared" si="187"/>
        <v>Green</v>
      </c>
      <c r="W558" t="str">
        <f t="shared" si="188"/>
        <v>Red</v>
      </c>
      <c r="X558" t="str">
        <f t="shared" si="189"/>
        <v>Red</v>
      </c>
      <c r="Y558" t="str">
        <f t="shared" si="190"/>
        <v>Red</v>
      </c>
      <c r="Z558" t="str">
        <f t="shared" si="191"/>
        <v>Red</v>
      </c>
      <c r="AA558" t="str">
        <f t="shared" si="192"/>
        <v>Green</v>
      </c>
      <c r="AB558" t="str">
        <f t="shared" si="193"/>
        <v>Green</v>
      </c>
      <c r="AC558" t="str">
        <f t="shared" si="194"/>
        <v>Red</v>
      </c>
      <c r="AD558" t="str">
        <f t="shared" si="195"/>
        <v>Green</v>
      </c>
    </row>
    <row r="559" spans="1:30" x14ac:dyDescent="0.2">
      <c r="A559" t="str">
        <f t="shared" si="178"/>
        <v>23/07/2026Grotta WomenHottur Women</v>
      </c>
      <c r="D559" s="2">
        <v>46226</v>
      </c>
      <c r="E559" s="3">
        <v>0.79861111111111116</v>
      </c>
      <c r="F559" t="s">
        <v>2054</v>
      </c>
      <c r="G559" t="s">
        <v>2055</v>
      </c>
      <c r="H559">
        <v>1</v>
      </c>
      <c r="I559">
        <v>1</v>
      </c>
      <c r="J559">
        <v>3</v>
      </c>
      <c r="K559">
        <v>3</v>
      </c>
      <c r="L559" s="22" t="str">
        <f t="shared" si="198"/>
        <v>23/07/2026</v>
      </c>
      <c r="M559" s="23">
        <f t="shared" si="199"/>
        <v>0.67361111111111116</v>
      </c>
      <c r="N559" t="str">
        <f t="shared" si="179"/>
        <v>3 - 3</v>
      </c>
      <c r="O559" t="str">
        <f t="shared" si="180"/>
        <v>Red</v>
      </c>
      <c r="P559" t="str">
        <f t="shared" si="181"/>
        <v>Green</v>
      </c>
      <c r="Q559" t="str">
        <f t="shared" si="182"/>
        <v>Red</v>
      </c>
      <c r="R559" t="str">
        <f t="shared" si="183"/>
        <v>Green</v>
      </c>
      <c r="S559" t="str">
        <f t="shared" si="184"/>
        <v>Green</v>
      </c>
      <c r="T559" t="str">
        <f t="shared" si="185"/>
        <v>Red</v>
      </c>
      <c r="U559" t="str">
        <f t="shared" si="186"/>
        <v>Red</v>
      </c>
      <c r="V559" t="str">
        <f t="shared" si="187"/>
        <v>Green</v>
      </c>
      <c r="W559" t="str">
        <f t="shared" si="188"/>
        <v>Red</v>
      </c>
      <c r="X559" t="str">
        <f t="shared" si="189"/>
        <v>Green</v>
      </c>
      <c r="Y559" t="str">
        <f t="shared" si="190"/>
        <v>Green</v>
      </c>
      <c r="Z559" t="str">
        <f t="shared" si="191"/>
        <v>Green</v>
      </c>
      <c r="AA559" t="str">
        <f t="shared" si="192"/>
        <v>Red</v>
      </c>
      <c r="AB559" t="str">
        <f t="shared" si="193"/>
        <v>Red</v>
      </c>
      <c r="AC559" t="str">
        <f t="shared" si="194"/>
        <v>Green</v>
      </c>
      <c r="AD559" t="str">
        <f t="shared" si="195"/>
        <v>Red</v>
      </c>
    </row>
    <row r="560" spans="1:30" x14ac:dyDescent="0.2">
      <c r="A560" t="str">
        <f t="shared" si="178"/>
        <v>23/07/2026Valur HSK Zrinjski Mostar</v>
      </c>
      <c r="B560" t="s">
        <v>802</v>
      </c>
      <c r="C560" t="s">
        <v>1326</v>
      </c>
      <c r="D560" s="2">
        <v>46226</v>
      </c>
      <c r="E560" s="3">
        <v>0.80208333333333337</v>
      </c>
      <c r="F560" t="s">
        <v>1968</v>
      </c>
      <c r="G560" t="s">
        <v>1969</v>
      </c>
      <c r="H560">
        <v>0</v>
      </c>
      <c r="I560">
        <v>0</v>
      </c>
      <c r="J560">
        <v>1</v>
      </c>
      <c r="K560">
        <v>0</v>
      </c>
      <c r="L560" s="22" t="str">
        <f t="shared" si="198"/>
        <v>23/07/2026</v>
      </c>
      <c r="M560" s="23">
        <f t="shared" si="199"/>
        <v>0.67708333333333337</v>
      </c>
      <c r="N560" t="str">
        <f t="shared" si="179"/>
        <v>1 - 0</v>
      </c>
      <c r="O560" t="str">
        <f t="shared" si="180"/>
        <v>Green</v>
      </c>
      <c r="P560" t="str">
        <f t="shared" si="181"/>
        <v>Red</v>
      </c>
      <c r="Q560" t="str">
        <f t="shared" si="182"/>
        <v>Red</v>
      </c>
      <c r="R560" t="str">
        <f t="shared" si="183"/>
        <v>Green</v>
      </c>
      <c r="S560" t="str">
        <f t="shared" si="184"/>
        <v>Red</v>
      </c>
      <c r="T560" t="str">
        <f t="shared" si="185"/>
        <v>Green</v>
      </c>
      <c r="U560" t="str">
        <f t="shared" si="186"/>
        <v>Red</v>
      </c>
      <c r="V560" t="str">
        <f t="shared" si="187"/>
        <v>Green</v>
      </c>
      <c r="W560" t="str">
        <f t="shared" si="188"/>
        <v>Red</v>
      </c>
      <c r="X560" t="str">
        <f t="shared" si="189"/>
        <v>Red</v>
      </c>
      <c r="Y560" t="str">
        <f t="shared" si="190"/>
        <v>Red</v>
      </c>
      <c r="Z560" t="str">
        <f t="shared" si="191"/>
        <v>Red</v>
      </c>
      <c r="AA560" t="str">
        <f t="shared" si="192"/>
        <v>Green</v>
      </c>
      <c r="AB560" t="str">
        <f t="shared" si="193"/>
        <v>Green</v>
      </c>
      <c r="AC560" t="str">
        <f t="shared" si="194"/>
        <v>Red</v>
      </c>
      <c r="AD560" t="str">
        <f t="shared" si="195"/>
        <v>Green</v>
      </c>
    </row>
    <row r="561" spans="1:30" x14ac:dyDescent="0.2">
      <c r="A561" t="str">
        <f t="shared" si="178"/>
        <v xml:space="preserve">23/07/2026Leiknir ReykjavikThrottur </v>
      </c>
      <c r="D561" s="2">
        <v>46226</v>
      </c>
      <c r="E561" s="3">
        <v>0.80208333333333337</v>
      </c>
      <c r="F561" t="s">
        <v>98</v>
      </c>
      <c r="G561" t="s">
        <v>2045</v>
      </c>
      <c r="H561">
        <v>0</v>
      </c>
      <c r="I561">
        <v>2</v>
      </c>
      <c r="J561">
        <v>1</v>
      </c>
      <c r="K561">
        <v>5</v>
      </c>
      <c r="L561" s="22" t="str">
        <f t="shared" si="198"/>
        <v>23/07/2026</v>
      </c>
      <c r="M561" s="23">
        <f t="shared" si="199"/>
        <v>0.67708333333333337</v>
      </c>
      <c r="N561" t="str">
        <f t="shared" si="179"/>
        <v>1 - 5</v>
      </c>
      <c r="O561" t="str">
        <f t="shared" si="180"/>
        <v>Red</v>
      </c>
      <c r="P561" t="str">
        <f t="shared" si="181"/>
        <v>Red</v>
      </c>
      <c r="Q561" t="str">
        <f t="shared" si="182"/>
        <v>Green</v>
      </c>
      <c r="R561" t="str">
        <f t="shared" si="183"/>
        <v>Red</v>
      </c>
      <c r="S561" t="str">
        <f t="shared" si="184"/>
        <v>Green</v>
      </c>
      <c r="T561" t="str">
        <f t="shared" si="185"/>
        <v>Green</v>
      </c>
      <c r="U561" t="str">
        <f t="shared" si="186"/>
        <v>Red</v>
      </c>
      <c r="V561" t="str">
        <f t="shared" si="187"/>
        <v>Red</v>
      </c>
      <c r="W561" t="str">
        <f t="shared" si="188"/>
        <v>Green</v>
      </c>
      <c r="X561" t="str">
        <f t="shared" si="189"/>
        <v>Green</v>
      </c>
      <c r="Y561" t="str">
        <f t="shared" si="190"/>
        <v>Green</v>
      </c>
      <c r="Z561" t="str">
        <f t="shared" si="191"/>
        <v>Green</v>
      </c>
      <c r="AA561" t="str">
        <f t="shared" si="192"/>
        <v>Red</v>
      </c>
      <c r="AB561" t="str">
        <f t="shared" si="193"/>
        <v>Red</v>
      </c>
      <c r="AC561" t="str">
        <f t="shared" si="194"/>
        <v>Green</v>
      </c>
      <c r="AD561" t="str">
        <f t="shared" si="195"/>
        <v>Red</v>
      </c>
    </row>
    <row r="562" spans="1:30" x14ac:dyDescent="0.2">
      <c r="A562" t="str">
        <f t="shared" si="178"/>
        <v>23/07/2026KA HafnarfjordurAugnablik Kopavogur</v>
      </c>
      <c r="D562" s="2">
        <v>46226</v>
      </c>
      <c r="E562" s="3">
        <v>0.80208333333333337</v>
      </c>
      <c r="F562" t="s">
        <v>2046</v>
      </c>
      <c r="G562" t="s">
        <v>2047</v>
      </c>
      <c r="H562">
        <v>3</v>
      </c>
      <c r="I562">
        <v>0</v>
      </c>
      <c r="J562">
        <v>3</v>
      </c>
      <c r="K562">
        <v>2</v>
      </c>
      <c r="L562" s="22" t="str">
        <f t="shared" si="198"/>
        <v>23/07/2026</v>
      </c>
      <c r="M562" s="23">
        <f t="shared" si="199"/>
        <v>0.67708333333333337</v>
      </c>
      <c r="N562" t="str">
        <f t="shared" si="179"/>
        <v>3 - 2</v>
      </c>
      <c r="O562" t="str">
        <f t="shared" si="180"/>
        <v>Green</v>
      </c>
      <c r="P562" t="str">
        <f t="shared" si="181"/>
        <v>Red</v>
      </c>
      <c r="Q562" t="str">
        <f t="shared" si="182"/>
        <v>Red</v>
      </c>
      <c r="R562" t="str">
        <f t="shared" si="183"/>
        <v>Green</v>
      </c>
      <c r="S562" t="str">
        <f t="shared" si="184"/>
        <v>Red</v>
      </c>
      <c r="T562" t="str">
        <f t="shared" si="185"/>
        <v>Green</v>
      </c>
      <c r="U562" t="str">
        <f t="shared" si="186"/>
        <v>Green</v>
      </c>
      <c r="V562" t="str">
        <f t="shared" si="187"/>
        <v>Red</v>
      </c>
      <c r="W562" t="str">
        <f t="shared" si="188"/>
        <v>Red</v>
      </c>
      <c r="X562" t="str">
        <f t="shared" si="189"/>
        <v>Green</v>
      </c>
      <c r="Y562" t="str">
        <f t="shared" si="190"/>
        <v>Green</v>
      </c>
      <c r="Z562" t="str">
        <f t="shared" si="191"/>
        <v>Green</v>
      </c>
      <c r="AA562" t="str">
        <f t="shared" si="192"/>
        <v>Red</v>
      </c>
      <c r="AB562" t="str">
        <f t="shared" si="193"/>
        <v>Red</v>
      </c>
      <c r="AC562" t="str">
        <f t="shared" si="194"/>
        <v>Green</v>
      </c>
      <c r="AD562" t="str">
        <f t="shared" si="195"/>
        <v>Red</v>
      </c>
    </row>
    <row r="563" spans="1:30" x14ac:dyDescent="0.2">
      <c r="A563" t="str">
        <f t="shared" si="178"/>
        <v>23/07/2026AlftanesVaengir Jupiters</v>
      </c>
      <c r="D563" s="2">
        <v>46226</v>
      </c>
      <c r="E563" s="3">
        <v>0.80208333333333337</v>
      </c>
      <c r="F563" t="s">
        <v>2048</v>
      </c>
      <c r="G563" t="s">
        <v>2049</v>
      </c>
      <c r="H563">
        <v>1</v>
      </c>
      <c r="I563">
        <v>0</v>
      </c>
      <c r="J563">
        <v>5</v>
      </c>
      <c r="K563">
        <v>0</v>
      </c>
      <c r="L563" s="22" t="str">
        <f t="shared" si="198"/>
        <v>23/07/2026</v>
      </c>
      <c r="M563" s="23">
        <f t="shared" si="199"/>
        <v>0.67708333333333337</v>
      </c>
      <c r="N563" t="str">
        <f t="shared" si="179"/>
        <v>5 - 0</v>
      </c>
      <c r="O563" t="str">
        <f t="shared" si="180"/>
        <v>Green</v>
      </c>
      <c r="P563" t="str">
        <f t="shared" si="181"/>
        <v>Red</v>
      </c>
      <c r="Q563" t="str">
        <f t="shared" si="182"/>
        <v>Red</v>
      </c>
      <c r="R563" t="str">
        <f t="shared" si="183"/>
        <v>Green</v>
      </c>
      <c r="S563" t="str">
        <f t="shared" si="184"/>
        <v>Red</v>
      </c>
      <c r="T563" t="str">
        <f t="shared" si="185"/>
        <v>Green</v>
      </c>
      <c r="U563" t="str">
        <f t="shared" si="186"/>
        <v>Green</v>
      </c>
      <c r="V563" t="str">
        <f t="shared" si="187"/>
        <v>Red</v>
      </c>
      <c r="W563" t="str">
        <f t="shared" si="188"/>
        <v>Red</v>
      </c>
      <c r="X563" t="str">
        <f t="shared" si="189"/>
        <v>Green</v>
      </c>
      <c r="Y563" t="str">
        <f t="shared" si="190"/>
        <v>Green</v>
      </c>
      <c r="Z563" t="str">
        <f t="shared" si="191"/>
        <v>Green</v>
      </c>
      <c r="AA563" t="str">
        <f t="shared" si="192"/>
        <v>Red</v>
      </c>
      <c r="AB563" t="str">
        <f t="shared" si="193"/>
        <v>Red</v>
      </c>
      <c r="AC563" t="str">
        <f t="shared" si="194"/>
        <v>Red</v>
      </c>
      <c r="AD563" t="str">
        <f t="shared" si="195"/>
        <v>Green</v>
      </c>
    </row>
    <row r="564" spans="1:30" x14ac:dyDescent="0.2">
      <c r="A564" t="str">
        <f t="shared" si="178"/>
        <v>23/07/2026HamarKFR Hvolsvollur</v>
      </c>
      <c r="D564" s="2">
        <v>46226</v>
      </c>
      <c r="E564" s="3">
        <v>0.80208333333333337</v>
      </c>
      <c r="F564" t="s">
        <v>2050</v>
      </c>
      <c r="G564" t="s">
        <v>2051</v>
      </c>
      <c r="H564">
        <v>3</v>
      </c>
      <c r="I564">
        <v>1</v>
      </c>
      <c r="J564">
        <v>7</v>
      </c>
      <c r="K564">
        <v>2</v>
      </c>
      <c r="L564" s="22" t="str">
        <f t="shared" si="198"/>
        <v>23/07/2026</v>
      </c>
      <c r="M564" s="23">
        <f t="shared" si="199"/>
        <v>0.67708333333333337</v>
      </c>
      <c r="N564" t="str">
        <f t="shared" si="179"/>
        <v>7 - 2</v>
      </c>
      <c r="O564" t="str">
        <f t="shared" si="180"/>
        <v>Green</v>
      </c>
      <c r="P564" t="str">
        <f t="shared" si="181"/>
        <v>Red</v>
      </c>
      <c r="Q564" t="str">
        <f t="shared" si="182"/>
        <v>Red</v>
      </c>
      <c r="R564" t="str">
        <f t="shared" si="183"/>
        <v>Green</v>
      </c>
      <c r="S564" t="str">
        <f t="shared" si="184"/>
        <v>Red</v>
      </c>
      <c r="T564" t="str">
        <f t="shared" si="185"/>
        <v>Green</v>
      </c>
      <c r="U564" t="str">
        <f t="shared" si="186"/>
        <v>Green</v>
      </c>
      <c r="V564" t="str">
        <f t="shared" si="187"/>
        <v>Red</v>
      </c>
      <c r="W564" t="str">
        <f t="shared" si="188"/>
        <v>Red</v>
      </c>
      <c r="X564" t="str">
        <f t="shared" si="189"/>
        <v>Green</v>
      </c>
      <c r="Y564" t="str">
        <f t="shared" si="190"/>
        <v>Green</v>
      </c>
      <c r="Z564" t="str">
        <f t="shared" si="191"/>
        <v>Green</v>
      </c>
      <c r="AA564" t="str">
        <f t="shared" si="192"/>
        <v>Red</v>
      </c>
      <c r="AB564" t="str">
        <f t="shared" si="193"/>
        <v>Red</v>
      </c>
      <c r="AC564" t="str">
        <f t="shared" si="194"/>
        <v>Green</v>
      </c>
      <c r="AD564" t="str">
        <f t="shared" si="195"/>
        <v>Red</v>
      </c>
    </row>
    <row r="565" spans="1:30" x14ac:dyDescent="0.2">
      <c r="A565" t="str">
        <f t="shared" si="178"/>
        <v>23/07/2026IH HafnarfjordurKF Hafnir</v>
      </c>
      <c r="D565" s="2">
        <v>46226</v>
      </c>
      <c r="E565" s="3">
        <v>0.80208333333333337</v>
      </c>
      <c r="F565" t="s">
        <v>2052</v>
      </c>
      <c r="G565" t="s">
        <v>2053</v>
      </c>
      <c r="H565">
        <v>1</v>
      </c>
      <c r="I565">
        <v>1</v>
      </c>
      <c r="J565">
        <v>5</v>
      </c>
      <c r="K565">
        <v>2</v>
      </c>
      <c r="L565" s="22" t="str">
        <f t="shared" si="198"/>
        <v>23/07/2026</v>
      </c>
      <c r="M565" s="23">
        <f t="shared" si="199"/>
        <v>0.67708333333333337</v>
      </c>
      <c r="N565" t="str">
        <f t="shared" si="179"/>
        <v>5 - 2</v>
      </c>
      <c r="O565" t="str">
        <f t="shared" si="180"/>
        <v>Green</v>
      </c>
      <c r="P565" t="str">
        <f t="shared" si="181"/>
        <v>Red</v>
      </c>
      <c r="Q565" t="str">
        <f t="shared" si="182"/>
        <v>Red</v>
      </c>
      <c r="R565" t="str">
        <f t="shared" si="183"/>
        <v>Green</v>
      </c>
      <c r="S565" t="str">
        <f t="shared" si="184"/>
        <v>Red</v>
      </c>
      <c r="T565" t="str">
        <f t="shared" si="185"/>
        <v>Green</v>
      </c>
      <c r="U565" t="str">
        <f t="shared" si="186"/>
        <v>Red</v>
      </c>
      <c r="V565" t="str">
        <f t="shared" si="187"/>
        <v>Green</v>
      </c>
      <c r="W565" t="str">
        <f t="shared" si="188"/>
        <v>Red</v>
      </c>
      <c r="X565" t="str">
        <f t="shared" si="189"/>
        <v>Green</v>
      </c>
      <c r="Y565" t="str">
        <f t="shared" si="190"/>
        <v>Green</v>
      </c>
      <c r="Z565" t="str">
        <f t="shared" si="191"/>
        <v>Green</v>
      </c>
      <c r="AA565" t="str">
        <f t="shared" si="192"/>
        <v>Red</v>
      </c>
      <c r="AB565" t="str">
        <f t="shared" si="193"/>
        <v>Red</v>
      </c>
      <c r="AC565" t="str">
        <f t="shared" si="194"/>
        <v>Green</v>
      </c>
      <c r="AD565" t="str">
        <f t="shared" si="195"/>
        <v>Red</v>
      </c>
    </row>
    <row r="566" spans="1:30" x14ac:dyDescent="0.2">
      <c r="A566" t="str">
        <f t="shared" si="178"/>
        <v>23/07/2026IA Akranes WomenKR Reykjavik Women</v>
      </c>
      <c r="D566" s="2">
        <v>46226</v>
      </c>
      <c r="E566" s="3">
        <v>0.80208333333333337</v>
      </c>
      <c r="F566" t="s">
        <v>2056</v>
      </c>
      <c r="G566" t="s">
        <v>2057</v>
      </c>
      <c r="H566">
        <v>2</v>
      </c>
      <c r="I566">
        <v>0</v>
      </c>
      <c r="J566">
        <v>3</v>
      </c>
      <c r="K566">
        <v>2</v>
      </c>
      <c r="L566" s="22" t="str">
        <f t="shared" si="198"/>
        <v>23/07/2026</v>
      </c>
      <c r="M566" s="23">
        <f t="shared" si="199"/>
        <v>0.67708333333333337</v>
      </c>
      <c r="N566" t="str">
        <f t="shared" si="179"/>
        <v>3 - 2</v>
      </c>
      <c r="O566" t="str">
        <f t="shared" si="180"/>
        <v>Green</v>
      </c>
      <c r="P566" t="str">
        <f t="shared" si="181"/>
        <v>Red</v>
      </c>
      <c r="Q566" t="str">
        <f t="shared" si="182"/>
        <v>Red</v>
      </c>
      <c r="R566" t="str">
        <f t="shared" si="183"/>
        <v>Green</v>
      </c>
      <c r="S566" t="str">
        <f t="shared" si="184"/>
        <v>Red</v>
      </c>
      <c r="T566" t="str">
        <f t="shared" si="185"/>
        <v>Green</v>
      </c>
      <c r="U566" t="str">
        <f t="shared" si="186"/>
        <v>Green</v>
      </c>
      <c r="V566" t="str">
        <f t="shared" si="187"/>
        <v>Red</v>
      </c>
      <c r="W566" t="str">
        <f t="shared" si="188"/>
        <v>Red</v>
      </c>
      <c r="X566" t="str">
        <f t="shared" si="189"/>
        <v>Green</v>
      </c>
      <c r="Y566" t="str">
        <f t="shared" si="190"/>
        <v>Green</v>
      </c>
      <c r="Z566" t="str">
        <f t="shared" si="191"/>
        <v>Green</v>
      </c>
      <c r="AA566" t="str">
        <f t="shared" si="192"/>
        <v>Red</v>
      </c>
      <c r="AB566" t="str">
        <f t="shared" si="193"/>
        <v>Red</v>
      </c>
      <c r="AC566" t="str">
        <f t="shared" si="194"/>
        <v>Green</v>
      </c>
      <c r="AD566" t="str">
        <f t="shared" si="195"/>
        <v>Red</v>
      </c>
    </row>
    <row r="567" spans="1:30" x14ac:dyDescent="0.2">
      <c r="A567" t="str">
        <f t="shared" si="178"/>
        <v>23/07/2026Selfoss WomenKeflavik Women</v>
      </c>
      <c r="D567" s="2">
        <v>46226</v>
      </c>
      <c r="E567" s="3">
        <v>0.80208333333333337</v>
      </c>
      <c r="F567" t="s">
        <v>2058</v>
      </c>
      <c r="G567" t="s">
        <v>2059</v>
      </c>
      <c r="H567">
        <v>0</v>
      </c>
      <c r="I567">
        <v>1</v>
      </c>
      <c r="J567">
        <v>0</v>
      </c>
      <c r="K567">
        <v>1</v>
      </c>
      <c r="L567" s="22" t="str">
        <f t="shared" si="198"/>
        <v>23/07/2026</v>
      </c>
      <c r="M567" s="23">
        <f t="shared" si="199"/>
        <v>0.67708333333333337</v>
      </c>
      <c r="N567" t="str">
        <f t="shared" si="179"/>
        <v>0 - 1</v>
      </c>
      <c r="O567" t="str">
        <f t="shared" si="180"/>
        <v>Red</v>
      </c>
      <c r="P567" t="str">
        <f t="shared" si="181"/>
        <v>Red</v>
      </c>
      <c r="Q567" t="str">
        <f t="shared" si="182"/>
        <v>Green</v>
      </c>
      <c r="R567" t="str">
        <f t="shared" si="183"/>
        <v>Red</v>
      </c>
      <c r="S567" t="str">
        <f t="shared" si="184"/>
        <v>Green</v>
      </c>
      <c r="T567" t="str">
        <f t="shared" si="185"/>
        <v>Green</v>
      </c>
      <c r="U567" t="str">
        <f t="shared" si="186"/>
        <v>Red</v>
      </c>
      <c r="V567" t="str">
        <f t="shared" si="187"/>
        <v>Red</v>
      </c>
      <c r="W567" t="str">
        <f t="shared" si="188"/>
        <v>Green</v>
      </c>
      <c r="X567" t="str">
        <f t="shared" si="189"/>
        <v>Green</v>
      </c>
      <c r="Y567" t="str">
        <f t="shared" si="190"/>
        <v>Red</v>
      </c>
      <c r="Z567" t="str">
        <f t="shared" si="191"/>
        <v>Red</v>
      </c>
      <c r="AA567" t="str">
        <f t="shared" si="192"/>
        <v>Green</v>
      </c>
      <c r="AB567" t="str">
        <f t="shared" si="193"/>
        <v>Green</v>
      </c>
      <c r="AC567" t="str">
        <f t="shared" si="194"/>
        <v>Red</v>
      </c>
      <c r="AD567" t="str">
        <f t="shared" si="195"/>
        <v>Green</v>
      </c>
    </row>
    <row r="568" spans="1:30" x14ac:dyDescent="0.2">
      <c r="A568" t="str">
        <f t="shared" si="178"/>
        <v>23/07/2026Volsungur WomenTindastoll Women</v>
      </c>
      <c r="D568" s="2">
        <v>46226</v>
      </c>
      <c r="E568" s="3">
        <v>0.80208333333333337</v>
      </c>
      <c r="F568" t="s">
        <v>2060</v>
      </c>
      <c r="G568" t="s">
        <v>2061</v>
      </c>
      <c r="H568">
        <v>1</v>
      </c>
      <c r="I568">
        <v>0</v>
      </c>
      <c r="J568">
        <v>3</v>
      </c>
      <c r="K568">
        <v>0</v>
      </c>
      <c r="L568" s="22" t="str">
        <f t="shared" si="198"/>
        <v>23/07/2026</v>
      </c>
      <c r="M568" s="23">
        <f t="shared" si="199"/>
        <v>0.67708333333333337</v>
      </c>
      <c r="N568" t="str">
        <f t="shared" si="179"/>
        <v>3 - 0</v>
      </c>
      <c r="O568" t="str">
        <f t="shared" si="180"/>
        <v>Green</v>
      </c>
      <c r="P568" t="str">
        <f t="shared" si="181"/>
        <v>Red</v>
      </c>
      <c r="Q568" t="str">
        <f t="shared" si="182"/>
        <v>Red</v>
      </c>
      <c r="R568" t="str">
        <f t="shared" si="183"/>
        <v>Green</v>
      </c>
      <c r="S568" t="str">
        <f t="shared" si="184"/>
        <v>Red</v>
      </c>
      <c r="T568" t="str">
        <f t="shared" si="185"/>
        <v>Green</v>
      </c>
      <c r="U568" t="str">
        <f t="shared" si="186"/>
        <v>Green</v>
      </c>
      <c r="V568" t="str">
        <f t="shared" si="187"/>
        <v>Red</v>
      </c>
      <c r="W568" t="str">
        <f t="shared" si="188"/>
        <v>Red</v>
      </c>
      <c r="X568" t="str">
        <f t="shared" si="189"/>
        <v>Green</v>
      </c>
      <c r="Y568" t="str">
        <f t="shared" si="190"/>
        <v>Green</v>
      </c>
      <c r="Z568" t="str">
        <f t="shared" si="191"/>
        <v>Green</v>
      </c>
      <c r="AA568" t="str">
        <f t="shared" si="192"/>
        <v>Red</v>
      </c>
      <c r="AB568" t="str">
        <f t="shared" si="193"/>
        <v>Green</v>
      </c>
      <c r="AC568" t="str">
        <f t="shared" si="194"/>
        <v>Red</v>
      </c>
      <c r="AD568" t="str">
        <f t="shared" si="195"/>
        <v>Green</v>
      </c>
    </row>
    <row r="569" spans="1:30" x14ac:dyDescent="0.2">
      <c r="A569" t="str">
        <f t="shared" si="178"/>
        <v>23/07/2026Independiente JuniorsVinotinto FC</v>
      </c>
      <c r="D569" s="2">
        <v>46226</v>
      </c>
      <c r="E569" s="3">
        <v>0.85416666666666663</v>
      </c>
      <c r="F569" t="s">
        <v>1848</v>
      </c>
      <c r="G569" t="s">
        <v>2002</v>
      </c>
      <c r="H569">
        <v>0</v>
      </c>
      <c r="I569">
        <v>0</v>
      </c>
      <c r="J569">
        <v>2</v>
      </c>
      <c r="K569">
        <v>0</v>
      </c>
      <c r="L569" s="22" t="str">
        <f t="shared" si="198"/>
        <v>23/07/2026</v>
      </c>
      <c r="M569" s="23">
        <f t="shared" si="199"/>
        <v>0.72916666666666663</v>
      </c>
      <c r="N569" t="str">
        <f t="shared" si="179"/>
        <v>2 - 0</v>
      </c>
      <c r="O569" t="str">
        <f t="shared" si="180"/>
        <v>Green</v>
      </c>
      <c r="P569" t="str">
        <f t="shared" si="181"/>
        <v>Red</v>
      </c>
      <c r="Q569" t="str">
        <f t="shared" si="182"/>
        <v>Red</v>
      </c>
      <c r="R569" t="str">
        <f t="shared" si="183"/>
        <v>Green</v>
      </c>
      <c r="S569" t="str">
        <f t="shared" si="184"/>
        <v>Red</v>
      </c>
      <c r="T569" t="str">
        <f t="shared" si="185"/>
        <v>Green</v>
      </c>
      <c r="U569" t="str">
        <f t="shared" si="186"/>
        <v>Red</v>
      </c>
      <c r="V569" t="str">
        <f t="shared" si="187"/>
        <v>Green</v>
      </c>
      <c r="W569" t="str">
        <f t="shared" si="188"/>
        <v>Red</v>
      </c>
      <c r="X569" t="str">
        <f t="shared" si="189"/>
        <v>Red</v>
      </c>
      <c r="Y569" t="str">
        <f t="shared" si="190"/>
        <v>Green</v>
      </c>
      <c r="Z569" t="str">
        <f t="shared" si="191"/>
        <v>Red</v>
      </c>
      <c r="AA569" t="str">
        <f t="shared" si="192"/>
        <v>Green</v>
      </c>
      <c r="AB569" t="str">
        <f t="shared" si="193"/>
        <v>Green</v>
      </c>
      <c r="AC569" t="str">
        <f t="shared" si="194"/>
        <v>Red</v>
      </c>
      <c r="AD569" t="str">
        <f t="shared" si="195"/>
        <v>Green</v>
      </c>
    </row>
    <row r="570" spans="1:30" x14ac:dyDescent="0.2">
      <c r="A570" t="str">
        <f t="shared" si="178"/>
        <v>23/07/2026Naciones UnidasIndependiente FBC</v>
      </c>
      <c r="D570" s="2">
        <v>46226</v>
      </c>
      <c r="E570" s="3">
        <v>0.875</v>
      </c>
      <c r="F570" t="s">
        <v>2069</v>
      </c>
      <c r="G570" t="s">
        <v>2070</v>
      </c>
      <c r="H570">
        <v>0</v>
      </c>
      <c r="I570">
        <v>5</v>
      </c>
      <c r="J570">
        <v>0</v>
      </c>
      <c r="K570">
        <v>10</v>
      </c>
      <c r="L570" s="22" t="str">
        <f t="shared" si="198"/>
        <v>23/07/2026</v>
      </c>
      <c r="M570" s="23">
        <f t="shared" si="199"/>
        <v>0.75</v>
      </c>
      <c r="N570" t="str">
        <f t="shared" si="179"/>
        <v>0 - 10</v>
      </c>
      <c r="O570" t="str">
        <f t="shared" si="180"/>
        <v>Red</v>
      </c>
      <c r="P570" t="str">
        <f t="shared" si="181"/>
        <v>Red</v>
      </c>
      <c r="Q570" t="str">
        <f t="shared" si="182"/>
        <v>Green</v>
      </c>
      <c r="R570" t="str">
        <f t="shared" si="183"/>
        <v>Red</v>
      </c>
      <c r="S570" t="str">
        <f t="shared" si="184"/>
        <v>Green</v>
      </c>
      <c r="T570" t="str">
        <f t="shared" si="185"/>
        <v>Green</v>
      </c>
      <c r="U570" t="str">
        <f t="shared" si="186"/>
        <v>Red</v>
      </c>
      <c r="V570" t="str">
        <f t="shared" si="187"/>
        <v>Red</v>
      </c>
      <c r="W570" t="str">
        <f t="shared" si="188"/>
        <v>Green</v>
      </c>
      <c r="X570" t="str">
        <f t="shared" si="189"/>
        <v>Green</v>
      </c>
      <c r="Y570" t="str">
        <f t="shared" si="190"/>
        <v>Green</v>
      </c>
      <c r="Z570" t="str">
        <f t="shared" si="191"/>
        <v>Green</v>
      </c>
      <c r="AA570" t="str">
        <f t="shared" si="192"/>
        <v>Red</v>
      </c>
      <c r="AB570" t="str">
        <f t="shared" si="193"/>
        <v>Red</v>
      </c>
      <c r="AC570" t="str">
        <f t="shared" si="194"/>
        <v>Red</v>
      </c>
      <c r="AD570" t="str">
        <f t="shared" si="195"/>
        <v>Green</v>
      </c>
    </row>
    <row r="571" spans="1:30" x14ac:dyDescent="0.2">
      <c r="A571" t="str">
        <f t="shared" si="178"/>
        <v>23/07/2026CD Leones Del NorteGuayaquil City FC</v>
      </c>
      <c r="D571" s="2">
        <v>46226</v>
      </c>
      <c r="E571" s="3">
        <v>0.89583333333333337</v>
      </c>
      <c r="F571" t="s">
        <v>2000</v>
      </c>
      <c r="G571" t="s">
        <v>101</v>
      </c>
      <c r="H571">
        <v>0</v>
      </c>
      <c r="I571">
        <v>1</v>
      </c>
      <c r="J571">
        <v>1</v>
      </c>
      <c r="K571">
        <v>1</v>
      </c>
      <c r="L571" s="22" t="str">
        <f t="shared" si="198"/>
        <v>23/07/2026</v>
      </c>
      <c r="M571" s="23">
        <f t="shared" si="199"/>
        <v>0.77083333333333337</v>
      </c>
      <c r="N571" t="str">
        <f t="shared" si="179"/>
        <v>1 - 1</v>
      </c>
      <c r="O571" t="str">
        <f t="shared" si="180"/>
        <v>Red</v>
      </c>
      <c r="P571" t="str">
        <f t="shared" si="181"/>
        <v>Green</v>
      </c>
      <c r="Q571" t="str">
        <f t="shared" si="182"/>
        <v>Red</v>
      </c>
      <c r="R571" t="str">
        <f t="shared" si="183"/>
        <v>Green</v>
      </c>
      <c r="S571" t="str">
        <f t="shared" si="184"/>
        <v>Green</v>
      </c>
      <c r="T571" t="str">
        <f t="shared" si="185"/>
        <v>Red</v>
      </c>
      <c r="U571" t="str">
        <f t="shared" si="186"/>
        <v>Red</v>
      </c>
      <c r="V571" t="str">
        <f t="shared" si="187"/>
        <v>Red</v>
      </c>
      <c r="W571" t="str">
        <f t="shared" si="188"/>
        <v>Green</v>
      </c>
      <c r="X571" t="str">
        <f t="shared" si="189"/>
        <v>Green</v>
      </c>
      <c r="Y571" t="str">
        <f t="shared" si="190"/>
        <v>Green</v>
      </c>
      <c r="Z571" t="str">
        <f t="shared" si="191"/>
        <v>Red</v>
      </c>
      <c r="AA571" t="str">
        <f t="shared" si="192"/>
        <v>Green</v>
      </c>
      <c r="AB571" t="str">
        <f t="shared" si="193"/>
        <v>Green</v>
      </c>
      <c r="AC571" t="str">
        <f t="shared" si="194"/>
        <v>Green</v>
      </c>
      <c r="AD571" t="str">
        <f t="shared" si="195"/>
        <v>Red</v>
      </c>
    </row>
    <row r="572" spans="1:30" x14ac:dyDescent="0.2">
      <c r="A572" t="str">
        <f t="shared" si="178"/>
        <v>23/07/2026Orense SCSD Aucas</v>
      </c>
      <c r="D572" s="2">
        <v>46226</v>
      </c>
      <c r="E572" s="3">
        <v>0.89583333333333337</v>
      </c>
      <c r="F572" t="s">
        <v>300</v>
      </c>
      <c r="G572" t="s">
        <v>2001</v>
      </c>
      <c r="H572">
        <v>1</v>
      </c>
      <c r="I572">
        <v>1</v>
      </c>
      <c r="J572">
        <v>2</v>
      </c>
      <c r="K572">
        <v>1</v>
      </c>
      <c r="L572" s="22" t="str">
        <f t="shared" si="198"/>
        <v>23/07/2026</v>
      </c>
      <c r="M572" s="23">
        <f t="shared" si="199"/>
        <v>0.77083333333333337</v>
      </c>
      <c r="N572" t="str">
        <f t="shared" si="179"/>
        <v>2 - 1</v>
      </c>
      <c r="O572" t="str">
        <f t="shared" si="180"/>
        <v>Green</v>
      </c>
      <c r="P572" t="str">
        <f t="shared" si="181"/>
        <v>Red</v>
      </c>
      <c r="Q572" t="str">
        <f t="shared" si="182"/>
        <v>Red</v>
      </c>
      <c r="R572" t="str">
        <f t="shared" si="183"/>
        <v>Green</v>
      </c>
      <c r="S572" t="str">
        <f t="shared" si="184"/>
        <v>Red</v>
      </c>
      <c r="T572" t="str">
        <f t="shared" si="185"/>
        <v>Green</v>
      </c>
      <c r="U572" t="str">
        <f t="shared" si="186"/>
        <v>Red</v>
      </c>
      <c r="V572" t="str">
        <f t="shared" si="187"/>
        <v>Green</v>
      </c>
      <c r="W572" t="str">
        <f t="shared" si="188"/>
        <v>Red</v>
      </c>
      <c r="X572" t="str">
        <f t="shared" si="189"/>
        <v>Green</v>
      </c>
      <c r="Y572" t="str">
        <f t="shared" si="190"/>
        <v>Green</v>
      </c>
      <c r="Z572" t="str">
        <f t="shared" si="191"/>
        <v>Green</v>
      </c>
      <c r="AA572" t="str">
        <f t="shared" si="192"/>
        <v>Red</v>
      </c>
      <c r="AB572" t="str">
        <f t="shared" si="193"/>
        <v>Green</v>
      </c>
      <c r="AC572" t="str">
        <f t="shared" si="194"/>
        <v>Green</v>
      </c>
      <c r="AD572" t="str">
        <f t="shared" si="195"/>
        <v>Red</v>
      </c>
    </row>
    <row r="573" spans="1:30" x14ac:dyDescent="0.2">
      <c r="A573" t="str">
        <f t="shared" si="178"/>
        <v>23/07/2026Club BolivarGremio RS</v>
      </c>
      <c r="B573" t="s">
        <v>1321</v>
      </c>
      <c r="C573" t="s">
        <v>1322</v>
      </c>
      <c r="D573" s="2">
        <v>46226</v>
      </c>
      <c r="E573" s="3">
        <v>0.91666666666666663</v>
      </c>
      <c r="F573" t="s">
        <v>1885</v>
      </c>
      <c r="G573" t="s">
        <v>1886</v>
      </c>
      <c r="H573">
        <v>2</v>
      </c>
      <c r="I573">
        <v>2</v>
      </c>
      <c r="J573">
        <v>3</v>
      </c>
      <c r="K573">
        <v>2</v>
      </c>
      <c r="L573" s="22" t="str">
        <f t="shared" si="198"/>
        <v>23/07/2026</v>
      </c>
      <c r="M573" s="23">
        <f t="shared" si="199"/>
        <v>0.79166666666666663</v>
      </c>
      <c r="N573" t="str">
        <f t="shared" si="179"/>
        <v>3 - 2</v>
      </c>
      <c r="O573" t="str">
        <f t="shared" si="180"/>
        <v>Green</v>
      </c>
      <c r="P573" t="str">
        <f t="shared" si="181"/>
        <v>Red</v>
      </c>
      <c r="Q573" t="str">
        <f t="shared" si="182"/>
        <v>Red</v>
      </c>
      <c r="R573" t="str">
        <f t="shared" si="183"/>
        <v>Green</v>
      </c>
      <c r="S573" t="str">
        <f t="shared" si="184"/>
        <v>Red</v>
      </c>
      <c r="T573" t="str">
        <f t="shared" si="185"/>
        <v>Green</v>
      </c>
      <c r="U573" t="str">
        <f t="shared" si="186"/>
        <v>Red</v>
      </c>
      <c r="V573" t="str">
        <f t="shared" si="187"/>
        <v>Green</v>
      </c>
      <c r="W573" t="str">
        <f t="shared" si="188"/>
        <v>Red</v>
      </c>
      <c r="X573" t="str">
        <f t="shared" si="189"/>
        <v>Green</v>
      </c>
      <c r="Y573" t="str">
        <f t="shared" si="190"/>
        <v>Green</v>
      </c>
      <c r="Z573" t="str">
        <f t="shared" si="191"/>
        <v>Green</v>
      </c>
      <c r="AA573" t="str">
        <f t="shared" si="192"/>
        <v>Red</v>
      </c>
      <c r="AB573" t="str">
        <f t="shared" si="193"/>
        <v>Red</v>
      </c>
      <c r="AC573" t="str">
        <f t="shared" si="194"/>
        <v>Green</v>
      </c>
      <c r="AD573" t="str">
        <f t="shared" si="195"/>
        <v>Red</v>
      </c>
    </row>
    <row r="574" spans="1:30" x14ac:dyDescent="0.2">
      <c r="A574" t="str">
        <f t="shared" si="178"/>
        <v>23/07/2026CorinthiansClube Do Remo</v>
      </c>
      <c r="D574" s="2">
        <v>46226</v>
      </c>
      <c r="E574" s="3">
        <v>0.9375</v>
      </c>
      <c r="F574" t="s">
        <v>110</v>
      </c>
      <c r="G574" t="s">
        <v>1970</v>
      </c>
      <c r="H574">
        <v>3</v>
      </c>
      <c r="I574">
        <v>0</v>
      </c>
      <c r="J574">
        <v>3</v>
      </c>
      <c r="K574">
        <v>0</v>
      </c>
      <c r="L574" s="22" t="str">
        <f t="shared" si="198"/>
        <v>23/07/2026</v>
      </c>
      <c r="M574" s="23">
        <f t="shared" si="199"/>
        <v>0.8125</v>
      </c>
      <c r="N574" t="str">
        <f t="shared" si="179"/>
        <v>3 - 0</v>
      </c>
      <c r="O574" t="str">
        <f t="shared" si="180"/>
        <v>Green</v>
      </c>
      <c r="P574" t="str">
        <f t="shared" si="181"/>
        <v>Red</v>
      </c>
      <c r="Q574" t="str">
        <f t="shared" si="182"/>
        <v>Red</v>
      </c>
      <c r="R574" t="str">
        <f t="shared" si="183"/>
        <v>Green</v>
      </c>
      <c r="S574" t="str">
        <f t="shared" si="184"/>
        <v>Red</v>
      </c>
      <c r="T574" t="str">
        <f t="shared" si="185"/>
        <v>Green</v>
      </c>
      <c r="U574" t="str">
        <f t="shared" si="186"/>
        <v>Green</v>
      </c>
      <c r="V574" t="str">
        <f t="shared" si="187"/>
        <v>Red</v>
      </c>
      <c r="W574" t="str">
        <f t="shared" si="188"/>
        <v>Red</v>
      </c>
      <c r="X574" t="str">
        <f t="shared" si="189"/>
        <v>Green</v>
      </c>
      <c r="Y574" t="str">
        <f t="shared" si="190"/>
        <v>Green</v>
      </c>
      <c r="Z574" t="str">
        <f t="shared" si="191"/>
        <v>Green</v>
      </c>
      <c r="AA574" t="str">
        <f t="shared" si="192"/>
        <v>Red</v>
      </c>
      <c r="AB574" t="str">
        <f t="shared" si="193"/>
        <v>Green</v>
      </c>
      <c r="AC574" t="str">
        <f t="shared" si="194"/>
        <v>Red</v>
      </c>
      <c r="AD574" t="str">
        <f t="shared" si="195"/>
        <v>Green</v>
      </c>
    </row>
    <row r="575" spans="1:30" x14ac:dyDescent="0.2">
      <c r="A575" t="str">
        <f t="shared" si="178"/>
        <v>23/07/2026Botafogo RJVitoria BA</v>
      </c>
      <c r="D575" s="2">
        <v>46226</v>
      </c>
      <c r="E575" s="3">
        <v>0.9375</v>
      </c>
      <c r="F575" t="s">
        <v>1971</v>
      </c>
      <c r="G575" t="s">
        <v>1972</v>
      </c>
      <c r="H575">
        <v>0</v>
      </c>
      <c r="I575">
        <v>0</v>
      </c>
      <c r="J575">
        <v>0</v>
      </c>
      <c r="K575">
        <v>0</v>
      </c>
      <c r="L575" s="22" t="str">
        <f t="shared" si="198"/>
        <v>23/07/2026</v>
      </c>
      <c r="M575" s="23">
        <f t="shared" si="199"/>
        <v>0.8125</v>
      </c>
      <c r="N575" t="str">
        <f t="shared" si="179"/>
        <v>0 - 0</v>
      </c>
      <c r="O575" t="str">
        <f t="shared" si="180"/>
        <v>Red</v>
      </c>
      <c r="P575" t="str">
        <f t="shared" si="181"/>
        <v>Green</v>
      </c>
      <c r="Q575" t="str">
        <f t="shared" si="182"/>
        <v>Red</v>
      </c>
      <c r="R575" t="str">
        <f t="shared" si="183"/>
        <v>Green</v>
      </c>
      <c r="S575" t="str">
        <f t="shared" si="184"/>
        <v>Green</v>
      </c>
      <c r="T575" t="str">
        <f t="shared" si="185"/>
        <v>Red</v>
      </c>
      <c r="U575" t="str">
        <f t="shared" si="186"/>
        <v>Red</v>
      </c>
      <c r="V575" t="str">
        <f t="shared" si="187"/>
        <v>Green</v>
      </c>
      <c r="W575" t="str">
        <f t="shared" si="188"/>
        <v>Red</v>
      </c>
      <c r="X575" t="str">
        <f t="shared" si="189"/>
        <v>Red</v>
      </c>
      <c r="Y575" t="str">
        <f t="shared" si="190"/>
        <v>Red</v>
      </c>
      <c r="Z575" t="str">
        <f t="shared" si="191"/>
        <v>Red</v>
      </c>
      <c r="AA575" t="str">
        <f t="shared" si="192"/>
        <v>Green</v>
      </c>
      <c r="AB575" t="str">
        <f t="shared" si="193"/>
        <v>Green</v>
      </c>
      <c r="AC575" t="str">
        <f t="shared" si="194"/>
        <v>Red</v>
      </c>
      <c r="AD575" t="str">
        <f t="shared" si="195"/>
        <v>Green</v>
      </c>
    </row>
    <row r="576" spans="1:30" x14ac:dyDescent="0.2">
      <c r="A576" t="str">
        <f t="shared" si="178"/>
        <v>23/07/2026BelgranoRosario Central</v>
      </c>
      <c r="D576" s="2">
        <v>46226</v>
      </c>
      <c r="E576" s="3">
        <v>0.9375</v>
      </c>
      <c r="F576" t="s">
        <v>1973</v>
      </c>
      <c r="G576" t="s">
        <v>105</v>
      </c>
      <c r="H576">
        <v>1</v>
      </c>
      <c r="I576">
        <v>0</v>
      </c>
      <c r="J576">
        <v>2</v>
      </c>
      <c r="K576">
        <v>1</v>
      </c>
      <c r="L576" s="22" t="str">
        <f t="shared" si="198"/>
        <v>23/07/2026</v>
      </c>
      <c r="M576" s="23">
        <f t="shared" si="199"/>
        <v>0.8125</v>
      </c>
      <c r="N576" t="str">
        <f t="shared" si="179"/>
        <v>2 - 1</v>
      </c>
      <c r="O576" t="str">
        <f t="shared" si="180"/>
        <v>Green</v>
      </c>
      <c r="P576" t="str">
        <f t="shared" si="181"/>
        <v>Red</v>
      </c>
      <c r="Q576" t="str">
        <f t="shared" si="182"/>
        <v>Red</v>
      </c>
      <c r="R576" t="str">
        <f t="shared" si="183"/>
        <v>Green</v>
      </c>
      <c r="S576" t="str">
        <f t="shared" si="184"/>
        <v>Red</v>
      </c>
      <c r="T576" t="str">
        <f t="shared" si="185"/>
        <v>Green</v>
      </c>
      <c r="U576" t="str">
        <f t="shared" si="186"/>
        <v>Green</v>
      </c>
      <c r="V576" t="str">
        <f t="shared" si="187"/>
        <v>Red</v>
      </c>
      <c r="W576" t="str">
        <f t="shared" si="188"/>
        <v>Red</v>
      </c>
      <c r="X576" t="str">
        <f t="shared" si="189"/>
        <v>Green</v>
      </c>
      <c r="Y576" t="str">
        <f t="shared" si="190"/>
        <v>Green</v>
      </c>
      <c r="Z576" t="str">
        <f t="shared" si="191"/>
        <v>Green</v>
      </c>
      <c r="AA576" t="str">
        <f t="shared" si="192"/>
        <v>Red</v>
      </c>
      <c r="AB576" t="str">
        <f t="shared" si="193"/>
        <v>Green</v>
      </c>
      <c r="AC576" t="str">
        <f t="shared" si="194"/>
        <v>Green</v>
      </c>
      <c r="AD576" t="str">
        <f t="shared" si="195"/>
        <v>Red</v>
      </c>
    </row>
    <row r="577" spans="1:30" x14ac:dyDescent="0.2">
      <c r="A577" t="str">
        <f t="shared" si="178"/>
        <v>23/07/2026SarmientoArgentinos Juniors</v>
      </c>
      <c r="D577" s="2">
        <v>46226</v>
      </c>
      <c r="E577" s="3">
        <v>0.9375</v>
      </c>
      <c r="F577" t="s">
        <v>1974</v>
      </c>
      <c r="G577" t="s">
        <v>107</v>
      </c>
      <c r="H577">
        <v>1</v>
      </c>
      <c r="I577">
        <v>0</v>
      </c>
      <c r="J577">
        <v>2</v>
      </c>
      <c r="K577">
        <v>3</v>
      </c>
      <c r="L577" s="22" t="str">
        <f t="shared" si="198"/>
        <v>23/07/2026</v>
      </c>
      <c r="M577" s="23">
        <f t="shared" si="199"/>
        <v>0.8125</v>
      </c>
      <c r="N577" t="str">
        <f t="shared" si="179"/>
        <v>2 - 3</v>
      </c>
      <c r="O577" t="str">
        <f t="shared" si="180"/>
        <v>Red</v>
      </c>
      <c r="P577" t="str">
        <f t="shared" si="181"/>
        <v>Red</v>
      </c>
      <c r="Q577" t="str">
        <f t="shared" si="182"/>
        <v>Green</v>
      </c>
      <c r="R577" t="str">
        <f t="shared" si="183"/>
        <v>Red</v>
      </c>
      <c r="S577" t="str">
        <f t="shared" si="184"/>
        <v>Green</v>
      </c>
      <c r="T577" t="str">
        <f t="shared" si="185"/>
        <v>Green</v>
      </c>
      <c r="U577" t="str">
        <f t="shared" si="186"/>
        <v>Green</v>
      </c>
      <c r="V577" t="str">
        <f t="shared" si="187"/>
        <v>Red</v>
      </c>
      <c r="W577" t="str">
        <f t="shared" si="188"/>
        <v>Red</v>
      </c>
      <c r="X577" t="str">
        <f t="shared" si="189"/>
        <v>Green</v>
      </c>
      <c r="Y577" t="str">
        <f t="shared" si="190"/>
        <v>Green</v>
      </c>
      <c r="Z577" t="str">
        <f t="shared" si="191"/>
        <v>Green</v>
      </c>
      <c r="AA577" t="str">
        <f t="shared" si="192"/>
        <v>Red</v>
      </c>
      <c r="AB577" t="str">
        <f t="shared" si="193"/>
        <v>Red</v>
      </c>
      <c r="AC577" t="str">
        <f t="shared" si="194"/>
        <v>Green</v>
      </c>
      <c r="AD577" t="str">
        <f t="shared" si="195"/>
        <v>Red</v>
      </c>
    </row>
    <row r="578" spans="1:30" x14ac:dyDescent="0.2">
      <c r="A578" t="str">
        <f t="shared" ref="A578:A641" si="200">L578&amp;F578&amp;G578</f>
        <v>23/07/2026Athletic Club MGSao Bernardo FC SP</v>
      </c>
      <c r="D578" s="2">
        <v>46226</v>
      </c>
      <c r="E578" s="3">
        <v>0.9375</v>
      </c>
      <c r="F578" t="s">
        <v>1981</v>
      </c>
      <c r="G578" t="s">
        <v>1982</v>
      </c>
      <c r="H578">
        <v>1</v>
      </c>
      <c r="I578">
        <v>1</v>
      </c>
      <c r="J578">
        <v>2</v>
      </c>
      <c r="K578">
        <v>1</v>
      </c>
      <c r="L578" s="22" t="str">
        <f t="shared" si="198"/>
        <v>23/07/2026</v>
      </c>
      <c r="M578" s="23">
        <f t="shared" si="199"/>
        <v>0.8125</v>
      </c>
      <c r="N578" t="str">
        <f t="shared" ref="N578:N641" si="201">J578&amp;" - "&amp;K578</f>
        <v>2 - 1</v>
      </c>
      <c r="O578" t="str">
        <f t="shared" ref="O578:O641" si="202">IF($J578&gt;$K578,"Green","Red")</f>
        <v>Green</v>
      </c>
      <c r="P578" t="str">
        <f t="shared" ref="P578:P641" si="203">IF($J578=$K578,"Green","Red")</f>
        <v>Red</v>
      </c>
      <c r="Q578" t="str">
        <f t="shared" ref="Q578:Q641" si="204">IF($J578&lt;$K578,"Green","Red")</f>
        <v>Red</v>
      </c>
      <c r="R578" t="str">
        <f t="shared" ref="R578:R641" si="205">IF($J578&gt;=$K578,"Green","Red")</f>
        <v>Green</v>
      </c>
      <c r="S578" t="str">
        <f t="shared" ref="S578:S641" si="206">IF($J578&lt;=$K578,"Green","Red")</f>
        <v>Red</v>
      </c>
      <c r="T578" t="str">
        <f t="shared" ref="T578:T641" si="207">IF(OR($J578&gt;$K578,$J578&lt;$K578),"Green","Red")</f>
        <v>Green</v>
      </c>
      <c r="U578" t="str">
        <f t="shared" ref="U578:U641" si="208">IF($H578&gt;$I578,"Green","Red")</f>
        <v>Red</v>
      </c>
      <c r="V578" t="str">
        <f t="shared" ref="V578:V641" si="209">IF($H578=$I578,"Green","Red")</f>
        <v>Green</v>
      </c>
      <c r="W578" t="str">
        <f t="shared" ref="W578:W641" si="210">IF($H578&lt;$I578,"Green","Red")</f>
        <v>Red</v>
      </c>
      <c r="X578" t="str">
        <f t="shared" ref="X578:X641" si="211">IF($H578+$I578&gt;0,"Green","Red")</f>
        <v>Green</v>
      </c>
      <c r="Y578" t="str">
        <f t="shared" ref="Y578:Y641" si="212">IF($J578+$K578&gt;1.5,"Green","Red")</f>
        <v>Green</v>
      </c>
      <c r="Z578" t="str">
        <f t="shared" ref="Z578:Z641" si="213">IF($J578+$K578&gt;2.5,"Green","Red")</f>
        <v>Green</v>
      </c>
      <c r="AA578" t="str">
        <f t="shared" ref="AA578:AA641" si="214">IF($J578+$K578&lt;2.5,"Green","Red")</f>
        <v>Red</v>
      </c>
      <c r="AB578" t="str">
        <f t="shared" ref="AB578:AB641" si="215">IF($J578+$K578&lt;3.5,"Green","Red")</f>
        <v>Green</v>
      </c>
      <c r="AC578" t="str">
        <f t="shared" ref="AC578:AC641" si="216">IF(AND($J578&gt;0,$K578&gt;0),"Green","Red")</f>
        <v>Green</v>
      </c>
      <c r="AD578" t="str">
        <f t="shared" ref="AD578:AD641" si="217">IF(OR($J578=0,$K578=0),"Green","Red")</f>
        <v>Red</v>
      </c>
    </row>
    <row r="579" spans="1:30" x14ac:dyDescent="0.2">
      <c r="A579" t="str">
        <f t="shared" si="200"/>
        <v>23/07/2026Brasil PelotasGramadense</v>
      </c>
      <c r="D579" s="2">
        <v>46226</v>
      </c>
      <c r="E579" s="3">
        <v>0.95833333333333337</v>
      </c>
      <c r="F579" t="s">
        <v>1988</v>
      </c>
      <c r="G579" t="s">
        <v>1989</v>
      </c>
      <c r="H579">
        <v>1</v>
      </c>
      <c r="I579">
        <v>0</v>
      </c>
      <c r="J579">
        <v>2</v>
      </c>
      <c r="K579">
        <v>1</v>
      </c>
      <c r="L579" s="22" t="str">
        <f t="shared" si="198"/>
        <v>23/07/2026</v>
      </c>
      <c r="M579" s="23">
        <f t="shared" si="199"/>
        <v>0.83333333333333337</v>
      </c>
      <c r="N579" t="str">
        <f t="shared" si="201"/>
        <v>2 - 1</v>
      </c>
      <c r="O579" t="str">
        <f t="shared" si="202"/>
        <v>Green</v>
      </c>
      <c r="P579" t="str">
        <f t="shared" si="203"/>
        <v>Red</v>
      </c>
      <c r="Q579" t="str">
        <f t="shared" si="204"/>
        <v>Red</v>
      </c>
      <c r="R579" t="str">
        <f t="shared" si="205"/>
        <v>Green</v>
      </c>
      <c r="S579" t="str">
        <f t="shared" si="206"/>
        <v>Red</v>
      </c>
      <c r="T579" t="str">
        <f t="shared" si="207"/>
        <v>Green</v>
      </c>
      <c r="U579" t="str">
        <f t="shared" si="208"/>
        <v>Green</v>
      </c>
      <c r="V579" t="str">
        <f t="shared" si="209"/>
        <v>Red</v>
      </c>
      <c r="W579" t="str">
        <f t="shared" si="210"/>
        <v>Red</v>
      </c>
      <c r="X579" t="str">
        <f t="shared" si="211"/>
        <v>Green</v>
      </c>
      <c r="Y579" t="str">
        <f t="shared" si="212"/>
        <v>Green</v>
      </c>
      <c r="Z579" t="str">
        <f t="shared" si="213"/>
        <v>Green</v>
      </c>
      <c r="AA579" t="str">
        <f t="shared" si="214"/>
        <v>Red</v>
      </c>
      <c r="AB579" t="str">
        <f t="shared" si="215"/>
        <v>Green</v>
      </c>
      <c r="AC579" t="str">
        <f t="shared" si="216"/>
        <v>Green</v>
      </c>
      <c r="AD579" t="str">
        <f t="shared" si="217"/>
        <v>Red</v>
      </c>
    </row>
    <row r="580" spans="1:30" x14ac:dyDescent="0.2">
      <c r="A580" t="str">
        <f t="shared" si="200"/>
        <v>23/07/2026Ceara U20Goias U20</v>
      </c>
      <c r="D580" s="2">
        <v>46226</v>
      </c>
      <c r="E580" s="3">
        <v>0.95833333333333337</v>
      </c>
      <c r="F580" t="s">
        <v>1992</v>
      </c>
      <c r="G580" t="s">
        <v>1993</v>
      </c>
      <c r="H580">
        <v>0</v>
      </c>
      <c r="I580">
        <v>0</v>
      </c>
      <c r="J580">
        <v>1</v>
      </c>
      <c r="K580">
        <v>1</v>
      </c>
      <c r="L580" s="22" t="str">
        <f t="shared" si="198"/>
        <v>23/07/2026</v>
      </c>
      <c r="M580" s="23">
        <f t="shared" si="199"/>
        <v>0.83333333333333337</v>
      </c>
      <c r="N580" t="str">
        <f t="shared" si="201"/>
        <v>1 - 1</v>
      </c>
      <c r="O580" t="str">
        <f t="shared" si="202"/>
        <v>Red</v>
      </c>
      <c r="P580" t="str">
        <f t="shared" si="203"/>
        <v>Green</v>
      </c>
      <c r="Q580" t="str">
        <f t="shared" si="204"/>
        <v>Red</v>
      </c>
      <c r="R580" t="str">
        <f t="shared" si="205"/>
        <v>Green</v>
      </c>
      <c r="S580" t="str">
        <f t="shared" si="206"/>
        <v>Green</v>
      </c>
      <c r="T580" t="str">
        <f t="shared" si="207"/>
        <v>Red</v>
      </c>
      <c r="U580" t="str">
        <f t="shared" si="208"/>
        <v>Red</v>
      </c>
      <c r="V580" t="str">
        <f t="shared" si="209"/>
        <v>Green</v>
      </c>
      <c r="W580" t="str">
        <f t="shared" si="210"/>
        <v>Red</v>
      </c>
      <c r="X580" t="str">
        <f t="shared" si="211"/>
        <v>Red</v>
      </c>
      <c r="Y580" t="str">
        <f t="shared" si="212"/>
        <v>Green</v>
      </c>
      <c r="Z580" t="str">
        <f t="shared" si="213"/>
        <v>Red</v>
      </c>
      <c r="AA580" t="str">
        <f t="shared" si="214"/>
        <v>Green</v>
      </c>
      <c r="AB580" t="str">
        <f t="shared" si="215"/>
        <v>Green</v>
      </c>
      <c r="AC580" t="str">
        <f t="shared" si="216"/>
        <v>Green</v>
      </c>
      <c r="AD580" t="str">
        <f t="shared" si="217"/>
        <v>Red</v>
      </c>
    </row>
    <row r="581" spans="1:30" x14ac:dyDescent="0.2">
      <c r="A581" t="str">
        <f t="shared" si="200"/>
        <v>23/07/2026CuiabaAtletico Goianiense</v>
      </c>
      <c r="D581" s="2">
        <v>46226</v>
      </c>
      <c r="E581" s="3">
        <v>0.97916666666666663</v>
      </c>
      <c r="F581" t="s">
        <v>1983</v>
      </c>
      <c r="G581" t="s">
        <v>1984</v>
      </c>
      <c r="H581">
        <v>0</v>
      </c>
      <c r="I581">
        <v>0</v>
      </c>
      <c r="J581">
        <v>0</v>
      </c>
      <c r="K581">
        <v>1</v>
      </c>
      <c r="L581" s="22" t="str">
        <f t="shared" si="198"/>
        <v>23/07/2026</v>
      </c>
      <c r="M581" s="23">
        <f t="shared" si="199"/>
        <v>0.85416666666666663</v>
      </c>
      <c r="N581" t="str">
        <f t="shared" si="201"/>
        <v>0 - 1</v>
      </c>
      <c r="O581" t="str">
        <f t="shared" si="202"/>
        <v>Red</v>
      </c>
      <c r="P581" t="str">
        <f t="shared" si="203"/>
        <v>Red</v>
      </c>
      <c r="Q581" t="str">
        <f t="shared" si="204"/>
        <v>Green</v>
      </c>
      <c r="R581" t="str">
        <f t="shared" si="205"/>
        <v>Red</v>
      </c>
      <c r="S581" t="str">
        <f t="shared" si="206"/>
        <v>Green</v>
      </c>
      <c r="T581" t="str">
        <f t="shared" si="207"/>
        <v>Green</v>
      </c>
      <c r="U581" t="str">
        <f t="shared" si="208"/>
        <v>Red</v>
      </c>
      <c r="V581" t="str">
        <f t="shared" si="209"/>
        <v>Green</v>
      </c>
      <c r="W581" t="str">
        <f t="shared" si="210"/>
        <v>Red</v>
      </c>
      <c r="X581" t="str">
        <f t="shared" si="211"/>
        <v>Red</v>
      </c>
      <c r="Y581" t="str">
        <f t="shared" si="212"/>
        <v>Red</v>
      </c>
      <c r="Z581" t="str">
        <f t="shared" si="213"/>
        <v>Red</v>
      </c>
      <c r="AA581" t="str">
        <f t="shared" si="214"/>
        <v>Green</v>
      </c>
      <c r="AB581" t="str">
        <f t="shared" si="215"/>
        <v>Green</v>
      </c>
      <c r="AC581" t="str">
        <f t="shared" si="216"/>
        <v>Red</v>
      </c>
      <c r="AD581" t="str">
        <f t="shared" si="217"/>
        <v>Green</v>
      </c>
    </row>
    <row r="582" spans="1:30" x14ac:dyDescent="0.2">
      <c r="A582" t="str">
        <f t="shared" si="200"/>
        <v>23/07/2026Deportivo Cali WomenAmerica de Cali Women</v>
      </c>
      <c r="D582" s="2">
        <v>46227</v>
      </c>
      <c r="E582" s="3">
        <v>0</v>
      </c>
      <c r="F582" t="s">
        <v>1996</v>
      </c>
      <c r="G582" t="s">
        <v>1997</v>
      </c>
      <c r="H582">
        <v>0</v>
      </c>
      <c r="I582">
        <v>0</v>
      </c>
      <c r="J582">
        <v>1</v>
      </c>
      <c r="K582">
        <v>0</v>
      </c>
      <c r="L582" s="29" t="s">
        <v>95</v>
      </c>
      <c r="M582" s="23">
        <v>0.875</v>
      </c>
      <c r="N582" t="str">
        <f t="shared" si="201"/>
        <v>1 - 0</v>
      </c>
      <c r="O582" t="str">
        <f t="shared" si="202"/>
        <v>Green</v>
      </c>
      <c r="P582" t="str">
        <f t="shared" si="203"/>
        <v>Red</v>
      </c>
      <c r="Q582" t="str">
        <f t="shared" si="204"/>
        <v>Red</v>
      </c>
      <c r="R582" t="str">
        <f t="shared" si="205"/>
        <v>Green</v>
      </c>
      <c r="S582" t="str">
        <f t="shared" si="206"/>
        <v>Red</v>
      </c>
      <c r="T582" t="str">
        <f t="shared" si="207"/>
        <v>Green</v>
      </c>
      <c r="U582" t="str">
        <f t="shared" si="208"/>
        <v>Red</v>
      </c>
      <c r="V582" t="str">
        <f t="shared" si="209"/>
        <v>Green</v>
      </c>
      <c r="W582" t="str">
        <f t="shared" si="210"/>
        <v>Red</v>
      </c>
      <c r="X582" t="str">
        <f t="shared" si="211"/>
        <v>Red</v>
      </c>
      <c r="Y582" t="str">
        <f t="shared" si="212"/>
        <v>Red</v>
      </c>
      <c r="Z582" t="str">
        <f t="shared" si="213"/>
        <v>Red</v>
      </c>
      <c r="AA582" t="str">
        <f t="shared" si="214"/>
        <v>Green</v>
      </c>
      <c r="AB582" t="str">
        <f t="shared" si="215"/>
        <v>Green</v>
      </c>
      <c r="AC582" t="str">
        <f t="shared" si="216"/>
        <v>Red</v>
      </c>
      <c r="AD582" t="str">
        <f t="shared" si="217"/>
        <v>Green</v>
      </c>
    </row>
    <row r="583" spans="1:30" x14ac:dyDescent="0.2">
      <c r="A583" t="str">
        <f t="shared" si="200"/>
        <v>23/07/2026EmelecMushuc Runa</v>
      </c>
      <c r="D583" s="2">
        <v>46227</v>
      </c>
      <c r="E583" s="3">
        <v>0</v>
      </c>
      <c r="F583" t="s">
        <v>116</v>
      </c>
      <c r="G583" t="s">
        <v>117</v>
      </c>
      <c r="H583">
        <v>1</v>
      </c>
      <c r="I583">
        <v>0</v>
      </c>
      <c r="J583">
        <v>1</v>
      </c>
      <c r="K583">
        <v>1</v>
      </c>
      <c r="L583" s="29" t="s">
        <v>95</v>
      </c>
      <c r="M583" s="23">
        <v>0.875</v>
      </c>
      <c r="N583" t="str">
        <f t="shared" si="201"/>
        <v>1 - 1</v>
      </c>
      <c r="O583" t="str">
        <f t="shared" si="202"/>
        <v>Red</v>
      </c>
      <c r="P583" t="str">
        <f t="shared" si="203"/>
        <v>Green</v>
      </c>
      <c r="Q583" t="str">
        <f t="shared" si="204"/>
        <v>Red</v>
      </c>
      <c r="R583" t="str">
        <f t="shared" si="205"/>
        <v>Green</v>
      </c>
      <c r="S583" t="str">
        <f t="shared" si="206"/>
        <v>Green</v>
      </c>
      <c r="T583" t="str">
        <f t="shared" si="207"/>
        <v>Red</v>
      </c>
      <c r="U583" t="str">
        <f t="shared" si="208"/>
        <v>Green</v>
      </c>
      <c r="V583" t="str">
        <f t="shared" si="209"/>
        <v>Red</v>
      </c>
      <c r="W583" t="str">
        <f t="shared" si="210"/>
        <v>Red</v>
      </c>
      <c r="X583" t="str">
        <f t="shared" si="211"/>
        <v>Green</v>
      </c>
      <c r="Y583" t="str">
        <f t="shared" si="212"/>
        <v>Green</v>
      </c>
      <c r="Z583" t="str">
        <f t="shared" si="213"/>
        <v>Red</v>
      </c>
      <c r="AA583" t="str">
        <f t="shared" si="214"/>
        <v>Green</v>
      </c>
      <c r="AB583" t="str">
        <f t="shared" si="215"/>
        <v>Green</v>
      </c>
      <c r="AC583" t="str">
        <f t="shared" si="216"/>
        <v>Green</v>
      </c>
      <c r="AD583" t="str">
        <f t="shared" si="217"/>
        <v>Red</v>
      </c>
    </row>
    <row r="584" spans="1:30" x14ac:dyDescent="0.2">
      <c r="A584" t="str">
        <f t="shared" si="200"/>
        <v>23/07/2026Boca JuniorsCD OHiggins</v>
      </c>
      <c r="B584" t="s">
        <v>1321</v>
      </c>
      <c r="C584" t="s">
        <v>1322</v>
      </c>
      <c r="D584" s="2">
        <v>46227</v>
      </c>
      <c r="E584" s="3">
        <v>2.0833333333333332E-2</v>
      </c>
      <c r="F584" t="s">
        <v>1203</v>
      </c>
      <c r="G584" t="s">
        <v>1887</v>
      </c>
      <c r="H584">
        <v>1</v>
      </c>
      <c r="I584">
        <v>0</v>
      </c>
      <c r="J584">
        <v>1</v>
      </c>
      <c r="K584">
        <v>0</v>
      </c>
      <c r="L584" s="30" t="str">
        <f>DAY(D584)-1&amp;"/"&amp;"07"&amp;"/"&amp;YEAR(D584)</f>
        <v>23/07/2026</v>
      </c>
      <c r="M584" s="31">
        <f>E584-TIME(3,0,0)+TIME(12,0,0)+TIME(12,0,0)</f>
        <v>0.89583333333333326</v>
      </c>
      <c r="N584" t="str">
        <f t="shared" si="201"/>
        <v>1 - 0</v>
      </c>
      <c r="O584" t="str">
        <f t="shared" si="202"/>
        <v>Green</v>
      </c>
      <c r="P584" t="str">
        <f t="shared" si="203"/>
        <v>Red</v>
      </c>
      <c r="Q584" t="str">
        <f t="shared" si="204"/>
        <v>Red</v>
      </c>
      <c r="R584" t="str">
        <f t="shared" si="205"/>
        <v>Green</v>
      </c>
      <c r="S584" t="str">
        <f t="shared" si="206"/>
        <v>Red</v>
      </c>
      <c r="T584" t="str">
        <f t="shared" si="207"/>
        <v>Green</v>
      </c>
      <c r="U584" t="str">
        <f t="shared" si="208"/>
        <v>Green</v>
      </c>
      <c r="V584" t="str">
        <f t="shared" si="209"/>
        <v>Red</v>
      </c>
      <c r="W584" t="str">
        <f t="shared" si="210"/>
        <v>Red</v>
      </c>
      <c r="X584" t="str">
        <f t="shared" si="211"/>
        <v>Green</v>
      </c>
      <c r="Y584" t="str">
        <f t="shared" si="212"/>
        <v>Red</v>
      </c>
      <c r="Z584" t="str">
        <f t="shared" si="213"/>
        <v>Red</v>
      </c>
      <c r="AA584" t="str">
        <f t="shared" si="214"/>
        <v>Green</v>
      </c>
      <c r="AB584" t="str">
        <f t="shared" si="215"/>
        <v>Green</v>
      </c>
      <c r="AC584" t="str">
        <f t="shared" si="216"/>
        <v>Red</v>
      </c>
      <c r="AD584" t="str">
        <f t="shared" si="217"/>
        <v>Green</v>
      </c>
    </row>
    <row r="585" spans="1:30" x14ac:dyDescent="0.2">
      <c r="A585" t="str">
        <f t="shared" si="200"/>
        <v>23/07/2026Independiente Santa FeCaracas</v>
      </c>
      <c r="B585" t="s">
        <v>1321</v>
      </c>
      <c r="C585" t="s">
        <v>1322</v>
      </c>
      <c r="D585" s="2">
        <v>46227</v>
      </c>
      <c r="E585" s="3">
        <v>2.0833333333333332E-2</v>
      </c>
      <c r="F585" t="s">
        <v>421</v>
      </c>
      <c r="G585" t="s">
        <v>1888</v>
      </c>
      <c r="H585">
        <v>1</v>
      </c>
      <c r="I585">
        <v>0</v>
      </c>
      <c r="J585">
        <v>2</v>
      </c>
      <c r="K585">
        <v>0</v>
      </c>
      <c r="L585" s="30" t="str">
        <f>DAY(D585)-1&amp;"/"&amp;"07"&amp;"/"&amp;YEAR(D585)</f>
        <v>23/07/2026</v>
      </c>
      <c r="M585" s="31">
        <f>E585-TIME(3,0,0)+TIME(12,0,0)+TIME(12,0,0)</f>
        <v>0.89583333333333326</v>
      </c>
      <c r="N585" t="str">
        <f t="shared" si="201"/>
        <v>2 - 0</v>
      </c>
      <c r="O585" t="str">
        <f t="shared" si="202"/>
        <v>Green</v>
      </c>
      <c r="P585" t="str">
        <f t="shared" si="203"/>
        <v>Red</v>
      </c>
      <c r="Q585" t="str">
        <f t="shared" si="204"/>
        <v>Red</v>
      </c>
      <c r="R585" t="str">
        <f t="shared" si="205"/>
        <v>Green</v>
      </c>
      <c r="S585" t="str">
        <f t="shared" si="206"/>
        <v>Red</v>
      </c>
      <c r="T585" t="str">
        <f t="shared" si="207"/>
        <v>Green</v>
      </c>
      <c r="U585" t="str">
        <f t="shared" si="208"/>
        <v>Green</v>
      </c>
      <c r="V585" t="str">
        <f t="shared" si="209"/>
        <v>Red</v>
      </c>
      <c r="W585" t="str">
        <f t="shared" si="210"/>
        <v>Red</v>
      </c>
      <c r="X585" t="str">
        <f t="shared" si="211"/>
        <v>Green</v>
      </c>
      <c r="Y585" t="str">
        <f t="shared" si="212"/>
        <v>Green</v>
      </c>
      <c r="Z585" t="str">
        <f t="shared" si="213"/>
        <v>Red</v>
      </c>
      <c r="AA585" t="str">
        <f t="shared" si="214"/>
        <v>Green</v>
      </c>
      <c r="AB585" t="str">
        <f t="shared" si="215"/>
        <v>Green</v>
      </c>
      <c r="AC585" t="str">
        <f t="shared" si="216"/>
        <v>Red</v>
      </c>
      <c r="AD585" t="str">
        <f t="shared" si="217"/>
        <v>Green</v>
      </c>
    </row>
    <row r="586" spans="1:30" x14ac:dyDescent="0.2">
      <c r="A586" t="str">
        <f t="shared" si="200"/>
        <v>23/07/2026Botafogo SPEC Juventude</v>
      </c>
      <c r="D586" s="2">
        <v>46227</v>
      </c>
      <c r="E586" s="3">
        <v>2.0833333333333332E-2</v>
      </c>
      <c r="F586" t="s">
        <v>118</v>
      </c>
      <c r="G586" t="s">
        <v>1985</v>
      </c>
      <c r="H586">
        <v>2</v>
      </c>
      <c r="I586">
        <v>0</v>
      </c>
      <c r="J586">
        <v>4</v>
      </c>
      <c r="K586">
        <v>2</v>
      </c>
      <c r="L586" s="30" t="str">
        <f>DAY(D586)-1&amp;"/"&amp;"07"&amp;"/"&amp;YEAR(D586)</f>
        <v>23/07/2026</v>
      </c>
      <c r="M586" s="31">
        <f>E586-TIME(3,0,0)+TIME(12,0,0)+TIME(12,0,0)</f>
        <v>0.89583333333333326</v>
      </c>
      <c r="N586" t="str">
        <f t="shared" si="201"/>
        <v>4 - 2</v>
      </c>
      <c r="O586" t="str">
        <f t="shared" si="202"/>
        <v>Green</v>
      </c>
      <c r="P586" t="str">
        <f t="shared" si="203"/>
        <v>Red</v>
      </c>
      <c r="Q586" t="str">
        <f t="shared" si="204"/>
        <v>Red</v>
      </c>
      <c r="R586" t="str">
        <f t="shared" si="205"/>
        <v>Green</v>
      </c>
      <c r="S586" t="str">
        <f t="shared" si="206"/>
        <v>Red</v>
      </c>
      <c r="T586" t="str">
        <f t="shared" si="207"/>
        <v>Green</v>
      </c>
      <c r="U586" t="str">
        <f t="shared" si="208"/>
        <v>Green</v>
      </c>
      <c r="V586" t="str">
        <f t="shared" si="209"/>
        <v>Red</v>
      </c>
      <c r="W586" t="str">
        <f t="shared" si="210"/>
        <v>Red</v>
      </c>
      <c r="X586" t="str">
        <f t="shared" si="211"/>
        <v>Green</v>
      </c>
      <c r="Y586" t="str">
        <f t="shared" si="212"/>
        <v>Green</v>
      </c>
      <c r="Z586" t="str">
        <f t="shared" si="213"/>
        <v>Green</v>
      </c>
      <c r="AA586" t="str">
        <f t="shared" si="214"/>
        <v>Red</v>
      </c>
      <c r="AB586" t="str">
        <f t="shared" si="215"/>
        <v>Red</v>
      </c>
      <c r="AC586" t="str">
        <f t="shared" si="216"/>
        <v>Green</v>
      </c>
      <c r="AD586" t="str">
        <f t="shared" si="217"/>
        <v>Red</v>
      </c>
    </row>
    <row r="587" spans="1:30" x14ac:dyDescent="0.2">
      <c r="A587" t="str">
        <f t="shared" si="200"/>
        <v>23/07/2026Defensa Y JusticiaAldosivi</v>
      </c>
      <c r="D587" s="2">
        <v>46227</v>
      </c>
      <c r="E587" s="3">
        <v>3.125E-2</v>
      </c>
      <c r="F587" t="s">
        <v>1975</v>
      </c>
      <c r="G587" t="s">
        <v>121</v>
      </c>
      <c r="H587">
        <v>1</v>
      </c>
      <c r="I587">
        <v>1</v>
      </c>
      <c r="J587">
        <v>1</v>
      </c>
      <c r="K587">
        <v>1</v>
      </c>
      <c r="L587" s="30" t="str">
        <f>DAY(D587)-1&amp;"/"&amp;"07"&amp;"/"&amp;YEAR(D587)</f>
        <v>23/07/2026</v>
      </c>
      <c r="M587" s="31">
        <f>E587-TIME(3,0,0)+TIME(12,0,0)+TIME(12,0,0)</f>
        <v>0.90625</v>
      </c>
      <c r="N587" t="str">
        <f t="shared" si="201"/>
        <v>1 - 1</v>
      </c>
      <c r="O587" t="str">
        <f t="shared" si="202"/>
        <v>Red</v>
      </c>
      <c r="P587" t="str">
        <f t="shared" si="203"/>
        <v>Green</v>
      </c>
      <c r="Q587" t="str">
        <f t="shared" si="204"/>
        <v>Red</v>
      </c>
      <c r="R587" t="str">
        <f t="shared" si="205"/>
        <v>Green</v>
      </c>
      <c r="S587" t="str">
        <f t="shared" si="206"/>
        <v>Green</v>
      </c>
      <c r="T587" t="str">
        <f t="shared" si="207"/>
        <v>Red</v>
      </c>
      <c r="U587" t="str">
        <f t="shared" si="208"/>
        <v>Red</v>
      </c>
      <c r="V587" t="str">
        <f t="shared" si="209"/>
        <v>Green</v>
      </c>
      <c r="W587" t="str">
        <f t="shared" si="210"/>
        <v>Red</v>
      </c>
      <c r="X587" t="str">
        <f t="shared" si="211"/>
        <v>Green</v>
      </c>
      <c r="Y587" t="str">
        <f t="shared" si="212"/>
        <v>Green</v>
      </c>
      <c r="Z587" t="str">
        <f t="shared" si="213"/>
        <v>Red</v>
      </c>
      <c r="AA587" t="str">
        <f t="shared" si="214"/>
        <v>Green</v>
      </c>
      <c r="AB587" t="str">
        <f t="shared" si="215"/>
        <v>Green</v>
      </c>
      <c r="AC587" t="str">
        <f t="shared" si="216"/>
        <v>Green</v>
      </c>
      <c r="AD587" t="str">
        <f t="shared" si="217"/>
        <v>Red</v>
      </c>
    </row>
    <row r="588" spans="1:30" x14ac:dyDescent="0.2">
      <c r="A588" t="str">
        <f t="shared" si="200"/>
        <v>23/07/2026CS HeredianoPuntarenas</v>
      </c>
      <c r="D588" s="2">
        <v>46227</v>
      </c>
      <c r="E588" s="3">
        <v>8.3333333333333329E-2</v>
      </c>
      <c r="F588" t="s">
        <v>1998</v>
      </c>
      <c r="G588" t="s">
        <v>1999</v>
      </c>
      <c r="H588">
        <v>1</v>
      </c>
      <c r="I588">
        <v>1</v>
      </c>
      <c r="J588">
        <v>1</v>
      </c>
      <c r="K588">
        <v>1</v>
      </c>
      <c r="L588" s="30" t="str">
        <f>DAY(D588)-1&amp;"/"&amp;"07"&amp;"/"&amp;YEAR(D588)</f>
        <v>23/07/2026</v>
      </c>
      <c r="M588" s="31">
        <f>E588-TIME(3,0,0)+TIME(12,0,0)+TIME(12,0,0)</f>
        <v>0.95833333333333326</v>
      </c>
      <c r="N588" t="str">
        <f t="shared" si="201"/>
        <v>1 - 1</v>
      </c>
      <c r="O588" t="str">
        <f t="shared" si="202"/>
        <v>Red</v>
      </c>
      <c r="P588" t="str">
        <f t="shared" si="203"/>
        <v>Green</v>
      </c>
      <c r="Q588" t="str">
        <f t="shared" si="204"/>
        <v>Red</v>
      </c>
      <c r="R588" t="str">
        <f t="shared" si="205"/>
        <v>Green</v>
      </c>
      <c r="S588" t="str">
        <f t="shared" si="206"/>
        <v>Green</v>
      </c>
      <c r="T588" t="str">
        <f t="shared" si="207"/>
        <v>Red</v>
      </c>
      <c r="U588" t="str">
        <f t="shared" si="208"/>
        <v>Red</v>
      </c>
      <c r="V588" t="str">
        <f t="shared" si="209"/>
        <v>Green</v>
      </c>
      <c r="W588" t="str">
        <f t="shared" si="210"/>
        <v>Red</v>
      </c>
      <c r="X588" t="str">
        <f t="shared" si="211"/>
        <v>Green</v>
      </c>
      <c r="Y588" t="str">
        <f t="shared" si="212"/>
        <v>Green</v>
      </c>
      <c r="Z588" t="str">
        <f t="shared" si="213"/>
        <v>Red</v>
      </c>
      <c r="AA588" t="str">
        <f t="shared" si="214"/>
        <v>Green</v>
      </c>
      <c r="AB588" t="str">
        <f t="shared" si="215"/>
        <v>Green</v>
      </c>
      <c r="AC588" t="str">
        <f t="shared" si="216"/>
        <v>Green</v>
      </c>
      <c r="AD588" t="str">
        <f t="shared" si="217"/>
        <v>Red</v>
      </c>
    </row>
    <row r="589" spans="1:30" x14ac:dyDescent="0.2">
      <c r="A589" t="str">
        <f t="shared" si="200"/>
        <v>24/07/2026Yenisey Krasnoyarsk IITorpedo Vladimir</v>
      </c>
      <c r="D589" s="2">
        <v>46227</v>
      </c>
      <c r="E589" s="3">
        <v>0.20833333333333334</v>
      </c>
      <c r="F589" t="s">
        <v>2568</v>
      </c>
      <c r="G589" t="s">
        <v>2569</v>
      </c>
      <c r="L589" s="22" t="str">
        <f t="shared" ref="L589:L652" si="218">DAY(D589)&amp;"/"&amp;"07"&amp;"/"&amp;YEAR(D589)</f>
        <v>24/07/2026</v>
      </c>
      <c r="M589" s="23">
        <f t="shared" ref="M589:M652" si="219">E589-TIME(3,0,0)</f>
        <v>8.3333333333333343E-2</v>
      </c>
      <c r="N589" t="str">
        <f t="shared" si="201"/>
        <v xml:space="preserve"> - </v>
      </c>
      <c r="O589" t="str">
        <f t="shared" si="202"/>
        <v>Red</v>
      </c>
      <c r="P589" t="str">
        <f t="shared" si="203"/>
        <v>Green</v>
      </c>
      <c r="Q589" t="str">
        <f t="shared" si="204"/>
        <v>Red</v>
      </c>
      <c r="R589" t="str">
        <f t="shared" si="205"/>
        <v>Green</v>
      </c>
      <c r="S589" t="str">
        <f t="shared" si="206"/>
        <v>Green</v>
      </c>
      <c r="T589" t="str">
        <f t="shared" si="207"/>
        <v>Red</v>
      </c>
      <c r="U589" t="str">
        <f t="shared" si="208"/>
        <v>Red</v>
      </c>
      <c r="V589" t="str">
        <f t="shared" si="209"/>
        <v>Green</v>
      </c>
      <c r="W589" t="str">
        <f t="shared" si="210"/>
        <v>Red</v>
      </c>
      <c r="X589" t="str">
        <f t="shared" si="211"/>
        <v>Red</v>
      </c>
      <c r="Y589" t="str">
        <f t="shared" si="212"/>
        <v>Red</v>
      </c>
      <c r="Z589" t="str">
        <f t="shared" si="213"/>
        <v>Red</v>
      </c>
      <c r="AA589" t="str">
        <f t="shared" si="214"/>
        <v>Green</v>
      </c>
      <c r="AB589" t="str">
        <f t="shared" si="215"/>
        <v>Green</v>
      </c>
      <c r="AC589" t="str">
        <f t="shared" si="216"/>
        <v>Red</v>
      </c>
      <c r="AD589" t="str">
        <f t="shared" si="217"/>
        <v>Green</v>
      </c>
    </row>
    <row r="590" spans="1:30" x14ac:dyDescent="0.2">
      <c r="A590" t="str">
        <f t="shared" si="200"/>
        <v>24/07/2026CSM Flacara MoreniChindia Targoviste</v>
      </c>
      <c r="D590" s="2">
        <v>46227</v>
      </c>
      <c r="E590" s="3">
        <v>0.29166666666666669</v>
      </c>
      <c r="F590" t="s">
        <v>2635</v>
      </c>
      <c r="G590" t="s">
        <v>2636</v>
      </c>
      <c r="H590">
        <v>0</v>
      </c>
      <c r="I590">
        <v>0</v>
      </c>
      <c r="J590">
        <v>6</v>
      </c>
      <c r="K590">
        <v>0</v>
      </c>
      <c r="L590" s="22" t="str">
        <f t="shared" si="218"/>
        <v>24/07/2026</v>
      </c>
      <c r="M590" s="23">
        <f t="shared" si="219"/>
        <v>0.16666666666666669</v>
      </c>
      <c r="N590" t="str">
        <f t="shared" si="201"/>
        <v>6 - 0</v>
      </c>
      <c r="O590" t="str">
        <f t="shared" si="202"/>
        <v>Green</v>
      </c>
      <c r="P590" t="str">
        <f t="shared" si="203"/>
        <v>Red</v>
      </c>
      <c r="Q590" t="str">
        <f t="shared" si="204"/>
        <v>Red</v>
      </c>
      <c r="R590" t="str">
        <f t="shared" si="205"/>
        <v>Green</v>
      </c>
      <c r="S590" t="str">
        <f t="shared" si="206"/>
        <v>Red</v>
      </c>
      <c r="T590" t="str">
        <f t="shared" si="207"/>
        <v>Green</v>
      </c>
      <c r="U590" t="str">
        <f t="shared" si="208"/>
        <v>Red</v>
      </c>
      <c r="V590" t="str">
        <f t="shared" si="209"/>
        <v>Green</v>
      </c>
      <c r="W590" t="str">
        <f t="shared" si="210"/>
        <v>Red</v>
      </c>
      <c r="X590" t="str">
        <f t="shared" si="211"/>
        <v>Red</v>
      </c>
      <c r="Y590" t="str">
        <f t="shared" si="212"/>
        <v>Green</v>
      </c>
      <c r="Z590" t="str">
        <f t="shared" si="213"/>
        <v>Green</v>
      </c>
      <c r="AA590" t="str">
        <f t="shared" si="214"/>
        <v>Red</v>
      </c>
      <c r="AB590" t="str">
        <f t="shared" si="215"/>
        <v>Red</v>
      </c>
      <c r="AC590" t="str">
        <f t="shared" si="216"/>
        <v>Red</v>
      </c>
      <c r="AD590" t="str">
        <f t="shared" si="217"/>
        <v>Green</v>
      </c>
    </row>
    <row r="591" spans="1:30" x14ac:dyDescent="0.2">
      <c r="A591" t="str">
        <f t="shared" si="200"/>
        <v>24/07/2026Manly United U20Sydney Olympic U20</v>
      </c>
      <c r="B591" t="s">
        <v>810</v>
      </c>
      <c r="C591" t="s">
        <v>2320</v>
      </c>
      <c r="D591" s="2">
        <v>46227</v>
      </c>
      <c r="E591" s="3">
        <v>0.3125</v>
      </c>
      <c r="F591" t="s">
        <v>2321</v>
      </c>
      <c r="G591" t="s">
        <v>2322</v>
      </c>
      <c r="H591">
        <v>1</v>
      </c>
      <c r="I591">
        <v>0</v>
      </c>
      <c r="J591">
        <v>6</v>
      </c>
      <c r="K591">
        <v>0</v>
      </c>
      <c r="L591" s="22" t="str">
        <f t="shared" si="218"/>
        <v>24/07/2026</v>
      </c>
      <c r="M591" s="23">
        <f t="shared" si="219"/>
        <v>0.1875</v>
      </c>
      <c r="N591" t="str">
        <f t="shared" si="201"/>
        <v>6 - 0</v>
      </c>
      <c r="O591" t="str">
        <f t="shared" si="202"/>
        <v>Green</v>
      </c>
      <c r="P591" t="str">
        <f t="shared" si="203"/>
        <v>Red</v>
      </c>
      <c r="Q591" t="str">
        <f t="shared" si="204"/>
        <v>Red</v>
      </c>
      <c r="R591" t="str">
        <f t="shared" si="205"/>
        <v>Green</v>
      </c>
      <c r="S591" t="str">
        <f t="shared" si="206"/>
        <v>Red</v>
      </c>
      <c r="T591" t="str">
        <f t="shared" si="207"/>
        <v>Green</v>
      </c>
      <c r="U591" t="str">
        <f t="shared" si="208"/>
        <v>Green</v>
      </c>
      <c r="V591" t="str">
        <f t="shared" si="209"/>
        <v>Red</v>
      </c>
      <c r="W591" t="str">
        <f t="shared" si="210"/>
        <v>Red</v>
      </c>
      <c r="X591" t="str">
        <f t="shared" si="211"/>
        <v>Green</v>
      </c>
      <c r="Y591" t="str">
        <f t="shared" si="212"/>
        <v>Green</v>
      </c>
      <c r="Z591" t="str">
        <f t="shared" si="213"/>
        <v>Green</v>
      </c>
      <c r="AA591" t="str">
        <f t="shared" si="214"/>
        <v>Red</v>
      </c>
      <c r="AB591" t="str">
        <f t="shared" si="215"/>
        <v>Red</v>
      </c>
      <c r="AC591" t="str">
        <f t="shared" si="216"/>
        <v>Red</v>
      </c>
      <c r="AD591" t="str">
        <f t="shared" si="217"/>
        <v>Green</v>
      </c>
    </row>
    <row r="592" spans="1:30" x14ac:dyDescent="0.2">
      <c r="A592" t="str">
        <f t="shared" si="200"/>
        <v>24/07/2026Preston Lions WomenKeilor Park Women</v>
      </c>
      <c r="B592" t="s">
        <v>810</v>
      </c>
      <c r="C592" t="s">
        <v>2294</v>
      </c>
      <c r="D592" s="2">
        <v>46227</v>
      </c>
      <c r="E592" s="3">
        <v>0.34375</v>
      </c>
      <c r="F592" t="s">
        <v>2295</v>
      </c>
      <c r="G592" t="s">
        <v>2296</v>
      </c>
      <c r="H592">
        <v>1</v>
      </c>
      <c r="I592">
        <v>0</v>
      </c>
      <c r="J592">
        <v>1</v>
      </c>
      <c r="K592">
        <v>0</v>
      </c>
      <c r="L592" s="22" t="str">
        <f t="shared" si="218"/>
        <v>24/07/2026</v>
      </c>
      <c r="M592" s="23">
        <f t="shared" si="219"/>
        <v>0.21875</v>
      </c>
      <c r="N592" t="str">
        <f t="shared" si="201"/>
        <v>1 - 0</v>
      </c>
      <c r="O592" t="str">
        <f t="shared" si="202"/>
        <v>Green</v>
      </c>
      <c r="P592" t="str">
        <f t="shared" si="203"/>
        <v>Red</v>
      </c>
      <c r="Q592" t="str">
        <f t="shared" si="204"/>
        <v>Red</v>
      </c>
      <c r="R592" t="str">
        <f t="shared" si="205"/>
        <v>Green</v>
      </c>
      <c r="S592" t="str">
        <f t="shared" si="206"/>
        <v>Red</v>
      </c>
      <c r="T592" t="str">
        <f t="shared" si="207"/>
        <v>Green</v>
      </c>
      <c r="U592" t="str">
        <f t="shared" si="208"/>
        <v>Green</v>
      </c>
      <c r="V592" t="str">
        <f t="shared" si="209"/>
        <v>Red</v>
      </c>
      <c r="W592" t="str">
        <f t="shared" si="210"/>
        <v>Red</v>
      </c>
      <c r="X592" t="str">
        <f t="shared" si="211"/>
        <v>Green</v>
      </c>
      <c r="Y592" t="str">
        <f t="shared" si="212"/>
        <v>Red</v>
      </c>
      <c r="Z592" t="str">
        <f t="shared" si="213"/>
        <v>Red</v>
      </c>
      <c r="AA592" t="str">
        <f t="shared" si="214"/>
        <v>Green</v>
      </c>
      <c r="AB592" t="str">
        <f t="shared" si="215"/>
        <v>Green</v>
      </c>
      <c r="AC592" t="str">
        <f t="shared" si="216"/>
        <v>Red</v>
      </c>
      <c r="AD592" t="str">
        <f t="shared" si="217"/>
        <v>Green</v>
      </c>
    </row>
    <row r="593" spans="1:30" x14ac:dyDescent="0.2">
      <c r="A593" t="str">
        <f t="shared" si="200"/>
        <v>24/07/2026Oakleigh Cannons U23South Melbourne U23</v>
      </c>
      <c r="B593" t="s">
        <v>810</v>
      </c>
      <c r="C593" t="s">
        <v>2311</v>
      </c>
      <c r="D593" s="2">
        <v>46227</v>
      </c>
      <c r="E593" s="3">
        <v>0.34375</v>
      </c>
      <c r="F593" t="s">
        <v>2312</v>
      </c>
      <c r="G593" t="s">
        <v>2313</v>
      </c>
      <c r="H593">
        <v>0</v>
      </c>
      <c r="I593">
        <v>4</v>
      </c>
      <c r="J593">
        <v>0</v>
      </c>
      <c r="K593">
        <v>5</v>
      </c>
      <c r="L593" s="22" t="str">
        <f t="shared" si="218"/>
        <v>24/07/2026</v>
      </c>
      <c r="M593" s="23">
        <f t="shared" si="219"/>
        <v>0.21875</v>
      </c>
      <c r="N593" t="str">
        <f t="shared" si="201"/>
        <v>0 - 5</v>
      </c>
      <c r="O593" t="str">
        <f t="shared" si="202"/>
        <v>Red</v>
      </c>
      <c r="P593" t="str">
        <f t="shared" si="203"/>
        <v>Red</v>
      </c>
      <c r="Q593" t="str">
        <f t="shared" si="204"/>
        <v>Green</v>
      </c>
      <c r="R593" t="str">
        <f t="shared" si="205"/>
        <v>Red</v>
      </c>
      <c r="S593" t="str">
        <f t="shared" si="206"/>
        <v>Green</v>
      </c>
      <c r="T593" t="str">
        <f t="shared" si="207"/>
        <v>Green</v>
      </c>
      <c r="U593" t="str">
        <f t="shared" si="208"/>
        <v>Red</v>
      </c>
      <c r="V593" t="str">
        <f t="shared" si="209"/>
        <v>Red</v>
      </c>
      <c r="W593" t="str">
        <f t="shared" si="210"/>
        <v>Green</v>
      </c>
      <c r="X593" t="str">
        <f t="shared" si="211"/>
        <v>Green</v>
      </c>
      <c r="Y593" t="str">
        <f t="shared" si="212"/>
        <v>Green</v>
      </c>
      <c r="Z593" t="str">
        <f t="shared" si="213"/>
        <v>Green</v>
      </c>
      <c r="AA593" t="str">
        <f t="shared" si="214"/>
        <v>Red</v>
      </c>
      <c r="AB593" t="str">
        <f t="shared" si="215"/>
        <v>Red</v>
      </c>
      <c r="AC593" t="str">
        <f t="shared" si="216"/>
        <v>Red</v>
      </c>
      <c r="AD593" t="str">
        <f t="shared" si="217"/>
        <v>Green</v>
      </c>
    </row>
    <row r="594" spans="1:30" x14ac:dyDescent="0.2">
      <c r="A594" t="str">
        <f t="shared" si="200"/>
        <v>24/07/2026ComoParis FC</v>
      </c>
      <c r="D594" s="2">
        <v>46227</v>
      </c>
      <c r="E594" s="3">
        <v>0.35416666666666669</v>
      </c>
      <c r="F594" t="s">
        <v>2637</v>
      </c>
      <c r="G594" t="s">
        <v>2638</v>
      </c>
      <c r="H594">
        <v>1</v>
      </c>
      <c r="I594">
        <v>2</v>
      </c>
      <c r="J594">
        <v>2</v>
      </c>
      <c r="K594">
        <v>2</v>
      </c>
      <c r="L594" s="22" t="str">
        <f t="shared" si="218"/>
        <v>24/07/2026</v>
      </c>
      <c r="M594" s="23">
        <f t="shared" si="219"/>
        <v>0.22916666666666669</v>
      </c>
      <c r="N594" t="str">
        <f t="shared" si="201"/>
        <v>2 - 2</v>
      </c>
      <c r="O594" t="str">
        <f t="shared" si="202"/>
        <v>Red</v>
      </c>
      <c r="P594" t="str">
        <f t="shared" si="203"/>
        <v>Green</v>
      </c>
      <c r="Q594" t="str">
        <f t="shared" si="204"/>
        <v>Red</v>
      </c>
      <c r="R594" t="str">
        <f t="shared" si="205"/>
        <v>Green</v>
      </c>
      <c r="S594" t="str">
        <f t="shared" si="206"/>
        <v>Green</v>
      </c>
      <c r="T594" t="str">
        <f t="shared" si="207"/>
        <v>Red</v>
      </c>
      <c r="U594" t="str">
        <f t="shared" si="208"/>
        <v>Red</v>
      </c>
      <c r="V594" t="str">
        <f t="shared" si="209"/>
        <v>Red</v>
      </c>
      <c r="W594" t="str">
        <f t="shared" si="210"/>
        <v>Green</v>
      </c>
      <c r="X594" t="str">
        <f t="shared" si="211"/>
        <v>Green</v>
      </c>
      <c r="Y594" t="str">
        <f t="shared" si="212"/>
        <v>Green</v>
      </c>
      <c r="Z594" t="str">
        <f t="shared" si="213"/>
        <v>Green</v>
      </c>
      <c r="AA594" t="str">
        <f t="shared" si="214"/>
        <v>Red</v>
      </c>
      <c r="AB594" t="str">
        <f t="shared" si="215"/>
        <v>Red</v>
      </c>
      <c r="AC594" t="str">
        <f t="shared" si="216"/>
        <v>Green</v>
      </c>
      <c r="AD594" t="str">
        <f t="shared" si="217"/>
        <v>Red</v>
      </c>
    </row>
    <row r="595" spans="1:30" x14ac:dyDescent="0.2">
      <c r="A595" t="str">
        <f t="shared" si="200"/>
        <v>24/07/2026Salisbury Inter WomenFFSA NTC Women</v>
      </c>
      <c r="B595" t="s">
        <v>810</v>
      </c>
      <c r="C595" t="s">
        <v>2299</v>
      </c>
      <c r="D595" s="2">
        <v>46227</v>
      </c>
      <c r="E595" s="3">
        <v>0.36458333333333331</v>
      </c>
      <c r="F595" t="s">
        <v>2300</v>
      </c>
      <c r="G595" t="s">
        <v>2301</v>
      </c>
      <c r="H595">
        <v>1</v>
      </c>
      <c r="I595">
        <v>1</v>
      </c>
      <c r="J595">
        <v>3</v>
      </c>
      <c r="K595">
        <v>1</v>
      </c>
      <c r="L595" s="22" t="str">
        <f t="shared" si="218"/>
        <v>24/07/2026</v>
      </c>
      <c r="M595" s="23">
        <f t="shared" si="219"/>
        <v>0.23958333333333331</v>
      </c>
      <c r="N595" t="str">
        <f t="shared" si="201"/>
        <v>3 - 1</v>
      </c>
      <c r="O595" t="str">
        <f t="shared" si="202"/>
        <v>Green</v>
      </c>
      <c r="P595" t="str">
        <f t="shared" si="203"/>
        <v>Red</v>
      </c>
      <c r="Q595" t="str">
        <f t="shared" si="204"/>
        <v>Red</v>
      </c>
      <c r="R595" t="str">
        <f t="shared" si="205"/>
        <v>Green</v>
      </c>
      <c r="S595" t="str">
        <f t="shared" si="206"/>
        <v>Red</v>
      </c>
      <c r="T595" t="str">
        <f t="shared" si="207"/>
        <v>Green</v>
      </c>
      <c r="U595" t="str">
        <f t="shared" si="208"/>
        <v>Red</v>
      </c>
      <c r="V595" t="str">
        <f t="shared" si="209"/>
        <v>Green</v>
      </c>
      <c r="W595" t="str">
        <f t="shared" si="210"/>
        <v>Red</v>
      </c>
      <c r="X595" t="str">
        <f t="shared" si="211"/>
        <v>Green</v>
      </c>
      <c r="Y595" t="str">
        <f t="shared" si="212"/>
        <v>Green</v>
      </c>
      <c r="Z595" t="str">
        <f t="shared" si="213"/>
        <v>Green</v>
      </c>
      <c r="AA595" t="str">
        <f t="shared" si="214"/>
        <v>Red</v>
      </c>
      <c r="AB595" t="str">
        <f t="shared" si="215"/>
        <v>Red</v>
      </c>
      <c r="AC595" t="str">
        <f t="shared" si="216"/>
        <v>Green</v>
      </c>
      <c r="AD595" t="str">
        <f t="shared" si="217"/>
        <v>Red</v>
      </c>
    </row>
    <row r="596" spans="1:30" x14ac:dyDescent="0.2">
      <c r="A596" t="str">
        <f t="shared" si="200"/>
        <v>24/07/2026AmiensBoulogne</v>
      </c>
      <c r="D596" s="2">
        <v>46227</v>
      </c>
      <c r="E596" s="3">
        <v>0.375</v>
      </c>
      <c r="F596" t="s">
        <v>1622</v>
      </c>
      <c r="G596" t="s">
        <v>2639</v>
      </c>
      <c r="H596">
        <v>0</v>
      </c>
      <c r="I596">
        <v>0</v>
      </c>
      <c r="J596">
        <v>0</v>
      </c>
      <c r="K596">
        <v>1</v>
      </c>
      <c r="L596" s="22" t="str">
        <f t="shared" si="218"/>
        <v>24/07/2026</v>
      </c>
      <c r="M596" s="23">
        <f t="shared" si="219"/>
        <v>0.25</v>
      </c>
      <c r="N596" t="str">
        <f t="shared" si="201"/>
        <v>0 - 1</v>
      </c>
      <c r="O596" t="str">
        <f t="shared" si="202"/>
        <v>Red</v>
      </c>
      <c r="P596" t="str">
        <f t="shared" si="203"/>
        <v>Red</v>
      </c>
      <c r="Q596" t="str">
        <f t="shared" si="204"/>
        <v>Green</v>
      </c>
      <c r="R596" t="str">
        <f t="shared" si="205"/>
        <v>Red</v>
      </c>
      <c r="S596" t="str">
        <f t="shared" si="206"/>
        <v>Green</v>
      </c>
      <c r="T596" t="str">
        <f t="shared" si="207"/>
        <v>Green</v>
      </c>
      <c r="U596" t="str">
        <f t="shared" si="208"/>
        <v>Red</v>
      </c>
      <c r="V596" t="str">
        <f t="shared" si="209"/>
        <v>Green</v>
      </c>
      <c r="W596" t="str">
        <f t="shared" si="210"/>
        <v>Red</v>
      </c>
      <c r="X596" t="str">
        <f t="shared" si="211"/>
        <v>Red</v>
      </c>
      <c r="Y596" t="str">
        <f t="shared" si="212"/>
        <v>Red</v>
      </c>
      <c r="Z596" t="str">
        <f t="shared" si="213"/>
        <v>Red</v>
      </c>
      <c r="AA596" t="str">
        <f t="shared" si="214"/>
        <v>Green</v>
      </c>
      <c r="AB596" t="str">
        <f t="shared" si="215"/>
        <v>Green</v>
      </c>
      <c r="AC596" t="str">
        <f t="shared" si="216"/>
        <v>Red</v>
      </c>
      <c r="AD596" t="str">
        <f t="shared" si="217"/>
        <v>Green</v>
      </c>
    </row>
    <row r="597" spans="1:30" x14ac:dyDescent="0.2">
      <c r="A597" t="str">
        <f t="shared" si="200"/>
        <v>24/07/2026Preston North EndCambridge United</v>
      </c>
      <c r="D597" s="2">
        <v>46227</v>
      </c>
      <c r="E597" s="3">
        <v>0.375</v>
      </c>
      <c r="F597" t="s">
        <v>2640</v>
      </c>
      <c r="G597" t="s">
        <v>1289</v>
      </c>
      <c r="H597">
        <v>0</v>
      </c>
      <c r="I597">
        <v>1</v>
      </c>
      <c r="J597">
        <v>0</v>
      </c>
      <c r="K597">
        <v>1</v>
      </c>
      <c r="L597" s="22" t="str">
        <f t="shared" si="218"/>
        <v>24/07/2026</v>
      </c>
      <c r="M597" s="23">
        <f t="shared" si="219"/>
        <v>0.25</v>
      </c>
      <c r="N597" t="str">
        <f t="shared" si="201"/>
        <v>0 - 1</v>
      </c>
      <c r="O597" t="str">
        <f t="shared" si="202"/>
        <v>Red</v>
      </c>
      <c r="P597" t="str">
        <f t="shared" si="203"/>
        <v>Red</v>
      </c>
      <c r="Q597" t="str">
        <f t="shared" si="204"/>
        <v>Green</v>
      </c>
      <c r="R597" t="str">
        <f t="shared" si="205"/>
        <v>Red</v>
      </c>
      <c r="S597" t="str">
        <f t="shared" si="206"/>
        <v>Green</v>
      </c>
      <c r="T597" t="str">
        <f t="shared" si="207"/>
        <v>Green</v>
      </c>
      <c r="U597" t="str">
        <f t="shared" si="208"/>
        <v>Red</v>
      </c>
      <c r="V597" t="str">
        <f t="shared" si="209"/>
        <v>Red</v>
      </c>
      <c r="W597" t="str">
        <f t="shared" si="210"/>
        <v>Green</v>
      </c>
      <c r="X597" t="str">
        <f t="shared" si="211"/>
        <v>Green</v>
      </c>
      <c r="Y597" t="str">
        <f t="shared" si="212"/>
        <v>Red</v>
      </c>
      <c r="Z597" t="str">
        <f t="shared" si="213"/>
        <v>Red</v>
      </c>
      <c r="AA597" t="str">
        <f t="shared" si="214"/>
        <v>Green</v>
      </c>
      <c r="AB597" t="str">
        <f t="shared" si="215"/>
        <v>Green</v>
      </c>
      <c r="AC597" t="str">
        <f t="shared" si="216"/>
        <v>Red</v>
      </c>
      <c r="AD597" t="str">
        <f t="shared" si="217"/>
        <v>Green</v>
      </c>
    </row>
    <row r="598" spans="1:30" x14ac:dyDescent="0.2">
      <c r="A598" t="str">
        <f t="shared" si="200"/>
        <v>24/07/2026Manly UnitedSydney Olympic</v>
      </c>
      <c r="B598" t="s">
        <v>810</v>
      </c>
      <c r="C598" t="s">
        <v>2249</v>
      </c>
      <c r="D598" s="2">
        <v>46227</v>
      </c>
      <c r="E598" s="3">
        <v>0.39583333333333331</v>
      </c>
      <c r="F598" t="s">
        <v>2250</v>
      </c>
      <c r="G598" t="s">
        <v>124</v>
      </c>
      <c r="H598">
        <v>1</v>
      </c>
      <c r="I598">
        <v>0</v>
      </c>
      <c r="J598">
        <v>4</v>
      </c>
      <c r="K598">
        <v>0</v>
      </c>
      <c r="L598" s="22" t="str">
        <f t="shared" si="218"/>
        <v>24/07/2026</v>
      </c>
      <c r="M598" s="23">
        <f t="shared" si="219"/>
        <v>0.27083333333333331</v>
      </c>
      <c r="N598" t="str">
        <f t="shared" si="201"/>
        <v>4 - 0</v>
      </c>
      <c r="O598" t="str">
        <f t="shared" si="202"/>
        <v>Green</v>
      </c>
      <c r="P598" t="str">
        <f t="shared" si="203"/>
        <v>Red</v>
      </c>
      <c r="Q598" t="str">
        <f t="shared" si="204"/>
        <v>Red</v>
      </c>
      <c r="R598" t="str">
        <f t="shared" si="205"/>
        <v>Green</v>
      </c>
      <c r="S598" t="str">
        <f t="shared" si="206"/>
        <v>Red</v>
      </c>
      <c r="T598" t="str">
        <f t="shared" si="207"/>
        <v>Green</v>
      </c>
      <c r="U598" t="str">
        <f t="shared" si="208"/>
        <v>Green</v>
      </c>
      <c r="V598" t="str">
        <f t="shared" si="209"/>
        <v>Red</v>
      </c>
      <c r="W598" t="str">
        <f t="shared" si="210"/>
        <v>Red</v>
      </c>
      <c r="X598" t="str">
        <f t="shared" si="211"/>
        <v>Green</v>
      </c>
      <c r="Y598" t="str">
        <f t="shared" si="212"/>
        <v>Green</v>
      </c>
      <c r="Z598" t="str">
        <f t="shared" si="213"/>
        <v>Green</v>
      </c>
      <c r="AA598" t="str">
        <f t="shared" si="214"/>
        <v>Red</v>
      </c>
      <c r="AB598" t="str">
        <f t="shared" si="215"/>
        <v>Red</v>
      </c>
      <c r="AC598" t="str">
        <f t="shared" si="216"/>
        <v>Red</v>
      </c>
      <c r="AD598" t="str">
        <f t="shared" si="217"/>
        <v>Green</v>
      </c>
    </row>
    <row r="599" spans="1:30" x14ac:dyDescent="0.2">
      <c r="A599" t="str">
        <f t="shared" si="200"/>
        <v>24/07/2026Green Gully SCDandenong City</v>
      </c>
      <c r="B599" t="s">
        <v>810</v>
      </c>
      <c r="C599" t="s">
        <v>2251</v>
      </c>
      <c r="D599" s="2">
        <v>46227</v>
      </c>
      <c r="E599" s="3">
        <v>0.39583333333333331</v>
      </c>
      <c r="F599" t="s">
        <v>2252</v>
      </c>
      <c r="G599" t="s">
        <v>126</v>
      </c>
      <c r="H599">
        <v>0</v>
      </c>
      <c r="I599">
        <v>0</v>
      </c>
      <c r="J599">
        <v>0</v>
      </c>
      <c r="K599">
        <v>0</v>
      </c>
      <c r="L599" s="22" t="str">
        <f t="shared" si="218"/>
        <v>24/07/2026</v>
      </c>
      <c r="M599" s="23">
        <f t="shared" si="219"/>
        <v>0.27083333333333331</v>
      </c>
      <c r="N599" t="str">
        <f t="shared" si="201"/>
        <v>0 - 0</v>
      </c>
      <c r="O599" t="str">
        <f t="shared" si="202"/>
        <v>Red</v>
      </c>
      <c r="P599" t="str">
        <f t="shared" si="203"/>
        <v>Green</v>
      </c>
      <c r="Q599" t="str">
        <f t="shared" si="204"/>
        <v>Red</v>
      </c>
      <c r="R599" t="str">
        <f t="shared" si="205"/>
        <v>Green</v>
      </c>
      <c r="S599" t="str">
        <f t="shared" si="206"/>
        <v>Green</v>
      </c>
      <c r="T599" t="str">
        <f t="shared" si="207"/>
        <v>Red</v>
      </c>
      <c r="U599" t="str">
        <f t="shared" si="208"/>
        <v>Red</v>
      </c>
      <c r="V599" t="str">
        <f t="shared" si="209"/>
        <v>Green</v>
      </c>
      <c r="W599" t="str">
        <f t="shared" si="210"/>
        <v>Red</v>
      </c>
      <c r="X599" t="str">
        <f t="shared" si="211"/>
        <v>Red</v>
      </c>
      <c r="Y599" t="str">
        <f t="shared" si="212"/>
        <v>Red</v>
      </c>
      <c r="Z599" t="str">
        <f t="shared" si="213"/>
        <v>Red</v>
      </c>
      <c r="AA599" t="str">
        <f t="shared" si="214"/>
        <v>Green</v>
      </c>
      <c r="AB599" t="str">
        <f t="shared" si="215"/>
        <v>Green</v>
      </c>
      <c r="AC599" t="str">
        <f t="shared" si="216"/>
        <v>Red</v>
      </c>
      <c r="AD599" t="str">
        <f t="shared" si="217"/>
        <v>Green</v>
      </c>
    </row>
    <row r="600" spans="1:30" x14ac:dyDescent="0.2">
      <c r="A600" t="str">
        <f t="shared" si="200"/>
        <v>24/07/2026Heidelberg UnitedSunshine George Cross</v>
      </c>
      <c r="B600" t="s">
        <v>810</v>
      </c>
      <c r="C600" t="s">
        <v>2251</v>
      </c>
      <c r="D600" s="2">
        <v>46227</v>
      </c>
      <c r="E600" s="3">
        <v>0.39583333333333331</v>
      </c>
      <c r="F600" t="s">
        <v>392</v>
      </c>
      <c r="G600" t="s">
        <v>2253</v>
      </c>
      <c r="H600">
        <v>0</v>
      </c>
      <c r="I600">
        <v>0</v>
      </c>
      <c r="J600">
        <v>0</v>
      </c>
      <c r="K600">
        <v>0</v>
      </c>
      <c r="L600" s="22" t="str">
        <f t="shared" si="218"/>
        <v>24/07/2026</v>
      </c>
      <c r="M600" s="23">
        <f t="shared" si="219"/>
        <v>0.27083333333333331</v>
      </c>
      <c r="N600" t="str">
        <f t="shared" si="201"/>
        <v>0 - 0</v>
      </c>
      <c r="O600" t="str">
        <f t="shared" si="202"/>
        <v>Red</v>
      </c>
      <c r="P600" t="str">
        <f t="shared" si="203"/>
        <v>Green</v>
      </c>
      <c r="Q600" t="str">
        <f t="shared" si="204"/>
        <v>Red</v>
      </c>
      <c r="R600" t="str">
        <f t="shared" si="205"/>
        <v>Green</v>
      </c>
      <c r="S600" t="str">
        <f t="shared" si="206"/>
        <v>Green</v>
      </c>
      <c r="T600" t="str">
        <f t="shared" si="207"/>
        <v>Red</v>
      </c>
      <c r="U600" t="str">
        <f t="shared" si="208"/>
        <v>Red</v>
      </c>
      <c r="V600" t="str">
        <f t="shared" si="209"/>
        <v>Green</v>
      </c>
      <c r="W600" t="str">
        <f t="shared" si="210"/>
        <v>Red</v>
      </c>
      <c r="X600" t="str">
        <f t="shared" si="211"/>
        <v>Red</v>
      </c>
      <c r="Y600" t="str">
        <f t="shared" si="212"/>
        <v>Red</v>
      </c>
      <c r="Z600" t="str">
        <f t="shared" si="213"/>
        <v>Red</v>
      </c>
      <c r="AA600" t="str">
        <f t="shared" si="214"/>
        <v>Green</v>
      </c>
      <c r="AB600" t="str">
        <f t="shared" si="215"/>
        <v>Green</v>
      </c>
      <c r="AC600" t="str">
        <f t="shared" si="216"/>
        <v>Red</v>
      </c>
      <c r="AD600" t="str">
        <f t="shared" si="217"/>
        <v>Green</v>
      </c>
    </row>
    <row r="601" spans="1:30" x14ac:dyDescent="0.2">
      <c r="A601" t="str">
        <f t="shared" si="200"/>
        <v>24/07/2026St Albans SaintsHume City</v>
      </c>
      <c r="B601" t="s">
        <v>810</v>
      </c>
      <c r="C601" t="s">
        <v>2251</v>
      </c>
      <c r="D601" s="2">
        <v>46227</v>
      </c>
      <c r="E601" s="3">
        <v>0.39583333333333331</v>
      </c>
      <c r="F601" t="s">
        <v>129</v>
      </c>
      <c r="G601" t="s">
        <v>130</v>
      </c>
      <c r="H601">
        <v>3</v>
      </c>
      <c r="I601">
        <v>1</v>
      </c>
      <c r="J601">
        <v>3</v>
      </c>
      <c r="K601">
        <v>2</v>
      </c>
      <c r="L601" s="22" t="str">
        <f t="shared" si="218"/>
        <v>24/07/2026</v>
      </c>
      <c r="M601" s="23">
        <f t="shared" si="219"/>
        <v>0.27083333333333331</v>
      </c>
      <c r="N601" t="str">
        <f t="shared" si="201"/>
        <v>3 - 2</v>
      </c>
      <c r="O601" t="str">
        <f t="shared" si="202"/>
        <v>Green</v>
      </c>
      <c r="P601" t="str">
        <f t="shared" si="203"/>
        <v>Red</v>
      </c>
      <c r="Q601" t="str">
        <f t="shared" si="204"/>
        <v>Red</v>
      </c>
      <c r="R601" t="str">
        <f t="shared" si="205"/>
        <v>Green</v>
      </c>
      <c r="S601" t="str">
        <f t="shared" si="206"/>
        <v>Red</v>
      </c>
      <c r="T601" t="str">
        <f t="shared" si="207"/>
        <v>Green</v>
      </c>
      <c r="U601" t="str">
        <f t="shared" si="208"/>
        <v>Green</v>
      </c>
      <c r="V601" t="str">
        <f t="shared" si="209"/>
        <v>Red</v>
      </c>
      <c r="W601" t="str">
        <f t="shared" si="210"/>
        <v>Red</v>
      </c>
      <c r="X601" t="str">
        <f t="shared" si="211"/>
        <v>Green</v>
      </c>
      <c r="Y601" t="str">
        <f t="shared" si="212"/>
        <v>Green</v>
      </c>
      <c r="Z601" t="str">
        <f t="shared" si="213"/>
        <v>Green</v>
      </c>
      <c r="AA601" t="str">
        <f t="shared" si="214"/>
        <v>Red</v>
      </c>
      <c r="AB601" t="str">
        <f t="shared" si="215"/>
        <v>Red</v>
      </c>
      <c r="AC601" t="str">
        <f t="shared" si="216"/>
        <v>Green</v>
      </c>
      <c r="AD601" t="str">
        <f t="shared" si="217"/>
        <v>Red</v>
      </c>
    </row>
    <row r="602" spans="1:30" x14ac:dyDescent="0.2">
      <c r="A602" t="str">
        <f t="shared" si="200"/>
        <v>24/07/2026Keilor ParkBayside Argonauts</v>
      </c>
      <c r="B602" t="s">
        <v>810</v>
      </c>
      <c r="C602" t="s">
        <v>2260</v>
      </c>
      <c r="D602" s="2">
        <v>46227</v>
      </c>
      <c r="E602" s="3">
        <v>0.39583333333333331</v>
      </c>
      <c r="F602" t="s">
        <v>2261</v>
      </c>
      <c r="G602" t="s">
        <v>2262</v>
      </c>
      <c r="H602">
        <v>0</v>
      </c>
      <c r="I602">
        <v>0</v>
      </c>
      <c r="J602">
        <v>0</v>
      </c>
      <c r="K602">
        <v>1</v>
      </c>
      <c r="L602" s="22" t="str">
        <f t="shared" si="218"/>
        <v>24/07/2026</v>
      </c>
      <c r="M602" s="23">
        <f t="shared" si="219"/>
        <v>0.27083333333333331</v>
      </c>
      <c r="N602" t="str">
        <f t="shared" si="201"/>
        <v>0 - 1</v>
      </c>
      <c r="O602" t="str">
        <f t="shared" si="202"/>
        <v>Red</v>
      </c>
      <c r="P602" t="str">
        <f t="shared" si="203"/>
        <v>Red</v>
      </c>
      <c r="Q602" t="str">
        <f t="shared" si="204"/>
        <v>Green</v>
      </c>
      <c r="R602" t="str">
        <f t="shared" si="205"/>
        <v>Red</v>
      </c>
      <c r="S602" t="str">
        <f t="shared" si="206"/>
        <v>Green</v>
      </c>
      <c r="T602" t="str">
        <f t="shared" si="207"/>
        <v>Green</v>
      </c>
      <c r="U602" t="str">
        <f t="shared" si="208"/>
        <v>Red</v>
      </c>
      <c r="V602" t="str">
        <f t="shared" si="209"/>
        <v>Green</v>
      </c>
      <c r="W602" t="str">
        <f t="shared" si="210"/>
        <v>Red</v>
      </c>
      <c r="X602" t="str">
        <f t="shared" si="211"/>
        <v>Red</v>
      </c>
      <c r="Y602" t="str">
        <f t="shared" si="212"/>
        <v>Red</v>
      </c>
      <c r="Z602" t="str">
        <f t="shared" si="213"/>
        <v>Red</v>
      </c>
      <c r="AA602" t="str">
        <f t="shared" si="214"/>
        <v>Green</v>
      </c>
      <c r="AB602" t="str">
        <f t="shared" si="215"/>
        <v>Green</v>
      </c>
      <c r="AC602" t="str">
        <f t="shared" si="216"/>
        <v>Red</v>
      </c>
      <c r="AD602" t="str">
        <f t="shared" si="217"/>
        <v>Green</v>
      </c>
    </row>
    <row r="603" spans="1:30" x14ac:dyDescent="0.2">
      <c r="A603" t="str">
        <f t="shared" si="200"/>
        <v>24/07/2026Nunawading CityMalvern City</v>
      </c>
      <c r="B603" t="s">
        <v>810</v>
      </c>
      <c r="C603" t="s">
        <v>2260</v>
      </c>
      <c r="D603" s="2">
        <v>46227</v>
      </c>
      <c r="E603" s="3">
        <v>0.39583333333333331</v>
      </c>
      <c r="F603" t="s">
        <v>2263</v>
      </c>
      <c r="G603" t="s">
        <v>2264</v>
      </c>
      <c r="H603">
        <v>0</v>
      </c>
      <c r="I603">
        <v>1</v>
      </c>
      <c r="J603">
        <v>1</v>
      </c>
      <c r="K603">
        <v>4</v>
      </c>
      <c r="L603" s="22" t="str">
        <f t="shared" si="218"/>
        <v>24/07/2026</v>
      </c>
      <c r="M603" s="23">
        <f t="shared" si="219"/>
        <v>0.27083333333333331</v>
      </c>
      <c r="N603" t="str">
        <f t="shared" si="201"/>
        <v>1 - 4</v>
      </c>
      <c r="O603" t="str">
        <f t="shared" si="202"/>
        <v>Red</v>
      </c>
      <c r="P603" t="str">
        <f t="shared" si="203"/>
        <v>Red</v>
      </c>
      <c r="Q603" t="str">
        <f t="shared" si="204"/>
        <v>Green</v>
      </c>
      <c r="R603" t="str">
        <f t="shared" si="205"/>
        <v>Red</v>
      </c>
      <c r="S603" t="str">
        <f t="shared" si="206"/>
        <v>Green</v>
      </c>
      <c r="T603" t="str">
        <f t="shared" si="207"/>
        <v>Green</v>
      </c>
      <c r="U603" t="str">
        <f t="shared" si="208"/>
        <v>Red</v>
      </c>
      <c r="V603" t="str">
        <f t="shared" si="209"/>
        <v>Red</v>
      </c>
      <c r="W603" t="str">
        <f t="shared" si="210"/>
        <v>Green</v>
      </c>
      <c r="X603" t="str">
        <f t="shared" si="211"/>
        <v>Green</v>
      </c>
      <c r="Y603" t="str">
        <f t="shared" si="212"/>
        <v>Green</v>
      </c>
      <c r="Z603" t="str">
        <f t="shared" si="213"/>
        <v>Green</v>
      </c>
      <c r="AA603" t="str">
        <f t="shared" si="214"/>
        <v>Red</v>
      </c>
      <c r="AB603" t="str">
        <f t="shared" si="215"/>
        <v>Red</v>
      </c>
      <c r="AC603" t="str">
        <f t="shared" si="216"/>
        <v>Green</v>
      </c>
      <c r="AD603" t="str">
        <f t="shared" si="217"/>
        <v>Red</v>
      </c>
    </row>
    <row r="604" spans="1:30" x14ac:dyDescent="0.2">
      <c r="A604" t="str">
        <f t="shared" si="200"/>
        <v>24/07/2026Olympic FC WomenBrisbane City Women</v>
      </c>
      <c r="B604" t="s">
        <v>810</v>
      </c>
      <c r="C604" t="s">
        <v>2289</v>
      </c>
      <c r="D604" s="2">
        <v>46227</v>
      </c>
      <c r="E604" s="3">
        <v>0.39583333333333331</v>
      </c>
      <c r="F604" t="s">
        <v>2290</v>
      </c>
      <c r="G604" t="s">
        <v>2291</v>
      </c>
      <c r="H604">
        <v>0</v>
      </c>
      <c r="I604">
        <v>1</v>
      </c>
      <c r="J604">
        <v>0</v>
      </c>
      <c r="K604">
        <v>3</v>
      </c>
      <c r="L604" s="22" t="str">
        <f t="shared" si="218"/>
        <v>24/07/2026</v>
      </c>
      <c r="M604" s="23">
        <f t="shared" si="219"/>
        <v>0.27083333333333331</v>
      </c>
      <c r="N604" t="str">
        <f t="shared" si="201"/>
        <v>0 - 3</v>
      </c>
      <c r="O604" t="str">
        <f t="shared" si="202"/>
        <v>Red</v>
      </c>
      <c r="P604" t="str">
        <f t="shared" si="203"/>
        <v>Red</v>
      </c>
      <c r="Q604" t="str">
        <f t="shared" si="204"/>
        <v>Green</v>
      </c>
      <c r="R604" t="str">
        <f t="shared" si="205"/>
        <v>Red</v>
      </c>
      <c r="S604" t="str">
        <f t="shared" si="206"/>
        <v>Green</v>
      </c>
      <c r="T604" t="str">
        <f t="shared" si="207"/>
        <v>Green</v>
      </c>
      <c r="U604" t="str">
        <f t="shared" si="208"/>
        <v>Red</v>
      </c>
      <c r="V604" t="str">
        <f t="shared" si="209"/>
        <v>Red</v>
      </c>
      <c r="W604" t="str">
        <f t="shared" si="210"/>
        <v>Green</v>
      </c>
      <c r="X604" t="str">
        <f t="shared" si="211"/>
        <v>Green</v>
      </c>
      <c r="Y604" t="str">
        <f t="shared" si="212"/>
        <v>Green</v>
      </c>
      <c r="Z604" t="str">
        <f t="shared" si="213"/>
        <v>Green</v>
      </c>
      <c r="AA604" t="str">
        <f t="shared" si="214"/>
        <v>Red</v>
      </c>
      <c r="AB604" t="str">
        <f t="shared" si="215"/>
        <v>Green</v>
      </c>
      <c r="AC604" t="str">
        <f t="shared" si="216"/>
        <v>Red</v>
      </c>
      <c r="AD604" t="str">
        <f t="shared" si="217"/>
        <v>Green</v>
      </c>
    </row>
    <row r="605" spans="1:30" x14ac:dyDescent="0.2">
      <c r="A605" t="str">
        <f t="shared" si="200"/>
        <v>24/07/2026Box Hill United WomenAlamein Women</v>
      </c>
      <c r="B605" t="s">
        <v>810</v>
      </c>
      <c r="C605" t="s">
        <v>2294</v>
      </c>
      <c r="D605" s="2">
        <v>46227</v>
      </c>
      <c r="E605" s="3">
        <v>0.39583333333333331</v>
      </c>
      <c r="F605" t="s">
        <v>2297</v>
      </c>
      <c r="G605" t="s">
        <v>2298</v>
      </c>
      <c r="H605">
        <v>1</v>
      </c>
      <c r="I605">
        <v>0</v>
      </c>
      <c r="J605">
        <v>2</v>
      </c>
      <c r="K605">
        <v>0</v>
      </c>
      <c r="L605" s="22" t="str">
        <f t="shared" si="218"/>
        <v>24/07/2026</v>
      </c>
      <c r="M605" s="23">
        <f t="shared" si="219"/>
        <v>0.27083333333333331</v>
      </c>
      <c r="N605" t="str">
        <f t="shared" si="201"/>
        <v>2 - 0</v>
      </c>
      <c r="O605" t="str">
        <f t="shared" si="202"/>
        <v>Green</v>
      </c>
      <c r="P605" t="str">
        <f t="shared" si="203"/>
        <v>Red</v>
      </c>
      <c r="Q605" t="str">
        <f t="shared" si="204"/>
        <v>Red</v>
      </c>
      <c r="R605" t="str">
        <f t="shared" si="205"/>
        <v>Green</v>
      </c>
      <c r="S605" t="str">
        <f t="shared" si="206"/>
        <v>Red</v>
      </c>
      <c r="T605" t="str">
        <f t="shared" si="207"/>
        <v>Green</v>
      </c>
      <c r="U605" t="str">
        <f t="shared" si="208"/>
        <v>Green</v>
      </c>
      <c r="V605" t="str">
        <f t="shared" si="209"/>
        <v>Red</v>
      </c>
      <c r="W605" t="str">
        <f t="shared" si="210"/>
        <v>Red</v>
      </c>
      <c r="X605" t="str">
        <f t="shared" si="211"/>
        <v>Green</v>
      </c>
      <c r="Y605" t="str">
        <f t="shared" si="212"/>
        <v>Green</v>
      </c>
      <c r="Z605" t="str">
        <f t="shared" si="213"/>
        <v>Red</v>
      </c>
      <c r="AA605" t="str">
        <f t="shared" si="214"/>
        <v>Green</v>
      </c>
      <c r="AB605" t="str">
        <f t="shared" si="215"/>
        <v>Green</v>
      </c>
      <c r="AC605" t="str">
        <f t="shared" si="216"/>
        <v>Red</v>
      </c>
      <c r="AD605" t="str">
        <f t="shared" si="217"/>
        <v>Green</v>
      </c>
    </row>
    <row r="606" spans="1:30" x14ac:dyDescent="0.2">
      <c r="A606" t="str">
        <f t="shared" si="200"/>
        <v>24/07/2026Eastern LionsBox Hill United</v>
      </c>
      <c r="B606" t="s">
        <v>810</v>
      </c>
      <c r="C606" t="s">
        <v>2260</v>
      </c>
      <c r="D606" s="2">
        <v>46227</v>
      </c>
      <c r="E606" s="3">
        <v>0.40625</v>
      </c>
      <c r="F606" t="s">
        <v>2265</v>
      </c>
      <c r="G606" t="s">
        <v>2266</v>
      </c>
      <c r="H606">
        <v>1</v>
      </c>
      <c r="I606">
        <v>0</v>
      </c>
      <c r="J606">
        <v>1</v>
      </c>
      <c r="K606">
        <v>1</v>
      </c>
      <c r="L606" s="22" t="str">
        <f t="shared" si="218"/>
        <v>24/07/2026</v>
      </c>
      <c r="M606" s="23">
        <f t="shared" si="219"/>
        <v>0.28125</v>
      </c>
      <c r="N606" t="str">
        <f t="shared" si="201"/>
        <v>1 - 1</v>
      </c>
      <c r="O606" t="str">
        <f t="shared" si="202"/>
        <v>Red</v>
      </c>
      <c r="P606" t="str">
        <f t="shared" si="203"/>
        <v>Green</v>
      </c>
      <c r="Q606" t="str">
        <f t="shared" si="204"/>
        <v>Red</v>
      </c>
      <c r="R606" t="str">
        <f t="shared" si="205"/>
        <v>Green</v>
      </c>
      <c r="S606" t="str">
        <f t="shared" si="206"/>
        <v>Green</v>
      </c>
      <c r="T606" t="str">
        <f t="shared" si="207"/>
        <v>Red</v>
      </c>
      <c r="U606" t="str">
        <f t="shared" si="208"/>
        <v>Green</v>
      </c>
      <c r="V606" t="str">
        <f t="shared" si="209"/>
        <v>Red</v>
      </c>
      <c r="W606" t="str">
        <f t="shared" si="210"/>
        <v>Red</v>
      </c>
      <c r="X606" t="str">
        <f t="shared" si="211"/>
        <v>Green</v>
      </c>
      <c r="Y606" t="str">
        <f t="shared" si="212"/>
        <v>Green</v>
      </c>
      <c r="Z606" t="str">
        <f t="shared" si="213"/>
        <v>Red</v>
      </c>
      <c r="AA606" t="str">
        <f t="shared" si="214"/>
        <v>Green</v>
      </c>
      <c r="AB606" t="str">
        <f t="shared" si="215"/>
        <v>Green</v>
      </c>
      <c r="AC606" t="str">
        <f t="shared" si="216"/>
        <v>Green</v>
      </c>
      <c r="AD606" t="str">
        <f t="shared" si="217"/>
        <v>Red</v>
      </c>
    </row>
    <row r="607" spans="1:30" x14ac:dyDescent="0.2">
      <c r="A607" t="str">
        <f t="shared" si="200"/>
        <v>24/07/2026MitcheltonSouths United</v>
      </c>
      <c r="B607" t="s">
        <v>810</v>
      </c>
      <c r="C607" t="s">
        <v>2269</v>
      </c>
      <c r="D607" s="2">
        <v>46227</v>
      </c>
      <c r="E607" s="3">
        <v>0.41666666666666669</v>
      </c>
      <c r="F607" t="s">
        <v>2270</v>
      </c>
      <c r="G607" t="s">
        <v>2271</v>
      </c>
      <c r="H607">
        <v>0</v>
      </c>
      <c r="I607">
        <v>1</v>
      </c>
      <c r="J607">
        <v>1</v>
      </c>
      <c r="K607">
        <v>2</v>
      </c>
      <c r="L607" s="22" t="str">
        <f t="shared" si="218"/>
        <v>24/07/2026</v>
      </c>
      <c r="M607" s="23">
        <f t="shared" si="219"/>
        <v>0.29166666666666669</v>
      </c>
      <c r="N607" t="str">
        <f t="shared" si="201"/>
        <v>1 - 2</v>
      </c>
      <c r="O607" t="str">
        <f t="shared" si="202"/>
        <v>Red</v>
      </c>
      <c r="P607" t="str">
        <f t="shared" si="203"/>
        <v>Red</v>
      </c>
      <c r="Q607" t="str">
        <f t="shared" si="204"/>
        <v>Green</v>
      </c>
      <c r="R607" t="str">
        <f t="shared" si="205"/>
        <v>Red</v>
      </c>
      <c r="S607" t="str">
        <f t="shared" si="206"/>
        <v>Green</v>
      </c>
      <c r="T607" t="str">
        <f t="shared" si="207"/>
        <v>Green</v>
      </c>
      <c r="U607" t="str">
        <f t="shared" si="208"/>
        <v>Red</v>
      </c>
      <c r="V607" t="str">
        <f t="shared" si="209"/>
        <v>Red</v>
      </c>
      <c r="W607" t="str">
        <f t="shared" si="210"/>
        <v>Green</v>
      </c>
      <c r="X607" t="str">
        <f t="shared" si="211"/>
        <v>Green</v>
      </c>
      <c r="Y607" t="str">
        <f t="shared" si="212"/>
        <v>Green</v>
      </c>
      <c r="Z607" t="str">
        <f t="shared" si="213"/>
        <v>Green</v>
      </c>
      <c r="AA607" t="str">
        <f t="shared" si="214"/>
        <v>Red</v>
      </c>
      <c r="AB607" t="str">
        <f t="shared" si="215"/>
        <v>Green</v>
      </c>
      <c r="AC607" t="str">
        <f t="shared" si="216"/>
        <v>Green</v>
      </c>
      <c r="AD607" t="str">
        <f t="shared" si="217"/>
        <v>Red</v>
      </c>
    </row>
    <row r="608" spans="1:30" x14ac:dyDescent="0.2">
      <c r="A608" t="str">
        <f t="shared" si="200"/>
        <v>24/07/2026Adelaide OlympicSouth Adelaide Panthers</v>
      </c>
      <c r="B608" t="s">
        <v>810</v>
      </c>
      <c r="C608" t="s">
        <v>2272</v>
      </c>
      <c r="D608" s="2">
        <v>46227</v>
      </c>
      <c r="E608" s="3">
        <v>0.41666666666666669</v>
      </c>
      <c r="F608" t="s">
        <v>2273</v>
      </c>
      <c r="G608" t="s">
        <v>2274</v>
      </c>
      <c r="H608">
        <v>2</v>
      </c>
      <c r="I608">
        <v>0</v>
      </c>
      <c r="J608">
        <v>5</v>
      </c>
      <c r="K608">
        <v>1</v>
      </c>
      <c r="L608" s="22" t="str">
        <f t="shared" si="218"/>
        <v>24/07/2026</v>
      </c>
      <c r="M608" s="23">
        <f t="shared" si="219"/>
        <v>0.29166666666666669</v>
      </c>
      <c r="N608" t="str">
        <f t="shared" si="201"/>
        <v>5 - 1</v>
      </c>
      <c r="O608" t="str">
        <f t="shared" si="202"/>
        <v>Green</v>
      </c>
      <c r="P608" t="str">
        <f t="shared" si="203"/>
        <v>Red</v>
      </c>
      <c r="Q608" t="str">
        <f t="shared" si="204"/>
        <v>Red</v>
      </c>
      <c r="R608" t="str">
        <f t="shared" si="205"/>
        <v>Green</v>
      </c>
      <c r="S608" t="str">
        <f t="shared" si="206"/>
        <v>Red</v>
      </c>
      <c r="T608" t="str">
        <f t="shared" si="207"/>
        <v>Green</v>
      </c>
      <c r="U608" t="str">
        <f t="shared" si="208"/>
        <v>Green</v>
      </c>
      <c r="V608" t="str">
        <f t="shared" si="209"/>
        <v>Red</v>
      </c>
      <c r="W608" t="str">
        <f t="shared" si="210"/>
        <v>Red</v>
      </c>
      <c r="X608" t="str">
        <f t="shared" si="211"/>
        <v>Green</v>
      </c>
      <c r="Y608" t="str">
        <f t="shared" si="212"/>
        <v>Green</v>
      </c>
      <c r="Z608" t="str">
        <f t="shared" si="213"/>
        <v>Green</v>
      </c>
      <c r="AA608" t="str">
        <f t="shared" si="214"/>
        <v>Red</v>
      </c>
      <c r="AB608" t="str">
        <f t="shared" si="215"/>
        <v>Red</v>
      </c>
      <c r="AC608" t="str">
        <f t="shared" si="216"/>
        <v>Green</v>
      </c>
      <c r="AD608" t="str">
        <f t="shared" si="217"/>
        <v>Red</v>
      </c>
    </row>
    <row r="609" spans="1:30" x14ac:dyDescent="0.2">
      <c r="A609" t="str">
        <f t="shared" si="200"/>
        <v>24/07/2026Mount Barker United SCAdelaide Hills</v>
      </c>
      <c r="B609" t="s">
        <v>810</v>
      </c>
      <c r="C609" t="s">
        <v>812</v>
      </c>
      <c r="D609" s="2">
        <v>46227</v>
      </c>
      <c r="E609" s="3">
        <v>0.41666666666666669</v>
      </c>
      <c r="F609" t="s">
        <v>2277</v>
      </c>
      <c r="G609" t="s">
        <v>384</v>
      </c>
      <c r="H609">
        <v>2</v>
      </c>
      <c r="I609">
        <v>1</v>
      </c>
      <c r="J609">
        <v>2</v>
      </c>
      <c r="K609">
        <v>1</v>
      </c>
      <c r="L609" s="22" t="str">
        <f t="shared" si="218"/>
        <v>24/07/2026</v>
      </c>
      <c r="M609" s="23">
        <f t="shared" si="219"/>
        <v>0.29166666666666669</v>
      </c>
      <c r="N609" t="str">
        <f t="shared" si="201"/>
        <v>2 - 1</v>
      </c>
      <c r="O609" t="str">
        <f t="shared" si="202"/>
        <v>Green</v>
      </c>
      <c r="P609" t="str">
        <f t="shared" si="203"/>
        <v>Red</v>
      </c>
      <c r="Q609" t="str">
        <f t="shared" si="204"/>
        <v>Red</v>
      </c>
      <c r="R609" t="str">
        <f t="shared" si="205"/>
        <v>Green</v>
      </c>
      <c r="S609" t="str">
        <f t="shared" si="206"/>
        <v>Red</v>
      </c>
      <c r="T609" t="str">
        <f t="shared" si="207"/>
        <v>Green</v>
      </c>
      <c r="U609" t="str">
        <f t="shared" si="208"/>
        <v>Green</v>
      </c>
      <c r="V609" t="str">
        <f t="shared" si="209"/>
        <v>Red</v>
      </c>
      <c r="W609" t="str">
        <f t="shared" si="210"/>
        <v>Red</v>
      </c>
      <c r="X609" t="str">
        <f t="shared" si="211"/>
        <v>Green</v>
      </c>
      <c r="Y609" t="str">
        <f t="shared" si="212"/>
        <v>Green</v>
      </c>
      <c r="Z609" t="str">
        <f t="shared" si="213"/>
        <v>Green</v>
      </c>
      <c r="AA609" t="str">
        <f t="shared" si="214"/>
        <v>Red</v>
      </c>
      <c r="AB609" t="str">
        <f t="shared" si="215"/>
        <v>Green</v>
      </c>
      <c r="AC609" t="str">
        <f t="shared" si="216"/>
        <v>Green</v>
      </c>
      <c r="AD609" t="str">
        <f t="shared" si="217"/>
        <v>Red</v>
      </c>
    </row>
    <row r="610" spans="1:30" x14ac:dyDescent="0.2">
      <c r="A610" t="str">
        <f t="shared" si="200"/>
        <v>24/07/2026Fraser ParkGladesville Ryde Magic</v>
      </c>
      <c r="B610" t="s">
        <v>810</v>
      </c>
      <c r="C610" t="s">
        <v>2284</v>
      </c>
      <c r="D610" s="2">
        <v>46227</v>
      </c>
      <c r="E610" s="3">
        <v>0.41666666666666669</v>
      </c>
      <c r="F610" t="s">
        <v>2285</v>
      </c>
      <c r="G610" t="s">
        <v>2286</v>
      </c>
      <c r="H610">
        <v>1</v>
      </c>
      <c r="I610">
        <v>1</v>
      </c>
      <c r="J610">
        <v>2</v>
      </c>
      <c r="K610">
        <v>1</v>
      </c>
      <c r="L610" s="22" t="str">
        <f t="shared" si="218"/>
        <v>24/07/2026</v>
      </c>
      <c r="M610" s="23">
        <f t="shared" si="219"/>
        <v>0.29166666666666669</v>
      </c>
      <c r="N610" t="str">
        <f t="shared" si="201"/>
        <v>2 - 1</v>
      </c>
      <c r="O610" t="str">
        <f t="shared" si="202"/>
        <v>Green</v>
      </c>
      <c r="P610" t="str">
        <f t="shared" si="203"/>
        <v>Red</v>
      </c>
      <c r="Q610" t="str">
        <f t="shared" si="204"/>
        <v>Red</v>
      </c>
      <c r="R610" t="str">
        <f t="shared" si="205"/>
        <v>Green</v>
      </c>
      <c r="S610" t="str">
        <f t="shared" si="206"/>
        <v>Red</v>
      </c>
      <c r="T610" t="str">
        <f t="shared" si="207"/>
        <v>Green</v>
      </c>
      <c r="U610" t="str">
        <f t="shared" si="208"/>
        <v>Red</v>
      </c>
      <c r="V610" t="str">
        <f t="shared" si="209"/>
        <v>Green</v>
      </c>
      <c r="W610" t="str">
        <f t="shared" si="210"/>
        <v>Red</v>
      </c>
      <c r="X610" t="str">
        <f t="shared" si="211"/>
        <v>Green</v>
      </c>
      <c r="Y610" t="str">
        <f t="shared" si="212"/>
        <v>Green</v>
      </c>
      <c r="Z610" t="str">
        <f t="shared" si="213"/>
        <v>Green</v>
      </c>
      <c r="AA610" t="str">
        <f t="shared" si="214"/>
        <v>Red</v>
      </c>
      <c r="AB610" t="str">
        <f t="shared" si="215"/>
        <v>Green</v>
      </c>
      <c r="AC610" t="str">
        <f t="shared" si="216"/>
        <v>Green</v>
      </c>
      <c r="AD610" t="str">
        <f t="shared" si="217"/>
        <v>Red</v>
      </c>
    </row>
    <row r="611" spans="1:30" x14ac:dyDescent="0.2">
      <c r="A611" t="str">
        <f t="shared" si="200"/>
        <v>24/07/2026Sydney UniversityMounties Wanderers</v>
      </c>
      <c r="B611" t="s">
        <v>810</v>
      </c>
      <c r="C611" t="s">
        <v>2284</v>
      </c>
      <c r="D611" s="2">
        <v>46227</v>
      </c>
      <c r="E611" s="3">
        <v>0.41666666666666669</v>
      </c>
      <c r="F611" t="s">
        <v>2287</v>
      </c>
      <c r="G611" t="s">
        <v>2288</v>
      </c>
      <c r="H611">
        <v>1</v>
      </c>
      <c r="I611">
        <v>2</v>
      </c>
      <c r="J611">
        <v>2</v>
      </c>
      <c r="K611">
        <v>4</v>
      </c>
      <c r="L611" s="22" t="str">
        <f t="shared" si="218"/>
        <v>24/07/2026</v>
      </c>
      <c r="M611" s="23">
        <f t="shared" si="219"/>
        <v>0.29166666666666669</v>
      </c>
      <c r="N611" t="str">
        <f t="shared" si="201"/>
        <v>2 - 4</v>
      </c>
      <c r="O611" t="str">
        <f t="shared" si="202"/>
        <v>Red</v>
      </c>
      <c r="P611" t="str">
        <f t="shared" si="203"/>
        <v>Red</v>
      </c>
      <c r="Q611" t="str">
        <f t="shared" si="204"/>
        <v>Green</v>
      </c>
      <c r="R611" t="str">
        <f t="shared" si="205"/>
        <v>Red</v>
      </c>
      <c r="S611" t="str">
        <f t="shared" si="206"/>
        <v>Green</v>
      </c>
      <c r="T611" t="str">
        <f t="shared" si="207"/>
        <v>Green</v>
      </c>
      <c r="U611" t="str">
        <f t="shared" si="208"/>
        <v>Red</v>
      </c>
      <c r="V611" t="str">
        <f t="shared" si="209"/>
        <v>Red</v>
      </c>
      <c r="W611" t="str">
        <f t="shared" si="210"/>
        <v>Green</v>
      </c>
      <c r="X611" t="str">
        <f t="shared" si="211"/>
        <v>Green</v>
      </c>
      <c r="Y611" t="str">
        <f t="shared" si="212"/>
        <v>Green</v>
      </c>
      <c r="Z611" t="str">
        <f t="shared" si="213"/>
        <v>Green</v>
      </c>
      <c r="AA611" t="str">
        <f t="shared" si="214"/>
        <v>Red</v>
      </c>
      <c r="AB611" t="str">
        <f t="shared" si="215"/>
        <v>Red</v>
      </c>
      <c r="AC611" t="str">
        <f t="shared" si="216"/>
        <v>Green</v>
      </c>
      <c r="AD611" t="str">
        <f t="shared" si="217"/>
        <v>Red</v>
      </c>
    </row>
    <row r="612" spans="1:30" x14ac:dyDescent="0.2">
      <c r="A612" t="str">
        <f t="shared" si="200"/>
        <v>24/07/2026Campbelltown City WomenAdelaide Comets Women</v>
      </c>
      <c r="B612" t="s">
        <v>810</v>
      </c>
      <c r="C612" t="s">
        <v>2299</v>
      </c>
      <c r="D612" s="2">
        <v>46227</v>
      </c>
      <c r="E612" s="3">
        <v>0.41666666666666669</v>
      </c>
      <c r="F612" t="s">
        <v>2302</v>
      </c>
      <c r="G612" t="s">
        <v>2303</v>
      </c>
      <c r="H612">
        <v>1</v>
      </c>
      <c r="I612">
        <v>1</v>
      </c>
      <c r="J612">
        <v>2</v>
      </c>
      <c r="K612">
        <v>2</v>
      </c>
      <c r="L612" s="22" t="str">
        <f t="shared" si="218"/>
        <v>24/07/2026</v>
      </c>
      <c r="M612" s="23">
        <f t="shared" si="219"/>
        <v>0.29166666666666669</v>
      </c>
      <c r="N612" t="str">
        <f t="shared" si="201"/>
        <v>2 - 2</v>
      </c>
      <c r="O612" t="str">
        <f t="shared" si="202"/>
        <v>Red</v>
      </c>
      <c r="P612" t="str">
        <f t="shared" si="203"/>
        <v>Green</v>
      </c>
      <c r="Q612" t="str">
        <f t="shared" si="204"/>
        <v>Red</v>
      </c>
      <c r="R612" t="str">
        <f t="shared" si="205"/>
        <v>Green</v>
      </c>
      <c r="S612" t="str">
        <f t="shared" si="206"/>
        <v>Green</v>
      </c>
      <c r="T612" t="str">
        <f t="shared" si="207"/>
        <v>Red</v>
      </c>
      <c r="U612" t="str">
        <f t="shared" si="208"/>
        <v>Red</v>
      </c>
      <c r="V612" t="str">
        <f t="shared" si="209"/>
        <v>Green</v>
      </c>
      <c r="W612" t="str">
        <f t="shared" si="210"/>
        <v>Red</v>
      </c>
      <c r="X612" t="str">
        <f t="shared" si="211"/>
        <v>Green</v>
      </c>
      <c r="Y612" t="str">
        <f t="shared" si="212"/>
        <v>Green</v>
      </c>
      <c r="Z612" t="str">
        <f t="shared" si="213"/>
        <v>Green</v>
      </c>
      <c r="AA612" t="str">
        <f t="shared" si="214"/>
        <v>Red</v>
      </c>
      <c r="AB612" t="str">
        <f t="shared" si="215"/>
        <v>Red</v>
      </c>
      <c r="AC612" t="str">
        <f t="shared" si="216"/>
        <v>Green</v>
      </c>
      <c r="AD612" t="str">
        <f t="shared" si="217"/>
        <v>Red</v>
      </c>
    </row>
    <row r="613" spans="1:30" x14ac:dyDescent="0.2">
      <c r="A613" t="str">
        <f t="shared" si="200"/>
        <v>24/07/2026Almaz Antey YouthLokomotiv Moscow Youth</v>
      </c>
      <c r="D613" s="2">
        <v>46227</v>
      </c>
      <c r="E613" s="3">
        <v>0.41666666666666669</v>
      </c>
      <c r="F613" t="s">
        <v>2570</v>
      </c>
      <c r="G613" t="s">
        <v>2571</v>
      </c>
      <c r="H613">
        <v>2</v>
      </c>
      <c r="I613">
        <v>0</v>
      </c>
      <c r="J613">
        <v>2</v>
      </c>
      <c r="K613">
        <v>1</v>
      </c>
      <c r="L613" s="22" t="str">
        <f t="shared" si="218"/>
        <v>24/07/2026</v>
      </c>
      <c r="M613" s="23">
        <f t="shared" si="219"/>
        <v>0.29166666666666669</v>
      </c>
      <c r="N613" t="str">
        <f t="shared" si="201"/>
        <v>2 - 1</v>
      </c>
      <c r="O613" t="str">
        <f t="shared" si="202"/>
        <v>Green</v>
      </c>
      <c r="P613" t="str">
        <f t="shared" si="203"/>
        <v>Red</v>
      </c>
      <c r="Q613" t="str">
        <f t="shared" si="204"/>
        <v>Red</v>
      </c>
      <c r="R613" t="str">
        <f t="shared" si="205"/>
        <v>Green</v>
      </c>
      <c r="S613" t="str">
        <f t="shared" si="206"/>
        <v>Red</v>
      </c>
      <c r="T613" t="str">
        <f t="shared" si="207"/>
        <v>Green</v>
      </c>
      <c r="U613" t="str">
        <f t="shared" si="208"/>
        <v>Green</v>
      </c>
      <c r="V613" t="str">
        <f t="shared" si="209"/>
        <v>Red</v>
      </c>
      <c r="W613" t="str">
        <f t="shared" si="210"/>
        <v>Red</v>
      </c>
      <c r="X613" t="str">
        <f t="shared" si="211"/>
        <v>Green</v>
      </c>
      <c r="Y613" t="str">
        <f t="shared" si="212"/>
        <v>Green</v>
      </c>
      <c r="Z613" t="str">
        <f t="shared" si="213"/>
        <v>Green</v>
      </c>
      <c r="AA613" t="str">
        <f t="shared" si="214"/>
        <v>Red</v>
      </c>
      <c r="AB613" t="str">
        <f t="shared" si="215"/>
        <v>Green</v>
      </c>
      <c r="AC613" t="str">
        <f t="shared" si="216"/>
        <v>Green</v>
      </c>
      <c r="AD613" t="str">
        <f t="shared" si="217"/>
        <v>Red</v>
      </c>
    </row>
    <row r="614" spans="1:30" x14ac:dyDescent="0.2">
      <c r="A614" t="str">
        <f t="shared" si="200"/>
        <v>24/07/2026Gyeongju KHNP WomenChangnyeong Women</v>
      </c>
      <c r="D614" s="2">
        <v>46227</v>
      </c>
      <c r="E614" s="3">
        <v>0.41666666666666669</v>
      </c>
      <c r="F614" t="s">
        <v>2590</v>
      </c>
      <c r="G614" t="s">
        <v>2591</v>
      </c>
      <c r="H614">
        <v>3</v>
      </c>
      <c r="I614">
        <v>0</v>
      </c>
      <c r="J614">
        <v>6</v>
      </c>
      <c r="K614">
        <v>1</v>
      </c>
      <c r="L614" s="22" t="str">
        <f t="shared" si="218"/>
        <v>24/07/2026</v>
      </c>
      <c r="M614" s="23">
        <f t="shared" si="219"/>
        <v>0.29166666666666669</v>
      </c>
      <c r="N614" t="str">
        <f t="shared" si="201"/>
        <v>6 - 1</v>
      </c>
      <c r="O614" t="str">
        <f t="shared" si="202"/>
        <v>Green</v>
      </c>
      <c r="P614" t="str">
        <f t="shared" si="203"/>
        <v>Red</v>
      </c>
      <c r="Q614" t="str">
        <f t="shared" si="204"/>
        <v>Red</v>
      </c>
      <c r="R614" t="str">
        <f t="shared" si="205"/>
        <v>Green</v>
      </c>
      <c r="S614" t="str">
        <f t="shared" si="206"/>
        <v>Red</v>
      </c>
      <c r="T614" t="str">
        <f t="shared" si="207"/>
        <v>Green</v>
      </c>
      <c r="U614" t="str">
        <f t="shared" si="208"/>
        <v>Green</v>
      </c>
      <c r="V614" t="str">
        <f t="shared" si="209"/>
        <v>Red</v>
      </c>
      <c r="W614" t="str">
        <f t="shared" si="210"/>
        <v>Red</v>
      </c>
      <c r="X614" t="str">
        <f t="shared" si="211"/>
        <v>Green</v>
      </c>
      <c r="Y614" t="str">
        <f t="shared" si="212"/>
        <v>Green</v>
      </c>
      <c r="Z614" t="str">
        <f t="shared" si="213"/>
        <v>Green</v>
      </c>
      <c r="AA614" t="str">
        <f t="shared" si="214"/>
        <v>Red</v>
      </c>
      <c r="AB614" t="str">
        <f t="shared" si="215"/>
        <v>Red</v>
      </c>
      <c r="AC614" t="str">
        <f t="shared" si="216"/>
        <v>Green</v>
      </c>
      <c r="AD614" t="str">
        <f t="shared" si="217"/>
        <v>Red</v>
      </c>
    </row>
    <row r="615" spans="1:30" x14ac:dyDescent="0.2">
      <c r="A615" t="str">
        <f t="shared" si="200"/>
        <v>24/07/2026Hwacheon KSPO WomenBusan Sangmu Women</v>
      </c>
      <c r="D615" s="2">
        <v>46227</v>
      </c>
      <c r="E615" s="3">
        <v>0.41666666666666669</v>
      </c>
      <c r="F615" t="s">
        <v>2592</v>
      </c>
      <c r="G615" t="s">
        <v>2593</v>
      </c>
      <c r="H615">
        <v>2</v>
      </c>
      <c r="I615">
        <v>0</v>
      </c>
      <c r="J615">
        <v>2</v>
      </c>
      <c r="K615">
        <v>0</v>
      </c>
      <c r="L615" s="22" t="str">
        <f t="shared" si="218"/>
        <v>24/07/2026</v>
      </c>
      <c r="M615" s="23">
        <f t="shared" si="219"/>
        <v>0.29166666666666669</v>
      </c>
      <c r="N615" t="str">
        <f t="shared" si="201"/>
        <v>2 - 0</v>
      </c>
      <c r="O615" t="str">
        <f t="shared" si="202"/>
        <v>Green</v>
      </c>
      <c r="P615" t="str">
        <f t="shared" si="203"/>
        <v>Red</v>
      </c>
      <c r="Q615" t="str">
        <f t="shared" si="204"/>
        <v>Red</v>
      </c>
      <c r="R615" t="str">
        <f t="shared" si="205"/>
        <v>Green</v>
      </c>
      <c r="S615" t="str">
        <f t="shared" si="206"/>
        <v>Red</v>
      </c>
      <c r="T615" t="str">
        <f t="shared" si="207"/>
        <v>Green</v>
      </c>
      <c r="U615" t="str">
        <f t="shared" si="208"/>
        <v>Green</v>
      </c>
      <c r="V615" t="str">
        <f t="shared" si="209"/>
        <v>Red</v>
      </c>
      <c r="W615" t="str">
        <f t="shared" si="210"/>
        <v>Red</v>
      </c>
      <c r="X615" t="str">
        <f t="shared" si="211"/>
        <v>Green</v>
      </c>
      <c r="Y615" t="str">
        <f t="shared" si="212"/>
        <v>Green</v>
      </c>
      <c r="Z615" t="str">
        <f t="shared" si="213"/>
        <v>Red</v>
      </c>
      <c r="AA615" t="str">
        <f t="shared" si="214"/>
        <v>Green</v>
      </c>
      <c r="AB615" t="str">
        <f t="shared" si="215"/>
        <v>Green</v>
      </c>
      <c r="AC615" t="str">
        <f t="shared" si="216"/>
        <v>Red</v>
      </c>
      <c r="AD615" t="str">
        <f t="shared" si="217"/>
        <v>Green</v>
      </c>
    </row>
    <row r="616" spans="1:30" x14ac:dyDescent="0.2">
      <c r="A616" t="str">
        <f t="shared" si="200"/>
        <v>24/07/2026Seoul Amazones WomenGumi Sportstoto Women</v>
      </c>
      <c r="D616" s="2">
        <v>46227</v>
      </c>
      <c r="E616" s="3">
        <v>0.41666666666666669</v>
      </c>
      <c r="F616" t="s">
        <v>2594</v>
      </c>
      <c r="G616" t="s">
        <v>2595</v>
      </c>
      <c r="H616">
        <v>0</v>
      </c>
      <c r="I616">
        <v>1</v>
      </c>
      <c r="J616">
        <v>0</v>
      </c>
      <c r="K616">
        <v>3</v>
      </c>
      <c r="L616" s="22" t="str">
        <f t="shared" si="218"/>
        <v>24/07/2026</v>
      </c>
      <c r="M616" s="23">
        <f t="shared" si="219"/>
        <v>0.29166666666666669</v>
      </c>
      <c r="N616" t="str">
        <f t="shared" si="201"/>
        <v>0 - 3</v>
      </c>
      <c r="O616" t="str">
        <f t="shared" si="202"/>
        <v>Red</v>
      </c>
      <c r="P616" t="str">
        <f t="shared" si="203"/>
        <v>Red</v>
      </c>
      <c r="Q616" t="str">
        <f t="shared" si="204"/>
        <v>Green</v>
      </c>
      <c r="R616" t="str">
        <f t="shared" si="205"/>
        <v>Red</v>
      </c>
      <c r="S616" t="str">
        <f t="shared" si="206"/>
        <v>Green</v>
      </c>
      <c r="T616" t="str">
        <f t="shared" si="207"/>
        <v>Green</v>
      </c>
      <c r="U616" t="str">
        <f t="shared" si="208"/>
        <v>Red</v>
      </c>
      <c r="V616" t="str">
        <f t="shared" si="209"/>
        <v>Red</v>
      </c>
      <c r="W616" t="str">
        <f t="shared" si="210"/>
        <v>Green</v>
      </c>
      <c r="X616" t="str">
        <f t="shared" si="211"/>
        <v>Green</v>
      </c>
      <c r="Y616" t="str">
        <f t="shared" si="212"/>
        <v>Green</v>
      </c>
      <c r="Z616" t="str">
        <f t="shared" si="213"/>
        <v>Green</v>
      </c>
      <c r="AA616" t="str">
        <f t="shared" si="214"/>
        <v>Red</v>
      </c>
      <c r="AB616" t="str">
        <f t="shared" si="215"/>
        <v>Green</v>
      </c>
      <c r="AC616" t="str">
        <f t="shared" si="216"/>
        <v>Red</v>
      </c>
      <c r="AD616" t="str">
        <f t="shared" si="217"/>
        <v>Green</v>
      </c>
    </row>
    <row r="617" spans="1:30" x14ac:dyDescent="0.2">
      <c r="A617" t="str">
        <f t="shared" si="200"/>
        <v>24/07/2026Suwon WFCHyundai Steel Red Angels Women</v>
      </c>
      <c r="D617" s="2">
        <v>46227</v>
      </c>
      <c r="E617" s="3">
        <v>0.41666666666666669</v>
      </c>
      <c r="F617" t="s">
        <v>2596</v>
      </c>
      <c r="G617" t="s">
        <v>2597</v>
      </c>
      <c r="H617">
        <v>2</v>
      </c>
      <c r="I617">
        <v>0</v>
      </c>
      <c r="J617">
        <v>4</v>
      </c>
      <c r="K617">
        <v>0</v>
      </c>
      <c r="L617" s="22" t="str">
        <f t="shared" si="218"/>
        <v>24/07/2026</v>
      </c>
      <c r="M617" s="23">
        <f t="shared" si="219"/>
        <v>0.29166666666666669</v>
      </c>
      <c r="N617" t="str">
        <f t="shared" si="201"/>
        <v>4 - 0</v>
      </c>
      <c r="O617" t="str">
        <f t="shared" si="202"/>
        <v>Green</v>
      </c>
      <c r="P617" t="str">
        <f t="shared" si="203"/>
        <v>Red</v>
      </c>
      <c r="Q617" t="str">
        <f t="shared" si="204"/>
        <v>Red</v>
      </c>
      <c r="R617" t="str">
        <f t="shared" si="205"/>
        <v>Green</v>
      </c>
      <c r="S617" t="str">
        <f t="shared" si="206"/>
        <v>Red</v>
      </c>
      <c r="T617" t="str">
        <f t="shared" si="207"/>
        <v>Green</v>
      </c>
      <c r="U617" t="str">
        <f t="shared" si="208"/>
        <v>Green</v>
      </c>
      <c r="V617" t="str">
        <f t="shared" si="209"/>
        <v>Red</v>
      </c>
      <c r="W617" t="str">
        <f t="shared" si="210"/>
        <v>Red</v>
      </c>
      <c r="X617" t="str">
        <f t="shared" si="211"/>
        <v>Green</v>
      </c>
      <c r="Y617" t="str">
        <f t="shared" si="212"/>
        <v>Green</v>
      </c>
      <c r="Z617" t="str">
        <f t="shared" si="213"/>
        <v>Green</v>
      </c>
      <c r="AA617" t="str">
        <f t="shared" si="214"/>
        <v>Red</v>
      </c>
      <c r="AB617" t="str">
        <f t="shared" si="215"/>
        <v>Red</v>
      </c>
      <c r="AC617" t="str">
        <f t="shared" si="216"/>
        <v>Red</v>
      </c>
      <c r="AD617" t="str">
        <f t="shared" si="217"/>
        <v>Green</v>
      </c>
    </row>
    <row r="618" spans="1:30" x14ac:dyDescent="0.2">
      <c r="A618" t="str">
        <f t="shared" si="200"/>
        <v>24/07/2026Oakleigh CannonsSouth Melbourne FC</v>
      </c>
      <c r="B618" t="s">
        <v>810</v>
      </c>
      <c r="C618" t="s">
        <v>2251</v>
      </c>
      <c r="D618" s="2">
        <v>46227</v>
      </c>
      <c r="E618" s="3">
        <v>0.42708333333333331</v>
      </c>
      <c r="F618" t="s">
        <v>131</v>
      </c>
      <c r="G618" t="s">
        <v>2254</v>
      </c>
      <c r="H618">
        <v>0</v>
      </c>
      <c r="I618">
        <v>0</v>
      </c>
      <c r="J618">
        <v>1</v>
      </c>
      <c r="K618">
        <v>2</v>
      </c>
      <c r="L618" s="22" t="str">
        <f t="shared" si="218"/>
        <v>24/07/2026</v>
      </c>
      <c r="M618" s="23">
        <f t="shared" si="219"/>
        <v>0.30208333333333331</v>
      </c>
      <c r="N618" t="str">
        <f t="shared" si="201"/>
        <v>1 - 2</v>
      </c>
      <c r="O618" t="str">
        <f t="shared" si="202"/>
        <v>Red</v>
      </c>
      <c r="P618" t="str">
        <f t="shared" si="203"/>
        <v>Red</v>
      </c>
      <c r="Q618" t="str">
        <f t="shared" si="204"/>
        <v>Green</v>
      </c>
      <c r="R618" t="str">
        <f t="shared" si="205"/>
        <v>Red</v>
      </c>
      <c r="S618" t="str">
        <f t="shared" si="206"/>
        <v>Green</v>
      </c>
      <c r="T618" t="str">
        <f t="shared" si="207"/>
        <v>Green</v>
      </c>
      <c r="U618" t="str">
        <f t="shared" si="208"/>
        <v>Red</v>
      </c>
      <c r="V618" t="str">
        <f t="shared" si="209"/>
        <v>Green</v>
      </c>
      <c r="W618" t="str">
        <f t="shared" si="210"/>
        <v>Red</v>
      </c>
      <c r="X618" t="str">
        <f t="shared" si="211"/>
        <v>Red</v>
      </c>
      <c r="Y618" t="str">
        <f t="shared" si="212"/>
        <v>Green</v>
      </c>
      <c r="Z618" t="str">
        <f t="shared" si="213"/>
        <v>Green</v>
      </c>
      <c r="AA618" t="str">
        <f t="shared" si="214"/>
        <v>Red</v>
      </c>
      <c r="AB618" t="str">
        <f t="shared" si="215"/>
        <v>Green</v>
      </c>
      <c r="AC618" t="str">
        <f t="shared" si="216"/>
        <v>Green</v>
      </c>
      <c r="AD618" t="str">
        <f t="shared" si="217"/>
        <v>Red</v>
      </c>
    </row>
    <row r="619" spans="1:30" x14ac:dyDescent="0.2">
      <c r="A619" t="str">
        <f t="shared" si="200"/>
        <v>24/07/2026Eastern UnitedSalisbury United</v>
      </c>
      <c r="B619" t="s">
        <v>810</v>
      </c>
      <c r="C619" t="s">
        <v>2272</v>
      </c>
      <c r="D619" s="2">
        <v>46227</v>
      </c>
      <c r="E619" s="3">
        <v>0.42708333333333331</v>
      </c>
      <c r="F619" t="s">
        <v>2275</v>
      </c>
      <c r="G619" t="s">
        <v>2276</v>
      </c>
      <c r="H619">
        <v>0</v>
      </c>
      <c r="I619">
        <v>2</v>
      </c>
      <c r="J619">
        <v>0</v>
      </c>
      <c r="K619">
        <v>3</v>
      </c>
      <c r="L619" s="22" t="str">
        <f t="shared" si="218"/>
        <v>24/07/2026</v>
      </c>
      <c r="M619" s="23">
        <f t="shared" si="219"/>
        <v>0.30208333333333331</v>
      </c>
      <c r="N619" t="str">
        <f t="shared" si="201"/>
        <v>0 - 3</v>
      </c>
      <c r="O619" t="str">
        <f t="shared" si="202"/>
        <v>Red</v>
      </c>
      <c r="P619" t="str">
        <f t="shared" si="203"/>
        <v>Red</v>
      </c>
      <c r="Q619" t="str">
        <f t="shared" si="204"/>
        <v>Green</v>
      </c>
      <c r="R619" t="str">
        <f t="shared" si="205"/>
        <v>Red</v>
      </c>
      <c r="S619" t="str">
        <f t="shared" si="206"/>
        <v>Green</v>
      </c>
      <c r="T619" t="str">
        <f t="shared" si="207"/>
        <v>Green</v>
      </c>
      <c r="U619" t="str">
        <f t="shared" si="208"/>
        <v>Red</v>
      </c>
      <c r="V619" t="str">
        <f t="shared" si="209"/>
        <v>Red</v>
      </c>
      <c r="W619" t="str">
        <f t="shared" si="210"/>
        <v>Green</v>
      </c>
      <c r="X619" t="str">
        <f t="shared" si="211"/>
        <v>Green</v>
      </c>
      <c r="Y619" t="str">
        <f t="shared" si="212"/>
        <v>Green</v>
      </c>
      <c r="Z619" t="str">
        <f t="shared" si="213"/>
        <v>Green</v>
      </c>
      <c r="AA619" t="str">
        <f t="shared" si="214"/>
        <v>Red</v>
      </c>
      <c r="AB619" t="str">
        <f t="shared" si="215"/>
        <v>Green</v>
      </c>
      <c r="AC619" t="str">
        <f t="shared" si="216"/>
        <v>Red</v>
      </c>
      <c r="AD619" t="str">
        <f t="shared" si="217"/>
        <v>Green</v>
      </c>
    </row>
    <row r="620" spans="1:30" x14ac:dyDescent="0.2">
      <c r="A620" t="str">
        <f t="shared" si="200"/>
        <v>24/07/2026Preston LionsBentleigh Greens</v>
      </c>
      <c r="B620" t="s">
        <v>810</v>
      </c>
      <c r="C620" t="s">
        <v>2251</v>
      </c>
      <c r="D620" s="2">
        <v>46227</v>
      </c>
      <c r="E620" s="3">
        <v>0.4375</v>
      </c>
      <c r="F620" t="s">
        <v>133</v>
      </c>
      <c r="G620" t="s">
        <v>134</v>
      </c>
      <c r="H620">
        <v>1</v>
      </c>
      <c r="I620">
        <v>0</v>
      </c>
      <c r="J620">
        <v>1</v>
      </c>
      <c r="K620">
        <v>0</v>
      </c>
      <c r="L620" s="22" t="str">
        <f t="shared" si="218"/>
        <v>24/07/2026</v>
      </c>
      <c r="M620" s="23">
        <f t="shared" si="219"/>
        <v>0.3125</v>
      </c>
      <c r="N620" t="str">
        <f t="shared" si="201"/>
        <v>1 - 0</v>
      </c>
      <c r="O620" t="str">
        <f t="shared" si="202"/>
        <v>Green</v>
      </c>
      <c r="P620" t="str">
        <f t="shared" si="203"/>
        <v>Red</v>
      </c>
      <c r="Q620" t="str">
        <f t="shared" si="204"/>
        <v>Red</v>
      </c>
      <c r="R620" t="str">
        <f t="shared" si="205"/>
        <v>Green</v>
      </c>
      <c r="S620" t="str">
        <f t="shared" si="206"/>
        <v>Red</v>
      </c>
      <c r="T620" t="str">
        <f t="shared" si="207"/>
        <v>Green</v>
      </c>
      <c r="U620" t="str">
        <f t="shared" si="208"/>
        <v>Green</v>
      </c>
      <c r="V620" t="str">
        <f t="shared" si="209"/>
        <v>Red</v>
      </c>
      <c r="W620" t="str">
        <f t="shared" si="210"/>
        <v>Red</v>
      </c>
      <c r="X620" t="str">
        <f t="shared" si="211"/>
        <v>Green</v>
      </c>
      <c r="Y620" t="str">
        <f t="shared" si="212"/>
        <v>Red</v>
      </c>
      <c r="Z620" t="str">
        <f t="shared" si="213"/>
        <v>Red</v>
      </c>
      <c r="AA620" t="str">
        <f t="shared" si="214"/>
        <v>Green</v>
      </c>
      <c r="AB620" t="str">
        <f t="shared" si="215"/>
        <v>Green</v>
      </c>
      <c r="AC620" t="str">
        <f t="shared" si="216"/>
        <v>Red</v>
      </c>
      <c r="AD620" t="str">
        <f t="shared" si="217"/>
        <v>Green</v>
      </c>
    </row>
    <row r="621" spans="1:30" x14ac:dyDescent="0.2">
      <c r="A621" t="str">
        <f t="shared" si="200"/>
        <v>24/07/2026Brunswick CityWestern United Reserves</v>
      </c>
      <c r="B621" t="s">
        <v>810</v>
      </c>
      <c r="C621" t="s">
        <v>2255</v>
      </c>
      <c r="D621" s="2">
        <v>46227</v>
      </c>
      <c r="E621" s="3">
        <v>0.4375</v>
      </c>
      <c r="F621" t="s">
        <v>2256</v>
      </c>
      <c r="G621" t="s">
        <v>2257</v>
      </c>
      <c r="H621">
        <v>1</v>
      </c>
      <c r="I621">
        <v>0</v>
      </c>
      <c r="J621">
        <v>5</v>
      </c>
      <c r="K621">
        <v>0</v>
      </c>
      <c r="L621" s="22" t="str">
        <f t="shared" si="218"/>
        <v>24/07/2026</v>
      </c>
      <c r="M621" s="23">
        <f t="shared" si="219"/>
        <v>0.3125</v>
      </c>
      <c r="N621" t="str">
        <f t="shared" si="201"/>
        <v>5 - 0</v>
      </c>
      <c r="O621" t="str">
        <f t="shared" si="202"/>
        <v>Green</v>
      </c>
      <c r="P621" t="str">
        <f t="shared" si="203"/>
        <v>Red</v>
      </c>
      <c r="Q621" t="str">
        <f t="shared" si="204"/>
        <v>Red</v>
      </c>
      <c r="R621" t="str">
        <f t="shared" si="205"/>
        <v>Green</v>
      </c>
      <c r="S621" t="str">
        <f t="shared" si="206"/>
        <v>Red</v>
      </c>
      <c r="T621" t="str">
        <f t="shared" si="207"/>
        <v>Green</v>
      </c>
      <c r="U621" t="str">
        <f t="shared" si="208"/>
        <v>Green</v>
      </c>
      <c r="V621" t="str">
        <f t="shared" si="209"/>
        <v>Red</v>
      </c>
      <c r="W621" t="str">
        <f t="shared" si="210"/>
        <v>Red</v>
      </c>
      <c r="X621" t="str">
        <f t="shared" si="211"/>
        <v>Green</v>
      </c>
      <c r="Y621" t="str">
        <f t="shared" si="212"/>
        <v>Green</v>
      </c>
      <c r="Z621" t="str">
        <f t="shared" si="213"/>
        <v>Green</v>
      </c>
      <c r="AA621" t="str">
        <f t="shared" si="214"/>
        <v>Red</v>
      </c>
      <c r="AB621" t="str">
        <f t="shared" si="215"/>
        <v>Red</v>
      </c>
      <c r="AC621" t="str">
        <f t="shared" si="216"/>
        <v>Red</v>
      </c>
      <c r="AD621" t="str">
        <f t="shared" si="217"/>
        <v>Green</v>
      </c>
    </row>
    <row r="622" spans="1:30" x14ac:dyDescent="0.2">
      <c r="A622" t="str">
        <f t="shared" si="200"/>
        <v>24/07/2026Eltham RedbacksMelbourne Srbija</v>
      </c>
      <c r="B622" t="s">
        <v>810</v>
      </c>
      <c r="C622" t="s">
        <v>2255</v>
      </c>
      <c r="D622" s="2">
        <v>46227</v>
      </c>
      <c r="E622" s="3">
        <v>0.4375</v>
      </c>
      <c r="F622" t="s">
        <v>2258</v>
      </c>
      <c r="G622" t="s">
        <v>2259</v>
      </c>
      <c r="H622">
        <v>0</v>
      </c>
      <c r="I622">
        <v>0</v>
      </c>
      <c r="J622">
        <v>0</v>
      </c>
      <c r="K622">
        <v>2</v>
      </c>
      <c r="L622" s="22" t="str">
        <f t="shared" si="218"/>
        <v>24/07/2026</v>
      </c>
      <c r="M622" s="23">
        <f t="shared" si="219"/>
        <v>0.3125</v>
      </c>
      <c r="N622" t="str">
        <f t="shared" si="201"/>
        <v>0 - 2</v>
      </c>
      <c r="O622" t="str">
        <f t="shared" si="202"/>
        <v>Red</v>
      </c>
      <c r="P622" t="str">
        <f t="shared" si="203"/>
        <v>Red</v>
      </c>
      <c r="Q622" t="str">
        <f t="shared" si="204"/>
        <v>Green</v>
      </c>
      <c r="R622" t="str">
        <f t="shared" si="205"/>
        <v>Red</v>
      </c>
      <c r="S622" t="str">
        <f t="shared" si="206"/>
        <v>Green</v>
      </c>
      <c r="T622" t="str">
        <f t="shared" si="207"/>
        <v>Green</v>
      </c>
      <c r="U622" t="str">
        <f t="shared" si="208"/>
        <v>Red</v>
      </c>
      <c r="V622" t="str">
        <f t="shared" si="209"/>
        <v>Green</v>
      </c>
      <c r="W622" t="str">
        <f t="shared" si="210"/>
        <v>Red</v>
      </c>
      <c r="X622" t="str">
        <f t="shared" si="211"/>
        <v>Red</v>
      </c>
      <c r="Y622" t="str">
        <f t="shared" si="212"/>
        <v>Green</v>
      </c>
      <c r="Z622" t="str">
        <f t="shared" si="213"/>
        <v>Red</v>
      </c>
      <c r="AA622" t="str">
        <f t="shared" si="214"/>
        <v>Green</v>
      </c>
      <c r="AB622" t="str">
        <f t="shared" si="215"/>
        <v>Green</v>
      </c>
      <c r="AC622" t="str">
        <f t="shared" si="216"/>
        <v>Red</v>
      </c>
      <c r="AD622" t="str">
        <f t="shared" si="217"/>
        <v>Green</v>
      </c>
    </row>
    <row r="623" spans="1:30" x14ac:dyDescent="0.2">
      <c r="A623" t="str">
        <f t="shared" si="200"/>
        <v>24/07/2026Essendon Royals SCKingston City</v>
      </c>
      <c r="B623" t="s">
        <v>810</v>
      </c>
      <c r="C623" t="s">
        <v>2260</v>
      </c>
      <c r="D623" s="2">
        <v>46227</v>
      </c>
      <c r="E623" s="3">
        <v>0.4375</v>
      </c>
      <c r="F623" t="s">
        <v>2267</v>
      </c>
      <c r="G623" t="s">
        <v>2268</v>
      </c>
      <c r="H623">
        <v>4</v>
      </c>
      <c r="I623">
        <v>1</v>
      </c>
      <c r="J623">
        <v>4</v>
      </c>
      <c r="K623">
        <v>2</v>
      </c>
      <c r="L623" s="22" t="str">
        <f t="shared" si="218"/>
        <v>24/07/2026</v>
      </c>
      <c r="M623" s="23">
        <f t="shared" si="219"/>
        <v>0.3125</v>
      </c>
      <c r="N623" t="str">
        <f t="shared" si="201"/>
        <v>4 - 2</v>
      </c>
      <c r="O623" t="str">
        <f t="shared" si="202"/>
        <v>Green</v>
      </c>
      <c r="P623" t="str">
        <f t="shared" si="203"/>
        <v>Red</v>
      </c>
      <c r="Q623" t="str">
        <f t="shared" si="204"/>
        <v>Red</v>
      </c>
      <c r="R623" t="str">
        <f t="shared" si="205"/>
        <v>Green</v>
      </c>
      <c r="S623" t="str">
        <f t="shared" si="206"/>
        <v>Red</v>
      </c>
      <c r="T623" t="str">
        <f t="shared" si="207"/>
        <v>Green</v>
      </c>
      <c r="U623" t="str">
        <f t="shared" si="208"/>
        <v>Green</v>
      </c>
      <c r="V623" t="str">
        <f t="shared" si="209"/>
        <v>Red</v>
      </c>
      <c r="W623" t="str">
        <f t="shared" si="210"/>
        <v>Red</v>
      </c>
      <c r="X623" t="str">
        <f t="shared" si="211"/>
        <v>Green</v>
      </c>
      <c r="Y623" t="str">
        <f t="shared" si="212"/>
        <v>Green</v>
      </c>
      <c r="Z623" t="str">
        <f t="shared" si="213"/>
        <v>Green</v>
      </c>
      <c r="AA623" t="str">
        <f t="shared" si="214"/>
        <v>Red</v>
      </c>
      <c r="AB623" t="str">
        <f t="shared" si="215"/>
        <v>Red</v>
      </c>
      <c r="AC623" t="str">
        <f t="shared" si="216"/>
        <v>Green</v>
      </c>
      <c r="AD623" t="str">
        <f t="shared" si="217"/>
        <v>Red</v>
      </c>
    </row>
    <row r="624" spans="1:30" x14ac:dyDescent="0.2">
      <c r="A624" t="str">
        <f t="shared" si="200"/>
        <v>24/07/2026Queensland Lions WomenCapalaba Women</v>
      </c>
      <c r="B624" t="s">
        <v>810</v>
      </c>
      <c r="C624" t="s">
        <v>2289</v>
      </c>
      <c r="D624" s="2">
        <v>46227</v>
      </c>
      <c r="E624" s="3">
        <v>0.4375</v>
      </c>
      <c r="F624" t="s">
        <v>2292</v>
      </c>
      <c r="G624" t="s">
        <v>2293</v>
      </c>
      <c r="H624">
        <v>1</v>
      </c>
      <c r="I624">
        <v>1</v>
      </c>
      <c r="J624">
        <v>3</v>
      </c>
      <c r="K624">
        <v>1</v>
      </c>
      <c r="L624" s="22" t="str">
        <f t="shared" si="218"/>
        <v>24/07/2026</v>
      </c>
      <c r="M624" s="23">
        <f t="shared" si="219"/>
        <v>0.3125</v>
      </c>
      <c r="N624" t="str">
        <f t="shared" si="201"/>
        <v>3 - 1</v>
      </c>
      <c r="O624" t="str">
        <f t="shared" si="202"/>
        <v>Green</v>
      </c>
      <c r="P624" t="str">
        <f t="shared" si="203"/>
        <v>Red</v>
      </c>
      <c r="Q624" t="str">
        <f t="shared" si="204"/>
        <v>Red</v>
      </c>
      <c r="R624" t="str">
        <f t="shared" si="205"/>
        <v>Green</v>
      </c>
      <c r="S624" t="str">
        <f t="shared" si="206"/>
        <v>Red</v>
      </c>
      <c r="T624" t="str">
        <f t="shared" si="207"/>
        <v>Green</v>
      </c>
      <c r="U624" t="str">
        <f t="shared" si="208"/>
        <v>Red</v>
      </c>
      <c r="V624" t="str">
        <f t="shared" si="209"/>
        <v>Green</v>
      </c>
      <c r="W624" t="str">
        <f t="shared" si="210"/>
        <v>Red</v>
      </c>
      <c r="X624" t="str">
        <f t="shared" si="211"/>
        <v>Green</v>
      </c>
      <c r="Y624" t="str">
        <f t="shared" si="212"/>
        <v>Green</v>
      </c>
      <c r="Z624" t="str">
        <f t="shared" si="213"/>
        <v>Green</v>
      </c>
      <c r="AA624" t="str">
        <f t="shared" si="214"/>
        <v>Red</v>
      </c>
      <c r="AB624" t="str">
        <f t="shared" si="215"/>
        <v>Red</v>
      </c>
      <c r="AC624" t="str">
        <f t="shared" si="216"/>
        <v>Green</v>
      </c>
      <c r="AD624" t="str">
        <f t="shared" si="217"/>
        <v>Red</v>
      </c>
    </row>
    <row r="625" spans="1:30" x14ac:dyDescent="0.2">
      <c r="A625" t="str">
        <f t="shared" si="200"/>
        <v>24/07/2026West Torrens Birkalla ReservesWest Adelaide Women</v>
      </c>
      <c r="B625" t="s">
        <v>810</v>
      </c>
      <c r="C625" t="s">
        <v>2299</v>
      </c>
      <c r="D625" s="2">
        <v>46227</v>
      </c>
      <c r="E625" s="3">
        <v>0.4375</v>
      </c>
      <c r="F625" t="s">
        <v>2304</v>
      </c>
      <c r="G625" t="s">
        <v>2305</v>
      </c>
      <c r="H625">
        <v>0</v>
      </c>
      <c r="I625">
        <v>2</v>
      </c>
      <c r="J625">
        <v>1</v>
      </c>
      <c r="K625">
        <v>5</v>
      </c>
      <c r="L625" s="22" t="str">
        <f t="shared" si="218"/>
        <v>24/07/2026</v>
      </c>
      <c r="M625" s="23">
        <f t="shared" si="219"/>
        <v>0.3125</v>
      </c>
      <c r="N625" t="str">
        <f t="shared" si="201"/>
        <v>1 - 5</v>
      </c>
      <c r="O625" t="str">
        <f t="shared" si="202"/>
        <v>Red</v>
      </c>
      <c r="P625" t="str">
        <f t="shared" si="203"/>
        <v>Red</v>
      </c>
      <c r="Q625" t="str">
        <f t="shared" si="204"/>
        <v>Green</v>
      </c>
      <c r="R625" t="str">
        <f t="shared" si="205"/>
        <v>Red</v>
      </c>
      <c r="S625" t="str">
        <f t="shared" si="206"/>
        <v>Green</v>
      </c>
      <c r="T625" t="str">
        <f t="shared" si="207"/>
        <v>Green</v>
      </c>
      <c r="U625" t="str">
        <f t="shared" si="208"/>
        <v>Red</v>
      </c>
      <c r="V625" t="str">
        <f t="shared" si="209"/>
        <v>Red</v>
      </c>
      <c r="W625" t="str">
        <f t="shared" si="210"/>
        <v>Green</v>
      </c>
      <c r="X625" t="str">
        <f t="shared" si="211"/>
        <v>Green</v>
      </c>
      <c r="Y625" t="str">
        <f t="shared" si="212"/>
        <v>Green</v>
      </c>
      <c r="Z625" t="str">
        <f t="shared" si="213"/>
        <v>Green</v>
      </c>
      <c r="AA625" t="str">
        <f t="shared" si="214"/>
        <v>Red</v>
      </c>
      <c r="AB625" t="str">
        <f t="shared" si="215"/>
        <v>Red</v>
      </c>
      <c r="AC625" t="str">
        <f t="shared" si="216"/>
        <v>Green</v>
      </c>
      <c r="AD625" t="str">
        <f t="shared" si="217"/>
        <v>Red</v>
      </c>
    </row>
    <row r="626" spans="1:30" x14ac:dyDescent="0.2">
      <c r="A626" t="str">
        <f t="shared" si="200"/>
        <v>24/07/2026Peninsula Power WomenThe Gap NPL Women</v>
      </c>
      <c r="B626" t="s">
        <v>810</v>
      </c>
      <c r="C626" t="s">
        <v>2308</v>
      </c>
      <c r="D626" s="2">
        <v>46227</v>
      </c>
      <c r="E626" s="3">
        <v>0.4375</v>
      </c>
      <c r="F626" t="s">
        <v>2309</v>
      </c>
      <c r="G626" t="s">
        <v>2310</v>
      </c>
      <c r="H626">
        <v>0</v>
      </c>
      <c r="I626">
        <v>2</v>
      </c>
      <c r="J626">
        <v>2</v>
      </c>
      <c r="K626">
        <v>3</v>
      </c>
      <c r="L626" s="22" t="str">
        <f t="shared" si="218"/>
        <v>24/07/2026</v>
      </c>
      <c r="M626" s="23">
        <f t="shared" si="219"/>
        <v>0.3125</v>
      </c>
      <c r="N626" t="str">
        <f t="shared" si="201"/>
        <v>2 - 3</v>
      </c>
      <c r="O626" t="str">
        <f t="shared" si="202"/>
        <v>Red</v>
      </c>
      <c r="P626" t="str">
        <f t="shared" si="203"/>
        <v>Red</v>
      </c>
      <c r="Q626" t="str">
        <f t="shared" si="204"/>
        <v>Green</v>
      </c>
      <c r="R626" t="str">
        <f t="shared" si="205"/>
        <v>Red</v>
      </c>
      <c r="S626" t="str">
        <f t="shared" si="206"/>
        <v>Green</v>
      </c>
      <c r="T626" t="str">
        <f t="shared" si="207"/>
        <v>Green</v>
      </c>
      <c r="U626" t="str">
        <f t="shared" si="208"/>
        <v>Red</v>
      </c>
      <c r="V626" t="str">
        <f t="shared" si="209"/>
        <v>Red</v>
      </c>
      <c r="W626" t="str">
        <f t="shared" si="210"/>
        <v>Green</v>
      </c>
      <c r="X626" t="str">
        <f t="shared" si="211"/>
        <v>Green</v>
      </c>
      <c r="Y626" t="str">
        <f t="shared" si="212"/>
        <v>Green</v>
      </c>
      <c r="Z626" t="str">
        <f t="shared" si="213"/>
        <v>Green</v>
      </c>
      <c r="AA626" t="str">
        <f t="shared" si="214"/>
        <v>Red</v>
      </c>
      <c r="AB626" t="str">
        <f t="shared" si="215"/>
        <v>Red</v>
      </c>
      <c r="AC626" t="str">
        <f t="shared" si="216"/>
        <v>Green</v>
      </c>
      <c r="AD626" t="str">
        <f t="shared" si="217"/>
        <v>Red</v>
      </c>
    </row>
    <row r="627" spans="1:30" x14ac:dyDescent="0.2">
      <c r="A627" t="str">
        <f t="shared" si="200"/>
        <v>24/07/2026Gimhae CityChungbuk Cheongju</v>
      </c>
      <c r="D627" s="2">
        <v>46227</v>
      </c>
      <c r="E627" s="3">
        <v>0.4375</v>
      </c>
      <c r="F627" t="s">
        <v>2588</v>
      </c>
      <c r="G627" t="s">
        <v>136</v>
      </c>
      <c r="H627">
        <v>0</v>
      </c>
      <c r="I627">
        <v>0</v>
      </c>
      <c r="J627">
        <v>1</v>
      </c>
      <c r="K627">
        <v>1</v>
      </c>
      <c r="L627" s="22" t="str">
        <f t="shared" si="218"/>
        <v>24/07/2026</v>
      </c>
      <c r="M627" s="23">
        <f t="shared" si="219"/>
        <v>0.3125</v>
      </c>
      <c r="N627" t="str">
        <f t="shared" si="201"/>
        <v>1 - 1</v>
      </c>
      <c r="O627" t="str">
        <f t="shared" si="202"/>
        <v>Red</v>
      </c>
      <c r="P627" t="str">
        <f t="shared" si="203"/>
        <v>Green</v>
      </c>
      <c r="Q627" t="str">
        <f t="shared" si="204"/>
        <v>Red</v>
      </c>
      <c r="R627" t="str">
        <f t="shared" si="205"/>
        <v>Green</v>
      </c>
      <c r="S627" t="str">
        <f t="shared" si="206"/>
        <v>Green</v>
      </c>
      <c r="T627" t="str">
        <f t="shared" si="207"/>
        <v>Red</v>
      </c>
      <c r="U627" t="str">
        <f t="shared" si="208"/>
        <v>Red</v>
      </c>
      <c r="V627" t="str">
        <f t="shared" si="209"/>
        <v>Green</v>
      </c>
      <c r="W627" t="str">
        <f t="shared" si="210"/>
        <v>Red</v>
      </c>
      <c r="X627" t="str">
        <f t="shared" si="211"/>
        <v>Red</v>
      </c>
      <c r="Y627" t="str">
        <f t="shared" si="212"/>
        <v>Green</v>
      </c>
      <c r="Z627" t="str">
        <f t="shared" si="213"/>
        <v>Red</v>
      </c>
      <c r="AA627" t="str">
        <f t="shared" si="214"/>
        <v>Green</v>
      </c>
      <c r="AB627" t="str">
        <f t="shared" si="215"/>
        <v>Green</v>
      </c>
      <c r="AC627" t="str">
        <f t="shared" si="216"/>
        <v>Green</v>
      </c>
      <c r="AD627" t="str">
        <f t="shared" si="217"/>
        <v>Red</v>
      </c>
    </row>
    <row r="628" spans="1:30" x14ac:dyDescent="0.2">
      <c r="A628" t="str">
        <f t="shared" si="200"/>
        <v>24/07/2026Seoul E-LandCheonan City</v>
      </c>
      <c r="D628" s="2">
        <v>46227</v>
      </c>
      <c r="E628" s="3">
        <v>0.4375</v>
      </c>
      <c r="F628" t="s">
        <v>2589</v>
      </c>
      <c r="G628" t="s">
        <v>138</v>
      </c>
      <c r="H628">
        <v>1</v>
      </c>
      <c r="I628">
        <v>1</v>
      </c>
      <c r="J628">
        <v>4</v>
      </c>
      <c r="K628">
        <v>3</v>
      </c>
      <c r="L628" s="22" t="str">
        <f t="shared" si="218"/>
        <v>24/07/2026</v>
      </c>
      <c r="M628" s="23">
        <f t="shared" si="219"/>
        <v>0.3125</v>
      </c>
      <c r="N628" t="str">
        <f t="shared" si="201"/>
        <v>4 - 3</v>
      </c>
      <c r="O628" t="str">
        <f t="shared" si="202"/>
        <v>Green</v>
      </c>
      <c r="P628" t="str">
        <f t="shared" si="203"/>
        <v>Red</v>
      </c>
      <c r="Q628" t="str">
        <f t="shared" si="204"/>
        <v>Red</v>
      </c>
      <c r="R628" t="str">
        <f t="shared" si="205"/>
        <v>Green</v>
      </c>
      <c r="S628" t="str">
        <f t="shared" si="206"/>
        <v>Red</v>
      </c>
      <c r="T628" t="str">
        <f t="shared" si="207"/>
        <v>Green</v>
      </c>
      <c r="U628" t="str">
        <f t="shared" si="208"/>
        <v>Red</v>
      </c>
      <c r="V628" t="str">
        <f t="shared" si="209"/>
        <v>Green</v>
      </c>
      <c r="W628" t="str">
        <f t="shared" si="210"/>
        <v>Red</v>
      </c>
      <c r="X628" t="str">
        <f t="shared" si="211"/>
        <v>Green</v>
      </c>
      <c r="Y628" t="str">
        <f t="shared" si="212"/>
        <v>Green</v>
      </c>
      <c r="Z628" t="str">
        <f t="shared" si="213"/>
        <v>Green</v>
      </c>
      <c r="AA628" t="str">
        <f t="shared" si="214"/>
        <v>Red</v>
      </c>
      <c r="AB628" t="str">
        <f t="shared" si="215"/>
        <v>Red</v>
      </c>
      <c r="AC628" t="str">
        <f t="shared" si="216"/>
        <v>Green</v>
      </c>
      <c r="AD628" t="str">
        <f t="shared" si="217"/>
        <v>Red</v>
      </c>
    </row>
    <row r="629" spans="1:30" x14ac:dyDescent="0.2">
      <c r="A629" t="str">
        <f t="shared" si="200"/>
        <v>24/07/2026Adelaide University WomenModbury Vista Women</v>
      </c>
      <c r="B629" t="s">
        <v>810</v>
      </c>
      <c r="C629" t="s">
        <v>2299</v>
      </c>
      <c r="D629" s="2">
        <v>46227</v>
      </c>
      <c r="E629" s="3">
        <v>0.44791666666666669</v>
      </c>
      <c r="F629" t="s">
        <v>2306</v>
      </c>
      <c r="G629" t="s">
        <v>2307</v>
      </c>
      <c r="H629">
        <v>0</v>
      </c>
      <c r="I629">
        <v>0</v>
      </c>
      <c r="J629">
        <v>3</v>
      </c>
      <c r="K629">
        <v>0</v>
      </c>
      <c r="L629" s="22" t="str">
        <f t="shared" si="218"/>
        <v>24/07/2026</v>
      </c>
      <c r="M629" s="23">
        <f t="shared" si="219"/>
        <v>0.32291666666666669</v>
      </c>
      <c r="N629" t="str">
        <f t="shared" si="201"/>
        <v>3 - 0</v>
      </c>
      <c r="O629" t="str">
        <f t="shared" si="202"/>
        <v>Green</v>
      </c>
      <c r="P629" t="str">
        <f t="shared" si="203"/>
        <v>Red</v>
      </c>
      <c r="Q629" t="str">
        <f t="shared" si="204"/>
        <v>Red</v>
      </c>
      <c r="R629" t="str">
        <f t="shared" si="205"/>
        <v>Green</v>
      </c>
      <c r="S629" t="str">
        <f t="shared" si="206"/>
        <v>Red</v>
      </c>
      <c r="T629" t="str">
        <f t="shared" si="207"/>
        <v>Green</v>
      </c>
      <c r="U629" t="str">
        <f t="shared" si="208"/>
        <v>Red</v>
      </c>
      <c r="V629" t="str">
        <f t="shared" si="209"/>
        <v>Green</v>
      </c>
      <c r="W629" t="str">
        <f t="shared" si="210"/>
        <v>Red</v>
      </c>
      <c r="X629" t="str">
        <f t="shared" si="211"/>
        <v>Red</v>
      </c>
      <c r="Y629" t="str">
        <f t="shared" si="212"/>
        <v>Green</v>
      </c>
      <c r="Z629" t="str">
        <f t="shared" si="213"/>
        <v>Green</v>
      </c>
      <c r="AA629" t="str">
        <f t="shared" si="214"/>
        <v>Red</v>
      </c>
      <c r="AB629" t="str">
        <f t="shared" si="215"/>
        <v>Green</v>
      </c>
      <c r="AC629" t="str">
        <f t="shared" si="216"/>
        <v>Red</v>
      </c>
      <c r="AD629" t="str">
        <f t="shared" si="217"/>
        <v>Green</v>
      </c>
    </row>
    <row r="630" spans="1:30" x14ac:dyDescent="0.2">
      <c r="A630" t="str">
        <f t="shared" si="200"/>
        <v>24/07/2026Yarud MariupolFC Victoria Mykolaivka</v>
      </c>
      <c r="D630" s="2">
        <v>46227</v>
      </c>
      <c r="E630" s="3">
        <v>0.45833333333333331</v>
      </c>
      <c r="F630" t="s">
        <v>2610</v>
      </c>
      <c r="G630" t="s">
        <v>2611</v>
      </c>
      <c r="H630">
        <v>0</v>
      </c>
      <c r="I630">
        <v>0</v>
      </c>
      <c r="J630">
        <v>0</v>
      </c>
      <c r="K630">
        <v>1</v>
      </c>
      <c r="L630" s="22" t="str">
        <f t="shared" si="218"/>
        <v>24/07/2026</v>
      </c>
      <c r="M630" s="23">
        <f t="shared" si="219"/>
        <v>0.33333333333333331</v>
      </c>
      <c r="N630" t="str">
        <f t="shared" si="201"/>
        <v>0 - 1</v>
      </c>
      <c r="O630" t="str">
        <f t="shared" si="202"/>
        <v>Red</v>
      </c>
      <c r="P630" t="str">
        <f t="shared" si="203"/>
        <v>Red</v>
      </c>
      <c r="Q630" t="str">
        <f t="shared" si="204"/>
        <v>Green</v>
      </c>
      <c r="R630" t="str">
        <f t="shared" si="205"/>
        <v>Red</v>
      </c>
      <c r="S630" t="str">
        <f t="shared" si="206"/>
        <v>Green</v>
      </c>
      <c r="T630" t="str">
        <f t="shared" si="207"/>
        <v>Green</v>
      </c>
      <c r="U630" t="str">
        <f t="shared" si="208"/>
        <v>Red</v>
      </c>
      <c r="V630" t="str">
        <f t="shared" si="209"/>
        <v>Green</v>
      </c>
      <c r="W630" t="str">
        <f t="shared" si="210"/>
        <v>Red</v>
      </c>
      <c r="X630" t="str">
        <f t="shared" si="211"/>
        <v>Red</v>
      </c>
      <c r="Y630" t="str">
        <f t="shared" si="212"/>
        <v>Red</v>
      </c>
      <c r="Z630" t="str">
        <f t="shared" si="213"/>
        <v>Red</v>
      </c>
      <c r="AA630" t="str">
        <f t="shared" si="214"/>
        <v>Green</v>
      </c>
      <c r="AB630" t="str">
        <f t="shared" si="215"/>
        <v>Green</v>
      </c>
      <c r="AC630" t="str">
        <f t="shared" si="216"/>
        <v>Red</v>
      </c>
      <c r="AD630" t="str">
        <f t="shared" si="217"/>
        <v>Green</v>
      </c>
    </row>
    <row r="631" spans="1:30" x14ac:dyDescent="0.2">
      <c r="A631" t="str">
        <f t="shared" si="200"/>
        <v>24/07/2026Swansea CityUdinese</v>
      </c>
      <c r="D631" s="2">
        <v>46227</v>
      </c>
      <c r="E631" s="3">
        <v>0.45833333333333331</v>
      </c>
      <c r="F631" t="s">
        <v>1442</v>
      </c>
      <c r="G631" t="s">
        <v>2641</v>
      </c>
      <c r="H631">
        <v>1</v>
      </c>
      <c r="I631">
        <v>0</v>
      </c>
      <c r="J631">
        <v>2</v>
      </c>
      <c r="K631">
        <v>0</v>
      </c>
      <c r="L631" s="22" t="str">
        <f t="shared" si="218"/>
        <v>24/07/2026</v>
      </c>
      <c r="M631" s="23">
        <f t="shared" si="219"/>
        <v>0.33333333333333331</v>
      </c>
      <c r="N631" t="str">
        <f t="shared" si="201"/>
        <v>2 - 0</v>
      </c>
      <c r="O631" t="str">
        <f t="shared" si="202"/>
        <v>Green</v>
      </c>
      <c r="P631" t="str">
        <f t="shared" si="203"/>
        <v>Red</v>
      </c>
      <c r="Q631" t="str">
        <f t="shared" si="204"/>
        <v>Red</v>
      </c>
      <c r="R631" t="str">
        <f t="shared" si="205"/>
        <v>Green</v>
      </c>
      <c r="S631" t="str">
        <f t="shared" si="206"/>
        <v>Red</v>
      </c>
      <c r="T631" t="str">
        <f t="shared" si="207"/>
        <v>Green</v>
      </c>
      <c r="U631" t="str">
        <f t="shared" si="208"/>
        <v>Green</v>
      </c>
      <c r="V631" t="str">
        <f t="shared" si="209"/>
        <v>Red</v>
      </c>
      <c r="W631" t="str">
        <f t="shared" si="210"/>
        <v>Red</v>
      </c>
      <c r="X631" t="str">
        <f t="shared" si="211"/>
        <v>Green</v>
      </c>
      <c r="Y631" t="str">
        <f t="shared" si="212"/>
        <v>Green</v>
      </c>
      <c r="Z631" t="str">
        <f t="shared" si="213"/>
        <v>Red</v>
      </c>
      <c r="AA631" t="str">
        <f t="shared" si="214"/>
        <v>Green</v>
      </c>
      <c r="AB631" t="str">
        <f t="shared" si="215"/>
        <v>Green</v>
      </c>
      <c r="AC631" t="str">
        <f t="shared" si="216"/>
        <v>Red</v>
      </c>
      <c r="AD631" t="str">
        <f t="shared" si="217"/>
        <v>Green</v>
      </c>
    </row>
    <row r="632" spans="1:30" x14ac:dyDescent="0.2">
      <c r="A632" t="str">
        <f t="shared" si="200"/>
        <v>24/07/2026CambodiaSingapore</v>
      </c>
      <c r="B632" t="s">
        <v>2243</v>
      </c>
      <c r="C632" t="s">
        <v>2244</v>
      </c>
      <c r="D632" s="2">
        <v>46227</v>
      </c>
      <c r="E632" s="3">
        <v>0.5</v>
      </c>
      <c r="F632" t="s">
        <v>2245</v>
      </c>
      <c r="G632" t="s">
        <v>2246</v>
      </c>
      <c r="H632">
        <v>0</v>
      </c>
      <c r="I632">
        <v>1</v>
      </c>
      <c r="J632">
        <v>1</v>
      </c>
      <c r="K632">
        <v>2</v>
      </c>
      <c r="L632" s="22" t="str">
        <f t="shared" si="218"/>
        <v>24/07/2026</v>
      </c>
      <c r="M632" s="23">
        <f t="shared" si="219"/>
        <v>0.375</v>
      </c>
      <c r="N632" t="str">
        <f t="shared" si="201"/>
        <v>1 - 2</v>
      </c>
      <c r="O632" t="str">
        <f t="shared" si="202"/>
        <v>Red</v>
      </c>
      <c r="P632" t="str">
        <f t="shared" si="203"/>
        <v>Red</v>
      </c>
      <c r="Q632" t="str">
        <f t="shared" si="204"/>
        <v>Green</v>
      </c>
      <c r="R632" t="str">
        <f t="shared" si="205"/>
        <v>Red</v>
      </c>
      <c r="S632" t="str">
        <f t="shared" si="206"/>
        <v>Green</v>
      </c>
      <c r="T632" t="str">
        <f t="shared" si="207"/>
        <v>Green</v>
      </c>
      <c r="U632" t="str">
        <f t="shared" si="208"/>
        <v>Red</v>
      </c>
      <c r="V632" t="str">
        <f t="shared" si="209"/>
        <v>Red</v>
      </c>
      <c r="W632" t="str">
        <f t="shared" si="210"/>
        <v>Green</v>
      </c>
      <c r="X632" t="str">
        <f t="shared" si="211"/>
        <v>Green</v>
      </c>
      <c r="Y632" t="str">
        <f t="shared" si="212"/>
        <v>Green</v>
      </c>
      <c r="Z632" t="str">
        <f t="shared" si="213"/>
        <v>Green</v>
      </c>
      <c r="AA632" t="str">
        <f t="shared" si="214"/>
        <v>Red</v>
      </c>
      <c r="AB632" t="str">
        <f t="shared" si="215"/>
        <v>Green</v>
      </c>
      <c r="AC632" t="str">
        <f t="shared" si="216"/>
        <v>Green</v>
      </c>
      <c r="AD632" t="str">
        <f t="shared" si="217"/>
        <v>Red</v>
      </c>
    </row>
    <row r="633" spans="1:30" x14ac:dyDescent="0.2">
      <c r="A633" t="str">
        <f t="shared" si="200"/>
        <v>24/07/2026Altay Semey U21FC Taraz</v>
      </c>
      <c r="D633" s="2">
        <v>46227</v>
      </c>
      <c r="E633" s="3">
        <v>0.5</v>
      </c>
      <c r="F633" t="s">
        <v>2502</v>
      </c>
      <c r="G633" t="s">
        <v>2503</v>
      </c>
      <c r="H633">
        <v>0</v>
      </c>
      <c r="I633">
        <v>1</v>
      </c>
      <c r="J633">
        <v>0</v>
      </c>
      <c r="K633">
        <v>1</v>
      </c>
      <c r="L633" s="22" t="str">
        <f t="shared" si="218"/>
        <v>24/07/2026</v>
      </c>
      <c r="M633" s="23">
        <f t="shared" si="219"/>
        <v>0.375</v>
      </c>
      <c r="N633" t="str">
        <f t="shared" si="201"/>
        <v>0 - 1</v>
      </c>
      <c r="O633" t="str">
        <f t="shared" si="202"/>
        <v>Red</v>
      </c>
      <c r="P633" t="str">
        <f t="shared" si="203"/>
        <v>Red</v>
      </c>
      <c r="Q633" t="str">
        <f t="shared" si="204"/>
        <v>Green</v>
      </c>
      <c r="R633" t="str">
        <f t="shared" si="205"/>
        <v>Red</v>
      </c>
      <c r="S633" t="str">
        <f t="shared" si="206"/>
        <v>Green</v>
      </c>
      <c r="T633" t="str">
        <f t="shared" si="207"/>
        <v>Green</v>
      </c>
      <c r="U633" t="str">
        <f t="shared" si="208"/>
        <v>Red</v>
      </c>
      <c r="V633" t="str">
        <f t="shared" si="209"/>
        <v>Red</v>
      </c>
      <c r="W633" t="str">
        <f t="shared" si="210"/>
        <v>Green</v>
      </c>
      <c r="X633" t="str">
        <f t="shared" si="211"/>
        <v>Green</v>
      </c>
      <c r="Y633" t="str">
        <f t="shared" si="212"/>
        <v>Red</v>
      </c>
      <c r="Z633" t="str">
        <f t="shared" si="213"/>
        <v>Red</v>
      </c>
      <c r="AA633" t="str">
        <f t="shared" si="214"/>
        <v>Green</v>
      </c>
      <c r="AB633" t="str">
        <f t="shared" si="215"/>
        <v>Green</v>
      </c>
      <c r="AC633" t="str">
        <f t="shared" si="216"/>
        <v>Red</v>
      </c>
      <c r="AD633" t="str">
        <f t="shared" si="217"/>
        <v>Green</v>
      </c>
    </row>
    <row r="634" spans="1:30" x14ac:dyDescent="0.2">
      <c r="A634" t="str">
        <f t="shared" si="200"/>
        <v>24/07/2026Academiya Konopleva YouthRostov Youth</v>
      </c>
      <c r="D634" s="2">
        <v>46227</v>
      </c>
      <c r="E634" s="3">
        <v>0.5</v>
      </c>
      <c r="F634" t="s">
        <v>2572</v>
      </c>
      <c r="G634" t="s">
        <v>2573</v>
      </c>
      <c r="H634">
        <v>2</v>
      </c>
      <c r="I634">
        <v>0</v>
      </c>
      <c r="J634">
        <v>3</v>
      </c>
      <c r="K634">
        <v>2</v>
      </c>
      <c r="L634" s="22" t="str">
        <f t="shared" si="218"/>
        <v>24/07/2026</v>
      </c>
      <c r="M634" s="23">
        <f t="shared" si="219"/>
        <v>0.375</v>
      </c>
      <c r="N634" t="str">
        <f t="shared" si="201"/>
        <v>3 - 2</v>
      </c>
      <c r="O634" t="str">
        <f t="shared" si="202"/>
        <v>Green</v>
      </c>
      <c r="P634" t="str">
        <f t="shared" si="203"/>
        <v>Red</v>
      </c>
      <c r="Q634" t="str">
        <f t="shared" si="204"/>
        <v>Red</v>
      </c>
      <c r="R634" t="str">
        <f t="shared" si="205"/>
        <v>Green</v>
      </c>
      <c r="S634" t="str">
        <f t="shared" si="206"/>
        <v>Red</v>
      </c>
      <c r="T634" t="str">
        <f t="shared" si="207"/>
        <v>Green</v>
      </c>
      <c r="U634" t="str">
        <f t="shared" si="208"/>
        <v>Green</v>
      </c>
      <c r="V634" t="str">
        <f t="shared" si="209"/>
        <v>Red</v>
      </c>
      <c r="W634" t="str">
        <f t="shared" si="210"/>
        <v>Red</v>
      </c>
      <c r="X634" t="str">
        <f t="shared" si="211"/>
        <v>Green</v>
      </c>
      <c r="Y634" t="str">
        <f t="shared" si="212"/>
        <v>Green</v>
      </c>
      <c r="Z634" t="str">
        <f t="shared" si="213"/>
        <v>Green</v>
      </c>
      <c r="AA634" t="str">
        <f t="shared" si="214"/>
        <v>Red</v>
      </c>
      <c r="AB634" t="str">
        <f t="shared" si="215"/>
        <v>Red</v>
      </c>
      <c r="AC634" t="str">
        <f t="shared" si="216"/>
        <v>Green</v>
      </c>
      <c r="AD634" t="str">
        <f t="shared" si="217"/>
        <v>Red</v>
      </c>
    </row>
    <row r="635" spans="1:30" x14ac:dyDescent="0.2">
      <c r="A635" t="str">
        <f t="shared" si="200"/>
        <v>24/07/2026Nizhny Novgorod YouthSpartak Moscow Youth</v>
      </c>
      <c r="D635" s="2">
        <v>46227</v>
      </c>
      <c r="E635" s="3">
        <v>0.5</v>
      </c>
      <c r="F635" t="s">
        <v>2574</v>
      </c>
      <c r="G635" t="s">
        <v>2575</v>
      </c>
      <c r="H635">
        <v>1</v>
      </c>
      <c r="I635">
        <v>2</v>
      </c>
      <c r="J635">
        <v>2</v>
      </c>
      <c r="K635">
        <v>3</v>
      </c>
      <c r="L635" s="22" t="str">
        <f t="shared" si="218"/>
        <v>24/07/2026</v>
      </c>
      <c r="M635" s="23">
        <f t="shared" si="219"/>
        <v>0.375</v>
      </c>
      <c r="N635" t="str">
        <f t="shared" si="201"/>
        <v>2 - 3</v>
      </c>
      <c r="O635" t="str">
        <f t="shared" si="202"/>
        <v>Red</v>
      </c>
      <c r="P635" t="str">
        <f t="shared" si="203"/>
        <v>Red</v>
      </c>
      <c r="Q635" t="str">
        <f t="shared" si="204"/>
        <v>Green</v>
      </c>
      <c r="R635" t="str">
        <f t="shared" si="205"/>
        <v>Red</v>
      </c>
      <c r="S635" t="str">
        <f t="shared" si="206"/>
        <v>Green</v>
      </c>
      <c r="T635" t="str">
        <f t="shared" si="207"/>
        <v>Green</v>
      </c>
      <c r="U635" t="str">
        <f t="shared" si="208"/>
        <v>Red</v>
      </c>
      <c r="V635" t="str">
        <f t="shared" si="209"/>
        <v>Red</v>
      </c>
      <c r="W635" t="str">
        <f t="shared" si="210"/>
        <v>Green</v>
      </c>
      <c r="X635" t="str">
        <f t="shared" si="211"/>
        <v>Green</v>
      </c>
      <c r="Y635" t="str">
        <f t="shared" si="212"/>
        <v>Green</v>
      </c>
      <c r="Z635" t="str">
        <f t="shared" si="213"/>
        <v>Green</v>
      </c>
      <c r="AA635" t="str">
        <f t="shared" si="214"/>
        <v>Red</v>
      </c>
      <c r="AB635" t="str">
        <f t="shared" si="215"/>
        <v>Red</v>
      </c>
      <c r="AC635" t="str">
        <f t="shared" si="216"/>
        <v>Green</v>
      </c>
      <c r="AD635" t="str">
        <f t="shared" si="217"/>
        <v>Red</v>
      </c>
    </row>
    <row r="636" spans="1:30" x14ac:dyDescent="0.2">
      <c r="A636" t="str">
        <f t="shared" si="200"/>
        <v>24/07/2026Fleetwood TownCarlisle United</v>
      </c>
      <c r="D636" s="2">
        <v>46227</v>
      </c>
      <c r="E636" s="3">
        <v>0.5</v>
      </c>
      <c r="F636" t="s">
        <v>1497</v>
      </c>
      <c r="G636" t="s">
        <v>1539</v>
      </c>
      <c r="L636" s="22" t="str">
        <f t="shared" si="218"/>
        <v>24/07/2026</v>
      </c>
      <c r="M636" s="23">
        <f t="shared" si="219"/>
        <v>0.375</v>
      </c>
      <c r="N636" t="str">
        <f t="shared" si="201"/>
        <v xml:space="preserve"> - </v>
      </c>
      <c r="O636" t="str">
        <f t="shared" si="202"/>
        <v>Red</v>
      </c>
      <c r="P636" t="str">
        <f t="shared" si="203"/>
        <v>Green</v>
      </c>
      <c r="Q636" t="str">
        <f t="shared" si="204"/>
        <v>Red</v>
      </c>
      <c r="R636" t="str">
        <f t="shared" si="205"/>
        <v>Green</v>
      </c>
      <c r="S636" t="str">
        <f t="shared" si="206"/>
        <v>Green</v>
      </c>
      <c r="T636" t="str">
        <f t="shared" si="207"/>
        <v>Red</v>
      </c>
      <c r="U636" t="str">
        <f t="shared" si="208"/>
        <v>Red</v>
      </c>
      <c r="V636" t="str">
        <f t="shared" si="209"/>
        <v>Green</v>
      </c>
      <c r="W636" t="str">
        <f t="shared" si="210"/>
        <v>Red</v>
      </c>
      <c r="X636" t="str">
        <f t="shared" si="211"/>
        <v>Red</v>
      </c>
      <c r="Y636" t="str">
        <f t="shared" si="212"/>
        <v>Red</v>
      </c>
      <c r="Z636" t="str">
        <f t="shared" si="213"/>
        <v>Red</v>
      </c>
      <c r="AA636" t="str">
        <f t="shared" si="214"/>
        <v>Green</v>
      </c>
      <c r="AB636" t="str">
        <f t="shared" si="215"/>
        <v>Green</v>
      </c>
      <c r="AC636" t="str">
        <f t="shared" si="216"/>
        <v>Red</v>
      </c>
      <c r="AD636" t="str">
        <f t="shared" si="217"/>
        <v>Green</v>
      </c>
    </row>
    <row r="637" spans="1:30" x14ac:dyDescent="0.2">
      <c r="A637" t="str">
        <f t="shared" si="200"/>
        <v>24/07/2026Lommel UnitedADO Den Haag</v>
      </c>
      <c r="D637" s="2">
        <v>46227</v>
      </c>
      <c r="E637" s="3">
        <v>0.5</v>
      </c>
      <c r="F637" t="s">
        <v>2642</v>
      </c>
      <c r="G637" t="s">
        <v>2643</v>
      </c>
      <c r="H637">
        <v>0</v>
      </c>
      <c r="I637">
        <v>2</v>
      </c>
      <c r="J637">
        <v>0</v>
      </c>
      <c r="K637">
        <v>4</v>
      </c>
      <c r="L637" s="22" t="str">
        <f t="shared" si="218"/>
        <v>24/07/2026</v>
      </c>
      <c r="M637" s="23">
        <f t="shared" si="219"/>
        <v>0.375</v>
      </c>
      <c r="N637" t="str">
        <f t="shared" si="201"/>
        <v>0 - 4</v>
      </c>
      <c r="O637" t="str">
        <f t="shared" si="202"/>
        <v>Red</v>
      </c>
      <c r="P637" t="str">
        <f t="shared" si="203"/>
        <v>Red</v>
      </c>
      <c r="Q637" t="str">
        <f t="shared" si="204"/>
        <v>Green</v>
      </c>
      <c r="R637" t="str">
        <f t="shared" si="205"/>
        <v>Red</v>
      </c>
      <c r="S637" t="str">
        <f t="shared" si="206"/>
        <v>Green</v>
      </c>
      <c r="T637" t="str">
        <f t="shared" si="207"/>
        <v>Green</v>
      </c>
      <c r="U637" t="str">
        <f t="shared" si="208"/>
        <v>Red</v>
      </c>
      <c r="V637" t="str">
        <f t="shared" si="209"/>
        <v>Red</v>
      </c>
      <c r="W637" t="str">
        <f t="shared" si="210"/>
        <v>Green</v>
      </c>
      <c r="X637" t="str">
        <f t="shared" si="211"/>
        <v>Green</v>
      </c>
      <c r="Y637" t="str">
        <f t="shared" si="212"/>
        <v>Green</v>
      </c>
      <c r="Z637" t="str">
        <f t="shared" si="213"/>
        <v>Green</v>
      </c>
      <c r="AA637" t="str">
        <f t="shared" si="214"/>
        <v>Red</v>
      </c>
      <c r="AB637" t="str">
        <f t="shared" si="215"/>
        <v>Red</v>
      </c>
      <c r="AC637" t="str">
        <f t="shared" si="216"/>
        <v>Red</v>
      </c>
      <c r="AD637" t="str">
        <f t="shared" si="217"/>
        <v>Green</v>
      </c>
    </row>
    <row r="638" spans="1:30" x14ac:dyDescent="0.2">
      <c r="A638" t="str">
        <f t="shared" si="200"/>
        <v>24/07/2026WolfsburgLyon</v>
      </c>
      <c r="D638" s="2">
        <v>46227</v>
      </c>
      <c r="E638" s="3">
        <v>0.5</v>
      </c>
      <c r="F638" t="s">
        <v>2644</v>
      </c>
      <c r="G638" t="s">
        <v>2645</v>
      </c>
      <c r="H638">
        <v>0</v>
      </c>
      <c r="I638">
        <v>0</v>
      </c>
      <c r="J638">
        <v>0</v>
      </c>
      <c r="K638">
        <v>2</v>
      </c>
      <c r="L638" s="22" t="str">
        <f t="shared" si="218"/>
        <v>24/07/2026</v>
      </c>
      <c r="M638" s="23">
        <f t="shared" si="219"/>
        <v>0.375</v>
      </c>
      <c r="N638" t="str">
        <f t="shared" si="201"/>
        <v>0 - 2</v>
      </c>
      <c r="O638" t="str">
        <f t="shared" si="202"/>
        <v>Red</v>
      </c>
      <c r="P638" t="str">
        <f t="shared" si="203"/>
        <v>Red</v>
      </c>
      <c r="Q638" t="str">
        <f t="shared" si="204"/>
        <v>Green</v>
      </c>
      <c r="R638" t="str">
        <f t="shared" si="205"/>
        <v>Red</v>
      </c>
      <c r="S638" t="str">
        <f t="shared" si="206"/>
        <v>Green</v>
      </c>
      <c r="T638" t="str">
        <f t="shared" si="207"/>
        <v>Green</v>
      </c>
      <c r="U638" t="str">
        <f t="shared" si="208"/>
        <v>Red</v>
      </c>
      <c r="V638" t="str">
        <f t="shared" si="209"/>
        <v>Green</v>
      </c>
      <c r="W638" t="str">
        <f t="shared" si="210"/>
        <v>Red</v>
      </c>
      <c r="X638" t="str">
        <f t="shared" si="211"/>
        <v>Red</v>
      </c>
      <c r="Y638" t="str">
        <f t="shared" si="212"/>
        <v>Green</v>
      </c>
      <c r="Z638" t="str">
        <f t="shared" si="213"/>
        <v>Red</v>
      </c>
      <c r="AA638" t="str">
        <f t="shared" si="214"/>
        <v>Green</v>
      </c>
      <c r="AB638" t="str">
        <f t="shared" si="215"/>
        <v>Green</v>
      </c>
      <c r="AC638" t="str">
        <f t="shared" si="216"/>
        <v>Red</v>
      </c>
      <c r="AD638" t="str">
        <f t="shared" si="217"/>
        <v>Green</v>
      </c>
    </row>
    <row r="639" spans="1:30" x14ac:dyDescent="0.2">
      <c r="A639" t="str">
        <f t="shared" si="200"/>
        <v>24/07/2026Sao Bento U20Jabaquara U20</v>
      </c>
      <c r="D639" s="2">
        <v>46227</v>
      </c>
      <c r="E639" s="3">
        <v>0.54166666666666663</v>
      </c>
      <c r="F639" t="s">
        <v>2362</v>
      </c>
      <c r="G639" t="s">
        <v>2363</v>
      </c>
      <c r="H639">
        <v>1</v>
      </c>
      <c r="I639">
        <v>0</v>
      </c>
      <c r="J639">
        <v>3</v>
      </c>
      <c r="K639">
        <v>0</v>
      </c>
      <c r="L639" s="22" t="str">
        <f t="shared" si="218"/>
        <v>24/07/2026</v>
      </c>
      <c r="M639" s="23">
        <f t="shared" si="219"/>
        <v>0.41666666666666663</v>
      </c>
      <c r="N639" t="str">
        <f t="shared" si="201"/>
        <v>3 - 0</v>
      </c>
      <c r="O639" t="str">
        <f t="shared" si="202"/>
        <v>Green</v>
      </c>
      <c r="P639" t="str">
        <f t="shared" si="203"/>
        <v>Red</v>
      </c>
      <c r="Q639" t="str">
        <f t="shared" si="204"/>
        <v>Red</v>
      </c>
      <c r="R639" t="str">
        <f t="shared" si="205"/>
        <v>Green</v>
      </c>
      <c r="S639" t="str">
        <f t="shared" si="206"/>
        <v>Red</v>
      </c>
      <c r="T639" t="str">
        <f t="shared" si="207"/>
        <v>Green</v>
      </c>
      <c r="U639" t="str">
        <f t="shared" si="208"/>
        <v>Green</v>
      </c>
      <c r="V639" t="str">
        <f t="shared" si="209"/>
        <v>Red</v>
      </c>
      <c r="W639" t="str">
        <f t="shared" si="210"/>
        <v>Red</v>
      </c>
      <c r="X639" t="str">
        <f t="shared" si="211"/>
        <v>Green</v>
      </c>
      <c r="Y639" t="str">
        <f t="shared" si="212"/>
        <v>Green</v>
      </c>
      <c r="Z639" t="str">
        <f t="shared" si="213"/>
        <v>Green</v>
      </c>
      <c r="AA639" t="str">
        <f t="shared" si="214"/>
        <v>Red</v>
      </c>
      <c r="AB639" t="str">
        <f t="shared" si="215"/>
        <v>Green</v>
      </c>
      <c r="AC639" t="str">
        <f t="shared" si="216"/>
        <v>Red</v>
      </c>
      <c r="AD639" t="str">
        <f t="shared" si="217"/>
        <v>Green</v>
      </c>
    </row>
    <row r="640" spans="1:30" x14ac:dyDescent="0.2">
      <c r="A640" t="str">
        <f t="shared" si="200"/>
        <v>24/07/2026Aktobe U21Sport Academy Kairat</v>
      </c>
      <c r="D640" s="2">
        <v>46227</v>
      </c>
      <c r="E640" s="3">
        <v>0.54166666666666663</v>
      </c>
      <c r="F640" t="s">
        <v>2504</v>
      </c>
      <c r="G640" t="s">
        <v>2505</v>
      </c>
      <c r="H640">
        <v>0</v>
      </c>
      <c r="I640">
        <v>3</v>
      </c>
      <c r="J640">
        <v>0</v>
      </c>
      <c r="K640">
        <v>4</v>
      </c>
      <c r="L640" s="22" t="str">
        <f t="shared" si="218"/>
        <v>24/07/2026</v>
      </c>
      <c r="M640" s="23">
        <f t="shared" si="219"/>
        <v>0.41666666666666663</v>
      </c>
      <c r="N640" t="str">
        <f t="shared" si="201"/>
        <v>0 - 4</v>
      </c>
      <c r="O640" t="str">
        <f t="shared" si="202"/>
        <v>Red</v>
      </c>
      <c r="P640" t="str">
        <f t="shared" si="203"/>
        <v>Red</v>
      </c>
      <c r="Q640" t="str">
        <f t="shared" si="204"/>
        <v>Green</v>
      </c>
      <c r="R640" t="str">
        <f t="shared" si="205"/>
        <v>Red</v>
      </c>
      <c r="S640" t="str">
        <f t="shared" si="206"/>
        <v>Green</v>
      </c>
      <c r="T640" t="str">
        <f t="shared" si="207"/>
        <v>Green</v>
      </c>
      <c r="U640" t="str">
        <f t="shared" si="208"/>
        <v>Red</v>
      </c>
      <c r="V640" t="str">
        <f t="shared" si="209"/>
        <v>Red</v>
      </c>
      <c r="W640" t="str">
        <f t="shared" si="210"/>
        <v>Green</v>
      </c>
      <c r="X640" t="str">
        <f t="shared" si="211"/>
        <v>Green</v>
      </c>
      <c r="Y640" t="str">
        <f t="shared" si="212"/>
        <v>Green</v>
      </c>
      <c r="Z640" t="str">
        <f t="shared" si="213"/>
        <v>Green</v>
      </c>
      <c r="AA640" t="str">
        <f t="shared" si="214"/>
        <v>Red</v>
      </c>
      <c r="AB640" t="str">
        <f t="shared" si="215"/>
        <v>Red</v>
      </c>
      <c r="AC640" t="str">
        <f t="shared" si="216"/>
        <v>Red</v>
      </c>
      <c r="AD640" t="str">
        <f t="shared" si="217"/>
        <v>Green</v>
      </c>
    </row>
    <row r="641" spans="1:30" x14ac:dyDescent="0.2">
      <c r="A641" t="str">
        <f t="shared" si="200"/>
        <v>24/07/2026Shakhter KaragandyFK Arys</v>
      </c>
      <c r="D641" s="2">
        <v>46227</v>
      </c>
      <c r="E641" s="3">
        <v>0.54166666666666663</v>
      </c>
      <c r="F641" t="s">
        <v>2506</v>
      </c>
      <c r="G641" t="s">
        <v>2507</v>
      </c>
      <c r="H641">
        <v>1</v>
      </c>
      <c r="I641">
        <v>1</v>
      </c>
      <c r="J641">
        <v>4</v>
      </c>
      <c r="K641">
        <v>1</v>
      </c>
      <c r="L641" s="22" t="str">
        <f t="shared" si="218"/>
        <v>24/07/2026</v>
      </c>
      <c r="M641" s="23">
        <f t="shared" si="219"/>
        <v>0.41666666666666663</v>
      </c>
      <c r="N641" t="str">
        <f t="shared" si="201"/>
        <v>4 - 1</v>
      </c>
      <c r="O641" t="str">
        <f t="shared" si="202"/>
        <v>Green</v>
      </c>
      <c r="P641" t="str">
        <f t="shared" si="203"/>
        <v>Red</v>
      </c>
      <c r="Q641" t="str">
        <f t="shared" si="204"/>
        <v>Red</v>
      </c>
      <c r="R641" t="str">
        <f t="shared" si="205"/>
        <v>Green</v>
      </c>
      <c r="S641" t="str">
        <f t="shared" si="206"/>
        <v>Red</v>
      </c>
      <c r="T641" t="str">
        <f t="shared" si="207"/>
        <v>Green</v>
      </c>
      <c r="U641" t="str">
        <f t="shared" si="208"/>
        <v>Red</v>
      </c>
      <c r="V641" t="str">
        <f t="shared" si="209"/>
        <v>Green</v>
      </c>
      <c r="W641" t="str">
        <f t="shared" si="210"/>
        <v>Red</v>
      </c>
      <c r="X641" t="str">
        <f t="shared" si="211"/>
        <v>Green</v>
      </c>
      <c r="Y641" t="str">
        <f t="shared" si="212"/>
        <v>Green</v>
      </c>
      <c r="Z641" t="str">
        <f t="shared" si="213"/>
        <v>Green</v>
      </c>
      <c r="AA641" t="str">
        <f t="shared" si="214"/>
        <v>Red</v>
      </c>
      <c r="AB641" t="str">
        <f t="shared" si="215"/>
        <v>Red</v>
      </c>
      <c r="AC641" t="str">
        <f t="shared" si="216"/>
        <v>Green</v>
      </c>
      <c r="AD641" t="str">
        <f t="shared" si="217"/>
        <v>Red</v>
      </c>
    </row>
    <row r="642" spans="1:30" x14ac:dyDescent="0.2">
      <c r="A642" t="str">
        <f t="shared" ref="A642:A705" si="220">L642&amp;F642&amp;G642</f>
        <v>24/07/2026Helsingborg U19Hacken U19</v>
      </c>
      <c r="B642" t="s">
        <v>827</v>
      </c>
      <c r="D642" s="2">
        <v>46227</v>
      </c>
      <c r="E642" s="3">
        <v>0.54166666666666663</v>
      </c>
      <c r="F642" t="s">
        <v>2598</v>
      </c>
      <c r="G642" t="s">
        <v>2599</v>
      </c>
      <c r="H642">
        <v>0</v>
      </c>
      <c r="I642">
        <v>0</v>
      </c>
      <c r="J642">
        <v>1</v>
      </c>
      <c r="K642">
        <v>0</v>
      </c>
      <c r="L642" s="22" t="str">
        <f t="shared" si="218"/>
        <v>24/07/2026</v>
      </c>
      <c r="M642" s="23">
        <f t="shared" si="219"/>
        <v>0.41666666666666663</v>
      </c>
      <c r="N642" t="str">
        <f t="shared" ref="N642:N705" si="221">J642&amp;" - "&amp;K642</f>
        <v>1 - 0</v>
      </c>
      <c r="O642" t="str">
        <f t="shared" ref="O642:O705" si="222">IF($J642&gt;$K642,"Green","Red")</f>
        <v>Green</v>
      </c>
      <c r="P642" t="str">
        <f t="shared" ref="P642:P705" si="223">IF($J642=$K642,"Green","Red")</f>
        <v>Red</v>
      </c>
      <c r="Q642" t="str">
        <f t="shared" ref="Q642:Q705" si="224">IF($J642&lt;$K642,"Green","Red")</f>
        <v>Red</v>
      </c>
      <c r="R642" t="str">
        <f t="shared" ref="R642:R705" si="225">IF($J642&gt;=$K642,"Green","Red")</f>
        <v>Green</v>
      </c>
      <c r="S642" t="str">
        <f t="shared" ref="S642:S705" si="226">IF($J642&lt;=$K642,"Green","Red")</f>
        <v>Red</v>
      </c>
      <c r="T642" t="str">
        <f t="shared" ref="T642:T705" si="227">IF(OR($J642&gt;$K642,$J642&lt;$K642),"Green","Red")</f>
        <v>Green</v>
      </c>
      <c r="U642" t="str">
        <f t="shared" ref="U642:U705" si="228">IF($H642&gt;$I642,"Green","Red")</f>
        <v>Red</v>
      </c>
      <c r="V642" t="str">
        <f t="shared" ref="V642:V705" si="229">IF($H642=$I642,"Green","Red")</f>
        <v>Green</v>
      </c>
      <c r="W642" t="str">
        <f t="shared" ref="W642:W705" si="230">IF($H642&lt;$I642,"Green","Red")</f>
        <v>Red</v>
      </c>
      <c r="X642" t="str">
        <f t="shared" ref="X642:X705" si="231">IF($H642+$I642&gt;0,"Green","Red")</f>
        <v>Red</v>
      </c>
      <c r="Y642" t="str">
        <f t="shared" ref="Y642:Y705" si="232">IF($J642+$K642&gt;1.5,"Green","Red")</f>
        <v>Red</v>
      </c>
      <c r="Z642" t="str">
        <f t="shared" ref="Z642:Z705" si="233">IF($J642+$K642&gt;2.5,"Green","Red")</f>
        <v>Red</v>
      </c>
      <c r="AA642" t="str">
        <f t="shared" ref="AA642:AA705" si="234">IF($J642+$K642&lt;2.5,"Green","Red")</f>
        <v>Green</v>
      </c>
      <c r="AB642" t="str">
        <f t="shared" ref="AB642:AB705" si="235">IF($J642+$K642&lt;3.5,"Green","Red")</f>
        <v>Green</v>
      </c>
      <c r="AC642" t="str">
        <f t="shared" ref="AC642:AC705" si="236">IF(AND($J642&gt;0,$K642&gt;0),"Green","Red")</f>
        <v>Red</v>
      </c>
      <c r="AD642" t="str">
        <f t="shared" ref="AD642:AD705" si="237">IF(OR($J642=0,$K642=0),"Green","Red")</f>
        <v>Green</v>
      </c>
    </row>
    <row r="643" spans="1:30" x14ac:dyDescent="0.2">
      <c r="A643" t="str">
        <f t="shared" si="220"/>
        <v>24/07/2026FC OleksandriyaFC Nyva Ternopil</v>
      </c>
      <c r="D643" s="2">
        <v>46227</v>
      </c>
      <c r="E643" s="3">
        <v>0.54166666666666663</v>
      </c>
      <c r="F643" t="s">
        <v>2612</v>
      </c>
      <c r="G643" t="s">
        <v>2613</v>
      </c>
      <c r="H643">
        <v>1</v>
      </c>
      <c r="I643">
        <v>0</v>
      </c>
      <c r="J643">
        <v>1</v>
      </c>
      <c r="K643">
        <v>1</v>
      </c>
      <c r="L643" s="22" t="str">
        <f t="shared" si="218"/>
        <v>24/07/2026</v>
      </c>
      <c r="M643" s="23">
        <f t="shared" si="219"/>
        <v>0.41666666666666663</v>
      </c>
      <c r="N643" t="str">
        <f t="shared" si="221"/>
        <v>1 - 1</v>
      </c>
      <c r="O643" t="str">
        <f t="shared" si="222"/>
        <v>Red</v>
      </c>
      <c r="P643" t="str">
        <f t="shared" si="223"/>
        <v>Green</v>
      </c>
      <c r="Q643" t="str">
        <f t="shared" si="224"/>
        <v>Red</v>
      </c>
      <c r="R643" t="str">
        <f t="shared" si="225"/>
        <v>Green</v>
      </c>
      <c r="S643" t="str">
        <f t="shared" si="226"/>
        <v>Green</v>
      </c>
      <c r="T643" t="str">
        <f t="shared" si="227"/>
        <v>Red</v>
      </c>
      <c r="U643" t="str">
        <f t="shared" si="228"/>
        <v>Green</v>
      </c>
      <c r="V643" t="str">
        <f t="shared" si="229"/>
        <v>Red</v>
      </c>
      <c r="W643" t="str">
        <f t="shared" si="230"/>
        <v>Red</v>
      </c>
      <c r="X643" t="str">
        <f t="shared" si="231"/>
        <v>Green</v>
      </c>
      <c r="Y643" t="str">
        <f t="shared" si="232"/>
        <v>Green</v>
      </c>
      <c r="Z643" t="str">
        <f t="shared" si="233"/>
        <v>Red</v>
      </c>
      <c r="AA643" t="str">
        <f t="shared" si="234"/>
        <v>Green</v>
      </c>
      <c r="AB643" t="str">
        <f t="shared" si="235"/>
        <v>Green</v>
      </c>
      <c r="AC643" t="str">
        <f t="shared" si="236"/>
        <v>Green</v>
      </c>
      <c r="AD643" t="str">
        <f t="shared" si="237"/>
        <v>Red</v>
      </c>
    </row>
    <row r="644" spans="1:30" x14ac:dyDescent="0.2">
      <c r="A644" t="str">
        <f t="shared" si="220"/>
        <v>24/07/2026Timor LesteVietnam</v>
      </c>
      <c r="B644" t="s">
        <v>2243</v>
      </c>
      <c r="C644" t="s">
        <v>2244</v>
      </c>
      <c r="D644" s="2">
        <v>46227</v>
      </c>
      <c r="E644" s="3">
        <v>0.5625</v>
      </c>
      <c r="F644" t="s">
        <v>2247</v>
      </c>
      <c r="G644" t="s">
        <v>2248</v>
      </c>
      <c r="H644">
        <v>0</v>
      </c>
      <c r="I644">
        <v>5</v>
      </c>
      <c r="J644">
        <v>0</v>
      </c>
      <c r="K644">
        <v>7</v>
      </c>
      <c r="L644" s="22" t="str">
        <f t="shared" si="218"/>
        <v>24/07/2026</v>
      </c>
      <c r="M644" s="23">
        <f t="shared" si="219"/>
        <v>0.4375</v>
      </c>
      <c r="N644" t="str">
        <f t="shared" si="221"/>
        <v>0 - 7</v>
      </c>
      <c r="O644" t="str">
        <f t="shared" si="222"/>
        <v>Red</v>
      </c>
      <c r="P644" t="str">
        <f t="shared" si="223"/>
        <v>Red</v>
      </c>
      <c r="Q644" t="str">
        <f t="shared" si="224"/>
        <v>Green</v>
      </c>
      <c r="R644" t="str">
        <f t="shared" si="225"/>
        <v>Red</v>
      </c>
      <c r="S644" t="str">
        <f t="shared" si="226"/>
        <v>Green</v>
      </c>
      <c r="T644" t="str">
        <f t="shared" si="227"/>
        <v>Green</v>
      </c>
      <c r="U644" t="str">
        <f t="shared" si="228"/>
        <v>Red</v>
      </c>
      <c r="V644" t="str">
        <f t="shared" si="229"/>
        <v>Red</v>
      </c>
      <c r="W644" t="str">
        <f t="shared" si="230"/>
        <v>Green</v>
      </c>
      <c r="X644" t="str">
        <f t="shared" si="231"/>
        <v>Green</v>
      </c>
      <c r="Y644" t="str">
        <f t="shared" si="232"/>
        <v>Green</v>
      </c>
      <c r="Z644" t="str">
        <f t="shared" si="233"/>
        <v>Green</v>
      </c>
      <c r="AA644" t="str">
        <f t="shared" si="234"/>
        <v>Red</v>
      </c>
      <c r="AB644" t="str">
        <f t="shared" si="235"/>
        <v>Red</v>
      </c>
      <c r="AC644" t="str">
        <f t="shared" si="236"/>
        <v>Red</v>
      </c>
      <c r="AD644" t="str">
        <f t="shared" si="237"/>
        <v>Green</v>
      </c>
    </row>
    <row r="645" spans="1:30" x14ac:dyDescent="0.2">
      <c r="A645" t="str">
        <f t="shared" si="220"/>
        <v>24/07/2026Aral NukusShurtan Guzar</v>
      </c>
      <c r="D645" s="2">
        <v>46227</v>
      </c>
      <c r="E645" s="3">
        <v>0.5625</v>
      </c>
      <c r="F645" t="s">
        <v>2629</v>
      </c>
      <c r="G645" t="s">
        <v>2630</v>
      </c>
      <c r="H645">
        <v>0</v>
      </c>
      <c r="I645">
        <v>0</v>
      </c>
      <c r="J645">
        <v>3</v>
      </c>
      <c r="K645">
        <v>1</v>
      </c>
      <c r="L645" s="22" t="str">
        <f t="shared" si="218"/>
        <v>24/07/2026</v>
      </c>
      <c r="M645" s="23">
        <f t="shared" si="219"/>
        <v>0.4375</v>
      </c>
      <c r="N645" t="str">
        <f t="shared" si="221"/>
        <v>3 - 1</v>
      </c>
      <c r="O645" t="str">
        <f t="shared" si="222"/>
        <v>Green</v>
      </c>
      <c r="P645" t="str">
        <f t="shared" si="223"/>
        <v>Red</v>
      </c>
      <c r="Q645" t="str">
        <f t="shared" si="224"/>
        <v>Red</v>
      </c>
      <c r="R645" t="str">
        <f t="shared" si="225"/>
        <v>Green</v>
      </c>
      <c r="S645" t="str">
        <f t="shared" si="226"/>
        <v>Red</v>
      </c>
      <c r="T645" t="str">
        <f t="shared" si="227"/>
        <v>Green</v>
      </c>
      <c r="U645" t="str">
        <f t="shared" si="228"/>
        <v>Red</v>
      </c>
      <c r="V645" t="str">
        <f t="shared" si="229"/>
        <v>Green</v>
      </c>
      <c r="W645" t="str">
        <f t="shared" si="230"/>
        <v>Red</v>
      </c>
      <c r="X645" t="str">
        <f t="shared" si="231"/>
        <v>Red</v>
      </c>
      <c r="Y645" t="str">
        <f t="shared" si="232"/>
        <v>Green</v>
      </c>
      <c r="Z645" t="str">
        <f t="shared" si="233"/>
        <v>Green</v>
      </c>
      <c r="AA645" t="str">
        <f t="shared" si="234"/>
        <v>Red</v>
      </c>
      <c r="AB645" t="str">
        <f t="shared" si="235"/>
        <v>Red</v>
      </c>
      <c r="AC645" t="str">
        <f t="shared" si="236"/>
        <v>Green</v>
      </c>
      <c r="AD645" t="str">
        <f t="shared" si="237"/>
        <v>Red</v>
      </c>
    </row>
    <row r="646" spans="1:30" x14ac:dyDescent="0.2">
      <c r="A646" t="str">
        <f t="shared" si="220"/>
        <v>24/07/2026FK TaurasKauno Zalgiris II</v>
      </c>
      <c r="D646" s="2">
        <v>46227</v>
      </c>
      <c r="E646" s="3">
        <v>0.58333333333333337</v>
      </c>
      <c r="F646" t="s">
        <v>139</v>
      </c>
      <c r="G646" t="s">
        <v>2511</v>
      </c>
      <c r="H646">
        <v>1</v>
      </c>
      <c r="I646">
        <v>2</v>
      </c>
      <c r="J646">
        <v>4</v>
      </c>
      <c r="K646">
        <v>2</v>
      </c>
      <c r="L646" s="22" t="str">
        <f t="shared" si="218"/>
        <v>24/07/2026</v>
      </c>
      <c r="M646" s="23">
        <f t="shared" si="219"/>
        <v>0.45833333333333337</v>
      </c>
      <c r="N646" t="str">
        <f t="shared" si="221"/>
        <v>4 - 2</v>
      </c>
      <c r="O646" t="str">
        <f t="shared" si="222"/>
        <v>Green</v>
      </c>
      <c r="P646" t="str">
        <f t="shared" si="223"/>
        <v>Red</v>
      </c>
      <c r="Q646" t="str">
        <f t="shared" si="224"/>
        <v>Red</v>
      </c>
      <c r="R646" t="str">
        <f t="shared" si="225"/>
        <v>Green</v>
      </c>
      <c r="S646" t="str">
        <f t="shared" si="226"/>
        <v>Red</v>
      </c>
      <c r="T646" t="str">
        <f t="shared" si="227"/>
        <v>Green</v>
      </c>
      <c r="U646" t="str">
        <f t="shared" si="228"/>
        <v>Red</v>
      </c>
      <c r="V646" t="str">
        <f t="shared" si="229"/>
        <v>Red</v>
      </c>
      <c r="W646" t="str">
        <f t="shared" si="230"/>
        <v>Green</v>
      </c>
      <c r="X646" t="str">
        <f t="shared" si="231"/>
        <v>Green</v>
      </c>
      <c r="Y646" t="str">
        <f t="shared" si="232"/>
        <v>Green</v>
      </c>
      <c r="Z646" t="str">
        <f t="shared" si="233"/>
        <v>Green</v>
      </c>
      <c r="AA646" t="str">
        <f t="shared" si="234"/>
        <v>Red</v>
      </c>
      <c r="AB646" t="str">
        <f t="shared" si="235"/>
        <v>Red</v>
      </c>
      <c r="AC646" t="str">
        <f t="shared" si="236"/>
        <v>Green</v>
      </c>
      <c r="AD646" t="str">
        <f t="shared" si="237"/>
        <v>Red</v>
      </c>
    </row>
    <row r="647" spans="1:30" x14ac:dyDescent="0.2">
      <c r="A647" t="str">
        <f t="shared" si="220"/>
        <v>24/07/2026Neftyanik IzberbashZarya Russia</v>
      </c>
      <c r="D647" s="2">
        <v>46227</v>
      </c>
      <c r="E647" s="3">
        <v>0.58333333333333337</v>
      </c>
      <c r="F647" t="s">
        <v>2566</v>
      </c>
      <c r="G647" t="s">
        <v>2567</v>
      </c>
      <c r="H647">
        <v>0</v>
      </c>
      <c r="I647">
        <v>0</v>
      </c>
      <c r="J647">
        <v>2</v>
      </c>
      <c r="K647">
        <v>1</v>
      </c>
      <c r="L647" s="22" t="str">
        <f t="shared" si="218"/>
        <v>24/07/2026</v>
      </c>
      <c r="M647" s="23">
        <f t="shared" si="219"/>
        <v>0.45833333333333337</v>
      </c>
      <c r="N647" t="str">
        <f t="shared" si="221"/>
        <v>2 - 1</v>
      </c>
      <c r="O647" t="str">
        <f t="shared" si="222"/>
        <v>Green</v>
      </c>
      <c r="P647" t="str">
        <f t="shared" si="223"/>
        <v>Red</v>
      </c>
      <c r="Q647" t="str">
        <f t="shared" si="224"/>
        <v>Red</v>
      </c>
      <c r="R647" t="str">
        <f t="shared" si="225"/>
        <v>Green</v>
      </c>
      <c r="S647" t="str">
        <f t="shared" si="226"/>
        <v>Red</v>
      </c>
      <c r="T647" t="str">
        <f t="shared" si="227"/>
        <v>Green</v>
      </c>
      <c r="U647" t="str">
        <f t="shared" si="228"/>
        <v>Red</v>
      </c>
      <c r="V647" t="str">
        <f t="shared" si="229"/>
        <v>Green</v>
      </c>
      <c r="W647" t="str">
        <f t="shared" si="230"/>
        <v>Red</v>
      </c>
      <c r="X647" t="str">
        <f t="shared" si="231"/>
        <v>Red</v>
      </c>
      <c r="Y647" t="str">
        <f t="shared" si="232"/>
        <v>Green</v>
      </c>
      <c r="Z647" t="str">
        <f t="shared" si="233"/>
        <v>Green</v>
      </c>
      <c r="AA647" t="str">
        <f t="shared" si="234"/>
        <v>Red</v>
      </c>
      <c r="AB647" t="str">
        <f t="shared" si="235"/>
        <v>Green</v>
      </c>
      <c r="AC647" t="str">
        <f t="shared" si="236"/>
        <v>Green</v>
      </c>
      <c r="AD647" t="str">
        <f t="shared" si="237"/>
        <v>Red</v>
      </c>
    </row>
    <row r="648" spans="1:30" x14ac:dyDescent="0.2">
      <c r="A648" t="str">
        <f t="shared" si="220"/>
        <v>24/07/2026Chertanovo YouthZenit St. Petersburg Youth</v>
      </c>
      <c r="D648" s="2">
        <v>46227</v>
      </c>
      <c r="E648" s="3">
        <v>0.58333333333333337</v>
      </c>
      <c r="F648" t="s">
        <v>2576</v>
      </c>
      <c r="G648" t="s">
        <v>2577</v>
      </c>
      <c r="H648">
        <v>0</v>
      </c>
      <c r="I648">
        <v>2</v>
      </c>
      <c r="J648">
        <v>0</v>
      </c>
      <c r="K648">
        <v>3</v>
      </c>
      <c r="L648" s="22" t="str">
        <f t="shared" si="218"/>
        <v>24/07/2026</v>
      </c>
      <c r="M648" s="23">
        <f t="shared" si="219"/>
        <v>0.45833333333333337</v>
      </c>
      <c r="N648" t="str">
        <f t="shared" si="221"/>
        <v>0 - 3</v>
      </c>
      <c r="O648" t="str">
        <f t="shared" si="222"/>
        <v>Red</v>
      </c>
      <c r="P648" t="str">
        <f t="shared" si="223"/>
        <v>Red</v>
      </c>
      <c r="Q648" t="str">
        <f t="shared" si="224"/>
        <v>Green</v>
      </c>
      <c r="R648" t="str">
        <f t="shared" si="225"/>
        <v>Red</v>
      </c>
      <c r="S648" t="str">
        <f t="shared" si="226"/>
        <v>Green</v>
      </c>
      <c r="T648" t="str">
        <f t="shared" si="227"/>
        <v>Green</v>
      </c>
      <c r="U648" t="str">
        <f t="shared" si="228"/>
        <v>Red</v>
      </c>
      <c r="V648" t="str">
        <f t="shared" si="229"/>
        <v>Red</v>
      </c>
      <c r="W648" t="str">
        <f t="shared" si="230"/>
        <v>Green</v>
      </c>
      <c r="X648" t="str">
        <f t="shared" si="231"/>
        <v>Green</v>
      </c>
      <c r="Y648" t="str">
        <f t="shared" si="232"/>
        <v>Green</v>
      </c>
      <c r="Z648" t="str">
        <f t="shared" si="233"/>
        <v>Green</v>
      </c>
      <c r="AA648" t="str">
        <f t="shared" si="234"/>
        <v>Red</v>
      </c>
      <c r="AB648" t="str">
        <f t="shared" si="235"/>
        <v>Green</v>
      </c>
      <c r="AC648" t="str">
        <f t="shared" si="236"/>
        <v>Red</v>
      </c>
      <c r="AD648" t="str">
        <f t="shared" si="237"/>
        <v>Green</v>
      </c>
    </row>
    <row r="649" spans="1:30" x14ac:dyDescent="0.2">
      <c r="A649" t="str">
        <f t="shared" si="220"/>
        <v>24/07/2026CSKA Moscow YouthUral Youth</v>
      </c>
      <c r="D649" s="2">
        <v>46227</v>
      </c>
      <c r="E649" s="3">
        <v>0.58333333333333337</v>
      </c>
      <c r="F649" t="s">
        <v>2578</v>
      </c>
      <c r="G649" t="s">
        <v>2579</v>
      </c>
      <c r="H649">
        <v>1</v>
      </c>
      <c r="I649">
        <v>0</v>
      </c>
      <c r="J649">
        <v>4</v>
      </c>
      <c r="K649">
        <v>1</v>
      </c>
      <c r="L649" s="22" t="str">
        <f t="shared" si="218"/>
        <v>24/07/2026</v>
      </c>
      <c r="M649" s="23">
        <f t="shared" si="219"/>
        <v>0.45833333333333337</v>
      </c>
      <c r="N649" t="str">
        <f t="shared" si="221"/>
        <v>4 - 1</v>
      </c>
      <c r="O649" t="str">
        <f t="shared" si="222"/>
        <v>Green</v>
      </c>
      <c r="P649" t="str">
        <f t="shared" si="223"/>
        <v>Red</v>
      </c>
      <c r="Q649" t="str">
        <f t="shared" si="224"/>
        <v>Red</v>
      </c>
      <c r="R649" t="str">
        <f t="shared" si="225"/>
        <v>Green</v>
      </c>
      <c r="S649" t="str">
        <f t="shared" si="226"/>
        <v>Red</v>
      </c>
      <c r="T649" t="str">
        <f t="shared" si="227"/>
        <v>Green</v>
      </c>
      <c r="U649" t="str">
        <f t="shared" si="228"/>
        <v>Green</v>
      </c>
      <c r="V649" t="str">
        <f t="shared" si="229"/>
        <v>Red</v>
      </c>
      <c r="W649" t="str">
        <f t="shared" si="230"/>
        <v>Red</v>
      </c>
      <c r="X649" t="str">
        <f t="shared" si="231"/>
        <v>Green</v>
      </c>
      <c r="Y649" t="str">
        <f t="shared" si="232"/>
        <v>Green</v>
      </c>
      <c r="Z649" t="str">
        <f t="shared" si="233"/>
        <v>Green</v>
      </c>
      <c r="AA649" t="str">
        <f t="shared" si="234"/>
        <v>Red</v>
      </c>
      <c r="AB649" t="str">
        <f t="shared" si="235"/>
        <v>Red</v>
      </c>
      <c r="AC649" t="str">
        <f t="shared" si="236"/>
        <v>Green</v>
      </c>
      <c r="AD649" t="str">
        <f t="shared" si="237"/>
        <v>Red</v>
      </c>
    </row>
    <row r="650" spans="1:30" x14ac:dyDescent="0.2">
      <c r="A650" t="str">
        <f t="shared" si="220"/>
        <v>24/07/2026Fakel Voronezh YouthRubin Kazan Youth</v>
      </c>
      <c r="D650" s="2">
        <v>46227</v>
      </c>
      <c r="E650" s="3">
        <v>0.58333333333333337</v>
      </c>
      <c r="F650" t="s">
        <v>2580</v>
      </c>
      <c r="G650" t="s">
        <v>2581</v>
      </c>
      <c r="H650">
        <v>0</v>
      </c>
      <c r="I650">
        <v>0</v>
      </c>
      <c r="J650">
        <v>0</v>
      </c>
      <c r="K650">
        <v>1</v>
      </c>
      <c r="L650" s="22" t="str">
        <f t="shared" si="218"/>
        <v>24/07/2026</v>
      </c>
      <c r="M650" s="23">
        <f t="shared" si="219"/>
        <v>0.45833333333333337</v>
      </c>
      <c r="N650" t="str">
        <f t="shared" si="221"/>
        <v>0 - 1</v>
      </c>
      <c r="O650" t="str">
        <f t="shared" si="222"/>
        <v>Red</v>
      </c>
      <c r="P650" t="str">
        <f t="shared" si="223"/>
        <v>Red</v>
      </c>
      <c r="Q650" t="str">
        <f t="shared" si="224"/>
        <v>Green</v>
      </c>
      <c r="R650" t="str">
        <f t="shared" si="225"/>
        <v>Red</v>
      </c>
      <c r="S650" t="str">
        <f t="shared" si="226"/>
        <v>Green</v>
      </c>
      <c r="T650" t="str">
        <f t="shared" si="227"/>
        <v>Green</v>
      </c>
      <c r="U650" t="str">
        <f t="shared" si="228"/>
        <v>Red</v>
      </c>
      <c r="V650" t="str">
        <f t="shared" si="229"/>
        <v>Green</v>
      </c>
      <c r="W650" t="str">
        <f t="shared" si="230"/>
        <v>Red</v>
      </c>
      <c r="X650" t="str">
        <f t="shared" si="231"/>
        <v>Red</v>
      </c>
      <c r="Y650" t="str">
        <f t="shared" si="232"/>
        <v>Red</v>
      </c>
      <c r="Z650" t="str">
        <f t="shared" si="233"/>
        <v>Red</v>
      </c>
      <c r="AA650" t="str">
        <f t="shared" si="234"/>
        <v>Green</v>
      </c>
      <c r="AB650" t="str">
        <f t="shared" si="235"/>
        <v>Green</v>
      </c>
      <c r="AC650" t="str">
        <f t="shared" si="236"/>
        <v>Red</v>
      </c>
      <c r="AD650" t="str">
        <f t="shared" si="237"/>
        <v>Green</v>
      </c>
    </row>
    <row r="651" spans="1:30" x14ac:dyDescent="0.2">
      <c r="A651" t="str">
        <f t="shared" si="220"/>
        <v>24/07/2026CSKA Moscow WomenVDV Ryazan Women</v>
      </c>
      <c r="D651" s="2">
        <v>46227</v>
      </c>
      <c r="E651" s="3">
        <v>0.58333333333333337</v>
      </c>
      <c r="F651" t="s">
        <v>2586</v>
      </c>
      <c r="G651" t="s">
        <v>2587</v>
      </c>
      <c r="H651">
        <v>0</v>
      </c>
      <c r="I651">
        <v>0</v>
      </c>
      <c r="J651">
        <v>2</v>
      </c>
      <c r="K651">
        <v>1</v>
      </c>
      <c r="L651" s="22" t="str">
        <f t="shared" si="218"/>
        <v>24/07/2026</v>
      </c>
      <c r="M651" s="23">
        <f t="shared" si="219"/>
        <v>0.45833333333333337</v>
      </c>
      <c r="N651" t="str">
        <f t="shared" si="221"/>
        <v>2 - 1</v>
      </c>
      <c r="O651" t="str">
        <f t="shared" si="222"/>
        <v>Green</v>
      </c>
      <c r="P651" t="str">
        <f t="shared" si="223"/>
        <v>Red</v>
      </c>
      <c r="Q651" t="str">
        <f t="shared" si="224"/>
        <v>Red</v>
      </c>
      <c r="R651" t="str">
        <f t="shared" si="225"/>
        <v>Green</v>
      </c>
      <c r="S651" t="str">
        <f t="shared" si="226"/>
        <v>Red</v>
      </c>
      <c r="T651" t="str">
        <f t="shared" si="227"/>
        <v>Green</v>
      </c>
      <c r="U651" t="str">
        <f t="shared" si="228"/>
        <v>Red</v>
      </c>
      <c r="V651" t="str">
        <f t="shared" si="229"/>
        <v>Green</v>
      </c>
      <c r="W651" t="str">
        <f t="shared" si="230"/>
        <v>Red</v>
      </c>
      <c r="X651" t="str">
        <f t="shared" si="231"/>
        <v>Red</v>
      </c>
      <c r="Y651" t="str">
        <f t="shared" si="232"/>
        <v>Green</v>
      </c>
      <c r="Z651" t="str">
        <f t="shared" si="233"/>
        <v>Green</v>
      </c>
      <c r="AA651" t="str">
        <f t="shared" si="234"/>
        <v>Red</v>
      </c>
      <c r="AB651" t="str">
        <f t="shared" si="235"/>
        <v>Green</v>
      </c>
      <c r="AC651" t="str">
        <f t="shared" si="236"/>
        <v>Green</v>
      </c>
      <c r="AD651" t="str">
        <f t="shared" si="237"/>
        <v>Red</v>
      </c>
    </row>
    <row r="652" spans="1:30" x14ac:dyDescent="0.2">
      <c r="A652" t="str">
        <f t="shared" si="220"/>
        <v>24/07/2026Buxoro IIPakhtakor Tashkent II</v>
      </c>
      <c r="D652" s="2">
        <v>46227</v>
      </c>
      <c r="E652" s="3">
        <v>0.58333333333333337</v>
      </c>
      <c r="F652" t="s">
        <v>2631</v>
      </c>
      <c r="G652" t="s">
        <v>2632</v>
      </c>
      <c r="H652">
        <v>0</v>
      </c>
      <c r="I652">
        <v>0</v>
      </c>
      <c r="J652">
        <v>2</v>
      </c>
      <c r="K652">
        <v>0</v>
      </c>
      <c r="L652" s="22" t="str">
        <f t="shared" si="218"/>
        <v>24/07/2026</v>
      </c>
      <c r="M652" s="23">
        <f t="shared" si="219"/>
        <v>0.45833333333333337</v>
      </c>
      <c r="N652" t="str">
        <f t="shared" si="221"/>
        <v>2 - 0</v>
      </c>
      <c r="O652" t="str">
        <f t="shared" si="222"/>
        <v>Green</v>
      </c>
      <c r="P652" t="str">
        <f t="shared" si="223"/>
        <v>Red</v>
      </c>
      <c r="Q652" t="str">
        <f t="shared" si="224"/>
        <v>Red</v>
      </c>
      <c r="R652" t="str">
        <f t="shared" si="225"/>
        <v>Green</v>
      </c>
      <c r="S652" t="str">
        <f t="shared" si="226"/>
        <v>Red</v>
      </c>
      <c r="T652" t="str">
        <f t="shared" si="227"/>
        <v>Green</v>
      </c>
      <c r="U652" t="str">
        <f t="shared" si="228"/>
        <v>Red</v>
      </c>
      <c r="V652" t="str">
        <f t="shared" si="229"/>
        <v>Green</v>
      </c>
      <c r="W652" t="str">
        <f t="shared" si="230"/>
        <v>Red</v>
      </c>
      <c r="X652" t="str">
        <f t="shared" si="231"/>
        <v>Red</v>
      </c>
      <c r="Y652" t="str">
        <f t="shared" si="232"/>
        <v>Green</v>
      </c>
      <c r="Z652" t="str">
        <f t="shared" si="233"/>
        <v>Red</v>
      </c>
      <c r="AA652" t="str">
        <f t="shared" si="234"/>
        <v>Green</v>
      </c>
      <c r="AB652" t="str">
        <f t="shared" si="235"/>
        <v>Green</v>
      </c>
      <c r="AC652" t="str">
        <f t="shared" si="236"/>
        <v>Red</v>
      </c>
      <c r="AD652" t="str">
        <f t="shared" si="237"/>
        <v>Green</v>
      </c>
    </row>
    <row r="653" spans="1:30" x14ac:dyDescent="0.2">
      <c r="A653" t="str">
        <f t="shared" si="220"/>
        <v>24/07/2026BournemouthSt. Pauli</v>
      </c>
      <c r="D653" s="2">
        <v>46227</v>
      </c>
      <c r="E653" s="3">
        <v>0.58333333333333337</v>
      </c>
      <c r="F653" t="s">
        <v>2646</v>
      </c>
      <c r="G653" t="s">
        <v>2647</v>
      </c>
      <c r="H653">
        <v>2</v>
      </c>
      <c r="I653">
        <v>1</v>
      </c>
      <c r="J653">
        <v>4</v>
      </c>
      <c r="K653">
        <v>1</v>
      </c>
      <c r="L653" s="22" t="str">
        <f t="shared" ref="L653:L716" si="238">DAY(D653)&amp;"/"&amp;"07"&amp;"/"&amp;YEAR(D653)</f>
        <v>24/07/2026</v>
      </c>
      <c r="M653" s="23">
        <f t="shared" ref="M653:M716" si="239">E653-TIME(3,0,0)</f>
        <v>0.45833333333333337</v>
      </c>
      <c r="N653" t="str">
        <f t="shared" si="221"/>
        <v>4 - 1</v>
      </c>
      <c r="O653" t="str">
        <f t="shared" si="222"/>
        <v>Green</v>
      </c>
      <c r="P653" t="str">
        <f t="shared" si="223"/>
        <v>Red</v>
      </c>
      <c r="Q653" t="str">
        <f t="shared" si="224"/>
        <v>Red</v>
      </c>
      <c r="R653" t="str">
        <f t="shared" si="225"/>
        <v>Green</v>
      </c>
      <c r="S653" t="str">
        <f t="shared" si="226"/>
        <v>Red</v>
      </c>
      <c r="T653" t="str">
        <f t="shared" si="227"/>
        <v>Green</v>
      </c>
      <c r="U653" t="str">
        <f t="shared" si="228"/>
        <v>Green</v>
      </c>
      <c r="V653" t="str">
        <f t="shared" si="229"/>
        <v>Red</v>
      </c>
      <c r="W653" t="str">
        <f t="shared" si="230"/>
        <v>Red</v>
      </c>
      <c r="X653" t="str">
        <f t="shared" si="231"/>
        <v>Green</v>
      </c>
      <c r="Y653" t="str">
        <f t="shared" si="232"/>
        <v>Green</v>
      </c>
      <c r="Z653" t="str">
        <f t="shared" si="233"/>
        <v>Green</v>
      </c>
      <c r="AA653" t="str">
        <f t="shared" si="234"/>
        <v>Red</v>
      </c>
      <c r="AB653" t="str">
        <f t="shared" si="235"/>
        <v>Red</v>
      </c>
      <c r="AC653" t="str">
        <f t="shared" si="236"/>
        <v>Green</v>
      </c>
      <c r="AD653" t="str">
        <f t="shared" si="237"/>
        <v>Red</v>
      </c>
    </row>
    <row r="654" spans="1:30" x14ac:dyDescent="0.2">
      <c r="A654" t="str">
        <f t="shared" si="220"/>
        <v>24/07/2026Derby CountyFreiburg</v>
      </c>
      <c r="D654" s="2">
        <v>46227</v>
      </c>
      <c r="E654" s="3">
        <v>0.58333333333333337</v>
      </c>
      <c r="F654" t="s">
        <v>2648</v>
      </c>
      <c r="G654" t="s">
        <v>2649</v>
      </c>
      <c r="H654">
        <v>1</v>
      </c>
      <c r="I654">
        <v>1</v>
      </c>
      <c r="J654">
        <v>1</v>
      </c>
      <c r="K654">
        <v>3</v>
      </c>
      <c r="L654" s="22" t="str">
        <f t="shared" si="238"/>
        <v>24/07/2026</v>
      </c>
      <c r="M654" s="23">
        <f t="shared" si="239"/>
        <v>0.45833333333333337</v>
      </c>
      <c r="N654" t="str">
        <f t="shared" si="221"/>
        <v>1 - 3</v>
      </c>
      <c r="O654" t="str">
        <f t="shared" si="222"/>
        <v>Red</v>
      </c>
      <c r="P654" t="str">
        <f t="shared" si="223"/>
        <v>Red</v>
      </c>
      <c r="Q654" t="str">
        <f t="shared" si="224"/>
        <v>Green</v>
      </c>
      <c r="R654" t="str">
        <f t="shared" si="225"/>
        <v>Red</v>
      </c>
      <c r="S654" t="str">
        <f t="shared" si="226"/>
        <v>Green</v>
      </c>
      <c r="T654" t="str">
        <f t="shared" si="227"/>
        <v>Green</v>
      </c>
      <c r="U654" t="str">
        <f t="shared" si="228"/>
        <v>Red</v>
      </c>
      <c r="V654" t="str">
        <f t="shared" si="229"/>
        <v>Green</v>
      </c>
      <c r="W654" t="str">
        <f t="shared" si="230"/>
        <v>Red</v>
      </c>
      <c r="X654" t="str">
        <f t="shared" si="231"/>
        <v>Green</v>
      </c>
      <c r="Y654" t="str">
        <f t="shared" si="232"/>
        <v>Green</v>
      </c>
      <c r="Z654" t="str">
        <f t="shared" si="233"/>
        <v>Green</v>
      </c>
      <c r="AA654" t="str">
        <f t="shared" si="234"/>
        <v>Red</v>
      </c>
      <c r="AB654" t="str">
        <f t="shared" si="235"/>
        <v>Red</v>
      </c>
      <c r="AC654" t="str">
        <f t="shared" si="236"/>
        <v>Green</v>
      </c>
      <c r="AD654" t="str">
        <f t="shared" si="237"/>
        <v>Red</v>
      </c>
    </row>
    <row r="655" spans="1:30" x14ac:dyDescent="0.2">
      <c r="A655" t="str">
        <f t="shared" si="220"/>
        <v>24/07/2026Energetik BGUDinamo Minsk Reserves</v>
      </c>
      <c r="D655" s="2">
        <v>46227</v>
      </c>
      <c r="E655" s="3">
        <v>0.60416666666666663</v>
      </c>
      <c r="F655" t="s">
        <v>2353</v>
      </c>
      <c r="G655" t="s">
        <v>2354</v>
      </c>
      <c r="H655">
        <v>0</v>
      </c>
      <c r="I655">
        <v>0</v>
      </c>
      <c r="J655">
        <v>0</v>
      </c>
      <c r="K655">
        <v>0</v>
      </c>
      <c r="L655" s="22" t="str">
        <f t="shared" si="238"/>
        <v>24/07/2026</v>
      </c>
      <c r="M655" s="23">
        <f t="shared" si="239"/>
        <v>0.47916666666666663</v>
      </c>
      <c r="N655" t="str">
        <f t="shared" si="221"/>
        <v>0 - 0</v>
      </c>
      <c r="O655" t="str">
        <f t="shared" si="222"/>
        <v>Red</v>
      </c>
      <c r="P655" t="str">
        <f t="shared" si="223"/>
        <v>Green</v>
      </c>
      <c r="Q655" t="str">
        <f t="shared" si="224"/>
        <v>Red</v>
      </c>
      <c r="R655" t="str">
        <f t="shared" si="225"/>
        <v>Green</v>
      </c>
      <c r="S655" t="str">
        <f t="shared" si="226"/>
        <v>Green</v>
      </c>
      <c r="T655" t="str">
        <f t="shared" si="227"/>
        <v>Red</v>
      </c>
      <c r="U655" t="str">
        <f t="shared" si="228"/>
        <v>Red</v>
      </c>
      <c r="V655" t="str">
        <f t="shared" si="229"/>
        <v>Green</v>
      </c>
      <c r="W655" t="str">
        <f t="shared" si="230"/>
        <v>Red</v>
      </c>
      <c r="X655" t="str">
        <f t="shared" si="231"/>
        <v>Red</v>
      </c>
      <c r="Y655" t="str">
        <f t="shared" si="232"/>
        <v>Red</v>
      </c>
      <c r="Z655" t="str">
        <f t="shared" si="233"/>
        <v>Red</v>
      </c>
      <c r="AA655" t="str">
        <f t="shared" si="234"/>
        <v>Green</v>
      </c>
      <c r="AB655" t="str">
        <f t="shared" si="235"/>
        <v>Green</v>
      </c>
      <c r="AC655" t="str">
        <f t="shared" si="236"/>
        <v>Red</v>
      </c>
      <c r="AD655" t="str">
        <f t="shared" si="237"/>
        <v>Green</v>
      </c>
    </row>
    <row r="656" spans="1:30" x14ac:dyDescent="0.2">
      <c r="A656" t="str">
        <f t="shared" si="220"/>
        <v>24/07/2026CD Magallanes WomenDeportes Temuco Women</v>
      </c>
      <c r="D656" s="2">
        <v>46227</v>
      </c>
      <c r="E656" s="3">
        <v>0.625</v>
      </c>
      <c r="F656" t="s">
        <v>2393</v>
      </c>
      <c r="G656" t="s">
        <v>2394</v>
      </c>
      <c r="H656">
        <v>0</v>
      </c>
      <c r="I656">
        <v>0</v>
      </c>
      <c r="J656">
        <v>3</v>
      </c>
      <c r="K656">
        <v>2</v>
      </c>
      <c r="L656" s="22" t="str">
        <f t="shared" si="238"/>
        <v>24/07/2026</v>
      </c>
      <c r="M656" s="23">
        <f t="shared" si="239"/>
        <v>0.5</v>
      </c>
      <c r="N656" t="str">
        <f t="shared" si="221"/>
        <v>3 - 2</v>
      </c>
      <c r="O656" t="str">
        <f t="shared" si="222"/>
        <v>Green</v>
      </c>
      <c r="P656" t="str">
        <f t="shared" si="223"/>
        <v>Red</v>
      </c>
      <c r="Q656" t="str">
        <f t="shared" si="224"/>
        <v>Red</v>
      </c>
      <c r="R656" t="str">
        <f t="shared" si="225"/>
        <v>Green</v>
      </c>
      <c r="S656" t="str">
        <f t="shared" si="226"/>
        <v>Red</v>
      </c>
      <c r="T656" t="str">
        <f t="shared" si="227"/>
        <v>Green</v>
      </c>
      <c r="U656" t="str">
        <f t="shared" si="228"/>
        <v>Red</v>
      </c>
      <c r="V656" t="str">
        <f t="shared" si="229"/>
        <v>Green</v>
      </c>
      <c r="W656" t="str">
        <f t="shared" si="230"/>
        <v>Red</v>
      </c>
      <c r="X656" t="str">
        <f t="shared" si="231"/>
        <v>Red</v>
      </c>
      <c r="Y656" t="str">
        <f t="shared" si="232"/>
        <v>Green</v>
      </c>
      <c r="Z656" t="str">
        <f t="shared" si="233"/>
        <v>Green</v>
      </c>
      <c r="AA656" t="str">
        <f t="shared" si="234"/>
        <v>Red</v>
      </c>
      <c r="AB656" t="str">
        <f t="shared" si="235"/>
        <v>Red</v>
      </c>
      <c r="AC656" t="str">
        <f t="shared" si="236"/>
        <v>Green</v>
      </c>
      <c r="AD656" t="str">
        <f t="shared" si="237"/>
        <v>Red</v>
      </c>
    </row>
    <row r="657" spans="1:30" x14ac:dyDescent="0.2">
      <c r="A657" t="str">
        <f t="shared" si="220"/>
        <v>24/07/2026MargvetiIberia 1999</v>
      </c>
      <c r="D657" s="2">
        <v>46227</v>
      </c>
      <c r="E657" s="3">
        <v>0.625</v>
      </c>
      <c r="F657" t="s">
        <v>2466</v>
      </c>
      <c r="G657" t="s">
        <v>358</v>
      </c>
      <c r="H657">
        <v>0</v>
      </c>
      <c r="I657">
        <v>0</v>
      </c>
      <c r="J657">
        <v>1</v>
      </c>
      <c r="K657">
        <v>3</v>
      </c>
      <c r="L657" s="22" t="str">
        <f t="shared" si="238"/>
        <v>24/07/2026</v>
      </c>
      <c r="M657" s="23">
        <f t="shared" si="239"/>
        <v>0.5</v>
      </c>
      <c r="N657" t="str">
        <f t="shared" si="221"/>
        <v>1 - 3</v>
      </c>
      <c r="O657" t="str">
        <f t="shared" si="222"/>
        <v>Red</v>
      </c>
      <c r="P657" t="str">
        <f t="shared" si="223"/>
        <v>Red</v>
      </c>
      <c r="Q657" t="str">
        <f t="shared" si="224"/>
        <v>Green</v>
      </c>
      <c r="R657" t="str">
        <f t="shared" si="225"/>
        <v>Red</v>
      </c>
      <c r="S657" t="str">
        <f t="shared" si="226"/>
        <v>Green</v>
      </c>
      <c r="T657" t="str">
        <f t="shared" si="227"/>
        <v>Green</v>
      </c>
      <c r="U657" t="str">
        <f t="shared" si="228"/>
        <v>Red</v>
      </c>
      <c r="V657" t="str">
        <f t="shared" si="229"/>
        <v>Green</v>
      </c>
      <c r="W657" t="str">
        <f t="shared" si="230"/>
        <v>Red</v>
      </c>
      <c r="X657" t="str">
        <f t="shared" si="231"/>
        <v>Red</v>
      </c>
      <c r="Y657" t="str">
        <f t="shared" si="232"/>
        <v>Green</v>
      </c>
      <c r="Z657" t="str">
        <f t="shared" si="233"/>
        <v>Green</v>
      </c>
      <c r="AA657" t="str">
        <f t="shared" si="234"/>
        <v>Red</v>
      </c>
      <c r="AB657" t="str">
        <f t="shared" si="235"/>
        <v>Red</v>
      </c>
      <c r="AC657" t="str">
        <f t="shared" si="236"/>
        <v>Green</v>
      </c>
      <c r="AD657" t="str">
        <f t="shared" si="237"/>
        <v>Red</v>
      </c>
    </row>
    <row r="658" spans="1:30" x14ac:dyDescent="0.2">
      <c r="A658" t="str">
        <f t="shared" si="220"/>
        <v>24/07/2026FC Turan TurkistanFC Tobol U21</v>
      </c>
      <c r="D658" s="2">
        <v>46227</v>
      </c>
      <c r="E658" s="3">
        <v>0.625</v>
      </c>
      <c r="F658" t="s">
        <v>2508</v>
      </c>
      <c r="G658" t="s">
        <v>2509</v>
      </c>
      <c r="H658">
        <v>0</v>
      </c>
      <c r="I658">
        <v>0</v>
      </c>
      <c r="J658">
        <v>2</v>
      </c>
      <c r="K658">
        <v>1</v>
      </c>
      <c r="L658" s="22" t="str">
        <f t="shared" si="238"/>
        <v>24/07/2026</v>
      </c>
      <c r="M658" s="23">
        <f t="shared" si="239"/>
        <v>0.5</v>
      </c>
      <c r="N658" t="str">
        <f t="shared" si="221"/>
        <v>2 - 1</v>
      </c>
      <c r="O658" t="str">
        <f t="shared" si="222"/>
        <v>Green</v>
      </c>
      <c r="P658" t="str">
        <f t="shared" si="223"/>
        <v>Red</v>
      </c>
      <c r="Q658" t="str">
        <f t="shared" si="224"/>
        <v>Red</v>
      </c>
      <c r="R658" t="str">
        <f t="shared" si="225"/>
        <v>Green</v>
      </c>
      <c r="S658" t="str">
        <f t="shared" si="226"/>
        <v>Red</v>
      </c>
      <c r="T658" t="str">
        <f t="shared" si="227"/>
        <v>Green</v>
      </c>
      <c r="U658" t="str">
        <f t="shared" si="228"/>
        <v>Red</v>
      </c>
      <c r="V658" t="str">
        <f t="shared" si="229"/>
        <v>Green</v>
      </c>
      <c r="W658" t="str">
        <f t="shared" si="230"/>
        <v>Red</v>
      </c>
      <c r="X658" t="str">
        <f t="shared" si="231"/>
        <v>Red</v>
      </c>
      <c r="Y658" t="str">
        <f t="shared" si="232"/>
        <v>Green</v>
      </c>
      <c r="Z658" t="str">
        <f t="shared" si="233"/>
        <v>Green</v>
      </c>
      <c r="AA658" t="str">
        <f t="shared" si="234"/>
        <v>Red</v>
      </c>
      <c r="AB658" t="str">
        <f t="shared" si="235"/>
        <v>Green</v>
      </c>
      <c r="AC658" t="str">
        <f t="shared" si="236"/>
        <v>Green</v>
      </c>
      <c r="AD658" t="str">
        <f t="shared" si="237"/>
        <v>Red</v>
      </c>
    </row>
    <row r="659" spans="1:30" x14ac:dyDescent="0.2">
      <c r="A659" t="str">
        <f t="shared" si="220"/>
        <v>24/07/2026Tikves KavadarciFK Arsimi 1973</v>
      </c>
      <c r="D659" s="2">
        <v>46227</v>
      </c>
      <c r="E659" s="3">
        <v>0.625</v>
      </c>
      <c r="F659" t="s">
        <v>2539</v>
      </c>
      <c r="G659" t="s">
        <v>2540</v>
      </c>
      <c r="H659">
        <v>4</v>
      </c>
      <c r="I659">
        <v>1</v>
      </c>
      <c r="J659">
        <v>5</v>
      </c>
      <c r="K659">
        <v>1</v>
      </c>
      <c r="L659" s="22" t="str">
        <f t="shared" si="238"/>
        <v>24/07/2026</v>
      </c>
      <c r="M659" s="23">
        <f t="shared" si="239"/>
        <v>0.5</v>
      </c>
      <c r="N659" t="str">
        <f t="shared" si="221"/>
        <v>5 - 1</v>
      </c>
      <c r="O659" t="str">
        <f t="shared" si="222"/>
        <v>Green</v>
      </c>
      <c r="P659" t="str">
        <f t="shared" si="223"/>
        <v>Red</v>
      </c>
      <c r="Q659" t="str">
        <f t="shared" si="224"/>
        <v>Red</v>
      </c>
      <c r="R659" t="str">
        <f t="shared" si="225"/>
        <v>Green</v>
      </c>
      <c r="S659" t="str">
        <f t="shared" si="226"/>
        <v>Red</v>
      </c>
      <c r="T659" t="str">
        <f t="shared" si="227"/>
        <v>Green</v>
      </c>
      <c r="U659" t="str">
        <f t="shared" si="228"/>
        <v>Green</v>
      </c>
      <c r="V659" t="str">
        <f t="shared" si="229"/>
        <v>Red</v>
      </c>
      <c r="W659" t="str">
        <f t="shared" si="230"/>
        <v>Red</v>
      </c>
      <c r="X659" t="str">
        <f t="shared" si="231"/>
        <v>Green</v>
      </c>
      <c r="Y659" t="str">
        <f t="shared" si="232"/>
        <v>Green</v>
      </c>
      <c r="Z659" t="str">
        <f t="shared" si="233"/>
        <v>Green</v>
      </c>
      <c r="AA659" t="str">
        <f t="shared" si="234"/>
        <v>Red</v>
      </c>
      <c r="AB659" t="str">
        <f t="shared" si="235"/>
        <v>Red</v>
      </c>
      <c r="AC659" t="str">
        <f t="shared" si="236"/>
        <v>Green</v>
      </c>
      <c r="AD659" t="str">
        <f t="shared" si="237"/>
        <v>Red</v>
      </c>
    </row>
    <row r="660" spans="1:30" x14ac:dyDescent="0.2">
      <c r="A660" t="str">
        <f t="shared" si="220"/>
        <v>24/07/2026Olimpik MobiuzPFC Terdu</v>
      </c>
      <c r="D660" s="2">
        <v>46227</v>
      </c>
      <c r="E660" s="3">
        <v>0.625</v>
      </c>
      <c r="F660" t="s">
        <v>2633</v>
      </c>
      <c r="G660" t="s">
        <v>2634</v>
      </c>
      <c r="H660">
        <v>0</v>
      </c>
      <c r="I660">
        <v>0</v>
      </c>
      <c r="J660">
        <v>3</v>
      </c>
      <c r="K660">
        <v>0</v>
      </c>
      <c r="L660" s="22" t="str">
        <f t="shared" si="238"/>
        <v>24/07/2026</v>
      </c>
      <c r="M660" s="23">
        <f t="shared" si="239"/>
        <v>0.5</v>
      </c>
      <c r="N660" t="str">
        <f t="shared" si="221"/>
        <v>3 - 0</v>
      </c>
      <c r="O660" t="str">
        <f t="shared" si="222"/>
        <v>Green</v>
      </c>
      <c r="P660" t="str">
        <f t="shared" si="223"/>
        <v>Red</v>
      </c>
      <c r="Q660" t="str">
        <f t="shared" si="224"/>
        <v>Red</v>
      </c>
      <c r="R660" t="str">
        <f t="shared" si="225"/>
        <v>Green</v>
      </c>
      <c r="S660" t="str">
        <f t="shared" si="226"/>
        <v>Red</v>
      </c>
      <c r="T660" t="str">
        <f t="shared" si="227"/>
        <v>Green</v>
      </c>
      <c r="U660" t="str">
        <f t="shared" si="228"/>
        <v>Red</v>
      </c>
      <c r="V660" t="str">
        <f t="shared" si="229"/>
        <v>Green</v>
      </c>
      <c r="W660" t="str">
        <f t="shared" si="230"/>
        <v>Red</v>
      </c>
      <c r="X660" t="str">
        <f t="shared" si="231"/>
        <v>Red</v>
      </c>
      <c r="Y660" t="str">
        <f t="shared" si="232"/>
        <v>Green</v>
      </c>
      <c r="Z660" t="str">
        <f t="shared" si="233"/>
        <v>Green</v>
      </c>
      <c r="AA660" t="str">
        <f t="shared" si="234"/>
        <v>Red</v>
      </c>
      <c r="AB660" t="str">
        <f t="shared" si="235"/>
        <v>Green</v>
      </c>
      <c r="AC660" t="str">
        <f t="shared" si="236"/>
        <v>Red</v>
      </c>
      <c r="AD660" t="str">
        <f t="shared" si="237"/>
        <v>Green</v>
      </c>
    </row>
    <row r="661" spans="1:30" x14ac:dyDescent="0.2">
      <c r="A661" t="str">
        <f t="shared" si="220"/>
        <v>24/07/2026Sparta Prague IIHostoun</v>
      </c>
      <c r="D661" s="2">
        <v>46227</v>
      </c>
      <c r="E661" s="3">
        <v>0.625</v>
      </c>
      <c r="F661" t="s">
        <v>2650</v>
      </c>
      <c r="G661" t="s">
        <v>2651</v>
      </c>
      <c r="H661">
        <v>0</v>
      </c>
      <c r="I661">
        <v>0</v>
      </c>
      <c r="J661">
        <v>1</v>
      </c>
      <c r="K661">
        <v>2</v>
      </c>
      <c r="L661" s="22" t="str">
        <f t="shared" si="238"/>
        <v>24/07/2026</v>
      </c>
      <c r="M661" s="23">
        <f t="shared" si="239"/>
        <v>0.5</v>
      </c>
      <c r="N661" t="str">
        <f t="shared" si="221"/>
        <v>1 - 2</v>
      </c>
      <c r="O661" t="str">
        <f t="shared" si="222"/>
        <v>Red</v>
      </c>
      <c r="P661" t="str">
        <f t="shared" si="223"/>
        <v>Red</v>
      </c>
      <c r="Q661" t="str">
        <f t="shared" si="224"/>
        <v>Green</v>
      </c>
      <c r="R661" t="str">
        <f t="shared" si="225"/>
        <v>Red</v>
      </c>
      <c r="S661" t="str">
        <f t="shared" si="226"/>
        <v>Green</v>
      </c>
      <c r="T661" t="str">
        <f t="shared" si="227"/>
        <v>Green</v>
      </c>
      <c r="U661" t="str">
        <f t="shared" si="228"/>
        <v>Red</v>
      </c>
      <c r="V661" t="str">
        <f t="shared" si="229"/>
        <v>Green</v>
      </c>
      <c r="W661" t="str">
        <f t="shared" si="230"/>
        <v>Red</v>
      </c>
      <c r="X661" t="str">
        <f t="shared" si="231"/>
        <v>Red</v>
      </c>
      <c r="Y661" t="str">
        <f t="shared" si="232"/>
        <v>Green</v>
      </c>
      <c r="Z661" t="str">
        <f t="shared" si="233"/>
        <v>Green</v>
      </c>
      <c r="AA661" t="str">
        <f t="shared" si="234"/>
        <v>Red</v>
      </c>
      <c r="AB661" t="str">
        <f t="shared" si="235"/>
        <v>Green</v>
      </c>
      <c r="AC661" t="str">
        <f t="shared" si="236"/>
        <v>Green</v>
      </c>
      <c r="AD661" t="str">
        <f t="shared" si="237"/>
        <v>Red</v>
      </c>
    </row>
    <row r="662" spans="1:30" x14ac:dyDescent="0.2">
      <c r="A662" t="str">
        <f t="shared" si="220"/>
        <v>24/07/2026SV GloggnitzRapid Wien II</v>
      </c>
      <c r="D662" s="2">
        <v>46227</v>
      </c>
      <c r="E662" s="3">
        <v>0.625</v>
      </c>
      <c r="F662" t="s">
        <v>2652</v>
      </c>
      <c r="G662" t="s">
        <v>2653</v>
      </c>
      <c r="H662">
        <v>0</v>
      </c>
      <c r="I662">
        <v>1</v>
      </c>
      <c r="J662">
        <v>1</v>
      </c>
      <c r="K662">
        <v>3</v>
      </c>
      <c r="L662" s="22" t="str">
        <f t="shared" si="238"/>
        <v>24/07/2026</v>
      </c>
      <c r="M662" s="23">
        <f t="shared" si="239"/>
        <v>0.5</v>
      </c>
      <c r="N662" t="str">
        <f t="shared" si="221"/>
        <v>1 - 3</v>
      </c>
      <c r="O662" t="str">
        <f t="shared" si="222"/>
        <v>Red</v>
      </c>
      <c r="P662" t="str">
        <f t="shared" si="223"/>
        <v>Red</v>
      </c>
      <c r="Q662" t="str">
        <f t="shared" si="224"/>
        <v>Green</v>
      </c>
      <c r="R662" t="str">
        <f t="shared" si="225"/>
        <v>Red</v>
      </c>
      <c r="S662" t="str">
        <f t="shared" si="226"/>
        <v>Green</v>
      </c>
      <c r="T662" t="str">
        <f t="shared" si="227"/>
        <v>Green</v>
      </c>
      <c r="U662" t="str">
        <f t="shared" si="228"/>
        <v>Red</v>
      </c>
      <c r="V662" t="str">
        <f t="shared" si="229"/>
        <v>Red</v>
      </c>
      <c r="W662" t="str">
        <f t="shared" si="230"/>
        <v>Green</v>
      </c>
      <c r="X662" t="str">
        <f t="shared" si="231"/>
        <v>Green</v>
      </c>
      <c r="Y662" t="str">
        <f t="shared" si="232"/>
        <v>Green</v>
      </c>
      <c r="Z662" t="str">
        <f t="shared" si="233"/>
        <v>Green</v>
      </c>
      <c r="AA662" t="str">
        <f t="shared" si="234"/>
        <v>Red</v>
      </c>
      <c r="AB662" t="str">
        <f t="shared" si="235"/>
        <v>Red</v>
      </c>
      <c r="AC662" t="str">
        <f t="shared" si="236"/>
        <v>Green</v>
      </c>
      <c r="AD662" t="str">
        <f t="shared" si="237"/>
        <v>Red</v>
      </c>
    </row>
    <row r="663" spans="1:30" x14ac:dyDescent="0.2">
      <c r="A663" t="str">
        <f t="shared" si="220"/>
        <v>24/07/2026Laajasalon PalloseuraVJS Vantaa II</v>
      </c>
      <c r="D663" s="2">
        <v>46227</v>
      </c>
      <c r="E663" s="3">
        <v>0.63541666666666663</v>
      </c>
      <c r="F663" t="s">
        <v>2440</v>
      </c>
      <c r="G663" t="s">
        <v>2441</v>
      </c>
      <c r="H663">
        <v>0</v>
      </c>
      <c r="I663">
        <v>0</v>
      </c>
      <c r="J663">
        <v>0</v>
      </c>
      <c r="K663">
        <v>3</v>
      </c>
      <c r="L663" s="22" t="str">
        <f t="shared" si="238"/>
        <v>24/07/2026</v>
      </c>
      <c r="M663" s="23">
        <f t="shared" si="239"/>
        <v>0.51041666666666663</v>
      </c>
      <c r="N663" t="str">
        <f t="shared" si="221"/>
        <v>0 - 3</v>
      </c>
      <c r="O663" t="str">
        <f t="shared" si="222"/>
        <v>Red</v>
      </c>
      <c r="P663" t="str">
        <f t="shared" si="223"/>
        <v>Red</v>
      </c>
      <c r="Q663" t="str">
        <f t="shared" si="224"/>
        <v>Green</v>
      </c>
      <c r="R663" t="str">
        <f t="shared" si="225"/>
        <v>Red</v>
      </c>
      <c r="S663" t="str">
        <f t="shared" si="226"/>
        <v>Green</v>
      </c>
      <c r="T663" t="str">
        <f t="shared" si="227"/>
        <v>Green</v>
      </c>
      <c r="U663" t="str">
        <f t="shared" si="228"/>
        <v>Red</v>
      </c>
      <c r="V663" t="str">
        <f t="shared" si="229"/>
        <v>Green</v>
      </c>
      <c r="W663" t="str">
        <f t="shared" si="230"/>
        <v>Red</v>
      </c>
      <c r="X663" t="str">
        <f t="shared" si="231"/>
        <v>Red</v>
      </c>
      <c r="Y663" t="str">
        <f t="shared" si="232"/>
        <v>Green</v>
      </c>
      <c r="Z663" t="str">
        <f t="shared" si="233"/>
        <v>Green</v>
      </c>
      <c r="AA663" t="str">
        <f t="shared" si="234"/>
        <v>Red</v>
      </c>
      <c r="AB663" t="str">
        <f t="shared" si="235"/>
        <v>Green</v>
      </c>
      <c r="AC663" t="str">
        <f t="shared" si="236"/>
        <v>Red</v>
      </c>
      <c r="AD663" t="str">
        <f t="shared" si="237"/>
        <v>Green</v>
      </c>
    </row>
    <row r="664" spans="1:30" x14ac:dyDescent="0.2">
      <c r="A664" t="str">
        <f t="shared" si="220"/>
        <v>24/07/2026FC OsipovichiBATE Borisov Reserves</v>
      </c>
      <c r="D664" s="2">
        <v>46227</v>
      </c>
      <c r="E664" s="3">
        <v>0.64583333333333337</v>
      </c>
      <c r="F664" t="s">
        <v>2355</v>
      </c>
      <c r="G664" t="s">
        <v>2356</v>
      </c>
      <c r="H664">
        <v>2</v>
      </c>
      <c r="I664">
        <v>1</v>
      </c>
      <c r="J664">
        <v>3</v>
      </c>
      <c r="K664">
        <v>1</v>
      </c>
      <c r="L664" s="22" t="str">
        <f t="shared" si="238"/>
        <v>24/07/2026</v>
      </c>
      <c r="M664" s="23">
        <f t="shared" si="239"/>
        <v>0.52083333333333337</v>
      </c>
      <c r="N664" t="str">
        <f t="shared" si="221"/>
        <v>3 - 1</v>
      </c>
      <c r="O664" t="str">
        <f t="shared" si="222"/>
        <v>Green</v>
      </c>
      <c r="P664" t="str">
        <f t="shared" si="223"/>
        <v>Red</v>
      </c>
      <c r="Q664" t="str">
        <f t="shared" si="224"/>
        <v>Red</v>
      </c>
      <c r="R664" t="str">
        <f t="shared" si="225"/>
        <v>Green</v>
      </c>
      <c r="S664" t="str">
        <f t="shared" si="226"/>
        <v>Red</v>
      </c>
      <c r="T664" t="str">
        <f t="shared" si="227"/>
        <v>Green</v>
      </c>
      <c r="U664" t="str">
        <f t="shared" si="228"/>
        <v>Green</v>
      </c>
      <c r="V664" t="str">
        <f t="shared" si="229"/>
        <v>Red</v>
      </c>
      <c r="W664" t="str">
        <f t="shared" si="230"/>
        <v>Red</v>
      </c>
      <c r="X664" t="str">
        <f t="shared" si="231"/>
        <v>Green</v>
      </c>
      <c r="Y664" t="str">
        <f t="shared" si="232"/>
        <v>Green</v>
      </c>
      <c r="Z664" t="str">
        <f t="shared" si="233"/>
        <v>Green</v>
      </c>
      <c r="AA664" t="str">
        <f t="shared" si="234"/>
        <v>Red</v>
      </c>
      <c r="AB664" t="str">
        <f t="shared" si="235"/>
        <v>Red</v>
      </c>
      <c r="AC664" t="str">
        <f t="shared" si="236"/>
        <v>Green</v>
      </c>
      <c r="AD664" t="str">
        <f t="shared" si="237"/>
        <v>Red</v>
      </c>
    </row>
    <row r="665" spans="1:30" x14ac:dyDescent="0.2">
      <c r="A665" t="str">
        <f t="shared" si="220"/>
        <v>24/07/2026HJS AkatemiaEsbo Bollklubb</v>
      </c>
      <c r="D665" s="2">
        <v>46227</v>
      </c>
      <c r="E665" s="3">
        <v>0.64583333333333337</v>
      </c>
      <c r="F665" t="s">
        <v>2430</v>
      </c>
      <c r="G665" t="s">
        <v>2431</v>
      </c>
      <c r="H665">
        <v>1</v>
      </c>
      <c r="I665">
        <v>2</v>
      </c>
      <c r="J665">
        <v>5</v>
      </c>
      <c r="K665">
        <v>3</v>
      </c>
      <c r="L665" s="22" t="str">
        <f t="shared" si="238"/>
        <v>24/07/2026</v>
      </c>
      <c r="M665" s="23">
        <f t="shared" si="239"/>
        <v>0.52083333333333337</v>
      </c>
      <c r="N665" t="str">
        <f t="shared" si="221"/>
        <v>5 - 3</v>
      </c>
      <c r="O665" t="str">
        <f t="shared" si="222"/>
        <v>Green</v>
      </c>
      <c r="P665" t="str">
        <f t="shared" si="223"/>
        <v>Red</v>
      </c>
      <c r="Q665" t="str">
        <f t="shared" si="224"/>
        <v>Red</v>
      </c>
      <c r="R665" t="str">
        <f t="shared" si="225"/>
        <v>Green</v>
      </c>
      <c r="S665" t="str">
        <f t="shared" si="226"/>
        <v>Red</v>
      </c>
      <c r="T665" t="str">
        <f t="shared" si="227"/>
        <v>Green</v>
      </c>
      <c r="U665" t="str">
        <f t="shared" si="228"/>
        <v>Red</v>
      </c>
      <c r="V665" t="str">
        <f t="shared" si="229"/>
        <v>Red</v>
      </c>
      <c r="W665" t="str">
        <f t="shared" si="230"/>
        <v>Green</v>
      </c>
      <c r="X665" t="str">
        <f t="shared" si="231"/>
        <v>Green</v>
      </c>
      <c r="Y665" t="str">
        <f t="shared" si="232"/>
        <v>Green</v>
      </c>
      <c r="Z665" t="str">
        <f t="shared" si="233"/>
        <v>Green</v>
      </c>
      <c r="AA665" t="str">
        <f t="shared" si="234"/>
        <v>Red</v>
      </c>
      <c r="AB665" t="str">
        <f t="shared" si="235"/>
        <v>Red</v>
      </c>
      <c r="AC665" t="str">
        <f t="shared" si="236"/>
        <v>Green</v>
      </c>
      <c r="AD665" t="str">
        <f t="shared" si="237"/>
        <v>Red</v>
      </c>
    </row>
    <row r="666" spans="1:30" x14ac:dyDescent="0.2">
      <c r="A666" t="str">
        <f t="shared" si="220"/>
        <v>24/07/2026LeKi-futisSaaksjarven Loiske</v>
      </c>
      <c r="D666" s="2">
        <v>46227</v>
      </c>
      <c r="E666" s="3">
        <v>0.64583333333333337</v>
      </c>
      <c r="F666" t="s">
        <v>2442</v>
      </c>
      <c r="G666" t="s">
        <v>2443</v>
      </c>
      <c r="H666">
        <v>0</v>
      </c>
      <c r="I666">
        <v>0</v>
      </c>
      <c r="J666">
        <v>3</v>
      </c>
      <c r="K666">
        <v>1</v>
      </c>
      <c r="L666" s="22" t="str">
        <f t="shared" si="238"/>
        <v>24/07/2026</v>
      </c>
      <c r="M666" s="23">
        <f t="shared" si="239"/>
        <v>0.52083333333333337</v>
      </c>
      <c r="N666" t="str">
        <f t="shared" si="221"/>
        <v>3 - 1</v>
      </c>
      <c r="O666" t="str">
        <f t="shared" si="222"/>
        <v>Green</v>
      </c>
      <c r="P666" t="str">
        <f t="shared" si="223"/>
        <v>Red</v>
      </c>
      <c r="Q666" t="str">
        <f t="shared" si="224"/>
        <v>Red</v>
      </c>
      <c r="R666" t="str">
        <f t="shared" si="225"/>
        <v>Green</v>
      </c>
      <c r="S666" t="str">
        <f t="shared" si="226"/>
        <v>Red</v>
      </c>
      <c r="T666" t="str">
        <f t="shared" si="227"/>
        <v>Green</v>
      </c>
      <c r="U666" t="str">
        <f t="shared" si="228"/>
        <v>Red</v>
      </c>
      <c r="V666" t="str">
        <f t="shared" si="229"/>
        <v>Green</v>
      </c>
      <c r="W666" t="str">
        <f t="shared" si="230"/>
        <v>Red</v>
      </c>
      <c r="X666" t="str">
        <f t="shared" si="231"/>
        <v>Red</v>
      </c>
      <c r="Y666" t="str">
        <f t="shared" si="232"/>
        <v>Green</v>
      </c>
      <c r="Z666" t="str">
        <f t="shared" si="233"/>
        <v>Green</v>
      </c>
      <c r="AA666" t="str">
        <f t="shared" si="234"/>
        <v>Red</v>
      </c>
      <c r="AB666" t="str">
        <f t="shared" si="235"/>
        <v>Red</v>
      </c>
      <c r="AC666" t="str">
        <f t="shared" si="236"/>
        <v>Green</v>
      </c>
      <c r="AD666" t="str">
        <f t="shared" si="237"/>
        <v>Red</v>
      </c>
    </row>
    <row r="667" spans="1:30" x14ac:dyDescent="0.2">
      <c r="A667" t="str">
        <f t="shared" si="220"/>
        <v>24/07/2026KeuPaFC Vaajakoski II</v>
      </c>
      <c r="D667" s="2">
        <v>46227</v>
      </c>
      <c r="E667" s="3">
        <v>0.64583333333333337</v>
      </c>
      <c r="F667" t="s">
        <v>2454</v>
      </c>
      <c r="G667" t="s">
        <v>2455</v>
      </c>
      <c r="H667">
        <v>0</v>
      </c>
      <c r="I667">
        <v>0</v>
      </c>
      <c r="J667">
        <v>5</v>
      </c>
      <c r="K667">
        <v>1</v>
      </c>
      <c r="L667" s="22" t="str">
        <f t="shared" si="238"/>
        <v>24/07/2026</v>
      </c>
      <c r="M667" s="23">
        <f t="shared" si="239"/>
        <v>0.52083333333333337</v>
      </c>
      <c r="N667" t="str">
        <f t="shared" si="221"/>
        <v>5 - 1</v>
      </c>
      <c r="O667" t="str">
        <f t="shared" si="222"/>
        <v>Green</v>
      </c>
      <c r="P667" t="str">
        <f t="shared" si="223"/>
        <v>Red</v>
      </c>
      <c r="Q667" t="str">
        <f t="shared" si="224"/>
        <v>Red</v>
      </c>
      <c r="R667" t="str">
        <f t="shared" si="225"/>
        <v>Green</v>
      </c>
      <c r="S667" t="str">
        <f t="shared" si="226"/>
        <v>Red</v>
      </c>
      <c r="T667" t="str">
        <f t="shared" si="227"/>
        <v>Green</v>
      </c>
      <c r="U667" t="str">
        <f t="shared" si="228"/>
        <v>Red</v>
      </c>
      <c r="V667" t="str">
        <f t="shared" si="229"/>
        <v>Green</v>
      </c>
      <c r="W667" t="str">
        <f t="shared" si="230"/>
        <v>Red</v>
      </c>
      <c r="X667" t="str">
        <f t="shared" si="231"/>
        <v>Red</v>
      </c>
      <c r="Y667" t="str">
        <f t="shared" si="232"/>
        <v>Green</v>
      </c>
      <c r="Z667" t="str">
        <f t="shared" si="233"/>
        <v>Green</v>
      </c>
      <c r="AA667" t="str">
        <f t="shared" si="234"/>
        <v>Red</v>
      </c>
      <c r="AB667" t="str">
        <f t="shared" si="235"/>
        <v>Red</v>
      </c>
      <c r="AC667" t="str">
        <f t="shared" si="236"/>
        <v>Green</v>
      </c>
      <c r="AD667" t="str">
        <f t="shared" si="237"/>
        <v>Red</v>
      </c>
    </row>
    <row r="668" spans="1:30" x14ac:dyDescent="0.2">
      <c r="A668" t="str">
        <f t="shared" si="220"/>
        <v>24/07/2026PK-37Kuopio PS III</v>
      </c>
      <c r="D668" s="2">
        <v>46227</v>
      </c>
      <c r="E668" s="3">
        <v>0.64583333333333337</v>
      </c>
      <c r="F668" t="s">
        <v>2456</v>
      </c>
      <c r="G668" t="s">
        <v>2457</v>
      </c>
      <c r="H668">
        <v>0</v>
      </c>
      <c r="I668">
        <v>0</v>
      </c>
      <c r="J668">
        <v>1</v>
      </c>
      <c r="K668">
        <v>0</v>
      </c>
      <c r="L668" s="22" t="str">
        <f t="shared" si="238"/>
        <v>24/07/2026</v>
      </c>
      <c r="M668" s="23">
        <f t="shared" si="239"/>
        <v>0.52083333333333337</v>
      </c>
      <c r="N668" t="str">
        <f t="shared" si="221"/>
        <v>1 - 0</v>
      </c>
      <c r="O668" t="str">
        <f t="shared" si="222"/>
        <v>Green</v>
      </c>
      <c r="P668" t="str">
        <f t="shared" si="223"/>
        <v>Red</v>
      </c>
      <c r="Q668" t="str">
        <f t="shared" si="224"/>
        <v>Red</v>
      </c>
      <c r="R668" t="str">
        <f t="shared" si="225"/>
        <v>Green</v>
      </c>
      <c r="S668" t="str">
        <f t="shared" si="226"/>
        <v>Red</v>
      </c>
      <c r="T668" t="str">
        <f t="shared" si="227"/>
        <v>Green</v>
      </c>
      <c r="U668" t="str">
        <f t="shared" si="228"/>
        <v>Red</v>
      </c>
      <c r="V668" t="str">
        <f t="shared" si="229"/>
        <v>Green</v>
      </c>
      <c r="W668" t="str">
        <f t="shared" si="230"/>
        <v>Red</v>
      </c>
      <c r="X668" t="str">
        <f t="shared" si="231"/>
        <v>Red</v>
      </c>
      <c r="Y668" t="str">
        <f t="shared" si="232"/>
        <v>Red</v>
      </c>
      <c r="Z668" t="str">
        <f t="shared" si="233"/>
        <v>Red</v>
      </c>
      <c r="AA668" t="str">
        <f t="shared" si="234"/>
        <v>Green</v>
      </c>
      <c r="AB668" t="str">
        <f t="shared" si="235"/>
        <v>Green</v>
      </c>
      <c r="AC668" t="str">
        <f t="shared" si="236"/>
        <v>Red</v>
      </c>
      <c r="AD668" t="str">
        <f t="shared" si="237"/>
        <v>Green</v>
      </c>
    </row>
    <row r="669" spans="1:30" x14ac:dyDescent="0.2">
      <c r="A669" t="str">
        <f t="shared" si="220"/>
        <v>24/07/2026FC Uta AradOtelul Galati</v>
      </c>
      <c r="D669" s="2">
        <v>46227</v>
      </c>
      <c r="E669" s="3">
        <v>0.64583333333333337</v>
      </c>
      <c r="F669" t="s">
        <v>2562</v>
      </c>
      <c r="G669" t="s">
        <v>2563</v>
      </c>
      <c r="H669">
        <v>0</v>
      </c>
      <c r="I669">
        <v>2</v>
      </c>
      <c r="J669">
        <v>2</v>
      </c>
      <c r="K669">
        <v>2</v>
      </c>
      <c r="L669" s="22" t="str">
        <f t="shared" si="238"/>
        <v>24/07/2026</v>
      </c>
      <c r="M669" s="23">
        <f t="shared" si="239"/>
        <v>0.52083333333333337</v>
      </c>
      <c r="N669" t="str">
        <f t="shared" si="221"/>
        <v>2 - 2</v>
      </c>
      <c r="O669" t="str">
        <f t="shared" si="222"/>
        <v>Red</v>
      </c>
      <c r="P669" t="str">
        <f t="shared" si="223"/>
        <v>Green</v>
      </c>
      <c r="Q669" t="str">
        <f t="shared" si="224"/>
        <v>Red</v>
      </c>
      <c r="R669" t="str">
        <f t="shared" si="225"/>
        <v>Green</v>
      </c>
      <c r="S669" t="str">
        <f t="shared" si="226"/>
        <v>Green</v>
      </c>
      <c r="T669" t="str">
        <f t="shared" si="227"/>
        <v>Red</v>
      </c>
      <c r="U669" t="str">
        <f t="shared" si="228"/>
        <v>Red</v>
      </c>
      <c r="V669" t="str">
        <f t="shared" si="229"/>
        <v>Red</v>
      </c>
      <c r="W669" t="str">
        <f t="shared" si="230"/>
        <v>Green</v>
      </c>
      <c r="X669" t="str">
        <f t="shared" si="231"/>
        <v>Green</v>
      </c>
      <c r="Y669" t="str">
        <f t="shared" si="232"/>
        <v>Green</v>
      </c>
      <c r="Z669" t="str">
        <f t="shared" si="233"/>
        <v>Green</v>
      </c>
      <c r="AA669" t="str">
        <f t="shared" si="234"/>
        <v>Red</v>
      </c>
      <c r="AB669" t="str">
        <f t="shared" si="235"/>
        <v>Red</v>
      </c>
      <c r="AC669" t="str">
        <f t="shared" si="236"/>
        <v>Green</v>
      </c>
      <c r="AD669" t="str">
        <f t="shared" si="237"/>
        <v>Red</v>
      </c>
    </row>
    <row r="670" spans="1:30" x14ac:dyDescent="0.2">
      <c r="A670" t="str">
        <f t="shared" si="220"/>
        <v>24/07/2026AubagneBastia</v>
      </c>
      <c r="D670" s="2">
        <v>46227</v>
      </c>
      <c r="E670" s="3">
        <v>0.64583333333333337</v>
      </c>
      <c r="F670" t="s">
        <v>2654</v>
      </c>
      <c r="G670" t="s">
        <v>2655</v>
      </c>
      <c r="H670">
        <v>0</v>
      </c>
      <c r="I670">
        <v>0</v>
      </c>
      <c r="J670">
        <v>1</v>
      </c>
      <c r="K670">
        <v>1</v>
      </c>
      <c r="L670" s="22" t="str">
        <f t="shared" si="238"/>
        <v>24/07/2026</v>
      </c>
      <c r="M670" s="23">
        <f t="shared" si="239"/>
        <v>0.52083333333333337</v>
      </c>
      <c r="N670" t="str">
        <f t="shared" si="221"/>
        <v>1 - 1</v>
      </c>
      <c r="O670" t="str">
        <f t="shared" si="222"/>
        <v>Red</v>
      </c>
      <c r="P670" t="str">
        <f t="shared" si="223"/>
        <v>Green</v>
      </c>
      <c r="Q670" t="str">
        <f t="shared" si="224"/>
        <v>Red</v>
      </c>
      <c r="R670" t="str">
        <f t="shared" si="225"/>
        <v>Green</v>
      </c>
      <c r="S670" t="str">
        <f t="shared" si="226"/>
        <v>Green</v>
      </c>
      <c r="T670" t="str">
        <f t="shared" si="227"/>
        <v>Red</v>
      </c>
      <c r="U670" t="str">
        <f t="shared" si="228"/>
        <v>Red</v>
      </c>
      <c r="V670" t="str">
        <f t="shared" si="229"/>
        <v>Green</v>
      </c>
      <c r="W670" t="str">
        <f t="shared" si="230"/>
        <v>Red</v>
      </c>
      <c r="X670" t="str">
        <f t="shared" si="231"/>
        <v>Red</v>
      </c>
      <c r="Y670" t="str">
        <f t="shared" si="232"/>
        <v>Green</v>
      </c>
      <c r="Z670" t="str">
        <f t="shared" si="233"/>
        <v>Red</v>
      </c>
      <c r="AA670" t="str">
        <f t="shared" si="234"/>
        <v>Green</v>
      </c>
      <c r="AB670" t="str">
        <f t="shared" si="235"/>
        <v>Green</v>
      </c>
      <c r="AC670" t="str">
        <f t="shared" si="236"/>
        <v>Green</v>
      </c>
      <c r="AD670" t="str">
        <f t="shared" si="237"/>
        <v>Red</v>
      </c>
    </row>
    <row r="671" spans="1:30" x14ac:dyDescent="0.2">
      <c r="A671" t="str">
        <f t="shared" si="220"/>
        <v>24/07/2026Banik SousPisek</v>
      </c>
      <c r="D671" s="2">
        <v>46227</v>
      </c>
      <c r="E671" s="3">
        <v>0.64583333333333337</v>
      </c>
      <c r="F671" t="s">
        <v>1440</v>
      </c>
      <c r="G671" t="s">
        <v>2656</v>
      </c>
      <c r="H671">
        <v>0</v>
      </c>
      <c r="I671">
        <v>0</v>
      </c>
      <c r="J671">
        <v>1</v>
      </c>
      <c r="K671">
        <v>1</v>
      </c>
      <c r="L671" s="22" t="str">
        <f t="shared" si="238"/>
        <v>24/07/2026</v>
      </c>
      <c r="M671" s="23">
        <f t="shared" si="239"/>
        <v>0.52083333333333337</v>
      </c>
      <c r="N671" t="str">
        <f t="shared" si="221"/>
        <v>1 - 1</v>
      </c>
      <c r="O671" t="str">
        <f t="shared" si="222"/>
        <v>Red</v>
      </c>
      <c r="P671" t="str">
        <f t="shared" si="223"/>
        <v>Green</v>
      </c>
      <c r="Q671" t="str">
        <f t="shared" si="224"/>
        <v>Red</v>
      </c>
      <c r="R671" t="str">
        <f t="shared" si="225"/>
        <v>Green</v>
      </c>
      <c r="S671" t="str">
        <f t="shared" si="226"/>
        <v>Green</v>
      </c>
      <c r="T671" t="str">
        <f t="shared" si="227"/>
        <v>Red</v>
      </c>
      <c r="U671" t="str">
        <f t="shared" si="228"/>
        <v>Red</v>
      </c>
      <c r="V671" t="str">
        <f t="shared" si="229"/>
        <v>Green</v>
      </c>
      <c r="W671" t="str">
        <f t="shared" si="230"/>
        <v>Red</v>
      </c>
      <c r="X671" t="str">
        <f t="shared" si="231"/>
        <v>Red</v>
      </c>
      <c r="Y671" t="str">
        <f t="shared" si="232"/>
        <v>Green</v>
      </c>
      <c r="Z671" t="str">
        <f t="shared" si="233"/>
        <v>Red</v>
      </c>
      <c r="AA671" t="str">
        <f t="shared" si="234"/>
        <v>Green</v>
      </c>
      <c r="AB671" t="str">
        <f t="shared" si="235"/>
        <v>Green</v>
      </c>
      <c r="AC671" t="str">
        <f t="shared" si="236"/>
        <v>Green</v>
      </c>
      <c r="AD671" t="str">
        <f t="shared" si="237"/>
        <v>Red</v>
      </c>
    </row>
    <row r="672" spans="1:30" x14ac:dyDescent="0.2">
      <c r="A672" t="str">
        <f t="shared" si="220"/>
        <v>24/07/2026BeroeHebar Pazardzhik</v>
      </c>
      <c r="D672" s="2">
        <v>46227</v>
      </c>
      <c r="E672" s="3">
        <v>0.65625</v>
      </c>
      <c r="F672" t="s">
        <v>2388</v>
      </c>
      <c r="G672" t="s">
        <v>2389</v>
      </c>
      <c r="H672">
        <v>1</v>
      </c>
      <c r="I672">
        <v>0</v>
      </c>
      <c r="J672">
        <v>2</v>
      </c>
      <c r="K672">
        <v>1</v>
      </c>
      <c r="L672" s="22" t="str">
        <f t="shared" si="238"/>
        <v>24/07/2026</v>
      </c>
      <c r="M672" s="23">
        <f t="shared" si="239"/>
        <v>0.53125</v>
      </c>
      <c r="N672" t="str">
        <f t="shared" si="221"/>
        <v>2 - 1</v>
      </c>
      <c r="O672" t="str">
        <f t="shared" si="222"/>
        <v>Green</v>
      </c>
      <c r="P672" t="str">
        <f t="shared" si="223"/>
        <v>Red</v>
      </c>
      <c r="Q672" t="str">
        <f t="shared" si="224"/>
        <v>Red</v>
      </c>
      <c r="R672" t="str">
        <f t="shared" si="225"/>
        <v>Green</v>
      </c>
      <c r="S672" t="str">
        <f t="shared" si="226"/>
        <v>Red</v>
      </c>
      <c r="T672" t="str">
        <f t="shared" si="227"/>
        <v>Green</v>
      </c>
      <c r="U672" t="str">
        <f t="shared" si="228"/>
        <v>Green</v>
      </c>
      <c r="V672" t="str">
        <f t="shared" si="229"/>
        <v>Red</v>
      </c>
      <c r="W672" t="str">
        <f t="shared" si="230"/>
        <v>Red</v>
      </c>
      <c r="X672" t="str">
        <f t="shared" si="231"/>
        <v>Green</v>
      </c>
      <c r="Y672" t="str">
        <f t="shared" si="232"/>
        <v>Green</v>
      </c>
      <c r="Z672" t="str">
        <f t="shared" si="233"/>
        <v>Green</v>
      </c>
      <c r="AA672" t="str">
        <f t="shared" si="234"/>
        <v>Red</v>
      </c>
      <c r="AB672" t="str">
        <f t="shared" si="235"/>
        <v>Green</v>
      </c>
      <c r="AC672" t="str">
        <f t="shared" si="236"/>
        <v>Green</v>
      </c>
      <c r="AD672" t="str">
        <f t="shared" si="237"/>
        <v>Red</v>
      </c>
    </row>
    <row r="673" spans="1:30" x14ac:dyDescent="0.2">
      <c r="A673" t="str">
        <f t="shared" si="220"/>
        <v>24/07/2026Dukla PragueArsenal Ceska Lipa</v>
      </c>
      <c r="D673" s="2">
        <v>46227</v>
      </c>
      <c r="E673" s="3">
        <v>0.66666666666666663</v>
      </c>
      <c r="F673" t="s">
        <v>2401</v>
      </c>
      <c r="G673" t="s">
        <v>2402</v>
      </c>
      <c r="H673">
        <v>0</v>
      </c>
      <c r="I673">
        <v>0</v>
      </c>
      <c r="J673">
        <v>2</v>
      </c>
      <c r="K673">
        <v>0</v>
      </c>
      <c r="L673" s="22" t="str">
        <f t="shared" si="238"/>
        <v>24/07/2026</v>
      </c>
      <c r="M673" s="23">
        <f t="shared" si="239"/>
        <v>0.54166666666666663</v>
      </c>
      <c r="N673" t="str">
        <f t="shared" si="221"/>
        <v>2 - 0</v>
      </c>
      <c r="O673" t="str">
        <f t="shared" si="222"/>
        <v>Green</v>
      </c>
      <c r="P673" t="str">
        <f t="shared" si="223"/>
        <v>Red</v>
      </c>
      <c r="Q673" t="str">
        <f t="shared" si="224"/>
        <v>Red</v>
      </c>
      <c r="R673" t="str">
        <f t="shared" si="225"/>
        <v>Green</v>
      </c>
      <c r="S673" t="str">
        <f t="shared" si="226"/>
        <v>Red</v>
      </c>
      <c r="T673" t="str">
        <f t="shared" si="227"/>
        <v>Green</v>
      </c>
      <c r="U673" t="str">
        <f t="shared" si="228"/>
        <v>Red</v>
      </c>
      <c r="V673" t="str">
        <f t="shared" si="229"/>
        <v>Green</v>
      </c>
      <c r="W673" t="str">
        <f t="shared" si="230"/>
        <v>Red</v>
      </c>
      <c r="X673" t="str">
        <f t="shared" si="231"/>
        <v>Red</v>
      </c>
      <c r="Y673" t="str">
        <f t="shared" si="232"/>
        <v>Green</v>
      </c>
      <c r="Z673" t="str">
        <f t="shared" si="233"/>
        <v>Red</v>
      </c>
      <c r="AA673" t="str">
        <f t="shared" si="234"/>
        <v>Green</v>
      </c>
      <c r="AB673" t="str">
        <f t="shared" si="235"/>
        <v>Green</v>
      </c>
      <c r="AC673" t="str">
        <f t="shared" si="236"/>
        <v>Red</v>
      </c>
      <c r="AD673" t="str">
        <f t="shared" si="237"/>
        <v>Green</v>
      </c>
    </row>
    <row r="674" spans="1:30" x14ac:dyDescent="0.2">
      <c r="A674" t="str">
        <f t="shared" si="220"/>
        <v>24/07/2026FK ProstejovFotbal Trinec</v>
      </c>
      <c r="D674" s="2">
        <v>46227</v>
      </c>
      <c r="E674" s="3">
        <v>0.66666666666666663</v>
      </c>
      <c r="F674" t="s">
        <v>2403</v>
      </c>
      <c r="G674" t="s">
        <v>2404</v>
      </c>
      <c r="H674">
        <v>0</v>
      </c>
      <c r="I674">
        <v>0</v>
      </c>
      <c r="J674">
        <v>1</v>
      </c>
      <c r="K674">
        <v>1</v>
      </c>
      <c r="L674" s="22" t="str">
        <f t="shared" si="238"/>
        <v>24/07/2026</v>
      </c>
      <c r="M674" s="23">
        <f t="shared" si="239"/>
        <v>0.54166666666666663</v>
      </c>
      <c r="N674" t="str">
        <f t="shared" si="221"/>
        <v>1 - 1</v>
      </c>
      <c r="O674" t="str">
        <f t="shared" si="222"/>
        <v>Red</v>
      </c>
      <c r="P674" t="str">
        <f t="shared" si="223"/>
        <v>Green</v>
      </c>
      <c r="Q674" t="str">
        <f t="shared" si="224"/>
        <v>Red</v>
      </c>
      <c r="R674" t="str">
        <f t="shared" si="225"/>
        <v>Green</v>
      </c>
      <c r="S674" t="str">
        <f t="shared" si="226"/>
        <v>Green</v>
      </c>
      <c r="T674" t="str">
        <f t="shared" si="227"/>
        <v>Red</v>
      </c>
      <c r="U674" t="str">
        <f t="shared" si="228"/>
        <v>Red</v>
      </c>
      <c r="V674" t="str">
        <f t="shared" si="229"/>
        <v>Green</v>
      </c>
      <c r="W674" t="str">
        <f t="shared" si="230"/>
        <v>Red</v>
      </c>
      <c r="X674" t="str">
        <f t="shared" si="231"/>
        <v>Red</v>
      </c>
      <c r="Y674" t="str">
        <f t="shared" si="232"/>
        <v>Green</v>
      </c>
      <c r="Z674" t="str">
        <f t="shared" si="233"/>
        <v>Red</v>
      </c>
      <c r="AA674" t="str">
        <f t="shared" si="234"/>
        <v>Green</v>
      </c>
      <c r="AB674" t="str">
        <f t="shared" si="235"/>
        <v>Green</v>
      </c>
      <c r="AC674" t="str">
        <f t="shared" si="236"/>
        <v>Green</v>
      </c>
      <c r="AD674" t="str">
        <f t="shared" si="237"/>
        <v>Red</v>
      </c>
    </row>
    <row r="675" spans="1:30" x14ac:dyDescent="0.2">
      <c r="A675" t="str">
        <f t="shared" si="220"/>
        <v>24/07/2026FK Usti nad LabemSK Kladno</v>
      </c>
      <c r="D675" s="2">
        <v>46227</v>
      </c>
      <c r="E675" s="3">
        <v>0.66666666666666663</v>
      </c>
      <c r="F675" t="s">
        <v>2405</v>
      </c>
      <c r="G675" t="s">
        <v>2406</v>
      </c>
      <c r="H675">
        <v>1</v>
      </c>
      <c r="I675">
        <v>1</v>
      </c>
      <c r="J675">
        <v>2</v>
      </c>
      <c r="K675">
        <v>1</v>
      </c>
      <c r="L675" s="22" t="str">
        <f t="shared" si="238"/>
        <v>24/07/2026</v>
      </c>
      <c r="M675" s="23">
        <f t="shared" si="239"/>
        <v>0.54166666666666663</v>
      </c>
      <c r="N675" t="str">
        <f t="shared" si="221"/>
        <v>2 - 1</v>
      </c>
      <c r="O675" t="str">
        <f t="shared" si="222"/>
        <v>Green</v>
      </c>
      <c r="P675" t="str">
        <f t="shared" si="223"/>
        <v>Red</v>
      </c>
      <c r="Q675" t="str">
        <f t="shared" si="224"/>
        <v>Red</v>
      </c>
      <c r="R675" t="str">
        <f t="shared" si="225"/>
        <v>Green</v>
      </c>
      <c r="S675" t="str">
        <f t="shared" si="226"/>
        <v>Red</v>
      </c>
      <c r="T675" t="str">
        <f t="shared" si="227"/>
        <v>Green</v>
      </c>
      <c r="U675" t="str">
        <f t="shared" si="228"/>
        <v>Red</v>
      </c>
      <c r="V675" t="str">
        <f t="shared" si="229"/>
        <v>Green</v>
      </c>
      <c r="W675" t="str">
        <f t="shared" si="230"/>
        <v>Red</v>
      </c>
      <c r="X675" t="str">
        <f t="shared" si="231"/>
        <v>Green</v>
      </c>
      <c r="Y675" t="str">
        <f t="shared" si="232"/>
        <v>Green</v>
      </c>
      <c r="Z675" t="str">
        <f t="shared" si="233"/>
        <v>Green</v>
      </c>
      <c r="AA675" t="str">
        <f t="shared" si="234"/>
        <v>Red</v>
      </c>
      <c r="AB675" t="str">
        <f t="shared" si="235"/>
        <v>Green</v>
      </c>
      <c r="AC675" t="str">
        <f t="shared" si="236"/>
        <v>Green</v>
      </c>
      <c r="AD675" t="str">
        <f t="shared" si="237"/>
        <v>Red</v>
      </c>
    </row>
    <row r="676" spans="1:30" x14ac:dyDescent="0.2">
      <c r="A676" t="str">
        <f t="shared" si="220"/>
        <v>24/07/2026SK Hanacka SlaviaTaborsko</v>
      </c>
      <c r="D676" s="2">
        <v>46227</v>
      </c>
      <c r="E676" s="3">
        <v>0.66666666666666663</v>
      </c>
      <c r="F676" t="s">
        <v>2407</v>
      </c>
      <c r="G676" t="s">
        <v>2408</v>
      </c>
      <c r="H676">
        <v>0</v>
      </c>
      <c r="I676">
        <v>0</v>
      </c>
      <c r="J676">
        <v>0</v>
      </c>
      <c r="K676">
        <v>0</v>
      </c>
      <c r="L676" s="22" t="str">
        <f t="shared" si="238"/>
        <v>24/07/2026</v>
      </c>
      <c r="M676" s="23">
        <f t="shared" si="239"/>
        <v>0.54166666666666663</v>
      </c>
      <c r="N676" t="str">
        <f t="shared" si="221"/>
        <v>0 - 0</v>
      </c>
      <c r="O676" t="str">
        <f t="shared" si="222"/>
        <v>Red</v>
      </c>
      <c r="P676" t="str">
        <f t="shared" si="223"/>
        <v>Green</v>
      </c>
      <c r="Q676" t="str">
        <f t="shared" si="224"/>
        <v>Red</v>
      </c>
      <c r="R676" t="str">
        <f t="shared" si="225"/>
        <v>Green</v>
      </c>
      <c r="S676" t="str">
        <f t="shared" si="226"/>
        <v>Green</v>
      </c>
      <c r="T676" t="str">
        <f t="shared" si="227"/>
        <v>Red</v>
      </c>
      <c r="U676" t="str">
        <f t="shared" si="228"/>
        <v>Red</v>
      </c>
      <c r="V676" t="str">
        <f t="shared" si="229"/>
        <v>Green</v>
      </c>
      <c r="W676" t="str">
        <f t="shared" si="230"/>
        <v>Red</v>
      </c>
      <c r="X676" t="str">
        <f t="shared" si="231"/>
        <v>Red</v>
      </c>
      <c r="Y676" t="str">
        <f t="shared" si="232"/>
        <v>Red</v>
      </c>
      <c r="Z676" t="str">
        <f t="shared" si="233"/>
        <v>Red</v>
      </c>
      <c r="AA676" t="str">
        <f t="shared" si="234"/>
        <v>Green</v>
      </c>
      <c r="AB676" t="str">
        <f t="shared" si="235"/>
        <v>Green</v>
      </c>
      <c r="AC676" t="str">
        <f t="shared" si="236"/>
        <v>Red</v>
      </c>
      <c r="AD676" t="str">
        <f t="shared" si="237"/>
        <v>Green</v>
      </c>
    </row>
    <row r="677" spans="1:30" x14ac:dyDescent="0.2">
      <c r="A677" t="str">
        <f t="shared" si="220"/>
        <v>24/07/2026Vysocina JihlavaViktoria Zizkov</v>
      </c>
      <c r="D677" s="2">
        <v>46227</v>
      </c>
      <c r="E677" s="3">
        <v>0.66666666666666663</v>
      </c>
      <c r="F677" t="s">
        <v>2409</v>
      </c>
      <c r="G677" t="s">
        <v>2410</v>
      </c>
      <c r="H677">
        <v>0</v>
      </c>
      <c r="I677">
        <v>0</v>
      </c>
      <c r="J677">
        <v>1</v>
      </c>
      <c r="K677">
        <v>0</v>
      </c>
      <c r="L677" s="22" t="str">
        <f t="shared" si="238"/>
        <v>24/07/2026</v>
      </c>
      <c r="M677" s="23">
        <f t="shared" si="239"/>
        <v>0.54166666666666663</v>
      </c>
      <c r="N677" t="str">
        <f t="shared" si="221"/>
        <v>1 - 0</v>
      </c>
      <c r="O677" t="str">
        <f t="shared" si="222"/>
        <v>Green</v>
      </c>
      <c r="P677" t="str">
        <f t="shared" si="223"/>
        <v>Red</v>
      </c>
      <c r="Q677" t="str">
        <f t="shared" si="224"/>
        <v>Red</v>
      </c>
      <c r="R677" t="str">
        <f t="shared" si="225"/>
        <v>Green</v>
      </c>
      <c r="S677" t="str">
        <f t="shared" si="226"/>
        <v>Red</v>
      </c>
      <c r="T677" t="str">
        <f t="shared" si="227"/>
        <v>Green</v>
      </c>
      <c r="U677" t="str">
        <f t="shared" si="228"/>
        <v>Red</v>
      </c>
      <c r="V677" t="str">
        <f t="shared" si="229"/>
        <v>Green</v>
      </c>
      <c r="W677" t="str">
        <f t="shared" si="230"/>
        <v>Red</v>
      </c>
      <c r="X677" t="str">
        <f t="shared" si="231"/>
        <v>Red</v>
      </c>
      <c r="Y677" t="str">
        <f t="shared" si="232"/>
        <v>Red</v>
      </c>
      <c r="Z677" t="str">
        <f t="shared" si="233"/>
        <v>Red</v>
      </c>
      <c r="AA677" t="str">
        <f t="shared" si="234"/>
        <v>Green</v>
      </c>
      <c r="AB677" t="str">
        <f t="shared" si="235"/>
        <v>Green</v>
      </c>
      <c r="AC677" t="str">
        <f t="shared" si="236"/>
        <v>Red</v>
      </c>
      <c r="AD677" t="str">
        <f t="shared" si="237"/>
        <v>Green</v>
      </c>
    </row>
    <row r="678" spans="1:30" x14ac:dyDescent="0.2">
      <c r="A678" t="str">
        <f t="shared" si="220"/>
        <v>24/07/2026FC StraniFC Vsetin</v>
      </c>
      <c r="D678" s="2">
        <v>46227</v>
      </c>
      <c r="E678" s="3">
        <v>0.66666666666666663</v>
      </c>
      <c r="F678" t="s">
        <v>2411</v>
      </c>
      <c r="G678" t="s">
        <v>2412</v>
      </c>
      <c r="H678">
        <v>0</v>
      </c>
      <c r="I678">
        <v>0</v>
      </c>
      <c r="J678">
        <v>1</v>
      </c>
      <c r="K678">
        <v>2</v>
      </c>
      <c r="L678" s="22" t="str">
        <f t="shared" si="238"/>
        <v>24/07/2026</v>
      </c>
      <c r="M678" s="23">
        <f t="shared" si="239"/>
        <v>0.54166666666666663</v>
      </c>
      <c r="N678" t="str">
        <f t="shared" si="221"/>
        <v>1 - 2</v>
      </c>
      <c r="O678" t="str">
        <f t="shared" si="222"/>
        <v>Red</v>
      </c>
      <c r="P678" t="str">
        <f t="shared" si="223"/>
        <v>Red</v>
      </c>
      <c r="Q678" t="str">
        <f t="shared" si="224"/>
        <v>Green</v>
      </c>
      <c r="R678" t="str">
        <f t="shared" si="225"/>
        <v>Red</v>
      </c>
      <c r="S678" t="str">
        <f t="shared" si="226"/>
        <v>Green</v>
      </c>
      <c r="T678" t="str">
        <f t="shared" si="227"/>
        <v>Green</v>
      </c>
      <c r="U678" t="str">
        <f t="shared" si="228"/>
        <v>Red</v>
      </c>
      <c r="V678" t="str">
        <f t="shared" si="229"/>
        <v>Green</v>
      </c>
      <c r="W678" t="str">
        <f t="shared" si="230"/>
        <v>Red</v>
      </c>
      <c r="X678" t="str">
        <f t="shared" si="231"/>
        <v>Red</v>
      </c>
      <c r="Y678" t="str">
        <f t="shared" si="232"/>
        <v>Green</v>
      </c>
      <c r="Z678" t="str">
        <f t="shared" si="233"/>
        <v>Green</v>
      </c>
      <c r="AA678" t="str">
        <f t="shared" si="234"/>
        <v>Red</v>
      </c>
      <c r="AB678" t="str">
        <f t="shared" si="235"/>
        <v>Green</v>
      </c>
      <c r="AC678" t="str">
        <f t="shared" si="236"/>
        <v>Green</v>
      </c>
      <c r="AD678" t="str">
        <f t="shared" si="237"/>
        <v>Red</v>
      </c>
    </row>
    <row r="679" spans="1:30" x14ac:dyDescent="0.2">
      <c r="A679" t="str">
        <f t="shared" si="220"/>
        <v>24/07/2026TJ Tatran VsechoviceTJ Unie Hlubina</v>
      </c>
      <c r="D679" s="2">
        <v>46227</v>
      </c>
      <c r="E679" s="3">
        <v>0.66666666666666663</v>
      </c>
      <c r="F679" t="s">
        <v>2413</v>
      </c>
      <c r="G679" t="s">
        <v>2414</v>
      </c>
      <c r="H679">
        <v>0</v>
      </c>
      <c r="I679">
        <v>0</v>
      </c>
      <c r="J679">
        <v>1</v>
      </c>
      <c r="K679">
        <v>1</v>
      </c>
      <c r="L679" s="22" t="str">
        <f t="shared" si="238"/>
        <v>24/07/2026</v>
      </c>
      <c r="M679" s="23">
        <f t="shared" si="239"/>
        <v>0.54166666666666663</v>
      </c>
      <c r="N679" t="str">
        <f t="shared" si="221"/>
        <v>1 - 1</v>
      </c>
      <c r="O679" t="str">
        <f t="shared" si="222"/>
        <v>Red</v>
      </c>
      <c r="P679" t="str">
        <f t="shared" si="223"/>
        <v>Green</v>
      </c>
      <c r="Q679" t="str">
        <f t="shared" si="224"/>
        <v>Red</v>
      </c>
      <c r="R679" t="str">
        <f t="shared" si="225"/>
        <v>Green</v>
      </c>
      <c r="S679" t="str">
        <f t="shared" si="226"/>
        <v>Green</v>
      </c>
      <c r="T679" t="str">
        <f t="shared" si="227"/>
        <v>Red</v>
      </c>
      <c r="U679" t="str">
        <f t="shared" si="228"/>
        <v>Red</v>
      </c>
      <c r="V679" t="str">
        <f t="shared" si="229"/>
        <v>Green</v>
      </c>
      <c r="W679" t="str">
        <f t="shared" si="230"/>
        <v>Red</v>
      </c>
      <c r="X679" t="str">
        <f t="shared" si="231"/>
        <v>Red</v>
      </c>
      <c r="Y679" t="str">
        <f t="shared" si="232"/>
        <v>Green</v>
      </c>
      <c r="Z679" t="str">
        <f t="shared" si="233"/>
        <v>Red</v>
      </c>
      <c r="AA679" t="str">
        <f t="shared" si="234"/>
        <v>Green</v>
      </c>
      <c r="AB679" t="str">
        <f t="shared" si="235"/>
        <v>Green</v>
      </c>
      <c r="AC679" t="str">
        <f t="shared" si="236"/>
        <v>Green</v>
      </c>
      <c r="AD679" t="str">
        <f t="shared" si="237"/>
        <v>Red</v>
      </c>
    </row>
    <row r="680" spans="1:30" x14ac:dyDescent="0.2">
      <c r="A680" t="str">
        <f t="shared" si="220"/>
        <v>24/07/2026Vejle BKAB Gladsaxe</v>
      </c>
      <c r="D680" s="2">
        <v>46227</v>
      </c>
      <c r="E680" s="3">
        <v>0.66666666666666663</v>
      </c>
      <c r="F680" t="s">
        <v>2417</v>
      </c>
      <c r="G680" t="s">
        <v>2418</v>
      </c>
      <c r="H680">
        <v>1</v>
      </c>
      <c r="I680">
        <v>1</v>
      </c>
      <c r="J680">
        <v>2</v>
      </c>
      <c r="K680">
        <v>2</v>
      </c>
      <c r="L680" s="22" t="str">
        <f t="shared" si="238"/>
        <v>24/07/2026</v>
      </c>
      <c r="M680" s="23">
        <f t="shared" si="239"/>
        <v>0.54166666666666663</v>
      </c>
      <c r="N680" t="str">
        <f t="shared" si="221"/>
        <v>2 - 2</v>
      </c>
      <c r="O680" t="str">
        <f t="shared" si="222"/>
        <v>Red</v>
      </c>
      <c r="P680" t="str">
        <f t="shared" si="223"/>
        <v>Green</v>
      </c>
      <c r="Q680" t="str">
        <f t="shared" si="224"/>
        <v>Red</v>
      </c>
      <c r="R680" t="str">
        <f t="shared" si="225"/>
        <v>Green</v>
      </c>
      <c r="S680" t="str">
        <f t="shared" si="226"/>
        <v>Green</v>
      </c>
      <c r="T680" t="str">
        <f t="shared" si="227"/>
        <v>Red</v>
      </c>
      <c r="U680" t="str">
        <f t="shared" si="228"/>
        <v>Red</v>
      </c>
      <c r="V680" t="str">
        <f t="shared" si="229"/>
        <v>Green</v>
      </c>
      <c r="W680" t="str">
        <f t="shared" si="230"/>
        <v>Red</v>
      </c>
      <c r="X680" t="str">
        <f t="shared" si="231"/>
        <v>Green</v>
      </c>
      <c r="Y680" t="str">
        <f t="shared" si="232"/>
        <v>Green</v>
      </c>
      <c r="Z680" t="str">
        <f t="shared" si="233"/>
        <v>Green</v>
      </c>
      <c r="AA680" t="str">
        <f t="shared" si="234"/>
        <v>Red</v>
      </c>
      <c r="AB680" t="str">
        <f t="shared" si="235"/>
        <v>Red</v>
      </c>
      <c r="AC680" t="str">
        <f t="shared" si="236"/>
        <v>Green</v>
      </c>
      <c r="AD680" t="str">
        <f t="shared" si="237"/>
        <v>Red</v>
      </c>
    </row>
    <row r="681" spans="1:30" x14ac:dyDescent="0.2">
      <c r="A681" t="str">
        <f t="shared" si="220"/>
        <v>24/07/2026FF JaroSeinajoen JK</v>
      </c>
      <c r="D681" s="2">
        <v>46227</v>
      </c>
      <c r="E681" s="3">
        <v>0.66666666666666663</v>
      </c>
      <c r="F681" t="s">
        <v>141</v>
      </c>
      <c r="G681" t="s">
        <v>2425</v>
      </c>
      <c r="H681">
        <v>1</v>
      </c>
      <c r="I681">
        <v>0</v>
      </c>
      <c r="J681">
        <v>2</v>
      </c>
      <c r="K681">
        <v>1</v>
      </c>
      <c r="L681" s="22" t="str">
        <f t="shared" si="238"/>
        <v>24/07/2026</v>
      </c>
      <c r="M681" s="23">
        <f t="shared" si="239"/>
        <v>0.54166666666666663</v>
      </c>
      <c r="N681" t="str">
        <f t="shared" si="221"/>
        <v>2 - 1</v>
      </c>
      <c r="O681" t="str">
        <f t="shared" si="222"/>
        <v>Green</v>
      </c>
      <c r="P681" t="str">
        <f t="shared" si="223"/>
        <v>Red</v>
      </c>
      <c r="Q681" t="str">
        <f t="shared" si="224"/>
        <v>Red</v>
      </c>
      <c r="R681" t="str">
        <f t="shared" si="225"/>
        <v>Green</v>
      </c>
      <c r="S681" t="str">
        <f t="shared" si="226"/>
        <v>Red</v>
      </c>
      <c r="T681" t="str">
        <f t="shared" si="227"/>
        <v>Green</v>
      </c>
      <c r="U681" t="str">
        <f t="shared" si="228"/>
        <v>Green</v>
      </c>
      <c r="V681" t="str">
        <f t="shared" si="229"/>
        <v>Red</v>
      </c>
      <c r="W681" t="str">
        <f t="shared" si="230"/>
        <v>Red</v>
      </c>
      <c r="X681" t="str">
        <f t="shared" si="231"/>
        <v>Green</v>
      </c>
      <c r="Y681" t="str">
        <f t="shared" si="232"/>
        <v>Green</v>
      </c>
      <c r="Z681" t="str">
        <f t="shared" si="233"/>
        <v>Green</v>
      </c>
      <c r="AA681" t="str">
        <f t="shared" si="234"/>
        <v>Red</v>
      </c>
      <c r="AB681" t="str">
        <f t="shared" si="235"/>
        <v>Green</v>
      </c>
      <c r="AC681" t="str">
        <f t="shared" si="236"/>
        <v>Green</v>
      </c>
      <c r="AD681" t="str">
        <f t="shared" si="237"/>
        <v>Red</v>
      </c>
    </row>
    <row r="682" spans="1:30" x14ac:dyDescent="0.2">
      <c r="A682" t="str">
        <f t="shared" si="220"/>
        <v>24/07/2026Jazz PoriTPV</v>
      </c>
      <c r="D682" s="2">
        <v>46227</v>
      </c>
      <c r="E682" s="3">
        <v>0.66666666666666663</v>
      </c>
      <c r="F682" t="s">
        <v>2426</v>
      </c>
      <c r="G682" t="s">
        <v>2427</v>
      </c>
      <c r="H682">
        <v>1</v>
      </c>
      <c r="I682">
        <v>0</v>
      </c>
      <c r="J682">
        <v>4</v>
      </c>
      <c r="K682">
        <v>0</v>
      </c>
      <c r="L682" s="22" t="str">
        <f t="shared" si="238"/>
        <v>24/07/2026</v>
      </c>
      <c r="M682" s="23">
        <f t="shared" si="239"/>
        <v>0.54166666666666663</v>
      </c>
      <c r="N682" t="str">
        <f t="shared" si="221"/>
        <v>4 - 0</v>
      </c>
      <c r="O682" t="str">
        <f t="shared" si="222"/>
        <v>Green</v>
      </c>
      <c r="P682" t="str">
        <f t="shared" si="223"/>
        <v>Red</v>
      </c>
      <c r="Q682" t="str">
        <f t="shared" si="224"/>
        <v>Red</v>
      </c>
      <c r="R682" t="str">
        <f t="shared" si="225"/>
        <v>Green</v>
      </c>
      <c r="S682" t="str">
        <f t="shared" si="226"/>
        <v>Red</v>
      </c>
      <c r="T682" t="str">
        <f t="shared" si="227"/>
        <v>Green</v>
      </c>
      <c r="U682" t="str">
        <f t="shared" si="228"/>
        <v>Green</v>
      </c>
      <c r="V682" t="str">
        <f t="shared" si="229"/>
        <v>Red</v>
      </c>
      <c r="W682" t="str">
        <f t="shared" si="230"/>
        <v>Red</v>
      </c>
      <c r="X682" t="str">
        <f t="shared" si="231"/>
        <v>Green</v>
      </c>
      <c r="Y682" t="str">
        <f t="shared" si="232"/>
        <v>Green</v>
      </c>
      <c r="Z682" t="str">
        <f t="shared" si="233"/>
        <v>Green</v>
      </c>
      <c r="AA682" t="str">
        <f t="shared" si="234"/>
        <v>Red</v>
      </c>
      <c r="AB682" t="str">
        <f t="shared" si="235"/>
        <v>Red</v>
      </c>
      <c r="AC682" t="str">
        <f t="shared" si="236"/>
        <v>Red</v>
      </c>
      <c r="AD682" t="str">
        <f t="shared" si="237"/>
        <v>Green</v>
      </c>
    </row>
    <row r="683" spans="1:30" x14ac:dyDescent="0.2">
      <c r="A683" t="str">
        <f t="shared" si="220"/>
        <v>24/07/2026Tampere UnitedInter Turku II</v>
      </c>
      <c r="D683" s="2">
        <v>46227</v>
      </c>
      <c r="E683" s="3">
        <v>0.66666666666666663</v>
      </c>
      <c r="F683" t="s">
        <v>2428</v>
      </c>
      <c r="G683" t="s">
        <v>2429</v>
      </c>
      <c r="H683">
        <v>2</v>
      </c>
      <c r="I683">
        <v>0</v>
      </c>
      <c r="J683">
        <v>2</v>
      </c>
      <c r="K683">
        <v>2</v>
      </c>
      <c r="L683" s="22" t="str">
        <f t="shared" si="238"/>
        <v>24/07/2026</v>
      </c>
      <c r="M683" s="23">
        <f t="shared" si="239"/>
        <v>0.54166666666666663</v>
      </c>
      <c r="N683" t="str">
        <f t="shared" si="221"/>
        <v>2 - 2</v>
      </c>
      <c r="O683" t="str">
        <f t="shared" si="222"/>
        <v>Red</v>
      </c>
      <c r="P683" t="str">
        <f t="shared" si="223"/>
        <v>Green</v>
      </c>
      <c r="Q683" t="str">
        <f t="shared" si="224"/>
        <v>Red</v>
      </c>
      <c r="R683" t="str">
        <f t="shared" si="225"/>
        <v>Green</v>
      </c>
      <c r="S683" t="str">
        <f t="shared" si="226"/>
        <v>Green</v>
      </c>
      <c r="T683" t="str">
        <f t="shared" si="227"/>
        <v>Red</v>
      </c>
      <c r="U683" t="str">
        <f t="shared" si="228"/>
        <v>Green</v>
      </c>
      <c r="V683" t="str">
        <f t="shared" si="229"/>
        <v>Red</v>
      </c>
      <c r="W683" t="str">
        <f t="shared" si="230"/>
        <v>Red</v>
      </c>
      <c r="X683" t="str">
        <f t="shared" si="231"/>
        <v>Green</v>
      </c>
      <c r="Y683" t="str">
        <f t="shared" si="232"/>
        <v>Green</v>
      </c>
      <c r="Z683" t="str">
        <f t="shared" si="233"/>
        <v>Green</v>
      </c>
      <c r="AA683" t="str">
        <f t="shared" si="234"/>
        <v>Red</v>
      </c>
      <c r="AB683" t="str">
        <f t="shared" si="235"/>
        <v>Red</v>
      </c>
      <c r="AC683" t="str">
        <f t="shared" si="236"/>
        <v>Green</v>
      </c>
      <c r="AD683" t="str">
        <f t="shared" si="237"/>
        <v>Red</v>
      </c>
    </row>
    <row r="684" spans="1:30" x14ac:dyDescent="0.2">
      <c r="A684" t="str">
        <f t="shared" si="220"/>
        <v>24/07/2026Nurmijarven JalkapalloseuraAbo IFK</v>
      </c>
      <c r="D684" s="2">
        <v>46227</v>
      </c>
      <c r="E684" s="3">
        <v>0.66666666666666663</v>
      </c>
      <c r="F684" t="s">
        <v>2432</v>
      </c>
      <c r="G684" t="s">
        <v>2433</v>
      </c>
      <c r="H684">
        <v>1</v>
      </c>
      <c r="I684">
        <v>0</v>
      </c>
      <c r="J684">
        <v>1</v>
      </c>
      <c r="K684">
        <v>2</v>
      </c>
      <c r="L684" s="22" t="str">
        <f t="shared" si="238"/>
        <v>24/07/2026</v>
      </c>
      <c r="M684" s="23">
        <f t="shared" si="239"/>
        <v>0.54166666666666663</v>
      </c>
      <c r="N684" t="str">
        <f t="shared" si="221"/>
        <v>1 - 2</v>
      </c>
      <c r="O684" t="str">
        <f t="shared" si="222"/>
        <v>Red</v>
      </c>
      <c r="P684" t="str">
        <f t="shared" si="223"/>
        <v>Red</v>
      </c>
      <c r="Q684" t="str">
        <f t="shared" si="224"/>
        <v>Green</v>
      </c>
      <c r="R684" t="str">
        <f t="shared" si="225"/>
        <v>Red</v>
      </c>
      <c r="S684" t="str">
        <f t="shared" si="226"/>
        <v>Green</v>
      </c>
      <c r="T684" t="str">
        <f t="shared" si="227"/>
        <v>Green</v>
      </c>
      <c r="U684" t="str">
        <f t="shared" si="228"/>
        <v>Green</v>
      </c>
      <c r="V684" t="str">
        <f t="shared" si="229"/>
        <v>Red</v>
      </c>
      <c r="W684" t="str">
        <f t="shared" si="230"/>
        <v>Red</v>
      </c>
      <c r="X684" t="str">
        <f t="shared" si="231"/>
        <v>Green</v>
      </c>
      <c r="Y684" t="str">
        <f t="shared" si="232"/>
        <v>Green</v>
      </c>
      <c r="Z684" t="str">
        <f t="shared" si="233"/>
        <v>Green</v>
      </c>
      <c r="AA684" t="str">
        <f t="shared" si="234"/>
        <v>Red</v>
      </c>
      <c r="AB684" t="str">
        <f t="shared" si="235"/>
        <v>Green</v>
      </c>
      <c r="AC684" t="str">
        <f t="shared" si="236"/>
        <v>Green</v>
      </c>
      <c r="AD684" t="str">
        <f t="shared" si="237"/>
        <v>Red</v>
      </c>
    </row>
    <row r="685" spans="1:30" x14ac:dyDescent="0.2">
      <c r="A685" t="str">
        <f t="shared" si="220"/>
        <v>24/07/2026Pallo-IirotIlves II</v>
      </c>
      <c r="D685" s="2">
        <v>46227</v>
      </c>
      <c r="E685" s="3">
        <v>0.66666666666666663</v>
      </c>
      <c r="F685" t="s">
        <v>2434</v>
      </c>
      <c r="G685" t="s">
        <v>2435</v>
      </c>
      <c r="H685">
        <v>2</v>
      </c>
      <c r="I685">
        <v>0</v>
      </c>
      <c r="J685">
        <v>2</v>
      </c>
      <c r="K685">
        <v>1</v>
      </c>
      <c r="L685" s="22" t="str">
        <f t="shared" si="238"/>
        <v>24/07/2026</v>
      </c>
      <c r="M685" s="23">
        <f t="shared" si="239"/>
        <v>0.54166666666666663</v>
      </c>
      <c r="N685" t="str">
        <f t="shared" si="221"/>
        <v>2 - 1</v>
      </c>
      <c r="O685" t="str">
        <f t="shared" si="222"/>
        <v>Green</v>
      </c>
      <c r="P685" t="str">
        <f t="shared" si="223"/>
        <v>Red</v>
      </c>
      <c r="Q685" t="str">
        <f t="shared" si="224"/>
        <v>Red</v>
      </c>
      <c r="R685" t="str">
        <f t="shared" si="225"/>
        <v>Green</v>
      </c>
      <c r="S685" t="str">
        <f t="shared" si="226"/>
        <v>Red</v>
      </c>
      <c r="T685" t="str">
        <f t="shared" si="227"/>
        <v>Green</v>
      </c>
      <c r="U685" t="str">
        <f t="shared" si="228"/>
        <v>Green</v>
      </c>
      <c r="V685" t="str">
        <f t="shared" si="229"/>
        <v>Red</v>
      </c>
      <c r="W685" t="str">
        <f t="shared" si="230"/>
        <v>Red</v>
      </c>
      <c r="X685" t="str">
        <f t="shared" si="231"/>
        <v>Green</v>
      </c>
      <c r="Y685" t="str">
        <f t="shared" si="232"/>
        <v>Green</v>
      </c>
      <c r="Z685" t="str">
        <f t="shared" si="233"/>
        <v>Green</v>
      </c>
      <c r="AA685" t="str">
        <f t="shared" si="234"/>
        <v>Red</v>
      </c>
      <c r="AB685" t="str">
        <f t="shared" si="235"/>
        <v>Green</v>
      </c>
      <c r="AC685" t="str">
        <f t="shared" si="236"/>
        <v>Green</v>
      </c>
      <c r="AD685" t="str">
        <f t="shared" si="237"/>
        <v>Red</v>
      </c>
    </row>
    <row r="686" spans="1:30" x14ac:dyDescent="0.2">
      <c r="A686" t="str">
        <f t="shared" si="220"/>
        <v>24/07/2026PEPO LappeenrantaPuistolan Urheilijat</v>
      </c>
      <c r="D686" s="2">
        <v>46227</v>
      </c>
      <c r="E686" s="3">
        <v>0.66666666666666663</v>
      </c>
      <c r="F686" t="s">
        <v>2436</v>
      </c>
      <c r="G686" t="s">
        <v>2437</v>
      </c>
      <c r="H686">
        <v>1</v>
      </c>
      <c r="I686">
        <v>2</v>
      </c>
      <c r="J686">
        <v>3</v>
      </c>
      <c r="K686">
        <v>2</v>
      </c>
      <c r="L686" s="22" t="str">
        <f t="shared" si="238"/>
        <v>24/07/2026</v>
      </c>
      <c r="M686" s="23">
        <f t="shared" si="239"/>
        <v>0.54166666666666663</v>
      </c>
      <c r="N686" t="str">
        <f t="shared" si="221"/>
        <v>3 - 2</v>
      </c>
      <c r="O686" t="str">
        <f t="shared" si="222"/>
        <v>Green</v>
      </c>
      <c r="P686" t="str">
        <f t="shared" si="223"/>
        <v>Red</v>
      </c>
      <c r="Q686" t="str">
        <f t="shared" si="224"/>
        <v>Red</v>
      </c>
      <c r="R686" t="str">
        <f t="shared" si="225"/>
        <v>Green</v>
      </c>
      <c r="S686" t="str">
        <f t="shared" si="226"/>
        <v>Red</v>
      </c>
      <c r="T686" t="str">
        <f t="shared" si="227"/>
        <v>Green</v>
      </c>
      <c r="U686" t="str">
        <f t="shared" si="228"/>
        <v>Red</v>
      </c>
      <c r="V686" t="str">
        <f t="shared" si="229"/>
        <v>Red</v>
      </c>
      <c r="W686" t="str">
        <f t="shared" si="230"/>
        <v>Green</v>
      </c>
      <c r="X686" t="str">
        <f t="shared" si="231"/>
        <v>Green</v>
      </c>
      <c r="Y686" t="str">
        <f t="shared" si="232"/>
        <v>Green</v>
      </c>
      <c r="Z686" t="str">
        <f t="shared" si="233"/>
        <v>Green</v>
      </c>
      <c r="AA686" t="str">
        <f t="shared" si="234"/>
        <v>Red</v>
      </c>
      <c r="AB686" t="str">
        <f t="shared" si="235"/>
        <v>Red</v>
      </c>
      <c r="AC686" t="str">
        <f t="shared" si="236"/>
        <v>Green</v>
      </c>
      <c r="AD686" t="str">
        <f t="shared" si="237"/>
        <v>Red</v>
      </c>
    </row>
    <row r="687" spans="1:30" x14ac:dyDescent="0.2">
      <c r="A687" t="str">
        <f t="shared" si="220"/>
        <v>24/07/2026PPJUnion Plaani</v>
      </c>
      <c r="D687" s="2">
        <v>46227</v>
      </c>
      <c r="E687" s="3">
        <v>0.66666666666666663</v>
      </c>
      <c r="F687" t="s">
        <v>2438</v>
      </c>
      <c r="G687" t="s">
        <v>2439</v>
      </c>
      <c r="H687">
        <v>0</v>
      </c>
      <c r="I687">
        <v>0</v>
      </c>
      <c r="J687">
        <v>0</v>
      </c>
      <c r="K687">
        <v>1</v>
      </c>
      <c r="L687" s="22" t="str">
        <f t="shared" si="238"/>
        <v>24/07/2026</v>
      </c>
      <c r="M687" s="23">
        <f t="shared" si="239"/>
        <v>0.54166666666666663</v>
      </c>
      <c r="N687" t="str">
        <f t="shared" si="221"/>
        <v>0 - 1</v>
      </c>
      <c r="O687" t="str">
        <f t="shared" si="222"/>
        <v>Red</v>
      </c>
      <c r="P687" t="str">
        <f t="shared" si="223"/>
        <v>Red</v>
      </c>
      <c r="Q687" t="str">
        <f t="shared" si="224"/>
        <v>Green</v>
      </c>
      <c r="R687" t="str">
        <f t="shared" si="225"/>
        <v>Red</v>
      </c>
      <c r="S687" t="str">
        <f t="shared" si="226"/>
        <v>Green</v>
      </c>
      <c r="T687" t="str">
        <f t="shared" si="227"/>
        <v>Green</v>
      </c>
      <c r="U687" t="str">
        <f t="shared" si="228"/>
        <v>Red</v>
      </c>
      <c r="V687" t="str">
        <f t="shared" si="229"/>
        <v>Green</v>
      </c>
      <c r="W687" t="str">
        <f t="shared" si="230"/>
        <v>Red</v>
      </c>
      <c r="X687" t="str">
        <f t="shared" si="231"/>
        <v>Red</v>
      </c>
      <c r="Y687" t="str">
        <f t="shared" si="232"/>
        <v>Red</v>
      </c>
      <c r="Z687" t="str">
        <f t="shared" si="233"/>
        <v>Red</v>
      </c>
      <c r="AA687" t="str">
        <f t="shared" si="234"/>
        <v>Green</v>
      </c>
      <c r="AB687" t="str">
        <f t="shared" si="235"/>
        <v>Green</v>
      </c>
      <c r="AC687" t="str">
        <f t="shared" si="236"/>
        <v>Red</v>
      </c>
      <c r="AD687" t="str">
        <f t="shared" si="237"/>
        <v>Green</v>
      </c>
    </row>
    <row r="688" spans="1:30" x14ac:dyDescent="0.2">
      <c r="A688" t="str">
        <f t="shared" si="220"/>
        <v>24/07/2026MPS Atletico/MalmiPPS/Old Stars</v>
      </c>
      <c r="D688" s="2">
        <v>46227</v>
      </c>
      <c r="E688" s="3">
        <v>0.66666666666666663</v>
      </c>
      <c r="F688" t="s">
        <v>2444</v>
      </c>
      <c r="G688" t="s">
        <v>2445</v>
      </c>
      <c r="H688">
        <v>0</v>
      </c>
      <c r="I688">
        <v>0</v>
      </c>
      <c r="J688">
        <v>2</v>
      </c>
      <c r="K688">
        <v>1</v>
      </c>
      <c r="L688" s="22" t="str">
        <f t="shared" si="238"/>
        <v>24/07/2026</v>
      </c>
      <c r="M688" s="23">
        <f t="shared" si="239"/>
        <v>0.54166666666666663</v>
      </c>
      <c r="N688" t="str">
        <f t="shared" si="221"/>
        <v>2 - 1</v>
      </c>
      <c r="O688" t="str">
        <f t="shared" si="222"/>
        <v>Green</v>
      </c>
      <c r="P688" t="str">
        <f t="shared" si="223"/>
        <v>Red</v>
      </c>
      <c r="Q688" t="str">
        <f t="shared" si="224"/>
        <v>Red</v>
      </c>
      <c r="R688" t="str">
        <f t="shared" si="225"/>
        <v>Green</v>
      </c>
      <c r="S688" t="str">
        <f t="shared" si="226"/>
        <v>Red</v>
      </c>
      <c r="T688" t="str">
        <f t="shared" si="227"/>
        <v>Green</v>
      </c>
      <c r="U688" t="str">
        <f t="shared" si="228"/>
        <v>Red</v>
      </c>
      <c r="V688" t="str">
        <f t="shared" si="229"/>
        <v>Green</v>
      </c>
      <c r="W688" t="str">
        <f t="shared" si="230"/>
        <v>Red</v>
      </c>
      <c r="X688" t="str">
        <f t="shared" si="231"/>
        <v>Red</v>
      </c>
      <c r="Y688" t="str">
        <f t="shared" si="232"/>
        <v>Green</v>
      </c>
      <c r="Z688" t="str">
        <f t="shared" si="233"/>
        <v>Green</v>
      </c>
      <c r="AA688" t="str">
        <f t="shared" si="234"/>
        <v>Red</v>
      </c>
      <c r="AB688" t="str">
        <f t="shared" si="235"/>
        <v>Green</v>
      </c>
      <c r="AC688" t="str">
        <f t="shared" si="236"/>
        <v>Green</v>
      </c>
      <c r="AD688" t="str">
        <f t="shared" si="237"/>
        <v>Red</v>
      </c>
    </row>
    <row r="689" spans="1:30" x14ac:dyDescent="0.2">
      <c r="A689" t="str">
        <f t="shared" si="220"/>
        <v>24/07/2026Nokian PalloseuraHaka Juniorit</v>
      </c>
      <c r="D689" s="2">
        <v>46227</v>
      </c>
      <c r="E689" s="3">
        <v>0.66666666666666663</v>
      </c>
      <c r="F689" t="s">
        <v>2446</v>
      </c>
      <c r="G689" t="s">
        <v>2447</v>
      </c>
      <c r="H689">
        <v>0</v>
      </c>
      <c r="I689">
        <v>0</v>
      </c>
      <c r="J689">
        <v>7</v>
      </c>
      <c r="K689">
        <v>0</v>
      </c>
      <c r="L689" s="22" t="str">
        <f t="shared" si="238"/>
        <v>24/07/2026</v>
      </c>
      <c r="M689" s="23">
        <f t="shared" si="239"/>
        <v>0.54166666666666663</v>
      </c>
      <c r="N689" t="str">
        <f t="shared" si="221"/>
        <v>7 - 0</v>
      </c>
      <c r="O689" t="str">
        <f t="shared" si="222"/>
        <v>Green</v>
      </c>
      <c r="P689" t="str">
        <f t="shared" si="223"/>
        <v>Red</v>
      </c>
      <c r="Q689" t="str">
        <f t="shared" si="224"/>
        <v>Red</v>
      </c>
      <c r="R689" t="str">
        <f t="shared" si="225"/>
        <v>Green</v>
      </c>
      <c r="S689" t="str">
        <f t="shared" si="226"/>
        <v>Red</v>
      </c>
      <c r="T689" t="str">
        <f t="shared" si="227"/>
        <v>Green</v>
      </c>
      <c r="U689" t="str">
        <f t="shared" si="228"/>
        <v>Red</v>
      </c>
      <c r="V689" t="str">
        <f t="shared" si="229"/>
        <v>Green</v>
      </c>
      <c r="W689" t="str">
        <f t="shared" si="230"/>
        <v>Red</v>
      </c>
      <c r="X689" t="str">
        <f t="shared" si="231"/>
        <v>Red</v>
      </c>
      <c r="Y689" t="str">
        <f t="shared" si="232"/>
        <v>Green</v>
      </c>
      <c r="Z689" t="str">
        <f t="shared" si="233"/>
        <v>Green</v>
      </c>
      <c r="AA689" t="str">
        <f t="shared" si="234"/>
        <v>Red</v>
      </c>
      <c r="AB689" t="str">
        <f t="shared" si="235"/>
        <v>Red</v>
      </c>
      <c r="AC689" t="str">
        <f t="shared" si="236"/>
        <v>Red</v>
      </c>
      <c r="AD689" t="str">
        <f t="shared" si="237"/>
        <v>Green</v>
      </c>
    </row>
    <row r="690" spans="1:30" x14ac:dyDescent="0.2">
      <c r="A690" t="str">
        <f t="shared" si="220"/>
        <v>24/07/2026ToTe/TapioTuusulan Palloseura</v>
      </c>
      <c r="D690" s="2">
        <v>46227</v>
      </c>
      <c r="E690" s="3">
        <v>0.66666666666666663</v>
      </c>
      <c r="F690" t="s">
        <v>2448</v>
      </c>
      <c r="G690" t="s">
        <v>2449</v>
      </c>
      <c r="H690">
        <v>0</v>
      </c>
      <c r="I690">
        <v>0</v>
      </c>
      <c r="J690">
        <v>3</v>
      </c>
      <c r="K690">
        <v>1</v>
      </c>
      <c r="L690" s="22" t="str">
        <f t="shared" si="238"/>
        <v>24/07/2026</v>
      </c>
      <c r="M690" s="23">
        <f t="shared" si="239"/>
        <v>0.54166666666666663</v>
      </c>
      <c r="N690" t="str">
        <f t="shared" si="221"/>
        <v>3 - 1</v>
      </c>
      <c r="O690" t="str">
        <f t="shared" si="222"/>
        <v>Green</v>
      </c>
      <c r="P690" t="str">
        <f t="shared" si="223"/>
        <v>Red</v>
      </c>
      <c r="Q690" t="str">
        <f t="shared" si="224"/>
        <v>Red</v>
      </c>
      <c r="R690" t="str">
        <f t="shared" si="225"/>
        <v>Green</v>
      </c>
      <c r="S690" t="str">
        <f t="shared" si="226"/>
        <v>Red</v>
      </c>
      <c r="T690" t="str">
        <f t="shared" si="227"/>
        <v>Green</v>
      </c>
      <c r="U690" t="str">
        <f t="shared" si="228"/>
        <v>Red</v>
      </c>
      <c r="V690" t="str">
        <f t="shared" si="229"/>
        <v>Green</v>
      </c>
      <c r="W690" t="str">
        <f t="shared" si="230"/>
        <v>Red</v>
      </c>
      <c r="X690" t="str">
        <f t="shared" si="231"/>
        <v>Red</v>
      </c>
      <c r="Y690" t="str">
        <f t="shared" si="232"/>
        <v>Green</v>
      </c>
      <c r="Z690" t="str">
        <f t="shared" si="233"/>
        <v>Green</v>
      </c>
      <c r="AA690" t="str">
        <f t="shared" si="234"/>
        <v>Red</v>
      </c>
      <c r="AB690" t="str">
        <f t="shared" si="235"/>
        <v>Red</v>
      </c>
      <c r="AC690" t="str">
        <f t="shared" si="236"/>
        <v>Green</v>
      </c>
      <c r="AD690" t="str">
        <f t="shared" si="237"/>
        <v>Red</v>
      </c>
    </row>
    <row r="691" spans="1:30" x14ac:dyDescent="0.2">
      <c r="A691" t="str">
        <f t="shared" si="220"/>
        <v>24/07/2026FC MetsoJPS</v>
      </c>
      <c r="D691" s="2">
        <v>46227</v>
      </c>
      <c r="E691" s="3">
        <v>0.66666666666666663</v>
      </c>
      <c r="F691" t="s">
        <v>2458</v>
      </c>
      <c r="G691" t="s">
        <v>2459</v>
      </c>
      <c r="L691" s="22" t="str">
        <f t="shared" si="238"/>
        <v>24/07/2026</v>
      </c>
      <c r="M691" s="23">
        <f t="shared" si="239"/>
        <v>0.54166666666666663</v>
      </c>
      <c r="N691" t="str">
        <f t="shared" si="221"/>
        <v xml:space="preserve"> - </v>
      </c>
      <c r="O691" t="str">
        <f t="shared" si="222"/>
        <v>Red</v>
      </c>
      <c r="P691" t="str">
        <f t="shared" si="223"/>
        <v>Green</v>
      </c>
      <c r="Q691" t="str">
        <f t="shared" si="224"/>
        <v>Red</v>
      </c>
      <c r="R691" t="str">
        <f t="shared" si="225"/>
        <v>Green</v>
      </c>
      <c r="S691" t="str">
        <f t="shared" si="226"/>
        <v>Green</v>
      </c>
      <c r="T691" t="str">
        <f t="shared" si="227"/>
        <v>Red</v>
      </c>
      <c r="U691" t="str">
        <f t="shared" si="228"/>
        <v>Red</v>
      </c>
      <c r="V691" t="str">
        <f t="shared" si="229"/>
        <v>Green</v>
      </c>
      <c r="W691" t="str">
        <f t="shared" si="230"/>
        <v>Red</v>
      </c>
      <c r="X691" t="str">
        <f t="shared" si="231"/>
        <v>Red</v>
      </c>
      <c r="Y691" t="str">
        <f t="shared" si="232"/>
        <v>Red</v>
      </c>
      <c r="Z691" t="str">
        <f t="shared" si="233"/>
        <v>Red</v>
      </c>
      <c r="AA691" t="str">
        <f t="shared" si="234"/>
        <v>Green</v>
      </c>
      <c r="AB691" t="str">
        <f t="shared" si="235"/>
        <v>Green</v>
      </c>
      <c r="AC691" t="str">
        <f t="shared" si="236"/>
        <v>Red</v>
      </c>
      <c r="AD691" t="str">
        <f t="shared" si="237"/>
        <v>Green</v>
      </c>
    </row>
    <row r="692" spans="1:30" x14ac:dyDescent="0.2">
      <c r="A692" t="str">
        <f t="shared" si="220"/>
        <v>24/07/2026JJK Jyvaskyla IISavannan Pallo</v>
      </c>
      <c r="D692" s="2">
        <v>46227</v>
      </c>
      <c r="E692" s="3">
        <v>0.66666666666666663</v>
      </c>
      <c r="F692" t="s">
        <v>2460</v>
      </c>
      <c r="G692" t="s">
        <v>2461</v>
      </c>
      <c r="H692">
        <v>0</v>
      </c>
      <c r="I692">
        <v>0</v>
      </c>
      <c r="J692">
        <v>2</v>
      </c>
      <c r="K692">
        <v>0</v>
      </c>
      <c r="L692" s="22" t="str">
        <f t="shared" si="238"/>
        <v>24/07/2026</v>
      </c>
      <c r="M692" s="23">
        <f t="shared" si="239"/>
        <v>0.54166666666666663</v>
      </c>
      <c r="N692" t="str">
        <f t="shared" si="221"/>
        <v>2 - 0</v>
      </c>
      <c r="O692" t="str">
        <f t="shared" si="222"/>
        <v>Green</v>
      </c>
      <c r="P692" t="str">
        <f t="shared" si="223"/>
        <v>Red</v>
      </c>
      <c r="Q692" t="str">
        <f t="shared" si="224"/>
        <v>Red</v>
      </c>
      <c r="R692" t="str">
        <f t="shared" si="225"/>
        <v>Green</v>
      </c>
      <c r="S692" t="str">
        <f t="shared" si="226"/>
        <v>Red</v>
      </c>
      <c r="T692" t="str">
        <f t="shared" si="227"/>
        <v>Green</v>
      </c>
      <c r="U692" t="str">
        <f t="shared" si="228"/>
        <v>Red</v>
      </c>
      <c r="V692" t="str">
        <f t="shared" si="229"/>
        <v>Green</v>
      </c>
      <c r="W692" t="str">
        <f t="shared" si="230"/>
        <v>Red</v>
      </c>
      <c r="X692" t="str">
        <f t="shared" si="231"/>
        <v>Red</v>
      </c>
      <c r="Y692" t="str">
        <f t="shared" si="232"/>
        <v>Green</v>
      </c>
      <c r="Z692" t="str">
        <f t="shared" si="233"/>
        <v>Red</v>
      </c>
      <c r="AA692" t="str">
        <f t="shared" si="234"/>
        <v>Green</v>
      </c>
      <c r="AB692" t="str">
        <f t="shared" si="235"/>
        <v>Green</v>
      </c>
      <c r="AC692" t="str">
        <f t="shared" si="236"/>
        <v>Red</v>
      </c>
      <c r="AD692" t="str">
        <f t="shared" si="237"/>
        <v>Green</v>
      </c>
    </row>
    <row r="693" spans="1:30" x14ac:dyDescent="0.2">
      <c r="A693" t="str">
        <f t="shared" si="220"/>
        <v>24/07/2026Toivalan UrheilijatNiemU</v>
      </c>
      <c r="D693" s="2">
        <v>46227</v>
      </c>
      <c r="E693" s="3">
        <v>0.66666666666666663</v>
      </c>
      <c r="F693" t="s">
        <v>2462</v>
      </c>
      <c r="G693" t="s">
        <v>2463</v>
      </c>
      <c r="H693">
        <v>0</v>
      </c>
      <c r="I693">
        <v>0</v>
      </c>
      <c r="J693">
        <v>1</v>
      </c>
      <c r="K693">
        <v>3</v>
      </c>
      <c r="L693" s="22" t="str">
        <f t="shared" si="238"/>
        <v>24/07/2026</v>
      </c>
      <c r="M693" s="23">
        <f t="shared" si="239"/>
        <v>0.54166666666666663</v>
      </c>
      <c r="N693" t="str">
        <f t="shared" si="221"/>
        <v>1 - 3</v>
      </c>
      <c r="O693" t="str">
        <f t="shared" si="222"/>
        <v>Red</v>
      </c>
      <c r="P693" t="str">
        <f t="shared" si="223"/>
        <v>Red</v>
      </c>
      <c r="Q693" t="str">
        <f t="shared" si="224"/>
        <v>Green</v>
      </c>
      <c r="R693" t="str">
        <f t="shared" si="225"/>
        <v>Red</v>
      </c>
      <c r="S693" t="str">
        <f t="shared" si="226"/>
        <v>Green</v>
      </c>
      <c r="T693" t="str">
        <f t="shared" si="227"/>
        <v>Green</v>
      </c>
      <c r="U693" t="str">
        <f t="shared" si="228"/>
        <v>Red</v>
      </c>
      <c r="V693" t="str">
        <f t="shared" si="229"/>
        <v>Green</v>
      </c>
      <c r="W693" t="str">
        <f t="shared" si="230"/>
        <v>Red</v>
      </c>
      <c r="X693" t="str">
        <f t="shared" si="231"/>
        <v>Red</v>
      </c>
      <c r="Y693" t="str">
        <f t="shared" si="232"/>
        <v>Green</v>
      </c>
      <c r="Z693" t="str">
        <f t="shared" si="233"/>
        <v>Green</v>
      </c>
      <c r="AA693" t="str">
        <f t="shared" si="234"/>
        <v>Red</v>
      </c>
      <c r="AB693" t="str">
        <f t="shared" si="235"/>
        <v>Red</v>
      </c>
      <c r="AC693" t="str">
        <f t="shared" si="236"/>
        <v>Green</v>
      </c>
      <c r="AD693" t="str">
        <f t="shared" si="237"/>
        <v>Red</v>
      </c>
    </row>
    <row r="694" spans="1:30" x14ac:dyDescent="0.2">
      <c r="A694" t="str">
        <f t="shared" si="220"/>
        <v>24/07/2026FA SiauliaiHegelmann Litauen</v>
      </c>
      <c r="D694" s="2">
        <v>46227</v>
      </c>
      <c r="E694" s="3">
        <v>0.66666666666666663</v>
      </c>
      <c r="F694" t="s">
        <v>2510</v>
      </c>
      <c r="G694" t="s">
        <v>144</v>
      </c>
      <c r="H694">
        <v>0</v>
      </c>
      <c r="I694">
        <v>2</v>
      </c>
      <c r="J694">
        <v>0</v>
      </c>
      <c r="K694">
        <v>2</v>
      </c>
      <c r="L694" s="22" t="str">
        <f t="shared" si="238"/>
        <v>24/07/2026</v>
      </c>
      <c r="M694" s="23">
        <f t="shared" si="239"/>
        <v>0.54166666666666663</v>
      </c>
      <c r="N694" t="str">
        <f t="shared" si="221"/>
        <v>0 - 2</v>
      </c>
      <c r="O694" t="str">
        <f t="shared" si="222"/>
        <v>Red</v>
      </c>
      <c r="P694" t="str">
        <f t="shared" si="223"/>
        <v>Red</v>
      </c>
      <c r="Q694" t="str">
        <f t="shared" si="224"/>
        <v>Green</v>
      </c>
      <c r="R694" t="str">
        <f t="shared" si="225"/>
        <v>Red</v>
      </c>
      <c r="S694" t="str">
        <f t="shared" si="226"/>
        <v>Green</v>
      </c>
      <c r="T694" t="str">
        <f t="shared" si="227"/>
        <v>Green</v>
      </c>
      <c r="U694" t="str">
        <f t="shared" si="228"/>
        <v>Red</v>
      </c>
      <c r="V694" t="str">
        <f t="shared" si="229"/>
        <v>Red</v>
      </c>
      <c r="W694" t="str">
        <f t="shared" si="230"/>
        <v>Green</v>
      </c>
      <c r="X694" t="str">
        <f t="shared" si="231"/>
        <v>Green</v>
      </c>
      <c r="Y694" t="str">
        <f t="shared" si="232"/>
        <v>Green</v>
      </c>
      <c r="Z694" t="str">
        <f t="shared" si="233"/>
        <v>Red</v>
      </c>
      <c r="AA694" t="str">
        <f t="shared" si="234"/>
        <v>Green</v>
      </c>
      <c r="AB694" t="str">
        <f t="shared" si="235"/>
        <v>Green</v>
      </c>
      <c r="AC694" t="str">
        <f t="shared" si="236"/>
        <v>Red</v>
      </c>
      <c r="AD694" t="str">
        <f t="shared" si="237"/>
        <v>Green</v>
      </c>
    </row>
    <row r="695" spans="1:30" x14ac:dyDescent="0.2">
      <c r="A695" t="str">
        <f t="shared" si="220"/>
        <v>24/07/2026Black BullsFerroviario Lichinga</v>
      </c>
      <c r="D695" s="2">
        <v>46227</v>
      </c>
      <c r="E695" s="3">
        <v>0.66666666666666663</v>
      </c>
      <c r="F695" t="s">
        <v>2524</v>
      </c>
      <c r="G695" t="s">
        <v>2525</v>
      </c>
      <c r="H695">
        <v>1</v>
      </c>
      <c r="I695">
        <v>0</v>
      </c>
      <c r="J695">
        <v>1</v>
      </c>
      <c r="K695">
        <v>0</v>
      </c>
      <c r="L695" s="22" t="str">
        <f t="shared" si="238"/>
        <v>24/07/2026</v>
      </c>
      <c r="M695" s="23">
        <f t="shared" si="239"/>
        <v>0.54166666666666663</v>
      </c>
      <c r="N695" t="str">
        <f t="shared" si="221"/>
        <v>1 - 0</v>
      </c>
      <c r="O695" t="str">
        <f t="shared" si="222"/>
        <v>Green</v>
      </c>
      <c r="P695" t="str">
        <f t="shared" si="223"/>
        <v>Red</v>
      </c>
      <c r="Q695" t="str">
        <f t="shared" si="224"/>
        <v>Red</v>
      </c>
      <c r="R695" t="str">
        <f t="shared" si="225"/>
        <v>Green</v>
      </c>
      <c r="S695" t="str">
        <f t="shared" si="226"/>
        <v>Red</v>
      </c>
      <c r="T695" t="str">
        <f t="shared" si="227"/>
        <v>Green</v>
      </c>
      <c r="U695" t="str">
        <f t="shared" si="228"/>
        <v>Green</v>
      </c>
      <c r="V695" t="str">
        <f t="shared" si="229"/>
        <v>Red</v>
      </c>
      <c r="W695" t="str">
        <f t="shared" si="230"/>
        <v>Red</v>
      </c>
      <c r="X695" t="str">
        <f t="shared" si="231"/>
        <v>Green</v>
      </c>
      <c r="Y695" t="str">
        <f t="shared" si="232"/>
        <v>Red</v>
      </c>
      <c r="Z695" t="str">
        <f t="shared" si="233"/>
        <v>Red</v>
      </c>
      <c r="AA695" t="str">
        <f t="shared" si="234"/>
        <v>Green</v>
      </c>
      <c r="AB695" t="str">
        <f t="shared" si="235"/>
        <v>Green</v>
      </c>
      <c r="AC695" t="str">
        <f t="shared" si="236"/>
        <v>Red</v>
      </c>
      <c r="AD695" t="str">
        <f t="shared" si="237"/>
        <v>Green</v>
      </c>
    </row>
    <row r="696" spans="1:30" x14ac:dyDescent="0.2">
      <c r="A696" t="str">
        <f t="shared" si="220"/>
        <v>24/07/2026Radomiak RadomKS Wieczysta Krakow</v>
      </c>
      <c r="D696" s="2">
        <v>46227</v>
      </c>
      <c r="E696" s="3">
        <v>0.66666666666666663</v>
      </c>
      <c r="F696" t="s">
        <v>2552</v>
      </c>
      <c r="G696" t="s">
        <v>2553</v>
      </c>
      <c r="H696">
        <v>1</v>
      </c>
      <c r="I696">
        <v>0</v>
      </c>
      <c r="J696">
        <v>2</v>
      </c>
      <c r="K696">
        <v>1</v>
      </c>
      <c r="L696" s="22" t="str">
        <f t="shared" si="238"/>
        <v>24/07/2026</v>
      </c>
      <c r="M696" s="23">
        <f t="shared" si="239"/>
        <v>0.54166666666666663</v>
      </c>
      <c r="N696" t="str">
        <f t="shared" si="221"/>
        <v>2 - 1</v>
      </c>
      <c r="O696" t="str">
        <f t="shared" si="222"/>
        <v>Green</v>
      </c>
      <c r="P696" t="str">
        <f t="shared" si="223"/>
        <v>Red</v>
      </c>
      <c r="Q696" t="str">
        <f t="shared" si="224"/>
        <v>Red</v>
      </c>
      <c r="R696" t="str">
        <f t="shared" si="225"/>
        <v>Green</v>
      </c>
      <c r="S696" t="str">
        <f t="shared" si="226"/>
        <v>Red</v>
      </c>
      <c r="T696" t="str">
        <f t="shared" si="227"/>
        <v>Green</v>
      </c>
      <c r="U696" t="str">
        <f t="shared" si="228"/>
        <v>Green</v>
      </c>
      <c r="V696" t="str">
        <f t="shared" si="229"/>
        <v>Red</v>
      </c>
      <c r="W696" t="str">
        <f t="shared" si="230"/>
        <v>Red</v>
      </c>
      <c r="X696" t="str">
        <f t="shared" si="231"/>
        <v>Green</v>
      </c>
      <c r="Y696" t="str">
        <f t="shared" si="232"/>
        <v>Green</v>
      </c>
      <c r="Z696" t="str">
        <f t="shared" si="233"/>
        <v>Green</v>
      </c>
      <c r="AA696" t="str">
        <f t="shared" si="234"/>
        <v>Red</v>
      </c>
      <c r="AB696" t="str">
        <f t="shared" si="235"/>
        <v>Green</v>
      </c>
      <c r="AC696" t="str">
        <f t="shared" si="236"/>
        <v>Green</v>
      </c>
      <c r="AD696" t="str">
        <f t="shared" si="237"/>
        <v>Red</v>
      </c>
    </row>
    <row r="697" spans="1:30" x14ac:dyDescent="0.2">
      <c r="A697" t="str">
        <f t="shared" si="220"/>
        <v>24/07/2026Polonia BytomWarta Poznan</v>
      </c>
      <c r="D697" s="2">
        <v>46227</v>
      </c>
      <c r="E697" s="3">
        <v>0.66666666666666663</v>
      </c>
      <c r="F697" t="s">
        <v>2556</v>
      </c>
      <c r="G697" t="s">
        <v>2557</v>
      </c>
      <c r="H697">
        <v>2</v>
      </c>
      <c r="I697">
        <v>1</v>
      </c>
      <c r="J697">
        <v>4</v>
      </c>
      <c r="K697">
        <v>3</v>
      </c>
      <c r="L697" s="22" t="str">
        <f t="shared" si="238"/>
        <v>24/07/2026</v>
      </c>
      <c r="M697" s="23">
        <f t="shared" si="239"/>
        <v>0.54166666666666663</v>
      </c>
      <c r="N697" t="str">
        <f t="shared" si="221"/>
        <v>4 - 3</v>
      </c>
      <c r="O697" t="str">
        <f t="shared" si="222"/>
        <v>Green</v>
      </c>
      <c r="P697" t="str">
        <f t="shared" si="223"/>
        <v>Red</v>
      </c>
      <c r="Q697" t="str">
        <f t="shared" si="224"/>
        <v>Red</v>
      </c>
      <c r="R697" t="str">
        <f t="shared" si="225"/>
        <v>Green</v>
      </c>
      <c r="S697" t="str">
        <f t="shared" si="226"/>
        <v>Red</v>
      </c>
      <c r="T697" t="str">
        <f t="shared" si="227"/>
        <v>Green</v>
      </c>
      <c r="U697" t="str">
        <f t="shared" si="228"/>
        <v>Green</v>
      </c>
      <c r="V697" t="str">
        <f t="shared" si="229"/>
        <v>Red</v>
      </c>
      <c r="W697" t="str">
        <f t="shared" si="230"/>
        <v>Red</v>
      </c>
      <c r="X697" t="str">
        <f t="shared" si="231"/>
        <v>Green</v>
      </c>
      <c r="Y697" t="str">
        <f t="shared" si="232"/>
        <v>Green</v>
      </c>
      <c r="Z697" t="str">
        <f t="shared" si="233"/>
        <v>Green</v>
      </c>
      <c r="AA697" t="str">
        <f t="shared" si="234"/>
        <v>Red</v>
      </c>
      <c r="AB697" t="str">
        <f t="shared" si="235"/>
        <v>Red</v>
      </c>
      <c r="AC697" t="str">
        <f t="shared" si="236"/>
        <v>Green</v>
      </c>
      <c r="AD697" t="str">
        <f t="shared" si="237"/>
        <v>Red</v>
      </c>
    </row>
    <row r="698" spans="1:30" x14ac:dyDescent="0.2">
      <c r="A698" t="str">
        <f t="shared" si="220"/>
        <v>24/07/2026Znicz PruszkowResovia Rzeszow</v>
      </c>
      <c r="D698" s="2">
        <v>46227</v>
      </c>
      <c r="E698" s="3">
        <v>0.66666666666666663</v>
      </c>
      <c r="F698" t="s">
        <v>2560</v>
      </c>
      <c r="G698" t="s">
        <v>2561</v>
      </c>
      <c r="H698">
        <v>0</v>
      </c>
      <c r="I698">
        <v>0</v>
      </c>
      <c r="J698">
        <v>1</v>
      </c>
      <c r="K698">
        <v>0</v>
      </c>
      <c r="L698" s="22" t="str">
        <f t="shared" si="238"/>
        <v>24/07/2026</v>
      </c>
      <c r="M698" s="23">
        <f t="shared" si="239"/>
        <v>0.54166666666666663</v>
      </c>
      <c r="N698" t="str">
        <f t="shared" si="221"/>
        <v>1 - 0</v>
      </c>
      <c r="O698" t="str">
        <f t="shared" si="222"/>
        <v>Green</v>
      </c>
      <c r="P698" t="str">
        <f t="shared" si="223"/>
        <v>Red</v>
      </c>
      <c r="Q698" t="str">
        <f t="shared" si="224"/>
        <v>Red</v>
      </c>
      <c r="R698" t="str">
        <f t="shared" si="225"/>
        <v>Green</v>
      </c>
      <c r="S698" t="str">
        <f t="shared" si="226"/>
        <v>Red</v>
      </c>
      <c r="T698" t="str">
        <f t="shared" si="227"/>
        <v>Green</v>
      </c>
      <c r="U698" t="str">
        <f t="shared" si="228"/>
        <v>Red</v>
      </c>
      <c r="V698" t="str">
        <f t="shared" si="229"/>
        <v>Green</v>
      </c>
      <c r="W698" t="str">
        <f t="shared" si="230"/>
        <v>Red</v>
      </c>
      <c r="X698" t="str">
        <f t="shared" si="231"/>
        <v>Red</v>
      </c>
      <c r="Y698" t="str">
        <f t="shared" si="232"/>
        <v>Red</v>
      </c>
      <c r="Z698" t="str">
        <f t="shared" si="233"/>
        <v>Red</v>
      </c>
      <c r="AA698" t="str">
        <f t="shared" si="234"/>
        <v>Green</v>
      </c>
      <c r="AB698" t="str">
        <f t="shared" si="235"/>
        <v>Green</v>
      </c>
      <c r="AC698" t="str">
        <f t="shared" si="236"/>
        <v>Red</v>
      </c>
      <c r="AD698" t="str">
        <f t="shared" si="237"/>
        <v>Green</v>
      </c>
    </row>
    <row r="699" spans="1:30" x14ac:dyDescent="0.2">
      <c r="A699" t="str">
        <f t="shared" si="220"/>
        <v>24/07/2026Dynamo Moscow YouthDynamo Makhachkala Youth</v>
      </c>
      <c r="D699" s="2">
        <v>46227</v>
      </c>
      <c r="E699" s="3">
        <v>0.66666666666666663</v>
      </c>
      <c r="F699" t="s">
        <v>2582</v>
      </c>
      <c r="G699" t="s">
        <v>2583</v>
      </c>
      <c r="H699">
        <v>0</v>
      </c>
      <c r="I699">
        <v>0</v>
      </c>
      <c r="J699">
        <v>4</v>
      </c>
      <c r="K699">
        <v>1</v>
      </c>
      <c r="L699" s="22" t="str">
        <f t="shared" si="238"/>
        <v>24/07/2026</v>
      </c>
      <c r="M699" s="23">
        <f t="shared" si="239"/>
        <v>0.54166666666666663</v>
      </c>
      <c r="N699" t="str">
        <f t="shared" si="221"/>
        <v>4 - 1</v>
      </c>
      <c r="O699" t="str">
        <f t="shared" si="222"/>
        <v>Green</v>
      </c>
      <c r="P699" t="str">
        <f t="shared" si="223"/>
        <v>Red</v>
      </c>
      <c r="Q699" t="str">
        <f t="shared" si="224"/>
        <v>Red</v>
      </c>
      <c r="R699" t="str">
        <f t="shared" si="225"/>
        <v>Green</v>
      </c>
      <c r="S699" t="str">
        <f t="shared" si="226"/>
        <v>Red</v>
      </c>
      <c r="T699" t="str">
        <f t="shared" si="227"/>
        <v>Green</v>
      </c>
      <c r="U699" t="str">
        <f t="shared" si="228"/>
        <v>Red</v>
      </c>
      <c r="V699" t="str">
        <f t="shared" si="229"/>
        <v>Green</v>
      </c>
      <c r="W699" t="str">
        <f t="shared" si="230"/>
        <v>Red</v>
      </c>
      <c r="X699" t="str">
        <f t="shared" si="231"/>
        <v>Red</v>
      </c>
      <c r="Y699" t="str">
        <f t="shared" si="232"/>
        <v>Green</v>
      </c>
      <c r="Z699" t="str">
        <f t="shared" si="233"/>
        <v>Green</v>
      </c>
      <c r="AA699" t="str">
        <f t="shared" si="234"/>
        <v>Red</v>
      </c>
      <c r="AB699" t="str">
        <f t="shared" si="235"/>
        <v>Red</v>
      </c>
      <c r="AC699" t="str">
        <f t="shared" si="236"/>
        <v>Green</v>
      </c>
      <c r="AD699" t="str">
        <f t="shared" si="237"/>
        <v>Red</v>
      </c>
    </row>
    <row r="700" spans="1:30" x14ac:dyDescent="0.2">
      <c r="A700" t="str">
        <f t="shared" si="220"/>
        <v>24/07/2026Rodina YouthKrasnodar Youth</v>
      </c>
      <c r="D700" s="2">
        <v>46227</v>
      </c>
      <c r="E700" s="3">
        <v>0.66666666666666663</v>
      </c>
      <c r="F700" t="s">
        <v>2584</v>
      </c>
      <c r="G700" t="s">
        <v>2585</v>
      </c>
      <c r="H700">
        <v>2</v>
      </c>
      <c r="I700">
        <v>1</v>
      </c>
      <c r="J700">
        <v>6</v>
      </c>
      <c r="K700">
        <v>1</v>
      </c>
      <c r="L700" s="22" t="str">
        <f t="shared" si="238"/>
        <v>24/07/2026</v>
      </c>
      <c r="M700" s="23">
        <f t="shared" si="239"/>
        <v>0.54166666666666663</v>
      </c>
      <c r="N700" t="str">
        <f t="shared" si="221"/>
        <v>6 - 1</v>
      </c>
      <c r="O700" t="str">
        <f t="shared" si="222"/>
        <v>Green</v>
      </c>
      <c r="P700" t="str">
        <f t="shared" si="223"/>
        <v>Red</v>
      </c>
      <c r="Q700" t="str">
        <f t="shared" si="224"/>
        <v>Red</v>
      </c>
      <c r="R700" t="str">
        <f t="shared" si="225"/>
        <v>Green</v>
      </c>
      <c r="S700" t="str">
        <f t="shared" si="226"/>
        <v>Red</v>
      </c>
      <c r="T700" t="str">
        <f t="shared" si="227"/>
        <v>Green</v>
      </c>
      <c r="U700" t="str">
        <f t="shared" si="228"/>
        <v>Green</v>
      </c>
      <c r="V700" t="str">
        <f t="shared" si="229"/>
        <v>Red</v>
      </c>
      <c r="W700" t="str">
        <f t="shared" si="230"/>
        <v>Red</v>
      </c>
      <c r="X700" t="str">
        <f t="shared" si="231"/>
        <v>Green</v>
      </c>
      <c r="Y700" t="str">
        <f t="shared" si="232"/>
        <v>Green</v>
      </c>
      <c r="Z700" t="str">
        <f t="shared" si="233"/>
        <v>Green</v>
      </c>
      <c r="AA700" t="str">
        <f t="shared" si="234"/>
        <v>Red</v>
      </c>
      <c r="AB700" t="str">
        <f t="shared" si="235"/>
        <v>Red</v>
      </c>
      <c r="AC700" t="str">
        <f t="shared" si="236"/>
        <v>Green</v>
      </c>
      <c r="AD700" t="str">
        <f t="shared" si="237"/>
        <v>Red</v>
      </c>
    </row>
    <row r="701" spans="1:30" x14ac:dyDescent="0.2">
      <c r="A701" t="str">
        <f t="shared" si="220"/>
        <v>24/07/2026CremoneseGiana Erminio</v>
      </c>
      <c r="D701" s="2">
        <v>46227</v>
      </c>
      <c r="E701" s="3">
        <v>0.66666666666666663</v>
      </c>
      <c r="F701" t="s">
        <v>2657</v>
      </c>
      <c r="G701" t="s">
        <v>2658</v>
      </c>
      <c r="H701">
        <v>2</v>
      </c>
      <c r="I701">
        <v>0</v>
      </c>
      <c r="J701">
        <v>4</v>
      </c>
      <c r="K701">
        <v>0</v>
      </c>
      <c r="L701" s="22" t="str">
        <f t="shared" si="238"/>
        <v>24/07/2026</v>
      </c>
      <c r="M701" s="23">
        <f t="shared" si="239"/>
        <v>0.54166666666666663</v>
      </c>
      <c r="N701" t="str">
        <f t="shared" si="221"/>
        <v>4 - 0</v>
      </c>
      <c r="O701" t="str">
        <f t="shared" si="222"/>
        <v>Green</v>
      </c>
      <c r="P701" t="str">
        <f t="shared" si="223"/>
        <v>Red</v>
      </c>
      <c r="Q701" t="str">
        <f t="shared" si="224"/>
        <v>Red</v>
      </c>
      <c r="R701" t="str">
        <f t="shared" si="225"/>
        <v>Green</v>
      </c>
      <c r="S701" t="str">
        <f t="shared" si="226"/>
        <v>Red</v>
      </c>
      <c r="T701" t="str">
        <f t="shared" si="227"/>
        <v>Green</v>
      </c>
      <c r="U701" t="str">
        <f t="shared" si="228"/>
        <v>Green</v>
      </c>
      <c r="V701" t="str">
        <f t="shared" si="229"/>
        <v>Red</v>
      </c>
      <c r="W701" t="str">
        <f t="shared" si="230"/>
        <v>Red</v>
      </c>
      <c r="X701" t="str">
        <f t="shared" si="231"/>
        <v>Green</v>
      </c>
      <c r="Y701" t="str">
        <f t="shared" si="232"/>
        <v>Green</v>
      </c>
      <c r="Z701" t="str">
        <f t="shared" si="233"/>
        <v>Green</v>
      </c>
      <c r="AA701" t="str">
        <f t="shared" si="234"/>
        <v>Red</v>
      </c>
      <c r="AB701" t="str">
        <f t="shared" si="235"/>
        <v>Red</v>
      </c>
      <c r="AC701" t="str">
        <f t="shared" si="236"/>
        <v>Red</v>
      </c>
      <c r="AD701" t="str">
        <f t="shared" si="237"/>
        <v>Green</v>
      </c>
    </row>
    <row r="702" spans="1:30" x14ac:dyDescent="0.2">
      <c r="A702" t="str">
        <f t="shared" si="220"/>
        <v>24/07/2026NK Triglav KranjHNK Segesta</v>
      </c>
      <c r="D702" s="2">
        <v>46227</v>
      </c>
      <c r="E702" s="3">
        <v>0.66666666666666663</v>
      </c>
      <c r="F702" t="s">
        <v>2659</v>
      </c>
      <c r="G702" t="s">
        <v>1701</v>
      </c>
      <c r="H702">
        <v>2</v>
      </c>
      <c r="I702">
        <v>2</v>
      </c>
      <c r="J702">
        <v>2</v>
      </c>
      <c r="K702">
        <v>2</v>
      </c>
      <c r="L702" s="22" t="str">
        <f t="shared" si="238"/>
        <v>24/07/2026</v>
      </c>
      <c r="M702" s="23">
        <f t="shared" si="239"/>
        <v>0.54166666666666663</v>
      </c>
      <c r="N702" t="str">
        <f t="shared" si="221"/>
        <v>2 - 2</v>
      </c>
      <c r="O702" t="str">
        <f t="shared" si="222"/>
        <v>Red</v>
      </c>
      <c r="P702" t="str">
        <f t="shared" si="223"/>
        <v>Green</v>
      </c>
      <c r="Q702" t="str">
        <f t="shared" si="224"/>
        <v>Red</v>
      </c>
      <c r="R702" t="str">
        <f t="shared" si="225"/>
        <v>Green</v>
      </c>
      <c r="S702" t="str">
        <f t="shared" si="226"/>
        <v>Green</v>
      </c>
      <c r="T702" t="str">
        <f t="shared" si="227"/>
        <v>Red</v>
      </c>
      <c r="U702" t="str">
        <f t="shared" si="228"/>
        <v>Red</v>
      </c>
      <c r="V702" t="str">
        <f t="shared" si="229"/>
        <v>Green</v>
      </c>
      <c r="W702" t="str">
        <f t="shared" si="230"/>
        <v>Red</v>
      </c>
      <c r="X702" t="str">
        <f t="shared" si="231"/>
        <v>Green</v>
      </c>
      <c r="Y702" t="str">
        <f t="shared" si="232"/>
        <v>Green</v>
      </c>
      <c r="Z702" t="str">
        <f t="shared" si="233"/>
        <v>Green</v>
      </c>
      <c r="AA702" t="str">
        <f t="shared" si="234"/>
        <v>Red</v>
      </c>
      <c r="AB702" t="str">
        <f t="shared" si="235"/>
        <v>Red</v>
      </c>
      <c r="AC702" t="str">
        <f t="shared" si="236"/>
        <v>Green</v>
      </c>
      <c r="AD702" t="str">
        <f t="shared" si="237"/>
        <v>Red</v>
      </c>
    </row>
    <row r="703" spans="1:30" x14ac:dyDescent="0.2">
      <c r="A703" t="str">
        <f t="shared" si="220"/>
        <v>24/07/2026RosenborgMan Utd</v>
      </c>
      <c r="D703" s="2">
        <v>46227</v>
      </c>
      <c r="E703" s="3">
        <v>0.66666666666666663</v>
      </c>
      <c r="F703" t="s">
        <v>1248</v>
      </c>
      <c r="G703" t="s">
        <v>2660</v>
      </c>
      <c r="H703">
        <v>0</v>
      </c>
      <c r="I703">
        <v>1</v>
      </c>
      <c r="J703">
        <v>0</v>
      </c>
      <c r="K703">
        <v>5</v>
      </c>
      <c r="L703" s="22" t="str">
        <f t="shared" si="238"/>
        <v>24/07/2026</v>
      </c>
      <c r="M703" s="23">
        <f t="shared" si="239"/>
        <v>0.54166666666666663</v>
      </c>
      <c r="N703" t="str">
        <f t="shared" si="221"/>
        <v>0 - 5</v>
      </c>
      <c r="O703" t="str">
        <f t="shared" si="222"/>
        <v>Red</v>
      </c>
      <c r="P703" t="str">
        <f t="shared" si="223"/>
        <v>Red</v>
      </c>
      <c r="Q703" t="str">
        <f t="shared" si="224"/>
        <v>Green</v>
      </c>
      <c r="R703" t="str">
        <f t="shared" si="225"/>
        <v>Red</v>
      </c>
      <c r="S703" t="str">
        <f t="shared" si="226"/>
        <v>Green</v>
      </c>
      <c r="T703" t="str">
        <f t="shared" si="227"/>
        <v>Green</v>
      </c>
      <c r="U703" t="str">
        <f t="shared" si="228"/>
        <v>Red</v>
      </c>
      <c r="V703" t="str">
        <f t="shared" si="229"/>
        <v>Red</v>
      </c>
      <c r="W703" t="str">
        <f t="shared" si="230"/>
        <v>Green</v>
      </c>
      <c r="X703" t="str">
        <f t="shared" si="231"/>
        <v>Green</v>
      </c>
      <c r="Y703" t="str">
        <f t="shared" si="232"/>
        <v>Green</v>
      </c>
      <c r="Z703" t="str">
        <f t="shared" si="233"/>
        <v>Green</v>
      </c>
      <c r="AA703" t="str">
        <f t="shared" si="234"/>
        <v>Red</v>
      </c>
      <c r="AB703" t="str">
        <f t="shared" si="235"/>
        <v>Red</v>
      </c>
      <c r="AC703" t="str">
        <f t="shared" si="236"/>
        <v>Red</v>
      </c>
      <c r="AD703" t="str">
        <f t="shared" si="237"/>
        <v>Green</v>
      </c>
    </row>
    <row r="704" spans="1:30" x14ac:dyDescent="0.2">
      <c r="A704" t="str">
        <f t="shared" si="220"/>
        <v>24/07/2026Dornbirn 1913SV Ried</v>
      </c>
      <c r="B704" t="s">
        <v>2326</v>
      </c>
      <c r="C704" t="s">
        <v>2327</v>
      </c>
      <c r="D704" s="2">
        <v>46227</v>
      </c>
      <c r="E704" s="3">
        <v>0.6875</v>
      </c>
      <c r="F704" t="s">
        <v>2328</v>
      </c>
      <c r="G704" t="s">
        <v>2329</v>
      </c>
      <c r="H704">
        <v>0</v>
      </c>
      <c r="I704">
        <v>2</v>
      </c>
      <c r="J704">
        <v>1</v>
      </c>
      <c r="K704">
        <v>5</v>
      </c>
      <c r="L704" s="22" t="str">
        <f t="shared" si="238"/>
        <v>24/07/2026</v>
      </c>
      <c r="M704" s="23">
        <f t="shared" si="239"/>
        <v>0.5625</v>
      </c>
      <c r="N704" t="str">
        <f t="shared" si="221"/>
        <v>1 - 5</v>
      </c>
      <c r="O704" t="str">
        <f t="shared" si="222"/>
        <v>Red</v>
      </c>
      <c r="P704" t="str">
        <f t="shared" si="223"/>
        <v>Red</v>
      </c>
      <c r="Q704" t="str">
        <f t="shared" si="224"/>
        <v>Green</v>
      </c>
      <c r="R704" t="str">
        <f t="shared" si="225"/>
        <v>Red</v>
      </c>
      <c r="S704" t="str">
        <f t="shared" si="226"/>
        <v>Green</v>
      </c>
      <c r="T704" t="str">
        <f t="shared" si="227"/>
        <v>Green</v>
      </c>
      <c r="U704" t="str">
        <f t="shared" si="228"/>
        <v>Red</v>
      </c>
      <c r="V704" t="str">
        <f t="shared" si="229"/>
        <v>Red</v>
      </c>
      <c r="W704" t="str">
        <f t="shared" si="230"/>
        <v>Green</v>
      </c>
      <c r="X704" t="str">
        <f t="shared" si="231"/>
        <v>Green</v>
      </c>
      <c r="Y704" t="str">
        <f t="shared" si="232"/>
        <v>Green</v>
      </c>
      <c r="Z704" t="str">
        <f t="shared" si="233"/>
        <v>Green</v>
      </c>
      <c r="AA704" t="str">
        <f t="shared" si="234"/>
        <v>Red</v>
      </c>
      <c r="AB704" t="str">
        <f t="shared" si="235"/>
        <v>Red</v>
      </c>
      <c r="AC704" t="str">
        <f t="shared" si="236"/>
        <v>Green</v>
      </c>
      <c r="AD704" t="str">
        <f t="shared" si="237"/>
        <v>Red</v>
      </c>
    </row>
    <row r="705" spans="1:30" x14ac:dyDescent="0.2">
      <c r="A705" t="str">
        <f t="shared" si="220"/>
        <v>24/07/2026SC WieselburgWSG Wattens</v>
      </c>
      <c r="B705" t="s">
        <v>2326</v>
      </c>
      <c r="C705" t="s">
        <v>2327</v>
      </c>
      <c r="D705" s="2">
        <v>46227</v>
      </c>
      <c r="E705" s="3">
        <v>0.6875</v>
      </c>
      <c r="F705" t="s">
        <v>2330</v>
      </c>
      <c r="G705" t="s">
        <v>2331</v>
      </c>
      <c r="H705">
        <v>0</v>
      </c>
      <c r="I705">
        <v>2</v>
      </c>
      <c r="J705">
        <v>0</v>
      </c>
      <c r="K705">
        <v>6</v>
      </c>
      <c r="L705" s="22" t="str">
        <f t="shared" si="238"/>
        <v>24/07/2026</v>
      </c>
      <c r="M705" s="23">
        <f t="shared" si="239"/>
        <v>0.5625</v>
      </c>
      <c r="N705" t="str">
        <f t="shared" si="221"/>
        <v>0 - 6</v>
      </c>
      <c r="O705" t="str">
        <f t="shared" si="222"/>
        <v>Red</v>
      </c>
      <c r="P705" t="str">
        <f t="shared" si="223"/>
        <v>Red</v>
      </c>
      <c r="Q705" t="str">
        <f t="shared" si="224"/>
        <v>Green</v>
      </c>
      <c r="R705" t="str">
        <f t="shared" si="225"/>
        <v>Red</v>
      </c>
      <c r="S705" t="str">
        <f t="shared" si="226"/>
        <v>Green</v>
      </c>
      <c r="T705" t="str">
        <f t="shared" si="227"/>
        <v>Green</v>
      </c>
      <c r="U705" t="str">
        <f t="shared" si="228"/>
        <v>Red</v>
      </c>
      <c r="V705" t="str">
        <f t="shared" si="229"/>
        <v>Red</v>
      </c>
      <c r="W705" t="str">
        <f t="shared" si="230"/>
        <v>Green</v>
      </c>
      <c r="X705" t="str">
        <f t="shared" si="231"/>
        <v>Green</v>
      </c>
      <c r="Y705" t="str">
        <f t="shared" si="232"/>
        <v>Green</v>
      </c>
      <c r="Z705" t="str">
        <f t="shared" si="233"/>
        <v>Green</v>
      </c>
      <c r="AA705" t="str">
        <f t="shared" si="234"/>
        <v>Red</v>
      </c>
      <c r="AB705" t="str">
        <f t="shared" si="235"/>
        <v>Red</v>
      </c>
      <c r="AC705" t="str">
        <f t="shared" si="236"/>
        <v>Red</v>
      </c>
      <c r="AD705" t="str">
        <f t="shared" si="237"/>
        <v>Green</v>
      </c>
    </row>
    <row r="706" spans="1:30" x14ac:dyDescent="0.2">
      <c r="A706" t="str">
        <f t="shared" ref="A706:A769" si="240">L706&amp;F706&amp;G706</f>
        <v>24/07/2026FC Lahti 69MK-United</v>
      </c>
      <c r="D706" s="2">
        <v>46227</v>
      </c>
      <c r="E706" s="3">
        <v>0.6875</v>
      </c>
      <c r="F706" t="s">
        <v>2450</v>
      </c>
      <c r="G706" t="s">
        <v>2451</v>
      </c>
      <c r="L706" s="22" t="str">
        <f t="shared" si="238"/>
        <v>24/07/2026</v>
      </c>
      <c r="M706" s="23">
        <f t="shared" si="239"/>
        <v>0.5625</v>
      </c>
      <c r="N706" t="str">
        <f t="shared" ref="N706:N769" si="241">J706&amp;" - "&amp;K706</f>
        <v xml:space="preserve"> - </v>
      </c>
      <c r="O706" t="str">
        <f t="shared" ref="O706:O769" si="242">IF($J706&gt;$K706,"Green","Red")</f>
        <v>Red</v>
      </c>
      <c r="P706" t="str">
        <f t="shared" ref="P706:P769" si="243">IF($J706=$K706,"Green","Red")</f>
        <v>Green</v>
      </c>
      <c r="Q706" t="str">
        <f t="shared" ref="Q706:Q769" si="244">IF($J706&lt;$K706,"Green","Red")</f>
        <v>Red</v>
      </c>
      <c r="R706" t="str">
        <f t="shared" ref="R706:R769" si="245">IF($J706&gt;=$K706,"Green","Red")</f>
        <v>Green</v>
      </c>
      <c r="S706" t="str">
        <f t="shared" ref="S706:S769" si="246">IF($J706&lt;=$K706,"Green","Red")</f>
        <v>Green</v>
      </c>
      <c r="T706" t="str">
        <f t="shared" ref="T706:T769" si="247">IF(OR($J706&gt;$K706,$J706&lt;$K706),"Green","Red")</f>
        <v>Red</v>
      </c>
      <c r="U706" t="str">
        <f t="shared" ref="U706:U769" si="248">IF($H706&gt;$I706,"Green","Red")</f>
        <v>Red</v>
      </c>
      <c r="V706" t="str">
        <f t="shared" ref="V706:V769" si="249">IF($H706=$I706,"Green","Red")</f>
        <v>Green</v>
      </c>
      <c r="W706" t="str">
        <f t="shared" ref="W706:W769" si="250">IF($H706&lt;$I706,"Green","Red")</f>
        <v>Red</v>
      </c>
      <c r="X706" t="str">
        <f t="shared" ref="X706:X769" si="251">IF($H706+$I706&gt;0,"Green","Red")</f>
        <v>Red</v>
      </c>
      <c r="Y706" t="str">
        <f t="shared" ref="Y706:Y769" si="252">IF($J706+$K706&gt;1.5,"Green","Red")</f>
        <v>Red</v>
      </c>
      <c r="Z706" t="str">
        <f t="shared" ref="Z706:Z769" si="253">IF($J706+$K706&gt;2.5,"Green","Red")</f>
        <v>Red</v>
      </c>
      <c r="AA706" t="str">
        <f t="shared" ref="AA706:AA769" si="254">IF($J706+$K706&lt;2.5,"Green","Red")</f>
        <v>Green</v>
      </c>
      <c r="AB706" t="str">
        <f t="shared" ref="AB706:AB769" si="255">IF($J706+$K706&lt;3.5,"Green","Red")</f>
        <v>Green</v>
      </c>
      <c r="AC706" t="str">
        <f t="shared" ref="AC706:AC769" si="256">IF(AND($J706&gt;0,$K706&gt;0),"Green","Red")</f>
        <v>Red</v>
      </c>
      <c r="AD706" t="str">
        <f t="shared" ref="AD706:AD769" si="257">IF(OR($J706=0,$K706=0),"Green","Red")</f>
        <v>Green</v>
      </c>
    </row>
    <row r="707" spans="1:30" x14ac:dyDescent="0.2">
      <c r="A707" t="str">
        <f t="shared" si="240"/>
        <v>24/07/2026Puotinkylan ValttiToTe</v>
      </c>
      <c r="D707" s="2">
        <v>46227</v>
      </c>
      <c r="E707" s="3">
        <v>0.6875</v>
      </c>
      <c r="F707" t="s">
        <v>2452</v>
      </c>
      <c r="G707" t="s">
        <v>2453</v>
      </c>
      <c r="H707">
        <v>0</v>
      </c>
      <c r="I707">
        <v>0</v>
      </c>
      <c r="J707">
        <v>0</v>
      </c>
      <c r="K707">
        <v>2</v>
      </c>
      <c r="L707" s="22" t="str">
        <f t="shared" si="238"/>
        <v>24/07/2026</v>
      </c>
      <c r="M707" s="23">
        <f t="shared" si="239"/>
        <v>0.5625</v>
      </c>
      <c r="N707" t="str">
        <f t="shared" si="241"/>
        <v>0 - 2</v>
      </c>
      <c r="O707" t="str">
        <f t="shared" si="242"/>
        <v>Red</v>
      </c>
      <c r="P707" t="str">
        <f t="shared" si="243"/>
        <v>Red</v>
      </c>
      <c r="Q707" t="str">
        <f t="shared" si="244"/>
        <v>Green</v>
      </c>
      <c r="R707" t="str">
        <f t="shared" si="245"/>
        <v>Red</v>
      </c>
      <c r="S707" t="str">
        <f t="shared" si="246"/>
        <v>Green</v>
      </c>
      <c r="T707" t="str">
        <f t="shared" si="247"/>
        <v>Green</v>
      </c>
      <c r="U707" t="str">
        <f t="shared" si="248"/>
        <v>Red</v>
      </c>
      <c r="V707" t="str">
        <f t="shared" si="249"/>
        <v>Green</v>
      </c>
      <c r="W707" t="str">
        <f t="shared" si="250"/>
        <v>Red</v>
      </c>
      <c r="X707" t="str">
        <f t="shared" si="251"/>
        <v>Red</v>
      </c>
      <c r="Y707" t="str">
        <f t="shared" si="252"/>
        <v>Green</v>
      </c>
      <c r="Z707" t="str">
        <f t="shared" si="253"/>
        <v>Red</v>
      </c>
      <c r="AA707" t="str">
        <f t="shared" si="254"/>
        <v>Green</v>
      </c>
      <c r="AB707" t="str">
        <f t="shared" si="255"/>
        <v>Green</v>
      </c>
      <c r="AC707" t="str">
        <f t="shared" si="256"/>
        <v>Red</v>
      </c>
      <c r="AD707" t="str">
        <f t="shared" si="257"/>
        <v>Green</v>
      </c>
    </row>
    <row r="708" spans="1:30" x14ac:dyDescent="0.2">
      <c r="A708" t="str">
        <f t="shared" si="240"/>
        <v>24/07/2026Hankofen-HailingIsmaning</v>
      </c>
      <c r="D708" s="2">
        <v>46227</v>
      </c>
      <c r="E708" s="3">
        <v>0.6875</v>
      </c>
      <c r="F708" t="s">
        <v>2477</v>
      </c>
      <c r="G708" t="s">
        <v>2478</v>
      </c>
      <c r="H708">
        <v>1</v>
      </c>
      <c r="I708">
        <v>0</v>
      </c>
      <c r="J708">
        <v>2</v>
      </c>
      <c r="K708">
        <v>0</v>
      </c>
      <c r="L708" s="22" t="str">
        <f t="shared" si="238"/>
        <v>24/07/2026</v>
      </c>
      <c r="M708" s="23">
        <f t="shared" si="239"/>
        <v>0.5625</v>
      </c>
      <c r="N708" t="str">
        <f t="shared" si="241"/>
        <v>2 - 0</v>
      </c>
      <c r="O708" t="str">
        <f t="shared" si="242"/>
        <v>Green</v>
      </c>
      <c r="P708" t="str">
        <f t="shared" si="243"/>
        <v>Red</v>
      </c>
      <c r="Q708" t="str">
        <f t="shared" si="244"/>
        <v>Red</v>
      </c>
      <c r="R708" t="str">
        <f t="shared" si="245"/>
        <v>Green</v>
      </c>
      <c r="S708" t="str">
        <f t="shared" si="246"/>
        <v>Red</v>
      </c>
      <c r="T708" t="str">
        <f t="shared" si="247"/>
        <v>Green</v>
      </c>
      <c r="U708" t="str">
        <f t="shared" si="248"/>
        <v>Green</v>
      </c>
      <c r="V708" t="str">
        <f t="shared" si="249"/>
        <v>Red</v>
      </c>
      <c r="W708" t="str">
        <f t="shared" si="250"/>
        <v>Red</v>
      </c>
      <c r="X708" t="str">
        <f t="shared" si="251"/>
        <v>Green</v>
      </c>
      <c r="Y708" t="str">
        <f t="shared" si="252"/>
        <v>Green</v>
      </c>
      <c r="Z708" t="str">
        <f t="shared" si="253"/>
        <v>Red</v>
      </c>
      <c r="AA708" t="str">
        <f t="shared" si="254"/>
        <v>Green</v>
      </c>
      <c r="AB708" t="str">
        <f t="shared" si="255"/>
        <v>Green</v>
      </c>
      <c r="AC708" t="str">
        <f t="shared" si="256"/>
        <v>Red</v>
      </c>
      <c r="AD708" t="str">
        <f t="shared" si="257"/>
        <v>Green</v>
      </c>
    </row>
    <row r="709" spans="1:30" x14ac:dyDescent="0.2">
      <c r="A709" t="str">
        <f t="shared" si="240"/>
        <v>24/07/2026LandshutSV Erlbach</v>
      </c>
      <c r="D709" s="2">
        <v>46227</v>
      </c>
      <c r="E709" s="3">
        <v>0.6875</v>
      </c>
      <c r="F709" t="s">
        <v>2479</v>
      </c>
      <c r="G709" t="s">
        <v>2480</v>
      </c>
      <c r="H709">
        <v>0</v>
      </c>
      <c r="I709">
        <v>0</v>
      </c>
      <c r="J709">
        <v>1</v>
      </c>
      <c r="K709">
        <v>0</v>
      </c>
      <c r="L709" s="22" t="str">
        <f t="shared" si="238"/>
        <v>24/07/2026</v>
      </c>
      <c r="M709" s="23">
        <f t="shared" si="239"/>
        <v>0.5625</v>
      </c>
      <c r="N709" t="str">
        <f t="shared" si="241"/>
        <v>1 - 0</v>
      </c>
      <c r="O709" t="str">
        <f t="shared" si="242"/>
        <v>Green</v>
      </c>
      <c r="P709" t="str">
        <f t="shared" si="243"/>
        <v>Red</v>
      </c>
      <c r="Q709" t="str">
        <f t="shared" si="244"/>
        <v>Red</v>
      </c>
      <c r="R709" t="str">
        <f t="shared" si="245"/>
        <v>Green</v>
      </c>
      <c r="S709" t="str">
        <f t="shared" si="246"/>
        <v>Red</v>
      </c>
      <c r="T709" t="str">
        <f t="shared" si="247"/>
        <v>Green</v>
      </c>
      <c r="U709" t="str">
        <f t="shared" si="248"/>
        <v>Red</v>
      </c>
      <c r="V709" t="str">
        <f t="shared" si="249"/>
        <v>Green</v>
      </c>
      <c r="W709" t="str">
        <f t="shared" si="250"/>
        <v>Red</v>
      </c>
      <c r="X709" t="str">
        <f t="shared" si="251"/>
        <v>Red</v>
      </c>
      <c r="Y709" t="str">
        <f t="shared" si="252"/>
        <v>Red</v>
      </c>
      <c r="Z709" t="str">
        <f t="shared" si="253"/>
        <v>Red</v>
      </c>
      <c r="AA709" t="str">
        <f t="shared" si="254"/>
        <v>Green</v>
      </c>
      <c r="AB709" t="str">
        <f t="shared" si="255"/>
        <v>Green</v>
      </c>
      <c r="AC709" t="str">
        <f t="shared" si="256"/>
        <v>Red</v>
      </c>
      <c r="AD709" t="str">
        <f t="shared" si="257"/>
        <v>Green</v>
      </c>
    </row>
    <row r="710" spans="1:30" x14ac:dyDescent="0.2">
      <c r="A710" t="str">
        <f t="shared" si="240"/>
        <v>24/07/2026GleisdorfSturm Graz II</v>
      </c>
      <c r="D710" s="2">
        <v>46227</v>
      </c>
      <c r="E710" s="3">
        <v>0.6875</v>
      </c>
      <c r="F710" t="s">
        <v>2661</v>
      </c>
      <c r="G710" t="s">
        <v>2662</v>
      </c>
      <c r="H710">
        <v>1</v>
      </c>
      <c r="I710">
        <v>0</v>
      </c>
      <c r="J710">
        <v>2</v>
      </c>
      <c r="K710">
        <v>1</v>
      </c>
      <c r="L710" s="22" t="str">
        <f t="shared" si="238"/>
        <v>24/07/2026</v>
      </c>
      <c r="M710" s="23">
        <f t="shared" si="239"/>
        <v>0.5625</v>
      </c>
      <c r="N710" t="str">
        <f t="shared" si="241"/>
        <v>2 - 1</v>
      </c>
      <c r="O710" t="str">
        <f t="shared" si="242"/>
        <v>Green</v>
      </c>
      <c r="P710" t="str">
        <f t="shared" si="243"/>
        <v>Red</v>
      </c>
      <c r="Q710" t="str">
        <f t="shared" si="244"/>
        <v>Red</v>
      </c>
      <c r="R710" t="str">
        <f t="shared" si="245"/>
        <v>Green</v>
      </c>
      <c r="S710" t="str">
        <f t="shared" si="246"/>
        <v>Red</v>
      </c>
      <c r="T710" t="str">
        <f t="shared" si="247"/>
        <v>Green</v>
      </c>
      <c r="U710" t="str">
        <f t="shared" si="248"/>
        <v>Green</v>
      </c>
      <c r="V710" t="str">
        <f t="shared" si="249"/>
        <v>Red</v>
      </c>
      <c r="W710" t="str">
        <f t="shared" si="250"/>
        <v>Red</v>
      </c>
      <c r="X710" t="str">
        <f t="shared" si="251"/>
        <v>Green</v>
      </c>
      <c r="Y710" t="str">
        <f t="shared" si="252"/>
        <v>Green</v>
      </c>
      <c r="Z710" t="str">
        <f t="shared" si="253"/>
        <v>Green</v>
      </c>
      <c r="AA710" t="str">
        <f t="shared" si="254"/>
        <v>Red</v>
      </c>
      <c r="AB710" t="str">
        <f t="shared" si="255"/>
        <v>Green</v>
      </c>
      <c r="AC710" t="str">
        <f t="shared" si="256"/>
        <v>Green</v>
      </c>
      <c r="AD710" t="str">
        <f t="shared" si="257"/>
        <v>Red</v>
      </c>
    </row>
    <row r="711" spans="1:30" x14ac:dyDescent="0.2">
      <c r="A711" t="str">
        <f t="shared" si="240"/>
        <v>24/07/2026Heracles AlmeloS.B.V. Excelsior</v>
      </c>
      <c r="D711" s="2">
        <v>46227</v>
      </c>
      <c r="E711" s="3">
        <v>0.6875</v>
      </c>
      <c r="F711" t="s">
        <v>2663</v>
      </c>
      <c r="G711" t="s">
        <v>2664</v>
      </c>
      <c r="L711" s="22" t="str">
        <f t="shared" si="238"/>
        <v>24/07/2026</v>
      </c>
      <c r="M711" s="23">
        <f t="shared" si="239"/>
        <v>0.5625</v>
      </c>
      <c r="N711" t="str">
        <f t="shared" si="241"/>
        <v xml:space="preserve"> - </v>
      </c>
      <c r="O711" t="str">
        <f t="shared" si="242"/>
        <v>Red</v>
      </c>
      <c r="P711" t="str">
        <f t="shared" si="243"/>
        <v>Green</v>
      </c>
      <c r="Q711" t="str">
        <f t="shared" si="244"/>
        <v>Red</v>
      </c>
      <c r="R711" t="str">
        <f t="shared" si="245"/>
        <v>Green</v>
      </c>
      <c r="S711" t="str">
        <f t="shared" si="246"/>
        <v>Green</v>
      </c>
      <c r="T711" t="str">
        <f t="shared" si="247"/>
        <v>Red</v>
      </c>
      <c r="U711" t="str">
        <f t="shared" si="248"/>
        <v>Red</v>
      </c>
      <c r="V711" t="str">
        <f t="shared" si="249"/>
        <v>Green</v>
      </c>
      <c r="W711" t="str">
        <f t="shared" si="250"/>
        <v>Red</v>
      </c>
      <c r="X711" t="str">
        <f t="shared" si="251"/>
        <v>Red</v>
      </c>
      <c r="Y711" t="str">
        <f t="shared" si="252"/>
        <v>Red</v>
      </c>
      <c r="Z711" t="str">
        <f t="shared" si="253"/>
        <v>Red</v>
      </c>
      <c r="AA711" t="str">
        <f t="shared" si="254"/>
        <v>Green</v>
      </c>
      <c r="AB711" t="str">
        <f t="shared" si="255"/>
        <v>Green</v>
      </c>
      <c r="AC711" t="str">
        <f t="shared" si="256"/>
        <v>Red</v>
      </c>
      <c r="AD711" t="str">
        <f t="shared" si="257"/>
        <v>Green</v>
      </c>
    </row>
    <row r="712" spans="1:30" x14ac:dyDescent="0.2">
      <c r="A712" t="str">
        <f t="shared" si="240"/>
        <v>24/07/2026Karlstad BKOrebro Syrianska IF</v>
      </c>
      <c r="D712" s="2">
        <v>46227</v>
      </c>
      <c r="E712" s="3">
        <v>0.6875</v>
      </c>
      <c r="F712" t="s">
        <v>2665</v>
      </c>
      <c r="G712" t="s">
        <v>2666</v>
      </c>
      <c r="H712">
        <v>2</v>
      </c>
      <c r="I712">
        <v>1</v>
      </c>
      <c r="J712">
        <v>4</v>
      </c>
      <c r="K712">
        <v>1</v>
      </c>
      <c r="L712" s="22" t="str">
        <f t="shared" si="238"/>
        <v>24/07/2026</v>
      </c>
      <c r="M712" s="23">
        <f t="shared" si="239"/>
        <v>0.5625</v>
      </c>
      <c r="N712" t="str">
        <f t="shared" si="241"/>
        <v>4 - 1</v>
      </c>
      <c r="O712" t="str">
        <f t="shared" si="242"/>
        <v>Green</v>
      </c>
      <c r="P712" t="str">
        <f t="shared" si="243"/>
        <v>Red</v>
      </c>
      <c r="Q712" t="str">
        <f t="shared" si="244"/>
        <v>Red</v>
      </c>
      <c r="R712" t="str">
        <f t="shared" si="245"/>
        <v>Green</v>
      </c>
      <c r="S712" t="str">
        <f t="shared" si="246"/>
        <v>Red</v>
      </c>
      <c r="T712" t="str">
        <f t="shared" si="247"/>
        <v>Green</v>
      </c>
      <c r="U712" t="str">
        <f t="shared" si="248"/>
        <v>Green</v>
      </c>
      <c r="V712" t="str">
        <f t="shared" si="249"/>
        <v>Red</v>
      </c>
      <c r="W712" t="str">
        <f t="shared" si="250"/>
        <v>Red</v>
      </c>
      <c r="X712" t="str">
        <f t="shared" si="251"/>
        <v>Green</v>
      </c>
      <c r="Y712" t="str">
        <f t="shared" si="252"/>
        <v>Green</v>
      </c>
      <c r="Z712" t="str">
        <f t="shared" si="253"/>
        <v>Green</v>
      </c>
      <c r="AA712" t="str">
        <f t="shared" si="254"/>
        <v>Red</v>
      </c>
      <c r="AB712" t="str">
        <f t="shared" si="255"/>
        <v>Red</v>
      </c>
      <c r="AC712" t="str">
        <f t="shared" si="256"/>
        <v>Green</v>
      </c>
      <c r="AD712" t="str">
        <f t="shared" si="257"/>
        <v>Red</v>
      </c>
    </row>
    <row r="713" spans="1:30" x14ac:dyDescent="0.2">
      <c r="A713" t="str">
        <f t="shared" si="240"/>
        <v>24/07/2026LAC-InterFavoritner AC</v>
      </c>
      <c r="D713" s="2">
        <v>46227</v>
      </c>
      <c r="E713" s="3">
        <v>0.6875</v>
      </c>
      <c r="F713" t="s">
        <v>2667</v>
      </c>
      <c r="G713" t="s">
        <v>2668</v>
      </c>
      <c r="H713">
        <v>0</v>
      </c>
      <c r="I713">
        <v>0</v>
      </c>
      <c r="J713">
        <v>0</v>
      </c>
      <c r="K713">
        <v>0</v>
      </c>
      <c r="L713" s="22" t="str">
        <f t="shared" si="238"/>
        <v>24/07/2026</v>
      </c>
      <c r="M713" s="23">
        <f t="shared" si="239"/>
        <v>0.5625</v>
      </c>
      <c r="N713" t="str">
        <f t="shared" si="241"/>
        <v>0 - 0</v>
      </c>
      <c r="O713" t="str">
        <f t="shared" si="242"/>
        <v>Red</v>
      </c>
      <c r="P713" t="str">
        <f t="shared" si="243"/>
        <v>Green</v>
      </c>
      <c r="Q713" t="str">
        <f t="shared" si="244"/>
        <v>Red</v>
      </c>
      <c r="R713" t="str">
        <f t="shared" si="245"/>
        <v>Green</v>
      </c>
      <c r="S713" t="str">
        <f t="shared" si="246"/>
        <v>Green</v>
      </c>
      <c r="T713" t="str">
        <f t="shared" si="247"/>
        <v>Red</v>
      </c>
      <c r="U713" t="str">
        <f t="shared" si="248"/>
        <v>Red</v>
      </c>
      <c r="V713" t="str">
        <f t="shared" si="249"/>
        <v>Green</v>
      </c>
      <c r="W713" t="str">
        <f t="shared" si="250"/>
        <v>Red</v>
      </c>
      <c r="X713" t="str">
        <f t="shared" si="251"/>
        <v>Red</v>
      </c>
      <c r="Y713" t="str">
        <f t="shared" si="252"/>
        <v>Red</v>
      </c>
      <c r="Z713" t="str">
        <f t="shared" si="253"/>
        <v>Red</v>
      </c>
      <c r="AA713" t="str">
        <f t="shared" si="254"/>
        <v>Green</v>
      </c>
      <c r="AB713" t="str">
        <f t="shared" si="255"/>
        <v>Green</v>
      </c>
      <c r="AC713" t="str">
        <f t="shared" si="256"/>
        <v>Red</v>
      </c>
      <c r="AD713" t="str">
        <f t="shared" si="257"/>
        <v>Green</v>
      </c>
    </row>
    <row r="714" spans="1:30" x14ac:dyDescent="0.2">
      <c r="A714" t="str">
        <f t="shared" si="240"/>
        <v>24/07/2026Kings SCZulimanit</v>
      </c>
      <c r="D714" s="2">
        <v>46227</v>
      </c>
      <c r="E714" s="3">
        <v>0.69791666666666663</v>
      </c>
      <c r="F714" t="s">
        <v>2464</v>
      </c>
      <c r="G714" t="s">
        <v>2465</v>
      </c>
      <c r="H714">
        <v>0</v>
      </c>
      <c r="I714">
        <v>0</v>
      </c>
      <c r="J714">
        <v>3</v>
      </c>
      <c r="K714">
        <v>2</v>
      </c>
      <c r="L714" s="22" t="str">
        <f t="shared" si="238"/>
        <v>24/07/2026</v>
      </c>
      <c r="M714" s="23">
        <f t="shared" si="239"/>
        <v>0.57291666666666663</v>
      </c>
      <c r="N714" t="str">
        <f t="shared" si="241"/>
        <v>3 - 2</v>
      </c>
      <c r="O714" t="str">
        <f t="shared" si="242"/>
        <v>Green</v>
      </c>
      <c r="P714" t="str">
        <f t="shared" si="243"/>
        <v>Red</v>
      </c>
      <c r="Q714" t="str">
        <f t="shared" si="244"/>
        <v>Red</v>
      </c>
      <c r="R714" t="str">
        <f t="shared" si="245"/>
        <v>Green</v>
      </c>
      <c r="S714" t="str">
        <f t="shared" si="246"/>
        <v>Red</v>
      </c>
      <c r="T714" t="str">
        <f t="shared" si="247"/>
        <v>Green</v>
      </c>
      <c r="U714" t="str">
        <f t="shared" si="248"/>
        <v>Red</v>
      </c>
      <c r="V714" t="str">
        <f t="shared" si="249"/>
        <v>Green</v>
      </c>
      <c r="W714" t="str">
        <f t="shared" si="250"/>
        <v>Red</v>
      </c>
      <c r="X714" t="str">
        <f t="shared" si="251"/>
        <v>Red</v>
      </c>
      <c r="Y714" t="str">
        <f t="shared" si="252"/>
        <v>Green</v>
      </c>
      <c r="Z714" t="str">
        <f t="shared" si="253"/>
        <v>Green</v>
      </c>
      <c r="AA714" t="str">
        <f t="shared" si="254"/>
        <v>Red</v>
      </c>
      <c r="AB714" t="str">
        <f t="shared" si="255"/>
        <v>Red</v>
      </c>
      <c r="AC714" t="str">
        <f t="shared" si="256"/>
        <v>Green</v>
      </c>
      <c r="AD714" t="str">
        <f t="shared" si="257"/>
        <v>Red</v>
      </c>
    </row>
    <row r="715" spans="1:30" x14ac:dyDescent="0.2">
      <c r="A715" t="str">
        <f t="shared" si="240"/>
        <v>24/07/2026Vasteras SKOrgryte IS</v>
      </c>
      <c r="B715" t="s">
        <v>827</v>
      </c>
      <c r="C715" t="s">
        <v>828</v>
      </c>
      <c r="D715" s="2">
        <v>46227</v>
      </c>
      <c r="E715" s="3">
        <v>0.70833333333333337</v>
      </c>
      <c r="F715" t="s">
        <v>145</v>
      </c>
      <c r="G715" t="s">
        <v>146</v>
      </c>
      <c r="H715">
        <v>1</v>
      </c>
      <c r="I715">
        <v>0</v>
      </c>
      <c r="J715">
        <v>2</v>
      </c>
      <c r="K715">
        <v>0</v>
      </c>
      <c r="L715" s="22" t="str">
        <f t="shared" si="238"/>
        <v>24/07/2026</v>
      </c>
      <c r="M715" s="23">
        <f t="shared" si="239"/>
        <v>0.58333333333333337</v>
      </c>
      <c r="N715" t="str">
        <f t="shared" si="241"/>
        <v>2 - 0</v>
      </c>
      <c r="O715" t="str">
        <f t="shared" si="242"/>
        <v>Green</v>
      </c>
      <c r="P715" t="str">
        <f t="shared" si="243"/>
        <v>Red</v>
      </c>
      <c r="Q715" t="str">
        <f t="shared" si="244"/>
        <v>Red</v>
      </c>
      <c r="R715" t="str">
        <f t="shared" si="245"/>
        <v>Green</v>
      </c>
      <c r="S715" t="str">
        <f t="shared" si="246"/>
        <v>Red</v>
      </c>
      <c r="T715" t="str">
        <f t="shared" si="247"/>
        <v>Green</v>
      </c>
      <c r="U715" t="str">
        <f t="shared" si="248"/>
        <v>Green</v>
      </c>
      <c r="V715" t="str">
        <f t="shared" si="249"/>
        <v>Red</v>
      </c>
      <c r="W715" t="str">
        <f t="shared" si="250"/>
        <v>Red</v>
      </c>
      <c r="X715" t="str">
        <f t="shared" si="251"/>
        <v>Green</v>
      </c>
      <c r="Y715" t="str">
        <f t="shared" si="252"/>
        <v>Green</v>
      </c>
      <c r="Z715" t="str">
        <f t="shared" si="253"/>
        <v>Red</v>
      </c>
      <c r="AA715" t="str">
        <f t="shared" si="254"/>
        <v>Green</v>
      </c>
      <c r="AB715" t="str">
        <f t="shared" si="255"/>
        <v>Green</v>
      </c>
      <c r="AC715" t="str">
        <f t="shared" si="256"/>
        <v>Red</v>
      </c>
      <c r="AD715" t="str">
        <f t="shared" si="257"/>
        <v>Green</v>
      </c>
    </row>
    <row r="716" spans="1:30" x14ac:dyDescent="0.2">
      <c r="A716" t="str">
        <f t="shared" si="240"/>
        <v>24/07/2026ATUS VeldenAustria Klagenfurt</v>
      </c>
      <c r="B716" t="s">
        <v>2326</v>
      </c>
      <c r="C716" t="s">
        <v>2327</v>
      </c>
      <c r="D716" s="2">
        <v>46227</v>
      </c>
      <c r="E716" s="3">
        <v>0.70833333333333337</v>
      </c>
      <c r="F716" t="s">
        <v>1296</v>
      </c>
      <c r="G716" t="s">
        <v>2332</v>
      </c>
      <c r="H716">
        <v>1</v>
      </c>
      <c r="I716">
        <v>0</v>
      </c>
      <c r="J716">
        <v>1</v>
      </c>
      <c r="K716">
        <v>2</v>
      </c>
      <c r="L716" s="22" t="str">
        <f t="shared" si="238"/>
        <v>24/07/2026</v>
      </c>
      <c r="M716" s="23">
        <f t="shared" si="239"/>
        <v>0.58333333333333337</v>
      </c>
      <c r="N716" t="str">
        <f t="shared" si="241"/>
        <v>1 - 2</v>
      </c>
      <c r="O716" t="str">
        <f t="shared" si="242"/>
        <v>Red</v>
      </c>
      <c r="P716" t="str">
        <f t="shared" si="243"/>
        <v>Red</v>
      </c>
      <c r="Q716" t="str">
        <f t="shared" si="244"/>
        <v>Green</v>
      </c>
      <c r="R716" t="str">
        <f t="shared" si="245"/>
        <v>Red</v>
      </c>
      <c r="S716" t="str">
        <f t="shared" si="246"/>
        <v>Green</v>
      </c>
      <c r="T716" t="str">
        <f t="shared" si="247"/>
        <v>Green</v>
      </c>
      <c r="U716" t="str">
        <f t="shared" si="248"/>
        <v>Green</v>
      </c>
      <c r="V716" t="str">
        <f t="shared" si="249"/>
        <v>Red</v>
      </c>
      <c r="W716" t="str">
        <f t="shared" si="250"/>
        <v>Red</v>
      </c>
      <c r="X716" t="str">
        <f t="shared" si="251"/>
        <v>Green</v>
      </c>
      <c r="Y716" t="str">
        <f t="shared" si="252"/>
        <v>Green</v>
      </c>
      <c r="Z716" t="str">
        <f t="shared" si="253"/>
        <v>Green</v>
      </c>
      <c r="AA716" t="str">
        <f t="shared" si="254"/>
        <v>Red</v>
      </c>
      <c r="AB716" t="str">
        <f t="shared" si="255"/>
        <v>Green</v>
      </c>
      <c r="AC716" t="str">
        <f t="shared" si="256"/>
        <v>Green</v>
      </c>
      <c r="AD716" t="str">
        <f t="shared" si="257"/>
        <v>Red</v>
      </c>
    </row>
    <row r="717" spans="1:30" x14ac:dyDescent="0.2">
      <c r="A717" t="str">
        <f t="shared" si="240"/>
        <v>24/07/2026Deutschlandsberger SCAmstetten</v>
      </c>
      <c r="B717" t="s">
        <v>2326</v>
      </c>
      <c r="C717" t="s">
        <v>2327</v>
      </c>
      <c r="D717" s="2">
        <v>46227</v>
      </c>
      <c r="E717" s="3">
        <v>0.70833333333333337</v>
      </c>
      <c r="F717" t="s">
        <v>2333</v>
      </c>
      <c r="G717" t="s">
        <v>2334</v>
      </c>
      <c r="H717">
        <v>1</v>
      </c>
      <c r="I717">
        <v>0</v>
      </c>
      <c r="J717">
        <v>1</v>
      </c>
      <c r="K717">
        <v>1</v>
      </c>
      <c r="L717" s="22" t="str">
        <f t="shared" ref="L717:L780" si="258">DAY(D717)&amp;"/"&amp;"07"&amp;"/"&amp;YEAR(D717)</f>
        <v>24/07/2026</v>
      </c>
      <c r="M717" s="23">
        <f t="shared" ref="M717:M780" si="259">E717-TIME(3,0,0)</f>
        <v>0.58333333333333337</v>
      </c>
      <c r="N717" t="str">
        <f t="shared" si="241"/>
        <v>1 - 1</v>
      </c>
      <c r="O717" t="str">
        <f t="shared" si="242"/>
        <v>Red</v>
      </c>
      <c r="P717" t="str">
        <f t="shared" si="243"/>
        <v>Green</v>
      </c>
      <c r="Q717" t="str">
        <f t="shared" si="244"/>
        <v>Red</v>
      </c>
      <c r="R717" t="str">
        <f t="shared" si="245"/>
        <v>Green</v>
      </c>
      <c r="S717" t="str">
        <f t="shared" si="246"/>
        <v>Green</v>
      </c>
      <c r="T717" t="str">
        <f t="shared" si="247"/>
        <v>Red</v>
      </c>
      <c r="U717" t="str">
        <f t="shared" si="248"/>
        <v>Green</v>
      </c>
      <c r="V717" t="str">
        <f t="shared" si="249"/>
        <v>Red</v>
      </c>
      <c r="W717" t="str">
        <f t="shared" si="250"/>
        <v>Red</v>
      </c>
      <c r="X717" t="str">
        <f t="shared" si="251"/>
        <v>Green</v>
      </c>
      <c r="Y717" t="str">
        <f t="shared" si="252"/>
        <v>Green</v>
      </c>
      <c r="Z717" t="str">
        <f t="shared" si="253"/>
        <v>Red</v>
      </c>
      <c r="AA717" t="str">
        <f t="shared" si="254"/>
        <v>Green</v>
      </c>
      <c r="AB717" t="str">
        <f t="shared" si="255"/>
        <v>Green</v>
      </c>
      <c r="AC717" t="str">
        <f t="shared" si="256"/>
        <v>Green</v>
      </c>
      <c r="AD717" t="str">
        <f t="shared" si="257"/>
        <v>Red</v>
      </c>
    </row>
    <row r="718" spans="1:30" x14ac:dyDescent="0.2">
      <c r="A718" t="str">
        <f t="shared" si="240"/>
        <v>24/07/2026FC LauterachWolfsberger AC</v>
      </c>
      <c r="B718" t="s">
        <v>2326</v>
      </c>
      <c r="C718" t="s">
        <v>2327</v>
      </c>
      <c r="D718" s="2">
        <v>46227</v>
      </c>
      <c r="E718" s="3">
        <v>0.70833333333333337</v>
      </c>
      <c r="F718" t="s">
        <v>2335</v>
      </c>
      <c r="G718" t="s">
        <v>1297</v>
      </c>
      <c r="H718">
        <v>0</v>
      </c>
      <c r="I718">
        <v>3</v>
      </c>
      <c r="J718">
        <v>1</v>
      </c>
      <c r="K718">
        <v>5</v>
      </c>
      <c r="L718" s="22" t="str">
        <f t="shared" si="258"/>
        <v>24/07/2026</v>
      </c>
      <c r="M718" s="23">
        <f t="shared" si="259"/>
        <v>0.58333333333333337</v>
      </c>
      <c r="N718" t="str">
        <f t="shared" si="241"/>
        <v>1 - 5</v>
      </c>
      <c r="O718" t="str">
        <f t="shared" si="242"/>
        <v>Red</v>
      </c>
      <c r="P718" t="str">
        <f t="shared" si="243"/>
        <v>Red</v>
      </c>
      <c r="Q718" t="str">
        <f t="shared" si="244"/>
        <v>Green</v>
      </c>
      <c r="R718" t="str">
        <f t="shared" si="245"/>
        <v>Red</v>
      </c>
      <c r="S718" t="str">
        <f t="shared" si="246"/>
        <v>Green</v>
      </c>
      <c r="T718" t="str">
        <f t="shared" si="247"/>
        <v>Green</v>
      </c>
      <c r="U718" t="str">
        <f t="shared" si="248"/>
        <v>Red</v>
      </c>
      <c r="V718" t="str">
        <f t="shared" si="249"/>
        <v>Red</v>
      </c>
      <c r="W718" t="str">
        <f t="shared" si="250"/>
        <v>Green</v>
      </c>
      <c r="X718" t="str">
        <f t="shared" si="251"/>
        <v>Green</v>
      </c>
      <c r="Y718" t="str">
        <f t="shared" si="252"/>
        <v>Green</v>
      </c>
      <c r="Z718" t="str">
        <f t="shared" si="253"/>
        <v>Green</v>
      </c>
      <c r="AA718" t="str">
        <f t="shared" si="254"/>
        <v>Red</v>
      </c>
      <c r="AB718" t="str">
        <f t="shared" si="255"/>
        <v>Red</v>
      </c>
      <c r="AC718" t="str">
        <f t="shared" si="256"/>
        <v>Green</v>
      </c>
      <c r="AD718" t="str">
        <f t="shared" si="257"/>
        <v>Red</v>
      </c>
    </row>
    <row r="719" spans="1:30" x14ac:dyDescent="0.2">
      <c r="A719" t="str">
        <f t="shared" si="240"/>
        <v>24/07/2026SV LafnitzUSV Scheiblingkirchen</v>
      </c>
      <c r="B719" t="s">
        <v>2326</v>
      </c>
      <c r="C719" t="s">
        <v>2327</v>
      </c>
      <c r="D719" s="2">
        <v>46227</v>
      </c>
      <c r="E719" s="3">
        <v>0.70833333333333337</v>
      </c>
      <c r="F719" t="s">
        <v>2336</v>
      </c>
      <c r="G719" t="s">
        <v>2337</v>
      </c>
      <c r="H719">
        <v>2</v>
      </c>
      <c r="I719">
        <v>0</v>
      </c>
      <c r="J719">
        <v>3</v>
      </c>
      <c r="K719">
        <v>1</v>
      </c>
      <c r="L719" s="22" t="str">
        <f t="shared" si="258"/>
        <v>24/07/2026</v>
      </c>
      <c r="M719" s="23">
        <f t="shared" si="259"/>
        <v>0.58333333333333337</v>
      </c>
      <c r="N719" t="str">
        <f t="shared" si="241"/>
        <v>3 - 1</v>
      </c>
      <c r="O719" t="str">
        <f t="shared" si="242"/>
        <v>Green</v>
      </c>
      <c r="P719" t="str">
        <f t="shared" si="243"/>
        <v>Red</v>
      </c>
      <c r="Q719" t="str">
        <f t="shared" si="244"/>
        <v>Red</v>
      </c>
      <c r="R719" t="str">
        <f t="shared" si="245"/>
        <v>Green</v>
      </c>
      <c r="S719" t="str">
        <f t="shared" si="246"/>
        <v>Red</v>
      </c>
      <c r="T719" t="str">
        <f t="shared" si="247"/>
        <v>Green</v>
      </c>
      <c r="U719" t="str">
        <f t="shared" si="248"/>
        <v>Green</v>
      </c>
      <c r="V719" t="str">
        <f t="shared" si="249"/>
        <v>Red</v>
      </c>
      <c r="W719" t="str">
        <f t="shared" si="250"/>
        <v>Red</v>
      </c>
      <c r="X719" t="str">
        <f t="shared" si="251"/>
        <v>Green</v>
      </c>
      <c r="Y719" t="str">
        <f t="shared" si="252"/>
        <v>Green</v>
      </c>
      <c r="Z719" t="str">
        <f t="shared" si="253"/>
        <v>Green</v>
      </c>
      <c r="AA719" t="str">
        <f t="shared" si="254"/>
        <v>Red</v>
      </c>
      <c r="AB719" t="str">
        <f t="shared" si="255"/>
        <v>Red</v>
      </c>
      <c r="AC719" t="str">
        <f t="shared" si="256"/>
        <v>Green</v>
      </c>
      <c r="AD719" t="str">
        <f t="shared" si="257"/>
        <v>Red</v>
      </c>
    </row>
    <row r="720" spans="1:30" x14ac:dyDescent="0.2">
      <c r="A720" t="str">
        <f t="shared" si="240"/>
        <v>24/07/2026SV LeobendorfSCR Altach</v>
      </c>
      <c r="B720" t="s">
        <v>2326</v>
      </c>
      <c r="C720" t="s">
        <v>2327</v>
      </c>
      <c r="D720" s="2">
        <v>46227</v>
      </c>
      <c r="E720" s="3">
        <v>0.70833333333333337</v>
      </c>
      <c r="F720" t="s">
        <v>2338</v>
      </c>
      <c r="G720" t="s">
        <v>2339</v>
      </c>
      <c r="H720">
        <v>0</v>
      </c>
      <c r="I720">
        <v>0</v>
      </c>
      <c r="J720">
        <v>0</v>
      </c>
      <c r="K720">
        <v>1</v>
      </c>
      <c r="L720" s="22" t="str">
        <f t="shared" si="258"/>
        <v>24/07/2026</v>
      </c>
      <c r="M720" s="23">
        <f t="shared" si="259"/>
        <v>0.58333333333333337</v>
      </c>
      <c r="N720" t="str">
        <f t="shared" si="241"/>
        <v>0 - 1</v>
      </c>
      <c r="O720" t="str">
        <f t="shared" si="242"/>
        <v>Red</v>
      </c>
      <c r="P720" t="str">
        <f t="shared" si="243"/>
        <v>Red</v>
      </c>
      <c r="Q720" t="str">
        <f t="shared" si="244"/>
        <v>Green</v>
      </c>
      <c r="R720" t="str">
        <f t="shared" si="245"/>
        <v>Red</v>
      </c>
      <c r="S720" t="str">
        <f t="shared" si="246"/>
        <v>Green</v>
      </c>
      <c r="T720" t="str">
        <f t="shared" si="247"/>
        <v>Green</v>
      </c>
      <c r="U720" t="str">
        <f t="shared" si="248"/>
        <v>Red</v>
      </c>
      <c r="V720" t="str">
        <f t="shared" si="249"/>
        <v>Green</v>
      </c>
      <c r="W720" t="str">
        <f t="shared" si="250"/>
        <v>Red</v>
      </c>
      <c r="X720" t="str">
        <f t="shared" si="251"/>
        <v>Red</v>
      </c>
      <c r="Y720" t="str">
        <f t="shared" si="252"/>
        <v>Red</v>
      </c>
      <c r="Z720" t="str">
        <f t="shared" si="253"/>
        <v>Red</v>
      </c>
      <c r="AA720" t="str">
        <f t="shared" si="254"/>
        <v>Green</v>
      </c>
      <c r="AB720" t="str">
        <f t="shared" si="255"/>
        <v>Green</v>
      </c>
      <c r="AC720" t="str">
        <f t="shared" si="256"/>
        <v>Red</v>
      </c>
      <c r="AD720" t="str">
        <f t="shared" si="257"/>
        <v>Green</v>
      </c>
    </row>
    <row r="721" spans="1:30" x14ac:dyDescent="0.2">
      <c r="A721" t="str">
        <f t="shared" si="240"/>
        <v>24/07/2026ViborgOB Odense</v>
      </c>
      <c r="D721" s="2">
        <v>46227</v>
      </c>
      <c r="E721" s="3">
        <v>0.70833333333333337</v>
      </c>
      <c r="F721" t="s">
        <v>2415</v>
      </c>
      <c r="G721" t="s">
        <v>2416</v>
      </c>
      <c r="H721">
        <v>0</v>
      </c>
      <c r="I721">
        <v>0</v>
      </c>
      <c r="J721">
        <v>1</v>
      </c>
      <c r="K721">
        <v>0</v>
      </c>
      <c r="L721" s="22" t="str">
        <f t="shared" si="258"/>
        <v>24/07/2026</v>
      </c>
      <c r="M721" s="23">
        <f t="shared" si="259"/>
        <v>0.58333333333333337</v>
      </c>
      <c r="N721" t="str">
        <f t="shared" si="241"/>
        <v>1 - 0</v>
      </c>
      <c r="O721" t="str">
        <f t="shared" si="242"/>
        <v>Green</v>
      </c>
      <c r="P721" t="str">
        <f t="shared" si="243"/>
        <v>Red</v>
      </c>
      <c r="Q721" t="str">
        <f t="shared" si="244"/>
        <v>Red</v>
      </c>
      <c r="R721" t="str">
        <f t="shared" si="245"/>
        <v>Green</v>
      </c>
      <c r="S721" t="str">
        <f t="shared" si="246"/>
        <v>Red</v>
      </c>
      <c r="T721" t="str">
        <f t="shared" si="247"/>
        <v>Green</v>
      </c>
      <c r="U721" t="str">
        <f t="shared" si="248"/>
        <v>Red</v>
      </c>
      <c r="V721" t="str">
        <f t="shared" si="249"/>
        <v>Green</v>
      </c>
      <c r="W721" t="str">
        <f t="shared" si="250"/>
        <v>Red</v>
      </c>
      <c r="X721" t="str">
        <f t="shared" si="251"/>
        <v>Red</v>
      </c>
      <c r="Y721" t="str">
        <f t="shared" si="252"/>
        <v>Red</v>
      </c>
      <c r="Z721" t="str">
        <f t="shared" si="253"/>
        <v>Red</v>
      </c>
      <c r="AA721" t="str">
        <f t="shared" si="254"/>
        <v>Green</v>
      </c>
      <c r="AB721" t="str">
        <f t="shared" si="255"/>
        <v>Green</v>
      </c>
      <c r="AC721" t="str">
        <f t="shared" si="256"/>
        <v>Red</v>
      </c>
      <c r="AD721" t="str">
        <f t="shared" si="257"/>
        <v>Green</v>
      </c>
    </row>
    <row r="722" spans="1:30" x14ac:dyDescent="0.2">
      <c r="A722" t="str">
        <f t="shared" si="240"/>
        <v>24/07/2026AaB AalborgHillerod</v>
      </c>
      <c r="D722" s="2">
        <v>46227</v>
      </c>
      <c r="E722" s="3">
        <v>0.70833333333333337</v>
      </c>
      <c r="F722" t="s">
        <v>2419</v>
      </c>
      <c r="G722" t="s">
        <v>2420</v>
      </c>
      <c r="H722">
        <v>0</v>
      </c>
      <c r="I722">
        <v>0</v>
      </c>
      <c r="J722">
        <v>1</v>
      </c>
      <c r="K722">
        <v>0</v>
      </c>
      <c r="L722" s="22" t="str">
        <f t="shared" si="258"/>
        <v>24/07/2026</v>
      </c>
      <c r="M722" s="23">
        <f t="shared" si="259"/>
        <v>0.58333333333333337</v>
      </c>
      <c r="N722" t="str">
        <f t="shared" si="241"/>
        <v>1 - 0</v>
      </c>
      <c r="O722" t="str">
        <f t="shared" si="242"/>
        <v>Green</v>
      </c>
      <c r="P722" t="str">
        <f t="shared" si="243"/>
        <v>Red</v>
      </c>
      <c r="Q722" t="str">
        <f t="shared" si="244"/>
        <v>Red</v>
      </c>
      <c r="R722" t="str">
        <f t="shared" si="245"/>
        <v>Green</v>
      </c>
      <c r="S722" t="str">
        <f t="shared" si="246"/>
        <v>Red</v>
      </c>
      <c r="T722" t="str">
        <f t="shared" si="247"/>
        <v>Green</v>
      </c>
      <c r="U722" t="str">
        <f t="shared" si="248"/>
        <v>Red</v>
      </c>
      <c r="V722" t="str">
        <f t="shared" si="249"/>
        <v>Green</v>
      </c>
      <c r="W722" t="str">
        <f t="shared" si="250"/>
        <v>Red</v>
      </c>
      <c r="X722" t="str">
        <f t="shared" si="251"/>
        <v>Red</v>
      </c>
      <c r="Y722" t="str">
        <f t="shared" si="252"/>
        <v>Red</v>
      </c>
      <c r="Z722" t="str">
        <f t="shared" si="253"/>
        <v>Red</v>
      </c>
      <c r="AA722" t="str">
        <f t="shared" si="254"/>
        <v>Green</v>
      </c>
      <c r="AB722" t="str">
        <f t="shared" si="255"/>
        <v>Green</v>
      </c>
      <c r="AC722" t="str">
        <f t="shared" si="256"/>
        <v>Red</v>
      </c>
      <c r="AD722" t="str">
        <f t="shared" si="257"/>
        <v>Green</v>
      </c>
    </row>
    <row r="723" spans="1:30" x14ac:dyDescent="0.2">
      <c r="A723" t="str">
        <f t="shared" si="240"/>
        <v>24/07/2026Tartu JK TammekaTallinna FC Zealot Sporting</v>
      </c>
      <c r="D723" s="2">
        <v>46227</v>
      </c>
      <c r="E723" s="3">
        <v>0.70833333333333337</v>
      </c>
      <c r="F723" t="s">
        <v>2423</v>
      </c>
      <c r="G723" t="s">
        <v>2424</v>
      </c>
      <c r="H723">
        <v>9</v>
      </c>
      <c r="I723">
        <v>0</v>
      </c>
      <c r="J723">
        <v>19</v>
      </c>
      <c r="K723">
        <v>0</v>
      </c>
      <c r="L723" s="22" t="str">
        <f t="shared" si="258"/>
        <v>24/07/2026</v>
      </c>
      <c r="M723" s="23">
        <f t="shared" si="259"/>
        <v>0.58333333333333337</v>
      </c>
      <c r="N723" t="str">
        <f t="shared" si="241"/>
        <v>19 - 0</v>
      </c>
      <c r="O723" t="str">
        <f t="shared" si="242"/>
        <v>Green</v>
      </c>
      <c r="P723" t="str">
        <f t="shared" si="243"/>
        <v>Red</v>
      </c>
      <c r="Q723" t="str">
        <f t="shared" si="244"/>
        <v>Red</v>
      </c>
      <c r="R723" t="str">
        <f t="shared" si="245"/>
        <v>Green</v>
      </c>
      <c r="S723" t="str">
        <f t="shared" si="246"/>
        <v>Red</v>
      </c>
      <c r="T723" t="str">
        <f t="shared" si="247"/>
        <v>Green</v>
      </c>
      <c r="U723" t="str">
        <f t="shared" si="248"/>
        <v>Green</v>
      </c>
      <c r="V723" t="str">
        <f t="shared" si="249"/>
        <v>Red</v>
      </c>
      <c r="W723" t="str">
        <f t="shared" si="250"/>
        <v>Red</v>
      </c>
      <c r="X723" t="str">
        <f t="shared" si="251"/>
        <v>Green</v>
      </c>
      <c r="Y723" t="str">
        <f t="shared" si="252"/>
        <v>Green</v>
      </c>
      <c r="Z723" t="str">
        <f t="shared" si="253"/>
        <v>Green</v>
      </c>
      <c r="AA723" t="str">
        <f t="shared" si="254"/>
        <v>Red</v>
      </c>
      <c r="AB723" t="str">
        <f t="shared" si="255"/>
        <v>Red</v>
      </c>
      <c r="AC723" t="str">
        <f t="shared" si="256"/>
        <v>Red</v>
      </c>
      <c r="AD723" t="str">
        <f t="shared" si="257"/>
        <v>Green</v>
      </c>
    </row>
    <row r="724" spans="1:30" x14ac:dyDescent="0.2">
      <c r="A724" t="str">
        <f t="shared" si="240"/>
        <v>24/07/2026FSV 63 LuckenwaldeLokomotive Leipzig</v>
      </c>
      <c r="D724" s="2">
        <v>46227</v>
      </c>
      <c r="E724" s="3">
        <v>0.70833333333333337</v>
      </c>
      <c r="F724" t="s">
        <v>2467</v>
      </c>
      <c r="G724" t="s">
        <v>2468</v>
      </c>
      <c r="H724">
        <v>1</v>
      </c>
      <c r="I724">
        <v>1</v>
      </c>
      <c r="J724">
        <v>1</v>
      </c>
      <c r="K724">
        <v>3</v>
      </c>
      <c r="L724" s="22" t="str">
        <f t="shared" si="258"/>
        <v>24/07/2026</v>
      </c>
      <c r="M724" s="23">
        <f t="shared" si="259"/>
        <v>0.58333333333333337</v>
      </c>
      <c r="N724" t="str">
        <f t="shared" si="241"/>
        <v>1 - 3</v>
      </c>
      <c r="O724" t="str">
        <f t="shared" si="242"/>
        <v>Red</v>
      </c>
      <c r="P724" t="str">
        <f t="shared" si="243"/>
        <v>Red</v>
      </c>
      <c r="Q724" t="str">
        <f t="shared" si="244"/>
        <v>Green</v>
      </c>
      <c r="R724" t="str">
        <f t="shared" si="245"/>
        <v>Red</v>
      </c>
      <c r="S724" t="str">
        <f t="shared" si="246"/>
        <v>Green</v>
      </c>
      <c r="T724" t="str">
        <f t="shared" si="247"/>
        <v>Green</v>
      </c>
      <c r="U724" t="str">
        <f t="shared" si="248"/>
        <v>Red</v>
      </c>
      <c r="V724" t="str">
        <f t="shared" si="249"/>
        <v>Green</v>
      </c>
      <c r="W724" t="str">
        <f t="shared" si="250"/>
        <v>Red</v>
      </c>
      <c r="X724" t="str">
        <f t="shared" si="251"/>
        <v>Green</v>
      </c>
      <c r="Y724" t="str">
        <f t="shared" si="252"/>
        <v>Green</v>
      </c>
      <c r="Z724" t="str">
        <f t="shared" si="253"/>
        <v>Green</v>
      </c>
      <c r="AA724" t="str">
        <f t="shared" si="254"/>
        <v>Red</v>
      </c>
      <c r="AB724" t="str">
        <f t="shared" si="255"/>
        <v>Red</v>
      </c>
      <c r="AC724" t="str">
        <f t="shared" si="256"/>
        <v>Green</v>
      </c>
      <c r="AD724" t="str">
        <f t="shared" si="257"/>
        <v>Red</v>
      </c>
    </row>
    <row r="725" spans="1:30" x14ac:dyDescent="0.2">
      <c r="A725" t="str">
        <f t="shared" si="240"/>
        <v>24/07/2026Rot Weiss ErfurtBerliner Dynamo</v>
      </c>
      <c r="D725" s="2">
        <v>46227</v>
      </c>
      <c r="E725" s="3">
        <v>0.70833333333333337</v>
      </c>
      <c r="F725" t="s">
        <v>2469</v>
      </c>
      <c r="G725" t="s">
        <v>2470</v>
      </c>
      <c r="H725">
        <v>4</v>
      </c>
      <c r="I725">
        <v>0</v>
      </c>
      <c r="J725">
        <v>4</v>
      </c>
      <c r="K725">
        <v>1</v>
      </c>
      <c r="L725" s="22" t="str">
        <f t="shared" si="258"/>
        <v>24/07/2026</v>
      </c>
      <c r="M725" s="23">
        <f t="shared" si="259"/>
        <v>0.58333333333333337</v>
      </c>
      <c r="N725" t="str">
        <f t="shared" si="241"/>
        <v>4 - 1</v>
      </c>
      <c r="O725" t="str">
        <f t="shared" si="242"/>
        <v>Green</v>
      </c>
      <c r="P725" t="str">
        <f t="shared" si="243"/>
        <v>Red</v>
      </c>
      <c r="Q725" t="str">
        <f t="shared" si="244"/>
        <v>Red</v>
      </c>
      <c r="R725" t="str">
        <f t="shared" si="245"/>
        <v>Green</v>
      </c>
      <c r="S725" t="str">
        <f t="shared" si="246"/>
        <v>Red</v>
      </c>
      <c r="T725" t="str">
        <f t="shared" si="247"/>
        <v>Green</v>
      </c>
      <c r="U725" t="str">
        <f t="shared" si="248"/>
        <v>Green</v>
      </c>
      <c r="V725" t="str">
        <f t="shared" si="249"/>
        <v>Red</v>
      </c>
      <c r="W725" t="str">
        <f t="shared" si="250"/>
        <v>Red</v>
      </c>
      <c r="X725" t="str">
        <f t="shared" si="251"/>
        <v>Green</v>
      </c>
      <c r="Y725" t="str">
        <f t="shared" si="252"/>
        <v>Green</v>
      </c>
      <c r="Z725" t="str">
        <f t="shared" si="253"/>
        <v>Green</v>
      </c>
      <c r="AA725" t="str">
        <f t="shared" si="254"/>
        <v>Red</v>
      </c>
      <c r="AB725" t="str">
        <f t="shared" si="255"/>
        <v>Red</v>
      </c>
      <c r="AC725" t="str">
        <f t="shared" si="256"/>
        <v>Green</v>
      </c>
      <c r="AD725" t="str">
        <f t="shared" si="257"/>
        <v>Red</v>
      </c>
    </row>
    <row r="726" spans="1:30" x14ac:dyDescent="0.2">
      <c r="A726" t="str">
        <f t="shared" si="240"/>
        <v>24/07/2026DJK GebenbachIngolstadt II</v>
      </c>
      <c r="D726" s="2">
        <v>46227</v>
      </c>
      <c r="E726" s="3">
        <v>0.70833333333333337</v>
      </c>
      <c r="F726" t="s">
        <v>2473</v>
      </c>
      <c r="G726" t="s">
        <v>2474</v>
      </c>
      <c r="H726">
        <v>1</v>
      </c>
      <c r="I726">
        <v>0</v>
      </c>
      <c r="J726">
        <v>3</v>
      </c>
      <c r="K726">
        <v>1</v>
      </c>
      <c r="L726" s="22" t="str">
        <f t="shared" si="258"/>
        <v>24/07/2026</v>
      </c>
      <c r="M726" s="23">
        <f t="shared" si="259"/>
        <v>0.58333333333333337</v>
      </c>
      <c r="N726" t="str">
        <f t="shared" si="241"/>
        <v>3 - 1</v>
      </c>
      <c r="O726" t="str">
        <f t="shared" si="242"/>
        <v>Green</v>
      </c>
      <c r="P726" t="str">
        <f t="shared" si="243"/>
        <v>Red</v>
      </c>
      <c r="Q726" t="str">
        <f t="shared" si="244"/>
        <v>Red</v>
      </c>
      <c r="R726" t="str">
        <f t="shared" si="245"/>
        <v>Green</v>
      </c>
      <c r="S726" t="str">
        <f t="shared" si="246"/>
        <v>Red</v>
      </c>
      <c r="T726" t="str">
        <f t="shared" si="247"/>
        <v>Green</v>
      </c>
      <c r="U726" t="str">
        <f t="shared" si="248"/>
        <v>Green</v>
      </c>
      <c r="V726" t="str">
        <f t="shared" si="249"/>
        <v>Red</v>
      </c>
      <c r="W726" t="str">
        <f t="shared" si="250"/>
        <v>Red</v>
      </c>
      <c r="X726" t="str">
        <f t="shared" si="251"/>
        <v>Green</v>
      </c>
      <c r="Y726" t="str">
        <f t="shared" si="252"/>
        <v>Green</v>
      </c>
      <c r="Z726" t="str">
        <f t="shared" si="253"/>
        <v>Green</v>
      </c>
      <c r="AA726" t="str">
        <f t="shared" si="254"/>
        <v>Red</v>
      </c>
      <c r="AB726" t="str">
        <f t="shared" si="255"/>
        <v>Red</v>
      </c>
      <c r="AC726" t="str">
        <f t="shared" si="256"/>
        <v>Green</v>
      </c>
      <c r="AD726" t="str">
        <f t="shared" si="257"/>
        <v>Red</v>
      </c>
    </row>
    <row r="727" spans="1:30" x14ac:dyDescent="0.2">
      <c r="A727" t="str">
        <f t="shared" si="240"/>
        <v>24/07/2026TSV KornburgDJK Ammerthal</v>
      </c>
      <c r="D727" s="2">
        <v>46227</v>
      </c>
      <c r="E727" s="3">
        <v>0.70833333333333337</v>
      </c>
      <c r="F727" t="s">
        <v>1348</v>
      </c>
      <c r="G727" t="s">
        <v>2475</v>
      </c>
      <c r="H727">
        <v>0</v>
      </c>
      <c r="I727">
        <v>0</v>
      </c>
      <c r="J727">
        <v>0</v>
      </c>
      <c r="K727">
        <v>0</v>
      </c>
      <c r="L727" s="22" t="str">
        <f t="shared" si="258"/>
        <v>24/07/2026</v>
      </c>
      <c r="M727" s="23">
        <f t="shared" si="259"/>
        <v>0.58333333333333337</v>
      </c>
      <c r="N727" t="str">
        <f t="shared" si="241"/>
        <v>0 - 0</v>
      </c>
      <c r="O727" t="str">
        <f t="shared" si="242"/>
        <v>Red</v>
      </c>
      <c r="P727" t="str">
        <f t="shared" si="243"/>
        <v>Green</v>
      </c>
      <c r="Q727" t="str">
        <f t="shared" si="244"/>
        <v>Red</v>
      </c>
      <c r="R727" t="str">
        <f t="shared" si="245"/>
        <v>Green</v>
      </c>
      <c r="S727" t="str">
        <f t="shared" si="246"/>
        <v>Green</v>
      </c>
      <c r="T727" t="str">
        <f t="shared" si="247"/>
        <v>Red</v>
      </c>
      <c r="U727" t="str">
        <f t="shared" si="248"/>
        <v>Red</v>
      </c>
      <c r="V727" t="str">
        <f t="shared" si="249"/>
        <v>Green</v>
      </c>
      <c r="W727" t="str">
        <f t="shared" si="250"/>
        <v>Red</v>
      </c>
      <c r="X727" t="str">
        <f t="shared" si="251"/>
        <v>Red</v>
      </c>
      <c r="Y727" t="str">
        <f t="shared" si="252"/>
        <v>Red</v>
      </c>
      <c r="Z727" t="str">
        <f t="shared" si="253"/>
        <v>Red</v>
      </c>
      <c r="AA727" t="str">
        <f t="shared" si="254"/>
        <v>Green</v>
      </c>
      <c r="AB727" t="str">
        <f t="shared" si="255"/>
        <v>Green</v>
      </c>
      <c r="AC727" t="str">
        <f t="shared" si="256"/>
        <v>Red</v>
      </c>
      <c r="AD727" t="str">
        <f t="shared" si="257"/>
        <v>Green</v>
      </c>
    </row>
    <row r="728" spans="1:30" x14ac:dyDescent="0.2">
      <c r="A728" t="str">
        <f t="shared" si="240"/>
        <v>24/07/2026WeidenASV Cham</v>
      </c>
      <c r="D728" s="2">
        <v>46227</v>
      </c>
      <c r="E728" s="3">
        <v>0.70833333333333337</v>
      </c>
      <c r="F728" t="s">
        <v>1346</v>
      </c>
      <c r="G728" t="s">
        <v>2476</v>
      </c>
      <c r="H728">
        <v>0</v>
      </c>
      <c r="I728">
        <v>0</v>
      </c>
      <c r="J728">
        <v>0</v>
      </c>
      <c r="K728">
        <v>1</v>
      </c>
      <c r="L728" s="22" t="str">
        <f t="shared" si="258"/>
        <v>24/07/2026</v>
      </c>
      <c r="M728" s="23">
        <f t="shared" si="259"/>
        <v>0.58333333333333337</v>
      </c>
      <c r="N728" t="str">
        <f t="shared" si="241"/>
        <v>0 - 1</v>
      </c>
      <c r="O728" t="str">
        <f t="shared" si="242"/>
        <v>Red</v>
      </c>
      <c r="P728" t="str">
        <f t="shared" si="243"/>
        <v>Red</v>
      </c>
      <c r="Q728" t="str">
        <f t="shared" si="244"/>
        <v>Green</v>
      </c>
      <c r="R728" t="str">
        <f t="shared" si="245"/>
        <v>Red</v>
      </c>
      <c r="S728" t="str">
        <f t="shared" si="246"/>
        <v>Green</v>
      </c>
      <c r="T728" t="str">
        <f t="shared" si="247"/>
        <v>Green</v>
      </c>
      <c r="U728" t="str">
        <f t="shared" si="248"/>
        <v>Red</v>
      </c>
      <c r="V728" t="str">
        <f t="shared" si="249"/>
        <v>Green</v>
      </c>
      <c r="W728" t="str">
        <f t="shared" si="250"/>
        <v>Red</v>
      </c>
      <c r="X728" t="str">
        <f t="shared" si="251"/>
        <v>Red</v>
      </c>
      <c r="Y728" t="str">
        <f t="shared" si="252"/>
        <v>Red</v>
      </c>
      <c r="Z728" t="str">
        <f t="shared" si="253"/>
        <v>Red</v>
      </c>
      <c r="AA728" t="str">
        <f t="shared" si="254"/>
        <v>Green</v>
      </c>
      <c r="AB728" t="str">
        <f t="shared" si="255"/>
        <v>Green</v>
      </c>
      <c r="AC728" t="str">
        <f t="shared" si="256"/>
        <v>Red</v>
      </c>
      <c r="AD728" t="str">
        <f t="shared" si="257"/>
        <v>Green</v>
      </c>
    </row>
    <row r="729" spans="1:30" x14ac:dyDescent="0.2">
      <c r="A729" t="str">
        <f t="shared" si="240"/>
        <v>24/07/2026HeimstettenSportfreunde Schwaig</v>
      </c>
      <c r="D729" s="2">
        <v>46227</v>
      </c>
      <c r="E729" s="3">
        <v>0.70833333333333337</v>
      </c>
      <c r="F729" t="s">
        <v>1354</v>
      </c>
      <c r="G729" t="s">
        <v>1355</v>
      </c>
      <c r="H729">
        <v>0</v>
      </c>
      <c r="I729">
        <v>1</v>
      </c>
      <c r="J729">
        <v>1</v>
      </c>
      <c r="K729">
        <v>2</v>
      </c>
      <c r="L729" s="22" t="str">
        <f t="shared" si="258"/>
        <v>24/07/2026</v>
      </c>
      <c r="M729" s="23">
        <f t="shared" si="259"/>
        <v>0.58333333333333337</v>
      </c>
      <c r="N729" t="str">
        <f t="shared" si="241"/>
        <v>1 - 2</v>
      </c>
      <c r="O729" t="str">
        <f t="shared" si="242"/>
        <v>Red</v>
      </c>
      <c r="P729" t="str">
        <f t="shared" si="243"/>
        <v>Red</v>
      </c>
      <c r="Q729" t="str">
        <f t="shared" si="244"/>
        <v>Green</v>
      </c>
      <c r="R729" t="str">
        <f t="shared" si="245"/>
        <v>Red</v>
      </c>
      <c r="S729" t="str">
        <f t="shared" si="246"/>
        <v>Green</v>
      </c>
      <c r="T729" t="str">
        <f t="shared" si="247"/>
        <v>Green</v>
      </c>
      <c r="U729" t="str">
        <f t="shared" si="248"/>
        <v>Red</v>
      </c>
      <c r="V729" t="str">
        <f t="shared" si="249"/>
        <v>Red</v>
      </c>
      <c r="W729" t="str">
        <f t="shared" si="250"/>
        <v>Green</v>
      </c>
      <c r="X729" t="str">
        <f t="shared" si="251"/>
        <v>Green</v>
      </c>
      <c r="Y729" t="str">
        <f t="shared" si="252"/>
        <v>Green</v>
      </c>
      <c r="Z729" t="str">
        <f t="shared" si="253"/>
        <v>Green</v>
      </c>
      <c r="AA729" t="str">
        <f t="shared" si="254"/>
        <v>Red</v>
      </c>
      <c r="AB729" t="str">
        <f t="shared" si="255"/>
        <v>Green</v>
      </c>
      <c r="AC729" t="str">
        <f t="shared" si="256"/>
        <v>Green</v>
      </c>
      <c r="AD729" t="str">
        <f t="shared" si="257"/>
        <v>Red</v>
      </c>
    </row>
    <row r="730" spans="1:30" x14ac:dyDescent="0.2">
      <c r="A730" t="str">
        <f t="shared" si="240"/>
        <v>24/07/2026TSV 1860 WasserburgGundelfingen 1920</v>
      </c>
      <c r="D730" s="2">
        <v>46227</v>
      </c>
      <c r="E730" s="3">
        <v>0.70833333333333337</v>
      </c>
      <c r="F730" t="s">
        <v>1356</v>
      </c>
      <c r="G730" t="s">
        <v>2481</v>
      </c>
      <c r="H730">
        <v>1</v>
      </c>
      <c r="I730">
        <v>3</v>
      </c>
      <c r="J730">
        <v>1</v>
      </c>
      <c r="K730">
        <v>3</v>
      </c>
      <c r="L730" s="22" t="str">
        <f t="shared" si="258"/>
        <v>24/07/2026</v>
      </c>
      <c r="M730" s="23">
        <f t="shared" si="259"/>
        <v>0.58333333333333337</v>
      </c>
      <c r="N730" t="str">
        <f t="shared" si="241"/>
        <v>1 - 3</v>
      </c>
      <c r="O730" t="str">
        <f t="shared" si="242"/>
        <v>Red</v>
      </c>
      <c r="P730" t="str">
        <f t="shared" si="243"/>
        <v>Red</v>
      </c>
      <c r="Q730" t="str">
        <f t="shared" si="244"/>
        <v>Green</v>
      </c>
      <c r="R730" t="str">
        <f t="shared" si="245"/>
        <v>Red</v>
      </c>
      <c r="S730" t="str">
        <f t="shared" si="246"/>
        <v>Green</v>
      </c>
      <c r="T730" t="str">
        <f t="shared" si="247"/>
        <v>Green</v>
      </c>
      <c r="U730" t="str">
        <f t="shared" si="248"/>
        <v>Red</v>
      </c>
      <c r="V730" t="str">
        <f t="shared" si="249"/>
        <v>Red</v>
      </c>
      <c r="W730" t="str">
        <f t="shared" si="250"/>
        <v>Green</v>
      </c>
      <c r="X730" t="str">
        <f t="shared" si="251"/>
        <v>Green</v>
      </c>
      <c r="Y730" t="str">
        <f t="shared" si="252"/>
        <v>Green</v>
      </c>
      <c r="Z730" t="str">
        <f t="shared" si="253"/>
        <v>Green</v>
      </c>
      <c r="AA730" t="str">
        <f t="shared" si="254"/>
        <v>Red</v>
      </c>
      <c r="AB730" t="str">
        <f t="shared" si="255"/>
        <v>Red</v>
      </c>
      <c r="AC730" t="str">
        <f t="shared" si="256"/>
        <v>Green</v>
      </c>
      <c r="AD730" t="str">
        <f t="shared" si="257"/>
        <v>Red</v>
      </c>
    </row>
    <row r="731" spans="1:30" x14ac:dyDescent="0.2">
      <c r="A731" t="str">
        <f t="shared" si="240"/>
        <v>24/07/2026Al EttifaqYork City</v>
      </c>
      <c r="D731" s="2">
        <v>46227</v>
      </c>
      <c r="E731" s="3">
        <v>0.70833333333333337</v>
      </c>
      <c r="F731" t="s">
        <v>2669</v>
      </c>
      <c r="G731" t="s">
        <v>2670</v>
      </c>
      <c r="H731">
        <v>1</v>
      </c>
      <c r="I731">
        <v>1</v>
      </c>
      <c r="J731">
        <v>2</v>
      </c>
      <c r="K731">
        <v>2</v>
      </c>
      <c r="L731" s="22" t="str">
        <f t="shared" si="258"/>
        <v>24/07/2026</v>
      </c>
      <c r="M731" s="23">
        <f t="shared" si="259"/>
        <v>0.58333333333333337</v>
      </c>
      <c r="N731" t="str">
        <f t="shared" si="241"/>
        <v>2 - 2</v>
      </c>
      <c r="O731" t="str">
        <f t="shared" si="242"/>
        <v>Red</v>
      </c>
      <c r="P731" t="str">
        <f t="shared" si="243"/>
        <v>Green</v>
      </c>
      <c r="Q731" t="str">
        <f t="shared" si="244"/>
        <v>Red</v>
      </c>
      <c r="R731" t="str">
        <f t="shared" si="245"/>
        <v>Green</v>
      </c>
      <c r="S731" t="str">
        <f t="shared" si="246"/>
        <v>Green</v>
      </c>
      <c r="T731" t="str">
        <f t="shared" si="247"/>
        <v>Red</v>
      </c>
      <c r="U731" t="str">
        <f t="shared" si="248"/>
        <v>Red</v>
      </c>
      <c r="V731" t="str">
        <f t="shared" si="249"/>
        <v>Green</v>
      </c>
      <c r="W731" t="str">
        <f t="shared" si="250"/>
        <v>Red</v>
      </c>
      <c r="X731" t="str">
        <f t="shared" si="251"/>
        <v>Green</v>
      </c>
      <c r="Y731" t="str">
        <f t="shared" si="252"/>
        <v>Green</v>
      </c>
      <c r="Z731" t="str">
        <f t="shared" si="253"/>
        <v>Green</v>
      </c>
      <c r="AA731" t="str">
        <f t="shared" si="254"/>
        <v>Red</v>
      </c>
      <c r="AB731" t="str">
        <f t="shared" si="255"/>
        <v>Red</v>
      </c>
      <c r="AC731" t="str">
        <f t="shared" si="256"/>
        <v>Green</v>
      </c>
      <c r="AD731" t="str">
        <f t="shared" si="257"/>
        <v>Red</v>
      </c>
    </row>
    <row r="732" spans="1:30" x14ac:dyDescent="0.2">
      <c r="A732" t="str">
        <f t="shared" si="240"/>
        <v>24/07/2026BenficaCF OS Belenenses</v>
      </c>
      <c r="D732" s="2">
        <v>46227</v>
      </c>
      <c r="E732" s="3">
        <v>0.70833333333333337</v>
      </c>
      <c r="F732" t="s">
        <v>1902</v>
      </c>
      <c r="G732" t="s">
        <v>2671</v>
      </c>
      <c r="H732">
        <v>3</v>
      </c>
      <c r="I732">
        <v>1</v>
      </c>
      <c r="J732">
        <v>5</v>
      </c>
      <c r="K732">
        <v>1</v>
      </c>
      <c r="L732" s="22" t="str">
        <f t="shared" si="258"/>
        <v>24/07/2026</v>
      </c>
      <c r="M732" s="23">
        <f t="shared" si="259"/>
        <v>0.58333333333333337</v>
      </c>
      <c r="N732" t="str">
        <f t="shared" si="241"/>
        <v>5 - 1</v>
      </c>
      <c r="O732" t="str">
        <f t="shared" si="242"/>
        <v>Green</v>
      </c>
      <c r="P732" t="str">
        <f t="shared" si="243"/>
        <v>Red</v>
      </c>
      <c r="Q732" t="str">
        <f t="shared" si="244"/>
        <v>Red</v>
      </c>
      <c r="R732" t="str">
        <f t="shared" si="245"/>
        <v>Green</v>
      </c>
      <c r="S732" t="str">
        <f t="shared" si="246"/>
        <v>Red</v>
      </c>
      <c r="T732" t="str">
        <f t="shared" si="247"/>
        <v>Green</v>
      </c>
      <c r="U732" t="str">
        <f t="shared" si="248"/>
        <v>Green</v>
      </c>
      <c r="V732" t="str">
        <f t="shared" si="249"/>
        <v>Red</v>
      </c>
      <c r="W732" t="str">
        <f t="shared" si="250"/>
        <v>Red</v>
      </c>
      <c r="X732" t="str">
        <f t="shared" si="251"/>
        <v>Green</v>
      </c>
      <c r="Y732" t="str">
        <f t="shared" si="252"/>
        <v>Green</v>
      </c>
      <c r="Z732" t="str">
        <f t="shared" si="253"/>
        <v>Green</v>
      </c>
      <c r="AA732" t="str">
        <f t="shared" si="254"/>
        <v>Red</v>
      </c>
      <c r="AB732" t="str">
        <f t="shared" si="255"/>
        <v>Red</v>
      </c>
      <c r="AC732" t="str">
        <f t="shared" si="256"/>
        <v>Green</v>
      </c>
      <c r="AD732" t="str">
        <f t="shared" si="257"/>
        <v>Red</v>
      </c>
    </row>
    <row r="733" spans="1:30" x14ac:dyDescent="0.2">
      <c r="A733" t="str">
        <f t="shared" si="240"/>
        <v>24/07/2026Blau-Weiss LohneOsnabruck</v>
      </c>
      <c r="D733" s="2">
        <v>46227</v>
      </c>
      <c r="E733" s="3">
        <v>0.70833333333333337</v>
      </c>
      <c r="F733" t="s">
        <v>2672</v>
      </c>
      <c r="G733" t="s">
        <v>2673</v>
      </c>
      <c r="L733" s="22" t="str">
        <f t="shared" si="258"/>
        <v>24/07/2026</v>
      </c>
      <c r="M733" s="23">
        <f t="shared" si="259"/>
        <v>0.58333333333333337</v>
      </c>
      <c r="N733" t="str">
        <f t="shared" si="241"/>
        <v xml:space="preserve"> - </v>
      </c>
      <c r="O733" t="str">
        <f t="shared" si="242"/>
        <v>Red</v>
      </c>
      <c r="P733" t="str">
        <f t="shared" si="243"/>
        <v>Green</v>
      </c>
      <c r="Q733" t="str">
        <f t="shared" si="244"/>
        <v>Red</v>
      </c>
      <c r="R733" t="str">
        <f t="shared" si="245"/>
        <v>Green</v>
      </c>
      <c r="S733" t="str">
        <f t="shared" si="246"/>
        <v>Green</v>
      </c>
      <c r="T733" t="str">
        <f t="shared" si="247"/>
        <v>Red</v>
      </c>
      <c r="U733" t="str">
        <f t="shared" si="248"/>
        <v>Red</v>
      </c>
      <c r="V733" t="str">
        <f t="shared" si="249"/>
        <v>Green</v>
      </c>
      <c r="W733" t="str">
        <f t="shared" si="250"/>
        <v>Red</v>
      </c>
      <c r="X733" t="str">
        <f t="shared" si="251"/>
        <v>Red</v>
      </c>
      <c r="Y733" t="str">
        <f t="shared" si="252"/>
        <v>Red</v>
      </c>
      <c r="Z733" t="str">
        <f t="shared" si="253"/>
        <v>Red</v>
      </c>
      <c r="AA733" t="str">
        <f t="shared" si="254"/>
        <v>Green</v>
      </c>
      <c r="AB733" t="str">
        <f t="shared" si="255"/>
        <v>Green</v>
      </c>
      <c r="AC733" t="str">
        <f t="shared" si="256"/>
        <v>Red</v>
      </c>
      <c r="AD733" t="str">
        <f t="shared" si="257"/>
        <v>Green</v>
      </c>
    </row>
    <row r="734" spans="1:30" x14ac:dyDescent="0.2">
      <c r="A734" t="str">
        <f t="shared" si="240"/>
        <v>24/07/2026ElcheJohor Darul</v>
      </c>
      <c r="D734" s="2">
        <v>46227</v>
      </c>
      <c r="E734" s="3">
        <v>0.70833333333333337</v>
      </c>
      <c r="F734" t="s">
        <v>2674</v>
      </c>
      <c r="G734" t="s">
        <v>2675</v>
      </c>
      <c r="H734">
        <v>0</v>
      </c>
      <c r="I734">
        <v>0</v>
      </c>
      <c r="J734">
        <v>0</v>
      </c>
      <c r="K734">
        <v>0</v>
      </c>
      <c r="L734" s="22" t="str">
        <f t="shared" si="258"/>
        <v>24/07/2026</v>
      </c>
      <c r="M734" s="23">
        <f t="shared" si="259"/>
        <v>0.58333333333333337</v>
      </c>
      <c r="N734" t="str">
        <f t="shared" si="241"/>
        <v>0 - 0</v>
      </c>
      <c r="O734" t="str">
        <f t="shared" si="242"/>
        <v>Red</v>
      </c>
      <c r="P734" t="str">
        <f t="shared" si="243"/>
        <v>Green</v>
      </c>
      <c r="Q734" t="str">
        <f t="shared" si="244"/>
        <v>Red</v>
      </c>
      <c r="R734" t="str">
        <f t="shared" si="245"/>
        <v>Green</v>
      </c>
      <c r="S734" t="str">
        <f t="shared" si="246"/>
        <v>Green</v>
      </c>
      <c r="T734" t="str">
        <f t="shared" si="247"/>
        <v>Red</v>
      </c>
      <c r="U734" t="str">
        <f t="shared" si="248"/>
        <v>Red</v>
      </c>
      <c r="V734" t="str">
        <f t="shared" si="249"/>
        <v>Green</v>
      </c>
      <c r="W734" t="str">
        <f t="shared" si="250"/>
        <v>Red</v>
      </c>
      <c r="X734" t="str">
        <f t="shared" si="251"/>
        <v>Red</v>
      </c>
      <c r="Y734" t="str">
        <f t="shared" si="252"/>
        <v>Red</v>
      </c>
      <c r="Z734" t="str">
        <f t="shared" si="253"/>
        <v>Red</v>
      </c>
      <c r="AA734" t="str">
        <f t="shared" si="254"/>
        <v>Green</v>
      </c>
      <c r="AB734" t="str">
        <f t="shared" si="255"/>
        <v>Green</v>
      </c>
      <c r="AC734" t="str">
        <f t="shared" si="256"/>
        <v>Red</v>
      </c>
      <c r="AD734" t="str">
        <f t="shared" si="257"/>
        <v>Green</v>
      </c>
    </row>
    <row r="735" spans="1:30" x14ac:dyDescent="0.2">
      <c r="A735" t="str">
        <f t="shared" si="240"/>
        <v>24/07/2026EmmenTwente</v>
      </c>
      <c r="D735" s="2">
        <v>46227</v>
      </c>
      <c r="E735" s="3">
        <v>0.70833333333333337</v>
      </c>
      <c r="F735" t="s">
        <v>2676</v>
      </c>
      <c r="G735" t="s">
        <v>1903</v>
      </c>
      <c r="H735">
        <v>0</v>
      </c>
      <c r="I735">
        <v>2</v>
      </c>
      <c r="J735">
        <v>0</v>
      </c>
      <c r="K735">
        <v>3</v>
      </c>
      <c r="L735" s="22" t="str">
        <f t="shared" si="258"/>
        <v>24/07/2026</v>
      </c>
      <c r="M735" s="23">
        <f t="shared" si="259"/>
        <v>0.58333333333333337</v>
      </c>
      <c r="N735" t="str">
        <f t="shared" si="241"/>
        <v>0 - 3</v>
      </c>
      <c r="O735" t="str">
        <f t="shared" si="242"/>
        <v>Red</v>
      </c>
      <c r="P735" t="str">
        <f t="shared" si="243"/>
        <v>Red</v>
      </c>
      <c r="Q735" t="str">
        <f t="shared" si="244"/>
        <v>Green</v>
      </c>
      <c r="R735" t="str">
        <f t="shared" si="245"/>
        <v>Red</v>
      </c>
      <c r="S735" t="str">
        <f t="shared" si="246"/>
        <v>Green</v>
      </c>
      <c r="T735" t="str">
        <f t="shared" si="247"/>
        <v>Green</v>
      </c>
      <c r="U735" t="str">
        <f t="shared" si="248"/>
        <v>Red</v>
      </c>
      <c r="V735" t="str">
        <f t="shared" si="249"/>
        <v>Red</v>
      </c>
      <c r="W735" t="str">
        <f t="shared" si="250"/>
        <v>Green</v>
      </c>
      <c r="X735" t="str">
        <f t="shared" si="251"/>
        <v>Green</v>
      </c>
      <c r="Y735" t="str">
        <f t="shared" si="252"/>
        <v>Green</v>
      </c>
      <c r="Z735" t="str">
        <f t="shared" si="253"/>
        <v>Green</v>
      </c>
      <c r="AA735" t="str">
        <f t="shared" si="254"/>
        <v>Red</v>
      </c>
      <c r="AB735" t="str">
        <f t="shared" si="255"/>
        <v>Green</v>
      </c>
      <c r="AC735" t="str">
        <f t="shared" si="256"/>
        <v>Red</v>
      </c>
      <c r="AD735" t="str">
        <f t="shared" si="257"/>
        <v>Green</v>
      </c>
    </row>
    <row r="736" spans="1:30" x14ac:dyDescent="0.2">
      <c r="A736" t="str">
        <f t="shared" si="240"/>
        <v>24/07/2026Javor IvanjicaMetalac Gornji Milanovac</v>
      </c>
      <c r="D736" s="2">
        <v>46227</v>
      </c>
      <c r="E736" s="3">
        <v>0.70833333333333337</v>
      </c>
      <c r="F736" t="s">
        <v>2677</v>
      </c>
      <c r="G736" t="s">
        <v>1430</v>
      </c>
      <c r="H736">
        <v>1</v>
      </c>
      <c r="I736">
        <v>0</v>
      </c>
      <c r="J736">
        <v>1</v>
      </c>
      <c r="K736">
        <v>1</v>
      </c>
      <c r="L736" s="22" t="str">
        <f t="shared" si="258"/>
        <v>24/07/2026</v>
      </c>
      <c r="M736" s="23">
        <f t="shared" si="259"/>
        <v>0.58333333333333337</v>
      </c>
      <c r="N736" t="str">
        <f t="shared" si="241"/>
        <v>1 - 1</v>
      </c>
      <c r="O736" t="str">
        <f t="shared" si="242"/>
        <v>Red</v>
      </c>
      <c r="P736" t="str">
        <f t="shared" si="243"/>
        <v>Green</v>
      </c>
      <c r="Q736" t="str">
        <f t="shared" si="244"/>
        <v>Red</v>
      </c>
      <c r="R736" t="str">
        <f t="shared" si="245"/>
        <v>Green</v>
      </c>
      <c r="S736" t="str">
        <f t="shared" si="246"/>
        <v>Green</v>
      </c>
      <c r="T736" t="str">
        <f t="shared" si="247"/>
        <v>Red</v>
      </c>
      <c r="U736" t="str">
        <f t="shared" si="248"/>
        <v>Green</v>
      </c>
      <c r="V736" t="str">
        <f t="shared" si="249"/>
        <v>Red</v>
      </c>
      <c r="W736" t="str">
        <f t="shared" si="250"/>
        <v>Red</v>
      </c>
      <c r="X736" t="str">
        <f t="shared" si="251"/>
        <v>Green</v>
      </c>
      <c r="Y736" t="str">
        <f t="shared" si="252"/>
        <v>Green</v>
      </c>
      <c r="Z736" t="str">
        <f t="shared" si="253"/>
        <v>Red</v>
      </c>
      <c r="AA736" t="str">
        <f t="shared" si="254"/>
        <v>Green</v>
      </c>
      <c r="AB736" t="str">
        <f t="shared" si="255"/>
        <v>Green</v>
      </c>
      <c r="AC736" t="str">
        <f t="shared" si="256"/>
        <v>Green</v>
      </c>
      <c r="AD736" t="str">
        <f t="shared" si="257"/>
        <v>Red</v>
      </c>
    </row>
    <row r="737" spans="1:30" x14ac:dyDescent="0.2">
      <c r="A737" t="str">
        <f t="shared" si="240"/>
        <v>24/07/2026KufsteinPinzgau Saalfelden</v>
      </c>
      <c r="D737" s="2">
        <v>46227</v>
      </c>
      <c r="E737" s="3">
        <v>0.70833333333333337</v>
      </c>
      <c r="F737" t="s">
        <v>2678</v>
      </c>
      <c r="G737" t="s">
        <v>2679</v>
      </c>
      <c r="H737">
        <v>1</v>
      </c>
      <c r="I737">
        <v>0</v>
      </c>
      <c r="J737">
        <v>1</v>
      </c>
      <c r="K737">
        <v>1</v>
      </c>
      <c r="L737" s="22" t="str">
        <f t="shared" si="258"/>
        <v>24/07/2026</v>
      </c>
      <c r="M737" s="23">
        <f t="shared" si="259"/>
        <v>0.58333333333333337</v>
      </c>
      <c r="N737" t="str">
        <f t="shared" si="241"/>
        <v>1 - 1</v>
      </c>
      <c r="O737" t="str">
        <f t="shared" si="242"/>
        <v>Red</v>
      </c>
      <c r="P737" t="str">
        <f t="shared" si="243"/>
        <v>Green</v>
      </c>
      <c r="Q737" t="str">
        <f t="shared" si="244"/>
        <v>Red</v>
      </c>
      <c r="R737" t="str">
        <f t="shared" si="245"/>
        <v>Green</v>
      </c>
      <c r="S737" t="str">
        <f t="shared" si="246"/>
        <v>Green</v>
      </c>
      <c r="T737" t="str">
        <f t="shared" si="247"/>
        <v>Red</v>
      </c>
      <c r="U737" t="str">
        <f t="shared" si="248"/>
        <v>Green</v>
      </c>
      <c r="V737" t="str">
        <f t="shared" si="249"/>
        <v>Red</v>
      </c>
      <c r="W737" t="str">
        <f t="shared" si="250"/>
        <v>Red</v>
      </c>
      <c r="X737" t="str">
        <f t="shared" si="251"/>
        <v>Green</v>
      </c>
      <c r="Y737" t="str">
        <f t="shared" si="252"/>
        <v>Green</v>
      </c>
      <c r="Z737" t="str">
        <f t="shared" si="253"/>
        <v>Red</v>
      </c>
      <c r="AA737" t="str">
        <f t="shared" si="254"/>
        <v>Green</v>
      </c>
      <c r="AB737" t="str">
        <f t="shared" si="255"/>
        <v>Green</v>
      </c>
      <c r="AC737" t="str">
        <f t="shared" si="256"/>
        <v>Green</v>
      </c>
      <c r="AD737" t="str">
        <f t="shared" si="257"/>
        <v>Red</v>
      </c>
    </row>
    <row r="738" spans="1:30" x14ac:dyDescent="0.2">
      <c r="A738" t="str">
        <f t="shared" si="240"/>
        <v>24/07/2026Roda JCAlemannia Aachen</v>
      </c>
      <c r="D738" s="2">
        <v>46227</v>
      </c>
      <c r="E738" s="3">
        <v>0.70833333333333337</v>
      </c>
      <c r="F738" t="s">
        <v>2680</v>
      </c>
      <c r="G738" t="s">
        <v>2681</v>
      </c>
      <c r="L738" s="22" t="str">
        <f t="shared" si="258"/>
        <v>24/07/2026</v>
      </c>
      <c r="M738" s="23">
        <f t="shared" si="259"/>
        <v>0.58333333333333337</v>
      </c>
      <c r="N738" t="str">
        <f t="shared" si="241"/>
        <v xml:space="preserve"> - </v>
      </c>
      <c r="O738" t="str">
        <f t="shared" si="242"/>
        <v>Red</v>
      </c>
      <c r="P738" t="str">
        <f t="shared" si="243"/>
        <v>Green</v>
      </c>
      <c r="Q738" t="str">
        <f t="shared" si="244"/>
        <v>Red</v>
      </c>
      <c r="R738" t="str">
        <f t="shared" si="245"/>
        <v>Green</v>
      </c>
      <c r="S738" t="str">
        <f t="shared" si="246"/>
        <v>Green</v>
      </c>
      <c r="T738" t="str">
        <f t="shared" si="247"/>
        <v>Red</v>
      </c>
      <c r="U738" t="str">
        <f t="shared" si="248"/>
        <v>Red</v>
      </c>
      <c r="V738" t="str">
        <f t="shared" si="249"/>
        <v>Green</v>
      </c>
      <c r="W738" t="str">
        <f t="shared" si="250"/>
        <v>Red</v>
      </c>
      <c r="X738" t="str">
        <f t="shared" si="251"/>
        <v>Red</v>
      </c>
      <c r="Y738" t="str">
        <f t="shared" si="252"/>
        <v>Red</v>
      </c>
      <c r="Z738" t="str">
        <f t="shared" si="253"/>
        <v>Red</v>
      </c>
      <c r="AA738" t="str">
        <f t="shared" si="254"/>
        <v>Green</v>
      </c>
      <c r="AB738" t="str">
        <f t="shared" si="255"/>
        <v>Green</v>
      </c>
      <c r="AC738" t="str">
        <f t="shared" si="256"/>
        <v>Red</v>
      </c>
      <c r="AD738" t="str">
        <f t="shared" si="257"/>
        <v>Green</v>
      </c>
    </row>
    <row r="739" spans="1:30" x14ac:dyDescent="0.2">
      <c r="A739" t="str">
        <f t="shared" si="240"/>
        <v>24/07/2026Royal AntwerpOlympiacos</v>
      </c>
      <c r="D739" s="2">
        <v>46227</v>
      </c>
      <c r="E739" s="3">
        <v>0.70833333333333337</v>
      </c>
      <c r="F739" t="s">
        <v>2682</v>
      </c>
      <c r="G739" t="s">
        <v>2683</v>
      </c>
      <c r="H739">
        <v>0</v>
      </c>
      <c r="I739">
        <v>0</v>
      </c>
      <c r="J739">
        <v>3</v>
      </c>
      <c r="K739">
        <v>0</v>
      </c>
      <c r="L739" s="22" t="str">
        <f t="shared" si="258"/>
        <v>24/07/2026</v>
      </c>
      <c r="M739" s="23">
        <f t="shared" si="259"/>
        <v>0.58333333333333337</v>
      </c>
      <c r="N739" t="str">
        <f t="shared" si="241"/>
        <v>3 - 0</v>
      </c>
      <c r="O739" t="str">
        <f t="shared" si="242"/>
        <v>Green</v>
      </c>
      <c r="P739" t="str">
        <f t="shared" si="243"/>
        <v>Red</v>
      </c>
      <c r="Q739" t="str">
        <f t="shared" si="244"/>
        <v>Red</v>
      </c>
      <c r="R739" t="str">
        <f t="shared" si="245"/>
        <v>Green</v>
      </c>
      <c r="S739" t="str">
        <f t="shared" si="246"/>
        <v>Red</v>
      </c>
      <c r="T739" t="str">
        <f t="shared" si="247"/>
        <v>Green</v>
      </c>
      <c r="U739" t="str">
        <f t="shared" si="248"/>
        <v>Red</v>
      </c>
      <c r="V739" t="str">
        <f t="shared" si="249"/>
        <v>Green</v>
      </c>
      <c r="W739" t="str">
        <f t="shared" si="250"/>
        <v>Red</v>
      </c>
      <c r="X739" t="str">
        <f t="shared" si="251"/>
        <v>Red</v>
      </c>
      <c r="Y739" t="str">
        <f t="shared" si="252"/>
        <v>Green</v>
      </c>
      <c r="Z739" t="str">
        <f t="shared" si="253"/>
        <v>Green</v>
      </c>
      <c r="AA739" t="str">
        <f t="shared" si="254"/>
        <v>Red</v>
      </c>
      <c r="AB739" t="str">
        <f t="shared" si="255"/>
        <v>Green</v>
      </c>
      <c r="AC739" t="str">
        <f t="shared" si="256"/>
        <v>Red</v>
      </c>
      <c r="AD739" t="str">
        <f t="shared" si="257"/>
        <v>Green</v>
      </c>
    </row>
    <row r="740" spans="1:30" x14ac:dyDescent="0.2">
      <c r="A740" t="str">
        <f t="shared" si="240"/>
        <v>24/07/2026HT 16USC Paloma</v>
      </c>
      <c r="D740" s="2">
        <v>46227</v>
      </c>
      <c r="E740" s="3">
        <v>0.71875</v>
      </c>
      <c r="F740" t="s">
        <v>2471</v>
      </c>
      <c r="G740" t="s">
        <v>2472</v>
      </c>
      <c r="H740">
        <v>0</v>
      </c>
      <c r="I740">
        <v>2</v>
      </c>
      <c r="J740">
        <v>2</v>
      </c>
      <c r="K740">
        <v>3</v>
      </c>
      <c r="L740" s="22" t="str">
        <f t="shared" si="258"/>
        <v>24/07/2026</v>
      </c>
      <c r="M740" s="23">
        <f t="shared" si="259"/>
        <v>0.59375</v>
      </c>
      <c r="N740" t="str">
        <f t="shared" si="241"/>
        <v>2 - 3</v>
      </c>
      <c r="O740" t="str">
        <f t="shared" si="242"/>
        <v>Red</v>
      </c>
      <c r="P740" t="str">
        <f t="shared" si="243"/>
        <v>Red</v>
      </c>
      <c r="Q740" t="str">
        <f t="shared" si="244"/>
        <v>Green</v>
      </c>
      <c r="R740" t="str">
        <f t="shared" si="245"/>
        <v>Red</v>
      </c>
      <c r="S740" t="str">
        <f t="shared" si="246"/>
        <v>Green</v>
      </c>
      <c r="T740" t="str">
        <f t="shared" si="247"/>
        <v>Green</v>
      </c>
      <c r="U740" t="str">
        <f t="shared" si="248"/>
        <v>Red</v>
      </c>
      <c r="V740" t="str">
        <f t="shared" si="249"/>
        <v>Red</v>
      </c>
      <c r="W740" t="str">
        <f t="shared" si="250"/>
        <v>Green</v>
      </c>
      <c r="X740" t="str">
        <f t="shared" si="251"/>
        <v>Green</v>
      </c>
      <c r="Y740" t="str">
        <f t="shared" si="252"/>
        <v>Green</v>
      </c>
      <c r="Z740" t="str">
        <f t="shared" si="253"/>
        <v>Green</v>
      </c>
      <c r="AA740" t="str">
        <f t="shared" si="254"/>
        <v>Red</v>
      </c>
      <c r="AB740" t="str">
        <f t="shared" si="255"/>
        <v>Red</v>
      </c>
      <c r="AC740" t="str">
        <f t="shared" si="256"/>
        <v>Green</v>
      </c>
      <c r="AD740" t="str">
        <f t="shared" si="257"/>
        <v>Red</v>
      </c>
    </row>
    <row r="741" spans="1:30" x14ac:dyDescent="0.2">
      <c r="A741" t="str">
        <f t="shared" si="240"/>
        <v>24/07/2026TuS KoblenzVfB Giessen</v>
      </c>
      <c r="D741" s="2">
        <v>46227</v>
      </c>
      <c r="E741" s="3">
        <v>0.71875</v>
      </c>
      <c r="F741" t="s">
        <v>2684</v>
      </c>
      <c r="G741" t="s">
        <v>2685</v>
      </c>
      <c r="H741">
        <v>2</v>
      </c>
      <c r="I741">
        <v>0</v>
      </c>
      <c r="J741">
        <v>2</v>
      </c>
      <c r="K741">
        <v>1</v>
      </c>
      <c r="L741" s="22" t="str">
        <f t="shared" si="258"/>
        <v>24/07/2026</v>
      </c>
      <c r="M741" s="23">
        <f t="shared" si="259"/>
        <v>0.59375</v>
      </c>
      <c r="N741" t="str">
        <f t="shared" si="241"/>
        <v>2 - 1</v>
      </c>
      <c r="O741" t="str">
        <f t="shared" si="242"/>
        <v>Green</v>
      </c>
      <c r="P741" t="str">
        <f t="shared" si="243"/>
        <v>Red</v>
      </c>
      <c r="Q741" t="str">
        <f t="shared" si="244"/>
        <v>Red</v>
      </c>
      <c r="R741" t="str">
        <f t="shared" si="245"/>
        <v>Green</v>
      </c>
      <c r="S741" t="str">
        <f t="shared" si="246"/>
        <v>Red</v>
      </c>
      <c r="T741" t="str">
        <f t="shared" si="247"/>
        <v>Green</v>
      </c>
      <c r="U741" t="str">
        <f t="shared" si="248"/>
        <v>Green</v>
      </c>
      <c r="V741" t="str">
        <f t="shared" si="249"/>
        <v>Red</v>
      </c>
      <c r="W741" t="str">
        <f t="shared" si="250"/>
        <v>Red</v>
      </c>
      <c r="X741" t="str">
        <f t="shared" si="251"/>
        <v>Green</v>
      </c>
      <c r="Y741" t="str">
        <f t="shared" si="252"/>
        <v>Green</v>
      </c>
      <c r="Z741" t="str">
        <f t="shared" si="253"/>
        <v>Green</v>
      </c>
      <c r="AA741" t="str">
        <f t="shared" si="254"/>
        <v>Red</v>
      </c>
      <c r="AB741" t="str">
        <f t="shared" si="255"/>
        <v>Green</v>
      </c>
      <c r="AC741" t="str">
        <f t="shared" si="256"/>
        <v>Green</v>
      </c>
      <c r="AD741" t="str">
        <f t="shared" si="257"/>
        <v>Red</v>
      </c>
    </row>
    <row r="742" spans="1:30" x14ac:dyDescent="0.2">
      <c r="A742" t="str">
        <f t="shared" si="240"/>
        <v>24/07/2026Vanersborgs FKIK Kongahalla</v>
      </c>
      <c r="D742" s="2">
        <v>46227</v>
      </c>
      <c r="E742" s="3">
        <v>0.71875</v>
      </c>
      <c r="F742" t="s">
        <v>2686</v>
      </c>
      <c r="G742" t="s">
        <v>2687</v>
      </c>
      <c r="H742">
        <v>1</v>
      </c>
      <c r="I742">
        <v>1</v>
      </c>
      <c r="J742">
        <v>1</v>
      </c>
      <c r="K742">
        <v>2</v>
      </c>
      <c r="L742" s="22" t="str">
        <f t="shared" si="258"/>
        <v>24/07/2026</v>
      </c>
      <c r="M742" s="23">
        <f t="shared" si="259"/>
        <v>0.59375</v>
      </c>
      <c r="N742" t="str">
        <f t="shared" si="241"/>
        <v>1 - 2</v>
      </c>
      <c r="O742" t="str">
        <f t="shared" si="242"/>
        <v>Red</v>
      </c>
      <c r="P742" t="str">
        <f t="shared" si="243"/>
        <v>Red</v>
      </c>
      <c r="Q742" t="str">
        <f t="shared" si="244"/>
        <v>Green</v>
      </c>
      <c r="R742" t="str">
        <f t="shared" si="245"/>
        <v>Red</v>
      </c>
      <c r="S742" t="str">
        <f t="shared" si="246"/>
        <v>Green</v>
      </c>
      <c r="T742" t="str">
        <f t="shared" si="247"/>
        <v>Green</v>
      </c>
      <c r="U742" t="str">
        <f t="shared" si="248"/>
        <v>Red</v>
      </c>
      <c r="V742" t="str">
        <f t="shared" si="249"/>
        <v>Green</v>
      </c>
      <c r="W742" t="str">
        <f t="shared" si="250"/>
        <v>Red</v>
      </c>
      <c r="X742" t="str">
        <f t="shared" si="251"/>
        <v>Green</v>
      </c>
      <c r="Y742" t="str">
        <f t="shared" si="252"/>
        <v>Green</v>
      </c>
      <c r="Z742" t="str">
        <f t="shared" si="253"/>
        <v>Green</v>
      </c>
      <c r="AA742" t="str">
        <f t="shared" si="254"/>
        <v>Red</v>
      </c>
      <c r="AB742" t="str">
        <f t="shared" si="255"/>
        <v>Green</v>
      </c>
      <c r="AC742" t="str">
        <f t="shared" si="256"/>
        <v>Green</v>
      </c>
      <c r="AD742" t="str">
        <f t="shared" si="257"/>
        <v>Red</v>
      </c>
    </row>
    <row r="743" spans="1:30" x14ac:dyDescent="0.2">
      <c r="A743" t="str">
        <f t="shared" si="240"/>
        <v>24/07/2026DSV LeobenVoitsberg</v>
      </c>
      <c r="B743" t="s">
        <v>2326</v>
      </c>
      <c r="C743" t="s">
        <v>2327</v>
      </c>
      <c r="D743" s="2">
        <v>46227</v>
      </c>
      <c r="E743" s="3">
        <v>0.72916666666666663</v>
      </c>
      <c r="F743" t="s">
        <v>2340</v>
      </c>
      <c r="G743" t="s">
        <v>2341</v>
      </c>
      <c r="H743">
        <v>0</v>
      </c>
      <c r="I743">
        <v>5</v>
      </c>
      <c r="J743">
        <v>0</v>
      </c>
      <c r="K743">
        <v>6</v>
      </c>
      <c r="L743" s="22" t="str">
        <f t="shared" si="258"/>
        <v>24/07/2026</v>
      </c>
      <c r="M743" s="23">
        <f t="shared" si="259"/>
        <v>0.60416666666666663</v>
      </c>
      <c r="N743" t="str">
        <f t="shared" si="241"/>
        <v>0 - 6</v>
      </c>
      <c r="O743" t="str">
        <f t="shared" si="242"/>
        <v>Red</v>
      </c>
      <c r="P743" t="str">
        <f t="shared" si="243"/>
        <v>Red</v>
      </c>
      <c r="Q743" t="str">
        <f t="shared" si="244"/>
        <v>Green</v>
      </c>
      <c r="R743" t="str">
        <f t="shared" si="245"/>
        <v>Red</v>
      </c>
      <c r="S743" t="str">
        <f t="shared" si="246"/>
        <v>Green</v>
      </c>
      <c r="T743" t="str">
        <f t="shared" si="247"/>
        <v>Green</v>
      </c>
      <c r="U743" t="str">
        <f t="shared" si="248"/>
        <v>Red</v>
      </c>
      <c r="V743" t="str">
        <f t="shared" si="249"/>
        <v>Red</v>
      </c>
      <c r="W743" t="str">
        <f t="shared" si="250"/>
        <v>Green</v>
      </c>
      <c r="X743" t="str">
        <f t="shared" si="251"/>
        <v>Green</v>
      </c>
      <c r="Y743" t="str">
        <f t="shared" si="252"/>
        <v>Green</v>
      </c>
      <c r="Z743" t="str">
        <f t="shared" si="253"/>
        <v>Green</v>
      </c>
      <c r="AA743" t="str">
        <f t="shared" si="254"/>
        <v>Red</v>
      </c>
      <c r="AB743" t="str">
        <f t="shared" si="255"/>
        <v>Red</v>
      </c>
      <c r="AC743" t="str">
        <f t="shared" si="256"/>
        <v>Red</v>
      </c>
      <c r="AD743" t="str">
        <f t="shared" si="257"/>
        <v>Green</v>
      </c>
    </row>
    <row r="744" spans="1:30" x14ac:dyDescent="0.2">
      <c r="A744" t="str">
        <f t="shared" si="240"/>
        <v>24/07/2026FCM TraiskirchenSVG Bleiburg</v>
      </c>
      <c r="B744" t="s">
        <v>2326</v>
      </c>
      <c r="C744" t="s">
        <v>2327</v>
      </c>
      <c r="D744" s="2">
        <v>46227</v>
      </c>
      <c r="E744" s="3">
        <v>0.72916666666666663</v>
      </c>
      <c r="F744" t="s">
        <v>2342</v>
      </c>
      <c r="G744" t="s">
        <v>2343</v>
      </c>
      <c r="H744">
        <v>1</v>
      </c>
      <c r="I744">
        <v>0</v>
      </c>
      <c r="J744">
        <v>4</v>
      </c>
      <c r="K744">
        <v>0</v>
      </c>
      <c r="L744" s="22" t="str">
        <f t="shared" si="258"/>
        <v>24/07/2026</v>
      </c>
      <c r="M744" s="23">
        <f t="shared" si="259"/>
        <v>0.60416666666666663</v>
      </c>
      <c r="N744" t="str">
        <f t="shared" si="241"/>
        <v>4 - 0</v>
      </c>
      <c r="O744" t="str">
        <f t="shared" si="242"/>
        <v>Green</v>
      </c>
      <c r="P744" t="str">
        <f t="shared" si="243"/>
        <v>Red</v>
      </c>
      <c r="Q744" t="str">
        <f t="shared" si="244"/>
        <v>Red</v>
      </c>
      <c r="R744" t="str">
        <f t="shared" si="245"/>
        <v>Green</v>
      </c>
      <c r="S744" t="str">
        <f t="shared" si="246"/>
        <v>Red</v>
      </c>
      <c r="T744" t="str">
        <f t="shared" si="247"/>
        <v>Green</v>
      </c>
      <c r="U744" t="str">
        <f t="shared" si="248"/>
        <v>Green</v>
      </c>
      <c r="V744" t="str">
        <f t="shared" si="249"/>
        <v>Red</v>
      </c>
      <c r="W744" t="str">
        <f t="shared" si="250"/>
        <v>Red</v>
      </c>
      <c r="X744" t="str">
        <f t="shared" si="251"/>
        <v>Green</v>
      </c>
      <c r="Y744" t="str">
        <f t="shared" si="252"/>
        <v>Green</v>
      </c>
      <c r="Z744" t="str">
        <f t="shared" si="253"/>
        <v>Green</v>
      </c>
      <c r="AA744" t="str">
        <f t="shared" si="254"/>
        <v>Red</v>
      </c>
      <c r="AB744" t="str">
        <f t="shared" si="255"/>
        <v>Red</v>
      </c>
      <c r="AC744" t="str">
        <f t="shared" si="256"/>
        <v>Red</v>
      </c>
      <c r="AD744" t="str">
        <f t="shared" si="257"/>
        <v>Green</v>
      </c>
    </row>
    <row r="745" spans="1:30" x14ac:dyDescent="0.2">
      <c r="A745" t="str">
        <f t="shared" si="240"/>
        <v>24/07/2026SU TillmitschSt Polten</v>
      </c>
      <c r="B745" t="s">
        <v>2326</v>
      </c>
      <c r="C745" t="s">
        <v>2327</v>
      </c>
      <c r="D745" s="2">
        <v>46227</v>
      </c>
      <c r="E745" s="3">
        <v>0.72916666666666663</v>
      </c>
      <c r="F745" t="s">
        <v>2344</v>
      </c>
      <c r="G745" t="s">
        <v>2345</v>
      </c>
      <c r="H745">
        <v>0</v>
      </c>
      <c r="I745">
        <v>0</v>
      </c>
      <c r="J745">
        <v>1</v>
      </c>
      <c r="K745">
        <v>2</v>
      </c>
      <c r="L745" s="22" t="str">
        <f t="shared" si="258"/>
        <v>24/07/2026</v>
      </c>
      <c r="M745" s="23">
        <f t="shared" si="259"/>
        <v>0.60416666666666663</v>
      </c>
      <c r="N745" t="str">
        <f t="shared" si="241"/>
        <v>1 - 2</v>
      </c>
      <c r="O745" t="str">
        <f t="shared" si="242"/>
        <v>Red</v>
      </c>
      <c r="P745" t="str">
        <f t="shared" si="243"/>
        <v>Red</v>
      </c>
      <c r="Q745" t="str">
        <f t="shared" si="244"/>
        <v>Green</v>
      </c>
      <c r="R745" t="str">
        <f t="shared" si="245"/>
        <v>Red</v>
      </c>
      <c r="S745" t="str">
        <f t="shared" si="246"/>
        <v>Green</v>
      </c>
      <c r="T745" t="str">
        <f t="shared" si="247"/>
        <v>Green</v>
      </c>
      <c r="U745" t="str">
        <f t="shared" si="248"/>
        <v>Red</v>
      </c>
      <c r="V745" t="str">
        <f t="shared" si="249"/>
        <v>Green</v>
      </c>
      <c r="W745" t="str">
        <f t="shared" si="250"/>
        <v>Red</v>
      </c>
      <c r="X745" t="str">
        <f t="shared" si="251"/>
        <v>Red</v>
      </c>
      <c r="Y745" t="str">
        <f t="shared" si="252"/>
        <v>Green</v>
      </c>
      <c r="Z745" t="str">
        <f t="shared" si="253"/>
        <v>Green</v>
      </c>
      <c r="AA745" t="str">
        <f t="shared" si="254"/>
        <v>Red</v>
      </c>
      <c r="AB745" t="str">
        <f t="shared" si="255"/>
        <v>Green</v>
      </c>
      <c r="AC745" t="str">
        <f t="shared" si="256"/>
        <v>Green</v>
      </c>
      <c r="AD745" t="str">
        <f t="shared" si="257"/>
        <v>Red</v>
      </c>
    </row>
    <row r="746" spans="1:30" x14ac:dyDescent="0.2">
      <c r="A746" t="str">
        <f t="shared" si="240"/>
        <v>24/07/2026SV HornFAC Team fur Wien</v>
      </c>
      <c r="B746" t="s">
        <v>2326</v>
      </c>
      <c r="C746" t="s">
        <v>2327</v>
      </c>
      <c r="D746" s="2">
        <v>46227</v>
      </c>
      <c r="E746" s="3">
        <v>0.72916666666666663</v>
      </c>
      <c r="F746" t="s">
        <v>2346</v>
      </c>
      <c r="G746" t="s">
        <v>2347</v>
      </c>
      <c r="H746">
        <v>0</v>
      </c>
      <c r="I746">
        <v>0</v>
      </c>
      <c r="J746">
        <v>1</v>
      </c>
      <c r="K746">
        <v>1</v>
      </c>
      <c r="L746" s="22" t="str">
        <f t="shared" si="258"/>
        <v>24/07/2026</v>
      </c>
      <c r="M746" s="23">
        <f t="shared" si="259"/>
        <v>0.60416666666666663</v>
      </c>
      <c r="N746" t="str">
        <f t="shared" si="241"/>
        <v>1 - 1</v>
      </c>
      <c r="O746" t="str">
        <f t="shared" si="242"/>
        <v>Red</v>
      </c>
      <c r="P746" t="str">
        <f t="shared" si="243"/>
        <v>Green</v>
      </c>
      <c r="Q746" t="str">
        <f t="shared" si="244"/>
        <v>Red</v>
      </c>
      <c r="R746" t="str">
        <f t="shared" si="245"/>
        <v>Green</v>
      </c>
      <c r="S746" t="str">
        <f t="shared" si="246"/>
        <v>Green</v>
      </c>
      <c r="T746" t="str">
        <f t="shared" si="247"/>
        <v>Red</v>
      </c>
      <c r="U746" t="str">
        <f t="shared" si="248"/>
        <v>Red</v>
      </c>
      <c r="V746" t="str">
        <f t="shared" si="249"/>
        <v>Green</v>
      </c>
      <c r="W746" t="str">
        <f t="shared" si="250"/>
        <v>Red</v>
      </c>
      <c r="X746" t="str">
        <f t="shared" si="251"/>
        <v>Red</v>
      </c>
      <c r="Y746" t="str">
        <f t="shared" si="252"/>
        <v>Green</v>
      </c>
      <c r="Z746" t="str">
        <f t="shared" si="253"/>
        <v>Red</v>
      </c>
      <c r="AA746" t="str">
        <f t="shared" si="254"/>
        <v>Green</v>
      </c>
      <c r="AB746" t="str">
        <f t="shared" si="255"/>
        <v>Green</v>
      </c>
      <c r="AC746" t="str">
        <f t="shared" si="256"/>
        <v>Green</v>
      </c>
      <c r="AD746" t="str">
        <f t="shared" si="257"/>
        <v>Red</v>
      </c>
    </row>
    <row r="747" spans="1:30" x14ac:dyDescent="0.2">
      <c r="A747" t="str">
        <f t="shared" si="240"/>
        <v>24/07/2026Union GurtenBlau Weiss Linz</v>
      </c>
      <c r="B747" t="s">
        <v>2326</v>
      </c>
      <c r="C747" t="s">
        <v>2327</v>
      </c>
      <c r="D747" s="2">
        <v>46227</v>
      </c>
      <c r="E747" s="3">
        <v>0.72916666666666663</v>
      </c>
      <c r="F747" t="s">
        <v>2348</v>
      </c>
      <c r="G747" t="s">
        <v>2349</v>
      </c>
      <c r="H747">
        <v>1</v>
      </c>
      <c r="I747">
        <v>0</v>
      </c>
      <c r="J747">
        <v>1</v>
      </c>
      <c r="K747">
        <v>3</v>
      </c>
      <c r="L747" s="22" t="str">
        <f t="shared" si="258"/>
        <v>24/07/2026</v>
      </c>
      <c r="M747" s="23">
        <f t="shared" si="259"/>
        <v>0.60416666666666663</v>
      </c>
      <c r="N747" t="str">
        <f t="shared" si="241"/>
        <v>1 - 3</v>
      </c>
      <c r="O747" t="str">
        <f t="shared" si="242"/>
        <v>Red</v>
      </c>
      <c r="P747" t="str">
        <f t="shared" si="243"/>
        <v>Red</v>
      </c>
      <c r="Q747" t="str">
        <f t="shared" si="244"/>
        <v>Green</v>
      </c>
      <c r="R747" t="str">
        <f t="shared" si="245"/>
        <v>Red</v>
      </c>
      <c r="S747" t="str">
        <f t="shared" si="246"/>
        <v>Green</v>
      </c>
      <c r="T747" t="str">
        <f t="shared" si="247"/>
        <v>Green</v>
      </c>
      <c r="U747" t="str">
        <f t="shared" si="248"/>
        <v>Green</v>
      </c>
      <c r="V747" t="str">
        <f t="shared" si="249"/>
        <v>Red</v>
      </c>
      <c r="W747" t="str">
        <f t="shared" si="250"/>
        <v>Red</v>
      </c>
      <c r="X747" t="str">
        <f t="shared" si="251"/>
        <v>Green</v>
      </c>
      <c r="Y747" t="str">
        <f t="shared" si="252"/>
        <v>Green</v>
      </c>
      <c r="Z747" t="str">
        <f t="shared" si="253"/>
        <v>Green</v>
      </c>
      <c r="AA747" t="str">
        <f t="shared" si="254"/>
        <v>Red</v>
      </c>
      <c r="AB747" t="str">
        <f t="shared" si="255"/>
        <v>Red</v>
      </c>
      <c r="AC747" t="str">
        <f t="shared" si="256"/>
        <v>Green</v>
      </c>
      <c r="AD747" t="str">
        <f t="shared" si="257"/>
        <v>Red</v>
      </c>
    </row>
    <row r="748" spans="1:30" x14ac:dyDescent="0.2">
      <c r="A748" t="str">
        <f t="shared" si="240"/>
        <v>24/07/2026FC Rapperswil-JonaFC Wil 1900</v>
      </c>
      <c r="D748" s="2">
        <v>46227</v>
      </c>
      <c r="E748" s="3">
        <v>0.72916666666666663</v>
      </c>
      <c r="F748" t="s">
        <v>2600</v>
      </c>
      <c r="G748" t="s">
        <v>2601</v>
      </c>
      <c r="H748">
        <v>2</v>
      </c>
      <c r="I748">
        <v>3</v>
      </c>
      <c r="J748">
        <v>4</v>
      </c>
      <c r="K748">
        <v>5</v>
      </c>
      <c r="L748" s="22" t="str">
        <f t="shared" si="258"/>
        <v>24/07/2026</v>
      </c>
      <c r="M748" s="23">
        <f t="shared" si="259"/>
        <v>0.60416666666666663</v>
      </c>
      <c r="N748" t="str">
        <f t="shared" si="241"/>
        <v>4 - 5</v>
      </c>
      <c r="O748" t="str">
        <f t="shared" si="242"/>
        <v>Red</v>
      </c>
      <c r="P748" t="str">
        <f t="shared" si="243"/>
        <v>Red</v>
      </c>
      <c r="Q748" t="str">
        <f t="shared" si="244"/>
        <v>Green</v>
      </c>
      <c r="R748" t="str">
        <f t="shared" si="245"/>
        <v>Red</v>
      </c>
      <c r="S748" t="str">
        <f t="shared" si="246"/>
        <v>Green</v>
      </c>
      <c r="T748" t="str">
        <f t="shared" si="247"/>
        <v>Green</v>
      </c>
      <c r="U748" t="str">
        <f t="shared" si="248"/>
        <v>Red</v>
      </c>
      <c r="V748" t="str">
        <f t="shared" si="249"/>
        <v>Red</v>
      </c>
      <c r="W748" t="str">
        <f t="shared" si="250"/>
        <v>Green</v>
      </c>
      <c r="X748" t="str">
        <f t="shared" si="251"/>
        <v>Green</v>
      </c>
      <c r="Y748" t="str">
        <f t="shared" si="252"/>
        <v>Green</v>
      </c>
      <c r="Z748" t="str">
        <f t="shared" si="253"/>
        <v>Green</v>
      </c>
      <c r="AA748" t="str">
        <f t="shared" si="254"/>
        <v>Red</v>
      </c>
      <c r="AB748" t="str">
        <f t="shared" si="255"/>
        <v>Red</v>
      </c>
      <c r="AC748" t="str">
        <f t="shared" si="256"/>
        <v>Green</v>
      </c>
      <c r="AD748" t="str">
        <f t="shared" si="257"/>
        <v>Red</v>
      </c>
    </row>
    <row r="749" spans="1:30" x14ac:dyDescent="0.2">
      <c r="A749" t="str">
        <f t="shared" si="240"/>
        <v>24/07/2026Neuchatel XamaxSC Kriens</v>
      </c>
      <c r="D749" s="2">
        <v>46227</v>
      </c>
      <c r="E749" s="3">
        <v>0.72916666666666663</v>
      </c>
      <c r="F749" t="s">
        <v>2602</v>
      </c>
      <c r="G749" t="s">
        <v>2603</v>
      </c>
      <c r="H749">
        <v>3</v>
      </c>
      <c r="I749">
        <v>1</v>
      </c>
      <c r="J749">
        <v>3</v>
      </c>
      <c r="K749">
        <v>2</v>
      </c>
      <c r="L749" s="22" t="str">
        <f t="shared" si="258"/>
        <v>24/07/2026</v>
      </c>
      <c r="M749" s="23">
        <f t="shared" si="259"/>
        <v>0.60416666666666663</v>
      </c>
      <c r="N749" t="str">
        <f t="shared" si="241"/>
        <v>3 - 2</v>
      </c>
      <c r="O749" t="str">
        <f t="shared" si="242"/>
        <v>Green</v>
      </c>
      <c r="P749" t="str">
        <f t="shared" si="243"/>
        <v>Red</v>
      </c>
      <c r="Q749" t="str">
        <f t="shared" si="244"/>
        <v>Red</v>
      </c>
      <c r="R749" t="str">
        <f t="shared" si="245"/>
        <v>Green</v>
      </c>
      <c r="S749" t="str">
        <f t="shared" si="246"/>
        <v>Red</v>
      </c>
      <c r="T749" t="str">
        <f t="shared" si="247"/>
        <v>Green</v>
      </c>
      <c r="U749" t="str">
        <f t="shared" si="248"/>
        <v>Green</v>
      </c>
      <c r="V749" t="str">
        <f t="shared" si="249"/>
        <v>Red</v>
      </c>
      <c r="W749" t="str">
        <f t="shared" si="250"/>
        <v>Red</v>
      </c>
      <c r="X749" t="str">
        <f t="shared" si="251"/>
        <v>Green</v>
      </c>
      <c r="Y749" t="str">
        <f t="shared" si="252"/>
        <v>Green</v>
      </c>
      <c r="Z749" t="str">
        <f t="shared" si="253"/>
        <v>Green</v>
      </c>
      <c r="AA749" t="str">
        <f t="shared" si="254"/>
        <v>Red</v>
      </c>
      <c r="AB749" t="str">
        <f t="shared" si="255"/>
        <v>Red</v>
      </c>
      <c r="AC749" t="str">
        <f t="shared" si="256"/>
        <v>Green</v>
      </c>
      <c r="AD749" t="str">
        <f t="shared" si="257"/>
        <v>Red</v>
      </c>
    </row>
    <row r="750" spans="1:30" x14ac:dyDescent="0.2">
      <c r="A750" t="str">
        <f t="shared" si="240"/>
        <v>24/07/2026Stade Lausanne-OuchyStade Nyonnais</v>
      </c>
      <c r="D750" s="2">
        <v>46227</v>
      </c>
      <c r="E750" s="3">
        <v>0.72916666666666663</v>
      </c>
      <c r="F750" t="s">
        <v>2604</v>
      </c>
      <c r="G750" t="s">
        <v>2605</v>
      </c>
      <c r="H750">
        <v>1</v>
      </c>
      <c r="I750">
        <v>0</v>
      </c>
      <c r="J750">
        <v>2</v>
      </c>
      <c r="K750">
        <v>0</v>
      </c>
      <c r="L750" s="22" t="str">
        <f t="shared" si="258"/>
        <v>24/07/2026</v>
      </c>
      <c r="M750" s="23">
        <f t="shared" si="259"/>
        <v>0.60416666666666663</v>
      </c>
      <c r="N750" t="str">
        <f t="shared" si="241"/>
        <v>2 - 0</v>
      </c>
      <c r="O750" t="str">
        <f t="shared" si="242"/>
        <v>Green</v>
      </c>
      <c r="P750" t="str">
        <f t="shared" si="243"/>
        <v>Red</v>
      </c>
      <c r="Q750" t="str">
        <f t="shared" si="244"/>
        <v>Red</v>
      </c>
      <c r="R750" t="str">
        <f t="shared" si="245"/>
        <v>Green</v>
      </c>
      <c r="S750" t="str">
        <f t="shared" si="246"/>
        <v>Red</v>
      </c>
      <c r="T750" t="str">
        <f t="shared" si="247"/>
        <v>Green</v>
      </c>
      <c r="U750" t="str">
        <f t="shared" si="248"/>
        <v>Green</v>
      </c>
      <c r="V750" t="str">
        <f t="shared" si="249"/>
        <v>Red</v>
      </c>
      <c r="W750" t="str">
        <f t="shared" si="250"/>
        <v>Red</v>
      </c>
      <c r="X750" t="str">
        <f t="shared" si="251"/>
        <v>Green</v>
      </c>
      <c r="Y750" t="str">
        <f t="shared" si="252"/>
        <v>Green</v>
      </c>
      <c r="Z750" t="str">
        <f t="shared" si="253"/>
        <v>Red</v>
      </c>
      <c r="AA750" t="str">
        <f t="shared" si="254"/>
        <v>Green</v>
      </c>
      <c r="AB750" t="str">
        <f t="shared" si="255"/>
        <v>Green</v>
      </c>
      <c r="AC750" t="str">
        <f t="shared" si="256"/>
        <v>Red</v>
      </c>
      <c r="AD750" t="str">
        <f t="shared" si="257"/>
        <v>Green</v>
      </c>
    </row>
    <row r="751" spans="1:30" x14ac:dyDescent="0.2">
      <c r="A751" t="str">
        <f t="shared" si="240"/>
        <v>24/07/2026Colchester United West Ham U21</v>
      </c>
      <c r="D751" s="2">
        <v>46227</v>
      </c>
      <c r="E751" s="3">
        <v>0.72916666666666663</v>
      </c>
      <c r="F751" t="s">
        <v>1534</v>
      </c>
      <c r="G751" t="s">
        <v>1474</v>
      </c>
      <c r="H751">
        <v>0</v>
      </c>
      <c r="I751">
        <v>1</v>
      </c>
      <c r="J751">
        <v>2</v>
      </c>
      <c r="K751">
        <v>2</v>
      </c>
      <c r="L751" s="22" t="str">
        <f t="shared" si="258"/>
        <v>24/07/2026</v>
      </c>
      <c r="M751" s="23">
        <f t="shared" si="259"/>
        <v>0.60416666666666663</v>
      </c>
      <c r="N751" t="str">
        <f t="shared" si="241"/>
        <v>2 - 2</v>
      </c>
      <c r="O751" t="str">
        <f t="shared" si="242"/>
        <v>Red</v>
      </c>
      <c r="P751" t="str">
        <f t="shared" si="243"/>
        <v>Green</v>
      </c>
      <c r="Q751" t="str">
        <f t="shared" si="244"/>
        <v>Red</v>
      </c>
      <c r="R751" t="str">
        <f t="shared" si="245"/>
        <v>Green</v>
      </c>
      <c r="S751" t="str">
        <f t="shared" si="246"/>
        <v>Green</v>
      </c>
      <c r="T751" t="str">
        <f t="shared" si="247"/>
        <v>Red</v>
      </c>
      <c r="U751" t="str">
        <f t="shared" si="248"/>
        <v>Red</v>
      </c>
      <c r="V751" t="str">
        <f t="shared" si="249"/>
        <v>Red</v>
      </c>
      <c r="W751" t="str">
        <f t="shared" si="250"/>
        <v>Green</v>
      </c>
      <c r="X751" t="str">
        <f t="shared" si="251"/>
        <v>Green</v>
      </c>
      <c r="Y751" t="str">
        <f t="shared" si="252"/>
        <v>Green</v>
      </c>
      <c r="Z751" t="str">
        <f t="shared" si="253"/>
        <v>Green</v>
      </c>
      <c r="AA751" t="str">
        <f t="shared" si="254"/>
        <v>Red</v>
      </c>
      <c r="AB751" t="str">
        <f t="shared" si="255"/>
        <v>Red</v>
      </c>
      <c r="AC751" t="str">
        <f t="shared" si="256"/>
        <v>Green</v>
      </c>
      <c r="AD751" t="str">
        <f t="shared" si="257"/>
        <v>Red</v>
      </c>
    </row>
    <row r="752" spans="1:30" x14ac:dyDescent="0.2">
      <c r="A752" t="str">
        <f t="shared" si="240"/>
        <v>24/07/2026OsasunaRacing Santander</v>
      </c>
      <c r="D752" s="2">
        <v>46227</v>
      </c>
      <c r="E752" s="3">
        <v>0.72916666666666663</v>
      </c>
      <c r="F752" t="s">
        <v>2688</v>
      </c>
      <c r="G752" t="s">
        <v>2689</v>
      </c>
      <c r="H752">
        <v>0</v>
      </c>
      <c r="I752">
        <v>0</v>
      </c>
      <c r="J752">
        <v>2</v>
      </c>
      <c r="K752">
        <v>0</v>
      </c>
      <c r="L752" s="22" t="str">
        <f t="shared" si="258"/>
        <v>24/07/2026</v>
      </c>
      <c r="M752" s="23">
        <f t="shared" si="259"/>
        <v>0.60416666666666663</v>
      </c>
      <c r="N752" t="str">
        <f t="shared" si="241"/>
        <v>2 - 0</v>
      </c>
      <c r="O752" t="str">
        <f t="shared" si="242"/>
        <v>Green</v>
      </c>
      <c r="P752" t="str">
        <f t="shared" si="243"/>
        <v>Red</v>
      </c>
      <c r="Q752" t="str">
        <f t="shared" si="244"/>
        <v>Red</v>
      </c>
      <c r="R752" t="str">
        <f t="shared" si="245"/>
        <v>Green</v>
      </c>
      <c r="S752" t="str">
        <f t="shared" si="246"/>
        <v>Red</v>
      </c>
      <c r="T752" t="str">
        <f t="shared" si="247"/>
        <v>Green</v>
      </c>
      <c r="U752" t="str">
        <f t="shared" si="248"/>
        <v>Red</v>
      </c>
      <c r="V752" t="str">
        <f t="shared" si="249"/>
        <v>Green</v>
      </c>
      <c r="W752" t="str">
        <f t="shared" si="250"/>
        <v>Red</v>
      </c>
      <c r="X752" t="str">
        <f t="shared" si="251"/>
        <v>Red</v>
      </c>
      <c r="Y752" t="str">
        <f t="shared" si="252"/>
        <v>Green</v>
      </c>
      <c r="Z752" t="str">
        <f t="shared" si="253"/>
        <v>Red</v>
      </c>
      <c r="AA752" t="str">
        <f t="shared" si="254"/>
        <v>Green</v>
      </c>
      <c r="AB752" t="str">
        <f t="shared" si="255"/>
        <v>Green</v>
      </c>
      <c r="AC752" t="str">
        <f t="shared" si="256"/>
        <v>Red</v>
      </c>
      <c r="AD752" t="str">
        <f t="shared" si="257"/>
        <v>Green</v>
      </c>
    </row>
    <row r="753" spans="1:30" x14ac:dyDescent="0.2">
      <c r="A753" t="str">
        <f t="shared" si="240"/>
        <v>24/07/2026Kimberley Mar del PlataClub Circulo Deportivo</v>
      </c>
      <c r="B753" t="s">
        <v>806</v>
      </c>
      <c r="C753" t="s">
        <v>2238</v>
      </c>
      <c r="D753" s="2">
        <v>46227</v>
      </c>
      <c r="E753" s="3">
        <v>0.75</v>
      </c>
      <c r="F753" t="s">
        <v>2239</v>
      </c>
      <c r="G753" t="s">
        <v>2240</v>
      </c>
      <c r="H753">
        <v>0</v>
      </c>
      <c r="I753">
        <v>0</v>
      </c>
      <c r="J753">
        <v>1</v>
      </c>
      <c r="K753">
        <v>1</v>
      </c>
      <c r="L753" s="22" t="str">
        <f t="shared" si="258"/>
        <v>24/07/2026</v>
      </c>
      <c r="M753" s="23">
        <f t="shared" si="259"/>
        <v>0.625</v>
      </c>
      <c r="N753" t="str">
        <f t="shared" si="241"/>
        <v>1 - 1</v>
      </c>
      <c r="O753" t="str">
        <f t="shared" si="242"/>
        <v>Red</v>
      </c>
      <c r="P753" t="str">
        <f t="shared" si="243"/>
        <v>Green</v>
      </c>
      <c r="Q753" t="str">
        <f t="shared" si="244"/>
        <v>Red</v>
      </c>
      <c r="R753" t="str">
        <f t="shared" si="245"/>
        <v>Green</v>
      </c>
      <c r="S753" t="str">
        <f t="shared" si="246"/>
        <v>Green</v>
      </c>
      <c r="T753" t="str">
        <f t="shared" si="247"/>
        <v>Red</v>
      </c>
      <c r="U753" t="str">
        <f t="shared" si="248"/>
        <v>Red</v>
      </c>
      <c r="V753" t="str">
        <f t="shared" si="249"/>
        <v>Green</v>
      </c>
      <c r="W753" t="str">
        <f t="shared" si="250"/>
        <v>Red</v>
      </c>
      <c r="X753" t="str">
        <f t="shared" si="251"/>
        <v>Red</v>
      </c>
      <c r="Y753" t="str">
        <f t="shared" si="252"/>
        <v>Green</v>
      </c>
      <c r="Z753" t="str">
        <f t="shared" si="253"/>
        <v>Red</v>
      </c>
      <c r="AA753" t="str">
        <f t="shared" si="254"/>
        <v>Green</v>
      </c>
      <c r="AB753" t="str">
        <f t="shared" si="255"/>
        <v>Green</v>
      </c>
      <c r="AC753" t="str">
        <f t="shared" si="256"/>
        <v>Green</v>
      </c>
      <c r="AD753" t="str">
        <f t="shared" si="257"/>
        <v>Red</v>
      </c>
    </row>
    <row r="754" spans="1:30" x14ac:dyDescent="0.2">
      <c r="A754" t="str">
        <f t="shared" si="240"/>
        <v>24/07/2026Ponte Preta U20Suzano SP U20</v>
      </c>
      <c r="D754" s="2">
        <v>46227</v>
      </c>
      <c r="E754" s="3">
        <v>0.75</v>
      </c>
      <c r="F754" t="s">
        <v>2364</v>
      </c>
      <c r="G754" t="s">
        <v>2365</v>
      </c>
      <c r="H754">
        <v>2</v>
      </c>
      <c r="I754">
        <v>0</v>
      </c>
      <c r="J754">
        <v>2</v>
      </c>
      <c r="K754">
        <v>0</v>
      </c>
      <c r="L754" s="22" t="str">
        <f t="shared" si="258"/>
        <v>24/07/2026</v>
      </c>
      <c r="M754" s="23">
        <f t="shared" si="259"/>
        <v>0.625</v>
      </c>
      <c r="N754" t="str">
        <f t="shared" si="241"/>
        <v>2 - 0</v>
      </c>
      <c r="O754" t="str">
        <f t="shared" si="242"/>
        <v>Green</v>
      </c>
      <c r="P754" t="str">
        <f t="shared" si="243"/>
        <v>Red</v>
      </c>
      <c r="Q754" t="str">
        <f t="shared" si="244"/>
        <v>Red</v>
      </c>
      <c r="R754" t="str">
        <f t="shared" si="245"/>
        <v>Green</v>
      </c>
      <c r="S754" t="str">
        <f t="shared" si="246"/>
        <v>Red</v>
      </c>
      <c r="T754" t="str">
        <f t="shared" si="247"/>
        <v>Green</v>
      </c>
      <c r="U754" t="str">
        <f t="shared" si="248"/>
        <v>Green</v>
      </c>
      <c r="V754" t="str">
        <f t="shared" si="249"/>
        <v>Red</v>
      </c>
      <c r="W754" t="str">
        <f t="shared" si="250"/>
        <v>Red</v>
      </c>
      <c r="X754" t="str">
        <f t="shared" si="251"/>
        <v>Green</v>
      </c>
      <c r="Y754" t="str">
        <f t="shared" si="252"/>
        <v>Green</v>
      </c>
      <c r="Z754" t="str">
        <f t="shared" si="253"/>
        <v>Red</v>
      </c>
      <c r="AA754" t="str">
        <f t="shared" si="254"/>
        <v>Green</v>
      </c>
      <c r="AB754" t="str">
        <f t="shared" si="255"/>
        <v>Green</v>
      </c>
      <c r="AC754" t="str">
        <f t="shared" si="256"/>
        <v>Red</v>
      </c>
      <c r="AD754" t="str">
        <f t="shared" si="257"/>
        <v>Green</v>
      </c>
    </row>
    <row r="755" spans="1:30" x14ac:dyDescent="0.2">
      <c r="A755" t="str">
        <f t="shared" si="240"/>
        <v>24/07/2026Portuguesa RJ U20Juventus SP U20</v>
      </c>
      <c r="D755" s="2">
        <v>46227</v>
      </c>
      <c r="E755" s="3">
        <v>0.75</v>
      </c>
      <c r="F755" t="s">
        <v>2366</v>
      </c>
      <c r="G755" t="s">
        <v>2367</v>
      </c>
      <c r="L755" s="22" t="str">
        <f t="shared" si="258"/>
        <v>24/07/2026</v>
      </c>
      <c r="M755" s="23">
        <f t="shared" si="259"/>
        <v>0.625</v>
      </c>
      <c r="N755" t="str">
        <f t="shared" si="241"/>
        <v xml:space="preserve"> - </v>
      </c>
      <c r="O755" t="str">
        <f t="shared" si="242"/>
        <v>Red</v>
      </c>
      <c r="P755" t="str">
        <f t="shared" si="243"/>
        <v>Green</v>
      </c>
      <c r="Q755" t="str">
        <f t="shared" si="244"/>
        <v>Red</v>
      </c>
      <c r="R755" t="str">
        <f t="shared" si="245"/>
        <v>Green</v>
      </c>
      <c r="S755" t="str">
        <f t="shared" si="246"/>
        <v>Green</v>
      </c>
      <c r="T755" t="str">
        <f t="shared" si="247"/>
        <v>Red</v>
      </c>
      <c r="U755" t="str">
        <f t="shared" si="248"/>
        <v>Red</v>
      </c>
      <c r="V755" t="str">
        <f t="shared" si="249"/>
        <v>Green</v>
      </c>
      <c r="W755" t="str">
        <f t="shared" si="250"/>
        <v>Red</v>
      </c>
      <c r="X755" t="str">
        <f t="shared" si="251"/>
        <v>Red</v>
      </c>
      <c r="Y755" t="str">
        <f t="shared" si="252"/>
        <v>Red</v>
      </c>
      <c r="Z755" t="str">
        <f t="shared" si="253"/>
        <v>Red</v>
      </c>
      <c r="AA755" t="str">
        <f t="shared" si="254"/>
        <v>Green</v>
      </c>
      <c r="AB755" t="str">
        <f t="shared" si="255"/>
        <v>Green</v>
      </c>
      <c r="AC755" t="str">
        <f t="shared" si="256"/>
        <v>Red</v>
      </c>
      <c r="AD755" t="str">
        <f t="shared" si="257"/>
        <v>Green</v>
      </c>
    </row>
    <row r="756" spans="1:30" x14ac:dyDescent="0.2">
      <c r="A756" t="str">
        <f t="shared" si="240"/>
        <v>24/07/2026Portuguesa Santista U20Juventus SP U20</v>
      </c>
      <c r="D756" s="2">
        <v>46227</v>
      </c>
      <c r="E756" s="3">
        <v>0.75</v>
      </c>
      <c r="F756" t="s">
        <v>2368</v>
      </c>
      <c r="G756" t="s">
        <v>2367</v>
      </c>
      <c r="H756">
        <v>2</v>
      </c>
      <c r="I756">
        <v>2</v>
      </c>
      <c r="J756">
        <v>2</v>
      </c>
      <c r="K756">
        <v>3</v>
      </c>
      <c r="L756" s="22" t="str">
        <f t="shared" si="258"/>
        <v>24/07/2026</v>
      </c>
      <c r="M756" s="23">
        <f t="shared" si="259"/>
        <v>0.625</v>
      </c>
      <c r="N756" t="str">
        <f t="shared" si="241"/>
        <v>2 - 3</v>
      </c>
      <c r="O756" t="str">
        <f t="shared" si="242"/>
        <v>Red</v>
      </c>
      <c r="P756" t="str">
        <f t="shared" si="243"/>
        <v>Red</v>
      </c>
      <c r="Q756" t="str">
        <f t="shared" si="244"/>
        <v>Green</v>
      </c>
      <c r="R756" t="str">
        <f t="shared" si="245"/>
        <v>Red</v>
      </c>
      <c r="S756" t="str">
        <f t="shared" si="246"/>
        <v>Green</v>
      </c>
      <c r="T756" t="str">
        <f t="shared" si="247"/>
        <v>Green</v>
      </c>
      <c r="U756" t="str">
        <f t="shared" si="248"/>
        <v>Red</v>
      </c>
      <c r="V756" t="str">
        <f t="shared" si="249"/>
        <v>Green</v>
      </c>
      <c r="W756" t="str">
        <f t="shared" si="250"/>
        <v>Red</v>
      </c>
      <c r="X756" t="str">
        <f t="shared" si="251"/>
        <v>Green</v>
      </c>
      <c r="Y756" t="str">
        <f t="shared" si="252"/>
        <v>Green</v>
      </c>
      <c r="Z756" t="str">
        <f t="shared" si="253"/>
        <v>Green</v>
      </c>
      <c r="AA756" t="str">
        <f t="shared" si="254"/>
        <v>Red</v>
      </c>
      <c r="AB756" t="str">
        <f t="shared" si="255"/>
        <v>Red</v>
      </c>
      <c r="AC756" t="str">
        <f t="shared" si="256"/>
        <v>Green</v>
      </c>
      <c r="AD756" t="str">
        <f t="shared" si="257"/>
        <v>Red</v>
      </c>
    </row>
    <row r="757" spans="1:30" x14ac:dyDescent="0.2">
      <c r="A757" t="str">
        <f t="shared" si="240"/>
        <v>24/07/2026Agua Santa SP U20Ituano U20</v>
      </c>
      <c r="D757" s="2">
        <v>46227</v>
      </c>
      <c r="E757" s="3">
        <v>0.75</v>
      </c>
      <c r="F757" t="s">
        <v>2369</v>
      </c>
      <c r="G757" t="s">
        <v>2370</v>
      </c>
      <c r="H757">
        <v>0</v>
      </c>
      <c r="I757">
        <v>0</v>
      </c>
      <c r="J757">
        <v>0</v>
      </c>
      <c r="K757">
        <v>0</v>
      </c>
      <c r="L757" s="22" t="str">
        <f t="shared" si="258"/>
        <v>24/07/2026</v>
      </c>
      <c r="M757" s="23">
        <f t="shared" si="259"/>
        <v>0.625</v>
      </c>
      <c r="N757" t="str">
        <f t="shared" si="241"/>
        <v>0 - 0</v>
      </c>
      <c r="O757" t="str">
        <f t="shared" si="242"/>
        <v>Red</v>
      </c>
      <c r="P757" t="str">
        <f t="shared" si="243"/>
        <v>Green</v>
      </c>
      <c r="Q757" t="str">
        <f t="shared" si="244"/>
        <v>Red</v>
      </c>
      <c r="R757" t="str">
        <f t="shared" si="245"/>
        <v>Green</v>
      </c>
      <c r="S757" t="str">
        <f t="shared" si="246"/>
        <v>Green</v>
      </c>
      <c r="T757" t="str">
        <f t="shared" si="247"/>
        <v>Red</v>
      </c>
      <c r="U757" t="str">
        <f t="shared" si="248"/>
        <v>Red</v>
      </c>
      <c r="V757" t="str">
        <f t="shared" si="249"/>
        <v>Green</v>
      </c>
      <c r="W757" t="str">
        <f t="shared" si="250"/>
        <v>Red</v>
      </c>
      <c r="X757" t="str">
        <f t="shared" si="251"/>
        <v>Red</v>
      </c>
      <c r="Y757" t="str">
        <f t="shared" si="252"/>
        <v>Red</v>
      </c>
      <c r="Z757" t="str">
        <f t="shared" si="253"/>
        <v>Red</v>
      </c>
      <c r="AA757" t="str">
        <f t="shared" si="254"/>
        <v>Green</v>
      </c>
      <c r="AB757" t="str">
        <f t="shared" si="255"/>
        <v>Green</v>
      </c>
      <c r="AC757" t="str">
        <f t="shared" si="256"/>
        <v>Red</v>
      </c>
      <c r="AD757" t="str">
        <f t="shared" si="257"/>
        <v>Green</v>
      </c>
    </row>
    <row r="758" spans="1:30" x14ac:dyDescent="0.2">
      <c r="A758" t="str">
        <f t="shared" si="240"/>
        <v>24/07/2026Gremio Prudente SP U20XV de Jau U20</v>
      </c>
      <c r="D758" s="2">
        <v>46227</v>
      </c>
      <c r="E758" s="3">
        <v>0.75</v>
      </c>
      <c r="F758" t="s">
        <v>2371</v>
      </c>
      <c r="G758" t="s">
        <v>2372</v>
      </c>
      <c r="H758">
        <v>1</v>
      </c>
      <c r="I758">
        <v>0</v>
      </c>
      <c r="J758">
        <v>1</v>
      </c>
      <c r="K758">
        <v>1</v>
      </c>
      <c r="L758" s="22" t="str">
        <f t="shared" si="258"/>
        <v>24/07/2026</v>
      </c>
      <c r="M758" s="23">
        <f t="shared" si="259"/>
        <v>0.625</v>
      </c>
      <c r="N758" t="str">
        <f t="shared" si="241"/>
        <v>1 - 1</v>
      </c>
      <c r="O758" t="str">
        <f t="shared" si="242"/>
        <v>Red</v>
      </c>
      <c r="P758" t="str">
        <f t="shared" si="243"/>
        <v>Green</v>
      </c>
      <c r="Q758" t="str">
        <f t="shared" si="244"/>
        <v>Red</v>
      </c>
      <c r="R758" t="str">
        <f t="shared" si="245"/>
        <v>Green</v>
      </c>
      <c r="S758" t="str">
        <f t="shared" si="246"/>
        <v>Green</v>
      </c>
      <c r="T758" t="str">
        <f t="shared" si="247"/>
        <v>Red</v>
      </c>
      <c r="U758" t="str">
        <f t="shared" si="248"/>
        <v>Green</v>
      </c>
      <c r="V758" t="str">
        <f t="shared" si="249"/>
        <v>Red</v>
      </c>
      <c r="W758" t="str">
        <f t="shared" si="250"/>
        <v>Red</v>
      </c>
      <c r="X758" t="str">
        <f t="shared" si="251"/>
        <v>Green</v>
      </c>
      <c r="Y758" t="str">
        <f t="shared" si="252"/>
        <v>Green</v>
      </c>
      <c r="Z758" t="str">
        <f t="shared" si="253"/>
        <v>Red</v>
      </c>
      <c r="AA758" t="str">
        <f t="shared" si="254"/>
        <v>Green</v>
      </c>
      <c r="AB758" t="str">
        <f t="shared" si="255"/>
        <v>Green</v>
      </c>
      <c r="AC758" t="str">
        <f t="shared" si="256"/>
        <v>Green</v>
      </c>
      <c r="AD758" t="str">
        <f t="shared" si="257"/>
        <v>Red</v>
      </c>
    </row>
    <row r="759" spans="1:30" x14ac:dyDescent="0.2">
      <c r="A759" t="str">
        <f t="shared" si="240"/>
        <v>24/07/2026Guarani SP U20Tanabi EC U20</v>
      </c>
      <c r="D759" s="2">
        <v>46227</v>
      </c>
      <c r="E759" s="3">
        <v>0.75</v>
      </c>
      <c r="F759" t="s">
        <v>2373</v>
      </c>
      <c r="G759" t="s">
        <v>2374</v>
      </c>
      <c r="H759">
        <v>0</v>
      </c>
      <c r="I759">
        <v>0</v>
      </c>
      <c r="J759">
        <v>1</v>
      </c>
      <c r="K759">
        <v>0</v>
      </c>
      <c r="L759" s="22" t="str">
        <f t="shared" si="258"/>
        <v>24/07/2026</v>
      </c>
      <c r="M759" s="23">
        <f t="shared" si="259"/>
        <v>0.625</v>
      </c>
      <c r="N759" t="str">
        <f t="shared" si="241"/>
        <v>1 - 0</v>
      </c>
      <c r="O759" t="str">
        <f t="shared" si="242"/>
        <v>Green</v>
      </c>
      <c r="P759" t="str">
        <f t="shared" si="243"/>
        <v>Red</v>
      </c>
      <c r="Q759" t="str">
        <f t="shared" si="244"/>
        <v>Red</v>
      </c>
      <c r="R759" t="str">
        <f t="shared" si="245"/>
        <v>Green</v>
      </c>
      <c r="S759" t="str">
        <f t="shared" si="246"/>
        <v>Red</v>
      </c>
      <c r="T759" t="str">
        <f t="shared" si="247"/>
        <v>Green</v>
      </c>
      <c r="U759" t="str">
        <f t="shared" si="248"/>
        <v>Red</v>
      </c>
      <c r="V759" t="str">
        <f t="shared" si="249"/>
        <v>Green</v>
      </c>
      <c r="W759" t="str">
        <f t="shared" si="250"/>
        <v>Red</v>
      </c>
      <c r="X759" t="str">
        <f t="shared" si="251"/>
        <v>Red</v>
      </c>
      <c r="Y759" t="str">
        <f t="shared" si="252"/>
        <v>Red</v>
      </c>
      <c r="Z759" t="str">
        <f t="shared" si="253"/>
        <v>Red</v>
      </c>
      <c r="AA759" t="str">
        <f t="shared" si="254"/>
        <v>Green</v>
      </c>
      <c r="AB759" t="str">
        <f t="shared" si="255"/>
        <v>Green</v>
      </c>
      <c r="AC759" t="str">
        <f t="shared" si="256"/>
        <v>Red</v>
      </c>
      <c r="AD759" t="str">
        <f t="shared" si="257"/>
        <v>Green</v>
      </c>
    </row>
    <row r="760" spans="1:30" x14ac:dyDescent="0.2">
      <c r="A760" t="str">
        <f t="shared" si="240"/>
        <v>24/07/2026Ibrachina SP U20Velo Clube SP U20</v>
      </c>
      <c r="D760" s="2">
        <v>46227</v>
      </c>
      <c r="E760" s="3">
        <v>0.75</v>
      </c>
      <c r="F760" t="s">
        <v>2375</v>
      </c>
      <c r="G760" t="s">
        <v>2376</v>
      </c>
      <c r="H760">
        <v>3</v>
      </c>
      <c r="I760">
        <v>0</v>
      </c>
      <c r="J760">
        <v>5</v>
      </c>
      <c r="K760">
        <v>0</v>
      </c>
      <c r="L760" s="22" t="str">
        <f t="shared" si="258"/>
        <v>24/07/2026</v>
      </c>
      <c r="M760" s="23">
        <f t="shared" si="259"/>
        <v>0.625</v>
      </c>
      <c r="N760" t="str">
        <f t="shared" si="241"/>
        <v>5 - 0</v>
      </c>
      <c r="O760" t="str">
        <f t="shared" si="242"/>
        <v>Green</v>
      </c>
      <c r="P760" t="str">
        <f t="shared" si="243"/>
        <v>Red</v>
      </c>
      <c r="Q760" t="str">
        <f t="shared" si="244"/>
        <v>Red</v>
      </c>
      <c r="R760" t="str">
        <f t="shared" si="245"/>
        <v>Green</v>
      </c>
      <c r="S760" t="str">
        <f t="shared" si="246"/>
        <v>Red</v>
      </c>
      <c r="T760" t="str">
        <f t="shared" si="247"/>
        <v>Green</v>
      </c>
      <c r="U760" t="str">
        <f t="shared" si="248"/>
        <v>Green</v>
      </c>
      <c r="V760" t="str">
        <f t="shared" si="249"/>
        <v>Red</v>
      </c>
      <c r="W760" t="str">
        <f t="shared" si="250"/>
        <v>Red</v>
      </c>
      <c r="X760" t="str">
        <f t="shared" si="251"/>
        <v>Green</v>
      </c>
      <c r="Y760" t="str">
        <f t="shared" si="252"/>
        <v>Green</v>
      </c>
      <c r="Z760" t="str">
        <f t="shared" si="253"/>
        <v>Green</v>
      </c>
      <c r="AA760" t="str">
        <f t="shared" si="254"/>
        <v>Red</v>
      </c>
      <c r="AB760" t="str">
        <f t="shared" si="255"/>
        <v>Red</v>
      </c>
      <c r="AC760" t="str">
        <f t="shared" si="256"/>
        <v>Red</v>
      </c>
      <c r="AD760" t="str">
        <f t="shared" si="257"/>
        <v>Green</v>
      </c>
    </row>
    <row r="761" spans="1:30" x14ac:dyDescent="0.2">
      <c r="A761" t="str">
        <f t="shared" si="240"/>
        <v>24/07/2026Maua FC U20Flamengo SP U20</v>
      </c>
      <c r="D761" s="2">
        <v>46227</v>
      </c>
      <c r="E761" s="3">
        <v>0.75</v>
      </c>
      <c r="F761" t="s">
        <v>2377</v>
      </c>
      <c r="G761" t="s">
        <v>2378</v>
      </c>
      <c r="H761">
        <v>1</v>
      </c>
      <c r="I761">
        <v>0</v>
      </c>
      <c r="J761">
        <v>1</v>
      </c>
      <c r="K761">
        <v>2</v>
      </c>
      <c r="L761" s="22" t="str">
        <f t="shared" si="258"/>
        <v>24/07/2026</v>
      </c>
      <c r="M761" s="23">
        <f t="shared" si="259"/>
        <v>0.625</v>
      </c>
      <c r="N761" t="str">
        <f t="shared" si="241"/>
        <v>1 - 2</v>
      </c>
      <c r="O761" t="str">
        <f t="shared" si="242"/>
        <v>Red</v>
      </c>
      <c r="P761" t="str">
        <f t="shared" si="243"/>
        <v>Red</v>
      </c>
      <c r="Q761" t="str">
        <f t="shared" si="244"/>
        <v>Green</v>
      </c>
      <c r="R761" t="str">
        <f t="shared" si="245"/>
        <v>Red</v>
      </c>
      <c r="S761" t="str">
        <f t="shared" si="246"/>
        <v>Green</v>
      </c>
      <c r="T761" t="str">
        <f t="shared" si="247"/>
        <v>Green</v>
      </c>
      <c r="U761" t="str">
        <f t="shared" si="248"/>
        <v>Green</v>
      </c>
      <c r="V761" t="str">
        <f t="shared" si="249"/>
        <v>Red</v>
      </c>
      <c r="W761" t="str">
        <f t="shared" si="250"/>
        <v>Red</v>
      </c>
      <c r="X761" t="str">
        <f t="shared" si="251"/>
        <v>Green</v>
      </c>
      <c r="Y761" t="str">
        <f t="shared" si="252"/>
        <v>Green</v>
      </c>
      <c r="Z761" t="str">
        <f t="shared" si="253"/>
        <v>Green</v>
      </c>
      <c r="AA761" t="str">
        <f t="shared" si="254"/>
        <v>Red</v>
      </c>
      <c r="AB761" t="str">
        <f t="shared" si="255"/>
        <v>Green</v>
      </c>
      <c r="AC761" t="str">
        <f t="shared" si="256"/>
        <v>Green</v>
      </c>
      <c r="AD761" t="str">
        <f t="shared" si="257"/>
        <v>Red</v>
      </c>
    </row>
    <row r="762" spans="1:30" x14ac:dyDescent="0.2">
      <c r="A762" t="str">
        <f t="shared" si="240"/>
        <v>24/07/2026Paulinense SP U20Sao Caetano U20</v>
      </c>
      <c r="D762" s="2">
        <v>46227</v>
      </c>
      <c r="E762" s="3">
        <v>0.75</v>
      </c>
      <c r="F762" t="s">
        <v>2379</v>
      </c>
      <c r="G762" t="s">
        <v>2380</v>
      </c>
      <c r="H762">
        <v>0</v>
      </c>
      <c r="I762">
        <v>0</v>
      </c>
      <c r="J762">
        <v>2</v>
      </c>
      <c r="K762">
        <v>0</v>
      </c>
      <c r="L762" s="22" t="str">
        <f t="shared" si="258"/>
        <v>24/07/2026</v>
      </c>
      <c r="M762" s="23">
        <f t="shared" si="259"/>
        <v>0.625</v>
      </c>
      <c r="N762" t="str">
        <f t="shared" si="241"/>
        <v>2 - 0</v>
      </c>
      <c r="O762" t="str">
        <f t="shared" si="242"/>
        <v>Green</v>
      </c>
      <c r="P762" t="str">
        <f t="shared" si="243"/>
        <v>Red</v>
      </c>
      <c r="Q762" t="str">
        <f t="shared" si="244"/>
        <v>Red</v>
      </c>
      <c r="R762" t="str">
        <f t="shared" si="245"/>
        <v>Green</v>
      </c>
      <c r="S762" t="str">
        <f t="shared" si="246"/>
        <v>Red</v>
      </c>
      <c r="T762" t="str">
        <f t="shared" si="247"/>
        <v>Green</v>
      </c>
      <c r="U762" t="str">
        <f t="shared" si="248"/>
        <v>Red</v>
      </c>
      <c r="V762" t="str">
        <f t="shared" si="249"/>
        <v>Green</v>
      </c>
      <c r="W762" t="str">
        <f t="shared" si="250"/>
        <v>Red</v>
      </c>
      <c r="X762" t="str">
        <f t="shared" si="251"/>
        <v>Red</v>
      </c>
      <c r="Y762" t="str">
        <f t="shared" si="252"/>
        <v>Green</v>
      </c>
      <c r="Z762" t="str">
        <f t="shared" si="253"/>
        <v>Red</v>
      </c>
      <c r="AA762" t="str">
        <f t="shared" si="254"/>
        <v>Green</v>
      </c>
      <c r="AB762" t="str">
        <f t="shared" si="255"/>
        <v>Green</v>
      </c>
      <c r="AC762" t="str">
        <f t="shared" si="256"/>
        <v>Red</v>
      </c>
      <c r="AD762" t="str">
        <f t="shared" si="257"/>
        <v>Green</v>
      </c>
    </row>
    <row r="763" spans="1:30" x14ac:dyDescent="0.2">
      <c r="A763" t="str">
        <f t="shared" si="240"/>
        <v>24/07/2026SC Aguai SP U20Bandeirante U20</v>
      </c>
      <c r="D763" s="2">
        <v>46227</v>
      </c>
      <c r="E763" s="3">
        <v>0.75</v>
      </c>
      <c r="F763" t="s">
        <v>2381</v>
      </c>
      <c r="G763" t="s">
        <v>2382</v>
      </c>
      <c r="H763">
        <v>2</v>
      </c>
      <c r="I763">
        <v>1</v>
      </c>
      <c r="J763">
        <v>2</v>
      </c>
      <c r="K763">
        <v>3</v>
      </c>
      <c r="L763" s="22" t="str">
        <f t="shared" si="258"/>
        <v>24/07/2026</v>
      </c>
      <c r="M763" s="23">
        <f t="shared" si="259"/>
        <v>0.625</v>
      </c>
      <c r="N763" t="str">
        <f t="shared" si="241"/>
        <v>2 - 3</v>
      </c>
      <c r="O763" t="str">
        <f t="shared" si="242"/>
        <v>Red</v>
      </c>
      <c r="P763" t="str">
        <f t="shared" si="243"/>
        <v>Red</v>
      </c>
      <c r="Q763" t="str">
        <f t="shared" si="244"/>
        <v>Green</v>
      </c>
      <c r="R763" t="str">
        <f t="shared" si="245"/>
        <v>Red</v>
      </c>
      <c r="S763" t="str">
        <f t="shared" si="246"/>
        <v>Green</v>
      </c>
      <c r="T763" t="str">
        <f t="shared" si="247"/>
        <v>Green</v>
      </c>
      <c r="U763" t="str">
        <f t="shared" si="248"/>
        <v>Green</v>
      </c>
      <c r="V763" t="str">
        <f t="shared" si="249"/>
        <v>Red</v>
      </c>
      <c r="W763" t="str">
        <f t="shared" si="250"/>
        <v>Red</v>
      </c>
      <c r="X763" t="str">
        <f t="shared" si="251"/>
        <v>Green</v>
      </c>
      <c r="Y763" t="str">
        <f t="shared" si="252"/>
        <v>Green</v>
      </c>
      <c r="Z763" t="str">
        <f t="shared" si="253"/>
        <v>Green</v>
      </c>
      <c r="AA763" t="str">
        <f t="shared" si="254"/>
        <v>Red</v>
      </c>
      <c r="AB763" t="str">
        <f t="shared" si="255"/>
        <v>Red</v>
      </c>
      <c r="AC763" t="str">
        <f t="shared" si="256"/>
        <v>Green</v>
      </c>
      <c r="AD763" t="str">
        <f t="shared" si="257"/>
        <v>Red</v>
      </c>
    </row>
    <row r="764" spans="1:30" x14ac:dyDescent="0.2">
      <c r="A764" t="str">
        <f t="shared" si="240"/>
        <v>24/07/2026Sfera SP U20Audax SP U20</v>
      </c>
      <c r="D764" s="2">
        <v>46227</v>
      </c>
      <c r="E764" s="3">
        <v>0.75</v>
      </c>
      <c r="F764" t="s">
        <v>2383</v>
      </c>
      <c r="G764" t="s">
        <v>2384</v>
      </c>
      <c r="H764">
        <v>0</v>
      </c>
      <c r="I764">
        <v>0</v>
      </c>
      <c r="J764">
        <v>0</v>
      </c>
      <c r="K764">
        <v>1</v>
      </c>
      <c r="L764" s="22" t="str">
        <f t="shared" si="258"/>
        <v>24/07/2026</v>
      </c>
      <c r="M764" s="23">
        <f t="shared" si="259"/>
        <v>0.625</v>
      </c>
      <c r="N764" t="str">
        <f t="shared" si="241"/>
        <v>0 - 1</v>
      </c>
      <c r="O764" t="str">
        <f t="shared" si="242"/>
        <v>Red</v>
      </c>
      <c r="P764" t="str">
        <f t="shared" si="243"/>
        <v>Red</v>
      </c>
      <c r="Q764" t="str">
        <f t="shared" si="244"/>
        <v>Green</v>
      </c>
      <c r="R764" t="str">
        <f t="shared" si="245"/>
        <v>Red</v>
      </c>
      <c r="S764" t="str">
        <f t="shared" si="246"/>
        <v>Green</v>
      </c>
      <c r="T764" t="str">
        <f t="shared" si="247"/>
        <v>Green</v>
      </c>
      <c r="U764" t="str">
        <f t="shared" si="248"/>
        <v>Red</v>
      </c>
      <c r="V764" t="str">
        <f t="shared" si="249"/>
        <v>Green</v>
      </c>
      <c r="W764" t="str">
        <f t="shared" si="250"/>
        <v>Red</v>
      </c>
      <c r="X764" t="str">
        <f t="shared" si="251"/>
        <v>Red</v>
      </c>
      <c r="Y764" t="str">
        <f t="shared" si="252"/>
        <v>Red</v>
      </c>
      <c r="Z764" t="str">
        <f t="shared" si="253"/>
        <v>Red</v>
      </c>
      <c r="AA764" t="str">
        <f t="shared" si="254"/>
        <v>Green</v>
      </c>
      <c r="AB764" t="str">
        <f t="shared" si="255"/>
        <v>Green</v>
      </c>
      <c r="AC764" t="str">
        <f t="shared" si="256"/>
        <v>Red</v>
      </c>
      <c r="AD764" t="str">
        <f t="shared" si="257"/>
        <v>Green</v>
      </c>
    </row>
    <row r="765" spans="1:30" x14ac:dyDescent="0.2">
      <c r="A765" t="str">
        <f t="shared" si="240"/>
        <v>24/07/2026Uniao Sao Joao U20EC Sao Bernardo U20</v>
      </c>
      <c r="D765" s="2">
        <v>46227</v>
      </c>
      <c r="E765" s="3">
        <v>0.75</v>
      </c>
      <c r="F765" t="s">
        <v>2385</v>
      </c>
      <c r="G765" t="s">
        <v>2386</v>
      </c>
      <c r="H765">
        <v>0</v>
      </c>
      <c r="I765">
        <v>0</v>
      </c>
      <c r="J765">
        <v>1</v>
      </c>
      <c r="K765">
        <v>1</v>
      </c>
      <c r="L765" s="22" t="str">
        <f t="shared" si="258"/>
        <v>24/07/2026</v>
      </c>
      <c r="M765" s="23">
        <f t="shared" si="259"/>
        <v>0.625</v>
      </c>
      <c r="N765" t="str">
        <f t="shared" si="241"/>
        <v>1 - 1</v>
      </c>
      <c r="O765" t="str">
        <f t="shared" si="242"/>
        <v>Red</v>
      </c>
      <c r="P765" t="str">
        <f t="shared" si="243"/>
        <v>Green</v>
      </c>
      <c r="Q765" t="str">
        <f t="shared" si="244"/>
        <v>Red</v>
      </c>
      <c r="R765" t="str">
        <f t="shared" si="245"/>
        <v>Green</v>
      </c>
      <c r="S765" t="str">
        <f t="shared" si="246"/>
        <v>Green</v>
      </c>
      <c r="T765" t="str">
        <f t="shared" si="247"/>
        <v>Red</v>
      </c>
      <c r="U765" t="str">
        <f t="shared" si="248"/>
        <v>Red</v>
      </c>
      <c r="V765" t="str">
        <f t="shared" si="249"/>
        <v>Green</v>
      </c>
      <c r="W765" t="str">
        <f t="shared" si="250"/>
        <v>Red</v>
      </c>
      <c r="X765" t="str">
        <f t="shared" si="251"/>
        <v>Red</v>
      </c>
      <c r="Y765" t="str">
        <f t="shared" si="252"/>
        <v>Green</v>
      </c>
      <c r="Z765" t="str">
        <f t="shared" si="253"/>
        <v>Red</v>
      </c>
      <c r="AA765" t="str">
        <f t="shared" si="254"/>
        <v>Green</v>
      </c>
      <c r="AB765" t="str">
        <f t="shared" si="255"/>
        <v>Green</v>
      </c>
      <c r="AC765" t="str">
        <f t="shared" si="256"/>
        <v>Green</v>
      </c>
      <c r="AD765" t="str">
        <f t="shared" si="257"/>
        <v>Red</v>
      </c>
    </row>
    <row r="766" spans="1:30" x14ac:dyDescent="0.2">
      <c r="A766" t="str">
        <f t="shared" si="240"/>
        <v>24/07/2026Nyiregyhaza SpartacusUjpest FC</v>
      </c>
      <c r="D766" s="2">
        <v>46227</v>
      </c>
      <c r="E766" s="3">
        <v>0.75</v>
      </c>
      <c r="F766" t="s">
        <v>2486</v>
      </c>
      <c r="G766" t="s">
        <v>2487</v>
      </c>
      <c r="H766">
        <v>0</v>
      </c>
      <c r="I766">
        <v>1</v>
      </c>
      <c r="J766">
        <v>2</v>
      </c>
      <c r="K766">
        <v>1</v>
      </c>
      <c r="L766" s="22" t="str">
        <f t="shared" si="258"/>
        <v>24/07/2026</v>
      </c>
      <c r="M766" s="23">
        <f t="shared" si="259"/>
        <v>0.625</v>
      </c>
      <c r="N766" t="str">
        <f t="shared" si="241"/>
        <v>2 - 1</v>
      </c>
      <c r="O766" t="str">
        <f t="shared" si="242"/>
        <v>Green</v>
      </c>
      <c r="P766" t="str">
        <f t="shared" si="243"/>
        <v>Red</v>
      </c>
      <c r="Q766" t="str">
        <f t="shared" si="244"/>
        <v>Red</v>
      </c>
      <c r="R766" t="str">
        <f t="shared" si="245"/>
        <v>Green</v>
      </c>
      <c r="S766" t="str">
        <f t="shared" si="246"/>
        <v>Red</v>
      </c>
      <c r="T766" t="str">
        <f t="shared" si="247"/>
        <v>Green</v>
      </c>
      <c r="U766" t="str">
        <f t="shared" si="248"/>
        <v>Red</v>
      </c>
      <c r="V766" t="str">
        <f t="shared" si="249"/>
        <v>Red</v>
      </c>
      <c r="W766" t="str">
        <f t="shared" si="250"/>
        <v>Green</v>
      </c>
      <c r="X766" t="str">
        <f t="shared" si="251"/>
        <v>Green</v>
      </c>
      <c r="Y766" t="str">
        <f t="shared" si="252"/>
        <v>Green</v>
      </c>
      <c r="Z766" t="str">
        <f t="shared" si="253"/>
        <v>Green</v>
      </c>
      <c r="AA766" t="str">
        <f t="shared" si="254"/>
        <v>Red</v>
      </c>
      <c r="AB766" t="str">
        <f t="shared" si="255"/>
        <v>Green</v>
      </c>
      <c r="AC766" t="str">
        <f t="shared" si="256"/>
        <v>Green</v>
      </c>
      <c r="AD766" t="str">
        <f t="shared" si="257"/>
        <v>Red</v>
      </c>
    </row>
    <row r="767" spans="1:30" x14ac:dyDescent="0.2">
      <c r="A767" t="str">
        <f t="shared" si="240"/>
        <v>24/07/2026VolsungurGrindavik</v>
      </c>
      <c r="D767" s="2">
        <v>46227</v>
      </c>
      <c r="E767" s="3">
        <v>0.75</v>
      </c>
      <c r="F767" t="s">
        <v>147</v>
      </c>
      <c r="G767" t="s">
        <v>148</v>
      </c>
      <c r="H767">
        <v>1</v>
      </c>
      <c r="I767">
        <v>0</v>
      </c>
      <c r="J767">
        <v>2</v>
      </c>
      <c r="K767">
        <v>0</v>
      </c>
      <c r="L767" s="22" t="str">
        <f t="shared" si="258"/>
        <v>24/07/2026</v>
      </c>
      <c r="M767" s="23">
        <f t="shared" si="259"/>
        <v>0.625</v>
      </c>
      <c r="N767" t="str">
        <f t="shared" si="241"/>
        <v>2 - 0</v>
      </c>
      <c r="O767" t="str">
        <f t="shared" si="242"/>
        <v>Green</v>
      </c>
      <c r="P767" t="str">
        <f t="shared" si="243"/>
        <v>Red</v>
      </c>
      <c r="Q767" t="str">
        <f t="shared" si="244"/>
        <v>Red</v>
      </c>
      <c r="R767" t="str">
        <f t="shared" si="245"/>
        <v>Green</v>
      </c>
      <c r="S767" t="str">
        <f t="shared" si="246"/>
        <v>Red</v>
      </c>
      <c r="T767" t="str">
        <f t="shared" si="247"/>
        <v>Green</v>
      </c>
      <c r="U767" t="str">
        <f t="shared" si="248"/>
        <v>Green</v>
      </c>
      <c r="V767" t="str">
        <f t="shared" si="249"/>
        <v>Red</v>
      </c>
      <c r="W767" t="str">
        <f t="shared" si="250"/>
        <v>Red</v>
      </c>
      <c r="X767" t="str">
        <f t="shared" si="251"/>
        <v>Green</v>
      </c>
      <c r="Y767" t="str">
        <f t="shared" si="252"/>
        <v>Green</v>
      </c>
      <c r="Z767" t="str">
        <f t="shared" si="253"/>
        <v>Red</v>
      </c>
      <c r="AA767" t="str">
        <f t="shared" si="254"/>
        <v>Green</v>
      </c>
      <c r="AB767" t="str">
        <f t="shared" si="255"/>
        <v>Green</v>
      </c>
      <c r="AC767" t="str">
        <f t="shared" si="256"/>
        <v>Red</v>
      </c>
      <c r="AD767" t="str">
        <f t="shared" si="257"/>
        <v>Green</v>
      </c>
    </row>
    <row r="768" spans="1:30" x14ac:dyDescent="0.2">
      <c r="A768" t="str">
        <f t="shared" si="240"/>
        <v>24/07/2026Throttur WomenIBV Vestmannaeyjar Women</v>
      </c>
      <c r="D768" s="2">
        <v>46227</v>
      </c>
      <c r="E768" s="3">
        <v>0.75</v>
      </c>
      <c r="F768" t="s">
        <v>1311</v>
      </c>
      <c r="G768" t="s">
        <v>2496</v>
      </c>
      <c r="H768">
        <v>0</v>
      </c>
      <c r="I768">
        <v>0</v>
      </c>
      <c r="J768">
        <v>1</v>
      </c>
      <c r="K768">
        <v>0</v>
      </c>
      <c r="L768" s="22" t="str">
        <f t="shared" si="258"/>
        <v>24/07/2026</v>
      </c>
      <c r="M768" s="23">
        <f t="shared" si="259"/>
        <v>0.625</v>
      </c>
      <c r="N768" t="str">
        <f t="shared" si="241"/>
        <v>1 - 0</v>
      </c>
      <c r="O768" t="str">
        <f t="shared" si="242"/>
        <v>Green</v>
      </c>
      <c r="P768" t="str">
        <f t="shared" si="243"/>
        <v>Red</v>
      </c>
      <c r="Q768" t="str">
        <f t="shared" si="244"/>
        <v>Red</v>
      </c>
      <c r="R768" t="str">
        <f t="shared" si="245"/>
        <v>Green</v>
      </c>
      <c r="S768" t="str">
        <f t="shared" si="246"/>
        <v>Red</v>
      </c>
      <c r="T768" t="str">
        <f t="shared" si="247"/>
        <v>Green</v>
      </c>
      <c r="U768" t="str">
        <f t="shared" si="248"/>
        <v>Red</v>
      </c>
      <c r="V768" t="str">
        <f t="shared" si="249"/>
        <v>Green</v>
      </c>
      <c r="W768" t="str">
        <f t="shared" si="250"/>
        <v>Red</v>
      </c>
      <c r="X768" t="str">
        <f t="shared" si="251"/>
        <v>Red</v>
      </c>
      <c r="Y768" t="str">
        <f t="shared" si="252"/>
        <v>Red</v>
      </c>
      <c r="Z768" t="str">
        <f t="shared" si="253"/>
        <v>Red</v>
      </c>
      <c r="AA768" t="str">
        <f t="shared" si="254"/>
        <v>Green</v>
      </c>
      <c r="AB768" t="str">
        <f t="shared" si="255"/>
        <v>Green</v>
      </c>
      <c r="AC768" t="str">
        <f t="shared" si="256"/>
        <v>Red</v>
      </c>
      <c r="AD768" t="str">
        <f t="shared" si="257"/>
        <v>Green</v>
      </c>
    </row>
    <row r="769" spans="1:30" x14ac:dyDescent="0.2">
      <c r="A769" t="str">
        <f t="shared" si="240"/>
        <v>24/07/2026Atlante U21Club America U21</v>
      </c>
      <c r="D769" s="2">
        <v>46227</v>
      </c>
      <c r="E769" s="3">
        <v>0.75</v>
      </c>
      <c r="F769" t="s">
        <v>2520</v>
      </c>
      <c r="G769" t="s">
        <v>2521</v>
      </c>
      <c r="H769">
        <v>0</v>
      </c>
      <c r="I769">
        <v>0</v>
      </c>
      <c r="J769">
        <v>2</v>
      </c>
      <c r="K769">
        <v>3</v>
      </c>
      <c r="L769" s="22" t="str">
        <f t="shared" si="258"/>
        <v>24/07/2026</v>
      </c>
      <c r="M769" s="23">
        <f t="shared" si="259"/>
        <v>0.625</v>
      </c>
      <c r="N769" t="str">
        <f t="shared" si="241"/>
        <v>2 - 3</v>
      </c>
      <c r="O769" t="str">
        <f t="shared" si="242"/>
        <v>Red</v>
      </c>
      <c r="P769" t="str">
        <f t="shared" si="243"/>
        <v>Red</v>
      </c>
      <c r="Q769" t="str">
        <f t="shared" si="244"/>
        <v>Green</v>
      </c>
      <c r="R769" t="str">
        <f t="shared" si="245"/>
        <v>Red</v>
      </c>
      <c r="S769" t="str">
        <f t="shared" si="246"/>
        <v>Green</v>
      </c>
      <c r="T769" t="str">
        <f t="shared" si="247"/>
        <v>Green</v>
      </c>
      <c r="U769" t="str">
        <f t="shared" si="248"/>
        <v>Red</v>
      </c>
      <c r="V769" t="str">
        <f t="shared" si="249"/>
        <v>Green</v>
      </c>
      <c r="W769" t="str">
        <f t="shared" si="250"/>
        <v>Red</v>
      </c>
      <c r="X769" t="str">
        <f t="shared" si="251"/>
        <v>Red</v>
      </c>
      <c r="Y769" t="str">
        <f t="shared" si="252"/>
        <v>Green</v>
      </c>
      <c r="Z769" t="str">
        <f t="shared" si="253"/>
        <v>Green</v>
      </c>
      <c r="AA769" t="str">
        <f t="shared" si="254"/>
        <v>Red</v>
      </c>
      <c r="AB769" t="str">
        <f t="shared" si="255"/>
        <v>Red</v>
      </c>
      <c r="AC769" t="str">
        <f t="shared" si="256"/>
        <v>Green</v>
      </c>
      <c r="AD769" t="str">
        <f t="shared" si="257"/>
        <v>Red</v>
      </c>
    </row>
    <row r="770" spans="1:30" x14ac:dyDescent="0.2">
      <c r="A770" t="str">
        <f t="shared" ref="A770:A833" si="260">L770&amp;F770&amp;G770</f>
        <v>24/07/2026Union MinasColegio Nacional De Iquitos</v>
      </c>
      <c r="D770" s="2">
        <v>46227</v>
      </c>
      <c r="E770" s="3">
        <v>0.75</v>
      </c>
      <c r="F770" t="s">
        <v>2546</v>
      </c>
      <c r="G770" t="s">
        <v>2547</v>
      </c>
      <c r="H770">
        <v>1</v>
      </c>
      <c r="I770">
        <v>0</v>
      </c>
      <c r="J770">
        <v>3</v>
      </c>
      <c r="K770">
        <v>0</v>
      </c>
      <c r="L770" s="22" t="str">
        <f t="shared" si="258"/>
        <v>24/07/2026</v>
      </c>
      <c r="M770" s="23">
        <f t="shared" si="259"/>
        <v>0.625</v>
      </c>
      <c r="N770" t="str">
        <f t="shared" ref="N770:N833" si="261">J770&amp;" - "&amp;K770</f>
        <v>3 - 0</v>
      </c>
      <c r="O770" t="str">
        <f t="shared" ref="O770:O833" si="262">IF($J770&gt;$K770,"Green","Red")</f>
        <v>Green</v>
      </c>
      <c r="P770" t="str">
        <f t="shared" ref="P770:P833" si="263">IF($J770=$K770,"Green","Red")</f>
        <v>Red</v>
      </c>
      <c r="Q770" t="str">
        <f t="shared" ref="Q770:Q833" si="264">IF($J770&lt;$K770,"Green","Red")</f>
        <v>Red</v>
      </c>
      <c r="R770" t="str">
        <f t="shared" ref="R770:R833" si="265">IF($J770&gt;=$K770,"Green","Red")</f>
        <v>Green</v>
      </c>
      <c r="S770" t="str">
        <f t="shared" ref="S770:S833" si="266">IF($J770&lt;=$K770,"Green","Red")</f>
        <v>Red</v>
      </c>
      <c r="T770" t="str">
        <f t="shared" ref="T770:T833" si="267">IF(OR($J770&gt;$K770,$J770&lt;$K770),"Green","Red")</f>
        <v>Green</v>
      </c>
      <c r="U770" t="str">
        <f t="shared" ref="U770:U833" si="268">IF($H770&gt;$I770,"Green","Red")</f>
        <v>Green</v>
      </c>
      <c r="V770" t="str">
        <f t="shared" ref="V770:V833" si="269">IF($H770=$I770,"Green","Red")</f>
        <v>Red</v>
      </c>
      <c r="W770" t="str">
        <f t="shared" ref="W770:W833" si="270">IF($H770&lt;$I770,"Green","Red")</f>
        <v>Red</v>
      </c>
      <c r="X770" t="str">
        <f t="shared" ref="X770:X833" si="271">IF($H770+$I770&gt;0,"Green","Red")</f>
        <v>Green</v>
      </c>
      <c r="Y770" t="str">
        <f t="shared" ref="Y770:Y833" si="272">IF($J770+$K770&gt;1.5,"Green","Red")</f>
        <v>Green</v>
      </c>
      <c r="Z770" t="str">
        <f t="shared" ref="Z770:Z833" si="273">IF($J770+$K770&gt;2.5,"Green","Red")</f>
        <v>Green</v>
      </c>
      <c r="AA770" t="str">
        <f t="shared" ref="AA770:AA833" si="274">IF($J770+$K770&lt;2.5,"Green","Red")</f>
        <v>Red</v>
      </c>
      <c r="AB770" t="str">
        <f t="shared" ref="AB770:AB833" si="275">IF($J770+$K770&lt;3.5,"Green","Red")</f>
        <v>Green</v>
      </c>
      <c r="AC770" t="str">
        <f t="shared" ref="AC770:AC833" si="276">IF(AND($J770&gt;0,$K770&gt;0),"Green","Red")</f>
        <v>Red</v>
      </c>
      <c r="AD770" t="str">
        <f t="shared" ref="AD770:AD833" si="277">IF(OR($J770=0,$K770=0),"Green","Red")</f>
        <v>Green</v>
      </c>
    </row>
    <row r="771" spans="1:30" x14ac:dyDescent="0.2">
      <c r="A771" t="str">
        <f t="shared" si="260"/>
        <v>24/07/2026BarcelonaCE Europa</v>
      </c>
      <c r="D771" s="2">
        <v>46227</v>
      </c>
      <c r="E771" s="3">
        <v>0.75</v>
      </c>
      <c r="F771" t="s">
        <v>2690</v>
      </c>
      <c r="G771" t="s">
        <v>2691</v>
      </c>
      <c r="H771">
        <v>2</v>
      </c>
      <c r="I771">
        <v>1</v>
      </c>
      <c r="J771">
        <v>4</v>
      </c>
      <c r="K771">
        <v>1</v>
      </c>
      <c r="L771" s="22" t="str">
        <f t="shared" si="258"/>
        <v>24/07/2026</v>
      </c>
      <c r="M771" s="23">
        <f t="shared" si="259"/>
        <v>0.625</v>
      </c>
      <c r="N771" t="str">
        <f t="shared" si="261"/>
        <v>4 - 1</v>
      </c>
      <c r="O771" t="str">
        <f t="shared" si="262"/>
        <v>Green</v>
      </c>
      <c r="P771" t="str">
        <f t="shared" si="263"/>
        <v>Red</v>
      </c>
      <c r="Q771" t="str">
        <f t="shared" si="264"/>
        <v>Red</v>
      </c>
      <c r="R771" t="str">
        <f t="shared" si="265"/>
        <v>Green</v>
      </c>
      <c r="S771" t="str">
        <f t="shared" si="266"/>
        <v>Red</v>
      </c>
      <c r="T771" t="str">
        <f t="shared" si="267"/>
        <v>Green</v>
      </c>
      <c r="U771" t="str">
        <f t="shared" si="268"/>
        <v>Green</v>
      </c>
      <c r="V771" t="str">
        <f t="shared" si="269"/>
        <v>Red</v>
      </c>
      <c r="W771" t="str">
        <f t="shared" si="270"/>
        <v>Red</v>
      </c>
      <c r="X771" t="str">
        <f t="shared" si="271"/>
        <v>Green</v>
      </c>
      <c r="Y771" t="str">
        <f t="shared" si="272"/>
        <v>Green</v>
      </c>
      <c r="Z771" t="str">
        <f t="shared" si="273"/>
        <v>Green</v>
      </c>
      <c r="AA771" t="str">
        <f t="shared" si="274"/>
        <v>Red</v>
      </c>
      <c r="AB771" t="str">
        <f t="shared" si="275"/>
        <v>Red</v>
      </c>
      <c r="AC771" t="str">
        <f t="shared" si="276"/>
        <v>Green</v>
      </c>
      <c r="AD771" t="str">
        <f t="shared" si="277"/>
        <v>Red</v>
      </c>
    </row>
    <row r="772" spans="1:30" x14ac:dyDescent="0.2">
      <c r="A772" t="str">
        <f t="shared" si="260"/>
        <v>24/07/2026CP CacerenoReal Jaen</v>
      </c>
      <c r="D772" s="2">
        <v>46227</v>
      </c>
      <c r="E772" s="3">
        <v>0.75</v>
      </c>
      <c r="F772" t="s">
        <v>2692</v>
      </c>
      <c r="G772" t="s">
        <v>2693</v>
      </c>
      <c r="H772">
        <v>0</v>
      </c>
      <c r="I772">
        <v>0</v>
      </c>
      <c r="J772">
        <v>1</v>
      </c>
      <c r="K772">
        <v>1</v>
      </c>
      <c r="L772" s="22" t="str">
        <f t="shared" si="258"/>
        <v>24/07/2026</v>
      </c>
      <c r="M772" s="23">
        <f t="shared" si="259"/>
        <v>0.625</v>
      </c>
      <c r="N772" t="str">
        <f t="shared" si="261"/>
        <v>1 - 1</v>
      </c>
      <c r="O772" t="str">
        <f t="shared" si="262"/>
        <v>Red</v>
      </c>
      <c r="P772" t="str">
        <f t="shared" si="263"/>
        <v>Green</v>
      </c>
      <c r="Q772" t="str">
        <f t="shared" si="264"/>
        <v>Red</v>
      </c>
      <c r="R772" t="str">
        <f t="shared" si="265"/>
        <v>Green</v>
      </c>
      <c r="S772" t="str">
        <f t="shared" si="266"/>
        <v>Green</v>
      </c>
      <c r="T772" t="str">
        <f t="shared" si="267"/>
        <v>Red</v>
      </c>
      <c r="U772" t="str">
        <f t="shared" si="268"/>
        <v>Red</v>
      </c>
      <c r="V772" t="str">
        <f t="shared" si="269"/>
        <v>Green</v>
      </c>
      <c r="W772" t="str">
        <f t="shared" si="270"/>
        <v>Red</v>
      </c>
      <c r="X772" t="str">
        <f t="shared" si="271"/>
        <v>Red</v>
      </c>
      <c r="Y772" t="str">
        <f t="shared" si="272"/>
        <v>Green</v>
      </c>
      <c r="Z772" t="str">
        <f t="shared" si="273"/>
        <v>Red</v>
      </c>
      <c r="AA772" t="str">
        <f t="shared" si="274"/>
        <v>Green</v>
      </c>
      <c r="AB772" t="str">
        <f t="shared" si="275"/>
        <v>Green</v>
      </c>
      <c r="AC772" t="str">
        <f t="shared" si="276"/>
        <v>Green</v>
      </c>
      <c r="AD772" t="str">
        <f t="shared" si="277"/>
        <v>Red</v>
      </c>
    </row>
    <row r="773" spans="1:30" x14ac:dyDescent="0.2">
      <c r="A773" t="str">
        <f t="shared" si="260"/>
        <v>24/07/2026Ebbsfleet UnitedCardiff MU</v>
      </c>
      <c r="D773" s="2">
        <v>46227</v>
      </c>
      <c r="E773" s="3">
        <v>0.75</v>
      </c>
      <c r="F773" t="s">
        <v>1473</v>
      </c>
      <c r="G773" t="s">
        <v>2694</v>
      </c>
      <c r="H773">
        <v>1</v>
      </c>
      <c r="I773">
        <v>0</v>
      </c>
      <c r="J773">
        <v>1</v>
      </c>
      <c r="K773">
        <v>1</v>
      </c>
      <c r="L773" s="22" t="str">
        <f t="shared" si="258"/>
        <v>24/07/2026</v>
      </c>
      <c r="M773" s="23">
        <f t="shared" si="259"/>
        <v>0.625</v>
      </c>
      <c r="N773" t="str">
        <f t="shared" si="261"/>
        <v>1 - 1</v>
      </c>
      <c r="O773" t="str">
        <f t="shared" si="262"/>
        <v>Red</v>
      </c>
      <c r="P773" t="str">
        <f t="shared" si="263"/>
        <v>Green</v>
      </c>
      <c r="Q773" t="str">
        <f t="shared" si="264"/>
        <v>Red</v>
      </c>
      <c r="R773" t="str">
        <f t="shared" si="265"/>
        <v>Green</v>
      </c>
      <c r="S773" t="str">
        <f t="shared" si="266"/>
        <v>Green</v>
      </c>
      <c r="T773" t="str">
        <f t="shared" si="267"/>
        <v>Red</v>
      </c>
      <c r="U773" t="str">
        <f t="shared" si="268"/>
        <v>Green</v>
      </c>
      <c r="V773" t="str">
        <f t="shared" si="269"/>
        <v>Red</v>
      </c>
      <c r="W773" t="str">
        <f t="shared" si="270"/>
        <v>Red</v>
      </c>
      <c r="X773" t="str">
        <f t="shared" si="271"/>
        <v>Green</v>
      </c>
      <c r="Y773" t="str">
        <f t="shared" si="272"/>
        <v>Green</v>
      </c>
      <c r="Z773" t="str">
        <f t="shared" si="273"/>
        <v>Red</v>
      </c>
      <c r="AA773" t="str">
        <f t="shared" si="274"/>
        <v>Green</v>
      </c>
      <c r="AB773" t="str">
        <f t="shared" si="275"/>
        <v>Green</v>
      </c>
      <c r="AC773" t="str">
        <f t="shared" si="276"/>
        <v>Green</v>
      </c>
      <c r="AD773" t="str">
        <f t="shared" si="277"/>
        <v>Red</v>
      </c>
    </row>
    <row r="774" spans="1:30" x14ac:dyDescent="0.2">
      <c r="A774" t="str">
        <f t="shared" si="260"/>
        <v>24/07/2026Eintracht BraunschweigSouthampton</v>
      </c>
      <c r="D774" s="2">
        <v>46227</v>
      </c>
      <c r="E774" s="3">
        <v>0.75</v>
      </c>
      <c r="F774" t="s">
        <v>2079</v>
      </c>
      <c r="G774" t="s">
        <v>2695</v>
      </c>
      <c r="H774">
        <v>0</v>
      </c>
      <c r="I774">
        <v>1</v>
      </c>
      <c r="J774">
        <v>0</v>
      </c>
      <c r="K774">
        <v>1</v>
      </c>
      <c r="L774" s="22" t="str">
        <f t="shared" si="258"/>
        <v>24/07/2026</v>
      </c>
      <c r="M774" s="23">
        <f t="shared" si="259"/>
        <v>0.625</v>
      </c>
      <c r="N774" t="str">
        <f t="shared" si="261"/>
        <v>0 - 1</v>
      </c>
      <c r="O774" t="str">
        <f t="shared" si="262"/>
        <v>Red</v>
      </c>
      <c r="P774" t="str">
        <f t="shared" si="263"/>
        <v>Red</v>
      </c>
      <c r="Q774" t="str">
        <f t="shared" si="264"/>
        <v>Green</v>
      </c>
      <c r="R774" t="str">
        <f t="shared" si="265"/>
        <v>Red</v>
      </c>
      <c r="S774" t="str">
        <f t="shared" si="266"/>
        <v>Green</v>
      </c>
      <c r="T774" t="str">
        <f t="shared" si="267"/>
        <v>Green</v>
      </c>
      <c r="U774" t="str">
        <f t="shared" si="268"/>
        <v>Red</v>
      </c>
      <c r="V774" t="str">
        <f t="shared" si="269"/>
        <v>Red</v>
      </c>
      <c r="W774" t="str">
        <f t="shared" si="270"/>
        <v>Green</v>
      </c>
      <c r="X774" t="str">
        <f t="shared" si="271"/>
        <v>Green</v>
      </c>
      <c r="Y774" t="str">
        <f t="shared" si="272"/>
        <v>Red</v>
      </c>
      <c r="Z774" t="str">
        <f t="shared" si="273"/>
        <v>Red</v>
      </c>
      <c r="AA774" t="str">
        <f t="shared" si="274"/>
        <v>Green</v>
      </c>
      <c r="AB774" t="str">
        <f t="shared" si="275"/>
        <v>Green</v>
      </c>
      <c r="AC774" t="str">
        <f t="shared" si="276"/>
        <v>Red</v>
      </c>
      <c r="AD774" t="str">
        <f t="shared" si="277"/>
        <v>Green</v>
      </c>
    </row>
    <row r="775" spans="1:30" x14ac:dyDescent="0.2">
      <c r="A775" t="str">
        <f t="shared" si="260"/>
        <v>24/07/2026GalatasaraySSD Monza</v>
      </c>
      <c r="D775" s="2">
        <v>46227</v>
      </c>
      <c r="E775" s="3">
        <v>0.75</v>
      </c>
      <c r="F775" t="s">
        <v>2696</v>
      </c>
      <c r="G775" t="s">
        <v>2697</v>
      </c>
      <c r="H775">
        <v>0</v>
      </c>
      <c r="I775">
        <v>1</v>
      </c>
      <c r="J775">
        <v>0</v>
      </c>
      <c r="K775">
        <v>2</v>
      </c>
      <c r="L775" s="22" t="str">
        <f t="shared" si="258"/>
        <v>24/07/2026</v>
      </c>
      <c r="M775" s="23">
        <f t="shared" si="259"/>
        <v>0.625</v>
      </c>
      <c r="N775" t="str">
        <f t="shared" si="261"/>
        <v>0 - 2</v>
      </c>
      <c r="O775" t="str">
        <f t="shared" si="262"/>
        <v>Red</v>
      </c>
      <c r="P775" t="str">
        <f t="shared" si="263"/>
        <v>Red</v>
      </c>
      <c r="Q775" t="str">
        <f t="shared" si="264"/>
        <v>Green</v>
      </c>
      <c r="R775" t="str">
        <f t="shared" si="265"/>
        <v>Red</v>
      </c>
      <c r="S775" t="str">
        <f t="shared" si="266"/>
        <v>Green</v>
      </c>
      <c r="T775" t="str">
        <f t="shared" si="267"/>
        <v>Green</v>
      </c>
      <c r="U775" t="str">
        <f t="shared" si="268"/>
        <v>Red</v>
      </c>
      <c r="V775" t="str">
        <f t="shared" si="269"/>
        <v>Red</v>
      </c>
      <c r="W775" t="str">
        <f t="shared" si="270"/>
        <v>Green</v>
      </c>
      <c r="X775" t="str">
        <f t="shared" si="271"/>
        <v>Green</v>
      </c>
      <c r="Y775" t="str">
        <f t="shared" si="272"/>
        <v>Green</v>
      </c>
      <c r="Z775" t="str">
        <f t="shared" si="273"/>
        <v>Red</v>
      </c>
      <c r="AA775" t="str">
        <f t="shared" si="274"/>
        <v>Green</v>
      </c>
      <c r="AB775" t="str">
        <f t="shared" si="275"/>
        <v>Green</v>
      </c>
      <c r="AC775" t="str">
        <f t="shared" si="276"/>
        <v>Red</v>
      </c>
      <c r="AD775" t="str">
        <f t="shared" si="277"/>
        <v>Green</v>
      </c>
    </row>
    <row r="776" spans="1:30" x14ac:dyDescent="0.2">
      <c r="A776" t="str">
        <f t="shared" si="260"/>
        <v>24/07/2026Yate TownBristol Rovers</v>
      </c>
      <c r="D776" s="2">
        <v>46227</v>
      </c>
      <c r="E776" s="3">
        <v>0.75</v>
      </c>
      <c r="F776" t="s">
        <v>2698</v>
      </c>
      <c r="G776" t="s">
        <v>1476</v>
      </c>
      <c r="L776" s="22" t="str">
        <f t="shared" si="258"/>
        <v>24/07/2026</v>
      </c>
      <c r="M776" s="23">
        <f t="shared" si="259"/>
        <v>0.625</v>
      </c>
      <c r="N776" t="str">
        <f t="shared" si="261"/>
        <v xml:space="preserve"> - </v>
      </c>
      <c r="O776" t="str">
        <f t="shared" si="262"/>
        <v>Red</v>
      </c>
      <c r="P776" t="str">
        <f t="shared" si="263"/>
        <v>Green</v>
      </c>
      <c r="Q776" t="str">
        <f t="shared" si="264"/>
        <v>Red</v>
      </c>
      <c r="R776" t="str">
        <f t="shared" si="265"/>
        <v>Green</v>
      </c>
      <c r="S776" t="str">
        <f t="shared" si="266"/>
        <v>Green</v>
      </c>
      <c r="T776" t="str">
        <f t="shared" si="267"/>
        <v>Red</v>
      </c>
      <c r="U776" t="str">
        <f t="shared" si="268"/>
        <v>Red</v>
      </c>
      <c r="V776" t="str">
        <f t="shared" si="269"/>
        <v>Green</v>
      </c>
      <c r="W776" t="str">
        <f t="shared" si="270"/>
        <v>Red</v>
      </c>
      <c r="X776" t="str">
        <f t="shared" si="271"/>
        <v>Red</v>
      </c>
      <c r="Y776" t="str">
        <f t="shared" si="272"/>
        <v>Red</v>
      </c>
      <c r="Z776" t="str">
        <f t="shared" si="273"/>
        <v>Red</v>
      </c>
      <c r="AA776" t="str">
        <f t="shared" si="274"/>
        <v>Green</v>
      </c>
      <c r="AB776" t="str">
        <f t="shared" si="275"/>
        <v>Green</v>
      </c>
      <c r="AC776" t="str">
        <f t="shared" si="276"/>
        <v>Red</v>
      </c>
      <c r="AD776" t="str">
        <f t="shared" si="277"/>
        <v>Green</v>
      </c>
    </row>
    <row r="777" spans="1:30" x14ac:dyDescent="0.2">
      <c r="A777" t="str">
        <f t="shared" si="260"/>
        <v>24/07/2026Arda KardzhaliSlavia</v>
      </c>
      <c r="D777" s="2">
        <v>46227</v>
      </c>
      <c r="E777" s="3">
        <v>0.76041666666666663</v>
      </c>
      <c r="F777" t="s">
        <v>2387</v>
      </c>
      <c r="G777" t="s">
        <v>304</v>
      </c>
      <c r="H777">
        <v>0</v>
      </c>
      <c r="I777">
        <v>0</v>
      </c>
      <c r="J777">
        <v>1</v>
      </c>
      <c r="K777">
        <v>0</v>
      </c>
      <c r="L777" s="22" t="str">
        <f t="shared" si="258"/>
        <v>24/07/2026</v>
      </c>
      <c r="M777" s="23">
        <f t="shared" si="259"/>
        <v>0.63541666666666663</v>
      </c>
      <c r="N777" t="str">
        <f t="shared" si="261"/>
        <v>1 - 0</v>
      </c>
      <c r="O777" t="str">
        <f t="shared" si="262"/>
        <v>Green</v>
      </c>
      <c r="P777" t="str">
        <f t="shared" si="263"/>
        <v>Red</v>
      </c>
      <c r="Q777" t="str">
        <f t="shared" si="264"/>
        <v>Red</v>
      </c>
      <c r="R777" t="str">
        <f t="shared" si="265"/>
        <v>Green</v>
      </c>
      <c r="S777" t="str">
        <f t="shared" si="266"/>
        <v>Red</v>
      </c>
      <c r="T777" t="str">
        <f t="shared" si="267"/>
        <v>Green</v>
      </c>
      <c r="U777" t="str">
        <f t="shared" si="268"/>
        <v>Red</v>
      </c>
      <c r="V777" t="str">
        <f t="shared" si="269"/>
        <v>Green</v>
      </c>
      <c r="W777" t="str">
        <f t="shared" si="270"/>
        <v>Red</v>
      </c>
      <c r="X777" t="str">
        <f t="shared" si="271"/>
        <v>Red</v>
      </c>
      <c r="Y777" t="str">
        <f t="shared" si="272"/>
        <v>Red</v>
      </c>
      <c r="Z777" t="str">
        <f t="shared" si="273"/>
        <v>Red</v>
      </c>
      <c r="AA777" t="str">
        <f t="shared" si="274"/>
        <v>Green</v>
      </c>
      <c r="AB777" t="str">
        <f t="shared" si="275"/>
        <v>Green</v>
      </c>
      <c r="AC777" t="str">
        <f t="shared" si="276"/>
        <v>Red</v>
      </c>
      <c r="AD777" t="str">
        <f t="shared" si="277"/>
        <v>Green</v>
      </c>
    </row>
    <row r="778" spans="1:30" x14ac:dyDescent="0.2">
      <c r="A778" t="str">
        <f t="shared" si="260"/>
        <v>24/07/2026Etoile CarougeAarau</v>
      </c>
      <c r="D778" s="2">
        <v>46227</v>
      </c>
      <c r="E778" s="3">
        <v>0.76041666666666663</v>
      </c>
      <c r="F778" t="s">
        <v>2606</v>
      </c>
      <c r="G778" t="s">
        <v>2607</v>
      </c>
      <c r="H778">
        <v>0</v>
      </c>
      <c r="I778">
        <v>0</v>
      </c>
      <c r="J778">
        <v>3</v>
      </c>
      <c r="K778">
        <v>0</v>
      </c>
      <c r="L778" s="22" t="str">
        <f t="shared" si="258"/>
        <v>24/07/2026</v>
      </c>
      <c r="M778" s="23">
        <f t="shared" si="259"/>
        <v>0.63541666666666663</v>
      </c>
      <c r="N778" t="str">
        <f t="shared" si="261"/>
        <v>3 - 0</v>
      </c>
      <c r="O778" t="str">
        <f t="shared" si="262"/>
        <v>Green</v>
      </c>
      <c r="P778" t="str">
        <f t="shared" si="263"/>
        <v>Red</v>
      </c>
      <c r="Q778" t="str">
        <f t="shared" si="264"/>
        <v>Red</v>
      </c>
      <c r="R778" t="str">
        <f t="shared" si="265"/>
        <v>Green</v>
      </c>
      <c r="S778" t="str">
        <f t="shared" si="266"/>
        <v>Red</v>
      </c>
      <c r="T778" t="str">
        <f t="shared" si="267"/>
        <v>Green</v>
      </c>
      <c r="U778" t="str">
        <f t="shared" si="268"/>
        <v>Red</v>
      </c>
      <c r="V778" t="str">
        <f t="shared" si="269"/>
        <v>Green</v>
      </c>
      <c r="W778" t="str">
        <f t="shared" si="270"/>
        <v>Red</v>
      </c>
      <c r="X778" t="str">
        <f t="shared" si="271"/>
        <v>Red</v>
      </c>
      <c r="Y778" t="str">
        <f t="shared" si="272"/>
        <v>Green</v>
      </c>
      <c r="Z778" t="str">
        <f t="shared" si="273"/>
        <v>Green</v>
      </c>
      <c r="AA778" t="str">
        <f t="shared" si="274"/>
        <v>Red</v>
      </c>
      <c r="AB778" t="str">
        <f t="shared" si="275"/>
        <v>Green</v>
      </c>
      <c r="AC778" t="str">
        <f t="shared" si="276"/>
        <v>Red</v>
      </c>
      <c r="AD778" t="str">
        <f t="shared" si="277"/>
        <v>Green</v>
      </c>
    </row>
    <row r="779" spans="1:30" x14ac:dyDescent="0.2">
      <c r="A779" t="str">
        <f t="shared" si="260"/>
        <v>24/07/2026WinterthurYverdon Sport FC</v>
      </c>
      <c r="D779" s="2">
        <v>46227</v>
      </c>
      <c r="E779" s="3">
        <v>0.76041666666666663</v>
      </c>
      <c r="F779" t="s">
        <v>2608</v>
      </c>
      <c r="G779" t="s">
        <v>2609</v>
      </c>
      <c r="H779">
        <v>0</v>
      </c>
      <c r="I779">
        <v>0</v>
      </c>
      <c r="J779">
        <v>2</v>
      </c>
      <c r="K779">
        <v>2</v>
      </c>
      <c r="L779" s="22" t="str">
        <f t="shared" si="258"/>
        <v>24/07/2026</v>
      </c>
      <c r="M779" s="23">
        <f t="shared" si="259"/>
        <v>0.63541666666666663</v>
      </c>
      <c r="N779" t="str">
        <f t="shared" si="261"/>
        <v>2 - 2</v>
      </c>
      <c r="O779" t="str">
        <f t="shared" si="262"/>
        <v>Red</v>
      </c>
      <c r="P779" t="str">
        <f t="shared" si="263"/>
        <v>Green</v>
      </c>
      <c r="Q779" t="str">
        <f t="shared" si="264"/>
        <v>Red</v>
      </c>
      <c r="R779" t="str">
        <f t="shared" si="265"/>
        <v>Green</v>
      </c>
      <c r="S779" t="str">
        <f t="shared" si="266"/>
        <v>Green</v>
      </c>
      <c r="T779" t="str">
        <f t="shared" si="267"/>
        <v>Red</v>
      </c>
      <c r="U779" t="str">
        <f t="shared" si="268"/>
        <v>Red</v>
      </c>
      <c r="V779" t="str">
        <f t="shared" si="269"/>
        <v>Green</v>
      </c>
      <c r="W779" t="str">
        <f t="shared" si="270"/>
        <v>Red</v>
      </c>
      <c r="X779" t="str">
        <f t="shared" si="271"/>
        <v>Red</v>
      </c>
      <c r="Y779" t="str">
        <f t="shared" si="272"/>
        <v>Green</v>
      </c>
      <c r="Z779" t="str">
        <f t="shared" si="273"/>
        <v>Green</v>
      </c>
      <c r="AA779" t="str">
        <f t="shared" si="274"/>
        <v>Red</v>
      </c>
      <c r="AB779" t="str">
        <f t="shared" si="275"/>
        <v>Red</v>
      </c>
      <c r="AC779" t="str">
        <f t="shared" si="276"/>
        <v>Green</v>
      </c>
      <c r="AD779" t="str">
        <f t="shared" si="277"/>
        <v>Red</v>
      </c>
    </row>
    <row r="780" spans="1:30" x14ac:dyDescent="0.2">
      <c r="A780" t="str">
        <f t="shared" si="260"/>
        <v>24/07/2026SV SeekirchenSturm Graz</v>
      </c>
      <c r="B780" t="s">
        <v>2326</v>
      </c>
      <c r="C780" t="s">
        <v>2327</v>
      </c>
      <c r="D780" s="2">
        <v>46227</v>
      </c>
      <c r="E780" s="3">
        <v>0.77083333333333337</v>
      </c>
      <c r="F780" t="s">
        <v>2350</v>
      </c>
      <c r="G780" t="s">
        <v>366</v>
      </c>
      <c r="H780">
        <v>0</v>
      </c>
      <c r="I780">
        <v>1</v>
      </c>
      <c r="J780">
        <v>0</v>
      </c>
      <c r="K780">
        <v>3</v>
      </c>
      <c r="L780" s="22" t="str">
        <f t="shared" si="258"/>
        <v>24/07/2026</v>
      </c>
      <c r="M780" s="23">
        <f t="shared" si="259"/>
        <v>0.64583333333333337</v>
      </c>
      <c r="N780" t="str">
        <f t="shared" si="261"/>
        <v>0 - 3</v>
      </c>
      <c r="O780" t="str">
        <f t="shared" si="262"/>
        <v>Red</v>
      </c>
      <c r="P780" t="str">
        <f t="shared" si="263"/>
        <v>Red</v>
      </c>
      <c r="Q780" t="str">
        <f t="shared" si="264"/>
        <v>Green</v>
      </c>
      <c r="R780" t="str">
        <f t="shared" si="265"/>
        <v>Red</v>
      </c>
      <c r="S780" t="str">
        <f t="shared" si="266"/>
        <v>Green</v>
      </c>
      <c r="T780" t="str">
        <f t="shared" si="267"/>
        <v>Green</v>
      </c>
      <c r="U780" t="str">
        <f t="shared" si="268"/>
        <v>Red</v>
      </c>
      <c r="V780" t="str">
        <f t="shared" si="269"/>
        <v>Red</v>
      </c>
      <c r="W780" t="str">
        <f t="shared" si="270"/>
        <v>Green</v>
      </c>
      <c r="X780" t="str">
        <f t="shared" si="271"/>
        <v>Green</v>
      </c>
      <c r="Y780" t="str">
        <f t="shared" si="272"/>
        <v>Green</v>
      </c>
      <c r="Z780" t="str">
        <f t="shared" si="273"/>
        <v>Green</v>
      </c>
      <c r="AA780" t="str">
        <f t="shared" si="274"/>
        <v>Red</v>
      </c>
      <c r="AB780" t="str">
        <f t="shared" si="275"/>
        <v>Green</v>
      </c>
      <c r="AC780" t="str">
        <f t="shared" si="276"/>
        <v>Red</v>
      </c>
      <c r="AD780" t="str">
        <f t="shared" si="277"/>
        <v>Green</v>
      </c>
    </row>
    <row r="781" spans="1:30" x14ac:dyDescent="0.2">
      <c r="A781" t="str">
        <f t="shared" si="260"/>
        <v>24/07/2026Al AhedAl Ansar</v>
      </c>
      <c r="D781" s="2">
        <v>46227</v>
      </c>
      <c r="E781" s="3">
        <v>0.77083333333333337</v>
      </c>
      <c r="F781" t="s">
        <v>286</v>
      </c>
      <c r="G781" t="s">
        <v>285</v>
      </c>
      <c r="H781">
        <v>0</v>
      </c>
      <c r="I781">
        <v>0</v>
      </c>
      <c r="J781">
        <v>1</v>
      </c>
      <c r="K781">
        <v>1</v>
      </c>
      <c r="L781" s="22" t="str">
        <f t="shared" ref="L781:L847" si="278">DAY(D781)&amp;"/"&amp;"07"&amp;"/"&amp;YEAR(D781)</f>
        <v>24/07/2026</v>
      </c>
      <c r="M781" s="23">
        <f t="shared" ref="M781:M847" si="279">E781-TIME(3,0,0)</f>
        <v>0.64583333333333337</v>
      </c>
      <c r="N781" t="str">
        <f t="shared" si="261"/>
        <v>1 - 1</v>
      </c>
      <c r="O781" t="str">
        <f t="shared" si="262"/>
        <v>Red</v>
      </c>
      <c r="P781" t="str">
        <f t="shared" si="263"/>
        <v>Green</v>
      </c>
      <c r="Q781" t="str">
        <f t="shared" si="264"/>
        <v>Red</v>
      </c>
      <c r="R781" t="str">
        <f t="shared" si="265"/>
        <v>Green</v>
      </c>
      <c r="S781" t="str">
        <f t="shared" si="266"/>
        <v>Green</v>
      </c>
      <c r="T781" t="str">
        <f t="shared" si="267"/>
        <v>Red</v>
      </c>
      <c r="U781" t="str">
        <f t="shared" si="268"/>
        <v>Red</v>
      </c>
      <c r="V781" t="str">
        <f t="shared" si="269"/>
        <v>Green</v>
      </c>
      <c r="W781" t="str">
        <f t="shared" si="270"/>
        <v>Red</v>
      </c>
      <c r="X781" t="str">
        <f t="shared" si="271"/>
        <v>Red</v>
      </c>
      <c r="Y781" t="str">
        <f t="shared" si="272"/>
        <v>Green</v>
      </c>
      <c r="Z781" t="str">
        <f t="shared" si="273"/>
        <v>Red</v>
      </c>
      <c r="AA781" t="str">
        <f t="shared" si="274"/>
        <v>Green</v>
      </c>
      <c r="AB781" t="str">
        <f t="shared" si="275"/>
        <v>Green</v>
      </c>
      <c r="AC781" t="str">
        <f t="shared" si="276"/>
        <v>Green</v>
      </c>
      <c r="AD781" t="str">
        <f t="shared" si="277"/>
        <v>Red</v>
      </c>
    </row>
    <row r="782" spans="1:30" x14ac:dyDescent="0.2">
      <c r="A782" t="str">
        <f t="shared" si="260"/>
        <v>24/07/2026Al NejmehJwaya</v>
      </c>
      <c r="D782" s="2">
        <v>46227</v>
      </c>
      <c r="E782" s="3">
        <v>0.77083333333333337</v>
      </c>
      <c r="F782" t="s">
        <v>284</v>
      </c>
      <c r="G782" t="s">
        <v>287</v>
      </c>
      <c r="H782">
        <v>0</v>
      </c>
      <c r="I782">
        <v>0</v>
      </c>
      <c r="J782">
        <v>2</v>
      </c>
      <c r="K782">
        <v>1</v>
      </c>
      <c r="L782" s="22" t="str">
        <f t="shared" si="278"/>
        <v>24/07/2026</v>
      </c>
      <c r="M782" s="23">
        <f t="shared" si="279"/>
        <v>0.64583333333333337</v>
      </c>
      <c r="N782" t="str">
        <f t="shared" si="261"/>
        <v>2 - 1</v>
      </c>
      <c r="O782" t="str">
        <f t="shared" si="262"/>
        <v>Green</v>
      </c>
      <c r="P782" t="str">
        <f t="shared" si="263"/>
        <v>Red</v>
      </c>
      <c r="Q782" t="str">
        <f t="shared" si="264"/>
        <v>Red</v>
      </c>
      <c r="R782" t="str">
        <f t="shared" si="265"/>
        <v>Green</v>
      </c>
      <c r="S782" t="str">
        <f t="shared" si="266"/>
        <v>Red</v>
      </c>
      <c r="T782" t="str">
        <f t="shared" si="267"/>
        <v>Green</v>
      </c>
      <c r="U782" t="str">
        <f t="shared" si="268"/>
        <v>Red</v>
      </c>
      <c r="V782" t="str">
        <f t="shared" si="269"/>
        <v>Green</v>
      </c>
      <c r="W782" t="str">
        <f t="shared" si="270"/>
        <v>Red</v>
      </c>
      <c r="X782" t="str">
        <f t="shared" si="271"/>
        <v>Red</v>
      </c>
      <c r="Y782" t="str">
        <f t="shared" si="272"/>
        <v>Green</v>
      </c>
      <c r="Z782" t="str">
        <f t="shared" si="273"/>
        <v>Green</v>
      </c>
      <c r="AA782" t="str">
        <f t="shared" si="274"/>
        <v>Red</v>
      </c>
      <c r="AB782" t="str">
        <f t="shared" si="275"/>
        <v>Green</v>
      </c>
      <c r="AC782" t="str">
        <f t="shared" si="276"/>
        <v>Green</v>
      </c>
      <c r="AD782" t="str">
        <f t="shared" si="277"/>
        <v>Red</v>
      </c>
    </row>
    <row r="783" spans="1:30" x14ac:dyDescent="0.2">
      <c r="A783" t="str">
        <f t="shared" si="260"/>
        <v>24/07/2026Pogon SzczecinLegia</v>
      </c>
      <c r="D783" s="2">
        <v>46227</v>
      </c>
      <c r="E783" s="3">
        <v>0.77083333333333337</v>
      </c>
      <c r="F783" t="s">
        <v>2554</v>
      </c>
      <c r="G783" t="s">
        <v>2555</v>
      </c>
      <c r="H783">
        <v>0</v>
      </c>
      <c r="I783">
        <v>0</v>
      </c>
      <c r="J783">
        <v>0</v>
      </c>
      <c r="K783">
        <v>1</v>
      </c>
      <c r="L783" s="22" t="str">
        <f t="shared" si="278"/>
        <v>24/07/2026</v>
      </c>
      <c r="M783" s="23">
        <f t="shared" si="279"/>
        <v>0.64583333333333337</v>
      </c>
      <c r="N783" t="str">
        <f t="shared" si="261"/>
        <v>0 - 1</v>
      </c>
      <c r="O783" t="str">
        <f t="shared" si="262"/>
        <v>Red</v>
      </c>
      <c r="P783" t="str">
        <f t="shared" si="263"/>
        <v>Red</v>
      </c>
      <c r="Q783" t="str">
        <f t="shared" si="264"/>
        <v>Green</v>
      </c>
      <c r="R783" t="str">
        <f t="shared" si="265"/>
        <v>Red</v>
      </c>
      <c r="S783" t="str">
        <f t="shared" si="266"/>
        <v>Green</v>
      </c>
      <c r="T783" t="str">
        <f t="shared" si="267"/>
        <v>Green</v>
      </c>
      <c r="U783" t="str">
        <f t="shared" si="268"/>
        <v>Red</v>
      </c>
      <c r="V783" t="str">
        <f t="shared" si="269"/>
        <v>Green</v>
      </c>
      <c r="W783" t="str">
        <f t="shared" si="270"/>
        <v>Red</v>
      </c>
      <c r="X783" t="str">
        <f t="shared" si="271"/>
        <v>Red</v>
      </c>
      <c r="Y783" t="str">
        <f t="shared" si="272"/>
        <v>Red</v>
      </c>
      <c r="Z783" t="str">
        <f t="shared" si="273"/>
        <v>Red</v>
      </c>
      <c r="AA783" t="str">
        <f t="shared" si="274"/>
        <v>Green</v>
      </c>
      <c r="AB783" t="str">
        <f t="shared" si="275"/>
        <v>Green</v>
      </c>
      <c r="AC783" t="str">
        <f t="shared" si="276"/>
        <v>Red</v>
      </c>
      <c r="AD783" t="str">
        <f t="shared" si="277"/>
        <v>Green</v>
      </c>
    </row>
    <row r="784" spans="1:30" x14ac:dyDescent="0.2">
      <c r="A784" t="str">
        <f t="shared" si="260"/>
        <v>24/07/2026SCM Argesul PitestiPetrolul Ploiesti</v>
      </c>
      <c r="D784" s="2">
        <v>46227</v>
      </c>
      <c r="E784" s="3">
        <v>0.77083333333333337</v>
      </c>
      <c r="F784" t="s">
        <v>2564</v>
      </c>
      <c r="G784" t="s">
        <v>2565</v>
      </c>
      <c r="H784">
        <v>1</v>
      </c>
      <c r="I784">
        <v>0</v>
      </c>
      <c r="J784">
        <v>1</v>
      </c>
      <c r="K784">
        <v>0</v>
      </c>
      <c r="L784" s="22" t="str">
        <f t="shared" si="278"/>
        <v>24/07/2026</v>
      </c>
      <c r="M784" s="23">
        <f t="shared" si="279"/>
        <v>0.64583333333333337</v>
      </c>
      <c r="N784" t="str">
        <f t="shared" si="261"/>
        <v>1 - 0</v>
      </c>
      <c r="O784" t="str">
        <f t="shared" si="262"/>
        <v>Green</v>
      </c>
      <c r="P784" t="str">
        <f t="shared" si="263"/>
        <v>Red</v>
      </c>
      <c r="Q784" t="str">
        <f t="shared" si="264"/>
        <v>Red</v>
      </c>
      <c r="R784" t="str">
        <f t="shared" si="265"/>
        <v>Green</v>
      </c>
      <c r="S784" t="str">
        <f t="shared" si="266"/>
        <v>Red</v>
      </c>
      <c r="T784" t="str">
        <f t="shared" si="267"/>
        <v>Green</v>
      </c>
      <c r="U784" t="str">
        <f t="shared" si="268"/>
        <v>Green</v>
      </c>
      <c r="V784" t="str">
        <f t="shared" si="269"/>
        <v>Red</v>
      </c>
      <c r="W784" t="str">
        <f t="shared" si="270"/>
        <v>Red</v>
      </c>
      <c r="X784" t="str">
        <f t="shared" si="271"/>
        <v>Green</v>
      </c>
      <c r="Y784" t="str">
        <f t="shared" si="272"/>
        <v>Red</v>
      </c>
      <c r="Z784" t="str">
        <f t="shared" si="273"/>
        <v>Red</v>
      </c>
      <c r="AA784" t="str">
        <f t="shared" si="274"/>
        <v>Green</v>
      </c>
      <c r="AB784" t="str">
        <f t="shared" si="275"/>
        <v>Green</v>
      </c>
      <c r="AC784" t="str">
        <f t="shared" si="276"/>
        <v>Red</v>
      </c>
      <c r="AD784" t="str">
        <f t="shared" si="277"/>
        <v>Green</v>
      </c>
    </row>
    <row r="785" spans="1:30" x14ac:dyDescent="0.2">
      <c r="A785" t="str">
        <f t="shared" si="260"/>
        <v>24/07/2026Felixstowe &amp; Walton UnitedNeedham Market</v>
      </c>
      <c r="D785" s="2">
        <v>46227</v>
      </c>
      <c r="E785" s="3">
        <v>0.77083333333333337</v>
      </c>
      <c r="F785" t="s">
        <v>2699</v>
      </c>
      <c r="G785" t="s">
        <v>1559</v>
      </c>
      <c r="H785">
        <v>0</v>
      </c>
      <c r="I785">
        <v>1</v>
      </c>
      <c r="J785">
        <v>1</v>
      </c>
      <c r="K785">
        <v>1</v>
      </c>
      <c r="L785" s="22" t="str">
        <f t="shared" si="278"/>
        <v>24/07/2026</v>
      </c>
      <c r="M785" s="23">
        <f t="shared" si="279"/>
        <v>0.64583333333333337</v>
      </c>
      <c r="N785" t="str">
        <f t="shared" si="261"/>
        <v>1 - 1</v>
      </c>
      <c r="O785" t="str">
        <f t="shared" si="262"/>
        <v>Red</v>
      </c>
      <c r="P785" t="str">
        <f t="shared" si="263"/>
        <v>Green</v>
      </c>
      <c r="Q785" t="str">
        <f t="shared" si="264"/>
        <v>Red</v>
      </c>
      <c r="R785" t="str">
        <f t="shared" si="265"/>
        <v>Green</v>
      </c>
      <c r="S785" t="str">
        <f t="shared" si="266"/>
        <v>Green</v>
      </c>
      <c r="T785" t="str">
        <f t="shared" si="267"/>
        <v>Red</v>
      </c>
      <c r="U785" t="str">
        <f t="shared" si="268"/>
        <v>Red</v>
      </c>
      <c r="V785" t="str">
        <f t="shared" si="269"/>
        <v>Red</v>
      </c>
      <c r="W785" t="str">
        <f t="shared" si="270"/>
        <v>Green</v>
      </c>
      <c r="X785" t="str">
        <f t="shared" si="271"/>
        <v>Green</v>
      </c>
      <c r="Y785" t="str">
        <f t="shared" si="272"/>
        <v>Green</v>
      </c>
      <c r="Z785" t="str">
        <f t="shared" si="273"/>
        <v>Red</v>
      </c>
      <c r="AA785" t="str">
        <f t="shared" si="274"/>
        <v>Green</v>
      </c>
      <c r="AB785" t="str">
        <f t="shared" si="275"/>
        <v>Green</v>
      </c>
      <c r="AC785" t="str">
        <f t="shared" si="276"/>
        <v>Green</v>
      </c>
      <c r="AD785" t="str">
        <f t="shared" si="277"/>
        <v>Red</v>
      </c>
    </row>
    <row r="786" spans="1:30" x14ac:dyDescent="0.2">
      <c r="A786" t="str">
        <f t="shared" si="260"/>
        <v>24/07/2026Guiseley AFCBlackburn Rovers U21</v>
      </c>
      <c r="D786" s="2">
        <v>46227</v>
      </c>
      <c r="E786" s="3">
        <v>0.77083333333333337</v>
      </c>
      <c r="F786" t="s">
        <v>1499</v>
      </c>
      <c r="G786" t="s">
        <v>2700</v>
      </c>
      <c r="H786">
        <v>0</v>
      </c>
      <c r="I786">
        <v>1</v>
      </c>
      <c r="J786">
        <v>3</v>
      </c>
      <c r="K786">
        <v>2</v>
      </c>
      <c r="L786" s="22" t="str">
        <f t="shared" si="278"/>
        <v>24/07/2026</v>
      </c>
      <c r="M786" s="23">
        <f t="shared" si="279"/>
        <v>0.64583333333333337</v>
      </c>
      <c r="N786" t="str">
        <f t="shared" si="261"/>
        <v>3 - 2</v>
      </c>
      <c r="O786" t="str">
        <f t="shared" si="262"/>
        <v>Green</v>
      </c>
      <c r="P786" t="str">
        <f t="shared" si="263"/>
        <v>Red</v>
      </c>
      <c r="Q786" t="str">
        <f t="shared" si="264"/>
        <v>Red</v>
      </c>
      <c r="R786" t="str">
        <f t="shared" si="265"/>
        <v>Green</v>
      </c>
      <c r="S786" t="str">
        <f t="shared" si="266"/>
        <v>Red</v>
      </c>
      <c r="T786" t="str">
        <f t="shared" si="267"/>
        <v>Green</v>
      </c>
      <c r="U786" t="str">
        <f t="shared" si="268"/>
        <v>Red</v>
      </c>
      <c r="V786" t="str">
        <f t="shared" si="269"/>
        <v>Red</v>
      </c>
      <c r="W786" t="str">
        <f t="shared" si="270"/>
        <v>Green</v>
      </c>
      <c r="X786" t="str">
        <f t="shared" si="271"/>
        <v>Green</v>
      </c>
      <c r="Y786" t="str">
        <f t="shared" si="272"/>
        <v>Green</v>
      </c>
      <c r="Z786" t="str">
        <f t="shared" si="273"/>
        <v>Green</v>
      </c>
      <c r="AA786" t="str">
        <f t="shared" si="274"/>
        <v>Red</v>
      </c>
      <c r="AB786" t="str">
        <f t="shared" si="275"/>
        <v>Red</v>
      </c>
      <c r="AC786" t="str">
        <f t="shared" si="276"/>
        <v>Green</v>
      </c>
      <c r="AD786" t="str">
        <f t="shared" si="277"/>
        <v>Red</v>
      </c>
    </row>
    <row r="787" spans="1:30" x14ac:dyDescent="0.2">
      <c r="A787" t="str">
        <f t="shared" si="260"/>
        <v>24/07/2026Silsden AFCRylands</v>
      </c>
      <c r="D787" s="2">
        <v>46227</v>
      </c>
      <c r="E787" s="3">
        <v>0.77083333333333337</v>
      </c>
      <c r="F787" t="s">
        <v>2701</v>
      </c>
      <c r="G787" t="s">
        <v>2702</v>
      </c>
      <c r="H787">
        <v>0</v>
      </c>
      <c r="I787">
        <v>0</v>
      </c>
      <c r="J787">
        <v>0</v>
      </c>
      <c r="K787">
        <v>1</v>
      </c>
      <c r="L787" s="22" t="str">
        <f t="shared" si="278"/>
        <v>24/07/2026</v>
      </c>
      <c r="M787" s="23">
        <f t="shared" si="279"/>
        <v>0.64583333333333337</v>
      </c>
      <c r="N787" t="str">
        <f t="shared" si="261"/>
        <v>0 - 1</v>
      </c>
      <c r="O787" t="str">
        <f t="shared" si="262"/>
        <v>Red</v>
      </c>
      <c r="P787" t="str">
        <f t="shared" si="263"/>
        <v>Red</v>
      </c>
      <c r="Q787" t="str">
        <f t="shared" si="264"/>
        <v>Green</v>
      </c>
      <c r="R787" t="str">
        <f t="shared" si="265"/>
        <v>Red</v>
      </c>
      <c r="S787" t="str">
        <f t="shared" si="266"/>
        <v>Green</v>
      </c>
      <c r="T787" t="str">
        <f t="shared" si="267"/>
        <v>Green</v>
      </c>
      <c r="U787" t="str">
        <f t="shared" si="268"/>
        <v>Red</v>
      </c>
      <c r="V787" t="str">
        <f t="shared" si="269"/>
        <v>Green</v>
      </c>
      <c r="W787" t="str">
        <f t="shared" si="270"/>
        <v>Red</v>
      </c>
      <c r="X787" t="str">
        <f t="shared" si="271"/>
        <v>Red</v>
      </c>
      <c r="Y787" t="str">
        <f t="shared" si="272"/>
        <v>Red</v>
      </c>
      <c r="Z787" t="str">
        <f t="shared" si="273"/>
        <v>Red</v>
      </c>
      <c r="AA787" t="str">
        <f t="shared" si="274"/>
        <v>Green</v>
      </c>
      <c r="AB787" t="str">
        <f t="shared" si="275"/>
        <v>Green</v>
      </c>
      <c r="AC787" t="str">
        <f t="shared" si="276"/>
        <v>Red</v>
      </c>
      <c r="AD787" t="str">
        <f t="shared" si="277"/>
        <v>Green</v>
      </c>
    </row>
    <row r="788" spans="1:30" x14ac:dyDescent="0.2">
      <c r="A788" t="str">
        <f t="shared" si="260"/>
        <v>24/07/2026Al AnsarAl Ahed</v>
      </c>
      <c r="D788" s="2">
        <v>46227</v>
      </c>
      <c r="E788" s="3">
        <v>0.77085648148148145</v>
      </c>
      <c r="F788" t="s">
        <v>285</v>
      </c>
      <c r="G788" t="s">
        <v>286</v>
      </c>
      <c r="H788">
        <v>1</v>
      </c>
      <c r="I788">
        <v>0</v>
      </c>
      <c r="J788">
        <v>1</v>
      </c>
      <c r="K788">
        <v>1</v>
      </c>
      <c r="L788" s="22" t="str">
        <f t="shared" si="278"/>
        <v>24/07/2026</v>
      </c>
      <c r="M788" s="23">
        <f t="shared" si="279"/>
        <v>0.64585648148148145</v>
      </c>
      <c r="N788" t="str">
        <f t="shared" si="261"/>
        <v>1 - 1</v>
      </c>
      <c r="O788" t="str">
        <f t="shared" si="262"/>
        <v>Red</v>
      </c>
      <c r="P788" t="str">
        <f t="shared" si="263"/>
        <v>Green</v>
      </c>
      <c r="Q788" t="str">
        <f t="shared" si="264"/>
        <v>Red</v>
      </c>
      <c r="R788" t="str">
        <f t="shared" si="265"/>
        <v>Green</v>
      </c>
      <c r="S788" t="str">
        <f t="shared" si="266"/>
        <v>Green</v>
      </c>
      <c r="T788" t="str">
        <f t="shared" si="267"/>
        <v>Red</v>
      </c>
      <c r="U788" t="str">
        <f t="shared" si="268"/>
        <v>Green</v>
      </c>
      <c r="V788" t="str">
        <f t="shared" si="269"/>
        <v>Red</v>
      </c>
      <c r="W788" t="str">
        <f t="shared" si="270"/>
        <v>Red</v>
      </c>
      <c r="X788" t="str">
        <f t="shared" si="271"/>
        <v>Green</v>
      </c>
      <c r="Y788" t="str">
        <f t="shared" si="272"/>
        <v>Green</v>
      </c>
      <c r="Z788" t="str">
        <f t="shared" si="273"/>
        <v>Red</v>
      </c>
      <c r="AA788" t="str">
        <f t="shared" si="274"/>
        <v>Green</v>
      </c>
      <c r="AB788" t="str">
        <f t="shared" si="275"/>
        <v>Green</v>
      </c>
      <c r="AC788" t="str">
        <f t="shared" si="276"/>
        <v>Green</v>
      </c>
      <c r="AD788" t="str">
        <f t="shared" si="277"/>
        <v>Red</v>
      </c>
    </row>
    <row r="789" spans="1:30" x14ac:dyDescent="0.2">
      <c r="A789" t="str">
        <f t="shared" si="260"/>
        <v>24/07/2026Cobh RamblersBray Wanderers</v>
      </c>
      <c r="D789" s="2">
        <v>46227</v>
      </c>
      <c r="E789" s="3">
        <v>0.78125</v>
      </c>
      <c r="F789" t="s">
        <v>149</v>
      </c>
      <c r="G789" t="s">
        <v>2498</v>
      </c>
      <c r="H789">
        <v>1</v>
      </c>
      <c r="I789">
        <v>1</v>
      </c>
      <c r="J789">
        <v>1</v>
      </c>
      <c r="K789">
        <v>2</v>
      </c>
      <c r="L789" s="22" t="str">
        <f t="shared" si="278"/>
        <v>24/07/2026</v>
      </c>
      <c r="M789" s="23">
        <f t="shared" si="279"/>
        <v>0.65625</v>
      </c>
      <c r="N789" t="str">
        <f t="shared" si="261"/>
        <v>1 - 2</v>
      </c>
      <c r="O789" t="str">
        <f t="shared" si="262"/>
        <v>Red</v>
      </c>
      <c r="P789" t="str">
        <f t="shared" si="263"/>
        <v>Red</v>
      </c>
      <c r="Q789" t="str">
        <f t="shared" si="264"/>
        <v>Green</v>
      </c>
      <c r="R789" t="str">
        <f t="shared" si="265"/>
        <v>Red</v>
      </c>
      <c r="S789" t="str">
        <f t="shared" si="266"/>
        <v>Green</v>
      </c>
      <c r="T789" t="str">
        <f t="shared" si="267"/>
        <v>Green</v>
      </c>
      <c r="U789" t="str">
        <f t="shared" si="268"/>
        <v>Red</v>
      </c>
      <c r="V789" t="str">
        <f t="shared" si="269"/>
        <v>Green</v>
      </c>
      <c r="W789" t="str">
        <f t="shared" si="270"/>
        <v>Red</v>
      </c>
      <c r="X789" t="str">
        <f t="shared" si="271"/>
        <v>Green</v>
      </c>
      <c r="Y789" t="str">
        <f t="shared" si="272"/>
        <v>Green</v>
      </c>
      <c r="Z789" t="str">
        <f t="shared" si="273"/>
        <v>Green</v>
      </c>
      <c r="AA789" t="str">
        <f t="shared" si="274"/>
        <v>Red</v>
      </c>
      <c r="AB789" t="str">
        <f t="shared" si="275"/>
        <v>Green</v>
      </c>
      <c r="AC789" t="str">
        <f t="shared" si="276"/>
        <v>Green</v>
      </c>
      <c r="AD789" t="str">
        <f t="shared" si="277"/>
        <v>Red</v>
      </c>
    </row>
    <row r="790" spans="1:30" x14ac:dyDescent="0.2">
      <c r="A790" t="str">
        <f t="shared" si="260"/>
        <v>24/07/2026Kerry FCFinn Harps</v>
      </c>
      <c r="D790" s="2">
        <v>46227</v>
      </c>
      <c r="E790" s="3">
        <v>0.78125</v>
      </c>
      <c r="F790" t="s">
        <v>151</v>
      </c>
      <c r="G790" t="s">
        <v>152</v>
      </c>
      <c r="H790">
        <v>2</v>
      </c>
      <c r="I790">
        <v>1</v>
      </c>
      <c r="J790">
        <v>2</v>
      </c>
      <c r="K790">
        <v>1</v>
      </c>
      <c r="L790" s="22" t="str">
        <f t="shared" si="278"/>
        <v>24/07/2026</v>
      </c>
      <c r="M790" s="23">
        <f t="shared" si="279"/>
        <v>0.65625</v>
      </c>
      <c r="N790" t="str">
        <f t="shared" si="261"/>
        <v>2 - 1</v>
      </c>
      <c r="O790" t="str">
        <f t="shared" si="262"/>
        <v>Green</v>
      </c>
      <c r="P790" t="str">
        <f t="shared" si="263"/>
        <v>Red</v>
      </c>
      <c r="Q790" t="str">
        <f t="shared" si="264"/>
        <v>Red</v>
      </c>
      <c r="R790" t="str">
        <f t="shared" si="265"/>
        <v>Green</v>
      </c>
      <c r="S790" t="str">
        <f t="shared" si="266"/>
        <v>Red</v>
      </c>
      <c r="T790" t="str">
        <f t="shared" si="267"/>
        <v>Green</v>
      </c>
      <c r="U790" t="str">
        <f t="shared" si="268"/>
        <v>Green</v>
      </c>
      <c r="V790" t="str">
        <f t="shared" si="269"/>
        <v>Red</v>
      </c>
      <c r="W790" t="str">
        <f t="shared" si="270"/>
        <v>Red</v>
      </c>
      <c r="X790" t="str">
        <f t="shared" si="271"/>
        <v>Green</v>
      </c>
      <c r="Y790" t="str">
        <f t="shared" si="272"/>
        <v>Green</v>
      </c>
      <c r="Z790" t="str">
        <f t="shared" si="273"/>
        <v>Green</v>
      </c>
      <c r="AA790" t="str">
        <f t="shared" si="274"/>
        <v>Red</v>
      </c>
      <c r="AB790" t="str">
        <f t="shared" si="275"/>
        <v>Green</v>
      </c>
      <c r="AC790" t="str">
        <f t="shared" si="276"/>
        <v>Green</v>
      </c>
      <c r="AD790" t="str">
        <f t="shared" si="277"/>
        <v>Red</v>
      </c>
    </row>
    <row r="791" spans="1:30" x14ac:dyDescent="0.2">
      <c r="A791" t="str">
        <f t="shared" si="260"/>
        <v>24/07/2026Treaty UnitedAthlone Town</v>
      </c>
      <c r="D791" s="2">
        <v>46227</v>
      </c>
      <c r="E791" s="3">
        <v>0.78125</v>
      </c>
      <c r="F791" t="s">
        <v>2499</v>
      </c>
      <c r="G791" t="s">
        <v>154</v>
      </c>
      <c r="H791">
        <v>1</v>
      </c>
      <c r="I791">
        <v>0</v>
      </c>
      <c r="J791">
        <v>2</v>
      </c>
      <c r="K791">
        <v>1</v>
      </c>
      <c r="L791" s="22" t="str">
        <f t="shared" si="278"/>
        <v>24/07/2026</v>
      </c>
      <c r="M791" s="23">
        <f t="shared" si="279"/>
        <v>0.65625</v>
      </c>
      <c r="N791" t="str">
        <f t="shared" si="261"/>
        <v>2 - 1</v>
      </c>
      <c r="O791" t="str">
        <f t="shared" si="262"/>
        <v>Green</v>
      </c>
      <c r="P791" t="str">
        <f t="shared" si="263"/>
        <v>Red</v>
      </c>
      <c r="Q791" t="str">
        <f t="shared" si="264"/>
        <v>Red</v>
      </c>
      <c r="R791" t="str">
        <f t="shared" si="265"/>
        <v>Green</v>
      </c>
      <c r="S791" t="str">
        <f t="shared" si="266"/>
        <v>Red</v>
      </c>
      <c r="T791" t="str">
        <f t="shared" si="267"/>
        <v>Green</v>
      </c>
      <c r="U791" t="str">
        <f t="shared" si="268"/>
        <v>Green</v>
      </c>
      <c r="V791" t="str">
        <f t="shared" si="269"/>
        <v>Red</v>
      </c>
      <c r="W791" t="str">
        <f t="shared" si="270"/>
        <v>Red</v>
      </c>
      <c r="X791" t="str">
        <f t="shared" si="271"/>
        <v>Green</v>
      </c>
      <c r="Y791" t="str">
        <f t="shared" si="272"/>
        <v>Green</v>
      </c>
      <c r="Z791" t="str">
        <f t="shared" si="273"/>
        <v>Green</v>
      </c>
      <c r="AA791" t="str">
        <f t="shared" si="274"/>
        <v>Red</v>
      </c>
      <c r="AB791" t="str">
        <f t="shared" si="275"/>
        <v>Green</v>
      </c>
      <c r="AC791" t="str">
        <f t="shared" si="276"/>
        <v>Green</v>
      </c>
      <c r="AD791" t="str">
        <f t="shared" si="277"/>
        <v>Red</v>
      </c>
    </row>
    <row r="792" spans="1:30" x14ac:dyDescent="0.2">
      <c r="A792" t="str">
        <f t="shared" si="260"/>
        <v>24/07/2026UC DublinCork City</v>
      </c>
      <c r="D792" s="2">
        <v>46227</v>
      </c>
      <c r="E792" s="3">
        <v>0.78125</v>
      </c>
      <c r="F792" t="s">
        <v>2500</v>
      </c>
      <c r="G792" t="s">
        <v>2501</v>
      </c>
      <c r="H792">
        <v>2</v>
      </c>
      <c r="I792">
        <v>2</v>
      </c>
      <c r="J792">
        <v>5</v>
      </c>
      <c r="K792">
        <v>2</v>
      </c>
      <c r="L792" s="22" t="str">
        <f t="shared" si="278"/>
        <v>24/07/2026</v>
      </c>
      <c r="M792" s="23">
        <f t="shared" si="279"/>
        <v>0.65625</v>
      </c>
      <c r="N792" t="str">
        <f t="shared" si="261"/>
        <v>5 - 2</v>
      </c>
      <c r="O792" t="str">
        <f t="shared" si="262"/>
        <v>Green</v>
      </c>
      <c r="P792" t="str">
        <f t="shared" si="263"/>
        <v>Red</v>
      </c>
      <c r="Q792" t="str">
        <f t="shared" si="264"/>
        <v>Red</v>
      </c>
      <c r="R792" t="str">
        <f t="shared" si="265"/>
        <v>Green</v>
      </c>
      <c r="S792" t="str">
        <f t="shared" si="266"/>
        <v>Red</v>
      </c>
      <c r="T792" t="str">
        <f t="shared" si="267"/>
        <v>Green</v>
      </c>
      <c r="U792" t="str">
        <f t="shared" si="268"/>
        <v>Red</v>
      </c>
      <c r="V792" t="str">
        <f t="shared" si="269"/>
        <v>Green</v>
      </c>
      <c r="W792" t="str">
        <f t="shared" si="270"/>
        <v>Red</v>
      </c>
      <c r="X792" t="str">
        <f t="shared" si="271"/>
        <v>Green</v>
      </c>
      <c r="Y792" t="str">
        <f t="shared" si="272"/>
        <v>Green</v>
      </c>
      <c r="Z792" t="str">
        <f t="shared" si="273"/>
        <v>Green</v>
      </c>
      <c r="AA792" t="str">
        <f t="shared" si="274"/>
        <v>Red</v>
      </c>
      <c r="AB792" t="str">
        <f t="shared" si="275"/>
        <v>Red</v>
      </c>
      <c r="AC792" t="str">
        <f t="shared" si="276"/>
        <v>Green</v>
      </c>
      <c r="AD792" t="str">
        <f t="shared" si="277"/>
        <v>Red</v>
      </c>
    </row>
    <row r="793" spans="1:30" x14ac:dyDescent="0.2">
      <c r="A793" t="str">
        <f t="shared" si="260"/>
        <v>24/07/2026Derry City WomenLarne FC Women</v>
      </c>
      <c r="D793" s="2">
        <v>46227</v>
      </c>
      <c r="E793" s="3">
        <v>0.78125</v>
      </c>
      <c r="F793" t="s">
        <v>2532</v>
      </c>
      <c r="G793" t="s">
        <v>2533</v>
      </c>
      <c r="H793">
        <v>4</v>
      </c>
      <c r="I793">
        <v>0</v>
      </c>
      <c r="J793">
        <v>7</v>
      </c>
      <c r="K793">
        <v>0</v>
      </c>
      <c r="L793" s="22" t="str">
        <f t="shared" si="278"/>
        <v>24/07/2026</v>
      </c>
      <c r="M793" s="23">
        <f t="shared" si="279"/>
        <v>0.65625</v>
      </c>
      <c r="N793" t="str">
        <f t="shared" si="261"/>
        <v>7 - 0</v>
      </c>
      <c r="O793" t="str">
        <f t="shared" si="262"/>
        <v>Green</v>
      </c>
      <c r="P793" t="str">
        <f t="shared" si="263"/>
        <v>Red</v>
      </c>
      <c r="Q793" t="str">
        <f t="shared" si="264"/>
        <v>Red</v>
      </c>
      <c r="R793" t="str">
        <f t="shared" si="265"/>
        <v>Green</v>
      </c>
      <c r="S793" t="str">
        <f t="shared" si="266"/>
        <v>Red</v>
      </c>
      <c r="T793" t="str">
        <f t="shared" si="267"/>
        <v>Green</v>
      </c>
      <c r="U793" t="str">
        <f t="shared" si="268"/>
        <v>Green</v>
      </c>
      <c r="V793" t="str">
        <f t="shared" si="269"/>
        <v>Red</v>
      </c>
      <c r="W793" t="str">
        <f t="shared" si="270"/>
        <v>Red</v>
      </c>
      <c r="X793" t="str">
        <f t="shared" si="271"/>
        <v>Green</v>
      </c>
      <c r="Y793" t="str">
        <f t="shared" si="272"/>
        <v>Green</v>
      </c>
      <c r="Z793" t="str">
        <f t="shared" si="273"/>
        <v>Green</v>
      </c>
      <c r="AA793" t="str">
        <f t="shared" si="274"/>
        <v>Red</v>
      </c>
      <c r="AB793" t="str">
        <f t="shared" si="275"/>
        <v>Red</v>
      </c>
      <c r="AC793" t="str">
        <f t="shared" si="276"/>
        <v>Red</v>
      </c>
      <c r="AD793" t="str">
        <f t="shared" si="277"/>
        <v>Green</v>
      </c>
    </row>
    <row r="794" spans="1:30" x14ac:dyDescent="0.2">
      <c r="A794" t="str">
        <f t="shared" si="260"/>
        <v>24/07/2026Glentoran Belfast United WomenLinfield Women</v>
      </c>
      <c r="D794" s="2">
        <v>46227</v>
      </c>
      <c r="E794" s="3">
        <v>0.78125</v>
      </c>
      <c r="F794" t="s">
        <v>1602</v>
      </c>
      <c r="G794" t="s">
        <v>2534</v>
      </c>
      <c r="L794" s="22" t="str">
        <f t="shared" si="278"/>
        <v>24/07/2026</v>
      </c>
      <c r="M794" s="23">
        <f t="shared" si="279"/>
        <v>0.65625</v>
      </c>
      <c r="N794" t="str">
        <f t="shared" si="261"/>
        <v xml:space="preserve"> - </v>
      </c>
      <c r="O794" t="str">
        <f t="shared" si="262"/>
        <v>Red</v>
      </c>
      <c r="P794" t="str">
        <f t="shared" si="263"/>
        <v>Green</v>
      </c>
      <c r="Q794" t="str">
        <f t="shared" si="264"/>
        <v>Red</v>
      </c>
      <c r="R794" t="str">
        <f t="shared" si="265"/>
        <v>Green</v>
      </c>
      <c r="S794" t="str">
        <f t="shared" si="266"/>
        <v>Green</v>
      </c>
      <c r="T794" t="str">
        <f t="shared" si="267"/>
        <v>Red</v>
      </c>
      <c r="U794" t="str">
        <f t="shared" si="268"/>
        <v>Red</v>
      </c>
      <c r="V794" t="str">
        <f t="shared" si="269"/>
        <v>Green</v>
      </c>
      <c r="W794" t="str">
        <f t="shared" si="270"/>
        <v>Red</v>
      </c>
      <c r="X794" t="str">
        <f t="shared" si="271"/>
        <v>Red</v>
      </c>
      <c r="Y794" t="str">
        <f t="shared" si="272"/>
        <v>Red</v>
      </c>
      <c r="Z794" t="str">
        <f t="shared" si="273"/>
        <v>Red</v>
      </c>
      <c r="AA794" t="str">
        <f t="shared" si="274"/>
        <v>Green</v>
      </c>
      <c r="AB794" t="str">
        <f t="shared" si="275"/>
        <v>Green</v>
      </c>
      <c r="AC794" t="str">
        <f t="shared" si="276"/>
        <v>Red</v>
      </c>
      <c r="AD794" t="str">
        <f t="shared" si="277"/>
        <v>Green</v>
      </c>
    </row>
    <row r="795" spans="1:30" x14ac:dyDescent="0.2">
      <c r="A795" t="str">
        <f t="shared" si="260"/>
        <v>24/07/2026Bedford TownReal Bedford</v>
      </c>
      <c r="D795" s="2">
        <v>46227</v>
      </c>
      <c r="E795" s="3">
        <v>0.78125</v>
      </c>
      <c r="F795" t="s">
        <v>2703</v>
      </c>
      <c r="G795" t="s">
        <v>2704</v>
      </c>
      <c r="H795">
        <v>2</v>
      </c>
      <c r="I795">
        <v>1</v>
      </c>
      <c r="J795">
        <v>2</v>
      </c>
      <c r="K795">
        <v>3</v>
      </c>
      <c r="L795" s="22" t="str">
        <f t="shared" si="278"/>
        <v>24/07/2026</v>
      </c>
      <c r="M795" s="23">
        <f t="shared" si="279"/>
        <v>0.65625</v>
      </c>
      <c r="N795" t="str">
        <f t="shared" si="261"/>
        <v>2 - 3</v>
      </c>
      <c r="O795" t="str">
        <f t="shared" si="262"/>
        <v>Red</v>
      </c>
      <c r="P795" t="str">
        <f t="shared" si="263"/>
        <v>Red</v>
      </c>
      <c r="Q795" t="str">
        <f t="shared" si="264"/>
        <v>Green</v>
      </c>
      <c r="R795" t="str">
        <f t="shared" si="265"/>
        <v>Red</v>
      </c>
      <c r="S795" t="str">
        <f t="shared" si="266"/>
        <v>Green</v>
      </c>
      <c r="T795" t="str">
        <f t="shared" si="267"/>
        <v>Green</v>
      </c>
      <c r="U795" t="str">
        <f t="shared" si="268"/>
        <v>Green</v>
      </c>
      <c r="V795" t="str">
        <f t="shared" si="269"/>
        <v>Red</v>
      </c>
      <c r="W795" t="str">
        <f t="shared" si="270"/>
        <v>Red</v>
      </c>
      <c r="X795" t="str">
        <f t="shared" si="271"/>
        <v>Green</v>
      </c>
      <c r="Y795" t="str">
        <f t="shared" si="272"/>
        <v>Green</v>
      </c>
      <c r="Z795" t="str">
        <f t="shared" si="273"/>
        <v>Green</v>
      </c>
      <c r="AA795" t="str">
        <f t="shared" si="274"/>
        <v>Red</v>
      </c>
      <c r="AB795" t="str">
        <f t="shared" si="275"/>
        <v>Red</v>
      </c>
      <c r="AC795" t="str">
        <f t="shared" si="276"/>
        <v>Green</v>
      </c>
      <c r="AD795" t="str">
        <f t="shared" si="277"/>
        <v>Red</v>
      </c>
    </row>
    <row r="796" spans="1:30" x14ac:dyDescent="0.2">
      <c r="A796" t="str">
        <f t="shared" si="260"/>
        <v>24/07/2026Enfield TownWorthing</v>
      </c>
      <c r="D796" s="2">
        <v>46227</v>
      </c>
      <c r="E796" s="3">
        <v>0.78125</v>
      </c>
      <c r="F796" t="s">
        <v>2705</v>
      </c>
      <c r="G796" t="s">
        <v>2706</v>
      </c>
      <c r="H796">
        <v>0</v>
      </c>
      <c r="I796">
        <v>1</v>
      </c>
      <c r="J796">
        <v>1</v>
      </c>
      <c r="K796">
        <v>1</v>
      </c>
      <c r="L796" s="22" t="str">
        <f t="shared" si="278"/>
        <v>24/07/2026</v>
      </c>
      <c r="M796" s="23">
        <f t="shared" si="279"/>
        <v>0.65625</v>
      </c>
      <c r="N796" t="str">
        <f t="shared" si="261"/>
        <v>1 - 1</v>
      </c>
      <c r="O796" t="str">
        <f t="shared" si="262"/>
        <v>Red</v>
      </c>
      <c r="P796" t="str">
        <f t="shared" si="263"/>
        <v>Green</v>
      </c>
      <c r="Q796" t="str">
        <f t="shared" si="264"/>
        <v>Red</v>
      </c>
      <c r="R796" t="str">
        <f t="shared" si="265"/>
        <v>Green</v>
      </c>
      <c r="S796" t="str">
        <f t="shared" si="266"/>
        <v>Green</v>
      </c>
      <c r="T796" t="str">
        <f t="shared" si="267"/>
        <v>Red</v>
      </c>
      <c r="U796" t="str">
        <f t="shared" si="268"/>
        <v>Red</v>
      </c>
      <c r="V796" t="str">
        <f t="shared" si="269"/>
        <v>Red</v>
      </c>
      <c r="W796" t="str">
        <f t="shared" si="270"/>
        <v>Green</v>
      </c>
      <c r="X796" t="str">
        <f t="shared" si="271"/>
        <v>Green</v>
      </c>
      <c r="Y796" t="str">
        <f t="shared" si="272"/>
        <v>Green</v>
      </c>
      <c r="Z796" t="str">
        <f t="shared" si="273"/>
        <v>Red</v>
      </c>
      <c r="AA796" t="str">
        <f t="shared" si="274"/>
        <v>Green</v>
      </c>
      <c r="AB796" t="str">
        <f t="shared" si="275"/>
        <v>Green</v>
      </c>
      <c r="AC796" t="str">
        <f t="shared" si="276"/>
        <v>Green</v>
      </c>
      <c r="AD796" t="str">
        <f t="shared" si="277"/>
        <v>Red</v>
      </c>
    </row>
    <row r="797" spans="1:30" x14ac:dyDescent="0.2">
      <c r="A797" t="str">
        <f t="shared" si="260"/>
        <v>24/07/2026Hyde FCChester</v>
      </c>
      <c r="D797" s="2">
        <v>46227</v>
      </c>
      <c r="E797" s="3">
        <v>0.78125</v>
      </c>
      <c r="F797" t="s">
        <v>2707</v>
      </c>
      <c r="G797" t="s">
        <v>2708</v>
      </c>
      <c r="H797">
        <v>0</v>
      </c>
      <c r="I797">
        <v>1</v>
      </c>
      <c r="J797">
        <v>0</v>
      </c>
      <c r="K797">
        <v>1</v>
      </c>
      <c r="L797" s="22" t="str">
        <f t="shared" si="278"/>
        <v>24/07/2026</v>
      </c>
      <c r="M797" s="23">
        <f t="shared" si="279"/>
        <v>0.65625</v>
      </c>
      <c r="N797" t="str">
        <f t="shared" si="261"/>
        <v>0 - 1</v>
      </c>
      <c r="O797" t="str">
        <f t="shared" si="262"/>
        <v>Red</v>
      </c>
      <c r="P797" t="str">
        <f t="shared" si="263"/>
        <v>Red</v>
      </c>
      <c r="Q797" t="str">
        <f t="shared" si="264"/>
        <v>Green</v>
      </c>
      <c r="R797" t="str">
        <f t="shared" si="265"/>
        <v>Red</v>
      </c>
      <c r="S797" t="str">
        <f t="shared" si="266"/>
        <v>Green</v>
      </c>
      <c r="T797" t="str">
        <f t="shared" si="267"/>
        <v>Green</v>
      </c>
      <c r="U797" t="str">
        <f t="shared" si="268"/>
        <v>Red</v>
      </c>
      <c r="V797" t="str">
        <f t="shared" si="269"/>
        <v>Red</v>
      </c>
      <c r="W797" t="str">
        <f t="shared" si="270"/>
        <v>Green</v>
      </c>
      <c r="X797" t="str">
        <f t="shared" si="271"/>
        <v>Green</v>
      </c>
      <c r="Y797" t="str">
        <f t="shared" si="272"/>
        <v>Red</v>
      </c>
      <c r="Z797" t="str">
        <f t="shared" si="273"/>
        <v>Red</v>
      </c>
      <c r="AA797" t="str">
        <f t="shared" si="274"/>
        <v>Green</v>
      </c>
      <c r="AB797" t="str">
        <f t="shared" si="275"/>
        <v>Green</v>
      </c>
      <c r="AC797" t="str">
        <f t="shared" si="276"/>
        <v>Red</v>
      </c>
      <c r="AD797" t="str">
        <f t="shared" si="277"/>
        <v>Green</v>
      </c>
    </row>
    <row r="798" spans="1:30" x14ac:dyDescent="0.2">
      <c r="A798" t="str">
        <f t="shared" si="260"/>
        <v>24/07/2026Limavady UnitedLinfield</v>
      </c>
      <c r="D798" s="2">
        <v>46227</v>
      </c>
      <c r="E798" s="3">
        <v>0.78125</v>
      </c>
      <c r="F798" t="s">
        <v>2709</v>
      </c>
      <c r="G798" t="s">
        <v>2710</v>
      </c>
      <c r="H798">
        <v>0</v>
      </c>
      <c r="I798">
        <v>1</v>
      </c>
      <c r="J798">
        <v>0</v>
      </c>
      <c r="K798">
        <v>1</v>
      </c>
      <c r="L798" s="22" t="str">
        <f t="shared" si="278"/>
        <v>24/07/2026</v>
      </c>
      <c r="M798" s="23">
        <f t="shared" si="279"/>
        <v>0.65625</v>
      </c>
      <c r="N798" t="str">
        <f t="shared" si="261"/>
        <v>0 - 1</v>
      </c>
      <c r="O798" t="str">
        <f t="shared" si="262"/>
        <v>Red</v>
      </c>
      <c r="P798" t="str">
        <f t="shared" si="263"/>
        <v>Red</v>
      </c>
      <c r="Q798" t="str">
        <f t="shared" si="264"/>
        <v>Green</v>
      </c>
      <c r="R798" t="str">
        <f t="shared" si="265"/>
        <v>Red</v>
      </c>
      <c r="S798" t="str">
        <f t="shared" si="266"/>
        <v>Green</v>
      </c>
      <c r="T798" t="str">
        <f t="shared" si="267"/>
        <v>Green</v>
      </c>
      <c r="U798" t="str">
        <f t="shared" si="268"/>
        <v>Red</v>
      </c>
      <c r="V798" t="str">
        <f t="shared" si="269"/>
        <v>Red</v>
      </c>
      <c r="W798" t="str">
        <f t="shared" si="270"/>
        <v>Green</v>
      </c>
      <c r="X798" t="str">
        <f t="shared" si="271"/>
        <v>Green</v>
      </c>
      <c r="Y798" t="str">
        <f t="shared" si="272"/>
        <v>Red</v>
      </c>
      <c r="Z798" t="str">
        <f t="shared" si="273"/>
        <v>Red</v>
      </c>
      <c r="AA798" t="str">
        <f t="shared" si="274"/>
        <v>Green</v>
      </c>
      <c r="AB798" t="str">
        <f t="shared" si="275"/>
        <v>Green</v>
      </c>
      <c r="AC798" t="str">
        <f t="shared" si="276"/>
        <v>Red</v>
      </c>
      <c r="AD798" t="str">
        <f t="shared" si="277"/>
        <v>Green</v>
      </c>
    </row>
    <row r="799" spans="1:30" x14ac:dyDescent="0.2">
      <c r="A799" t="str">
        <f t="shared" si="260"/>
        <v>24/07/2026Mulbarton WanderersLeiston</v>
      </c>
      <c r="D799" s="2">
        <v>46227</v>
      </c>
      <c r="E799" s="3">
        <v>0.78125</v>
      </c>
      <c r="F799" t="s">
        <v>2711</v>
      </c>
      <c r="G799" t="s">
        <v>2712</v>
      </c>
      <c r="H799">
        <v>0</v>
      </c>
      <c r="I799">
        <v>1</v>
      </c>
      <c r="J799">
        <v>0</v>
      </c>
      <c r="K799">
        <v>2</v>
      </c>
      <c r="L799" s="22" t="str">
        <f t="shared" si="278"/>
        <v>24/07/2026</v>
      </c>
      <c r="M799" s="23">
        <f t="shared" si="279"/>
        <v>0.65625</v>
      </c>
      <c r="N799" t="str">
        <f t="shared" si="261"/>
        <v>0 - 2</v>
      </c>
      <c r="O799" t="str">
        <f t="shared" si="262"/>
        <v>Red</v>
      </c>
      <c r="P799" t="str">
        <f t="shared" si="263"/>
        <v>Red</v>
      </c>
      <c r="Q799" t="str">
        <f t="shared" si="264"/>
        <v>Green</v>
      </c>
      <c r="R799" t="str">
        <f t="shared" si="265"/>
        <v>Red</v>
      </c>
      <c r="S799" t="str">
        <f t="shared" si="266"/>
        <v>Green</v>
      </c>
      <c r="T799" t="str">
        <f t="shared" si="267"/>
        <v>Green</v>
      </c>
      <c r="U799" t="str">
        <f t="shared" si="268"/>
        <v>Red</v>
      </c>
      <c r="V799" t="str">
        <f t="shared" si="269"/>
        <v>Red</v>
      </c>
      <c r="W799" t="str">
        <f t="shared" si="270"/>
        <v>Green</v>
      </c>
      <c r="X799" t="str">
        <f t="shared" si="271"/>
        <v>Green</v>
      </c>
      <c r="Y799" t="str">
        <f t="shared" si="272"/>
        <v>Green</v>
      </c>
      <c r="Z799" t="str">
        <f t="shared" si="273"/>
        <v>Red</v>
      </c>
      <c r="AA799" t="str">
        <f t="shared" si="274"/>
        <v>Green</v>
      </c>
      <c r="AB799" t="str">
        <f t="shared" si="275"/>
        <v>Green</v>
      </c>
      <c r="AC799" t="str">
        <f t="shared" si="276"/>
        <v>Red</v>
      </c>
      <c r="AD799" t="str">
        <f t="shared" si="277"/>
        <v>Green</v>
      </c>
    </row>
    <row r="800" spans="1:30" x14ac:dyDescent="0.2">
      <c r="A800" t="str">
        <f t="shared" si="260"/>
        <v>24/07/2026Rushden &amp; DiamondsBanbury United</v>
      </c>
      <c r="D800" s="2">
        <v>46227</v>
      </c>
      <c r="E800" s="3">
        <v>0.78125</v>
      </c>
      <c r="F800" t="s">
        <v>2713</v>
      </c>
      <c r="G800" t="s">
        <v>2714</v>
      </c>
      <c r="H800">
        <v>0</v>
      </c>
      <c r="I800">
        <v>1</v>
      </c>
      <c r="J800">
        <v>1</v>
      </c>
      <c r="K800">
        <v>2</v>
      </c>
      <c r="L800" s="22" t="str">
        <f t="shared" si="278"/>
        <v>24/07/2026</v>
      </c>
      <c r="M800" s="23">
        <f t="shared" si="279"/>
        <v>0.65625</v>
      </c>
      <c r="N800" t="str">
        <f t="shared" si="261"/>
        <v>1 - 2</v>
      </c>
      <c r="O800" t="str">
        <f t="shared" si="262"/>
        <v>Red</v>
      </c>
      <c r="P800" t="str">
        <f t="shared" si="263"/>
        <v>Red</v>
      </c>
      <c r="Q800" t="str">
        <f t="shared" si="264"/>
        <v>Green</v>
      </c>
      <c r="R800" t="str">
        <f t="shared" si="265"/>
        <v>Red</v>
      </c>
      <c r="S800" t="str">
        <f t="shared" si="266"/>
        <v>Green</v>
      </c>
      <c r="T800" t="str">
        <f t="shared" si="267"/>
        <v>Green</v>
      </c>
      <c r="U800" t="str">
        <f t="shared" si="268"/>
        <v>Red</v>
      </c>
      <c r="V800" t="str">
        <f t="shared" si="269"/>
        <v>Red</v>
      </c>
      <c r="W800" t="str">
        <f t="shared" si="270"/>
        <v>Green</v>
      </c>
      <c r="X800" t="str">
        <f t="shared" si="271"/>
        <v>Green</v>
      </c>
      <c r="Y800" t="str">
        <f t="shared" si="272"/>
        <v>Green</v>
      </c>
      <c r="Z800" t="str">
        <f t="shared" si="273"/>
        <v>Green</v>
      </c>
      <c r="AA800" t="str">
        <f t="shared" si="274"/>
        <v>Red</v>
      </c>
      <c r="AB800" t="str">
        <f t="shared" si="275"/>
        <v>Green</v>
      </c>
      <c r="AC800" t="str">
        <f t="shared" si="276"/>
        <v>Green</v>
      </c>
      <c r="AD800" t="str">
        <f t="shared" si="277"/>
        <v>Red</v>
      </c>
    </row>
    <row r="801" spans="1:30" x14ac:dyDescent="0.2">
      <c r="A801" t="str">
        <f t="shared" si="260"/>
        <v>24/07/2026SouthportFC United of Manchester</v>
      </c>
      <c r="D801" s="2">
        <v>46227</v>
      </c>
      <c r="E801" s="3">
        <v>0.78125</v>
      </c>
      <c r="F801" t="s">
        <v>2715</v>
      </c>
      <c r="G801" t="s">
        <v>1305</v>
      </c>
      <c r="H801">
        <v>1</v>
      </c>
      <c r="I801">
        <v>0</v>
      </c>
      <c r="J801">
        <v>2</v>
      </c>
      <c r="K801">
        <v>0</v>
      </c>
      <c r="L801" s="22" t="str">
        <f t="shared" si="278"/>
        <v>24/07/2026</v>
      </c>
      <c r="M801" s="23">
        <f t="shared" si="279"/>
        <v>0.65625</v>
      </c>
      <c r="N801" t="str">
        <f t="shared" si="261"/>
        <v>2 - 0</v>
      </c>
      <c r="O801" t="str">
        <f t="shared" si="262"/>
        <v>Green</v>
      </c>
      <c r="P801" t="str">
        <f t="shared" si="263"/>
        <v>Red</v>
      </c>
      <c r="Q801" t="str">
        <f t="shared" si="264"/>
        <v>Red</v>
      </c>
      <c r="R801" t="str">
        <f t="shared" si="265"/>
        <v>Green</v>
      </c>
      <c r="S801" t="str">
        <f t="shared" si="266"/>
        <v>Red</v>
      </c>
      <c r="T801" t="str">
        <f t="shared" si="267"/>
        <v>Green</v>
      </c>
      <c r="U801" t="str">
        <f t="shared" si="268"/>
        <v>Green</v>
      </c>
      <c r="V801" t="str">
        <f t="shared" si="269"/>
        <v>Red</v>
      </c>
      <c r="W801" t="str">
        <f t="shared" si="270"/>
        <v>Red</v>
      </c>
      <c r="X801" t="str">
        <f t="shared" si="271"/>
        <v>Green</v>
      </c>
      <c r="Y801" t="str">
        <f t="shared" si="272"/>
        <v>Green</v>
      </c>
      <c r="Z801" t="str">
        <f t="shared" si="273"/>
        <v>Red</v>
      </c>
      <c r="AA801" t="str">
        <f t="shared" si="274"/>
        <v>Green</v>
      </c>
      <c r="AB801" t="str">
        <f t="shared" si="275"/>
        <v>Green</v>
      </c>
      <c r="AC801" t="str">
        <f t="shared" si="276"/>
        <v>Red</v>
      </c>
      <c r="AD801" t="str">
        <f t="shared" si="277"/>
        <v>Green</v>
      </c>
    </row>
    <row r="802" spans="1:30" x14ac:dyDescent="0.2">
      <c r="A802" t="str">
        <f t="shared" si="260"/>
        <v>24/07/2026SouthportFC United of Manchester</v>
      </c>
      <c r="D802" s="2">
        <v>46227</v>
      </c>
      <c r="E802" s="3">
        <v>0.78127314814814819</v>
      </c>
      <c r="F802" t="s">
        <v>2715</v>
      </c>
      <c r="G802" t="s">
        <v>1305</v>
      </c>
      <c r="H802">
        <v>1</v>
      </c>
      <c r="I802">
        <v>0</v>
      </c>
      <c r="J802">
        <v>2</v>
      </c>
      <c r="K802">
        <v>0</v>
      </c>
      <c r="L802" s="22" t="str">
        <f t="shared" si="278"/>
        <v>24/07/2026</v>
      </c>
      <c r="M802" s="23">
        <f t="shared" si="279"/>
        <v>0.65627314814814819</v>
      </c>
      <c r="N802" t="str">
        <f t="shared" si="261"/>
        <v>2 - 0</v>
      </c>
      <c r="O802" t="str">
        <f t="shared" si="262"/>
        <v>Green</v>
      </c>
      <c r="P802" t="str">
        <f t="shared" si="263"/>
        <v>Red</v>
      </c>
      <c r="Q802" t="str">
        <f t="shared" si="264"/>
        <v>Red</v>
      </c>
      <c r="R802" t="str">
        <f t="shared" si="265"/>
        <v>Green</v>
      </c>
      <c r="S802" t="str">
        <f t="shared" si="266"/>
        <v>Red</v>
      </c>
      <c r="T802" t="str">
        <f t="shared" si="267"/>
        <v>Green</v>
      </c>
      <c r="U802" t="str">
        <f t="shared" si="268"/>
        <v>Green</v>
      </c>
      <c r="V802" t="str">
        <f t="shared" si="269"/>
        <v>Red</v>
      </c>
      <c r="W802" t="str">
        <f t="shared" si="270"/>
        <v>Red</v>
      </c>
      <c r="X802" t="str">
        <f t="shared" si="271"/>
        <v>Green</v>
      </c>
      <c r="Y802" t="str">
        <f t="shared" si="272"/>
        <v>Green</v>
      </c>
      <c r="Z802" t="str">
        <f t="shared" si="273"/>
        <v>Red</v>
      </c>
      <c r="AA802" t="str">
        <f t="shared" si="274"/>
        <v>Green</v>
      </c>
      <c r="AB802" t="str">
        <f t="shared" si="275"/>
        <v>Green</v>
      </c>
      <c r="AC802" t="str">
        <f t="shared" si="276"/>
        <v>Red</v>
      </c>
      <c r="AD802" t="str">
        <f t="shared" si="277"/>
        <v>Green</v>
      </c>
    </row>
    <row r="803" spans="1:30" x14ac:dyDescent="0.2">
      <c r="A803" t="str">
        <f t="shared" si="260"/>
        <v>24/07/2026ReichenauWacker Innsbruck</v>
      </c>
      <c r="B803" t="s">
        <v>2326</v>
      </c>
      <c r="C803" t="s">
        <v>2327</v>
      </c>
      <c r="D803" s="2">
        <v>46227</v>
      </c>
      <c r="E803" s="3">
        <v>0.79166666666666663</v>
      </c>
      <c r="F803" t="s">
        <v>2351</v>
      </c>
      <c r="G803" t="s">
        <v>2352</v>
      </c>
      <c r="L803" s="22" t="str">
        <f t="shared" si="278"/>
        <v>24/07/2026</v>
      </c>
      <c r="M803" s="23">
        <f t="shared" si="279"/>
        <v>0.66666666666666663</v>
      </c>
      <c r="N803" t="str">
        <f t="shared" si="261"/>
        <v xml:space="preserve"> - </v>
      </c>
      <c r="O803" t="str">
        <f t="shared" si="262"/>
        <v>Red</v>
      </c>
      <c r="P803" t="str">
        <f t="shared" si="263"/>
        <v>Green</v>
      </c>
      <c r="Q803" t="str">
        <f t="shared" si="264"/>
        <v>Red</v>
      </c>
      <c r="R803" t="str">
        <f t="shared" si="265"/>
        <v>Green</v>
      </c>
      <c r="S803" t="str">
        <f t="shared" si="266"/>
        <v>Green</v>
      </c>
      <c r="T803" t="str">
        <f t="shared" si="267"/>
        <v>Red</v>
      </c>
      <c r="U803" t="str">
        <f t="shared" si="268"/>
        <v>Red</v>
      </c>
      <c r="V803" t="str">
        <f t="shared" si="269"/>
        <v>Green</v>
      </c>
      <c r="W803" t="str">
        <f t="shared" si="270"/>
        <v>Red</v>
      </c>
      <c r="X803" t="str">
        <f t="shared" si="271"/>
        <v>Red</v>
      </c>
      <c r="Y803" t="str">
        <f t="shared" si="272"/>
        <v>Red</v>
      </c>
      <c r="Z803" t="str">
        <f t="shared" si="273"/>
        <v>Red</v>
      </c>
      <c r="AA803" t="str">
        <f t="shared" si="274"/>
        <v>Green</v>
      </c>
      <c r="AB803" t="str">
        <f t="shared" si="275"/>
        <v>Green</v>
      </c>
      <c r="AC803" t="str">
        <f t="shared" si="276"/>
        <v>Red</v>
      </c>
      <c r="AD803" t="str">
        <f t="shared" si="277"/>
        <v>Green</v>
      </c>
    </row>
    <row r="804" spans="1:30" x14ac:dyDescent="0.2">
      <c r="A804" t="str">
        <f t="shared" si="260"/>
        <v>24/07/2026El NacionalGualaceo SC</v>
      </c>
      <c r="D804" s="2">
        <v>46227</v>
      </c>
      <c r="E804" s="3">
        <v>0.79166666666666663</v>
      </c>
      <c r="F804" t="s">
        <v>1852</v>
      </c>
      <c r="G804" t="s">
        <v>1847</v>
      </c>
      <c r="H804">
        <v>0</v>
      </c>
      <c r="I804">
        <v>0</v>
      </c>
      <c r="J804">
        <v>0</v>
      </c>
      <c r="K804">
        <v>0</v>
      </c>
      <c r="L804" s="22" t="str">
        <f t="shared" si="278"/>
        <v>24/07/2026</v>
      </c>
      <c r="M804" s="23">
        <f t="shared" si="279"/>
        <v>0.66666666666666663</v>
      </c>
      <c r="N804" t="str">
        <f t="shared" si="261"/>
        <v>0 - 0</v>
      </c>
      <c r="O804" t="str">
        <f t="shared" si="262"/>
        <v>Red</v>
      </c>
      <c r="P804" t="str">
        <f t="shared" si="263"/>
        <v>Green</v>
      </c>
      <c r="Q804" t="str">
        <f t="shared" si="264"/>
        <v>Red</v>
      </c>
      <c r="R804" t="str">
        <f t="shared" si="265"/>
        <v>Green</v>
      </c>
      <c r="S804" t="str">
        <f t="shared" si="266"/>
        <v>Green</v>
      </c>
      <c r="T804" t="str">
        <f t="shared" si="267"/>
        <v>Red</v>
      </c>
      <c r="U804" t="str">
        <f t="shared" si="268"/>
        <v>Red</v>
      </c>
      <c r="V804" t="str">
        <f t="shared" si="269"/>
        <v>Green</v>
      </c>
      <c r="W804" t="str">
        <f t="shared" si="270"/>
        <v>Red</v>
      </c>
      <c r="X804" t="str">
        <f t="shared" si="271"/>
        <v>Red</v>
      </c>
      <c r="Y804" t="str">
        <f t="shared" si="272"/>
        <v>Red</v>
      </c>
      <c r="Z804" t="str">
        <f t="shared" si="273"/>
        <v>Red</v>
      </c>
      <c r="AA804" t="str">
        <f t="shared" si="274"/>
        <v>Green</v>
      </c>
      <c r="AB804" t="str">
        <f t="shared" si="275"/>
        <v>Green</v>
      </c>
      <c r="AC804" t="str">
        <f t="shared" si="276"/>
        <v>Red</v>
      </c>
      <c r="AD804" t="str">
        <f t="shared" si="277"/>
        <v>Green</v>
      </c>
    </row>
    <row r="805" spans="1:30" x14ac:dyDescent="0.2">
      <c r="A805" t="str">
        <f t="shared" si="260"/>
        <v>24/07/2026St Patrick's AthleticDundalk</v>
      </c>
      <c r="D805" s="2">
        <v>46227</v>
      </c>
      <c r="E805" s="3">
        <v>0.79166666666666663</v>
      </c>
      <c r="F805" t="s">
        <v>2497</v>
      </c>
      <c r="G805" t="s">
        <v>158</v>
      </c>
      <c r="H805">
        <v>0</v>
      </c>
      <c r="I805">
        <v>1</v>
      </c>
      <c r="J805">
        <v>1</v>
      </c>
      <c r="K805">
        <v>1</v>
      </c>
      <c r="L805" s="22" t="str">
        <f t="shared" si="278"/>
        <v>24/07/2026</v>
      </c>
      <c r="M805" s="23">
        <f t="shared" si="279"/>
        <v>0.66666666666666663</v>
      </c>
      <c r="N805" t="str">
        <f t="shared" si="261"/>
        <v>1 - 1</v>
      </c>
      <c r="O805" t="str">
        <f t="shared" si="262"/>
        <v>Red</v>
      </c>
      <c r="P805" t="str">
        <f t="shared" si="263"/>
        <v>Green</v>
      </c>
      <c r="Q805" t="str">
        <f t="shared" si="264"/>
        <v>Red</v>
      </c>
      <c r="R805" t="str">
        <f t="shared" si="265"/>
        <v>Green</v>
      </c>
      <c r="S805" t="str">
        <f t="shared" si="266"/>
        <v>Green</v>
      </c>
      <c r="T805" t="str">
        <f t="shared" si="267"/>
        <v>Red</v>
      </c>
      <c r="U805" t="str">
        <f t="shared" si="268"/>
        <v>Red</v>
      </c>
      <c r="V805" t="str">
        <f t="shared" si="269"/>
        <v>Red</v>
      </c>
      <c r="W805" t="str">
        <f t="shared" si="270"/>
        <v>Green</v>
      </c>
      <c r="X805" t="str">
        <f t="shared" si="271"/>
        <v>Green</v>
      </c>
      <c r="Y805" t="str">
        <f t="shared" si="272"/>
        <v>Green</v>
      </c>
      <c r="Z805" t="str">
        <f t="shared" si="273"/>
        <v>Red</v>
      </c>
      <c r="AA805" t="str">
        <f t="shared" si="274"/>
        <v>Green</v>
      </c>
      <c r="AB805" t="str">
        <f t="shared" si="275"/>
        <v>Green</v>
      </c>
      <c r="AC805" t="str">
        <f t="shared" si="276"/>
        <v>Green</v>
      </c>
      <c r="AD805" t="str">
        <f t="shared" si="277"/>
        <v>Red</v>
      </c>
    </row>
    <row r="806" spans="1:30" x14ac:dyDescent="0.2">
      <c r="A806" t="str">
        <f t="shared" si="260"/>
        <v>24/07/2026Crusaders Newtownabbey Strikers WomenLisburn Rangers Women</v>
      </c>
      <c r="D806" s="2">
        <v>46227</v>
      </c>
      <c r="E806" s="3">
        <v>0.79166666666666663</v>
      </c>
      <c r="F806" t="s">
        <v>2535</v>
      </c>
      <c r="G806" t="s">
        <v>2536</v>
      </c>
      <c r="H806">
        <v>0</v>
      </c>
      <c r="I806">
        <v>0</v>
      </c>
      <c r="J806">
        <v>2</v>
      </c>
      <c r="K806">
        <v>2</v>
      </c>
      <c r="L806" s="22" t="str">
        <f t="shared" si="278"/>
        <v>24/07/2026</v>
      </c>
      <c r="M806" s="23">
        <f t="shared" si="279"/>
        <v>0.66666666666666663</v>
      </c>
      <c r="N806" t="str">
        <f t="shared" si="261"/>
        <v>2 - 2</v>
      </c>
      <c r="O806" t="str">
        <f t="shared" si="262"/>
        <v>Red</v>
      </c>
      <c r="P806" t="str">
        <f t="shared" si="263"/>
        <v>Green</v>
      </c>
      <c r="Q806" t="str">
        <f t="shared" si="264"/>
        <v>Red</v>
      </c>
      <c r="R806" t="str">
        <f t="shared" si="265"/>
        <v>Green</v>
      </c>
      <c r="S806" t="str">
        <f t="shared" si="266"/>
        <v>Green</v>
      </c>
      <c r="T806" t="str">
        <f t="shared" si="267"/>
        <v>Red</v>
      </c>
      <c r="U806" t="str">
        <f t="shared" si="268"/>
        <v>Red</v>
      </c>
      <c r="V806" t="str">
        <f t="shared" si="269"/>
        <v>Green</v>
      </c>
      <c r="W806" t="str">
        <f t="shared" si="270"/>
        <v>Red</v>
      </c>
      <c r="X806" t="str">
        <f t="shared" si="271"/>
        <v>Red</v>
      </c>
      <c r="Y806" t="str">
        <f t="shared" si="272"/>
        <v>Green</v>
      </c>
      <c r="Z806" t="str">
        <f t="shared" si="273"/>
        <v>Green</v>
      </c>
      <c r="AA806" t="str">
        <f t="shared" si="274"/>
        <v>Red</v>
      </c>
      <c r="AB806" t="str">
        <f t="shared" si="275"/>
        <v>Red</v>
      </c>
      <c r="AC806" t="str">
        <f t="shared" si="276"/>
        <v>Green</v>
      </c>
      <c r="AD806" t="str">
        <f t="shared" si="277"/>
        <v>Red</v>
      </c>
    </row>
    <row r="807" spans="1:30" x14ac:dyDescent="0.2">
      <c r="A807" t="str">
        <f t="shared" si="260"/>
        <v>24/07/2026Lisburn Ladies WomenCliftonville Women</v>
      </c>
      <c r="D807" s="2">
        <v>46227</v>
      </c>
      <c r="E807" s="3">
        <v>0.79166666666666663</v>
      </c>
      <c r="F807" t="s">
        <v>2537</v>
      </c>
      <c r="G807" t="s">
        <v>2538</v>
      </c>
      <c r="H807">
        <v>0</v>
      </c>
      <c r="I807">
        <v>3</v>
      </c>
      <c r="J807">
        <v>0</v>
      </c>
      <c r="K807">
        <v>7</v>
      </c>
      <c r="L807" s="22" t="str">
        <f t="shared" si="278"/>
        <v>24/07/2026</v>
      </c>
      <c r="M807" s="23">
        <f t="shared" si="279"/>
        <v>0.66666666666666663</v>
      </c>
      <c r="N807" t="str">
        <f t="shared" si="261"/>
        <v>0 - 7</v>
      </c>
      <c r="O807" t="str">
        <f t="shared" si="262"/>
        <v>Red</v>
      </c>
      <c r="P807" t="str">
        <f t="shared" si="263"/>
        <v>Red</v>
      </c>
      <c r="Q807" t="str">
        <f t="shared" si="264"/>
        <v>Green</v>
      </c>
      <c r="R807" t="str">
        <f t="shared" si="265"/>
        <v>Red</v>
      </c>
      <c r="S807" t="str">
        <f t="shared" si="266"/>
        <v>Green</v>
      </c>
      <c r="T807" t="str">
        <f t="shared" si="267"/>
        <v>Green</v>
      </c>
      <c r="U807" t="str">
        <f t="shared" si="268"/>
        <v>Red</v>
      </c>
      <c r="V807" t="str">
        <f t="shared" si="269"/>
        <v>Red</v>
      </c>
      <c r="W807" t="str">
        <f t="shared" si="270"/>
        <v>Green</v>
      </c>
      <c r="X807" t="str">
        <f t="shared" si="271"/>
        <v>Green</v>
      </c>
      <c r="Y807" t="str">
        <f t="shared" si="272"/>
        <v>Green</v>
      </c>
      <c r="Z807" t="str">
        <f t="shared" si="273"/>
        <v>Green</v>
      </c>
      <c r="AA807" t="str">
        <f t="shared" si="274"/>
        <v>Red</v>
      </c>
      <c r="AB807" t="str">
        <f t="shared" si="275"/>
        <v>Red</v>
      </c>
      <c r="AC807" t="str">
        <f t="shared" si="276"/>
        <v>Red</v>
      </c>
      <c r="AD807" t="str">
        <f t="shared" si="277"/>
        <v>Green</v>
      </c>
    </row>
    <row r="808" spans="1:30" x14ac:dyDescent="0.2">
      <c r="A808" t="str">
        <f t="shared" si="260"/>
        <v>24/07/2026CS 2 de MayoRubio Nu</v>
      </c>
      <c r="D808" s="2">
        <v>46227</v>
      </c>
      <c r="E808" s="3">
        <v>0.79166666666666663</v>
      </c>
      <c r="F808" t="s">
        <v>2542</v>
      </c>
      <c r="G808" t="s">
        <v>160</v>
      </c>
      <c r="H808">
        <v>0</v>
      </c>
      <c r="I808">
        <v>0</v>
      </c>
      <c r="J808">
        <v>1</v>
      </c>
      <c r="K808">
        <v>0</v>
      </c>
      <c r="L808" s="22" t="str">
        <f t="shared" si="278"/>
        <v>24/07/2026</v>
      </c>
      <c r="M808" s="23">
        <f t="shared" si="279"/>
        <v>0.66666666666666663</v>
      </c>
      <c r="N808" t="str">
        <f t="shared" si="261"/>
        <v>1 - 0</v>
      </c>
      <c r="O808" t="str">
        <f t="shared" si="262"/>
        <v>Green</v>
      </c>
      <c r="P808" t="str">
        <f t="shared" si="263"/>
        <v>Red</v>
      </c>
      <c r="Q808" t="str">
        <f t="shared" si="264"/>
        <v>Red</v>
      </c>
      <c r="R808" t="str">
        <f t="shared" si="265"/>
        <v>Green</v>
      </c>
      <c r="S808" t="str">
        <f t="shared" si="266"/>
        <v>Red</v>
      </c>
      <c r="T808" t="str">
        <f t="shared" si="267"/>
        <v>Green</v>
      </c>
      <c r="U808" t="str">
        <f t="shared" si="268"/>
        <v>Red</v>
      </c>
      <c r="V808" t="str">
        <f t="shared" si="269"/>
        <v>Green</v>
      </c>
      <c r="W808" t="str">
        <f t="shared" si="270"/>
        <v>Red</v>
      </c>
      <c r="X808" t="str">
        <f t="shared" si="271"/>
        <v>Red</v>
      </c>
      <c r="Y808" t="str">
        <f t="shared" si="272"/>
        <v>Red</v>
      </c>
      <c r="Z808" t="str">
        <f t="shared" si="273"/>
        <v>Red</v>
      </c>
      <c r="AA808" t="str">
        <f t="shared" si="274"/>
        <v>Green</v>
      </c>
      <c r="AB808" t="str">
        <f t="shared" si="275"/>
        <v>Green</v>
      </c>
      <c r="AC808" t="str">
        <f t="shared" si="276"/>
        <v>Red</v>
      </c>
      <c r="AD808" t="str">
        <f t="shared" si="277"/>
        <v>Green</v>
      </c>
    </row>
    <row r="809" spans="1:30" x14ac:dyDescent="0.2">
      <c r="A809" t="str">
        <f t="shared" si="260"/>
        <v>24/07/2026FBC Melgar WomenSporting Cristal Women</v>
      </c>
      <c r="D809" s="2">
        <v>46227</v>
      </c>
      <c r="E809" s="3">
        <v>0.79166666666666663</v>
      </c>
      <c r="F809" t="s">
        <v>2550</v>
      </c>
      <c r="G809" t="s">
        <v>2551</v>
      </c>
      <c r="H809">
        <v>0</v>
      </c>
      <c r="I809">
        <v>0</v>
      </c>
      <c r="J809">
        <v>0</v>
      </c>
      <c r="K809">
        <v>3</v>
      </c>
      <c r="L809" s="22" t="str">
        <f t="shared" si="278"/>
        <v>24/07/2026</v>
      </c>
      <c r="M809" s="23">
        <f t="shared" si="279"/>
        <v>0.66666666666666663</v>
      </c>
      <c r="N809" t="str">
        <f t="shared" si="261"/>
        <v>0 - 3</v>
      </c>
      <c r="O809" t="str">
        <f t="shared" si="262"/>
        <v>Red</v>
      </c>
      <c r="P809" t="str">
        <f t="shared" si="263"/>
        <v>Red</v>
      </c>
      <c r="Q809" t="str">
        <f t="shared" si="264"/>
        <v>Green</v>
      </c>
      <c r="R809" t="str">
        <f t="shared" si="265"/>
        <v>Red</v>
      </c>
      <c r="S809" t="str">
        <f t="shared" si="266"/>
        <v>Green</v>
      </c>
      <c r="T809" t="str">
        <f t="shared" si="267"/>
        <v>Green</v>
      </c>
      <c r="U809" t="str">
        <f t="shared" si="268"/>
        <v>Red</v>
      </c>
      <c r="V809" t="str">
        <f t="shared" si="269"/>
        <v>Green</v>
      </c>
      <c r="W809" t="str">
        <f t="shared" si="270"/>
        <v>Red</v>
      </c>
      <c r="X809" t="str">
        <f t="shared" si="271"/>
        <v>Red</v>
      </c>
      <c r="Y809" t="str">
        <f t="shared" si="272"/>
        <v>Green</v>
      </c>
      <c r="Z809" t="str">
        <f t="shared" si="273"/>
        <v>Green</v>
      </c>
      <c r="AA809" t="str">
        <f t="shared" si="274"/>
        <v>Red</v>
      </c>
      <c r="AB809" t="str">
        <f t="shared" si="275"/>
        <v>Green</v>
      </c>
      <c r="AC809" t="str">
        <f t="shared" si="276"/>
        <v>Red</v>
      </c>
      <c r="AD809" t="str">
        <f t="shared" si="277"/>
        <v>Green</v>
      </c>
    </row>
    <row r="810" spans="1:30" x14ac:dyDescent="0.2">
      <c r="A810" t="str">
        <f t="shared" si="260"/>
        <v>24/07/2026Odra OpoleArka Gdynia</v>
      </c>
      <c r="D810" s="2">
        <v>46227</v>
      </c>
      <c r="E810" s="3">
        <v>0.79166666666666663</v>
      </c>
      <c r="F810" t="s">
        <v>2558</v>
      </c>
      <c r="G810" t="s">
        <v>2559</v>
      </c>
      <c r="H810">
        <v>0</v>
      </c>
      <c r="I810">
        <v>1</v>
      </c>
      <c r="J810">
        <v>0</v>
      </c>
      <c r="K810">
        <v>1</v>
      </c>
      <c r="L810" s="22" t="str">
        <f t="shared" si="278"/>
        <v>24/07/2026</v>
      </c>
      <c r="M810" s="23">
        <f t="shared" si="279"/>
        <v>0.66666666666666663</v>
      </c>
      <c r="N810" t="str">
        <f t="shared" si="261"/>
        <v>0 - 1</v>
      </c>
      <c r="O810" t="str">
        <f t="shared" si="262"/>
        <v>Red</v>
      </c>
      <c r="P810" t="str">
        <f t="shared" si="263"/>
        <v>Red</v>
      </c>
      <c r="Q810" t="str">
        <f t="shared" si="264"/>
        <v>Green</v>
      </c>
      <c r="R810" t="str">
        <f t="shared" si="265"/>
        <v>Red</v>
      </c>
      <c r="S810" t="str">
        <f t="shared" si="266"/>
        <v>Green</v>
      </c>
      <c r="T810" t="str">
        <f t="shared" si="267"/>
        <v>Green</v>
      </c>
      <c r="U810" t="str">
        <f t="shared" si="268"/>
        <v>Red</v>
      </c>
      <c r="V810" t="str">
        <f t="shared" si="269"/>
        <v>Red</v>
      </c>
      <c r="W810" t="str">
        <f t="shared" si="270"/>
        <v>Green</v>
      </c>
      <c r="X810" t="str">
        <f t="shared" si="271"/>
        <v>Green</v>
      </c>
      <c r="Y810" t="str">
        <f t="shared" si="272"/>
        <v>Red</v>
      </c>
      <c r="Z810" t="str">
        <f t="shared" si="273"/>
        <v>Red</v>
      </c>
      <c r="AA810" t="str">
        <f t="shared" si="274"/>
        <v>Green</v>
      </c>
      <c r="AB810" t="str">
        <f t="shared" si="275"/>
        <v>Green</v>
      </c>
      <c r="AC810" t="str">
        <f t="shared" si="276"/>
        <v>Red</v>
      </c>
      <c r="AD810" t="str">
        <f t="shared" si="277"/>
        <v>Green</v>
      </c>
    </row>
    <row r="811" spans="1:30" x14ac:dyDescent="0.2">
      <c r="A811" t="str">
        <f t="shared" si="260"/>
        <v>24/07/2026Ballard FCVentura County Fusion</v>
      </c>
      <c r="D811" s="2">
        <v>46227</v>
      </c>
      <c r="E811" s="3">
        <v>0.79166666666666663</v>
      </c>
      <c r="F811" t="s">
        <v>2615</v>
      </c>
      <c r="G811" t="s">
        <v>2616</v>
      </c>
      <c r="H811">
        <v>1</v>
      </c>
      <c r="I811">
        <v>2</v>
      </c>
      <c r="J811">
        <v>1</v>
      </c>
      <c r="K811">
        <v>2</v>
      </c>
      <c r="L811" s="22" t="str">
        <f t="shared" si="278"/>
        <v>24/07/2026</v>
      </c>
      <c r="M811" s="23">
        <f t="shared" si="279"/>
        <v>0.66666666666666663</v>
      </c>
      <c r="N811" t="str">
        <f t="shared" si="261"/>
        <v>1 - 2</v>
      </c>
      <c r="O811" t="str">
        <f t="shared" si="262"/>
        <v>Red</v>
      </c>
      <c r="P811" t="str">
        <f t="shared" si="263"/>
        <v>Red</v>
      </c>
      <c r="Q811" t="str">
        <f t="shared" si="264"/>
        <v>Green</v>
      </c>
      <c r="R811" t="str">
        <f t="shared" si="265"/>
        <v>Red</v>
      </c>
      <c r="S811" t="str">
        <f t="shared" si="266"/>
        <v>Green</v>
      </c>
      <c r="T811" t="str">
        <f t="shared" si="267"/>
        <v>Green</v>
      </c>
      <c r="U811" t="str">
        <f t="shared" si="268"/>
        <v>Red</v>
      </c>
      <c r="V811" t="str">
        <f t="shared" si="269"/>
        <v>Red</v>
      </c>
      <c r="W811" t="str">
        <f t="shared" si="270"/>
        <v>Green</v>
      </c>
      <c r="X811" t="str">
        <f t="shared" si="271"/>
        <v>Green</v>
      </c>
      <c r="Y811" t="str">
        <f t="shared" si="272"/>
        <v>Green</v>
      </c>
      <c r="Z811" t="str">
        <f t="shared" si="273"/>
        <v>Green</v>
      </c>
      <c r="AA811" t="str">
        <f t="shared" si="274"/>
        <v>Red</v>
      </c>
      <c r="AB811" t="str">
        <f t="shared" si="275"/>
        <v>Green</v>
      </c>
      <c r="AC811" t="str">
        <f t="shared" si="276"/>
        <v>Green</v>
      </c>
      <c r="AD811" t="str">
        <f t="shared" si="277"/>
        <v>Red</v>
      </c>
    </row>
    <row r="812" spans="1:30" x14ac:dyDescent="0.2">
      <c r="A812" t="str">
        <f t="shared" si="260"/>
        <v>24/07/2026Punjab United FCWelling United</v>
      </c>
      <c r="D812" s="2">
        <v>46227</v>
      </c>
      <c r="E812" s="3">
        <v>0.79374999999999996</v>
      </c>
      <c r="F812" t="s">
        <v>2716</v>
      </c>
      <c r="G812" t="s">
        <v>2717</v>
      </c>
      <c r="H812">
        <v>0</v>
      </c>
      <c r="I812">
        <v>2</v>
      </c>
      <c r="J812">
        <v>1</v>
      </c>
      <c r="K812">
        <v>3</v>
      </c>
      <c r="L812" s="22" t="str">
        <f t="shared" si="278"/>
        <v>24/07/2026</v>
      </c>
      <c r="M812" s="23">
        <f t="shared" si="279"/>
        <v>0.66874999999999996</v>
      </c>
      <c r="N812" t="str">
        <f t="shared" si="261"/>
        <v>1 - 3</v>
      </c>
      <c r="O812" t="str">
        <f t="shared" si="262"/>
        <v>Red</v>
      </c>
      <c r="P812" t="str">
        <f t="shared" si="263"/>
        <v>Red</v>
      </c>
      <c r="Q812" t="str">
        <f t="shared" si="264"/>
        <v>Green</v>
      </c>
      <c r="R812" t="str">
        <f t="shared" si="265"/>
        <v>Red</v>
      </c>
      <c r="S812" t="str">
        <f t="shared" si="266"/>
        <v>Green</v>
      </c>
      <c r="T812" t="str">
        <f t="shared" si="267"/>
        <v>Green</v>
      </c>
      <c r="U812" t="str">
        <f t="shared" si="268"/>
        <v>Red</v>
      </c>
      <c r="V812" t="str">
        <f t="shared" si="269"/>
        <v>Red</v>
      </c>
      <c r="W812" t="str">
        <f t="shared" si="270"/>
        <v>Green</v>
      </c>
      <c r="X812" t="str">
        <f t="shared" si="271"/>
        <v>Green</v>
      </c>
      <c r="Y812" t="str">
        <f t="shared" si="272"/>
        <v>Green</v>
      </c>
      <c r="Z812" t="str">
        <f t="shared" si="273"/>
        <v>Green</v>
      </c>
      <c r="AA812" t="str">
        <f t="shared" si="274"/>
        <v>Red</v>
      </c>
      <c r="AB812" t="str">
        <f t="shared" si="275"/>
        <v>Red</v>
      </c>
      <c r="AC812" t="str">
        <f t="shared" si="276"/>
        <v>Green</v>
      </c>
      <c r="AD812" t="str">
        <f t="shared" si="277"/>
        <v>Red</v>
      </c>
    </row>
    <row r="813" spans="1:30" x14ac:dyDescent="0.2">
      <c r="A813" t="str">
        <f t="shared" si="260"/>
        <v>24/07/2026UMF NjardvikKopavogs</v>
      </c>
      <c r="D813" s="2">
        <v>46227</v>
      </c>
      <c r="E813" s="3">
        <v>0.80208333333333337</v>
      </c>
      <c r="F813" t="s">
        <v>2488</v>
      </c>
      <c r="G813" t="s">
        <v>292</v>
      </c>
      <c r="H813">
        <v>1</v>
      </c>
      <c r="I813">
        <v>1</v>
      </c>
      <c r="J813">
        <v>3</v>
      </c>
      <c r="K813">
        <v>2</v>
      </c>
      <c r="L813" s="22" t="str">
        <f t="shared" si="278"/>
        <v>24/07/2026</v>
      </c>
      <c r="M813" s="23">
        <f t="shared" si="279"/>
        <v>0.67708333333333337</v>
      </c>
      <c r="N813" t="str">
        <f t="shared" si="261"/>
        <v>3 - 2</v>
      </c>
      <c r="O813" t="str">
        <f t="shared" si="262"/>
        <v>Green</v>
      </c>
      <c r="P813" t="str">
        <f t="shared" si="263"/>
        <v>Red</v>
      </c>
      <c r="Q813" t="str">
        <f t="shared" si="264"/>
        <v>Red</v>
      </c>
      <c r="R813" t="str">
        <f t="shared" si="265"/>
        <v>Green</v>
      </c>
      <c r="S813" t="str">
        <f t="shared" si="266"/>
        <v>Red</v>
      </c>
      <c r="T813" t="str">
        <f t="shared" si="267"/>
        <v>Green</v>
      </c>
      <c r="U813" t="str">
        <f t="shared" si="268"/>
        <v>Red</v>
      </c>
      <c r="V813" t="str">
        <f t="shared" si="269"/>
        <v>Green</v>
      </c>
      <c r="W813" t="str">
        <f t="shared" si="270"/>
        <v>Red</v>
      </c>
      <c r="X813" t="str">
        <f t="shared" si="271"/>
        <v>Green</v>
      </c>
      <c r="Y813" t="str">
        <f t="shared" si="272"/>
        <v>Green</v>
      </c>
      <c r="Z813" t="str">
        <f t="shared" si="273"/>
        <v>Green</v>
      </c>
      <c r="AA813" t="str">
        <f t="shared" si="274"/>
        <v>Red</v>
      </c>
      <c r="AB813" t="str">
        <f t="shared" si="275"/>
        <v>Red</v>
      </c>
      <c r="AC813" t="str">
        <f t="shared" si="276"/>
        <v>Green</v>
      </c>
      <c r="AD813" t="str">
        <f t="shared" si="277"/>
        <v>Red</v>
      </c>
    </row>
    <row r="814" spans="1:30" x14ac:dyDescent="0.2">
      <c r="A814" t="str">
        <f t="shared" si="260"/>
        <v>24/07/2026Fjolnir Haukar</v>
      </c>
      <c r="D814" s="2">
        <v>46227</v>
      </c>
      <c r="E814" s="3">
        <v>0.80208333333333337</v>
      </c>
      <c r="F814" t="s">
        <v>2489</v>
      </c>
      <c r="G814" t="s">
        <v>164</v>
      </c>
      <c r="H814">
        <v>2</v>
      </c>
      <c r="I814">
        <v>0</v>
      </c>
      <c r="J814">
        <v>2</v>
      </c>
      <c r="K814">
        <v>1</v>
      </c>
      <c r="L814" s="22" t="str">
        <f t="shared" si="278"/>
        <v>24/07/2026</v>
      </c>
      <c r="M814" s="23">
        <f t="shared" si="279"/>
        <v>0.67708333333333337</v>
      </c>
      <c r="N814" t="str">
        <f t="shared" si="261"/>
        <v>2 - 1</v>
      </c>
      <c r="O814" t="str">
        <f t="shared" si="262"/>
        <v>Green</v>
      </c>
      <c r="P814" t="str">
        <f t="shared" si="263"/>
        <v>Red</v>
      </c>
      <c r="Q814" t="str">
        <f t="shared" si="264"/>
        <v>Red</v>
      </c>
      <c r="R814" t="str">
        <f t="shared" si="265"/>
        <v>Green</v>
      </c>
      <c r="S814" t="str">
        <f t="shared" si="266"/>
        <v>Red</v>
      </c>
      <c r="T814" t="str">
        <f t="shared" si="267"/>
        <v>Green</v>
      </c>
      <c r="U814" t="str">
        <f t="shared" si="268"/>
        <v>Green</v>
      </c>
      <c r="V814" t="str">
        <f t="shared" si="269"/>
        <v>Red</v>
      </c>
      <c r="W814" t="str">
        <f t="shared" si="270"/>
        <v>Red</v>
      </c>
      <c r="X814" t="str">
        <f t="shared" si="271"/>
        <v>Green</v>
      </c>
      <c r="Y814" t="str">
        <f t="shared" si="272"/>
        <v>Green</v>
      </c>
      <c r="Z814" t="str">
        <f t="shared" si="273"/>
        <v>Green</v>
      </c>
      <c r="AA814" t="str">
        <f t="shared" si="274"/>
        <v>Red</v>
      </c>
      <c r="AB814" t="str">
        <f t="shared" si="275"/>
        <v>Green</v>
      </c>
      <c r="AC814" t="str">
        <f t="shared" si="276"/>
        <v>Green</v>
      </c>
      <c r="AD814" t="str">
        <f t="shared" si="277"/>
        <v>Red</v>
      </c>
    </row>
    <row r="815" spans="1:30" x14ac:dyDescent="0.2">
      <c r="A815" t="str">
        <f t="shared" si="260"/>
        <v>24/07/2026Ymir KopavogurKH Hlidarendi</v>
      </c>
      <c r="D815" s="2">
        <v>46227</v>
      </c>
      <c r="E815" s="3">
        <v>0.80208333333333337</v>
      </c>
      <c r="F815" t="s">
        <v>2490</v>
      </c>
      <c r="G815" t="s">
        <v>2491</v>
      </c>
      <c r="H815">
        <v>1</v>
      </c>
      <c r="I815">
        <v>0</v>
      </c>
      <c r="J815">
        <v>1</v>
      </c>
      <c r="K815">
        <v>0</v>
      </c>
      <c r="L815" s="22" t="str">
        <f t="shared" si="278"/>
        <v>24/07/2026</v>
      </c>
      <c r="M815" s="23">
        <f t="shared" si="279"/>
        <v>0.67708333333333337</v>
      </c>
      <c r="N815" t="str">
        <f t="shared" si="261"/>
        <v>1 - 0</v>
      </c>
      <c r="O815" t="str">
        <f t="shared" si="262"/>
        <v>Green</v>
      </c>
      <c r="P815" t="str">
        <f t="shared" si="263"/>
        <v>Red</v>
      </c>
      <c r="Q815" t="str">
        <f t="shared" si="264"/>
        <v>Red</v>
      </c>
      <c r="R815" t="str">
        <f t="shared" si="265"/>
        <v>Green</v>
      </c>
      <c r="S815" t="str">
        <f t="shared" si="266"/>
        <v>Red</v>
      </c>
      <c r="T815" t="str">
        <f t="shared" si="267"/>
        <v>Green</v>
      </c>
      <c r="U815" t="str">
        <f t="shared" si="268"/>
        <v>Green</v>
      </c>
      <c r="V815" t="str">
        <f t="shared" si="269"/>
        <v>Red</v>
      </c>
      <c r="W815" t="str">
        <f t="shared" si="270"/>
        <v>Red</v>
      </c>
      <c r="X815" t="str">
        <f t="shared" si="271"/>
        <v>Green</v>
      </c>
      <c r="Y815" t="str">
        <f t="shared" si="272"/>
        <v>Red</v>
      </c>
      <c r="Z815" t="str">
        <f t="shared" si="273"/>
        <v>Red</v>
      </c>
      <c r="AA815" t="str">
        <f t="shared" si="274"/>
        <v>Green</v>
      </c>
      <c r="AB815" t="str">
        <f t="shared" si="275"/>
        <v>Green</v>
      </c>
      <c r="AC815" t="str">
        <f t="shared" si="276"/>
        <v>Red</v>
      </c>
      <c r="AD815" t="str">
        <f t="shared" si="277"/>
        <v>Green</v>
      </c>
    </row>
    <row r="816" spans="1:30" x14ac:dyDescent="0.2">
      <c r="A816" t="str">
        <f t="shared" si="260"/>
        <v>24/07/2026ArborgUlfarnir</v>
      </c>
      <c r="D816" s="2">
        <v>46227</v>
      </c>
      <c r="E816" s="3">
        <v>0.80208333333333337</v>
      </c>
      <c r="F816" t="s">
        <v>2492</v>
      </c>
      <c r="G816" t="s">
        <v>2493</v>
      </c>
      <c r="H816">
        <v>0</v>
      </c>
      <c r="I816">
        <v>0</v>
      </c>
      <c r="J816">
        <v>2</v>
      </c>
      <c r="K816">
        <v>0</v>
      </c>
      <c r="L816" s="22" t="str">
        <f t="shared" si="278"/>
        <v>24/07/2026</v>
      </c>
      <c r="M816" s="23">
        <f t="shared" si="279"/>
        <v>0.67708333333333337</v>
      </c>
      <c r="N816" t="str">
        <f t="shared" si="261"/>
        <v>2 - 0</v>
      </c>
      <c r="O816" t="str">
        <f t="shared" si="262"/>
        <v>Green</v>
      </c>
      <c r="P816" t="str">
        <f t="shared" si="263"/>
        <v>Red</v>
      </c>
      <c r="Q816" t="str">
        <f t="shared" si="264"/>
        <v>Red</v>
      </c>
      <c r="R816" t="str">
        <f t="shared" si="265"/>
        <v>Green</v>
      </c>
      <c r="S816" t="str">
        <f t="shared" si="266"/>
        <v>Red</v>
      </c>
      <c r="T816" t="str">
        <f t="shared" si="267"/>
        <v>Green</v>
      </c>
      <c r="U816" t="str">
        <f t="shared" si="268"/>
        <v>Red</v>
      </c>
      <c r="V816" t="str">
        <f t="shared" si="269"/>
        <v>Green</v>
      </c>
      <c r="W816" t="str">
        <f t="shared" si="270"/>
        <v>Red</v>
      </c>
      <c r="X816" t="str">
        <f t="shared" si="271"/>
        <v>Red</v>
      </c>
      <c r="Y816" t="str">
        <f t="shared" si="272"/>
        <v>Green</v>
      </c>
      <c r="Z816" t="str">
        <f t="shared" si="273"/>
        <v>Red</v>
      </c>
      <c r="AA816" t="str">
        <f t="shared" si="274"/>
        <v>Green</v>
      </c>
      <c r="AB816" t="str">
        <f t="shared" si="275"/>
        <v>Green</v>
      </c>
      <c r="AC816" t="str">
        <f t="shared" si="276"/>
        <v>Red</v>
      </c>
      <c r="AD816" t="str">
        <f t="shared" si="277"/>
        <v>Green</v>
      </c>
    </row>
    <row r="817" spans="1:30" x14ac:dyDescent="0.2">
      <c r="A817" t="str">
        <f t="shared" si="260"/>
        <v>24/07/2026Haukar WomenHK Kopavogur Women</v>
      </c>
      <c r="D817" s="2">
        <v>46227</v>
      </c>
      <c r="E817" s="3">
        <v>0.80208333333333337</v>
      </c>
      <c r="F817" t="s">
        <v>2494</v>
      </c>
      <c r="G817" t="s">
        <v>2495</v>
      </c>
      <c r="H817">
        <v>0</v>
      </c>
      <c r="I817">
        <v>0</v>
      </c>
      <c r="J817">
        <v>0</v>
      </c>
      <c r="K817">
        <v>2</v>
      </c>
      <c r="L817" s="22" t="str">
        <f t="shared" si="278"/>
        <v>24/07/2026</v>
      </c>
      <c r="M817" s="23">
        <f t="shared" si="279"/>
        <v>0.67708333333333337</v>
      </c>
      <c r="N817" t="str">
        <f t="shared" si="261"/>
        <v>0 - 2</v>
      </c>
      <c r="O817" t="str">
        <f t="shared" si="262"/>
        <v>Red</v>
      </c>
      <c r="P817" t="str">
        <f t="shared" si="263"/>
        <v>Red</v>
      </c>
      <c r="Q817" t="str">
        <f t="shared" si="264"/>
        <v>Green</v>
      </c>
      <c r="R817" t="str">
        <f t="shared" si="265"/>
        <v>Red</v>
      </c>
      <c r="S817" t="str">
        <f t="shared" si="266"/>
        <v>Green</v>
      </c>
      <c r="T817" t="str">
        <f t="shared" si="267"/>
        <v>Green</v>
      </c>
      <c r="U817" t="str">
        <f t="shared" si="268"/>
        <v>Red</v>
      </c>
      <c r="V817" t="str">
        <f t="shared" si="269"/>
        <v>Green</v>
      </c>
      <c r="W817" t="str">
        <f t="shared" si="270"/>
        <v>Red</v>
      </c>
      <c r="X817" t="str">
        <f t="shared" si="271"/>
        <v>Red</v>
      </c>
      <c r="Y817" t="str">
        <f t="shared" si="272"/>
        <v>Green</v>
      </c>
      <c r="Z817" t="str">
        <f t="shared" si="273"/>
        <v>Red</v>
      </c>
      <c r="AA817" t="str">
        <f t="shared" si="274"/>
        <v>Green</v>
      </c>
      <c r="AB817" t="str">
        <f t="shared" si="275"/>
        <v>Green</v>
      </c>
      <c r="AC817" t="str">
        <f t="shared" si="276"/>
        <v>Red</v>
      </c>
      <c r="AD817" t="str">
        <f t="shared" si="277"/>
        <v>Green</v>
      </c>
    </row>
    <row r="818" spans="1:30" x14ac:dyDescent="0.2">
      <c r="A818" t="str">
        <f t="shared" si="260"/>
        <v>24/07/2026Gimnasia MendozaCentral Cordoba SDE</v>
      </c>
      <c r="B818" t="s">
        <v>806</v>
      </c>
      <c r="C818" t="s">
        <v>2229</v>
      </c>
      <c r="D818" s="2">
        <v>46227</v>
      </c>
      <c r="E818" s="3">
        <v>0.82291666666666663</v>
      </c>
      <c r="F818" t="s">
        <v>2230</v>
      </c>
      <c r="G818" t="s">
        <v>2231</v>
      </c>
      <c r="H818">
        <v>0</v>
      </c>
      <c r="I818">
        <v>0</v>
      </c>
      <c r="J818">
        <v>1</v>
      </c>
      <c r="K818">
        <v>0</v>
      </c>
      <c r="L818" s="22" t="str">
        <f t="shared" si="278"/>
        <v>24/07/2026</v>
      </c>
      <c r="M818" s="23">
        <f t="shared" si="279"/>
        <v>0.69791666666666663</v>
      </c>
      <c r="N818" t="str">
        <f t="shared" si="261"/>
        <v>1 - 0</v>
      </c>
      <c r="O818" t="str">
        <f t="shared" si="262"/>
        <v>Green</v>
      </c>
      <c r="P818" t="str">
        <f t="shared" si="263"/>
        <v>Red</v>
      </c>
      <c r="Q818" t="str">
        <f t="shared" si="264"/>
        <v>Red</v>
      </c>
      <c r="R818" t="str">
        <f t="shared" si="265"/>
        <v>Green</v>
      </c>
      <c r="S818" t="str">
        <f t="shared" si="266"/>
        <v>Red</v>
      </c>
      <c r="T818" t="str">
        <f t="shared" si="267"/>
        <v>Green</v>
      </c>
      <c r="U818" t="str">
        <f t="shared" si="268"/>
        <v>Red</v>
      </c>
      <c r="V818" t="str">
        <f t="shared" si="269"/>
        <v>Green</v>
      </c>
      <c r="W818" t="str">
        <f t="shared" si="270"/>
        <v>Red</v>
      </c>
      <c r="X818" t="str">
        <f t="shared" si="271"/>
        <v>Red</v>
      </c>
      <c r="Y818" t="str">
        <f t="shared" si="272"/>
        <v>Red</v>
      </c>
      <c r="Z818" t="str">
        <f t="shared" si="273"/>
        <v>Red</v>
      </c>
      <c r="AA818" t="str">
        <f t="shared" si="274"/>
        <v>Green</v>
      </c>
      <c r="AB818" t="str">
        <f t="shared" si="275"/>
        <v>Green</v>
      </c>
      <c r="AC818" t="str">
        <f t="shared" si="276"/>
        <v>Red</v>
      </c>
      <c r="AD818" t="str">
        <f t="shared" si="277"/>
        <v>Green</v>
      </c>
    </row>
    <row r="819" spans="1:30" x14ac:dyDescent="0.2">
      <c r="A819" t="str">
        <f t="shared" si="260"/>
        <v>24/07/2026Vikingur ReykjavikKeflavik</v>
      </c>
      <c r="D819" s="2">
        <v>46227</v>
      </c>
      <c r="E819" s="3">
        <v>0.83333333333333337</v>
      </c>
      <c r="F819" t="s">
        <v>167</v>
      </c>
      <c r="G819" t="s">
        <v>168</v>
      </c>
      <c r="H819">
        <v>2</v>
      </c>
      <c r="I819">
        <v>0</v>
      </c>
      <c r="J819">
        <v>5</v>
      </c>
      <c r="K819">
        <v>1</v>
      </c>
      <c r="L819" s="22" t="str">
        <f t="shared" si="278"/>
        <v>24/07/2026</v>
      </c>
      <c r="M819" s="23">
        <f t="shared" si="279"/>
        <v>0.70833333333333337</v>
      </c>
      <c r="N819" t="str">
        <f t="shared" si="261"/>
        <v>5 - 1</v>
      </c>
      <c r="O819" t="str">
        <f t="shared" si="262"/>
        <v>Green</v>
      </c>
      <c r="P819" t="str">
        <f t="shared" si="263"/>
        <v>Red</v>
      </c>
      <c r="Q819" t="str">
        <f t="shared" si="264"/>
        <v>Red</v>
      </c>
      <c r="R819" t="str">
        <f t="shared" si="265"/>
        <v>Green</v>
      </c>
      <c r="S819" t="str">
        <f t="shared" si="266"/>
        <v>Red</v>
      </c>
      <c r="T819" t="str">
        <f t="shared" si="267"/>
        <v>Green</v>
      </c>
      <c r="U819" t="str">
        <f t="shared" si="268"/>
        <v>Green</v>
      </c>
      <c r="V819" t="str">
        <f t="shared" si="269"/>
        <v>Red</v>
      </c>
      <c r="W819" t="str">
        <f t="shared" si="270"/>
        <v>Red</v>
      </c>
      <c r="X819" t="str">
        <f t="shared" si="271"/>
        <v>Green</v>
      </c>
      <c r="Y819" t="str">
        <f t="shared" si="272"/>
        <v>Green</v>
      </c>
      <c r="Z819" t="str">
        <f t="shared" si="273"/>
        <v>Green</v>
      </c>
      <c r="AA819" t="str">
        <f t="shared" si="274"/>
        <v>Red</v>
      </c>
      <c r="AB819" t="str">
        <f t="shared" si="275"/>
        <v>Red</v>
      </c>
      <c r="AC819" t="str">
        <f t="shared" si="276"/>
        <v>Green</v>
      </c>
      <c r="AD819" t="str">
        <f t="shared" si="277"/>
        <v>Red</v>
      </c>
    </row>
    <row r="820" spans="1:30" x14ac:dyDescent="0.2">
      <c r="A820" t="str">
        <f t="shared" si="260"/>
        <v>24/07/2026Hviti RiddarinnKari</v>
      </c>
      <c r="D820" s="2">
        <v>46227</v>
      </c>
      <c r="E820" s="3">
        <v>0.83333333333333337</v>
      </c>
      <c r="F820" t="s">
        <v>169</v>
      </c>
      <c r="G820" t="s">
        <v>170</v>
      </c>
      <c r="H820">
        <v>0</v>
      </c>
      <c r="I820">
        <v>1</v>
      </c>
      <c r="J820">
        <v>1</v>
      </c>
      <c r="K820">
        <v>3</v>
      </c>
      <c r="L820" s="22" t="str">
        <f t="shared" si="278"/>
        <v>24/07/2026</v>
      </c>
      <c r="M820" s="23">
        <f t="shared" si="279"/>
        <v>0.70833333333333337</v>
      </c>
      <c r="N820" t="str">
        <f t="shared" si="261"/>
        <v>1 - 3</v>
      </c>
      <c r="O820" t="str">
        <f t="shared" si="262"/>
        <v>Red</v>
      </c>
      <c r="P820" t="str">
        <f t="shared" si="263"/>
        <v>Red</v>
      </c>
      <c r="Q820" t="str">
        <f t="shared" si="264"/>
        <v>Green</v>
      </c>
      <c r="R820" t="str">
        <f t="shared" si="265"/>
        <v>Red</v>
      </c>
      <c r="S820" t="str">
        <f t="shared" si="266"/>
        <v>Green</v>
      </c>
      <c r="T820" t="str">
        <f t="shared" si="267"/>
        <v>Green</v>
      </c>
      <c r="U820" t="str">
        <f t="shared" si="268"/>
        <v>Red</v>
      </c>
      <c r="V820" t="str">
        <f t="shared" si="269"/>
        <v>Red</v>
      </c>
      <c r="W820" t="str">
        <f t="shared" si="270"/>
        <v>Green</v>
      </c>
      <c r="X820" t="str">
        <f t="shared" si="271"/>
        <v>Green</v>
      </c>
      <c r="Y820" t="str">
        <f t="shared" si="272"/>
        <v>Green</v>
      </c>
      <c r="Z820" t="str">
        <f t="shared" si="273"/>
        <v>Green</v>
      </c>
      <c r="AA820" t="str">
        <f t="shared" si="274"/>
        <v>Red</v>
      </c>
      <c r="AB820" t="str">
        <f t="shared" si="275"/>
        <v>Red</v>
      </c>
      <c r="AC820" t="str">
        <f t="shared" si="276"/>
        <v>Green</v>
      </c>
      <c r="AD820" t="str">
        <f t="shared" si="277"/>
        <v>Red</v>
      </c>
    </row>
    <row r="821" spans="1:30" x14ac:dyDescent="0.2">
      <c r="A821" t="str">
        <f t="shared" si="260"/>
        <v>24/07/2026Guatemala U20Costa Rica U20</v>
      </c>
      <c r="D821" s="2">
        <v>46227</v>
      </c>
      <c r="E821" s="3">
        <v>0.83333333333333337</v>
      </c>
      <c r="F821" t="s">
        <v>2528</v>
      </c>
      <c r="G821" t="s">
        <v>2529</v>
      </c>
      <c r="H821">
        <v>0</v>
      </c>
      <c r="I821">
        <v>0</v>
      </c>
      <c r="J821">
        <v>0</v>
      </c>
      <c r="K821">
        <v>1</v>
      </c>
      <c r="L821" s="22" t="str">
        <f t="shared" si="278"/>
        <v>24/07/2026</v>
      </c>
      <c r="M821" s="23">
        <f t="shared" si="279"/>
        <v>0.70833333333333337</v>
      </c>
      <c r="N821" t="str">
        <f t="shared" si="261"/>
        <v>0 - 1</v>
      </c>
      <c r="O821" t="str">
        <f t="shared" si="262"/>
        <v>Red</v>
      </c>
      <c r="P821" t="str">
        <f t="shared" si="263"/>
        <v>Red</v>
      </c>
      <c r="Q821" t="str">
        <f t="shared" si="264"/>
        <v>Green</v>
      </c>
      <c r="R821" t="str">
        <f t="shared" si="265"/>
        <v>Red</v>
      </c>
      <c r="S821" t="str">
        <f t="shared" si="266"/>
        <v>Green</v>
      </c>
      <c r="T821" t="str">
        <f t="shared" si="267"/>
        <v>Green</v>
      </c>
      <c r="U821" t="str">
        <f t="shared" si="268"/>
        <v>Red</v>
      </c>
      <c r="V821" t="str">
        <f t="shared" si="269"/>
        <v>Green</v>
      </c>
      <c r="W821" t="str">
        <f t="shared" si="270"/>
        <v>Red</v>
      </c>
      <c r="X821" t="str">
        <f t="shared" si="271"/>
        <v>Red</v>
      </c>
      <c r="Y821" t="str">
        <f t="shared" si="272"/>
        <v>Red</v>
      </c>
      <c r="Z821" t="str">
        <f t="shared" si="273"/>
        <v>Red</v>
      </c>
      <c r="AA821" t="str">
        <f t="shared" si="274"/>
        <v>Green</v>
      </c>
      <c r="AB821" t="str">
        <f t="shared" si="275"/>
        <v>Green</v>
      </c>
      <c r="AC821" t="str">
        <f t="shared" si="276"/>
        <v>Red</v>
      </c>
      <c r="AD821" t="str">
        <f t="shared" si="277"/>
        <v>Green</v>
      </c>
    </row>
    <row r="822" spans="1:30" x14ac:dyDescent="0.2">
      <c r="A822" t="str">
        <f t="shared" si="260"/>
        <v>24/07/2026Alianza AtleticoCSD Santa Rosa</v>
      </c>
      <c r="D822" s="2">
        <v>46227</v>
      </c>
      <c r="E822" s="3">
        <v>0.83333333333333337</v>
      </c>
      <c r="F822" t="s">
        <v>171</v>
      </c>
      <c r="G822" t="s">
        <v>2545</v>
      </c>
      <c r="H822">
        <v>1</v>
      </c>
      <c r="I822">
        <v>0</v>
      </c>
      <c r="J822">
        <v>3</v>
      </c>
      <c r="K822">
        <v>1</v>
      </c>
      <c r="L822" s="22" t="str">
        <f t="shared" si="278"/>
        <v>24/07/2026</v>
      </c>
      <c r="M822" s="23">
        <f t="shared" si="279"/>
        <v>0.70833333333333337</v>
      </c>
      <c r="N822" t="str">
        <f t="shared" si="261"/>
        <v>3 - 1</v>
      </c>
      <c r="O822" t="str">
        <f t="shared" si="262"/>
        <v>Green</v>
      </c>
      <c r="P822" t="str">
        <f t="shared" si="263"/>
        <v>Red</v>
      </c>
      <c r="Q822" t="str">
        <f t="shared" si="264"/>
        <v>Red</v>
      </c>
      <c r="R822" t="str">
        <f t="shared" si="265"/>
        <v>Green</v>
      </c>
      <c r="S822" t="str">
        <f t="shared" si="266"/>
        <v>Red</v>
      </c>
      <c r="T822" t="str">
        <f t="shared" si="267"/>
        <v>Green</v>
      </c>
      <c r="U822" t="str">
        <f t="shared" si="268"/>
        <v>Green</v>
      </c>
      <c r="V822" t="str">
        <f t="shared" si="269"/>
        <v>Red</v>
      </c>
      <c r="W822" t="str">
        <f t="shared" si="270"/>
        <v>Red</v>
      </c>
      <c r="X822" t="str">
        <f t="shared" si="271"/>
        <v>Green</v>
      </c>
      <c r="Y822" t="str">
        <f t="shared" si="272"/>
        <v>Green</v>
      </c>
      <c r="Z822" t="str">
        <f t="shared" si="273"/>
        <v>Green</v>
      </c>
      <c r="AA822" t="str">
        <f t="shared" si="274"/>
        <v>Red</v>
      </c>
      <c r="AB822" t="str">
        <f t="shared" si="275"/>
        <v>Red</v>
      </c>
      <c r="AC822" t="str">
        <f t="shared" si="276"/>
        <v>Green</v>
      </c>
      <c r="AD822" t="str">
        <f t="shared" si="277"/>
        <v>Red</v>
      </c>
    </row>
    <row r="823" spans="1:30" x14ac:dyDescent="0.2">
      <c r="A823" t="str">
        <f t="shared" si="260"/>
        <v>24/07/2026AD ComerciantesAlianza Universidad</v>
      </c>
      <c r="D823" s="2">
        <v>46227</v>
      </c>
      <c r="E823" s="3">
        <v>0.84375</v>
      </c>
      <c r="F823" t="s">
        <v>2548</v>
      </c>
      <c r="G823" t="s">
        <v>2549</v>
      </c>
      <c r="H823">
        <v>0</v>
      </c>
      <c r="I823">
        <v>0</v>
      </c>
      <c r="J823">
        <v>1</v>
      </c>
      <c r="K823">
        <v>0</v>
      </c>
      <c r="L823" s="22" t="str">
        <f t="shared" si="278"/>
        <v>24/07/2026</v>
      </c>
      <c r="M823" s="23">
        <f t="shared" si="279"/>
        <v>0.71875</v>
      </c>
      <c r="N823" t="str">
        <f t="shared" si="261"/>
        <v>1 - 0</v>
      </c>
      <c r="O823" t="str">
        <f t="shared" si="262"/>
        <v>Green</v>
      </c>
      <c r="P823" t="str">
        <f t="shared" si="263"/>
        <v>Red</v>
      </c>
      <c r="Q823" t="str">
        <f t="shared" si="264"/>
        <v>Red</v>
      </c>
      <c r="R823" t="str">
        <f t="shared" si="265"/>
        <v>Green</v>
      </c>
      <c r="S823" t="str">
        <f t="shared" si="266"/>
        <v>Red</v>
      </c>
      <c r="T823" t="str">
        <f t="shared" si="267"/>
        <v>Green</v>
      </c>
      <c r="U823" t="str">
        <f t="shared" si="268"/>
        <v>Red</v>
      </c>
      <c r="V823" t="str">
        <f t="shared" si="269"/>
        <v>Green</v>
      </c>
      <c r="W823" t="str">
        <f t="shared" si="270"/>
        <v>Red</v>
      </c>
      <c r="X823" t="str">
        <f t="shared" si="271"/>
        <v>Red</v>
      </c>
      <c r="Y823" t="str">
        <f t="shared" si="272"/>
        <v>Red</v>
      </c>
      <c r="Z823" t="str">
        <f t="shared" si="273"/>
        <v>Red</v>
      </c>
      <c r="AA823" t="str">
        <f t="shared" si="274"/>
        <v>Green</v>
      </c>
      <c r="AB823" t="str">
        <f t="shared" si="275"/>
        <v>Green</v>
      </c>
      <c r="AC823" t="str">
        <f t="shared" si="276"/>
        <v>Red</v>
      </c>
      <c r="AD823" t="str">
        <f t="shared" si="277"/>
        <v>Green</v>
      </c>
    </row>
    <row r="824" spans="1:30" x14ac:dyDescent="0.2">
      <c r="A824" t="str">
        <f t="shared" si="260"/>
        <v>24/07/2026Independiente Medellin WomenAtletico Nacional Women</v>
      </c>
      <c r="D824" s="2">
        <v>46227</v>
      </c>
      <c r="E824" s="3">
        <v>0.85416666666666663</v>
      </c>
      <c r="F824" t="s">
        <v>2397</v>
      </c>
      <c r="G824" t="s">
        <v>2398</v>
      </c>
      <c r="H824">
        <v>1</v>
      </c>
      <c r="I824">
        <v>1</v>
      </c>
      <c r="J824">
        <v>1</v>
      </c>
      <c r="K824">
        <v>3</v>
      </c>
      <c r="L824" s="22" t="str">
        <f t="shared" si="278"/>
        <v>24/07/2026</v>
      </c>
      <c r="M824" s="23">
        <f t="shared" si="279"/>
        <v>0.72916666666666663</v>
      </c>
      <c r="N824" t="str">
        <f t="shared" si="261"/>
        <v>1 - 3</v>
      </c>
      <c r="O824" t="str">
        <f t="shared" si="262"/>
        <v>Red</v>
      </c>
      <c r="P824" t="str">
        <f t="shared" si="263"/>
        <v>Red</v>
      </c>
      <c r="Q824" t="str">
        <f t="shared" si="264"/>
        <v>Green</v>
      </c>
      <c r="R824" t="str">
        <f t="shared" si="265"/>
        <v>Red</v>
      </c>
      <c r="S824" t="str">
        <f t="shared" si="266"/>
        <v>Green</v>
      </c>
      <c r="T824" t="str">
        <f t="shared" si="267"/>
        <v>Green</v>
      </c>
      <c r="U824" t="str">
        <f t="shared" si="268"/>
        <v>Red</v>
      </c>
      <c r="V824" t="str">
        <f t="shared" si="269"/>
        <v>Green</v>
      </c>
      <c r="W824" t="str">
        <f t="shared" si="270"/>
        <v>Red</v>
      </c>
      <c r="X824" t="str">
        <f t="shared" si="271"/>
        <v>Green</v>
      </c>
      <c r="Y824" t="str">
        <f t="shared" si="272"/>
        <v>Green</v>
      </c>
      <c r="Z824" t="str">
        <f t="shared" si="273"/>
        <v>Green</v>
      </c>
      <c r="AA824" t="str">
        <f t="shared" si="274"/>
        <v>Red</v>
      </c>
      <c r="AB824" t="str">
        <f t="shared" si="275"/>
        <v>Red</v>
      </c>
      <c r="AC824" t="str">
        <f t="shared" si="276"/>
        <v>Green</v>
      </c>
      <c r="AD824" t="str">
        <f t="shared" si="277"/>
        <v>Red</v>
      </c>
    </row>
    <row r="825" spans="1:30" x14ac:dyDescent="0.2">
      <c r="A825" t="str">
        <f t="shared" si="260"/>
        <v>24/07/2026Deportes QuindioUniversitario Popayan</v>
      </c>
      <c r="D825" s="2">
        <v>46227</v>
      </c>
      <c r="E825" s="3">
        <v>0.87847222222222221</v>
      </c>
      <c r="F825" t="s">
        <v>420</v>
      </c>
      <c r="G825" t="s">
        <v>2396</v>
      </c>
      <c r="H825">
        <v>0</v>
      </c>
      <c r="I825">
        <v>0</v>
      </c>
      <c r="J825">
        <v>0</v>
      </c>
      <c r="K825">
        <v>1</v>
      </c>
      <c r="L825" s="22" t="str">
        <f t="shared" si="278"/>
        <v>24/07/2026</v>
      </c>
      <c r="M825" s="23">
        <f t="shared" si="279"/>
        <v>0.75347222222222221</v>
      </c>
      <c r="N825" t="str">
        <f t="shared" si="261"/>
        <v>0 - 1</v>
      </c>
      <c r="O825" t="str">
        <f t="shared" si="262"/>
        <v>Red</v>
      </c>
      <c r="P825" t="str">
        <f t="shared" si="263"/>
        <v>Red</v>
      </c>
      <c r="Q825" t="str">
        <f t="shared" si="264"/>
        <v>Green</v>
      </c>
      <c r="R825" t="str">
        <f t="shared" si="265"/>
        <v>Red</v>
      </c>
      <c r="S825" t="str">
        <f t="shared" si="266"/>
        <v>Green</v>
      </c>
      <c r="T825" t="str">
        <f t="shared" si="267"/>
        <v>Green</v>
      </c>
      <c r="U825" t="str">
        <f t="shared" si="268"/>
        <v>Red</v>
      </c>
      <c r="V825" t="str">
        <f t="shared" si="269"/>
        <v>Green</v>
      </c>
      <c r="W825" t="str">
        <f t="shared" si="270"/>
        <v>Red</v>
      </c>
      <c r="X825" t="str">
        <f t="shared" si="271"/>
        <v>Red</v>
      </c>
      <c r="Y825" t="str">
        <f t="shared" si="272"/>
        <v>Red</v>
      </c>
      <c r="Z825" t="str">
        <f t="shared" si="273"/>
        <v>Red</v>
      </c>
      <c r="AA825" t="str">
        <f t="shared" si="274"/>
        <v>Green</v>
      </c>
      <c r="AB825" t="str">
        <f t="shared" si="275"/>
        <v>Green</v>
      </c>
      <c r="AC825" t="str">
        <f t="shared" si="276"/>
        <v>Red</v>
      </c>
      <c r="AD825" t="str">
        <f t="shared" si="277"/>
        <v>Green</v>
      </c>
    </row>
    <row r="826" spans="1:30" x14ac:dyDescent="0.2">
      <c r="A826" t="str">
        <f t="shared" si="260"/>
        <v>24/07/2026Deportivo Cuenca ReservesAtletico Rojiblanco</v>
      </c>
      <c r="D826" s="2">
        <v>46227</v>
      </c>
      <c r="E826" s="3">
        <v>0.89583333333333337</v>
      </c>
      <c r="F826" t="s">
        <v>1850</v>
      </c>
      <c r="G826" t="s">
        <v>1849</v>
      </c>
      <c r="H826">
        <v>0</v>
      </c>
      <c r="I826">
        <v>0</v>
      </c>
      <c r="J826">
        <v>0</v>
      </c>
      <c r="K826">
        <v>0</v>
      </c>
      <c r="L826" s="22" t="str">
        <f t="shared" si="278"/>
        <v>24/07/2026</v>
      </c>
      <c r="M826" s="23">
        <f t="shared" si="279"/>
        <v>0.77083333333333337</v>
      </c>
      <c r="N826" t="str">
        <f t="shared" si="261"/>
        <v>0 - 0</v>
      </c>
      <c r="O826" t="str">
        <f t="shared" si="262"/>
        <v>Red</v>
      </c>
      <c r="P826" t="str">
        <f t="shared" si="263"/>
        <v>Green</v>
      </c>
      <c r="Q826" t="str">
        <f t="shared" si="264"/>
        <v>Red</v>
      </c>
      <c r="R826" t="str">
        <f t="shared" si="265"/>
        <v>Green</v>
      </c>
      <c r="S826" t="str">
        <f t="shared" si="266"/>
        <v>Green</v>
      </c>
      <c r="T826" t="str">
        <f t="shared" si="267"/>
        <v>Red</v>
      </c>
      <c r="U826" t="str">
        <f t="shared" si="268"/>
        <v>Red</v>
      </c>
      <c r="V826" t="str">
        <f t="shared" si="269"/>
        <v>Green</v>
      </c>
      <c r="W826" t="str">
        <f t="shared" si="270"/>
        <v>Red</v>
      </c>
      <c r="X826" t="str">
        <f t="shared" si="271"/>
        <v>Red</v>
      </c>
      <c r="Y826" t="str">
        <f t="shared" si="272"/>
        <v>Red</v>
      </c>
      <c r="Z826" t="str">
        <f t="shared" si="273"/>
        <v>Red</v>
      </c>
      <c r="AA826" t="str">
        <f t="shared" si="274"/>
        <v>Green</v>
      </c>
      <c r="AB826" t="str">
        <f t="shared" si="275"/>
        <v>Green</v>
      </c>
      <c r="AC826" t="str">
        <f t="shared" si="276"/>
        <v>Red</v>
      </c>
      <c r="AD826" t="str">
        <f t="shared" si="277"/>
        <v>Green</v>
      </c>
    </row>
    <row r="827" spans="1:30" x14ac:dyDescent="0.2">
      <c r="A827" t="str">
        <f t="shared" si="260"/>
        <v>24/07/2026Cerro PortenoSportivo Trinidense</v>
      </c>
      <c r="D827" s="2">
        <v>46227</v>
      </c>
      <c r="E827" s="3">
        <v>0.89583333333333337</v>
      </c>
      <c r="F827" t="s">
        <v>2543</v>
      </c>
      <c r="G827" t="s">
        <v>176</v>
      </c>
      <c r="H827">
        <v>1</v>
      </c>
      <c r="I827">
        <v>0</v>
      </c>
      <c r="J827">
        <v>1</v>
      </c>
      <c r="K827">
        <v>2</v>
      </c>
      <c r="L827" s="22" t="str">
        <f t="shared" si="278"/>
        <v>24/07/2026</v>
      </c>
      <c r="M827" s="23">
        <f t="shared" si="279"/>
        <v>0.77083333333333337</v>
      </c>
      <c r="N827" t="str">
        <f t="shared" si="261"/>
        <v>1 - 2</v>
      </c>
      <c r="O827" t="str">
        <f t="shared" si="262"/>
        <v>Red</v>
      </c>
      <c r="P827" t="str">
        <f t="shared" si="263"/>
        <v>Red</v>
      </c>
      <c r="Q827" t="str">
        <f t="shared" si="264"/>
        <v>Green</v>
      </c>
      <c r="R827" t="str">
        <f t="shared" si="265"/>
        <v>Red</v>
      </c>
      <c r="S827" t="str">
        <f t="shared" si="266"/>
        <v>Green</v>
      </c>
      <c r="T827" t="str">
        <f t="shared" si="267"/>
        <v>Green</v>
      </c>
      <c r="U827" t="str">
        <f t="shared" si="268"/>
        <v>Green</v>
      </c>
      <c r="V827" t="str">
        <f t="shared" si="269"/>
        <v>Red</v>
      </c>
      <c r="W827" t="str">
        <f t="shared" si="270"/>
        <v>Red</v>
      </c>
      <c r="X827" t="str">
        <f t="shared" si="271"/>
        <v>Green</v>
      </c>
      <c r="Y827" t="str">
        <f t="shared" si="272"/>
        <v>Green</v>
      </c>
      <c r="Z827" t="str">
        <f t="shared" si="273"/>
        <v>Green</v>
      </c>
      <c r="AA827" t="str">
        <f t="shared" si="274"/>
        <v>Red</v>
      </c>
      <c r="AB827" t="str">
        <f t="shared" si="275"/>
        <v>Green</v>
      </c>
      <c r="AC827" t="str">
        <f t="shared" si="276"/>
        <v>Green</v>
      </c>
      <c r="AD827" t="str">
        <f t="shared" si="277"/>
        <v>Red</v>
      </c>
    </row>
    <row r="828" spans="1:30" x14ac:dyDescent="0.2">
      <c r="A828" t="str">
        <f t="shared" si="260"/>
        <v>24/07/2026Racing AvellanedaGimnasia La Plata</v>
      </c>
      <c r="B828" t="s">
        <v>806</v>
      </c>
      <c r="C828" t="s">
        <v>2229</v>
      </c>
      <c r="D828" s="2">
        <v>46227</v>
      </c>
      <c r="E828" s="3">
        <v>0.91666666666666663</v>
      </c>
      <c r="F828" t="s">
        <v>2232</v>
      </c>
      <c r="G828" t="s">
        <v>178</v>
      </c>
      <c r="H828">
        <v>1</v>
      </c>
      <c r="I828">
        <v>1</v>
      </c>
      <c r="J828">
        <v>2</v>
      </c>
      <c r="K828">
        <v>1</v>
      </c>
      <c r="L828" s="22" t="str">
        <f t="shared" si="278"/>
        <v>24/07/2026</v>
      </c>
      <c r="M828" s="23">
        <f t="shared" si="279"/>
        <v>0.79166666666666663</v>
      </c>
      <c r="N828" t="str">
        <f t="shared" si="261"/>
        <v>2 - 1</v>
      </c>
      <c r="O828" t="str">
        <f t="shared" si="262"/>
        <v>Green</v>
      </c>
      <c r="P828" t="str">
        <f t="shared" si="263"/>
        <v>Red</v>
      </c>
      <c r="Q828" t="str">
        <f t="shared" si="264"/>
        <v>Red</v>
      </c>
      <c r="R828" t="str">
        <f t="shared" si="265"/>
        <v>Green</v>
      </c>
      <c r="S828" t="str">
        <f t="shared" si="266"/>
        <v>Red</v>
      </c>
      <c r="T828" t="str">
        <f t="shared" si="267"/>
        <v>Green</v>
      </c>
      <c r="U828" t="str">
        <f t="shared" si="268"/>
        <v>Red</v>
      </c>
      <c r="V828" t="str">
        <f t="shared" si="269"/>
        <v>Green</v>
      </c>
      <c r="W828" t="str">
        <f t="shared" si="270"/>
        <v>Red</v>
      </c>
      <c r="X828" t="str">
        <f t="shared" si="271"/>
        <v>Green</v>
      </c>
      <c r="Y828" t="str">
        <f t="shared" si="272"/>
        <v>Green</v>
      </c>
      <c r="Z828" t="str">
        <f t="shared" si="273"/>
        <v>Green</v>
      </c>
      <c r="AA828" t="str">
        <f t="shared" si="274"/>
        <v>Red</v>
      </c>
      <c r="AB828" t="str">
        <f t="shared" si="275"/>
        <v>Green</v>
      </c>
      <c r="AC828" t="str">
        <f t="shared" si="276"/>
        <v>Green</v>
      </c>
      <c r="AD828" t="str">
        <f t="shared" si="277"/>
        <v>Red</v>
      </c>
    </row>
    <row r="829" spans="1:30" x14ac:dyDescent="0.2">
      <c r="A829" t="str">
        <f t="shared" si="260"/>
        <v>24/07/2026Velez SarsfieldInstituto de Cordoba</v>
      </c>
      <c r="B829" t="s">
        <v>806</v>
      </c>
      <c r="C829" t="s">
        <v>2229</v>
      </c>
      <c r="D829" s="2">
        <v>46227</v>
      </c>
      <c r="E829" s="3">
        <v>0.91666666666666663</v>
      </c>
      <c r="F829" t="s">
        <v>2233</v>
      </c>
      <c r="G829" t="s">
        <v>2234</v>
      </c>
      <c r="H829">
        <v>1</v>
      </c>
      <c r="I829">
        <v>0</v>
      </c>
      <c r="J829">
        <v>1</v>
      </c>
      <c r="K829">
        <v>0</v>
      </c>
      <c r="L829" s="22" t="str">
        <f t="shared" si="278"/>
        <v>24/07/2026</v>
      </c>
      <c r="M829" s="23">
        <f t="shared" si="279"/>
        <v>0.79166666666666663</v>
      </c>
      <c r="N829" t="str">
        <f t="shared" si="261"/>
        <v>1 - 0</v>
      </c>
      <c r="O829" t="str">
        <f t="shared" si="262"/>
        <v>Green</v>
      </c>
      <c r="P829" t="str">
        <f t="shared" si="263"/>
        <v>Red</v>
      </c>
      <c r="Q829" t="str">
        <f t="shared" si="264"/>
        <v>Red</v>
      </c>
      <c r="R829" t="str">
        <f t="shared" si="265"/>
        <v>Green</v>
      </c>
      <c r="S829" t="str">
        <f t="shared" si="266"/>
        <v>Red</v>
      </c>
      <c r="T829" t="str">
        <f t="shared" si="267"/>
        <v>Green</v>
      </c>
      <c r="U829" t="str">
        <f t="shared" si="268"/>
        <v>Green</v>
      </c>
      <c r="V829" t="str">
        <f t="shared" si="269"/>
        <v>Red</v>
      </c>
      <c r="W829" t="str">
        <f t="shared" si="270"/>
        <v>Red</v>
      </c>
      <c r="X829" t="str">
        <f t="shared" si="271"/>
        <v>Green</v>
      </c>
      <c r="Y829" t="str">
        <f t="shared" si="272"/>
        <v>Red</v>
      </c>
      <c r="Z829" t="str">
        <f t="shared" si="273"/>
        <v>Red</v>
      </c>
      <c r="AA829" t="str">
        <f t="shared" si="274"/>
        <v>Green</v>
      </c>
      <c r="AB829" t="str">
        <f t="shared" si="275"/>
        <v>Green</v>
      </c>
      <c r="AC829" t="str">
        <f t="shared" si="276"/>
        <v>Red</v>
      </c>
      <c r="AD829" t="str">
        <f t="shared" si="277"/>
        <v>Green</v>
      </c>
    </row>
    <row r="830" spans="1:30" x14ac:dyDescent="0.2">
      <c r="A830" t="str">
        <f t="shared" si="260"/>
        <v>24/07/2026America MG WomenSantos Women</v>
      </c>
      <c r="D830" s="2">
        <v>46227</v>
      </c>
      <c r="E830" s="3">
        <v>0.91666666666666663</v>
      </c>
      <c r="F830" t="s">
        <v>2358</v>
      </c>
      <c r="G830" t="s">
        <v>2359</v>
      </c>
      <c r="H830">
        <v>0</v>
      </c>
      <c r="I830">
        <v>0</v>
      </c>
      <c r="J830">
        <v>0</v>
      </c>
      <c r="K830">
        <v>1</v>
      </c>
      <c r="L830" s="22" t="str">
        <f t="shared" si="278"/>
        <v>24/07/2026</v>
      </c>
      <c r="M830" s="23">
        <f t="shared" si="279"/>
        <v>0.79166666666666663</v>
      </c>
      <c r="N830" t="str">
        <f t="shared" si="261"/>
        <v>0 - 1</v>
      </c>
      <c r="O830" t="str">
        <f t="shared" si="262"/>
        <v>Red</v>
      </c>
      <c r="P830" t="str">
        <f t="shared" si="263"/>
        <v>Red</v>
      </c>
      <c r="Q830" t="str">
        <f t="shared" si="264"/>
        <v>Green</v>
      </c>
      <c r="R830" t="str">
        <f t="shared" si="265"/>
        <v>Red</v>
      </c>
      <c r="S830" t="str">
        <f t="shared" si="266"/>
        <v>Green</v>
      </c>
      <c r="T830" t="str">
        <f t="shared" si="267"/>
        <v>Green</v>
      </c>
      <c r="U830" t="str">
        <f t="shared" si="268"/>
        <v>Red</v>
      </c>
      <c r="V830" t="str">
        <f t="shared" si="269"/>
        <v>Green</v>
      </c>
      <c r="W830" t="str">
        <f t="shared" si="270"/>
        <v>Red</v>
      </c>
      <c r="X830" t="str">
        <f t="shared" si="271"/>
        <v>Red</v>
      </c>
      <c r="Y830" t="str">
        <f t="shared" si="272"/>
        <v>Red</v>
      </c>
      <c r="Z830" t="str">
        <f t="shared" si="273"/>
        <v>Red</v>
      </c>
      <c r="AA830" t="str">
        <f t="shared" si="274"/>
        <v>Green</v>
      </c>
      <c r="AB830" t="str">
        <f t="shared" si="275"/>
        <v>Green</v>
      </c>
      <c r="AC830" t="str">
        <f t="shared" si="276"/>
        <v>Red</v>
      </c>
      <c r="AD830" t="str">
        <f t="shared" si="277"/>
        <v>Green</v>
      </c>
    </row>
    <row r="831" spans="1:30" x14ac:dyDescent="0.2">
      <c r="A831" t="str">
        <f t="shared" si="260"/>
        <v>24/07/2026Flamengo WomenGremio RS Women</v>
      </c>
      <c r="D831" s="2">
        <v>46227</v>
      </c>
      <c r="E831" s="3">
        <v>0.91666666666666663</v>
      </c>
      <c r="F831" t="s">
        <v>1316</v>
      </c>
      <c r="G831" t="s">
        <v>2360</v>
      </c>
      <c r="H831">
        <v>1</v>
      </c>
      <c r="I831">
        <v>1</v>
      </c>
      <c r="J831">
        <v>2</v>
      </c>
      <c r="K831">
        <v>2</v>
      </c>
      <c r="L831" s="22" t="str">
        <f t="shared" si="278"/>
        <v>24/07/2026</v>
      </c>
      <c r="M831" s="23">
        <f t="shared" si="279"/>
        <v>0.79166666666666663</v>
      </c>
      <c r="N831" t="str">
        <f t="shared" si="261"/>
        <v>2 - 2</v>
      </c>
      <c r="O831" t="str">
        <f t="shared" si="262"/>
        <v>Red</v>
      </c>
      <c r="P831" t="str">
        <f t="shared" si="263"/>
        <v>Green</v>
      </c>
      <c r="Q831" t="str">
        <f t="shared" si="264"/>
        <v>Red</v>
      </c>
      <c r="R831" t="str">
        <f t="shared" si="265"/>
        <v>Green</v>
      </c>
      <c r="S831" t="str">
        <f t="shared" si="266"/>
        <v>Green</v>
      </c>
      <c r="T831" t="str">
        <f t="shared" si="267"/>
        <v>Red</v>
      </c>
      <c r="U831" t="str">
        <f t="shared" si="268"/>
        <v>Red</v>
      </c>
      <c r="V831" t="str">
        <f t="shared" si="269"/>
        <v>Green</v>
      </c>
      <c r="W831" t="str">
        <f t="shared" si="270"/>
        <v>Red</v>
      </c>
      <c r="X831" t="str">
        <f t="shared" si="271"/>
        <v>Green</v>
      </c>
      <c r="Y831" t="str">
        <f t="shared" si="272"/>
        <v>Green</v>
      </c>
      <c r="Z831" t="str">
        <f t="shared" si="273"/>
        <v>Green</v>
      </c>
      <c r="AA831" t="str">
        <f t="shared" si="274"/>
        <v>Red</v>
      </c>
      <c r="AB831" t="str">
        <f t="shared" si="275"/>
        <v>Red</v>
      </c>
      <c r="AC831" t="str">
        <f t="shared" si="276"/>
        <v>Green</v>
      </c>
      <c r="AD831" t="str">
        <f t="shared" si="277"/>
        <v>Red</v>
      </c>
    </row>
    <row r="832" spans="1:30" x14ac:dyDescent="0.2">
      <c r="A832" t="str">
        <f t="shared" si="260"/>
        <v>24/07/2026HFX WanderersSupra du Quebec</v>
      </c>
      <c r="D832" s="2">
        <v>46227</v>
      </c>
      <c r="E832" s="3">
        <v>0.91666666666666663</v>
      </c>
      <c r="F832" t="s">
        <v>181</v>
      </c>
      <c r="G832" t="s">
        <v>182</v>
      </c>
      <c r="H832">
        <v>2</v>
      </c>
      <c r="I832">
        <v>0</v>
      </c>
      <c r="J832">
        <v>2</v>
      </c>
      <c r="K832">
        <v>3</v>
      </c>
      <c r="L832" s="22" t="str">
        <f t="shared" si="278"/>
        <v>24/07/2026</v>
      </c>
      <c r="M832" s="23">
        <f t="shared" si="279"/>
        <v>0.79166666666666663</v>
      </c>
      <c r="N832" t="str">
        <f t="shared" si="261"/>
        <v>2 - 3</v>
      </c>
      <c r="O832" t="str">
        <f t="shared" si="262"/>
        <v>Red</v>
      </c>
      <c r="P832" t="str">
        <f t="shared" si="263"/>
        <v>Red</v>
      </c>
      <c r="Q832" t="str">
        <f t="shared" si="264"/>
        <v>Green</v>
      </c>
      <c r="R832" t="str">
        <f t="shared" si="265"/>
        <v>Red</v>
      </c>
      <c r="S832" t="str">
        <f t="shared" si="266"/>
        <v>Green</v>
      </c>
      <c r="T832" t="str">
        <f t="shared" si="267"/>
        <v>Green</v>
      </c>
      <c r="U832" t="str">
        <f t="shared" si="268"/>
        <v>Green</v>
      </c>
      <c r="V832" t="str">
        <f t="shared" si="269"/>
        <v>Red</v>
      </c>
      <c r="W832" t="str">
        <f t="shared" si="270"/>
        <v>Red</v>
      </c>
      <c r="X832" t="str">
        <f t="shared" si="271"/>
        <v>Green</v>
      </c>
      <c r="Y832" t="str">
        <f t="shared" si="272"/>
        <v>Green</v>
      </c>
      <c r="Z832" t="str">
        <f t="shared" si="273"/>
        <v>Green</v>
      </c>
      <c r="AA832" t="str">
        <f t="shared" si="274"/>
        <v>Red</v>
      </c>
      <c r="AB832" t="str">
        <f t="shared" si="275"/>
        <v>Red</v>
      </c>
      <c r="AC832" t="str">
        <f t="shared" si="276"/>
        <v>Green</v>
      </c>
      <c r="AD832" t="str">
        <f t="shared" si="277"/>
        <v>Red</v>
      </c>
    </row>
    <row r="833" spans="1:30" x14ac:dyDescent="0.2">
      <c r="A833" t="str">
        <f t="shared" si="260"/>
        <v>24/07/2026Union La CaleraEverton de Vina</v>
      </c>
      <c r="D833" s="2">
        <v>46227</v>
      </c>
      <c r="E833" s="3">
        <v>0.91666666666666663</v>
      </c>
      <c r="F833" t="s">
        <v>2391</v>
      </c>
      <c r="G833" t="s">
        <v>2392</v>
      </c>
      <c r="L833" s="22" t="str">
        <f t="shared" si="278"/>
        <v>24/07/2026</v>
      </c>
      <c r="M833" s="23">
        <f t="shared" si="279"/>
        <v>0.79166666666666663</v>
      </c>
      <c r="N833" t="str">
        <f t="shared" si="261"/>
        <v xml:space="preserve"> - </v>
      </c>
      <c r="O833" t="str">
        <f t="shared" si="262"/>
        <v>Red</v>
      </c>
      <c r="P833" t="str">
        <f t="shared" si="263"/>
        <v>Green</v>
      </c>
      <c r="Q833" t="str">
        <f t="shared" si="264"/>
        <v>Red</v>
      </c>
      <c r="R833" t="str">
        <f t="shared" si="265"/>
        <v>Green</v>
      </c>
      <c r="S833" t="str">
        <f t="shared" si="266"/>
        <v>Green</v>
      </c>
      <c r="T833" t="str">
        <f t="shared" si="267"/>
        <v>Red</v>
      </c>
      <c r="U833" t="str">
        <f t="shared" si="268"/>
        <v>Red</v>
      </c>
      <c r="V833" t="str">
        <f t="shared" si="269"/>
        <v>Green</v>
      </c>
      <c r="W833" t="str">
        <f t="shared" si="270"/>
        <v>Red</v>
      </c>
      <c r="X833" t="str">
        <f t="shared" si="271"/>
        <v>Red</v>
      </c>
      <c r="Y833" t="str">
        <f t="shared" si="272"/>
        <v>Red</v>
      </c>
      <c r="Z833" t="str">
        <f t="shared" si="273"/>
        <v>Red</v>
      </c>
      <c r="AA833" t="str">
        <f t="shared" si="274"/>
        <v>Green</v>
      </c>
      <c r="AB833" t="str">
        <f t="shared" si="275"/>
        <v>Green</v>
      </c>
      <c r="AC833" t="str">
        <f t="shared" si="276"/>
        <v>Red</v>
      </c>
      <c r="AD833" t="str">
        <f t="shared" si="277"/>
        <v>Green</v>
      </c>
    </row>
    <row r="834" spans="1:30" x14ac:dyDescent="0.2">
      <c r="A834" t="str">
        <f t="shared" ref="A834:A878" si="280">L834&amp;F834&amp;G834</f>
        <v>24/07/2026TorqueDanubio</v>
      </c>
      <c r="D834" s="2">
        <v>46227</v>
      </c>
      <c r="E834" s="3">
        <v>0.91666666666666663</v>
      </c>
      <c r="F834" t="s">
        <v>1314</v>
      </c>
      <c r="G834" t="s">
        <v>1315</v>
      </c>
      <c r="H834">
        <v>0</v>
      </c>
      <c r="I834">
        <v>0</v>
      </c>
      <c r="J834">
        <v>1</v>
      </c>
      <c r="K834">
        <v>0</v>
      </c>
      <c r="L834" s="22" t="str">
        <f t="shared" si="278"/>
        <v>24/07/2026</v>
      </c>
      <c r="M834" s="23">
        <f t="shared" si="279"/>
        <v>0.79166666666666663</v>
      </c>
      <c r="N834" t="str">
        <f t="shared" ref="N834:N878" si="281">J834&amp;" - "&amp;K834</f>
        <v>1 - 0</v>
      </c>
      <c r="O834" t="str">
        <f t="shared" ref="O834:O897" si="282">IF($J834&gt;$K834,"Green","Red")</f>
        <v>Green</v>
      </c>
      <c r="P834" t="str">
        <f t="shared" ref="P834:P897" si="283">IF($J834=$K834,"Green","Red")</f>
        <v>Red</v>
      </c>
      <c r="Q834" t="str">
        <f t="shared" ref="Q834:Q897" si="284">IF($J834&lt;$K834,"Green","Red")</f>
        <v>Red</v>
      </c>
      <c r="R834" t="str">
        <f t="shared" ref="R834:R897" si="285">IF($J834&gt;=$K834,"Green","Red")</f>
        <v>Green</v>
      </c>
      <c r="S834" t="str">
        <f t="shared" ref="S834:S897" si="286">IF($J834&lt;=$K834,"Green","Red")</f>
        <v>Red</v>
      </c>
      <c r="T834" t="str">
        <f t="shared" ref="T834:T897" si="287">IF(OR($J834&gt;$K834,$J834&lt;$K834),"Green","Red")</f>
        <v>Green</v>
      </c>
      <c r="U834" t="str">
        <f t="shared" ref="U834:U897" si="288">IF($H834&gt;$I834,"Green","Red")</f>
        <v>Red</v>
      </c>
      <c r="V834" t="str">
        <f t="shared" ref="V834:V897" si="289">IF($H834=$I834,"Green","Red")</f>
        <v>Green</v>
      </c>
      <c r="W834" t="str">
        <f t="shared" ref="W834:W897" si="290">IF($H834&lt;$I834,"Green","Red")</f>
        <v>Red</v>
      </c>
      <c r="X834" t="str">
        <f t="shared" ref="X834:X897" si="291">IF($H834+$I834&gt;0,"Green","Red")</f>
        <v>Red</v>
      </c>
      <c r="Y834" t="str">
        <f t="shared" ref="Y834:Y897" si="292">IF($J834+$K834&gt;1.5,"Green","Red")</f>
        <v>Red</v>
      </c>
      <c r="Z834" t="str">
        <f t="shared" ref="Z834:Z897" si="293">IF($J834+$K834&gt;2.5,"Green","Red")</f>
        <v>Red</v>
      </c>
      <c r="AA834" t="str">
        <f t="shared" ref="AA834:AA897" si="294">IF($J834+$K834&lt;2.5,"Green","Red")</f>
        <v>Green</v>
      </c>
      <c r="AB834" t="str">
        <f t="shared" ref="AB834:AB897" si="295">IF($J834+$K834&lt;3.5,"Green","Red")</f>
        <v>Green</v>
      </c>
      <c r="AC834" t="str">
        <f t="shared" ref="AC834:AC897" si="296">IF(AND($J834&gt;0,$K834&gt;0),"Green","Red")</f>
        <v>Red</v>
      </c>
      <c r="AD834" t="str">
        <f t="shared" ref="AD834:AD897" si="297">IF(OR($J834=0,$K834=0),"Green","Red")</f>
        <v>Green</v>
      </c>
    </row>
    <row r="835" spans="1:30" x14ac:dyDescent="0.2">
      <c r="A835" t="str">
        <f t="shared" si="280"/>
        <v>24/07/2026Deportivo SantaniParaguari AC</v>
      </c>
      <c r="D835" s="2">
        <v>46227</v>
      </c>
      <c r="E835" s="3">
        <v>0.9375</v>
      </c>
      <c r="F835" t="s">
        <v>279</v>
      </c>
      <c r="G835" t="s">
        <v>2544</v>
      </c>
      <c r="H835">
        <v>1</v>
      </c>
      <c r="I835">
        <v>0</v>
      </c>
      <c r="J835">
        <v>2</v>
      </c>
      <c r="K835">
        <v>0</v>
      </c>
      <c r="L835" s="22" t="str">
        <f t="shared" si="278"/>
        <v>24/07/2026</v>
      </c>
      <c r="M835" s="23">
        <f t="shared" si="279"/>
        <v>0.8125</v>
      </c>
      <c r="N835" t="str">
        <f t="shared" si="281"/>
        <v>2 - 0</v>
      </c>
      <c r="O835" t="str">
        <f t="shared" si="282"/>
        <v>Green</v>
      </c>
      <c r="P835" t="str">
        <f t="shared" si="283"/>
        <v>Red</v>
      </c>
      <c r="Q835" t="str">
        <f t="shared" si="284"/>
        <v>Red</v>
      </c>
      <c r="R835" t="str">
        <f t="shared" si="285"/>
        <v>Green</v>
      </c>
      <c r="S835" t="str">
        <f t="shared" si="286"/>
        <v>Red</v>
      </c>
      <c r="T835" t="str">
        <f t="shared" si="287"/>
        <v>Green</v>
      </c>
      <c r="U835" t="str">
        <f t="shared" si="288"/>
        <v>Green</v>
      </c>
      <c r="V835" t="str">
        <f t="shared" si="289"/>
        <v>Red</v>
      </c>
      <c r="W835" t="str">
        <f t="shared" si="290"/>
        <v>Red</v>
      </c>
      <c r="X835" t="str">
        <f t="shared" si="291"/>
        <v>Green</v>
      </c>
      <c r="Y835" t="str">
        <f t="shared" si="292"/>
        <v>Green</v>
      </c>
      <c r="Z835" t="str">
        <f t="shared" si="293"/>
        <v>Red</v>
      </c>
      <c r="AA835" t="str">
        <f t="shared" si="294"/>
        <v>Green</v>
      </c>
      <c r="AB835" t="str">
        <f t="shared" si="295"/>
        <v>Green</v>
      </c>
      <c r="AC835" t="str">
        <f t="shared" si="296"/>
        <v>Red</v>
      </c>
      <c r="AD835" t="str">
        <f t="shared" si="297"/>
        <v>Green</v>
      </c>
    </row>
    <row r="836" spans="1:30" x14ac:dyDescent="0.2">
      <c r="A836" t="str">
        <f t="shared" si="280"/>
        <v>24/07/2026Nacional De FootballClub Atletico Progreso</v>
      </c>
      <c r="D836" s="2">
        <v>46227</v>
      </c>
      <c r="E836" s="3">
        <v>0.9375</v>
      </c>
      <c r="F836" t="s">
        <v>1323</v>
      </c>
      <c r="G836" t="s">
        <v>2614</v>
      </c>
      <c r="L836" s="22" t="str">
        <f t="shared" si="278"/>
        <v>24/07/2026</v>
      </c>
      <c r="M836" s="23">
        <f t="shared" si="279"/>
        <v>0.8125</v>
      </c>
      <c r="N836" t="str">
        <f t="shared" si="281"/>
        <v xml:space="preserve"> - </v>
      </c>
      <c r="O836" t="str">
        <f t="shared" si="282"/>
        <v>Red</v>
      </c>
      <c r="P836" t="str">
        <f t="shared" si="283"/>
        <v>Green</v>
      </c>
      <c r="Q836" t="str">
        <f t="shared" si="284"/>
        <v>Red</v>
      </c>
      <c r="R836" t="str">
        <f t="shared" si="285"/>
        <v>Green</v>
      </c>
      <c r="S836" t="str">
        <f t="shared" si="286"/>
        <v>Green</v>
      </c>
      <c r="T836" t="str">
        <f t="shared" si="287"/>
        <v>Red</v>
      </c>
      <c r="U836" t="str">
        <f t="shared" si="288"/>
        <v>Red</v>
      </c>
      <c r="V836" t="str">
        <f t="shared" si="289"/>
        <v>Green</v>
      </c>
      <c r="W836" t="str">
        <f t="shared" si="290"/>
        <v>Red</v>
      </c>
      <c r="X836" t="str">
        <f t="shared" si="291"/>
        <v>Red</v>
      </c>
      <c r="Y836" t="str">
        <f t="shared" si="292"/>
        <v>Red</v>
      </c>
      <c r="Z836" t="str">
        <f t="shared" si="293"/>
        <v>Red</v>
      </c>
      <c r="AA836" t="str">
        <f t="shared" si="294"/>
        <v>Green</v>
      </c>
      <c r="AB836" t="str">
        <f t="shared" si="295"/>
        <v>Green</v>
      </c>
      <c r="AC836" t="str">
        <f t="shared" si="296"/>
        <v>Red</v>
      </c>
      <c r="AD836" t="str">
        <f t="shared" si="297"/>
        <v>Green</v>
      </c>
    </row>
    <row r="837" spans="1:30" x14ac:dyDescent="0.2">
      <c r="A837" t="str">
        <f t="shared" si="280"/>
        <v>24/07/2026Vermont GreenAsheville City SC</v>
      </c>
      <c r="D837" s="2">
        <v>46227</v>
      </c>
      <c r="E837" s="3">
        <v>0.9375</v>
      </c>
      <c r="F837" t="s">
        <v>2617</v>
      </c>
      <c r="G837" t="s">
        <v>2618</v>
      </c>
      <c r="H837">
        <v>3</v>
      </c>
      <c r="I837">
        <v>0</v>
      </c>
      <c r="J837">
        <v>4</v>
      </c>
      <c r="K837">
        <v>0</v>
      </c>
      <c r="L837" s="22" t="str">
        <f t="shared" si="278"/>
        <v>24/07/2026</v>
      </c>
      <c r="M837" s="23">
        <f t="shared" si="279"/>
        <v>0.8125</v>
      </c>
      <c r="N837" t="str">
        <f t="shared" si="281"/>
        <v>4 - 0</v>
      </c>
      <c r="O837" t="str">
        <f t="shared" si="282"/>
        <v>Green</v>
      </c>
      <c r="P837" t="str">
        <f t="shared" si="283"/>
        <v>Red</v>
      </c>
      <c r="Q837" t="str">
        <f t="shared" si="284"/>
        <v>Red</v>
      </c>
      <c r="R837" t="str">
        <f t="shared" si="285"/>
        <v>Green</v>
      </c>
      <c r="S837" t="str">
        <f t="shared" si="286"/>
        <v>Red</v>
      </c>
      <c r="T837" t="str">
        <f t="shared" si="287"/>
        <v>Green</v>
      </c>
      <c r="U837" t="str">
        <f t="shared" si="288"/>
        <v>Green</v>
      </c>
      <c r="V837" t="str">
        <f t="shared" si="289"/>
        <v>Red</v>
      </c>
      <c r="W837" t="str">
        <f t="shared" si="290"/>
        <v>Red</v>
      </c>
      <c r="X837" t="str">
        <f t="shared" si="291"/>
        <v>Green</v>
      </c>
      <c r="Y837" t="str">
        <f t="shared" si="292"/>
        <v>Green</v>
      </c>
      <c r="Z837" t="str">
        <f t="shared" si="293"/>
        <v>Green</v>
      </c>
      <c r="AA837" t="str">
        <f t="shared" si="294"/>
        <v>Red</v>
      </c>
      <c r="AB837" t="str">
        <f t="shared" si="295"/>
        <v>Red</v>
      </c>
      <c r="AC837" t="str">
        <f t="shared" si="296"/>
        <v>Red</v>
      </c>
      <c r="AD837" t="str">
        <f t="shared" si="297"/>
        <v>Green</v>
      </c>
    </row>
    <row r="838" spans="1:30" x14ac:dyDescent="0.2">
      <c r="A838" t="str">
        <f t="shared" si="280"/>
        <v>24/07/2026Club Tijuana U21Club Leon U21</v>
      </c>
      <c r="D838" s="2">
        <v>46227</v>
      </c>
      <c r="E838" s="3">
        <v>0.94791666666666663</v>
      </c>
      <c r="F838" t="s">
        <v>2522</v>
      </c>
      <c r="G838" t="s">
        <v>2523</v>
      </c>
      <c r="L838" s="22" t="str">
        <f t="shared" si="278"/>
        <v>24/07/2026</v>
      </c>
      <c r="M838" s="23">
        <f t="shared" si="279"/>
        <v>0.82291666666666663</v>
      </c>
      <c r="N838" t="str">
        <f t="shared" si="281"/>
        <v xml:space="preserve"> - </v>
      </c>
      <c r="O838" t="str">
        <f t="shared" si="282"/>
        <v>Red</v>
      </c>
      <c r="P838" t="str">
        <f t="shared" si="283"/>
        <v>Green</v>
      </c>
      <c r="Q838" t="str">
        <f t="shared" si="284"/>
        <v>Red</v>
      </c>
      <c r="R838" t="str">
        <f t="shared" si="285"/>
        <v>Green</v>
      </c>
      <c r="S838" t="str">
        <f t="shared" si="286"/>
        <v>Green</v>
      </c>
      <c r="T838" t="str">
        <f t="shared" si="287"/>
        <v>Red</v>
      </c>
      <c r="U838" t="str">
        <f t="shared" si="288"/>
        <v>Red</v>
      </c>
      <c r="V838" t="str">
        <f t="shared" si="289"/>
        <v>Green</v>
      </c>
      <c r="W838" t="str">
        <f t="shared" si="290"/>
        <v>Red</v>
      </c>
      <c r="X838" t="str">
        <f t="shared" si="291"/>
        <v>Red</v>
      </c>
      <c r="Y838" t="str">
        <f t="shared" si="292"/>
        <v>Red</v>
      </c>
      <c r="Z838" t="str">
        <f t="shared" si="293"/>
        <v>Red</v>
      </c>
      <c r="AA838" t="str">
        <f t="shared" si="294"/>
        <v>Green</v>
      </c>
      <c r="AB838" t="str">
        <f t="shared" si="295"/>
        <v>Green</v>
      </c>
      <c r="AC838" t="str">
        <f t="shared" si="296"/>
        <v>Red</v>
      </c>
      <c r="AD838" t="str">
        <f t="shared" si="297"/>
        <v>Green</v>
      </c>
    </row>
    <row r="839" spans="1:30" x14ac:dyDescent="0.2">
      <c r="A839" t="str">
        <f t="shared" si="280"/>
        <v>24/07/2026Club AuroraABB</v>
      </c>
      <c r="D839" s="2">
        <v>46227</v>
      </c>
      <c r="E839" s="3">
        <v>0.95833333333333337</v>
      </c>
      <c r="F839" t="s">
        <v>2357</v>
      </c>
      <c r="G839" t="s">
        <v>310</v>
      </c>
      <c r="H839">
        <v>2</v>
      </c>
      <c r="I839">
        <v>1</v>
      </c>
      <c r="J839">
        <v>3</v>
      </c>
      <c r="K839">
        <v>2</v>
      </c>
      <c r="L839" s="22" t="str">
        <f t="shared" si="278"/>
        <v>24/07/2026</v>
      </c>
      <c r="M839" s="23">
        <f t="shared" si="279"/>
        <v>0.83333333333333337</v>
      </c>
      <c r="N839" t="str">
        <f t="shared" si="281"/>
        <v>3 - 2</v>
      </c>
      <c r="O839" t="str">
        <f t="shared" si="282"/>
        <v>Green</v>
      </c>
      <c r="P839" t="str">
        <f t="shared" si="283"/>
        <v>Red</v>
      </c>
      <c r="Q839" t="str">
        <f t="shared" si="284"/>
        <v>Red</v>
      </c>
      <c r="R839" t="str">
        <f t="shared" si="285"/>
        <v>Green</v>
      </c>
      <c r="S839" t="str">
        <f t="shared" si="286"/>
        <v>Red</v>
      </c>
      <c r="T839" t="str">
        <f t="shared" si="287"/>
        <v>Green</v>
      </c>
      <c r="U839" t="str">
        <f t="shared" si="288"/>
        <v>Green</v>
      </c>
      <c r="V839" t="str">
        <f t="shared" si="289"/>
        <v>Red</v>
      </c>
      <c r="W839" t="str">
        <f t="shared" si="290"/>
        <v>Red</v>
      </c>
      <c r="X839" t="str">
        <f t="shared" si="291"/>
        <v>Green</v>
      </c>
      <c r="Y839" t="str">
        <f t="shared" si="292"/>
        <v>Green</v>
      </c>
      <c r="Z839" t="str">
        <f t="shared" si="293"/>
        <v>Green</v>
      </c>
      <c r="AA839" t="str">
        <f t="shared" si="294"/>
        <v>Red</v>
      </c>
      <c r="AB839" t="str">
        <f t="shared" si="295"/>
        <v>Red</v>
      </c>
      <c r="AC839" t="str">
        <f t="shared" si="296"/>
        <v>Green</v>
      </c>
      <c r="AD839" t="str">
        <f t="shared" si="297"/>
        <v>Red</v>
      </c>
    </row>
    <row r="840" spans="1:30" x14ac:dyDescent="0.2">
      <c r="A840" t="str">
        <f t="shared" si="280"/>
        <v>24/07/2026Internacional RS WomenFluminense Women</v>
      </c>
      <c r="D840" s="2">
        <v>46227</v>
      </c>
      <c r="E840" s="3">
        <v>0.95833333333333337</v>
      </c>
      <c r="F840" t="s">
        <v>1308</v>
      </c>
      <c r="G840" t="s">
        <v>1337</v>
      </c>
      <c r="H840">
        <v>0</v>
      </c>
      <c r="I840">
        <v>0</v>
      </c>
      <c r="J840">
        <v>1</v>
      </c>
      <c r="K840">
        <v>0</v>
      </c>
      <c r="L840" s="22" t="str">
        <f t="shared" si="278"/>
        <v>24/07/2026</v>
      </c>
      <c r="M840" s="23">
        <f t="shared" si="279"/>
        <v>0.83333333333333337</v>
      </c>
      <c r="N840" t="str">
        <f t="shared" si="281"/>
        <v>1 - 0</v>
      </c>
      <c r="O840" t="str">
        <f t="shared" si="282"/>
        <v>Green</v>
      </c>
      <c r="P840" t="str">
        <f t="shared" si="283"/>
        <v>Red</v>
      </c>
      <c r="Q840" t="str">
        <f t="shared" si="284"/>
        <v>Red</v>
      </c>
      <c r="R840" t="str">
        <f t="shared" si="285"/>
        <v>Green</v>
      </c>
      <c r="S840" t="str">
        <f t="shared" si="286"/>
        <v>Red</v>
      </c>
      <c r="T840" t="str">
        <f t="shared" si="287"/>
        <v>Green</v>
      </c>
      <c r="U840" t="str">
        <f t="shared" si="288"/>
        <v>Red</v>
      </c>
      <c r="V840" t="str">
        <f t="shared" si="289"/>
        <v>Green</v>
      </c>
      <c r="W840" t="str">
        <f t="shared" si="290"/>
        <v>Red</v>
      </c>
      <c r="X840" t="str">
        <f t="shared" si="291"/>
        <v>Red</v>
      </c>
      <c r="Y840" t="str">
        <f t="shared" si="292"/>
        <v>Red</v>
      </c>
      <c r="Z840" t="str">
        <f t="shared" si="293"/>
        <v>Red</v>
      </c>
      <c r="AA840" t="str">
        <f t="shared" si="294"/>
        <v>Green</v>
      </c>
      <c r="AB840" t="str">
        <f t="shared" si="295"/>
        <v>Green</v>
      </c>
      <c r="AC840" t="str">
        <f t="shared" si="296"/>
        <v>Red</v>
      </c>
      <c r="AD840" t="str">
        <f t="shared" si="297"/>
        <v>Green</v>
      </c>
    </row>
    <row r="841" spans="1:30" x14ac:dyDescent="0.2">
      <c r="A841" t="str">
        <f t="shared" si="280"/>
        <v>24/07/2026Rio Negro RR WomenItabirito FC Women</v>
      </c>
      <c r="D841" s="2">
        <v>46227</v>
      </c>
      <c r="E841" s="3">
        <v>0.95833333333333337</v>
      </c>
      <c r="F841" t="s">
        <v>2361</v>
      </c>
      <c r="G841" t="s">
        <v>1339</v>
      </c>
      <c r="H841">
        <v>0</v>
      </c>
      <c r="I841">
        <v>0</v>
      </c>
      <c r="J841">
        <v>0</v>
      </c>
      <c r="K841">
        <v>2</v>
      </c>
      <c r="L841" s="22" t="str">
        <f t="shared" si="278"/>
        <v>24/07/2026</v>
      </c>
      <c r="M841" s="23">
        <f t="shared" si="279"/>
        <v>0.83333333333333337</v>
      </c>
      <c r="N841" t="str">
        <f t="shared" si="281"/>
        <v>0 - 2</v>
      </c>
      <c r="O841" t="str">
        <f t="shared" si="282"/>
        <v>Red</v>
      </c>
      <c r="P841" t="str">
        <f t="shared" si="283"/>
        <v>Red</v>
      </c>
      <c r="Q841" t="str">
        <f t="shared" si="284"/>
        <v>Green</v>
      </c>
      <c r="R841" t="str">
        <f t="shared" si="285"/>
        <v>Red</v>
      </c>
      <c r="S841" t="str">
        <f t="shared" si="286"/>
        <v>Green</v>
      </c>
      <c r="T841" t="str">
        <f t="shared" si="287"/>
        <v>Green</v>
      </c>
      <c r="U841" t="str">
        <f t="shared" si="288"/>
        <v>Red</v>
      </c>
      <c r="V841" t="str">
        <f t="shared" si="289"/>
        <v>Green</v>
      </c>
      <c r="W841" t="str">
        <f t="shared" si="290"/>
        <v>Red</v>
      </c>
      <c r="X841" t="str">
        <f t="shared" si="291"/>
        <v>Red</v>
      </c>
      <c r="Y841" t="str">
        <f t="shared" si="292"/>
        <v>Green</v>
      </c>
      <c r="Z841" t="str">
        <f t="shared" si="293"/>
        <v>Red</v>
      </c>
      <c r="AA841" t="str">
        <f t="shared" si="294"/>
        <v>Green</v>
      </c>
      <c r="AB841" t="str">
        <f t="shared" si="295"/>
        <v>Green</v>
      </c>
      <c r="AC841" t="str">
        <f t="shared" si="296"/>
        <v>Red</v>
      </c>
      <c r="AD841" t="str">
        <f t="shared" si="297"/>
        <v>Green</v>
      </c>
    </row>
    <row r="842" spans="1:30" x14ac:dyDescent="0.2">
      <c r="A842" t="str">
        <f t="shared" si="280"/>
        <v>24/07/2026Tigres FCLeones FC</v>
      </c>
      <c r="D842" s="2">
        <v>46227</v>
      </c>
      <c r="E842" s="3">
        <v>0.95833333333333337</v>
      </c>
      <c r="F842" t="s">
        <v>189</v>
      </c>
      <c r="G842" t="s">
        <v>100</v>
      </c>
      <c r="H842">
        <v>0</v>
      </c>
      <c r="I842">
        <v>1</v>
      </c>
      <c r="J842">
        <v>0</v>
      </c>
      <c r="K842">
        <v>1</v>
      </c>
      <c r="L842" s="22" t="str">
        <f t="shared" si="278"/>
        <v>24/07/2026</v>
      </c>
      <c r="M842" s="23">
        <f t="shared" si="279"/>
        <v>0.83333333333333337</v>
      </c>
      <c r="N842" t="str">
        <f t="shared" si="281"/>
        <v>0 - 1</v>
      </c>
      <c r="O842" t="str">
        <f t="shared" si="282"/>
        <v>Red</v>
      </c>
      <c r="P842" t="str">
        <f t="shared" si="283"/>
        <v>Red</v>
      </c>
      <c r="Q842" t="str">
        <f t="shared" si="284"/>
        <v>Green</v>
      </c>
      <c r="R842" t="str">
        <f t="shared" si="285"/>
        <v>Red</v>
      </c>
      <c r="S842" t="str">
        <f t="shared" si="286"/>
        <v>Green</v>
      </c>
      <c r="T842" t="str">
        <f t="shared" si="287"/>
        <v>Green</v>
      </c>
      <c r="U842" t="str">
        <f t="shared" si="288"/>
        <v>Red</v>
      </c>
      <c r="V842" t="str">
        <f t="shared" si="289"/>
        <v>Red</v>
      </c>
      <c r="W842" t="str">
        <f t="shared" si="290"/>
        <v>Green</v>
      </c>
      <c r="X842" t="str">
        <f t="shared" si="291"/>
        <v>Green</v>
      </c>
      <c r="Y842" t="str">
        <f t="shared" si="292"/>
        <v>Red</v>
      </c>
      <c r="Z842" t="str">
        <f t="shared" si="293"/>
        <v>Red</v>
      </c>
      <c r="AA842" t="str">
        <f t="shared" si="294"/>
        <v>Green</v>
      </c>
      <c r="AB842" t="str">
        <f t="shared" si="295"/>
        <v>Green</v>
      </c>
      <c r="AC842" t="str">
        <f t="shared" si="296"/>
        <v>Red</v>
      </c>
      <c r="AD842" t="str">
        <f t="shared" si="297"/>
        <v>Green</v>
      </c>
    </row>
    <row r="843" spans="1:30" x14ac:dyDescent="0.2">
      <c r="A843" t="str">
        <f t="shared" si="280"/>
        <v>24/07/2026Mexico U20Antigua &amp; Barbuda U20</v>
      </c>
      <c r="D843" s="2">
        <v>46227</v>
      </c>
      <c r="E843" s="3">
        <v>0.95833333333333337</v>
      </c>
      <c r="F843" t="s">
        <v>2530</v>
      </c>
      <c r="G843" t="s">
        <v>2531</v>
      </c>
      <c r="H843">
        <v>3</v>
      </c>
      <c r="I843">
        <v>0</v>
      </c>
      <c r="J843">
        <v>3</v>
      </c>
      <c r="K843">
        <v>0</v>
      </c>
      <c r="L843" s="22" t="str">
        <f t="shared" si="278"/>
        <v>24/07/2026</v>
      </c>
      <c r="M843" s="23">
        <f t="shared" si="279"/>
        <v>0.83333333333333337</v>
      </c>
      <c r="N843" t="str">
        <f t="shared" si="281"/>
        <v>3 - 0</v>
      </c>
      <c r="O843" t="str">
        <f t="shared" si="282"/>
        <v>Green</v>
      </c>
      <c r="P843" t="str">
        <f t="shared" si="283"/>
        <v>Red</v>
      </c>
      <c r="Q843" t="str">
        <f t="shared" si="284"/>
        <v>Red</v>
      </c>
      <c r="R843" t="str">
        <f t="shared" si="285"/>
        <v>Green</v>
      </c>
      <c r="S843" t="str">
        <f t="shared" si="286"/>
        <v>Red</v>
      </c>
      <c r="T843" t="str">
        <f t="shared" si="287"/>
        <v>Green</v>
      </c>
      <c r="U843" t="str">
        <f t="shared" si="288"/>
        <v>Green</v>
      </c>
      <c r="V843" t="str">
        <f t="shared" si="289"/>
        <v>Red</v>
      </c>
      <c r="W843" t="str">
        <f t="shared" si="290"/>
        <v>Red</v>
      </c>
      <c r="X843" t="str">
        <f t="shared" si="291"/>
        <v>Green</v>
      </c>
      <c r="Y843" t="str">
        <f t="shared" si="292"/>
        <v>Green</v>
      </c>
      <c r="Z843" t="str">
        <f t="shared" si="293"/>
        <v>Green</v>
      </c>
      <c r="AA843" t="str">
        <f t="shared" si="294"/>
        <v>Red</v>
      </c>
      <c r="AB843" t="str">
        <f t="shared" si="295"/>
        <v>Green</v>
      </c>
      <c r="AC843" t="str">
        <f t="shared" si="296"/>
        <v>Red</v>
      </c>
      <c r="AD843" t="str">
        <f t="shared" si="297"/>
        <v>Green</v>
      </c>
    </row>
    <row r="844" spans="1:30" x14ac:dyDescent="0.2">
      <c r="A844" t="str">
        <f t="shared" si="280"/>
        <v>24/07/2026New York Red Bulls IICrown Legacy</v>
      </c>
      <c r="D844" s="2">
        <v>46227</v>
      </c>
      <c r="E844" s="3">
        <v>0.95833333333333337</v>
      </c>
      <c r="F844" t="s">
        <v>191</v>
      </c>
      <c r="G844" t="s">
        <v>192</v>
      </c>
      <c r="H844">
        <v>0</v>
      </c>
      <c r="I844">
        <v>0</v>
      </c>
      <c r="J844">
        <v>0</v>
      </c>
      <c r="K844">
        <v>3</v>
      </c>
      <c r="L844" s="22" t="str">
        <f t="shared" si="278"/>
        <v>24/07/2026</v>
      </c>
      <c r="M844" s="23">
        <f t="shared" si="279"/>
        <v>0.83333333333333337</v>
      </c>
      <c r="N844" t="str">
        <f t="shared" si="281"/>
        <v>0 - 3</v>
      </c>
      <c r="O844" t="str">
        <f t="shared" si="282"/>
        <v>Red</v>
      </c>
      <c r="P844" t="str">
        <f t="shared" si="283"/>
        <v>Red</v>
      </c>
      <c r="Q844" t="str">
        <f t="shared" si="284"/>
        <v>Green</v>
      </c>
      <c r="R844" t="str">
        <f t="shared" si="285"/>
        <v>Red</v>
      </c>
      <c r="S844" t="str">
        <f t="shared" si="286"/>
        <v>Green</v>
      </c>
      <c r="T844" t="str">
        <f t="shared" si="287"/>
        <v>Green</v>
      </c>
      <c r="U844" t="str">
        <f t="shared" si="288"/>
        <v>Red</v>
      </c>
      <c r="V844" t="str">
        <f t="shared" si="289"/>
        <v>Green</v>
      </c>
      <c r="W844" t="str">
        <f t="shared" si="290"/>
        <v>Red</v>
      </c>
      <c r="X844" t="str">
        <f t="shared" si="291"/>
        <v>Red</v>
      </c>
      <c r="Y844" t="str">
        <f t="shared" si="292"/>
        <v>Green</v>
      </c>
      <c r="Z844" t="str">
        <f t="shared" si="293"/>
        <v>Green</v>
      </c>
      <c r="AA844" t="str">
        <f t="shared" si="294"/>
        <v>Red</v>
      </c>
      <c r="AB844" t="str">
        <f t="shared" si="295"/>
        <v>Green</v>
      </c>
      <c r="AC844" t="str">
        <f t="shared" si="296"/>
        <v>Red</v>
      </c>
      <c r="AD844" t="str">
        <f t="shared" si="297"/>
        <v>Green</v>
      </c>
    </row>
    <row r="845" spans="1:30" x14ac:dyDescent="0.2">
      <c r="A845" t="str">
        <f t="shared" si="280"/>
        <v>24/07/2026LlanerosDeportivo Pereira</v>
      </c>
      <c r="D845" s="2">
        <v>46227</v>
      </c>
      <c r="E845" s="3">
        <v>0.96527777777777779</v>
      </c>
      <c r="F845" t="s">
        <v>193</v>
      </c>
      <c r="G845" t="s">
        <v>194</v>
      </c>
      <c r="H845">
        <v>0</v>
      </c>
      <c r="I845">
        <v>0</v>
      </c>
      <c r="J845">
        <v>1</v>
      </c>
      <c r="K845">
        <v>0</v>
      </c>
      <c r="L845" s="22" t="str">
        <f t="shared" si="278"/>
        <v>24/07/2026</v>
      </c>
      <c r="M845" s="23">
        <f t="shared" si="279"/>
        <v>0.84027777777777779</v>
      </c>
      <c r="N845" t="str">
        <f t="shared" si="281"/>
        <v>1 - 0</v>
      </c>
      <c r="O845" t="str">
        <f t="shared" si="282"/>
        <v>Green</v>
      </c>
      <c r="P845" t="str">
        <f t="shared" si="283"/>
        <v>Red</v>
      </c>
      <c r="Q845" t="str">
        <f t="shared" si="284"/>
        <v>Red</v>
      </c>
      <c r="R845" t="str">
        <f t="shared" si="285"/>
        <v>Green</v>
      </c>
      <c r="S845" t="str">
        <f t="shared" si="286"/>
        <v>Red</v>
      </c>
      <c r="T845" t="str">
        <f t="shared" si="287"/>
        <v>Green</v>
      </c>
      <c r="U845" t="str">
        <f t="shared" si="288"/>
        <v>Red</v>
      </c>
      <c r="V845" t="str">
        <f t="shared" si="289"/>
        <v>Green</v>
      </c>
      <c r="W845" t="str">
        <f t="shared" si="290"/>
        <v>Red</v>
      </c>
      <c r="X845" t="str">
        <f t="shared" si="291"/>
        <v>Red</v>
      </c>
      <c r="Y845" t="str">
        <f t="shared" si="292"/>
        <v>Red</v>
      </c>
      <c r="Z845" t="str">
        <f t="shared" si="293"/>
        <v>Red</v>
      </c>
      <c r="AA845" t="str">
        <f t="shared" si="294"/>
        <v>Green</v>
      </c>
      <c r="AB845" t="str">
        <f t="shared" si="295"/>
        <v>Green</v>
      </c>
      <c r="AC845" t="str">
        <f t="shared" si="296"/>
        <v>Red</v>
      </c>
      <c r="AD845" t="str">
        <f t="shared" si="297"/>
        <v>Green</v>
      </c>
    </row>
    <row r="846" spans="1:30" x14ac:dyDescent="0.2">
      <c r="A846" t="str">
        <f t="shared" si="280"/>
        <v>24/07/2026Flint City BucksPeoria City</v>
      </c>
      <c r="D846" s="2">
        <v>46227</v>
      </c>
      <c r="E846" s="3">
        <v>0.97916666666666663</v>
      </c>
      <c r="F846" t="s">
        <v>2619</v>
      </c>
      <c r="G846" t="s">
        <v>2620</v>
      </c>
      <c r="H846">
        <v>1</v>
      </c>
      <c r="I846">
        <v>0</v>
      </c>
      <c r="J846">
        <v>4</v>
      </c>
      <c r="K846">
        <v>0</v>
      </c>
      <c r="L846" s="22" t="str">
        <f t="shared" si="278"/>
        <v>24/07/2026</v>
      </c>
      <c r="M846" s="23">
        <f t="shared" si="279"/>
        <v>0.85416666666666663</v>
      </c>
      <c r="N846" t="str">
        <f t="shared" si="281"/>
        <v>4 - 0</v>
      </c>
      <c r="O846" t="str">
        <f t="shared" si="282"/>
        <v>Green</v>
      </c>
      <c r="P846" t="str">
        <f t="shared" si="283"/>
        <v>Red</v>
      </c>
      <c r="Q846" t="str">
        <f t="shared" si="284"/>
        <v>Red</v>
      </c>
      <c r="R846" t="str">
        <f t="shared" si="285"/>
        <v>Green</v>
      </c>
      <c r="S846" t="str">
        <f t="shared" si="286"/>
        <v>Red</v>
      </c>
      <c r="T846" t="str">
        <f t="shared" si="287"/>
        <v>Green</v>
      </c>
      <c r="U846" t="str">
        <f t="shared" si="288"/>
        <v>Green</v>
      </c>
      <c r="V846" t="str">
        <f t="shared" si="289"/>
        <v>Red</v>
      </c>
      <c r="W846" t="str">
        <f t="shared" si="290"/>
        <v>Red</v>
      </c>
      <c r="X846" t="str">
        <f t="shared" si="291"/>
        <v>Green</v>
      </c>
      <c r="Y846" t="str">
        <f t="shared" si="292"/>
        <v>Green</v>
      </c>
      <c r="Z846" t="str">
        <f t="shared" si="293"/>
        <v>Green</v>
      </c>
      <c r="AA846" t="str">
        <f t="shared" si="294"/>
        <v>Red</v>
      </c>
      <c r="AB846" t="str">
        <f t="shared" si="295"/>
        <v>Red</v>
      </c>
      <c r="AC846" t="str">
        <f t="shared" si="296"/>
        <v>Red</v>
      </c>
      <c r="AD846" t="str">
        <f t="shared" si="297"/>
        <v>Green</v>
      </c>
    </row>
    <row r="847" spans="1:30" x14ac:dyDescent="0.2">
      <c r="A847" t="str">
        <f t="shared" si="280"/>
        <v>24/07/2026Sportivo BelgranoEscobar FC</v>
      </c>
      <c r="B847" t="s">
        <v>806</v>
      </c>
      <c r="C847" t="s">
        <v>2238</v>
      </c>
      <c r="D847" s="2">
        <v>46227</v>
      </c>
      <c r="E847" s="3">
        <v>0.98263888888888884</v>
      </c>
      <c r="F847" t="s">
        <v>2241</v>
      </c>
      <c r="G847" t="s">
        <v>2242</v>
      </c>
      <c r="H847">
        <v>2</v>
      </c>
      <c r="I847">
        <v>1</v>
      </c>
      <c r="J847">
        <v>2</v>
      </c>
      <c r="K847">
        <v>2</v>
      </c>
      <c r="L847" s="22" t="str">
        <f t="shared" si="278"/>
        <v>24/07/2026</v>
      </c>
      <c r="M847" s="23">
        <f t="shared" si="279"/>
        <v>0.85763888888888884</v>
      </c>
      <c r="N847" t="str">
        <f t="shared" si="281"/>
        <v>2 - 2</v>
      </c>
      <c r="O847" t="str">
        <f t="shared" si="282"/>
        <v>Red</v>
      </c>
      <c r="P847" t="str">
        <f t="shared" si="283"/>
        <v>Green</v>
      </c>
      <c r="Q847" t="str">
        <f t="shared" si="284"/>
        <v>Red</v>
      </c>
      <c r="R847" t="str">
        <f t="shared" si="285"/>
        <v>Green</v>
      </c>
      <c r="S847" t="str">
        <f t="shared" si="286"/>
        <v>Green</v>
      </c>
      <c r="T847" t="str">
        <f t="shared" si="287"/>
        <v>Red</v>
      </c>
      <c r="U847" t="str">
        <f t="shared" si="288"/>
        <v>Green</v>
      </c>
      <c r="V847" t="str">
        <f t="shared" si="289"/>
        <v>Red</v>
      </c>
      <c r="W847" t="str">
        <f t="shared" si="290"/>
        <v>Red</v>
      </c>
      <c r="X847" t="str">
        <f t="shared" si="291"/>
        <v>Green</v>
      </c>
      <c r="Y847" t="str">
        <f t="shared" si="292"/>
        <v>Green</v>
      </c>
      <c r="Z847" t="str">
        <f t="shared" si="293"/>
        <v>Green</v>
      </c>
      <c r="AA847" t="str">
        <f t="shared" si="294"/>
        <v>Red</v>
      </c>
      <c r="AB847" t="str">
        <f t="shared" si="295"/>
        <v>Red</v>
      </c>
      <c r="AC847" t="str">
        <f t="shared" si="296"/>
        <v>Green</v>
      </c>
      <c r="AD847" t="str">
        <f t="shared" si="297"/>
        <v>Red</v>
      </c>
    </row>
    <row r="848" spans="1:30" x14ac:dyDescent="0.2">
      <c r="A848" t="str">
        <f t="shared" si="280"/>
        <v>24/07/2026LDU PortoviejoDSD Santo Domingo</v>
      </c>
      <c r="D848" s="2">
        <v>46228</v>
      </c>
      <c r="E848" s="3">
        <v>0</v>
      </c>
      <c r="F848" t="s">
        <v>1851</v>
      </c>
      <c r="G848" t="s">
        <v>1855</v>
      </c>
      <c r="H848">
        <v>0</v>
      </c>
      <c r="I848">
        <v>0</v>
      </c>
      <c r="J848">
        <v>1</v>
      </c>
      <c r="K848">
        <v>0</v>
      </c>
      <c r="L848" s="30" t="str">
        <f t="shared" ref="L848:L872" si="298">DAY(D848)-1&amp;"/"&amp;"07"&amp;"/"&amp;YEAR(D848)</f>
        <v>24/07/2026</v>
      </c>
      <c r="M848" s="31">
        <f t="shared" ref="M848:M872" si="299">E848-TIME(3,0,0)+TIME(12,0,0)+TIME(12,0,0)</f>
        <v>0.875</v>
      </c>
      <c r="N848" t="str">
        <f t="shared" si="281"/>
        <v>1 - 0</v>
      </c>
      <c r="O848" t="str">
        <f t="shared" si="282"/>
        <v>Green</v>
      </c>
      <c r="P848" t="str">
        <f t="shared" si="283"/>
        <v>Red</v>
      </c>
      <c r="Q848" t="str">
        <f t="shared" si="284"/>
        <v>Red</v>
      </c>
      <c r="R848" t="str">
        <f t="shared" si="285"/>
        <v>Green</v>
      </c>
      <c r="S848" t="str">
        <f t="shared" si="286"/>
        <v>Red</v>
      </c>
      <c r="T848" t="str">
        <f t="shared" si="287"/>
        <v>Green</v>
      </c>
      <c r="U848" t="str">
        <f t="shared" si="288"/>
        <v>Red</v>
      </c>
      <c r="V848" t="str">
        <f t="shared" si="289"/>
        <v>Green</v>
      </c>
      <c r="W848" t="str">
        <f t="shared" si="290"/>
        <v>Red</v>
      </c>
      <c r="X848" t="str">
        <f t="shared" si="291"/>
        <v>Red</v>
      </c>
      <c r="Y848" t="str">
        <f t="shared" si="292"/>
        <v>Red</v>
      </c>
      <c r="Z848" t="str">
        <f t="shared" si="293"/>
        <v>Red</v>
      </c>
      <c r="AA848" t="str">
        <f t="shared" si="294"/>
        <v>Green</v>
      </c>
      <c r="AB848" t="str">
        <f t="shared" si="295"/>
        <v>Green</v>
      </c>
      <c r="AC848" t="str">
        <f t="shared" si="296"/>
        <v>Red</v>
      </c>
      <c r="AD848" t="str">
        <f t="shared" si="297"/>
        <v>Green</v>
      </c>
    </row>
    <row r="849" spans="1:30" x14ac:dyDescent="0.2">
      <c r="A849" t="str">
        <f t="shared" si="280"/>
        <v>24/07/2026Antigua GFCDeportivo Marquense</v>
      </c>
      <c r="D849" s="2">
        <v>46228</v>
      </c>
      <c r="E849" s="3">
        <v>0</v>
      </c>
      <c r="F849" t="s">
        <v>2482</v>
      </c>
      <c r="G849" t="s">
        <v>2483</v>
      </c>
      <c r="H849">
        <v>0</v>
      </c>
      <c r="I849">
        <v>0</v>
      </c>
      <c r="J849">
        <v>3</v>
      </c>
      <c r="K849">
        <v>1</v>
      </c>
      <c r="L849" s="30" t="str">
        <f t="shared" si="298"/>
        <v>24/07/2026</v>
      </c>
      <c r="M849" s="31">
        <f t="shared" si="299"/>
        <v>0.875</v>
      </c>
      <c r="N849" t="str">
        <f t="shared" si="281"/>
        <v>3 - 1</v>
      </c>
      <c r="O849" t="str">
        <f t="shared" si="282"/>
        <v>Green</v>
      </c>
      <c r="P849" t="str">
        <f t="shared" si="283"/>
        <v>Red</v>
      </c>
      <c r="Q849" t="str">
        <f t="shared" si="284"/>
        <v>Red</v>
      </c>
      <c r="R849" t="str">
        <f t="shared" si="285"/>
        <v>Green</v>
      </c>
      <c r="S849" t="str">
        <f t="shared" si="286"/>
        <v>Red</v>
      </c>
      <c r="T849" t="str">
        <f t="shared" si="287"/>
        <v>Green</v>
      </c>
      <c r="U849" t="str">
        <f t="shared" si="288"/>
        <v>Red</v>
      </c>
      <c r="V849" t="str">
        <f t="shared" si="289"/>
        <v>Green</v>
      </c>
      <c r="W849" t="str">
        <f t="shared" si="290"/>
        <v>Red</v>
      </c>
      <c r="X849" t="str">
        <f t="shared" si="291"/>
        <v>Red</v>
      </c>
      <c r="Y849" t="str">
        <f t="shared" si="292"/>
        <v>Green</v>
      </c>
      <c r="Z849" t="str">
        <f t="shared" si="293"/>
        <v>Green</v>
      </c>
      <c r="AA849" t="str">
        <f t="shared" si="294"/>
        <v>Red</v>
      </c>
      <c r="AB849" t="str">
        <f t="shared" si="295"/>
        <v>Red</v>
      </c>
      <c r="AC849" t="str">
        <f t="shared" si="296"/>
        <v>Green</v>
      </c>
      <c r="AD849" t="str">
        <f t="shared" si="297"/>
        <v>Red</v>
      </c>
    </row>
    <row r="850" spans="1:30" x14ac:dyDescent="0.2">
      <c r="A850" t="str">
        <f t="shared" si="280"/>
        <v>24/07/2026Houston Dash WomenFC Bay Area Women</v>
      </c>
      <c r="D850" s="2">
        <v>46228</v>
      </c>
      <c r="E850" s="3">
        <v>0</v>
      </c>
      <c r="F850" t="s">
        <v>2623</v>
      </c>
      <c r="G850" t="s">
        <v>2624</v>
      </c>
      <c r="H850">
        <v>0</v>
      </c>
      <c r="I850">
        <v>0</v>
      </c>
      <c r="J850">
        <v>1</v>
      </c>
      <c r="K850">
        <v>0</v>
      </c>
      <c r="L850" s="30" t="str">
        <f t="shared" si="298"/>
        <v>24/07/2026</v>
      </c>
      <c r="M850" s="31">
        <f t="shared" si="299"/>
        <v>0.875</v>
      </c>
      <c r="N850" t="str">
        <f t="shared" si="281"/>
        <v>1 - 0</v>
      </c>
      <c r="O850" t="str">
        <f t="shared" si="282"/>
        <v>Green</v>
      </c>
      <c r="P850" t="str">
        <f t="shared" si="283"/>
        <v>Red</v>
      </c>
      <c r="Q850" t="str">
        <f t="shared" si="284"/>
        <v>Red</v>
      </c>
      <c r="R850" t="str">
        <f t="shared" si="285"/>
        <v>Green</v>
      </c>
      <c r="S850" t="str">
        <f t="shared" si="286"/>
        <v>Red</v>
      </c>
      <c r="T850" t="str">
        <f t="shared" si="287"/>
        <v>Green</v>
      </c>
      <c r="U850" t="str">
        <f t="shared" si="288"/>
        <v>Red</v>
      </c>
      <c r="V850" t="str">
        <f t="shared" si="289"/>
        <v>Green</v>
      </c>
      <c r="W850" t="str">
        <f t="shared" si="290"/>
        <v>Red</v>
      </c>
      <c r="X850" t="str">
        <f t="shared" si="291"/>
        <v>Red</v>
      </c>
      <c r="Y850" t="str">
        <f t="shared" si="292"/>
        <v>Red</v>
      </c>
      <c r="Z850" t="str">
        <f t="shared" si="293"/>
        <v>Red</v>
      </c>
      <c r="AA850" t="str">
        <f t="shared" si="294"/>
        <v>Green</v>
      </c>
      <c r="AB850" t="str">
        <f t="shared" si="295"/>
        <v>Green</v>
      </c>
      <c r="AC850" t="str">
        <f t="shared" si="296"/>
        <v>Red</v>
      </c>
      <c r="AD850" t="str">
        <f t="shared" si="297"/>
        <v>Green</v>
      </c>
    </row>
    <row r="851" spans="1:30" x14ac:dyDescent="0.2">
      <c r="A851" t="str">
        <f t="shared" si="280"/>
        <v>24/07/2026Orlando Pride WomenChicago Red Stars Women</v>
      </c>
      <c r="D851" s="2">
        <v>46228</v>
      </c>
      <c r="E851" s="3">
        <v>0</v>
      </c>
      <c r="F851" t="s">
        <v>2625</v>
      </c>
      <c r="G851" t="s">
        <v>2626</v>
      </c>
      <c r="H851">
        <v>0</v>
      </c>
      <c r="I851">
        <v>0</v>
      </c>
      <c r="J851">
        <v>1</v>
      </c>
      <c r="K851">
        <v>0</v>
      </c>
      <c r="L851" s="30" t="str">
        <f t="shared" si="298"/>
        <v>24/07/2026</v>
      </c>
      <c r="M851" s="31">
        <f t="shared" si="299"/>
        <v>0.875</v>
      </c>
      <c r="N851" t="str">
        <f t="shared" si="281"/>
        <v>1 - 0</v>
      </c>
      <c r="O851" t="str">
        <f t="shared" si="282"/>
        <v>Green</v>
      </c>
      <c r="P851" t="str">
        <f t="shared" si="283"/>
        <v>Red</v>
      </c>
      <c r="Q851" t="str">
        <f t="shared" si="284"/>
        <v>Red</v>
      </c>
      <c r="R851" t="str">
        <f t="shared" si="285"/>
        <v>Green</v>
      </c>
      <c r="S851" t="str">
        <f t="shared" si="286"/>
        <v>Red</v>
      </c>
      <c r="T851" t="str">
        <f t="shared" si="287"/>
        <v>Green</v>
      </c>
      <c r="U851" t="str">
        <f t="shared" si="288"/>
        <v>Red</v>
      </c>
      <c r="V851" t="str">
        <f t="shared" si="289"/>
        <v>Green</v>
      </c>
      <c r="W851" t="str">
        <f t="shared" si="290"/>
        <v>Red</v>
      </c>
      <c r="X851" t="str">
        <f t="shared" si="291"/>
        <v>Red</v>
      </c>
      <c r="Y851" t="str">
        <f t="shared" si="292"/>
        <v>Red</v>
      </c>
      <c r="Z851" t="str">
        <f t="shared" si="293"/>
        <v>Red</v>
      </c>
      <c r="AA851" t="str">
        <f t="shared" si="294"/>
        <v>Green</v>
      </c>
      <c r="AB851" t="str">
        <f t="shared" si="295"/>
        <v>Green</v>
      </c>
      <c r="AC851" t="str">
        <f t="shared" si="296"/>
        <v>Red</v>
      </c>
      <c r="AD851" t="str">
        <f t="shared" si="297"/>
        <v>Green</v>
      </c>
    </row>
    <row r="852" spans="1:30" x14ac:dyDescent="0.2">
      <c r="A852" t="str">
        <f t="shared" si="280"/>
        <v>24/07/2026Atletico HuracanBanfield</v>
      </c>
      <c r="B852" t="s">
        <v>806</v>
      </c>
      <c r="C852" t="s">
        <v>2229</v>
      </c>
      <c r="D852" s="2">
        <v>46228</v>
      </c>
      <c r="E852" s="3">
        <v>1.0416666666666666E-2</v>
      </c>
      <c r="F852" t="s">
        <v>2235</v>
      </c>
      <c r="G852" t="s">
        <v>198</v>
      </c>
      <c r="H852">
        <v>0</v>
      </c>
      <c r="I852">
        <v>0</v>
      </c>
      <c r="J852">
        <v>1</v>
      </c>
      <c r="K852">
        <v>0</v>
      </c>
      <c r="L852" s="30" t="str">
        <f t="shared" si="298"/>
        <v>24/07/2026</v>
      </c>
      <c r="M852" s="31">
        <f t="shared" si="299"/>
        <v>0.88541666666666674</v>
      </c>
      <c r="N852" t="str">
        <f t="shared" si="281"/>
        <v>1 - 0</v>
      </c>
      <c r="O852" t="str">
        <f t="shared" si="282"/>
        <v>Green</v>
      </c>
      <c r="P852" t="str">
        <f t="shared" si="283"/>
        <v>Red</v>
      </c>
      <c r="Q852" t="str">
        <f t="shared" si="284"/>
        <v>Red</v>
      </c>
      <c r="R852" t="str">
        <f t="shared" si="285"/>
        <v>Green</v>
      </c>
      <c r="S852" t="str">
        <f t="shared" si="286"/>
        <v>Red</v>
      </c>
      <c r="T852" t="str">
        <f t="shared" si="287"/>
        <v>Green</v>
      </c>
      <c r="U852" t="str">
        <f t="shared" si="288"/>
        <v>Red</v>
      </c>
      <c r="V852" t="str">
        <f t="shared" si="289"/>
        <v>Green</v>
      </c>
      <c r="W852" t="str">
        <f t="shared" si="290"/>
        <v>Red</v>
      </c>
      <c r="X852" t="str">
        <f t="shared" si="291"/>
        <v>Red</v>
      </c>
      <c r="Y852" t="str">
        <f t="shared" si="292"/>
        <v>Red</v>
      </c>
      <c r="Z852" t="str">
        <f t="shared" si="293"/>
        <v>Red</v>
      </c>
      <c r="AA852" t="str">
        <f t="shared" si="294"/>
        <v>Green</v>
      </c>
      <c r="AB852" t="str">
        <f t="shared" si="295"/>
        <v>Green</v>
      </c>
      <c r="AC852" t="str">
        <f t="shared" si="296"/>
        <v>Red</v>
      </c>
      <c r="AD852" t="str">
        <f t="shared" si="297"/>
        <v>Green</v>
      </c>
    </row>
    <row r="853" spans="1:30" x14ac:dyDescent="0.2">
      <c r="A853" t="str">
        <f t="shared" si="280"/>
        <v>24/07/2026CA PlatenseUnion de Santa Fe</v>
      </c>
      <c r="B853" t="s">
        <v>806</v>
      </c>
      <c r="C853" t="s">
        <v>2229</v>
      </c>
      <c r="D853" s="2">
        <v>46228</v>
      </c>
      <c r="E853" s="3">
        <v>1.0416666666666666E-2</v>
      </c>
      <c r="F853" t="s">
        <v>2236</v>
      </c>
      <c r="G853" t="s">
        <v>2237</v>
      </c>
      <c r="H853">
        <v>1</v>
      </c>
      <c r="I853">
        <v>0</v>
      </c>
      <c r="J853">
        <v>2</v>
      </c>
      <c r="K853">
        <v>2</v>
      </c>
      <c r="L853" s="30" t="str">
        <f t="shared" si="298"/>
        <v>24/07/2026</v>
      </c>
      <c r="M853" s="31">
        <f t="shared" si="299"/>
        <v>0.88541666666666674</v>
      </c>
      <c r="N853" t="str">
        <f t="shared" si="281"/>
        <v>2 - 2</v>
      </c>
      <c r="O853" t="str">
        <f t="shared" si="282"/>
        <v>Red</v>
      </c>
      <c r="P853" t="str">
        <f t="shared" si="283"/>
        <v>Green</v>
      </c>
      <c r="Q853" t="str">
        <f t="shared" si="284"/>
        <v>Red</v>
      </c>
      <c r="R853" t="str">
        <f t="shared" si="285"/>
        <v>Green</v>
      </c>
      <c r="S853" t="str">
        <f t="shared" si="286"/>
        <v>Green</v>
      </c>
      <c r="T853" t="str">
        <f t="shared" si="287"/>
        <v>Red</v>
      </c>
      <c r="U853" t="str">
        <f t="shared" si="288"/>
        <v>Green</v>
      </c>
      <c r="V853" t="str">
        <f t="shared" si="289"/>
        <v>Red</v>
      </c>
      <c r="W853" t="str">
        <f t="shared" si="290"/>
        <v>Red</v>
      </c>
      <c r="X853" t="str">
        <f t="shared" si="291"/>
        <v>Green</v>
      </c>
      <c r="Y853" t="str">
        <f t="shared" si="292"/>
        <v>Green</v>
      </c>
      <c r="Z853" t="str">
        <f t="shared" si="293"/>
        <v>Green</v>
      </c>
      <c r="AA853" t="str">
        <f t="shared" si="294"/>
        <v>Red</v>
      </c>
      <c r="AB853" t="str">
        <f t="shared" si="295"/>
        <v>Red</v>
      </c>
      <c r="AC853" t="str">
        <f t="shared" si="296"/>
        <v>Green</v>
      </c>
      <c r="AD853" t="str">
        <f t="shared" si="297"/>
        <v>Red</v>
      </c>
    </row>
    <row r="854" spans="1:30" x14ac:dyDescent="0.2">
      <c r="A854" t="str">
        <f t="shared" si="280"/>
        <v>24/07/2026Cruzeiro RJ WomenSao Paulo Women</v>
      </c>
      <c r="D854" s="2">
        <v>46228</v>
      </c>
      <c r="E854" s="3">
        <v>2.0833333333333332E-2</v>
      </c>
      <c r="F854" t="s">
        <v>1338</v>
      </c>
      <c r="G854" t="s">
        <v>1342</v>
      </c>
      <c r="H854">
        <v>1</v>
      </c>
      <c r="I854">
        <v>1</v>
      </c>
      <c r="J854">
        <v>1</v>
      </c>
      <c r="K854">
        <v>2</v>
      </c>
      <c r="L854" s="30" t="str">
        <f t="shared" si="298"/>
        <v>24/07/2026</v>
      </c>
      <c r="M854" s="31">
        <f t="shared" si="299"/>
        <v>0.89583333333333326</v>
      </c>
      <c r="N854" t="str">
        <f t="shared" si="281"/>
        <v>1 - 2</v>
      </c>
      <c r="O854" t="str">
        <f t="shared" si="282"/>
        <v>Red</v>
      </c>
      <c r="P854" t="str">
        <f t="shared" si="283"/>
        <v>Red</v>
      </c>
      <c r="Q854" t="str">
        <f t="shared" si="284"/>
        <v>Green</v>
      </c>
      <c r="R854" t="str">
        <f t="shared" si="285"/>
        <v>Red</v>
      </c>
      <c r="S854" t="str">
        <f t="shared" si="286"/>
        <v>Green</v>
      </c>
      <c r="T854" t="str">
        <f t="shared" si="287"/>
        <v>Green</v>
      </c>
      <c r="U854" t="str">
        <f t="shared" si="288"/>
        <v>Red</v>
      </c>
      <c r="V854" t="str">
        <f t="shared" si="289"/>
        <v>Green</v>
      </c>
      <c r="W854" t="str">
        <f t="shared" si="290"/>
        <v>Red</v>
      </c>
      <c r="X854" t="str">
        <f t="shared" si="291"/>
        <v>Green</v>
      </c>
      <c r="Y854" t="str">
        <f t="shared" si="292"/>
        <v>Green</v>
      </c>
      <c r="Z854" t="str">
        <f t="shared" si="293"/>
        <v>Green</v>
      </c>
      <c r="AA854" t="str">
        <f t="shared" si="294"/>
        <v>Red</v>
      </c>
      <c r="AB854" t="str">
        <f t="shared" si="295"/>
        <v>Green</v>
      </c>
      <c r="AC854" t="str">
        <f t="shared" si="296"/>
        <v>Green</v>
      </c>
      <c r="AD854" t="str">
        <f t="shared" si="297"/>
        <v>Red</v>
      </c>
    </row>
    <row r="855" spans="1:30" x14ac:dyDescent="0.2">
      <c r="A855" t="str">
        <f t="shared" si="280"/>
        <v>24/07/2026Colo ColoDeportes Limache</v>
      </c>
      <c r="D855" s="2">
        <v>46228</v>
      </c>
      <c r="E855" s="3">
        <v>2.0833333333333332E-2</v>
      </c>
      <c r="F855" t="s">
        <v>201</v>
      </c>
      <c r="G855" t="s">
        <v>202</v>
      </c>
      <c r="H855">
        <v>0</v>
      </c>
      <c r="I855">
        <v>0</v>
      </c>
      <c r="J855">
        <v>3</v>
      </c>
      <c r="K855">
        <v>1</v>
      </c>
      <c r="L855" s="30" t="str">
        <f t="shared" si="298"/>
        <v>24/07/2026</v>
      </c>
      <c r="M855" s="31">
        <f t="shared" si="299"/>
        <v>0.89583333333333326</v>
      </c>
      <c r="N855" t="str">
        <f t="shared" si="281"/>
        <v>3 - 1</v>
      </c>
      <c r="O855" t="str">
        <f t="shared" si="282"/>
        <v>Green</v>
      </c>
      <c r="P855" t="str">
        <f t="shared" si="283"/>
        <v>Red</v>
      </c>
      <c r="Q855" t="str">
        <f t="shared" si="284"/>
        <v>Red</v>
      </c>
      <c r="R855" t="str">
        <f t="shared" si="285"/>
        <v>Green</v>
      </c>
      <c r="S855" t="str">
        <f t="shared" si="286"/>
        <v>Red</v>
      </c>
      <c r="T855" t="str">
        <f t="shared" si="287"/>
        <v>Green</v>
      </c>
      <c r="U855" t="str">
        <f t="shared" si="288"/>
        <v>Red</v>
      </c>
      <c r="V855" t="str">
        <f t="shared" si="289"/>
        <v>Green</v>
      </c>
      <c r="W855" t="str">
        <f t="shared" si="290"/>
        <v>Red</v>
      </c>
      <c r="X855" t="str">
        <f t="shared" si="291"/>
        <v>Red</v>
      </c>
      <c r="Y855" t="str">
        <f t="shared" si="292"/>
        <v>Green</v>
      </c>
      <c r="Z855" t="str">
        <f t="shared" si="293"/>
        <v>Green</v>
      </c>
      <c r="AA855" t="str">
        <f t="shared" si="294"/>
        <v>Red</v>
      </c>
      <c r="AB855" t="str">
        <f t="shared" si="295"/>
        <v>Red</v>
      </c>
      <c r="AC855" t="str">
        <f t="shared" si="296"/>
        <v>Green</v>
      </c>
      <c r="AD855" t="str">
        <f t="shared" si="297"/>
        <v>Red</v>
      </c>
    </row>
    <row r="856" spans="1:30" x14ac:dyDescent="0.2">
      <c r="A856" t="str">
        <f t="shared" si="280"/>
        <v>24/07/2026Deportes IquiqueDeportes Temuco</v>
      </c>
      <c r="D856" s="2">
        <v>46228</v>
      </c>
      <c r="E856" s="3">
        <v>2.0833333333333332E-2</v>
      </c>
      <c r="F856" t="s">
        <v>203</v>
      </c>
      <c r="G856" t="s">
        <v>204</v>
      </c>
      <c r="H856">
        <v>1</v>
      </c>
      <c r="I856">
        <v>0</v>
      </c>
      <c r="J856">
        <v>1</v>
      </c>
      <c r="K856">
        <v>0</v>
      </c>
      <c r="L856" s="30" t="str">
        <f t="shared" si="298"/>
        <v>24/07/2026</v>
      </c>
      <c r="M856" s="31">
        <f t="shared" si="299"/>
        <v>0.89583333333333326</v>
      </c>
      <c r="N856" t="str">
        <f t="shared" si="281"/>
        <v>1 - 0</v>
      </c>
      <c r="O856" t="str">
        <f t="shared" si="282"/>
        <v>Green</v>
      </c>
      <c r="P856" t="str">
        <f t="shared" si="283"/>
        <v>Red</v>
      </c>
      <c r="Q856" t="str">
        <f t="shared" si="284"/>
        <v>Red</v>
      </c>
      <c r="R856" t="str">
        <f t="shared" si="285"/>
        <v>Green</v>
      </c>
      <c r="S856" t="str">
        <f t="shared" si="286"/>
        <v>Red</v>
      </c>
      <c r="T856" t="str">
        <f t="shared" si="287"/>
        <v>Green</v>
      </c>
      <c r="U856" t="str">
        <f t="shared" si="288"/>
        <v>Green</v>
      </c>
      <c r="V856" t="str">
        <f t="shared" si="289"/>
        <v>Red</v>
      </c>
      <c r="W856" t="str">
        <f t="shared" si="290"/>
        <v>Red</v>
      </c>
      <c r="X856" t="str">
        <f t="shared" si="291"/>
        <v>Green</v>
      </c>
      <c r="Y856" t="str">
        <f t="shared" si="292"/>
        <v>Red</v>
      </c>
      <c r="Z856" t="str">
        <f t="shared" si="293"/>
        <v>Red</v>
      </c>
      <c r="AA856" t="str">
        <f t="shared" si="294"/>
        <v>Green</v>
      </c>
      <c r="AB856" t="str">
        <f t="shared" si="295"/>
        <v>Green</v>
      </c>
      <c r="AC856" t="str">
        <f t="shared" si="296"/>
        <v>Red</v>
      </c>
      <c r="AD856" t="str">
        <f t="shared" si="297"/>
        <v>Green</v>
      </c>
    </row>
    <row r="857" spans="1:30" x14ac:dyDescent="0.2">
      <c r="A857" t="str">
        <f t="shared" si="280"/>
        <v>24/07/2026Mineros De ZacatecasCorrecaminos UAT</v>
      </c>
      <c r="D857" s="2">
        <v>46228</v>
      </c>
      <c r="E857" s="3">
        <v>4.1666666666666664E-2</v>
      </c>
      <c r="F857" t="s">
        <v>2516</v>
      </c>
      <c r="G857" t="s">
        <v>2517</v>
      </c>
      <c r="H857">
        <v>1</v>
      </c>
      <c r="I857">
        <v>1</v>
      </c>
      <c r="J857">
        <v>3</v>
      </c>
      <c r="K857">
        <v>3</v>
      </c>
      <c r="L857" s="30" t="str">
        <f t="shared" si="298"/>
        <v>24/07/2026</v>
      </c>
      <c r="M857" s="31">
        <f t="shared" si="299"/>
        <v>0.91666666666666663</v>
      </c>
      <c r="N857" t="str">
        <f t="shared" si="281"/>
        <v>3 - 3</v>
      </c>
      <c r="O857" t="str">
        <f t="shared" si="282"/>
        <v>Red</v>
      </c>
      <c r="P857" t="str">
        <f t="shared" si="283"/>
        <v>Green</v>
      </c>
      <c r="Q857" t="str">
        <f t="shared" si="284"/>
        <v>Red</v>
      </c>
      <c r="R857" t="str">
        <f t="shared" si="285"/>
        <v>Green</v>
      </c>
      <c r="S857" t="str">
        <f t="shared" si="286"/>
        <v>Green</v>
      </c>
      <c r="T857" t="str">
        <f t="shared" si="287"/>
        <v>Red</v>
      </c>
      <c r="U857" t="str">
        <f t="shared" si="288"/>
        <v>Red</v>
      </c>
      <c r="V857" t="str">
        <f t="shared" si="289"/>
        <v>Green</v>
      </c>
      <c r="W857" t="str">
        <f t="shared" si="290"/>
        <v>Red</v>
      </c>
      <c r="X857" t="str">
        <f t="shared" si="291"/>
        <v>Green</v>
      </c>
      <c r="Y857" t="str">
        <f t="shared" si="292"/>
        <v>Green</v>
      </c>
      <c r="Z857" t="str">
        <f t="shared" si="293"/>
        <v>Green</v>
      </c>
      <c r="AA857" t="str">
        <f t="shared" si="294"/>
        <v>Red</v>
      </c>
      <c r="AB857" t="str">
        <f t="shared" si="295"/>
        <v>Red</v>
      </c>
      <c r="AC857" t="str">
        <f t="shared" si="296"/>
        <v>Green</v>
      </c>
      <c r="AD857" t="str">
        <f t="shared" si="297"/>
        <v>Red</v>
      </c>
    </row>
    <row r="858" spans="1:30" x14ac:dyDescent="0.2">
      <c r="A858" t="str">
        <f t="shared" si="280"/>
        <v>24/07/2026Tepatitlan de MorelosAlacranes de Durango</v>
      </c>
      <c r="D858" s="2">
        <v>46228</v>
      </c>
      <c r="E858" s="3">
        <v>4.1666666666666664E-2</v>
      </c>
      <c r="F858" t="s">
        <v>2518</v>
      </c>
      <c r="G858" t="s">
        <v>2519</v>
      </c>
      <c r="H858">
        <v>0</v>
      </c>
      <c r="I858">
        <v>0</v>
      </c>
      <c r="J858">
        <v>0</v>
      </c>
      <c r="K858">
        <v>1</v>
      </c>
      <c r="L858" s="30" t="str">
        <f t="shared" si="298"/>
        <v>24/07/2026</v>
      </c>
      <c r="M858" s="31">
        <f t="shared" si="299"/>
        <v>0.91666666666666663</v>
      </c>
      <c r="N858" t="str">
        <f t="shared" si="281"/>
        <v>0 - 1</v>
      </c>
      <c r="O858" t="str">
        <f t="shared" si="282"/>
        <v>Red</v>
      </c>
      <c r="P858" t="str">
        <f t="shared" si="283"/>
        <v>Red</v>
      </c>
      <c r="Q858" t="str">
        <f t="shared" si="284"/>
        <v>Green</v>
      </c>
      <c r="R858" t="str">
        <f t="shared" si="285"/>
        <v>Red</v>
      </c>
      <c r="S858" t="str">
        <f t="shared" si="286"/>
        <v>Green</v>
      </c>
      <c r="T858" t="str">
        <f t="shared" si="287"/>
        <v>Green</v>
      </c>
      <c r="U858" t="str">
        <f t="shared" si="288"/>
        <v>Red</v>
      </c>
      <c r="V858" t="str">
        <f t="shared" si="289"/>
        <v>Green</v>
      </c>
      <c r="W858" t="str">
        <f t="shared" si="290"/>
        <v>Red</v>
      </c>
      <c r="X858" t="str">
        <f t="shared" si="291"/>
        <v>Red</v>
      </c>
      <c r="Y858" t="str">
        <f t="shared" si="292"/>
        <v>Red</v>
      </c>
      <c r="Z858" t="str">
        <f t="shared" si="293"/>
        <v>Red</v>
      </c>
      <c r="AA858" t="str">
        <f t="shared" si="294"/>
        <v>Green</v>
      </c>
      <c r="AB858" t="str">
        <f t="shared" si="295"/>
        <v>Green</v>
      </c>
      <c r="AC858" t="str">
        <f t="shared" si="296"/>
        <v>Red</v>
      </c>
      <c r="AD858" t="str">
        <f t="shared" si="297"/>
        <v>Green</v>
      </c>
    </row>
    <row r="859" spans="1:30" x14ac:dyDescent="0.2">
      <c r="A859" t="str">
        <f t="shared" si="280"/>
        <v>24/07/2026Deportivo CaliJaguares de Cordoba</v>
      </c>
      <c r="D859" s="2">
        <v>46228</v>
      </c>
      <c r="E859" s="3">
        <v>5.2083333333333336E-2</v>
      </c>
      <c r="F859" t="s">
        <v>205</v>
      </c>
      <c r="G859" t="s">
        <v>2395</v>
      </c>
      <c r="H859">
        <v>0</v>
      </c>
      <c r="I859">
        <v>0</v>
      </c>
      <c r="J859">
        <v>2</v>
      </c>
      <c r="K859">
        <v>0</v>
      </c>
      <c r="L859" s="30" t="str">
        <f t="shared" si="298"/>
        <v>24/07/2026</v>
      </c>
      <c r="M859" s="31">
        <f t="shared" si="299"/>
        <v>0.92708333333333337</v>
      </c>
      <c r="N859" t="str">
        <f t="shared" si="281"/>
        <v>2 - 0</v>
      </c>
      <c r="O859" t="str">
        <f t="shared" si="282"/>
        <v>Green</v>
      </c>
      <c r="P859" t="str">
        <f t="shared" si="283"/>
        <v>Red</v>
      </c>
      <c r="Q859" t="str">
        <f t="shared" si="284"/>
        <v>Red</v>
      </c>
      <c r="R859" t="str">
        <f t="shared" si="285"/>
        <v>Green</v>
      </c>
      <c r="S859" t="str">
        <f t="shared" si="286"/>
        <v>Red</v>
      </c>
      <c r="T859" t="str">
        <f t="shared" si="287"/>
        <v>Green</v>
      </c>
      <c r="U859" t="str">
        <f t="shared" si="288"/>
        <v>Red</v>
      </c>
      <c r="V859" t="str">
        <f t="shared" si="289"/>
        <v>Green</v>
      </c>
      <c r="W859" t="str">
        <f t="shared" si="290"/>
        <v>Red</v>
      </c>
      <c r="X859" t="str">
        <f t="shared" si="291"/>
        <v>Red</v>
      </c>
      <c r="Y859" t="str">
        <f t="shared" si="292"/>
        <v>Green</v>
      </c>
      <c r="Z859" t="str">
        <f t="shared" si="293"/>
        <v>Red</v>
      </c>
      <c r="AA859" t="str">
        <f t="shared" si="294"/>
        <v>Green</v>
      </c>
      <c r="AB859" t="str">
        <f t="shared" si="295"/>
        <v>Green</v>
      </c>
      <c r="AC859" t="str">
        <f t="shared" si="296"/>
        <v>Red</v>
      </c>
      <c r="AD859" t="str">
        <f t="shared" si="297"/>
        <v>Green</v>
      </c>
    </row>
    <row r="860" spans="1:30" x14ac:dyDescent="0.2">
      <c r="A860" t="str">
        <f t="shared" si="280"/>
        <v>24/07/2026Cooks Hill United ReservesLambton Jaffas Reserves</v>
      </c>
      <c r="B860" t="s">
        <v>810</v>
      </c>
      <c r="C860" t="s">
        <v>813</v>
      </c>
      <c r="D860" s="2">
        <v>46228</v>
      </c>
      <c r="E860" s="3">
        <v>6.25E-2</v>
      </c>
      <c r="F860" t="s">
        <v>2280</v>
      </c>
      <c r="G860" t="s">
        <v>2281</v>
      </c>
      <c r="H860">
        <v>0</v>
      </c>
      <c r="I860">
        <v>0</v>
      </c>
      <c r="J860">
        <v>2</v>
      </c>
      <c r="K860">
        <v>1</v>
      </c>
      <c r="L860" s="30" t="str">
        <f t="shared" si="298"/>
        <v>24/07/2026</v>
      </c>
      <c r="M860" s="31">
        <f t="shared" si="299"/>
        <v>0.9375</v>
      </c>
      <c r="N860" t="str">
        <f t="shared" si="281"/>
        <v>2 - 1</v>
      </c>
      <c r="O860" t="str">
        <f t="shared" si="282"/>
        <v>Green</v>
      </c>
      <c r="P860" t="str">
        <f t="shared" si="283"/>
        <v>Red</v>
      </c>
      <c r="Q860" t="str">
        <f t="shared" si="284"/>
        <v>Red</v>
      </c>
      <c r="R860" t="str">
        <f t="shared" si="285"/>
        <v>Green</v>
      </c>
      <c r="S860" t="str">
        <f t="shared" si="286"/>
        <v>Red</v>
      </c>
      <c r="T860" t="str">
        <f t="shared" si="287"/>
        <v>Green</v>
      </c>
      <c r="U860" t="str">
        <f t="shared" si="288"/>
        <v>Red</v>
      </c>
      <c r="V860" t="str">
        <f t="shared" si="289"/>
        <v>Green</v>
      </c>
      <c r="W860" t="str">
        <f t="shared" si="290"/>
        <v>Red</v>
      </c>
      <c r="X860" t="str">
        <f t="shared" si="291"/>
        <v>Red</v>
      </c>
      <c r="Y860" t="str">
        <f t="shared" si="292"/>
        <v>Green</v>
      </c>
      <c r="Z860" t="str">
        <f t="shared" si="293"/>
        <v>Green</v>
      </c>
      <c r="AA860" t="str">
        <f t="shared" si="294"/>
        <v>Red</v>
      </c>
      <c r="AB860" t="str">
        <f t="shared" si="295"/>
        <v>Green</v>
      </c>
      <c r="AC860" t="str">
        <f t="shared" si="296"/>
        <v>Green</v>
      </c>
      <c r="AD860" t="str">
        <f t="shared" si="297"/>
        <v>Red</v>
      </c>
    </row>
    <row r="861" spans="1:30" x14ac:dyDescent="0.2">
      <c r="A861" t="str">
        <f t="shared" si="280"/>
        <v>24/07/2026CD FASMunicipal Limeno</v>
      </c>
      <c r="D861" s="2">
        <v>46228</v>
      </c>
      <c r="E861" s="3">
        <v>6.25E-2</v>
      </c>
      <c r="F861" t="s">
        <v>2421</v>
      </c>
      <c r="G861" t="s">
        <v>2422</v>
      </c>
      <c r="H861">
        <v>0</v>
      </c>
      <c r="I861">
        <v>1</v>
      </c>
      <c r="J861">
        <v>3</v>
      </c>
      <c r="K861">
        <v>1</v>
      </c>
      <c r="L861" s="30" t="str">
        <f t="shared" si="298"/>
        <v>24/07/2026</v>
      </c>
      <c r="M861" s="31">
        <f t="shared" si="299"/>
        <v>0.9375</v>
      </c>
      <c r="N861" t="str">
        <f t="shared" si="281"/>
        <v>3 - 1</v>
      </c>
      <c r="O861" t="str">
        <f t="shared" si="282"/>
        <v>Green</v>
      </c>
      <c r="P861" t="str">
        <f t="shared" si="283"/>
        <v>Red</v>
      </c>
      <c r="Q861" t="str">
        <f t="shared" si="284"/>
        <v>Red</v>
      </c>
      <c r="R861" t="str">
        <f t="shared" si="285"/>
        <v>Green</v>
      </c>
      <c r="S861" t="str">
        <f t="shared" si="286"/>
        <v>Red</v>
      </c>
      <c r="T861" t="str">
        <f t="shared" si="287"/>
        <v>Green</v>
      </c>
      <c r="U861" t="str">
        <f t="shared" si="288"/>
        <v>Red</v>
      </c>
      <c r="V861" t="str">
        <f t="shared" si="289"/>
        <v>Red</v>
      </c>
      <c r="W861" t="str">
        <f t="shared" si="290"/>
        <v>Green</v>
      </c>
      <c r="X861" t="str">
        <f t="shared" si="291"/>
        <v>Green</v>
      </c>
      <c r="Y861" t="str">
        <f t="shared" si="292"/>
        <v>Green</v>
      </c>
      <c r="Z861" t="str">
        <f t="shared" si="293"/>
        <v>Green</v>
      </c>
      <c r="AA861" t="str">
        <f t="shared" si="294"/>
        <v>Red</v>
      </c>
      <c r="AB861" t="str">
        <f t="shared" si="295"/>
        <v>Red</v>
      </c>
      <c r="AC861" t="str">
        <f t="shared" si="296"/>
        <v>Green</v>
      </c>
      <c r="AD861" t="str">
        <f t="shared" si="297"/>
        <v>Red</v>
      </c>
    </row>
    <row r="862" spans="1:30" x14ac:dyDescent="0.2">
      <c r="A862" t="str">
        <f t="shared" si="280"/>
        <v>24/07/2026Eastern Suburbs NPL WomenAuckland United Women</v>
      </c>
      <c r="D862" s="2">
        <v>46228</v>
      </c>
      <c r="E862" s="3">
        <v>6.25E-2</v>
      </c>
      <c r="F862" t="s">
        <v>2526</v>
      </c>
      <c r="G862" t="s">
        <v>2527</v>
      </c>
      <c r="L862" s="30" t="str">
        <f t="shared" si="298"/>
        <v>24/07/2026</v>
      </c>
      <c r="M862" s="31">
        <f t="shared" si="299"/>
        <v>0.9375</v>
      </c>
      <c r="N862" t="str">
        <f t="shared" si="281"/>
        <v xml:space="preserve"> - </v>
      </c>
      <c r="O862" t="str">
        <f t="shared" si="282"/>
        <v>Red</v>
      </c>
      <c r="P862" t="str">
        <f t="shared" si="283"/>
        <v>Green</v>
      </c>
      <c r="Q862" t="str">
        <f t="shared" si="284"/>
        <v>Red</v>
      </c>
      <c r="R862" t="str">
        <f t="shared" si="285"/>
        <v>Green</v>
      </c>
      <c r="S862" t="str">
        <f t="shared" si="286"/>
        <v>Green</v>
      </c>
      <c r="T862" t="str">
        <f t="shared" si="287"/>
        <v>Red</v>
      </c>
      <c r="U862" t="str">
        <f t="shared" si="288"/>
        <v>Red</v>
      </c>
      <c r="V862" t="str">
        <f t="shared" si="289"/>
        <v>Green</v>
      </c>
      <c r="W862" t="str">
        <f t="shared" si="290"/>
        <v>Red</v>
      </c>
      <c r="X862" t="str">
        <f t="shared" si="291"/>
        <v>Red</v>
      </c>
      <c r="Y862" t="str">
        <f t="shared" si="292"/>
        <v>Red</v>
      </c>
      <c r="Z862" t="str">
        <f t="shared" si="293"/>
        <v>Red</v>
      </c>
      <c r="AA862" t="str">
        <f t="shared" si="294"/>
        <v>Green</v>
      </c>
      <c r="AB862" t="str">
        <f t="shared" si="295"/>
        <v>Green</v>
      </c>
      <c r="AC862" t="str">
        <f t="shared" si="296"/>
        <v>Red</v>
      </c>
      <c r="AD862" t="str">
        <f t="shared" si="297"/>
        <v>Green</v>
      </c>
    </row>
    <row r="863" spans="1:30" x14ac:dyDescent="0.2">
      <c r="A863" t="str">
        <f t="shared" si="280"/>
        <v>24/07/2026Arabe UnidoPlaza Amador</v>
      </c>
      <c r="D863" s="2">
        <v>46228</v>
      </c>
      <c r="E863" s="3">
        <v>6.25E-2</v>
      </c>
      <c r="F863" t="s">
        <v>2541</v>
      </c>
      <c r="G863" t="s">
        <v>208</v>
      </c>
      <c r="H863">
        <v>2</v>
      </c>
      <c r="I863">
        <v>0</v>
      </c>
      <c r="J863">
        <v>2</v>
      </c>
      <c r="K863">
        <v>2</v>
      </c>
      <c r="L863" s="30" t="str">
        <f t="shared" si="298"/>
        <v>24/07/2026</v>
      </c>
      <c r="M863" s="31">
        <f t="shared" si="299"/>
        <v>0.9375</v>
      </c>
      <c r="N863" t="str">
        <f t="shared" si="281"/>
        <v>2 - 2</v>
      </c>
      <c r="O863" t="str">
        <f t="shared" si="282"/>
        <v>Red</v>
      </c>
      <c r="P863" t="str">
        <f t="shared" si="283"/>
        <v>Green</v>
      </c>
      <c r="Q863" t="str">
        <f t="shared" si="284"/>
        <v>Red</v>
      </c>
      <c r="R863" t="str">
        <f t="shared" si="285"/>
        <v>Green</v>
      </c>
      <c r="S863" t="str">
        <f t="shared" si="286"/>
        <v>Green</v>
      </c>
      <c r="T863" t="str">
        <f t="shared" si="287"/>
        <v>Red</v>
      </c>
      <c r="U863" t="str">
        <f t="shared" si="288"/>
        <v>Green</v>
      </c>
      <c r="V863" t="str">
        <f t="shared" si="289"/>
        <v>Red</v>
      </c>
      <c r="W863" t="str">
        <f t="shared" si="290"/>
        <v>Red</v>
      </c>
      <c r="X863" t="str">
        <f t="shared" si="291"/>
        <v>Green</v>
      </c>
      <c r="Y863" t="str">
        <f t="shared" si="292"/>
        <v>Green</v>
      </c>
      <c r="Z863" t="str">
        <f t="shared" si="293"/>
        <v>Green</v>
      </c>
      <c r="AA863" t="str">
        <f t="shared" si="294"/>
        <v>Red</v>
      </c>
      <c r="AB863" t="str">
        <f t="shared" si="295"/>
        <v>Red</v>
      </c>
      <c r="AC863" t="str">
        <f t="shared" si="296"/>
        <v>Green</v>
      </c>
      <c r="AD863" t="str">
        <f t="shared" si="297"/>
        <v>Red</v>
      </c>
    </row>
    <row r="864" spans="1:30" x14ac:dyDescent="0.2">
      <c r="A864" t="str">
        <f t="shared" si="280"/>
        <v>24/07/2026Universitario de DeportesCusco FC</v>
      </c>
      <c r="D864" s="2">
        <v>46228</v>
      </c>
      <c r="E864" s="3">
        <v>6.25E-2</v>
      </c>
      <c r="F864" t="s">
        <v>209</v>
      </c>
      <c r="G864" t="s">
        <v>210</v>
      </c>
      <c r="H864">
        <v>1</v>
      </c>
      <c r="I864">
        <v>0</v>
      </c>
      <c r="J864">
        <v>2</v>
      </c>
      <c r="K864">
        <v>1</v>
      </c>
      <c r="L864" s="30" t="str">
        <f t="shared" si="298"/>
        <v>24/07/2026</v>
      </c>
      <c r="M864" s="31">
        <f t="shared" si="299"/>
        <v>0.9375</v>
      </c>
      <c r="N864" t="str">
        <f t="shared" si="281"/>
        <v>2 - 1</v>
      </c>
      <c r="O864" t="str">
        <f t="shared" si="282"/>
        <v>Green</v>
      </c>
      <c r="P864" t="str">
        <f t="shared" si="283"/>
        <v>Red</v>
      </c>
      <c r="Q864" t="str">
        <f t="shared" si="284"/>
        <v>Red</v>
      </c>
      <c r="R864" t="str">
        <f t="shared" si="285"/>
        <v>Green</v>
      </c>
      <c r="S864" t="str">
        <f t="shared" si="286"/>
        <v>Red</v>
      </c>
      <c r="T864" t="str">
        <f t="shared" si="287"/>
        <v>Green</v>
      </c>
      <c r="U864" t="str">
        <f t="shared" si="288"/>
        <v>Green</v>
      </c>
      <c r="V864" t="str">
        <f t="shared" si="289"/>
        <v>Red</v>
      </c>
      <c r="W864" t="str">
        <f t="shared" si="290"/>
        <v>Red</v>
      </c>
      <c r="X864" t="str">
        <f t="shared" si="291"/>
        <v>Green</v>
      </c>
      <c r="Y864" t="str">
        <f t="shared" si="292"/>
        <v>Green</v>
      </c>
      <c r="Z864" t="str">
        <f t="shared" si="293"/>
        <v>Green</v>
      </c>
      <c r="AA864" t="str">
        <f t="shared" si="294"/>
        <v>Red</v>
      </c>
      <c r="AB864" t="str">
        <f t="shared" si="295"/>
        <v>Green</v>
      </c>
      <c r="AC864" t="str">
        <f t="shared" si="296"/>
        <v>Green</v>
      </c>
      <c r="AD864" t="str">
        <f t="shared" si="297"/>
        <v>Red</v>
      </c>
    </row>
    <row r="865" spans="1:30" x14ac:dyDescent="0.2">
      <c r="A865" t="str">
        <f t="shared" si="280"/>
        <v>24/07/2026Laredo Heat SCFort Lauderdale United</v>
      </c>
      <c r="D865" s="2">
        <v>46228</v>
      </c>
      <c r="E865" s="3">
        <v>6.25E-2</v>
      </c>
      <c r="F865" t="s">
        <v>2621</v>
      </c>
      <c r="G865" t="s">
        <v>2622</v>
      </c>
      <c r="H865">
        <v>0</v>
      </c>
      <c r="I865">
        <v>0</v>
      </c>
      <c r="J865">
        <v>1</v>
      </c>
      <c r="K865">
        <v>1</v>
      </c>
      <c r="L865" s="30" t="str">
        <f t="shared" si="298"/>
        <v>24/07/2026</v>
      </c>
      <c r="M865" s="31">
        <f t="shared" si="299"/>
        <v>0.9375</v>
      </c>
      <c r="N865" t="str">
        <f t="shared" si="281"/>
        <v>1 - 1</v>
      </c>
      <c r="O865" t="str">
        <f t="shared" si="282"/>
        <v>Red</v>
      </c>
      <c r="P865" t="str">
        <f t="shared" si="283"/>
        <v>Green</v>
      </c>
      <c r="Q865" t="str">
        <f t="shared" si="284"/>
        <v>Red</v>
      </c>
      <c r="R865" t="str">
        <f t="shared" si="285"/>
        <v>Green</v>
      </c>
      <c r="S865" t="str">
        <f t="shared" si="286"/>
        <v>Green</v>
      </c>
      <c r="T865" t="str">
        <f t="shared" si="287"/>
        <v>Red</v>
      </c>
      <c r="U865" t="str">
        <f t="shared" si="288"/>
        <v>Red</v>
      </c>
      <c r="V865" t="str">
        <f t="shared" si="289"/>
        <v>Green</v>
      </c>
      <c r="W865" t="str">
        <f t="shared" si="290"/>
        <v>Red</v>
      </c>
      <c r="X865" t="str">
        <f t="shared" si="291"/>
        <v>Red</v>
      </c>
      <c r="Y865" t="str">
        <f t="shared" si="292"/>
        <v>Green</v>
      </c>
      <c r="Z865" t="str">
        <f t="shared" si="293"/>
        <v>Red</v>
      </c>
      <c r="AA865" t="str">
        <f t="shared" si="294"/>
        <v>Green</v>
      </c>
      <c r="AB865" t="str">
        <f t="shared" si="295"/>
        <v>Green</v>
      </c>
      <c r="AC865" t="str">
        <f t="shared" si="296"/>
        <v>Green</v>
      </c>
      <c r="AD865" t="str">
        <f t="shared" si="297"/>
        <v>Red</v>
      </c>
    </row>
    <row r="866" spans="1:30" x14ac:dyDescent="0.2">
      <c r="A866" t="str">
        <f t="shared" si="280"/>
        <v>24/07/2026New Lambton FC ReservesLake Macquarie City Reserves</v>
      </c>
      <c r="B866" t="s">
        <v>810</v>
      </c>
      <c r="C866" t="s">
        <v>813</v>
      </c>
      <c r="D866" s="2">
        <v>46228</v>
      </c>
      <c r="E866" s="3">
        <v>8.3333333333333329E-2</v>
      </c>
      <c r="F866" t="s">
        <v>2278</v>
      </c>
      <c r="G866" t="s">
        <v>2279</v>
      </c>
      <c r="H866">
        <v>1</v>
      </c>
      <c r="I866">
        <v>3</v>
      </c>
      <c r="J866">
        <v>1</v>
      </c>
      <c r="K866">
        <v>5</v>
      </c>
      <c r="L866" s="30" t="str">
        <f t="shared" si="298"/>
        <v>24/07/2026</v>
      </c>
      <c r="M866" s="31">
        <f t="shared" si="299"/>
        <v>0.95833333333333326</v>
      </c>
      <c r="N866" t="str">
        <f t="shared" si="281"/>
        <v>1 - 5</v>
      </c>
      <c r="O866" t="str">
        <f t="shared" si="282"/>
        <v>Red</v>
      </c>
      <c r="P866" t="str">
        <f t="shared" si="283"/>
        <v>Red</v>
      </c>
      <c r="Q866" t="str">
        <f t="shared" si="284"/>
        <v>Green</v>
      </c>
      <c r="R866" t="str">
        <f t="shared" si="285"/>
        <v>Red</v>
      </c>
      <c r="S866" t="str">
        <f t="shared" si="286"/>
        <v>Green</v>
      </c>
      <c r="T866" t="str">
        <f t="shared" si="287"/>
        <v>Green</v>
      </c>
      <c r="U866" t="str">
        <f t="shared" si="288"/>
        <v>Red</v>
      </c>
      <c r="V866" t="str">
        <f t="shared" si="289"/>
        <v>Red</v>
      </c>
      <c r="W866" t="str">
        <f t="shared" si="290"/>
        <v>Green</v>
      </c>
      <c r="X866" t="str">
        <f t="shared" si="291"/>
        <v>Green</v>
      </c>
      <c r="Y866" t="str">
        <f t="shared" si="292"/>
        <v>Green</v>
      </c>
      <c r="Z866" t="str">
        <f t="shared" si="293"/>
        <v>Green</v>
      </c>
      <c r="AA866" t="str">
        <f t="shared" si="294"/>
        <v>Red</v>
      </c>
      <c r="AB866" t="str">
        <f t="shared" si="295"/>
        <v>Red</v>
      </c>
      <c r="AC866" t="str">
        <f t="shared" si="296"/>
        <v>Green</v>
      </c>
      <c r="AD866" t="str">
        <f t="shared" si="297"/>
        <v>Red</v>
      </c>
    </row>
    <row r="867" spans="1:30" x14ac:dyDescent="0.2">
      <c r="A867" t="str">
        <f t="shared" si="280"/>
        <v>24/07/2026Weston Workers ReservesAdamstown Rosebud Reserves</v>
      </c>
      <c r="B867" t="s">
        <v>810</v>
      </c>
      <c r="C867" t="s">
        <v>813</v>
      </c>
      <c r="D867" s="2">
        <v>46228</v>
      </c>
      <c r="E867" s="3">
        <v>8.3333333333333329E-2</v>
      </c>
      <c r="F867" t="s">
        <v>2282</v>
      </c>
      <c r="G867" t="s">
        <v>2283</v>
      </c>
      <c r="L867" s="30" t="str">
        <f t="shared" si="298"/>
        <v>24/07/2026</v>
      </c>
      <c r="M867" s="31">
        <f t="shared" si="299"/>
        <v>0.95833333333333326</v>
      </c>
      <c r="N867" t="str">
        <f t="shared" si="281"/>
        <v xml:space="preserve"> - </v>
      </c>
      <c r="O867" t="str">
        <f t="shared" si="282"/>
        <v>Red</v>
      </c>
      <c r="P867" t="str">
        <f t="shared" si="283"/>
        <v>Green</v>
      </c>
      <c r="Q867" t="str">
        <f t="shared" si="284"/>
        <v>Red</v>
      </c>
      <c r="R867" t="str">
        <f t="shared" si="285"/>
        <v>Green</v>
      </c>
      <c r="S867" t="str">
        <f t="shared" si="286"/>
        <v>Green</v>
      </c>
      <c r="T867" t="str">
        <f t="shared" si="287"/>
        <v>Red</v>
      </c>
      <c r="U867" t="str">
        <f t="shared" si="288"/>
        <v>Red</v>
      </c>
      <c r="V867" t="str">
        <f t="shared" si="289"/>
        <v>Green</v>
      </c>
      <c r="W867" t="str">
        <f t="shared" si="290"/>
        <v>Red</v>
      </c>
      <c r="X867" t="str">
        <f t="shared" si="291"/>
        <v>Red</v>
      </c>
      <c r="Y867" t="str">
        <f t="shared" si="292"/>
        <v>Red</v>
      </c>
      <c r="Z867" t="str">
        <f t="shared" si="293"/>
        <v>Red</v>
      </c>
      <c r="AA867" t="str">
        <f t="shared" si="294"/>
        <v>Green</v>
      </c>
      <c r="AB867" t="str">
        <f t="shared" si="295"/>
        <v>Green</v>
      </c>
      <c r="AC867" t="str">
        <f t="shared" si="296"/>
        <v>Red</v>
      </c>
      <c r="AD867" t="str">
        <f t="shared" si="297"/>
        <v>Green</v>
      </c>
    </row>
    <row r="868" spans="1:30" x14ac:dyDescent="0.2">
      <c r="A868" t="str">
        <f t="shared" si="280"/>
        <v>24/07/2026Canberra Olympic U23Queanbeyan City FC U23</v>
      </c>
      <c r="B868" t="s">
        <v>810</v>
      </c>
      <c r="C868" t="s">
        <v>909</v>
      </c>
      <c r="D868" s="2">
        <v>46228</v>
      </c>
      <c r="E868" s="3">
        <v>8.3333333333333329E-2</v>
      </c>
      <c r="F868" t="s">
        <v>2323</v>
      </c>
      <c r="G868" t="s">
        <v>2324</v>
      </c>
      <c r="H868">
        <v>0</v>
      </c>
      <c r="I868">
        <v>0</v>
      </c>
      <c r="J868">
        <v>1</v>
      </c>
      <c r="K868">
        <v>3</v>
      </c>
      <c r="L868" s="30" t="str">
        <f t="shared" si="298"/>
        <v>24/07/2026</v>
      </c>
      <c r="M868" s="31">
        <f t="shared" si="299"/>
        <v>0.95833333333333326</v>
      </c>
      <c r="N868" t="str">
        <f t="shared" si="281"/>
        <v>1 - 3</v>
      </c>
      <c r="O868" t="str">
        <f t="shared" si="282"/>
        <v>Red</v>
      </c>
      <c r="P868" t="str">
        <f t="shared" si="283"/>
        <v>Red</v>
      </c>
      <c r="Q868" t="str">
        <f t="shared" si="284"/>
        <v>Green</v>
      </c>
      <c r="R868" t="str">
        <f t="shared" si="285"/>
        <v>Red</v>
      </c>
      <c r="S868" t="str">
        <f t="shared" si="286"/>
        <v>Green</v>
      </c>
      <c r="T868" t="str">
        <f t="shared" si="287"/>
        <v>Green</v>
      </c>
      <c r="U868" t="str">
        <f t="shared" si="288"/>
        <v>Red</v>
      </c>
      <c r="V868" t="str">
        <f t="shared" si="289"/>
        <v>Green</v>
      </c>
      <c r="W868" t="str">
        <f t="shared" si="290"/>
        <v>Red</v>
      </c>
      <c r="X868" t="str">
        <f t="shared" si="291"/>
        <v>Red</v>
      </c>
      <c r="Y868" t="str">
        <f t="shared" si="292"/>
        <v>Green</v>
      </c>
      <c r="Z868" t="str">
        <f t="shared" si="293"/>
        <v>Green</v>
      </c>
      <c r="AA868" t="str">
        <f t="shared" si="294"/>
        <v>Red</v>
      </c>
      <c r="AB868" t="str">
        <f t="shared" si="295"/>
        <v>Red</v>
      </c>
      <c r="AC868" t="str">
        <f t="shared" si="296"/>
        <v>Green</v>
      </c>
      <c r="AD868" t="str">
        <f t="shared" si="297"/>
        <v>Red</v>
      </c>
    </row>
    <row r="869" spans="1:30" x14ac:dyDescent="0.2">
      <c r="A869" t="str">
        <f t="shared" si="280"/>
        <v>24/07/2026Vancouver LangleyCavalry FC</v>
      </c>
      <c r="D869" s="2">
        <v>46228</v>
      </c>
      <c r="E869" s="3">
        <v>8.3333333333333329E-2</v>
      </c>
      <c r="F869" t="s">
        <v>2390</v>
      </c>
      <c r="G869" t="s">
        <v>212</v>
      </c>
      <c r="H869">
        <v>0</v>
      </c>
      <c r="I869">
        <v>0</v>
      </c>
      <c r="J869">
        <v>1</v>
      </c>
      <c r="K869">
        <v>0</v>
      </c>
      <c r="L869" s="30" t="str">
        <f t="shared" si="298"/>
        <v>24/07/2026</v>
      </c>
      <c r="M869" s="31">
        <f t="shared" si="299"/>
        <v>0.95833333333333326</v>
      </c>
      <c r="N869" t="str">
        <f t="shared" si="281"/>
        <v>1 - 0</v>
      </c>
      <c r="O869" t="str">
        <f t="shared" si="282"/>
        <v>Green</v>
      </c>
      <c r="P869" t="str">
        <f t="shared" si="283"/>
        <v>Red</v>
      </c>
      <c r="Q869" t="str">
        <f t="shared" si="284"/>
        <v>Red</v>
      </c>
      <c r="R869" t="str">
        <f t="shared" si="285"/>
        <v>Green</v>
      </c>
      <c r="S869" t="str">
        <f t="shared" si="286"/>
        <v>Red</v>
      </c>
      <c r="T869" t="str">
        <f t="shared" si="287"/>
        <v>Green</v>
      </c>
      <c r="U869" t="str">
        <f t="shared" si="288"/>
        <v>Red</v>
      </c>
      <c r="V869" t="str">
        <f t="shared" si="289"/>
        <v>Green</v>
      </c>
      <c r="W869" t="str">
        <f t="shared" si="290"/>
        <v>Red</v>
      </c>
      <c r="X869" t="str">
        <f t="shared" si="291"/>
        <v>Red</v>
      </c>
      <c r="Y869" t="str">
        <f t="shared" si="292"/>
        <v>Red</v>
      </c>
      <c r="Z869" t="str">
        <f t="shared" si="293"/>
        <v>Red</v>
      </c>
      <c r="AA869" t="str">
        <f t="shared" si="294"/>
        <v>Green</v>
      </c>
      <c r="AB869" t="str">
        <f t="shared" si="295"/>
        <v>Green</v>
      </c>
      <c r="AC869" t="str">
        <f t="shared" si="296"/>
        <v>Red</v>
      </c>
      <c r="AD869" t="str">
        <f t="shared" si="297"/>
        <v>Green</v>
      </c>
    </row>
    <row r="870" spans="1:30" x14ac:dyDescent="0.2">
      <c r="A870" t="str">
        <f t="shared" si="280"/>
        <v>24/07/2026Deportivo SaprissaPerez Zeledon</v>
      </c>
      <c r="D870" s="2">
        <v>46228</v>
      </c>
      <c r="E870" s="3">
        <v>8.3333333333333329E-2</v>
      </c>
      <c r="F870" t="s">
        <v>2399</v>
      </c>
      <c r="G870" t="s">
        <v>2400</v>
      </c>
      <c r="H870">
        <v>0</v>
      </c>
      <c r="I870">
        <v>0</v>
      </c>
      <c r="J870">
        <v>5</v>
      </c>
      <c r="K870">
        <v>1</v>
      </c>
      <c r="L870" s="30" t="str">
        <f t="shared" si="298"/>
        <v>24/07/2026</v>
      </c>
      <c r="M870" s="31">
        <f t="shared" si="299"/>
        <v>0.95833333333333326</v>
      </c>
      <c r="N870" t="str">
        <f t="shared" si="281"/>
        <v>5 - 1</v>
      </c>
      <c r="O870" t="str">
        <f t="shared" si="282"/>
        <v>Green</v>
      </c>
      <c r="P870" t="str">
        <f t="shared" si="283"/>
        <v>Red</v>
      </c>
      <c r="Q870" t="str">
        <f t="shared" si="284"/>
        <v>Red</v>
      </c>
      <c r="R870" t="str">
        <f t="shared" si="285"/>
        <v>Green</v>
      </c>
      <c r="S870" t="str">
        <f t="shared" si="286"/>
        <v>Red</v>
      </c>
      <c r="T870" t="str">
        <f t="shared" si="287"/>
        <v>Green</v>
      </c>
      <c r="U870" t="str">
        <f t="shared" si="288"/>
        <v>Red</v>
      </c>
      <c r="V870" t="str">
        <f t="shared" si="289"/>
        <v>Green</v>
      </c>
      <c r="W870" t="str">
        <f t="shared" si="290"/>
        <v>Red</v>
      </c>
      <c r="X870" t="str">
        <f t="shared" si="291"/>
        <v>Red</v>
      </c>
      <c r="Y870" t="str">
        <f t="shared" si="292"/>
        <v>Green</v>
      </c>
      <c r="Z870" t="str">
        <f t="shared" si="293"/>
        <v>Green</v>
      </c>
      <c r="AA870" t="str">
        <f t="shared" si="294"/>
        <v>Red</v>
      </c>
      <c r="AB870" t="str">
        <f t="shared" si="295"/>
        <v>Red</v>
      </c>
      <c r="AC870" t="str">
        <f t="shared" si="296"/>
        <v>Green</v>
      </c>
      <c r="AD870" t="str">
        <f t="shared" si="297"/>
        <v>Red</v>
      </c>
    </row>
    <row r="871" spans="1:30" x14ac:dyDescent="0.2">
      <c r="A871" t="str">
        <f t="shared" si="280"/>
        <v>24/07/2026CSD MunicipalDeportivo Mixco</v>
      </c>
      <c r="D871" s="2">
        <v>46228</v>
      </c>
      <c r="E871" s="3">
        <v>8.3333333333333329E-2</v>
      </c>
      <c r="F871" t="s">
        <v>2484</v>
      </c>
      <c r="G871" t="s">
        <v>2485</v>
      </c>
      <c r="H871">
        <v>1</v>
      </c>
      <c r="I871">
        <v>0</v>
      </c>
      <c r="J871">
        <v>2</v>
      </c>
      <c r="K871">
        <v>0</v>
      </c>
      <c r="L871" s="30" t="str">
        <f t="shared" si="298"/>
        <v>24/07/2026</v>
      </c>
      <c r="M871" s="31">
        <f t="shared" si="299"/>
        <v>0.95833333333333326</v>
      </c>
      <c r="N871" t="str">
        <f t="shared" si="281"/>
        <v>2 - 0</v>
      </c>
      <c r="O871" t="str">
        <f t="shared" si="282"/>
        <v>Green</v>
      </c>
      <c r="P871" t="str">
        <f t="shared" si="283"/>
        <v>Red</v>
      </c>
      <c r="Q871" t="str">
        <f t="shared" si="284"/>
        <v>Red</v>
      </c>
      <c r="R871" t="str">
        <f t="shared" si="285"/>
        <v>Green</v>
      </c>
      <c r="S871" t="str">
        <f t="shared" si="286"/>
        <v>Red</v>
      </c>
      <c r="T871" t="str">
        <f t="shared" si="287"/>
        <v>Green</v>
      </c>
      <c r="U871" t="str">
        <f t="shared" si="288"/>
        <v>Green</v>
      </c>
      <c r="V871" t="str">
        <f t="shared" si="289"/>
        <v>Red</v>
      </c>
      <c r="W871" t="str">
        <f t="shared" si="290"/>
        <v>Red</v>
      </c>
      <c r="X871" t="str">
        <f t="shared" si="291"/>
        <v>Green</v>
      </c>
      <c r="Y871" t="str">
        <f t="shared" si="292"/>
        <v>Green</v>
      </c>
      <c r="Z871" t="str">
        <f t="shared" si="293"/>
        <v>Red</v>
      </c>
      <c r="AA871" t="str">
        <f t="shared" si="294"/>
        <v>Green</v>
      </c>
      <c r="AB871" t="str">
        <f t="shared" si="295"/>
        <v>Green</v>
      </c>
      <c r="AC871" t="str">
        <f t="shared" si="296"/>
        <v>Red</v>
      </c>
      <c r="AD871" t="str">
        <f t="shared" si="297"/>
        <v>Green</v>
      </c>
    </row>
    <row r="872" spans="1:30" x14ac:dyDescent="0.2">
      <c r="A872" t="str">
        <f t="shared" si="280"/>
        <v>24/07/2026Portland Thorns WomenSky Blue Women</v>
      </c>
      <c r="D872" s="2">
        <v>46228</v>
      </c>
      <c r="E872" s="3">
        <v>8.3333333333333329E-2</v>
      </c>
      <c r="F872" t="s">
        <v>2627</v>
      </c>
      <c r="G872" t="s">
        <v>2628</v>
      </c>
      <c r="H872">
        <v>1</v>
      </c>
      <c r="I872">
        <v>1</v>
      </c>
      <c r="J872">
        <v>2</v>
      </c>
      <c r="K872">
        <v>2</v>
      </c>
      <c r="L872" s="30" t="str">
        <f t="shared" si="298"/>
        <v>24/07/2026</v>
      </c>
      <c r="M872" s="31">
        <f t="shared" si="299"/>
        <v>0.95833333333333326</v>
      </c>
      <c r="N872" t="str">
        <f t="shared" si="281"/>
        <v>2 - 2</v>
      </c>
      <c r="O872" t="str">
        <f t="shared" si="282"/>
        <v>Red</v>
      </c>
      <c r="P872" t="str">
        <f t="shared" si="283"/>
        <v>Green</v>
      </c>
      <c r="Q872" t="str">
        <f t="shared" si="284"/>
        <v>Red</v>
      </c>
      <c r="R872" t="str">
        <f t="shared" si="285"/>
        <v>Green</v>
      </c>
      <c r="S872" t="str">
        <f t="shared" si="286"/>
        <v>Green</v>
      </c>
      <c r="T872" t="str">
        <f t="shared" si="287"/>
        <v>Red</v>
      </c>
      <c r="U872" t="str">
        <f t="shared" si="288"/>
        <v>Red</v>
      </c>
      <c r="V872" t="str">
        <f t="shared" si="289"/>
        <v>Green</v>
      </c>
      <c r="W872" t="str">
        <f t="shared" si="290"/>
        <v>Red</v>
      </c>
      <c r="X872" t="str">
        <f t="shared" si="291"/>
        <v>Green</v>
      </c>
      <c r="Y872" t="str">
        <f t="shared" si="292"/>
        <v>Green</v>
      </c>
      <c r="Z872" t="str">
        <f t="shared" si="293"/>
        <v>Green</v>
      </c>
      <c r="AA872" t="str">
        <f t="shared" si="294"/>
        <v>Red</v>
      </c>
      <c r="AB872" t="str">
        <f t="shared" si="295"/>
        <v>Red</v>
      </c>
      <c r="AC872" t="str">
        <f t="shared" si="296"/>
        <v>Green</v>
      </c>
      <c r="AD872" t="str">
        <f t="shared" si="297"/>
        <v>Red</v>
      </c>
    </row>
    <row r="873" spans="1:30" x14ac:dyDescent="0.2">
      <c r="A873" t="str">
        <f t="shared" si="280"/>
        <v>24/07/2026Green Gully SC U23Dandenong City U23</v>
      </c>
      <c r="B873" t="s">
        <v>810</v>
      </c>
      <c r="C873" t="s">
        <v>2311</v>
      </c>
      <c r="D873" s="2">
        <v>46228</v>
      </c>
      <c r="E873" s="3">
        <v>0.10416666666666667</v>
      </c>
      <c r="F873" t="s">
        <v>2314</v>
      </c>
      <c r="G873" t="s">
        <v>2315</v>
      </c>
      <c r="H873">
        <v>4</v>
      </c>
      <c r="I873">
        <v>1</v>
      </c>
      <c r="J873">
        <v>4</v>
      </c>
      <c r="K873">
        <v>1</v>
      </c>
      <c r="L873" s="30" t="str">
        <f>DAY(D873)-1&amp;"/"&amp;"07"&amp;"/"&amp;YEAR(D873)</f>
        <v>24/07/2026</v>
      </c>
      <c r="M873" s="31">
        <f>E873-TIME(3,0,0)+TIME(12,0,0)+TIME(12,0,0)</f>
        <v>0.97916666666666674</v>
      </c>
      <c r="N873" t="str">
        <f t="shared" si="281"/>
        <v>4 - 1</v>
      </c>
      <c r="O873" t="str">
        <f t="shared" si="282"/>
        <v>Green</v>
      </c>
      <c r="P873" t="str">
        <f t="shared" si="283"/>
        <v>Red</v>
      </c>
      <c r="Q873" t="str">
        <f t="shared" si="284"/>
        <v>Red</v>
      </c>
      <c r="R873" t="str">
        <f t="shared" si="285"/>
        <v>Green</v>
      </c>
      <c r="S873" t="str">
        <f t="shared" si="286"/>
        <v>Red</v>
      </c>
      <c r="T873" t="str">
        <f t="shared" si="287"/>
        <v>Green</v>
      </c>
      <c r="U873" t="str">
        <f t="shared" si="288"/>
        <v>Green</v>
      </c>
      <c r="V873" t="str">
        <f t="shared" si="289"/>
        <v>Red</v>
      </c>
      <c r="W873" t="str">
        <f t="shared" si="290"/>
        <v>Red</v>
      </c>
      <c r="X873" t="str">
        <f t="shared" si="291"/>
        <v>Green</v>
      </c>
      <c r="Y873" t="str">
        <f t="shared" si="292"/>
        <v>Green</v>
      </c>
      <c r="Z873" t="str">
        <f t="shared" si="293"/>
        <v>Green</v>
      </c>
      <c r="AA873" t="str">
        <f t="shared" si="294"/>
        <v>Red</v>
      </c>
      <c r="AB873" t="str">
        <f t="shared" si="295"/>
        <v>Red</v>
      </c>
      <c r="AC873" t="str">
        <f t="shared" si="296"/>
        <v>Green</v>
      </c>
      <c r="AD873" t="str">
        <f t="shared" si="297"/>
        <v>Red</v>
      </c>
    </row>
    <row r="874" spans="1:30" x14ac:dyDescent="0.2">
      <c r="A874" t="str">
        <f t="shared" si="280"/>
        <v>24/07/2026Melbourne City U23Avondale Heights U23</v>
      </c>
      <c r="B874" t="s">
        <v>810</v>
      </c>
      <c r="C874" t="s">
        <v>2311</v>
      </c>
      <c r="D874" s="2">
        <v>46228</v>
      </c>
      <c r="E874" s="3">
        <v>0.10416666666666667</v>
      </c>
      <c r="F874" t="s">
        <v>2316</v>
      </c>
      <c r="G874" t="s">
        <v>2317</v>
      </c>
      <c r="H874">
        <v>2</v>
      </c>
      <c r="I874">
        <v>1</v>
      </c>
      <c r="J874">
        <v>4</v>
      </c>
      <c r="K874">
        <v>3</v>
      </c>
      <c r="L874" s="30" t="str">
        <f>DAY(D874)-1&amp;"/"&amp;"07"&amp;"/"&amp;YEAR(D874)</f>
        <v>24/07/2026</v>
      </c>
      <c r="M874" s="31">
        <f>E874-TIME(3,0,0)+TIME(12,0,0)+TIME(12,0,0)</f>
        <v>0.97916666666666674</v>
      </c>
      <c r="N874" t="str">
        <f t="shared" si="281"/>
        <v>4 - 3</v>
      </c>
      <c r="O874" t="str">
        <f t="shared" si="282"/>
        <v>Green</v>
      </c>
      <c r="P874" t="str">
        <f t="shared" si="283"/>
        <v>Red</v>
      </c>
      <c r="Q874" t="str">
        <f t="shared" si="284"/>
        <v>Red</v>
      </c>
      <c r="R874" t="str">
        <f t="shared" si="285"/>
        <v>Green</v>
      </c>
      <c r="S874" t="str">
        <f t="shared" si="286"/>
        <v>Red</v>
      </c>
      <c r="T874" t="str">
        <f t="shared" si="287"/>
        <v>Green</v>
      </c>
      <c r="U874" t="str">
        <f t="shared" si="288"/>
        <v>Green</v>
      </c>
      <c r="V874" t="str">
        <f t="shared" si="289"/>
        <v>Red</v>
      </c>
      <c r="W874" t="str">
        <f t="shared" si="290"/>
        <v>Red</v>
      </c>
      <c r="X874" t="str">
        <f t="shared" si="291"/>
        <v>Green</v>
      </c>
      <c r="Y874" t="str">
        <f t="shared" si="292"/>
        <v>Green</v>
      </c>
      <c r="Z874" t="str">
        <f t="shared" si="293"/>
        <v>Green</v>
      </c>
      <c r="AA874" t="str">
        <f t="shared" si="294"/>
        <v>Red</v>
      </c>
      <c r="AB874" t="str">
        <f t="shared" si="295"/>
        <v>Red</v>
      </c>
      <c r="AC874" t="str">
        <f t="shared" si="296"/>
        <v>Green</v>
      </c>
      <c r="AD874" t="str">
        <f t="shared" si="297"/>
        <v>Red</v>
      </c>
    </row>
    <row r="875" spans="1:30" x14ac:dyDescent="0.2">
      <c r="A875" t="str">
        <f t="shared" si="280"/>
        <v>24/07/2026St Albans Saints U23Hume City U23</v>
      </c>
      <c r="B875" t="s">
        <v>810</v>
      </c>
      <c r="C875" t="s">
        <v>2311</v>
      </c>
      <c r="D875" s="2">
        <v>46228</v>
      </c>
      <c r="E875" s="3">
        <v>0.10416666666666667</v>
      </c>
      <c r="F875" t="s">
        <v>2318</v>
      </c>
      <c r="G875" t="s">
        <v>2319</v>
      </c>
      <c r="L875" s="30" t="str">
        <f>DAY(D875)-1&amp;"/"&amp;"07"&amp;"/"&amp;YEAR(D875)</f>
        <v>24/07/2026</v>
      </c>
      <c r="M875" s="31">
        <f>E875-TIME(3,0,0)+TIME(12,0,0)+TIME(12,0,0)</f>
        <v>0.97916666666666674</v>
      </c>
      <c r="N875" t="str">
        <f t="shared" si="281"/>
        <v xml:space="preserve"> - </v>
      </c>
      <c r="O875" t="str">
        <f t="shared" si="282"/>
        <v>Red</v>
      </c>
      <c r="P875" t="str">
        <f t="shared" si="283"/>
        <v>Green</v>
      </c>
      <c r="Q875" t="str">
        <f t="shared" si="284"/>
        <v>Red</v>
      </c>
      <c r="R875" t="str">
        <f t="shared" si="285"/>
        <v>Green</v>
      </c>
      <c r="S875" t="str">
        <f t="shared" si="286"/>
        <v>Green</v>
      </c>
      <c r="T875" t="str">
        <f t="shared" si="287"/>
        <v>Red</v>
      </c>
      <c r="U875" t="str">
        <f t="shared" si="288"/>
        <v>Red</v>
      </c>
      <c r="V875" t="str">
        <f t="shared" si="289"/>
        <v>Green</v>
      </c>
      <c r="W875" t="str">
        <f t="shared" si="290"/>
        <v>Red</v>
      </c>
      <c r="X875" t="str">
        <f t="shared" si="291"/>
        <v>Red</v>
      </c>
      <c r="Y875" t="str">
        <f t="shared" si="292"/>
        <v>Red</v>
      </c>
      <c r="Z875" t="str">
        <f t="shared" si="293"/>
        <v>Red</v>
      </c>
      <c r="AA875" t="str">
        <f t="shared" si="294"/>
        <v>Green</v>
      </c>
      <c r="AB875" t="str">
        <f t="shared" si="295"/>
        <v>Green</v>
      </c>
      <c r="AC875" t="str">
        <f t="shared" si="296"/>
        <v>Red</v>
      </c>
      <c r="AD875" t="str">
        <f t="shared" si="297"/>
        <v>Green</v>
      </c>
    </row>
    <row r="876" spans="1:30" x14ac:dyDescent="0.2">
      <c r="A876" t="str">
        <f t="shared" si="280"/>
        <v>24/07/2026Brindabella Blues U23Canberra White Eagles U23</v>
      </c>
      <c r="B876" t="s">
        <v>810</v>
      </c>
      <c r="C876" t="s">
        <v>909</v>
      </c>
      <c r="D876" s="2">
        <v>46228</v>
      </c>
      <c r="E876" s="3">
        <v>0.11458333333333333</v>
      </c>
      <c r="F876" t="s">
        <v>2325</v>
      </c>
      <c r="G876" t="s">
        <v>911</v>
      </c>
      <c r="H876">
        <v>0</v>
      </c>
      <c r="I876">
        <v>1</v>
      </c>
      <c r="J876">
        <v>0</v>
      </c>
      <c r="K876">
        <v>1</v>
      </c>
      <c r="L876" s="30" t="str">
        <f>DAY(D876)-1&amp;"/"&amp;"07"&amp;"/"&amp;YEAR(D876)</f>
        <v>24/07/2026</v>
      </c>
      <c r="M876" s="31">
        <f>E876-TIME(3,0,0)+TIME(12,0,0)+TIME(12,0,0)</f>
        <v>0.98958333333333326</v>
      </c>
      <c r="N876" t="str">
        <f t="shared" si="281"/>
        <v>0 - 1</v>
      </c>
      <c r="O876" t="str">
        <f t="shared" si="282"/>
        <v>Red</v>
      </c>
      <c r="P876" t="str">
        <f t="shared" si="283"/>
        <v>Red</v>
      </c>
      <c r="Q876" t="str">
        <f t="shared" si="284"/>
        <v>Green</v>
      </c>
      <c r="R876" t="str">
        <f t="shared" si="285"/>
        <v>Red</v>
      </c>
      <c r="S876" t="str">
        <f t="shared" si="286"/>
        <v>Green</v>
      </c>
      <c r="T876" t="str">
        <f t="shared" si="287"/>
        <v>Green</v>
      </c>
      <c r="U876" t="str">
        <f t="shared" si="288"/>
        <v>Red</v>
      </c>
      <c r="V876" t="str">
        <f t="shared" si="289"/>
        <v>Red</v>
      </c>
      <c r="W876" t="str">
        <f t="shared" si="290"/>
        <v>Green</v>
      </c>
      <c r="X876" t="str">
        <f t="shared" si="291"/>
        <v>Green</v>
      </c>
      <c r="Y876" t="str">
        <f t="shared" si="292"/>
        <v>Red</v>
      </c>
      <c r="Z876" t="str">
        <f t="shared" si="293"/>
        <v>Red</v>
      </c>
      <c r="AA876" t="str">
        <f t="shared" si="294"/>
        <v>Green</v>
      </c>
      <c r="AB876" t="str">
        <f t="shared" si="295"/>
        <v>Green</v>
      </c>
      <c r="AC876" t="str">
        <f t="shared" si="296"/>
        <v>Red</v>
      </c>
      <c r="AD876" t="str">
        <f t="shared" si="297"/>
        <v>Green</v>
      </c>
    </row>
    <row r="877" spans="1:30" x14ac:dyDescent="0.2">
      <c r="A877" t="str">
        <f t="shared" si="280"/>
        <v>25/07/2026AtlanteClub America</v>
      </c>
      <c r="D877" s="2">
        <v>46228</v>
      </c>
      <c r="E877" s="3">
        <v>0.125</v>
      </c>
      <c r="F877" t="s">
        <v>2512</v>
      </c>
      <c r="G877" t="s">
        <v>2513</v>
      </c>
      <c r="H877">
        <v>0</v>
      </c>
      <c r="I877">
        <v>1</v>
      </c>
      <c r="J877">
        <v>1</v>
      </c>
      <c r="K877">
        <v>1</v>
      </c>
      <c r="L877" s="22" t="str">
        <f>DAY(D877)&amp;"/"&amp;"07"&amp;"/"&amp;YEAR(D877)</f>
        <v>25/07/2026</v>
      </c>
      <c r="M877" s="23">
        <f>E877-TIME(3,0,0)</f>
        <v>0</v>
      </c>
      <c r="N877" t="str">
        <f t="shared" si="281"/>
        <v>1 - 1</v>
      </c>
      <c r="O877" t="str">
        <f t="shared" si="282"/>
        <v>Red</v>
      </c>
      <c r="P877" t="str">
        <f t="shared" si="283"/>
        <v>Green</v>
      </c>
      <c r="Q877" t="str">
        <f t="shared" si="284"/>
        <v>Red</v>
      </c>
      <c r="R877" t="str">
        <f t="shared" si="285"/>
        <v>Green</v>
      </c>
      <c r="S877" t="str">
        <f t="shared" si="286"/>
        <v>Green</v>
      </c>
      <c r="T877" t="str">
        <f t="shared" si="287"/>
        <v>Red</v>
      </c>
      <c r="U877" t="str">
        <f t="shared" si="288"/>
        <v>Red</v>
      </c>
      <c r="V877" t="str">
        <f t="shared" si="289"/>
        <v>Red</v>
      </c>
      <c r="W877" t="str">
        <f t="shared" si="290"/>
        <v>Green</v>
      </c>
      <c r="X877" t="str">
        <f t="shared" si="291"/>
        <v>Green</v>
      </c>
      <c r="Y877" t="str">
        <f t="shared" si="292"/>
        <v>Green</v>
      </c>
      <c r="Z877" t="str">
        <f t="shared" si="293"/>
        <v>Red</v>
      </c>
      <c r="AA877" t="str">
        <f t="shared" si="294"/>
        <v>Green</v>
      </c>
      <c r="AB877" t="str">
        <f t="shared" si="295"/>
        <v>Green</v>
      </c>
      <c r="AC877" t="str">
        <f t="shared" si="296"/>
        <v>Green</v>
      </c>
      <c r="AD877" t="str">
        <f t="shared" si="297"/>
        <v>Red</v>
      </c>
    </row>
    <row r="878" spans="1:30" x14ac:dyDescent="0.2">
      <c r="A878" t="str">
        <f t="shared" si="280"/>
        <v>25/07/2026Club TijuanaClub Leon</v>
      </c>
      <c r="D878" s="2">
        <v>46228</v>
      </c>
      <c r="E878" s="3">
        <v>0.125</v>
      </c>
      <c r="F878" t="s">
        <v>2514</v>
      </c>
      <c r="G878" t="s">
        <v>2515</v>
      </c>
      <c r="H878">
        <v>0</v>
      </c>
      <c r="I878">
        <v>0</v>
      </c>
      <c r="J878">
        <v>1</v>
      </c>
      <c r="K878">
        <v>0</v>
      </c>
      <c r="L878" s="22" t="str">
        <f>DAY(D878)&amp;"/"&amp;"07"&amp;"/"&amp;YEAR(D878)</f>
        <v>25/07/2026</v>
      </c>
      <c r="M878" s="23">
        <f>E878-TIME(3,0,0)</f>
        <v>0</v>
      </c>
      <c r="N878" t="str">
        <f t="shared" si="281"/>
        <v>1 - 0</v>
      </c>
      <c r="O878" t="str">
        <f t="shared" si="282"/>
        <v>Green</v>
      </c>
      <c r="P878" t="str">
        <f t="shared" si="283"/>
        <v>Red</v>
      </c>
      <c r="Q878" t="str">
        <f t="shared" si="284"/>
        <v>Red</v>
      </c>
      <c r="R878" t="str">
        <f t="shared" si="285"/>
        <v>Green</v>
      </c>
      <c r="S878" t="str">
        <f t="shared" si="286"/>
        <v>Red</v>
      </c>
      <c r="T878" t="str">
        <f t="shared" si="287"/>
        <v>Green</v>
      </c>
      <c r="U878" t="str">
        <f t="shared" si="288"/>
        <v>Red</v>
      </c>
      <c r="V878" t="str">
        <f t="shared" si="289"/>
        <v>Green</v>
      </c>
      <c r="W878" t="str">
        <f t="shared" si="290"/>
        <v>Red</v>
      </c>
      <c r="X878" t="str">
        <f t="shared" si="291"/>
        <v>Red</v>
      </c>
      <c r="Y878" t="str">
        <f t="shared" si="292"/>
        <v>Red</v>
      </c>
      <c r="Z878" t="str">
        <f t="shared" si="293"/>
        <v>Red</v>
      </c>
      <c r="AA878" t="str">
        <f t="shared" si="294"/>
        <v>Green</v>
      </c>
      <c r="AB878" t="str">
        <f t="shared" si="295"/>
        <v>Green</v>
      </c>
      <c r="AC878" t="str">
        <f t="shared" si="296"/>
        <v>Red</v>
      </c>
      <c r="AD878" t="str">
        <f t="shared" si="297"/>
        <v>Green</v>
      </c>
    </row>
    <row r="879" spans="1:30" x14ac:dyDescent="0.2">
      <c r="A879" t="str">
        <f t="shared" ref="A879:A942" si="300">L878&amp;F879&amp;G879</f>
        <v>25/07/2026Cooks Hill UnitedLambton Jaffas</v>
      </c>
      <c r="B879" t="s">
        <v>810</v>
      </c>
      <c r="C879" t="s">
        <v>893</v>
      </c>
      <c r="D879" s="2">
        <v>46228</v>
      </c>
      <c r="E879" s="3">
        <v>0.16666666666666666</v>
      </c>
      <c r="F879" t="s">
        <v>491</v>
      </c>
      <c r="G879" t="s">
        <v>492</v>
      </c>
      <c r="H879">
        <v>0</v>
      </c>
      <c r="I879">
        <v>0</v>
      </c>
      <c r="J879">
        <v>1</v>
      </c>
      <c r="K879">
        <v>0</v>
      </c>
      <c r="L879" s="22" t="str">
        <f t="shared" ref="L879:L942" si="301">DAY(D879)&amp;"/"&amp;"07"&amp;"/"&amp;YEAR(D879)</f>
        <v>25/07/2026</v>
      </c>
      <c r="M879" s="23">
        <f t="shared" ref="M879:M942" si="302">E879-TIME(3,0,0)</f>
        <v>4.1666666666666657E-2</v>
      </c>
      <c r="N879" t="str">
        <f t="shared" ref="N879:N942" si="303">J879&amp;" - "&amp;K879</f>
        <v>1 - 0</v>
      </c>
      <c r="O879" t="str">
        <f t="shared" si="282"/>
        <v>Green</v>
      </c>
      <c r="P879" t="str">
        <f t="shared" si="283"/>
        <v>Red</v>
      </c>
      <c r="Q879" t="str">
        <f t="shared" si="284"/>
        <v>Red</v>
      </c>
      <c r="R879" t="str">
        <f t="shared" si="285"/>
        <v>Green</v>
      </c>
      <c r="S879" t="str">
        <f t="shared" si="286"/>
        <v>Red</v>
      </c>
      <c r="T879" t="str">
        <f t="shared" si="287"/>
        <v>Green</v>
      </c>
      <c r="U879" t="str">
        <f t="shared" si="288"/>
        <v>Red</v>
      </c>
      <c r="V879" t="str">
        <f t="shared" si="289"/>
        <v>Green</v>
      </c>
      <c r="W879" t="str">
        <f t="shared" si="290"/>
        <v>Red</v>
      </c>
      <c r="X879" t="str">
        <f t="shared" si="291"/>
        <v>Red</v>
      </c>
      <c r="Y879" t="str">
        <f t="shared" si="292"/>
        <v>Red</v>
      </c>
      <c r="Z879" t="str">
        <f t="shared" si="293"/>
        <v>Red</v>
      </c>
      <c r="AA879" t="str">
        <f t="shared" si="294"/>
        <v>Green</v>
      </c>
      <c r="AB879" t="str">
        <f t="shared" si="295"/>
        <v>Green</v>
      </c>
      <c r="AC879" t="str">
        <f t="shared" si="296"/>
        <v>Red</v>
      </c>
      <c r="AD879" t="str">
        <f t="shared" si="297"/>
        <v>Green</v>
      </c>
    </row>
    <row r="880" spans="1:30" x14ac:dyDescent="0.2">
      <c r="A880" t="str">
        <f t="shared" si="300"/>
        <v>25/07/2026Weston WorkersAdamstown Rosebud</v>
      </c>
      <c r="B880" t="s">
        <v>810</v>
      </c>
      <c r="C880" t="s">
        <v>893</v>
      </c>
      <c r="D880" s="2">
        <v>46228</v>
      </c>
      <c r="E880" s="3">
        <v>0.16666666666666666</v>
      </c>
      <c r="F880" t="s">
        <v>2801</v>
      </c>
      <c r="G880" t="s">
        <v>2802</v>
      </c>
      <c r="L880" s="22" t="str">
        <f t="shared" si="301"/>
        <v>25/07/2026</v>
      </c>
      <c r="M880" s="23">
        <f t="shared" si="302"/>
        <v>4.1666666666666657E-2</v>
      </c>
      <c r="N880" t="str">
        <f t="shared" si="303"/>
        <v xml:space="preserve"> - </v>
      </c>
      <c r="O880" t="str">
        <f t="shared" si="282"/>
        <v>Red</v>
      </c>
      <c r="P880" t="str">
        <f t="shared" si="283"/>
        <v>Green</v>
      </c>
      <c r="Q880" t="str">
        <f t="shared" si="284"/>
        <v>Red</v>
      </c>
      <c r="R880" t="str">
        <f t="shared" si="285"/>
        <v>Green</v>
      </c>
      <c r="S880" t="str">
        <f t="shared" si="286"/>
        <v>Green</v>
      </c>
      <c r="T880" t="str">
        <f t="shared" si="287"/>
        <v>Red</v>
      </c>
      <c r="U880" t="str">
        <f t="shared" si="288"/>
        <v>Red</v>
      </c>
      <c r="V880" t="str">
        <f t="shared" si="289"/>
        <v>Green</v>
      </c>
      <c r="W880" t="str">
        <f t="shared" si="290"/>
        <v>Red</v>
      </c>
      <c r="X880" t="str">
        <f t="shared" si="291"/>
        <v>Red</v>
      </c>
      <c r="Y880" t="str">
        <f t="shared" si="292"/>
        <v>Red</v>
      </c>
      <c r="Z880" t="str">
        <f t="shared" si="293"/>
        <v>Red</v>
      </c>
      <c r="AA880" t="str">
        <f t="shared" si="294"/>
        <v>Green</v>
      </c>
      <c r="AB880" t="str">
        <f t="shared" si="295"/>
        <v>Green</v>
      </c>
      <c r="AC880" t="str">
        <f t="shared" si="296"/>
        <v>Red</v>
      </c>
      <c r="AD880" t="str">
        <f t="shared" si="297"/>
        <v>Green</v>
      </c>
    </row>
    <row r="881" spans="1:30" x14ac:dyDescent="0.2">
      <c r="A881" t="str">
        <f t="shared" si="300"/>
        <v>25/07/2026Port MelbourneNorthcote City</v>
      </c>
      <c r="B881" t="s">
        <v>810</v>
      </c>
      <c r="D881" s="2">
        <v>46228</v>
      </c>
      <c r="E881" s="3">
        <v>0.16666666666666666</v>
      </c>
      <c r="F881" t="s">
        <v>2817</v>
      </c>
      <c r="G881" t="s">
        <v>2818</v>
      </c>
      <c r="H881">
        <v>0</v>
      </c>
      <c r="I881">
        <v>2</v>
      </c>
      <c r="J881">
        <v>1</v>
      </c>
      <c r="K881">
        <v>3</v>
      </c>
      <c r="L881" s="22" t="str">
        <f t="shared" si="301"/>
        <v>25/07/2026</v>
      </c>
      <c r="M881" s="23">
        <f t="shared" si="302"/>
        <v>4.1666666666666657E-2</v>
      </c>
      <c r="N881" t="str">
        <f t="shared" si="303"/>
        <v>1 - 3</v>
      </c>
      <c r="O881" t="str">
        <f t="shared" si="282"/>
        <v>Red</v>
      </c>
      <c r="P881" t="str">
        <f t="shared" si="283"/>
        <v>Red</v>
      </c>
      <c r="Q881" t="str">
        <f t="shared" si="284"/>
        <v>Green</v>
      </c>
      <c r="R881" t="str">
        <f t="shared" si="285"/>
        <v>Red</v>
      </c>
      <c r="S881" t="str">
        <f t="shared" si="286"/>
        <v>Green</v>
      </c>
      <c r="T881" t="str">
        <f t="shared" si="287"/>
        <v>Green</v>
      </c>
      <c r="U881" t="str">
        <f t="shared" si="288"/>
        <v>Red</v>
      </c>
      <c r="V881" t="str">
        <f t="shared" si="289"/>
        <v>Red</v>
      </c>
      <c r="W881" t="str">
        <f t="shared" si="290"/>
        <v>Green</v>
      </c>
      <c r="X881" t="str">
        <f t="shared" si="291"/>
        <v>Green</v>
      </c>
      <c r="Y881" t="str">
        <f t="shared" si="292"/>
        <v>Green</v>
      </c>
      <c r="Z881" t="str">
        <f t="shared" si="293"/>
        <v>Green</v>
      </c>
      <c r="AA881" t="str">
        <f t="shared" si="294"/>
        <v>Red</v>
      </c>
      <c r="AB881" t="str">
        <f t="shared" si="295"/>
        <v>Red</v>
      </c>
      <c r="AC881" t="str">
        <f t="shared" si="296"/>
        <v>Green</v>
      </c>
      <c r="AD881" t="str">
        <f t="shared" si="297"/>
        <v>Red</v>
      </c>
    </row>
    <row r="882" spans="1:30" x14ac:dyDescent="0.2">
      <c r="A882" t="str">
        <f t="shared" si="300"/>
        <v xml:space="preserve">25/07/2026Moreland CityWerribee City </v>
      </c>
      <c r="B882" t="s">
        <v>810</v>
      </c>
      <c r="D882" s="2">
        <v>46228</v>
      </c>
      <c r="E882" s="3">
        <v>0.16666666666666666</v>
      </c>
      <c r="F882" t="s">
        <v>2823</v>
      </c>
      <c r="G882" t="s">
        <v>2824</v>
      </c>
      <c r="H882">
        <v>4</v>
      </c>
      <c r="I882">
        <v>0</v>
      </c>
      <c r="J882">
        <v>4</v>
      </c>
      <c r="K882">
        <v>4</v>
      </c>
      <c r="L882" s="22" t="str">
        <f t="shared" si="301"/>
        <v>25/07/2026</v>
      </c>
      <c r="M882" s="23">
        <f t="shared" si="302"/>
        <v>4.1666666666666657E-2</v>
      </c>
      <c r="N882" t="str">
        <f t="shared" si="303"/>
        <v>4 - 4</v>
      </c>
      <c r="O882" t="str">
        <f t="shared" si="282"/>
        <v>Red</v>
      </c>
      <c r="P882" t="str">
        <f t="shared" si="283"/>
        <v>Green</v>
      </c>
      <c r="Q882" t="str">
        <f t="shared" si="284"/>
        <v>Red</v>
      </c>
      <c r="R882" t="str">
        <f t="shared" si="285"/>
        <v>Green</v>
      </c>
      <c r="S882" t="str">
        <f t="shared" si="286"/>
        <v>Green</v>
      </c>
      <c r="T882" t="str">
        <f t="shared" si="287"/>
        <v>Red</v>
      </c>
      <c r="U882" t="str">
        <f t="shared" si="288"/>
        <v>Green</v>
      </c>
      <c r="V882" t="str">
        <f t="shared" si="289"/>
        <v>Red</v>
      </c>
      <c r="W882" t="str">
        <f t="shared" si="290"/>
        <v>Red</v>
      </c>
      <c r="X882" t="str">
        <f t="shared" si="291"/>
        <v>Green</v>
      </c>
      <c r="Y882" t="str">
        <f t="shared" si="292"/>
        <v>Green</v>
      </c>
      <c r="Z882" t="str">
        <f t="shared" si="293"/>
        <v>Green</v>
      </c>
      <c r="AA882" t="str">
        <f t="shared" si="294"/>
        <v>Red</v>
      </c>
      <c r="AB882" t="str">
        <f t="shared" si="295"/>
        <v>Red</v>
      </c>
      <c r="AC882" t="str">
        <f t="shared" si="296"/>
        <v>Green</v>
      </c>
      <c r="AD882" t="str">
        <f t="shared" si="297"/>
        <v>Red</v>
      </c>
    </row>
    <row r="883" spans="1:30" x14ac:dyDescent="0.2">
      <c r="A883" t="str">
        <f t="shared" si="300"/>
        <v>25/07/2026New Lambton FCLake Macquarie City</v>
      </c>
      <c r="B883" t="s">
        <v>810</v>
      </c>
      <c r="D883" s="2">
        <v>46228</v>
      </c>
      <c r="E883" s="3">
        <v>0.16666666666666666</v>
      </c>
      <c r="F883" t="s">
        <v>2884</v>
      </c>
      <c r="G883" t="s">
        <v>2885</v>
      </c>
      <c r="H883">
        <v>0</v>
      </c>
      <c r="I883">
        <v>4</v>
      </c>
      <c r="J883">
        <v>1</v>
      </c>
      <c r="K883">
        <v>5</v>
      </c>
      <c r="L883" s="22" t="str">
        <f t="shared" si="301"/>
        <v>25/07/2026</v>
      </c>
      <c r="M883" s="23">
        <f t="shared" si="302"/>
        <v>4.1666666666666657E-2</v>
      </c>
      <c r="N883" t="str">
        <f t="shared" si="303"/>
        <v>1 - 5</v>
      </c>
      <c r="O883" t="str">
        <f t="shared" si="282"/>
        <v>Red</v>
      </c>
      <c r="P883" t="str">
        <f t="shared" si="283"/>
        <v>Red</v>
      </c>
      <c r="Q883" t="str">
        <f t="shared" si="284"/>
        <v>Green</v>
      </c>
      <c r="R883" t="str">
        <f t="shared" si="285"/>
        <v>Red</v>
      </c>
      <c r="S883" t="str">
        <f t="shared" si="286"/>
        <v>Green</v>
      </c>
      <c r="T883" t="str">
        <f t="shared" si="287"/>
        <v>Green</v>
      </c>
      <c r="U883" t="str">
        <f t="shared" si="288"/>
        <v>Red</v>
      </c>
      <c r="V883" t="str">
        <f t="shared" si="289"/>
        <v>Red</v>
      </c>
      <c r="W883" t="str">
        <f t="shared" si="290"/>
        <v>Green</v>
      </c>
      <c r="X883" t="str">
        <f t="shared" si="291"/>
        <v>Green</v>
      </c>
      <c r="Y883" t="str">
        <f t="shared" si="292"/>
        <v>Green</v>
      </c>
      <c r="Z883" t="str">
        <f t="shared" si="293"/>
        <v>Green</v>
      </c>
      <c r="AA883" t="str">
        <f t="shared" si="294"/>
        <v>Red</v>
      </c>
      <c r="AB883" t="str">
        <f t="shared" si="295"/>
        <v>Red</v>
      </c>
      <c r="AC883" t="str">
        <f t="shared" si="296"/>
        <v>Green</v>
      </c>
      <c r="AD883" t="str">
        <f t="shared" si="297"/>
        <v>Red</v>
      </c>
    </row>
    <row r="884" spans="1:30" x14ac:dyDescent="0.2">
      <c r="A884" t="str">
        <f t="shared" si="300"/>
        <v>25/07/2026Charlestown City Blues WomenAdamstown Rosebud Women</v>
      </c>
      <c r="B884" t="s">
        <v>810</v>
      </c>
      <c r="D884" s="2">
        <v>46228</v>
      </c>
      <c r="E884" s="3">
        <v>0.16666666666666666</v>
      </c>
      <c r="F884" t="s">
        <v>2947</v>
      </c>
      <c r="G884" t="s">
        <v>2948</v>
      </c>
      <c r="H884">
        <v>0</v>
      </c>
      <c r="I884">
        <v>4</v>
      </c>
      <c r="J884">
        <v>2</v>
      </c>
      <c r="K884">
        <v>8</v>
      </c>
      <c r="L884" s="22" t="str">
        <f t="shared" si="301"/>
        <v>25/07/2026</v>
      </c>
      <c r="M884" s="23">
        <f t="shared" si="302"/>
        <v>4.1666666666666657E-2</v>
      </c>
      <c r="N884" t="str">
        <f t="shared" si="303"/>
        <v>2 - 8</v>
      </c>
      <c r="O884" t="str">
        <f t="shared" si="282"/>
        <v>Red</v>
      </c>
      <c r="P884" t="str">
        <f t="shared" si="283"/>
        <v>Red</v>
      </c>
      <c r="Q884" t="str">
        <f t="shared" si="284"/>
        <v>Green</v>
      </c>
      <c r="R884" t="str">
        <f t="shared" si="285"/>
        <v>Red</v>
      </c>
      <c r="S884" t="str">
        <f t="shared" si="286"/>
        <v>Green</v>
      </c>
      <c r="T884" t="str">
        <f t="shared" si="287"/>
        <v>Green</v>
      </c>
      <c r="U884" t="str">
        <f t="shared" si="288"/>
        <v>Red</v>
      </c>
      <c r="V884" t="str">
        <f t="shared" si="289"/>
        <v>Red</v>
      </c>
      <c r="W884" t="str">
        <f t="shared" si="290"/>
        <v>Green</v>
      </c>
      <c r="X884" t="str">
        <f t="shared" si="291"/>
        <v>Green</v>
      </c>
      <c r="Y884" t="str">
        <f t="shared" si="292"/>
        <v>Green</v>
      </c>
      <c r="Z884" t="str">
        <f t="shared" si="293"/>
        <v>Green</v>
      </c>
      <c r="AA884" t="str">
        <f t="shared" si="294"/>
        <v>Red</v>
      </c>
      <c r="AB884" t="str">
        <f t="shared" si="295"/>
        <v>Red</v>
      </c>
      <c r="AC884" t="str">
        <f t="shared" si="296"/>
        <v>Green</v>
      </c>
      <c r="AD884" t="str">
        <f t="shared" si="297"/>
        <v>Red</v>
      </c>
    </row>
    <row r="885" spans="1:30" x14ac:dyDescent="0.2">
      <c r="A885" t="str">
        <f t="shared" si="300"/>
        <v>25/07/2026Belconnen United U23O'Connor Knights U23</v>
      </c>
      <c r="B885" t="s">
        <v>810</v>
      </c>
      <c r="D885" s="2">
        <v>46228</v>
      </c>
      <c r="E885" s="3">
        <v>0.17708333333333334</v>
      </c>
      <c r="F885" t="s">
        <v>3001</v>
      </c>
      <c r="G885" t="s">
        <v>3002</v>
      </c>
      <c r="H885">
        <v>1</v>
      </c>
      <c r="I885">
        <v>0</v>
      </c>
      <c r="J885">
        <v>2</v>
      </c>
      <c r="K885">
        <v>1</v>
      </c>
      <c r="L885" s="22" t="str">
        <f t="shared" si="301"/>
        <v>25/07/2026</v>
      </c>
      <c r="M885" s="23">
        <f t="shared" si="302"/>
        <v>5.2083333333333343E-2</v>
      </c>
      <c r="N885" t="str">
        <f t="shared" si="303"/>
        <v>2 - 1</v>
      </c>
      <c r="O885" t="str">
        <f t="shared" si="282"/>
        <v>Green</v>
      </c>
      <c r="P885" t="str">
        <f t="shared" si="283"/>
        <v>Red</v>
      </c>
      <c r="Q885" t="str">
        <f t="shared" si="284"/>
        <v>Red</v>
      </c>
      <c r="R885" t="str">
        <f t="shared" si="285"/>
        <v>Green</v>
      </c>
      <c r="S885" t="str">
        <f t="shared" si="286"/>
        <v>Red</v>
      </c>
      <c r="T885" t="str">
        <f t="shared" si="287"/>
        <v>Green</v>
      </c>
      <c r="U885" t="str">
        <f t="shared" si="288"/>
        <v>Green</v>
      </c>
      <c r="V885" t="str">
        <f t="shared" si="289"/>
        <v>Red</v>
      </c>
      <c r="W885" t="str">
        <f t="shared" si="290"/>
        <v>Red</v>
      </c>
      <c r="X885" t="str">
        <f t="shared" si="291"/>
        <v>Green</v>
      </c>
      <c r="Y885" t="str">
        <f t="shared" si="292"/>
        <v>Green</v>
      </c>
      <c r="Z885" t="str">
        <f t="shared" si="293"/>
        <v>Green</v>
      </c>
      <c r="AA885" t="str">
        <f t="shared" si="294"/>
        <v>Red</v>
      </c>
      <c r="AB885" t="str">
        <f t="shared" si="295"/>
        <v>Green</v>
      </c>
      <c r="AC885" t="str">
        <f t="shared" si="296"/>
        <v>Green</v>
      </c>
      <c r="AD885" t="str">
        <f t="shared" si="297"/>
        <v>Red</v>
      </c>
    </row>
    <row r="886" spans="1:30" x14ac:dyDescent="0.2">
      <c r="A886" t="str">
        <f t="shared" si="300"/>
        <v>25/07/2026Canberra OlympicQueanbeyan City FC</v>
      </c>
      <c r="B886" t="s">
        <v>810</v>
      </c>
      <c r="C886" t="s">
        <v>811</v>
      </c>
      <c r="D886" s="2">
        <v>46228</v>
      </c>
      <c r="E886" s="3">
        <v>0.1875</v>
      </c>
      <c r="F886" t="s">
        <v>493</v>
      </c>
      <c r="G886" t="s">
        <v>2793</v>
      </c>
      <c r="H886">
        <v>1</v>
      </c>
      <c r="I886">
        <v>1</v>
      </c>
      <c r="J886">
        <v>2</v>
      </c>
      <c r="K886">
        <v>2</v>
      </c>
      <c r="L886" s="22" t="str">
        <f t="shared" si="301"/>
        <v>25/07/2026</v>
      </c>
      <c r="M886" s="23">
        <f t="shared" si="302"/>
        <v>6.25E-2</v>
      </c>
      <c r="N886" t="str">
        <f t="shared" si="303"/>
        <v>2 - 2</v>
      </c>
      <c r="O886" t="str">
        <f t="shared" si="282"/>
        <v>Red</v>
      </c>
      <c r="P886" t="str">
        <f t="shared" si="283"/>
        <v>Green</v>
      </c>
      <c r="Q886" t="str">
        <f t="shared" si="284"/>
        <v>Red</v>
      </c>
      <c r="R886" t="str">
        <f t="shared" si="285"/>
        <v>Green</v>
      </c>
      <c r="S886" t="str">
        <f t="shared" si="286"/>
        <v>Green</v>
      </c>
      <c r="T886" t="str">
        <f t="shared" si="287"/>
        <v>Red</v>
      </c>
      <c r="U886" t="str">
        <f t="shared" si="288"/>
        <v>Red</v>
      </c>
      <c r="V886" t="str">
        <f t="shared" si="289"/>
        <v>Green</v>
      </c>
      <c r="W886" t="str">
        <f t="shared" si="290"/>
        <v>Red</v>
      </c>
      <c r="X886" t="str">
        <f t="shared" si="291"/>
        <v>Green</v>
      </c>
      <c r="Y886" t="str">
        <f t="shared" si="292"/>
        <v>Green</v>
      </c>
      <c r="Z886" t="str">
        <f t="shared" si="293"/>
        <v>Green</v>
      </c>
      <c r="AA886" t="str">
        <f t="shared" si="294"/>
        <v>Red</v>
      </c>
      <c r="AB886" t="str">
        <f t="shared" si="295"/>
        <v>Red</v>
      </c>
      <c r="AC886" t="str">
        <f t="shared" si="296"/>
        <v>Green</v>
      </c>
      <c r="AD886" t="str">
        <f t="shared" si="297"/>
        <v>Red</v>
      </c>
    </row>
    <row r="887" spans="1:30" x14ac:dyDescent="0.2">
      <c r="A887" t="str">
        <f t="shared" si="300"/>
        <v>25/07/2026Launceston UnitedDevonport City</v>
      </c>
      <c r="B887" t="s">
        <v>810</v>
      </c>
      <c r="D887" s="2">
        <v>46228</v>
      </c>
      <c r="E887" s="3">
        <v>0.1875</v>
      </c>
      <c r="F887" t="s">
        <v>24</v>
      </c>
      <c r="G887" t="s">
        <v>495</v>
      </c>
      <c r="H887">
        <v>0</v>
      </c>
      <c r="I887">
        <v>1</v>
      </c>
      <c r="J887">
        <v>0</v>
      </c>
      <c r="K887">
        <v>6</v>
      </c>
      <c r="L887" s="22" t="str">
        <f t="shared" si="301"/>
        <v>25/07/2026</v>
      </c>
      <c r="M887" s="23">
        <f t="shared" si="302"/>
        <v>6.25E-2</v>
      </c>
      <c r="N887" t="str">
        <f t="shared" si="303"/>
        <v>0 - 6</v>
      </c>
      <c r="O887" t="str">
        <f t="shared" si="282"/>
        <v>Red</v>
      </c>
      <c r="P887" t="str">
        <f t="shared" si="283"/>
        <v>Red</v>
      </c>
      <c r="Q887" t="str">
        <f t="shared" si="284"/>
        <v>Green</v>
      </c>
      <c r="R887" t="str">
        <f t="shared" si="285"/>
        <v>Red</v>
      </c>
      <c r="S887" t="str">
        <f t="shared" si="286"/>
        <v>Green</v>
      </c>
      <c r="T887" t="str">
        <f t="shared" si="287"/>
        <v>Green</v>
      </c>
      <c r="U887" t="str">
        <f t="shared" si="288"/>
        <v>Red</v>
      </c>
      <c r="V887" t="str">
        <f t="shared" si="289"/>
        <v>Red</v>
      </c>
      <c r="W887" t="str">
        <f t="shared" si="290"/>
        <v>Green</v>
      </c>
      <c r="X887" t="str">
        <f t="shared" si="291"/>
        <v>Green</v>
      </c>
      <c r="Y887" t="str">
        <f t="shared" si="292"/>
        <v>Green</v>
      </c>
      <c r="Z887" t="str">
        <f t="shared" si="293"/>
        <v>Green</v>
      </c>
      <c r="AA887" t="str">
        <f t="shared" si="294"/>
        <v>Red</v>
      </c>
      <c r="AB887" t="str">
        <f t="shared" si="295"/>
        <v>Red</v>
      </c>
      <c r="AC887" t="str">
        <f t="shared" si="296"/>
        <v>Red</v>
      </c>
      <c r="AD887" t="str">
        <f t="shared" si="297"/>
        <v>Green</v>
      </c>
    </row>
    <row r="888" spans="1:30" x14ac:dyDescent="0.2">
      <c r="A888" t="str">
        <f t="shared" si="300"/>
        <v>25/07/2026Riverside OlympicLaunceston City</v>
      </c>
      <c r="B888" t="s">
        <v>810</v>
      </c>
      <c r="D888" s="2">
        <v>46228</v>
      </c>
      <c r="E888" s="3">
        <v>0.1875</v>
      </c>
      <c r="F888" t="s">
        <v>496</v>
      </c>
      <c r="G888" t="s">
        <v>23</v>
      </c>
      <c r="H888">
        <v>0</v>
      </c>
      <c r="I888">
        <v>0</v>
      </c>
      <c r="J888">
        <v>0</v>
      </c>
      <c r="K888">
        <v>0</v>
      </c>
      <c r="L888" s="22" t="str">
        <f t="shared" si="301"/>
        <v>25/07/2026</v>
      </c>
      <c r="M888" s="23">
        <f t="shared" si="302"/>
        <v>6.25E-2</v>
      </c>
      <c r="N888" t="str">
        <f t="shared" si="303"/>
        <v>0 - 0</v>
      </c>
      <c r="O888" t="str">
        <f t="shared" si="282"/>
        <v>Red</v>
      </c>
      <c r="P888" t="str">
        <f t="shared" si="283"/>
        <v>Green</v>
      </c>
      <c r="Q888" t="str">
        <f t="shared" si="284"/>
        <v>Red</v>
      </c>
      <c r="R888" t="str">
        <f t="shared" si="285"/>
        <v>Green</v>
      </c>
      <c r="S888" t="str">
        <f t="shared" si="286"/>
        <v>Green</v>
      </c>
      <c r="T888" t="str">
        <f t="shared" si="287"/>
        <v>Red</v>
      </c>
      <c r="U888" t="str">
        <f t="shared" si="288"/>
        <v>Red</v>
      </c>
      <c r="V888" t="str">
        <f t="shared" si="289"/>
        <v>Green</v>
      </c>
      <c r="W888" t="str">
        <f t="shared" si="290"/>
        <v>Red</v>
      </c>
      <c r="X888" t="str">
        <f t="shared" si="291"/>
        <v>Red</v>
      </c>
      <c r="Y888" t="str">
        <f t="shared" si="292"/>
        <v>Red</v>
      </c>
      <c r="Z888" t="str">
        <f t="shared" si="293"/>
        <v>Red</v>
      </c>
      <c r="AA888" t="str">
        <f t="shared" si="294"/>
        <v>Green</v>
      </c>
      <c r="AB888" t="str">
        <f t="shared" si="295"/>
        <v>Green</v>
      </c>
      <c r="AC888" t="str">
        <f t="shared" si="296"/>
        <v>Red</v>
      </c>
      <c r="AD888" t="str">
        <f t="shared" si="297"/>
        <v>Green</v>
      </c>
    </row>
    <row r="889" spans="1:30" x14ac:dyDescent="0.2">
      <c r="A889" t="str">
        <f t="shared" si="300"/>
        <v>25/07/2026Maitland FC ReservesBroadmeadow Magic Reserves</v>
      </c>
      <c r="B889" t="s">
        <v>810</v>
      </c>
      <c r="D889" s="2">
        <v>46228</v>
      </c>
      <c r="E889" s="3">
        <v>0.1875</v>
      </c>
      <c r="F889" t="s">
        <v>2896</v>
      </c>
      <c r="G889" t="s">
        <v>2897</v>
      </c>
      <c r="L889" s="22" t="str">
        <f t="shared" si="301"/>
        <v>25/07/2026</v>
      </c>
      <c r="M889" s="23">
        <f t="shared" si="302"/>
        <v>6.25E-2</v>
      </c>
      <c r="N889" t="str">
        <f t="shared" si="303"/>
        <v xml:space="preserve"> - </v>
      </c>
      <c r="O889" t="str">
        <f t="shared" si="282"/>
        <v>Red</v>
      </c>
      <c r="P889" t="str">
        <f t="shared" si="283"/>
        <v>Green</v>
      </c>
      <c r="Q889" t="str">
        <f t="shared" si="284"/>
        <v>Red</v>
      </c>
      <c r="R889" t="str">
        <f t="shared" si="285"/>
        <v>Green</v>
      </c>
      <c r="S889" t="str">
        <f t="shared" si="286"/>
        <v>Green</v>
      </c>
      <c r="T889" t="str">
        <f t="shared" si="287"/>
        <v>Red</v>
      </c>
      <c r="U889" t="str">
        <f t="shared" si="288"/>
        <v>Red</v>
      </c>
      <c r="V889" t="str">
        <f t="shared" si="289"/>
        <v>Green</v>
      </c>
      <c r="W889" t="str">
        <f t="shared" si="290"/>
        <v>Red</v>
      </c>
      <c r="X889" t="str">
        <f t="shared" si="291"/>
        <v>Red</v>
      </c>
      <c r="Y889" t="str">
        <f t="shared" si="292"/>
        <v>Red</v>
      </c>
      <c r="Z889" t="str">
        <f t="shared" si="293"/>
        <v>Red</v>
      </c>
      <c r="AA889" t="str">
        <f t="shared" si="294"/>
        <v>Green</v>
      </c>
      <c r="AB889" t="str">
        <f t="shared" si="295"/>
        <v>Green</v>
      </c>
      <c r="AC889" t="str">
        <f t="shared" si="296"/>
        <v>Red</v>
      </c>
      <c r="AD889" t="str">
        <f t="shared" si="297"/>
        <v>Green</v>
      </c>
    </row>
    <row r="890" spans="1:30" x14ac:dyDescent="0.2">
      <c r="A890" t="str">
        <f t="shared" si="300"/>
        <v>25/07/2026Valentine Phoenix ReservesCharlestown City Blues Reserves</v>
      </c>
      <c r="B890" t="s">
        <v>810</v>
      </c>
      <c r="D890" s="2">
        <v>46228</v>
      </c>
      <c r="E890" s="3">
        <v>0.1875</v>
      </c>
      <c r="F890" t="s">
        <v>2898</v>
      </c>
      <c r="G890" t="s">
        <v>2899</v>
      </c>
      <c r="L890" s="22" t="str">
        <f t="shared" si="301"/>
        <v>25/07/2026</v>
      </c>
      <c r="M890" s="23">
        <f t="shared" si="302"/>
        <v>6.25E-2</v>
      </c>
      <c r="N890" t="str">
        <f t="shared" si="303"/>
        <v xml:space="preserve"> - </v>
      </c>
      <c r="O890" t="str">
        <f t="shared" si="282"/>
        <v>Red</v>
      </c>
      <c r="P890" t="str">
        <f t="shared" si="283"/>
        <v>Green</v>
      </c>
      <c r="Q890" t="str">
        <f t="shared" si="284"/>
        <v>Red</v>
      </c>
      <c r="R890" t="str">
        <f t="shared" si="285"/>
        <v>Green</v>
      </c>
      <c r="S890" t="str">
        <f t="shared" si="286"/>
        <v>Green</v>
      </c>
      <c r="T890" t="str">
        <f t="shared" si="287"/>
        <v>Red</v>
      </c>
      <c r="U890" t="str">
        <f t="shared" si="288"/>
        <v>Red</v>
      </c>
      <c r="V890" t="str">
        <f t="shared" si="289"/>
        <v>Green</v>
      </c>
      <c r="W890" t="str">
        <f t="shared" si="290"/>
        <v>Red</v>
      </c>
      <c r="X890" t="str">
        <f t="shared" si="291"/>
        <v>Red</v>
      </c>
      <c r="Y890" t="str">
        <f t="shared" si="292"/>
        <v>Red</v>
      </c>
      <c r="Z890" t="str">
        <f t="shared" si="293"/>
        <v>Red</v>
      </c>
      <c r="AA890" t="str">
        <f t="shared" si="294"/>
        <v>Green</v>
      </c>
      <c r="AB890" t="str">
        <f t="shared" si="295"/>
        <v>Green</v>
      </c>
      <c r="AC890" t="str">
        <f t="shared" si="296"/>
        <v>Red</v>
      </c>
      <c r="AD890" t="str">
        <f t="shared" si="297"/>
        <v>Green</v>
      </c>
    </row>
    <row r="891" spans="1:30" x14ac:dyDescent="0.2">
      <c r="A891" t="str">
        <f t="shared" si="300"/>
        <v>25/07/2026Riverside Olympic WomenKingborough Lions Women</v>
      </c>
      <c r="B891" t="s">
        <v>810</v>
      </c>
      <c r="D891" s="2">
        <v>46228</v>
      </c>
      <c r="E891" s="3">
        <v>0.1875</v>
      </c>
      <c r="F891" t="s">
        <v>2931</v>
      </c>
      <c r="G891" t="s">
        <v>2932</v>
      </c>
      <c r="L891" s="22" t="str">
        <f t="shared" si="301"/>
        <v>25/07/2026</v>
      </c>
      <c r="M891" s="23">
        <f t="shared" si="302"/>
        <v>6.25E-2</v>
      </c>
      <c r="N891" t="str">
        <f t="shared" si="303"/>
        <v xml:space="preserve"> - </v>
      </c>
      <c r="O891" t="str">
        <f t="shared" si="282"/>
        <v>Red</v>
      </c>
      <c r="P891" t="str">
        <f t="shared" si="283"/>
        <v>Green</v>
      </c>
      <c r="Q891" t="str">
        <f t="shared" si="284"/>
        <v>Red</v>
      </c>
      <c r="R891" t="str">
        <f t="shared" si="285"/>
        <v>Green</v>
      </c>
      <c r="S891" t="str">
        <f t="shared" si="286"/>
        <v>Green</v>
      </c>
      <c r="T891" t="str">
        <f t="shared" si="287"/>
        <v>Red</v>
      </c>
      <c r="U891" t="str">
        <f t="shared" si="288"/>
        <v>Red</v>
      </c>
      <c r="V891" t="str">
        <f t="shared" si="289"/>
        <v>Green</v>
      </c>
      <c r="W891" t="str">
        <f t="shared" si="290"/>
        <v>Red</v>
      </c>
      <c r="X891" t="str">
        <f t="shared" si="291"/>
        <v>Red</v>
      </c>
      <c r="Y891" t="str">
        <f t="shared" si="292"/>
        <v>Red</v>
      </c>
      <c r="Z891" t="str">
        <f t="shared" si="293"/>
        <v>Red</v>
      </c>
      <c r="AA891" t="str">
        <f t="shared" si="294"/>
        <v>Green</v>
      </c>
      <c r="AB891" t="str">
        <f t="shared" si="295"/>
        <v>Green</v>
      </c>
      <c r="AC891" t="str">
        <f t="shared" si="296"/>
        <v>Red</v>
      </c>
      <c r="AD891" t="str">
        <f t="shared" si="297"/>
        <v>Green</v>
      </c>
    </row>
    <row r="892" spans="1:30" x14ac:dyDescent="0.2">
      <c r="A892" t="str">
        <f t="shared" si="300"/>
        <v>25/07/2026Dandenong Thunder U23Altona Magic U23</v>
      </c>
      <c r="B892" t="s">
        <v>810</v>
      </c>
      <c r="D892" s="2">
        <v>46228</v>
      </c>
      <c r="E892" s="3">
        <v>0.1875</v>
      </c>
      <c r="F892" t="s">
        <v>2959</v>
      </c>
      <c r="G892" t="s">
        <v>2960</v>
      </c>
      <c r="H892">
        <v>2</v>
      </c>
      <c r="I892">
        <v>0</v>
      </c>
      <c r="J892">
        <v>3</v>
      </c>
      <c r="K892">
        <v>3</v>
      </c>
      <c r="L892" s="22" t="str">
        <f t="shared" si="301"/>
        <v>25/07/2026</v>
      </c>
      <c r="M892" s="23">
        <f t="shared" si="302"/>
        <v>6.25E-2</v>
      </c>
      <c r="N892" t="str">
        <f t="shared" si="303"/>
        <v>3 - 3</v>
      </c>
      <c r="O892" t="str">
        <f t="shared" si="282"/>
        <v>Red</v>
      </c>
      <c r="P892" t="str">
        <f t="shared" si="283"/>
        <v>Green</v>
      </c>
      <c r="Q892" t="str">
        <f t="shared" si="284"/>
        <v>Red</v>
      </c>
      <c r="R892" t="str">
        <f t="shared" si="285"/>
        <v>Green</v>
      </c>
      <c r="S892" t="str">
        <f t="shared" si="286"/>
        <v>Green</v>
      </c>
      <c r="T892" t="str">
        <f t="shared" si="287"/>
        <v>Red</v>
      </c>
      <c r="U892" t="str">
        <f t="shared" si="288"/>
        <v>Green</v>
      </c>
      <c r="V892" t="str">
        <f t="shared" si="289"/>
        <v>Red</v>
      </c>
      <c r="W892" t="str">
        <f t="shared" si="290"/>
        <v>Red</v>
      </c>
      <c r="X892" t="str">
        <f t="shared" si="291"/>
        <v>Green</v>
      </c>
      <c r="Y892" t="str">
        <f t="shared" si="292"/>
        <v>Green</v>
      </c>
      <c r="Z892" t="str">
        <f t="shared" si="293"/>
        <v>Green</v>
      </c>
      <c r="AA892" t="str">
        <f t="shared" si="294"/>
        <v>Red</v>
      </c>
      <c r="AB892" t="str">
        <f t="shared" si="295"/>
        <v>Red</v>
      </c>
      <c r="AC892" t="str">
        <f t="shared" si="296"/>
        <v>Green</v>
      </c>
      <c r="AD892" t="str">
        <f t="shared" si="297"/>
        <v>Red</v>
      </c>
    </row>
    <row r="893" spans="1:30" x14ac:dyDescent="0.2">
      <c r="A893" t="str">
        <f t="shared" si="300"/>
        <v>25/07/2026Brindabella Blues FCCanberra White Eagles</v>
      </c>
      <c r="B893" t="s">
        <v>810</v>
      </c>
      <c r="C893" t="s">
        <v>811</v>
      </c>
      <c r="D893" s="2">
        <v>46228</v>
      </c>
      <c r="E893" s="3">
        <v>0.20833333333333334</v>
      </c>
      <c r="F893" t="s">
        <v>497</v>
      </c>
      <c r="G893" t="s">
        <v>22</v>
      </c>
      <c r="H893">
        <v>0</v>
      </c>
      <c r="I893">
        <v>1</v>
      </c>
      <c r="J893">
        <v>1</v>
      </c>
      <c r="K893">
        <v>2</v>
      </c>
      <c r="L893" s="22" t="str">
        <f t="shared" si="301"/>
        <v>25/07/2026</v>
      </c>
      <c r="M893" s="23">
        <f t="shared" si="302"/>
        <v>8.3333333333333343E-2</v>
      </c>
      <c r="N893" t="str">
        <f t="shared" si="303"/>
        <v>1 - 2</v>
      </c>
      <c r="O893" t="str">
        <f t="shared" si="282"/>
        <v>Red</v>
      </c>
      <c r="P893" t="str">
        <f t="shared" si="283"/>
        <v>Red</v>
      </c>
      <c r="Q893" t="str">
        <f t="shared" si="284"/>
        <v>Green</v>
      </c>
      <c r="R893" t="str">
        <f t="shared" si="285"/>
        <v>Red</v>
      </c>
      <c r="S893" t="str">
        <f t="shared" si="286"/>
        <v>Green</v>
      </c>
      <c r="T893" t="str">
        <f t="shared" si="287"/>
        <v>Green</v>
      </c>
      <c r="U893" t="str">
        <f t="shared" si="288"/>
        <v>Red</v>
      </c>
      <c r="V893" t="str">
        <f t="shared" si="289"/>
        <v>Red</v>
      </c>
      <c r="W893" t="str">
        <f t="shared" si="290"/>
        <v>Green</v>
      </c>
      <c r="X893" t="str">
        <f t="shared" si="291"/>
        <v>Green</v>
      </c>
      <c r="Y893" t="str">
        <f t="shared" si="292"/>
        <v>Green</v>
      </c>
      <c r="Z893" t="str">
        <f t="shared" si="293"/>
        <v>Green</v>
      </c>
      <c r="AA893" t="str">
        <f t="shared" si="294"/>
        <v>Red</v>
      </c>
      <c r="AB893" t="str">
        <f t="shared" si="295"/>
        <v>Green</v>
      </c>
      <c r="AC893" t="str">
        <f t="shared" si="296"/>
        <v>Green</v>
      </c>
      <c r="AD893" t="str">
        <f t="shared" si="297"/>
        <v>Red</v>
      </c>
    </row>
    <row r="894" spans="1:30" x14ac:dyDescent="0.2">
      <c r="A894" t="str">
        <f t="shared" si="300"/>
        <v>25/07/2026Adelaide CityWest Torrens Birkalla</v>
      </c>
      <c r="B894" t="s">
        <v>810</v>
      </c>
      <c r="D894" s="2">
        <v>46228</v>
      </c>
      <c r="E894" s="3">
        <v>0.20833333333333334</v>
      </c>
      <c r="F894" t="s">
        <v>499</v>
      </c>
      <c r="G894" t="s">
        <v>500</v>
      </c>
      <c r="H894">
        <v>1</v>
      </c>
      <c r="I894">
        <v>0</v>
      </c>
      <c r="J894">
        <v>1</v>
      </c>
      <c r="K894">
        <v>0</v>
      </c>
      <c r="L894" s="22" t="str">
        <f t="shared" si="301"/>
        <v>25/07/2026</v>
      </c>
      <c r="M894" s="23">
        <f t="shared" si="302"/>
        <v>8.3333333333333343E-2</v>
      </c>
      <c r="N894" t="str">
        <f t="shared" si="303"/>
        <v>1 - 0</v>
      </c>
      <c r="O894" t="str">
        <f t="shared" si="282"/>
        <v>Green</v>
      </c>
      <c r="P894" t="str">
        <f t="shared" si="283"/>
        <v>Red</v>
      </c>
      <c r="Q894" t="str">
        <f t="shared" si="284"/>
        <v>Red</v>
      </c>
      <c r="R894" t="str">
        <f t="shared" si="285"/>
        <v>Green</v>
      </c>
      <c r="S894" t="str">
        <f t="shared" si="286"/>
        <v>Red</v>
      </c>
      <c r="T894" t="str">
        <f t="shared" si="287"/>
        <v>Green</v>
      </c>
      <c r="U894" t="str">
        <f t="shared" si="288"/>
        <v>Green</v>
      </c>
      <c r="V894" t="str">
        <f t="shared" si="289"/>
        <v>Red</v>
      </c>
      <c r="W894" t="str">
        <f t="shared" si="290"/>
        <v>Red</v>
      </c>
      <c r="X894" t="str">
        <f t="shared" si="291"/>
        <v>Green</v>
      </c>
      <c r="Y894" t="str">
        <f t="shared" si="292"/>
        <v>Red</v>
      </c>
      <c r="Z894" t="str">
        <f t="shared" si="293"/>
        <v>Red</v>
      </c>
      <c r="AA894" t="str">
        <f t="shared" si="294"/>
        <v>Green</v>
      </c>
      <c r="AB894" t="str">
        <f t="shared" si="295"/>
        <v>Green</v>
      </c>
      <c r="AC894" t="str">
        <f t="shared" si="296"/>
        <v>Red</v>
      </c>
      <c r="AD894" t="str">
        <f t="shared" si="297"/>
        <v>Green</v>
      </c>
    </row>
    <row r="895" spans="1:30" x14ac:dyDescent="0.2">
      <c r="A895" t="str">
        <f t="shared" si="300"/>
        <v>25/07/2026Croydon KingsCampbelltown City</v>
      </c>
      <c r="B895" t="s">
        <v>810</v>
      </c>
      <c r="D895" s="2">
        <v>46228</v>
      </c>
      <c r="E895" s="3">
        <v>0.20833333333333334</v>
      </c>
      <c r="F895" t="s">
        <v>2806</v>
      </c>
      <c r="G895" t="s">
        <v>502</v>
      </c>
      <c r="H895">
        <v>1</v>
      </c>
      <c r="I895">
        <v>1</v>
      </c>
      <c r="J895">
        <v>2</v>
      </c>
      <c r="K895">
        <v>2</v>
      </c>
      <c r="L895" s="22" t="str">
        <f t="shared" si="301"/>
        <v>25/07/2026</v>
      </c>
      <c r="M895" s="23">
        <f t="shared" si="302"/>
        <v>8.3333333333333343E-2</v>
      </c>
      <c r="N895" t="str">
        <f t="shared" si="303"/>
        <v>2 - 2</v>
      </c>
      <c r="O895" t="str">
        <f t="shared" si="282"/>
        <v>Red</v>
      </c>
      <c r="P895" t="str">
        <f t="shared" si="283"/>
        <v>Green</v>
      </c>
      <c r="Q895" t="str">
        <f t="shared" si="284"/>
        <v>Red</v>
      </c>
      <c r="R895" t="str">
        <f t="shared" si="285"/>
        <v>Green</v>
      </c>
      <c r="S895" t="str">
        <f t="shared" si="286"/>
        <v>Green</v>
      </c>
      <c r="T895" t="str">
        <f t="shared" si="287"/>
        <v>Red</v>
      </c>
      <c r="U895" t="str">
        <f t="shared" si="288"/>
        <v>Red</v>
      </c>
      <c r="V895" t="str">
        <f t="shared" si="289"/>
        <v>Green</v>
      </c>
      <c r="W895" t="str">
        <f t="shared" si="290"/>
        <v>Red</v>
      </c>
      <c r="X895" t="str">
        <f t="shared" si="291"/>
        <v>Green</v>
      </c>
      <c r="Y895" t="str">
        <f t="shared" si="292"/>
        <v>Green</v>
      </c>
      <c r="Z895" t="str">
        <f t="shared" si="293"/>
        <v>Green</v>
      </c>
      <c r="AA895" t="str">
        <f t="shared" si="294"/>
        <v>Red</v>
      </c>
      <c r="AB895" t="str">
        <f t="shared" si="295"/>
        <v>Red</v>
      </c>
      <c r="AC895" t="str">
        <f t="shared" si="296"/>
        <v>Green</v>
      </c>
      <c r="AD895" t="str">
        <f t="shared" si="297"/>
        <v>Red</v>
      </c>
    </row>
    <row r="896" spans="1:30" x14ac:dyDescent="0.2">
      <c r="A896" t="str">
        <f t="shared" si="300"/>
        <v>25/07/2026Melbourne City ReservesAvondale Heights</v>
      </c>
      <c r="B896" t="s">
        <v>810</v>
      </c>
      <c r="D896" s="2">
        <v>46228</v>
      </c>
      <c r="E896" s="3">
        <v>0.20833333333333334</v>
      </c>
      <c r="F896" t="s">
        <v>2810</v>
      </c>
      <c r="G896" t="s">
        <v>2811</v>
      </c>
      <c r="H896">
        <v>2</v>
      </c>
      <c r="I896">
        <v>0</v>
      </c>
      <c r="J896">
        <v>2</v>
      </c>
      <c r="K896">
        <v>3</v>
      </c>
      <c r="L896" s="22" t="str">
        <f t="shared" si="301"/>
        <v>25/07/2026</v>
      </c>
      <c r="M896" s="23">
        <f t="shared" si="302"/>
        <v>8.3333333333333343E-2</v>
      </c>
      <c r="N896" t="str">
        <f t="shared" si="303"/>
        <v>2 - 3</v>
      </c>
      <c r="O896" t="str">
        <f t="shared" si="282"/>
        <v>Red</v>
      </c>
      <c r="P896" t="str">
        <f t="shared" si="283"/>
        <v>Red</v>
      </c>
      <c r="Q896" t="str">
        <f t="shared" si="284"/>
        <v>Green</v>
      </c>
      <c r="R896" t="str">
        <f t="shared" si="285"/>
        <v>Red</v>
      </c>
      <c r="S896" t="str">
        <f t="shared" si="286"/>
        <v>Green</v>
      </c>
      <c r="T896" t="str">
        <f t="shared" si="287"/>
        <v>Green</v>
      </c>
      <c r="U896" t="str">
        <f t="shared" si="288"/>
        <v>Green</v>
      </c>
      <c r="V896" t="str">
        <f t="shared" si="289"/>
        <v>Red</v>
      </c>
      <c r="W896" t="str">
        <f t="shared" si="290"/>
        <v>Red</v>
      </c>
      <c r="X896" t="str">
        <f t="shared" si="291"/>
        <v>Green</v>
      </c>
      <c r="Y896" t="str">
        <f t="shared" si="292"/>
        <v>Green</v>
      </c>
      <c r="Z896" t="str">
        <f t="shared" si="293"/>
        <v>Green</v>
      </c>
      <c r="AA896" t="str">
        <f t="shared" si="294"/>
        <v>Red</v>
      </c>
      <c r="AB896" t="str">
        <f t="shared" si="295"/>
        <v>Red</v>
      </c>
      <c r="AC896" t="str">
        <f t="shared" si="296"/>
        <v>Green</v>
      </c>
      <c r="AD896" t="str">
        <f t="shared" si="297"/>
        <v>Red</v>
      </c>
    </row>
    <row r="897" spans="1:30" x14ac:dyDescent="0.2">
      <c r="A897" t="str">
        <f t="shared" si="300"/>
        <v>25/07/2026Plympton FCGhan Kilburn SC</v>
      </c>
      <c r="B897" t="s">
        <v>810</v>
      </c>
      <c r="D897" s="2">
        <v>46228</v>
      </c>
      <c r="E897" s="3">
        <v>0.20833333333333334</v>
      </c>
      <c r="F897" t="s">
        <v>2844</v>
      </c>
      <c r="G897" t="s">
        <v>2845</v>
      </c>
      <c r="H897">
        <v>2</v>
      </c>
      <c r="I897">
        <v>4</v>
      </c>
      <c r="J897">
        <v>2</v>
      </c>
      <c r="K897">
        <v>6</v>
      </c>
      <c r="L897" s="22" t="str">
        <f t="shared" si="301"/>
        <v>25/07/2026</v>
      </c>
      <c r="M897" s="23">
        <f t="shared" si="302"/>
        <v>8.3333333333333343E-2</v>
      </c>
      <c r="N897" t="str">
        <f t="shared" si="303"/>
        <v>2 - 6</v>
      </c>
      <c r="O897" t="str">
        <f t="shared" si="282"/>
        <v>Red</v>
      </c>
      <c r="P897" t="str">
        <f t="shared" si="283"/>
        <v>Red</v>
      </c>
      <c r="Q897" t="str">
        <f t="shared" si="284"/>
        <v>Green</v>
      </c>
      <c r="R897" t="str">
        <f t="shared" si="285"/>
        <v>Red</v>
      </c>
      <c r="S897" t="str">
        <f t="shared" si="286"/>
        <v>Green</v>
      </c>
      <c r="T897" t="str">
        <f t="shared" si="287"/>
        <v>Green</v>
      </c>
      <c r="U897" t="str">
        <f t="shared" si="288"/>
        <v>Red</v>
      </c>
      <c r="V897" t="str">
        <f t="shared" si="289"/>
        <v>Red</v>
      </c>
      <c r="W897" t="str">
        <f t="shared" si="290"/>
        <v>Green</v>
      </c>
      <c r="X897" t="str">
        <f t="shared" si="291"/>
        <v>Green</v>
      </c>
      <c r="Y897" t="str">
        <f t="shared" si="292"/>
        <v>Green</v>
      </c>
      <c r="Z897" t="str">
        <f t="shared" si="293"/>
        <v>Green</v>
      </c>
      <c r="AA897" t="str">
        <f t="shared" si="294"/>
        <v>Red</v>
      </c>
      <c r="AB897" t="str">
        <f t="shared" si="295"/>
        <v>Red</v>
      </c>
      <c r="AC897" t="str">
        <f t="shared" si="296"/>
        <v>Green</v>
      </c>
      <c r="AD897" t="str">
        <f t="shared" si="297"/>
        <v>Red</v>
      </c>
    </row>
    <row r="898" spans="1:30" x14ac:dyDescent="0.2">
      <c r="A898" t="str">
        <f t="shared" si="300"/>
        <v>25/07/2026Mandurah City ReservesInglewood United Reserves</v>
      </c>
      <c r="B898" t="s">
        <v>810</v>
      </c>
      <c r="D898" s="2">
        <v>46228</v>
      </c>
      <c r="E898" s="3">
        <v>0.20833333333333334</v>
      </c>
      <c r="F898" t="s">
        <v>2874</v>
      </c>
      <c r="G898" t="s">
        <v>2875</v>
      </c>
      <c r="H898">
        <v>2</v>
      </c>
      <c r="I898">
        <v>2</v>
      </c>
      <c r="J898">
        <v>3</v>
      </c>
      <c r="K898">
        <v>3</v>
      </c>
      <c r="L898" s="22" t="str">
        <f t="shared" si="301"/>
        <v>25/07/2026</v>
      </c>
      <c r="M898" s="23">
        <f t="shared" si="302"/>
        <v>8.3333333333333343E-2</v>
      </c>
      <c r="N898" t="str">
        <f t="shared" si="303"/>
        <v>3 - 3</v>
      </c>
      <c r="O898" t="str">
        <f t="shared" ref="O898:O961" si="304">IF($J898&gt;$K898,"Green","Red")</f>
        <v>Red</v>
      </c>
      <c r="P898" t="str">
        <f t="shared" ref="P898:P961" si="305">IF($J898=$K898,"Green","Red")</f>
        <v>Green</v>
      </c>
      <c r="Q898" t="str">
        <f t="shared" ref="Q898:Q961" si="306">IF($J898&lt;$K898,"Green","Red")</f>
        <v>Red</v>
      </c>
      <c r="R898" t="str">
        <f t="shared" ref="R898:R961" si="307">IF($J898&gt;=$K898,"Green","Red")</f>
        <v>Green</v>
      </c>
      <c r="S898" t="str">
        <f t="shared" ref="S898:S961" si="308">IF($J898&lt;=$K898,"Green","Red")</f>
        <v>Green</v>
      </c>
      <c r="T898" t="str">
        <f t="shared" ref="T898:T961" si="309">IF(OR($J898&gt;$K898,$J898&lt;$K898),"Green","Red")</f>
        <v>Red</v>
      </c>
      <c r="U898" t="str">
        <f t="shared" ref="U898:U961" si="310">IF($H898&gt;$I898,"Green","Red")</f>
        <v>Red</v>
      </c>
      <c r="V898" t="str">
        <f t="shared" ref="V898:V961" si="311">IF($H898=$I898,"Green","Red")</f>
        <v>Green</v>
      </c>
      <c r="W898" t="str">
        <f t="shared" ref="W898:W961" si="312">IF($H898&lt;$I898,"Green","Red")</f>
        <v>Red</v>
      </c>
      <c r="X898" t="str">
        <f t="shared" ref="X898:X961" si="313">IF($H898+$I898&gt;0,"Green","Red")</f>
        <v>Green</v>
      </c>
      <c r="Y898" t="str">
        <f t="shared" ref="Y898:Y961" si="314">IF($J898+$K898&gt;1.5,"Green","Red")</f>
        <v>Green</v>
      </c>
      <c r="Z898" t="str">
        <f t="shared" ref="Z898:Z961" si="315">IF($J898+$K898&gt;2.5,"Green","Red")</f>
        <v>Green</v>
      </c>
      <c r="AA898" t="str">
        <f t="shared" ref="AA898:AA961" si="316">IF($J898+$K898&lt;2.5,"Green","Red")</f>
        <v>Red</v>
      </c>
      <c r="AB898" t="str">
        <f t="shared" ref="AB898:AB961" si="317">IF($J898+$K898&lt;3.5,"Green","Red")</f>
        <v>Red</v>
      </c>
      <c r="AC898" t="str">
        <f t="shared" ref="AC898:AC961" si="318">IF(AND($J898&gt;0,$K898&gt;0),"Green","Red")</f>
        <v>Green</v>
      </c>
      <c r="AD898" t="str">
        <f t="shared" ref="AD898:AD961" si="319">IF(OR($J898=0,$K898=0),"Green","Red")</f>
        <v>Red</v>
      </c>
    </row>
    <row r="899" spans="1:30" x14ac:dyDescent="0.2">
      <c r="A899" t="str">
        <f t="shared" si="300"/>
        <v>25/07/2026Murdoch University Melville ReservesGwelup Croatia SC Reserves</v>
      </c>
      <c r="B899" t="s">
        <v>810</v>
      </c>
      <c r="D899" s="2">
        <v>46228</v>
      </c>
      <c r="E899" s="3">
        <v>0.20833333333333334</v>
      </c>
      <c r="F899" t="s">
        <v>2876</v>
      </c>
      <c r="G899" t="s">
        <v>2877</v>
      </c>
      <c r="H899">
        <v>1</v>
      </c>
      <c r="I899">
        <v>1</v>
      </c>
      <c r="J899">
        <v>2</v>
      </c>
      <c r="K899">
        <v>2</v>
      </c>
      <c r="L899" s="22" t="str">
        <f t="shared" si="301"/>
        <v>25/07/2026</v>
      </c>
      <c r="M899" s="23">
        <f t="shared" si="302"/>
        <v>8.3333333333333343E-2</v>
      </c>
      <c r="N899" t="str">
        <f t="shared" si="303"/>
        <v>2 - 2</v>
      </c>
      <c r="O899" t="str">
        <f t="shared" si="304"/>
        <v>Red</v>
      </c>
      <c r="P899" t="str">
        <f t="shared" si="305"/>
        <v>Green</v>
      </c>
      <c r="Q899" t="str">
        <f t="shared" si="306"/>
        <v>Red</v>
      </c>
      <c r="R899" t="str">
        <f t="shared" si="307"/>
        <v>Green</v>
      </c>
      <c r="S899" t="str">
        <f t="shared" si="308"/>
        <v>Green</v>
      </c>
      <c r="T899" t="str">
        <f t="shared" si="309"/>
        <v>Red</v>
      </c>
      <c r="U899" t="str">
        <f t="shared" si="310"/>
        <v>Red</v>
      </c>
      <c r="V899" t="str">
        <f t="shared" si="311"/>
        <v>Green</v>
      </c>
      <c r="W899" t="str">
        <f t="shared" si="312"/>
        <v>Red</v>
      </c>
      <c r="X899" t="str">
        <f t="shared" si="313"/>
        <v>Green</v>
      </c>
      <c r="Y899" t="str">
        <f t="shared" si="314"/>
        <v>Green</v>
      </c>
      <c r="Z899" t="str">
        <f t="shared" si="315"/>
        <v>Green</v>
      </c>
      <c r="AA899" t="str">
        <f t="shared" si="316"/>
        <v>Red</v>
      </c>
      <c r="AB899" t="str">
        <f t="shared" si="317"/>
        <v>Red</v>
      </c>
      <c r="AC899" t="str">
        <f t="shared" si="318"/>
        <v>Green</v>
      </c>
      <c r="AD899" t="str">
        <f t="shared" si="319"/>
        <v>Red</v>
      </c>
    </row>
    <row r="900" spans="1:30" x14ac:dyDescent="0.2">
      <c r="A900" t="str">
        <f t="shared" si="300"/>
        <v>25/07/2026Quinns FC ReservesCockburn City Reserves</v>
      </c>
      <c r="B900" t="s">
        <v>810</v>
      </c>
      <c r="D900" s="2">
        <v>46228</v>
      </c>
      <c r="E900" s="3">
        <v>0.20833333333333334</v>
      </c>
      <c r="F900" t="s">
        <v>2878</v>
      </c>
      <c r="G900" t="s">
        <v>1333</v>
      </c>
      <c r="H900">
        <v>0</v>
      </c>
      <c r="I900">
        <v>1</v>
      </c>
      <c r="J900">
        <v>0</v>
      </c>
      <c r="K900">
        <v>1</v>
      </c>
      <c r="L900" s="22" t="str">
        <f t="shared" si="301"/>
        <v>25/07/2026</v>
      </c>
      <c r="M900" s="23">
        <f t="shared" si="302"/>
        <v>8.3333333333333343E-2</v>
      </c>
      <c r="N900" t="str">
        <f t="shared" si="303"/>
        <v>0 - 1</v>
      </c>
      <c r="O900" t="str">
        <f t="shared" si="304"/>
        <v>Red</v>
      </c>
      <c r="P900" t="str">
        <f t="shared" si="305"/>
        <v>Red</v>
      </c>
      <c r="Q900" t="str">
        <f t="shared" si="306"/>
        <v>Green</v>
      </c>
      <c r="R900" t="str">
        <f t="shared" si="307"/>
        <v>Red</v>
      </c>
      <c r="S900" t="str">
        <f t="shared" si="308"/>
        <v>Green</v>
      </c>
      <c r="T900" t="str">
        <f t="shared" si="309"/>
        <v>Green</v>
      </c>
      <c r="U900" t="str">
        <f t="shared" si="310"/>
        <v>Red</v>
      </c>
      <c r="V900" t="str">
        <f t="shared" si="311"/>
        <v>Red</v>
      </c>
      <c r="W900" t="str">
        <f t="shared" si="312"/>
        <v>Green</v>
      </c>
      <c r="X900" t="str">
        <f t="shared" si="313"/>
        <v>Green</v>
      </c>
      <c r="Y900" t="str">
        <f t="shared" si="314"/>
        <v>Red</v>
      </c>
      <c r="Z900" t="str">
        <f t="shared" si="315"/>
        <v>Red</v>
      </c>
      <c r="AA900" t="str">
        <f t="shared" si="316"/>
        <v>Green</v>
      </c>
      <c r="AB900" t="str">
        <f t="shared" si="317"/>
        <v>Green</v>
      </c>
      <c r="AC900" t="str">
        <f t="shared" si="318"/>
        <v>Red</v>
      </c>
      <c r="AD900" t="str">
        <f t="shared" si="319"/>
        <v>Green</v>
      </c>
    </row>
    <row r="901" spans="1:30" x14ac:dyDescent="0.2">
      <c r="A901" t="str">
        <f t="shared" si="300"/>
        <v>25/07/2026Subiaco AFC ReservesFloreat Athena Reserves</v>
      </c>
      <c r="B901" t="s">
        <v>810</v>
      </c>
      <c r="D901" s="2">
        <v>46228</v>
      </c>
      <c r="E901" s="3">
        <v>0.20833333333333334</v>
      </c>
      <c r="F901" t="s">
        <v>2879</v>
      </c>
      <c r="G901" t="s">
        <v>2880</v>
      </c>
      <c r="H901">
        <v>0</v>
      </c>
      <c r="I901">
        <v>1</v>
      </c>
      <c r="J901">
        <v>1</v>
      </c>
      <c r="K901">
        <v>1</v>
      </c>
      <c r="L901" s="22" t="str">
        <f t="shared" si="301"/>
        <v>25/07/2026</v>
      </c>
      <c r="M901" s="23">
        <f t="shared" si="302"/>
        <v>8.3333333333333343E-2</v>
      </c>
      <c r="N901" t="str">
        <f t="shared" si="303"/>
        <v>1 - 1</v>
      </c>
      <c r="O901" t="str">
        <f t="shared" si="304"/>
        <v>Red</v>
      </c>
      <c r="P901" t="str">
        <f t="shared" si="305"/>
        <v>Green</v>
      </c>
      <c r="Q901" t="str">
        <f t="shared" si="306"/>
        <v>Red</v>
      </c>
      <c r="R901" t="str">
        <f t="shared" si="307"/>
        <v>Green</v>
      </c>
      <c r="S901" t="str">
        <f t="shared" si="308"/>
        <v>Green</v>
      </c>
      <c r="T901" t="str">
        <f t="shared" si="309"/>
        <v>Red</v>
      </c>
      <c r="U901" t="str">
        <f t="shared" si="310"/>
        <v>Red</v>
      </c>
      <c r="V901" t="str">
        <f t="shared" si="311"/>
        <v>Red</v>
      </c>
      <c r="W901" t="str">
        <f t="shared" si="312"/>
        <v>Green</v>
      </c>
      <c r="X901" t="str">
        <f t="shared" si="313"/>
        <v>Green</v>
      </c>
      <c r="Y901" t="str">
        <f t="shared" si="314"/>
        <v>Green</v>
      </c>
      <c r="Z901" t="str">
        <f t="shared" si="315"/>
        <v>Red</v>
      </c>
      <c r="AA901" t="str">
        <f t="shared" si="316"/>
        <v>Green</v>
      </c>
      <c r="AB901" t="str">
        <f t="shared" si="317"/>
        <v>Green</v>
      </c>
      <c r="AC901" t="str">
        <f t="shared" si="318"/>
        <v>Green</v>
      </c>
      <c r="AD901" t="str">
        <f t="shared" si="319"/>
        <v>Red</v>
      </c>
    </row>
    <row r="902" spans="1:30" x14ac:dyDescent="0.2">
      <c r="A902" t="str">
        <f t="shared" si="300"/>
        <v>25/07/2026UWA-Nedlands FC ReservesCurtin University SC Reserves</v>
      </c>
      <c r="B902" t="s">
        <v>810</v>
      </c>
      <c r="D902" s="2">
        <v>46228</v>
      </c>
      <c r="E902" s="3">
        <v>0.20833333333333334</v>
      </c>
      <c r="F902" t="s">
        <v>1334</v>
      </c>
      <c r="G902" t="s">
        <v>2881</v>
      </c>
      <c r="H902">
        <v>0</v>
      </c>
      <c r="I902">
        <v>0</v>
      </c>
      <c r="J902">
        <v>2</v>
      </c>
      <c r="K902">
        <v>0</v>
      </c>
      <c r="L902" s="22" t="str">
        <f t="shared" si="301"/>
        <v>25/07/2026</v>
      </c>
      <c r="M902" s="23">
        <f t="shared" si="302"/>
        <v>8.3333333333333343E-2</v>
      </c>
      <c r="N902" t="str">
        <f t="shared" si="303"/>
        <v>2 - 0</v>
      </c>
      <c r="O902" t="str">
        <f t="shared" si="304"/>
        <v>Green</v>
      </c>
      <c r="P902" t="str">
        <f t="shared" si="305"/>
        <v>Red</v>
      </c>
      <c r="Q902" t="str">
        <f t="shared" si="306"/>
        <v>Red</v>
      </c>
      <c r="R902" t="str">
        <f t="shared" si="307"/>
        <v>Green</v>
      </c>
      <c r="S902" t="str">
        <f t="shared" si="308"/>
        <v>Red</v>
      </c>
      <c r="T902" t="str">
        <f t="shared" si="309"/>
        <v>Green</v>
      </c>
      <c r="U902" t="str">
        <f t="shared" si="310"/>
        <v>Red</v>
      </c>
      <c r="V902" t="str">
        <f t="shared" si="311"/>
        <v>Green</v>
      </c>
      <c r="W902" t="str">
        <f t="shared" si="312"/>
        <v>Red</v>
      </c>
      <c r="X902" t="str">
        <f t="shared" si="313"/>
        <v>Red</v>
      </c>
      <c r="Y902" t="str">
        <f t="shared" si="314"/>
        <v>Green</v>
      </c>
      <c r="Z902" t="str">
        <f t="shared" si="315"/>
        <v>Red</v>
      </c>
      <c r="AA902" t="str">
        <f t="shared" si="316"/>
        <v>Green</v>
      </c>
      <c r="AB902" t="str">
        <f t="shared" si="317"/>
        <v>Green</v>
      </c>
      <c r="AC902" t="str">
        <f t="shared" si="318"/>
        <v>Red</v>
      </c>
      <c r="AD902" t="str">
        <f t="shared" si="319"/>
        <v>Green</v>
      </c>
    </row>
    <row r="903" spans="1:30" x14ac:dyDescent="0.2">
      <c r="A903" t="str">
        <f t="shared" si="300"/>
        <v>25/07/2026Gold Coast United WomenSunshine Coast Women</v>
      </c>
      <c r="B903" t="s">
        <v>810</v>
      </c>
      <c r="D903" s="2">
        <v>46228</v>
      </c>
      <c r="E903" s="3">
        <v>0.20833333333333334</v>
      </c>
      <c r="F903" t="s">
        <v>2922</v>
      </c>
      <c r="G903" t="s">
        <v>2923</v>
      </c>
      <c r="L903" s="22" t="str">
        <f t="shared" si="301"/>
        <v>25/07/2026</v>
      </c>
      <c r="M903" s="23">
        <f t="shared" si="302"/>
        <v>8.3333333333333343E-2</v>
      </c>
      <c r="N903" t="str">
        <f t="shared" si="303"/>
        <v xml:space="preserve"> - </v>
      </c>
      <c r="O903" t="str">
        <f t="shared" si="304"/>
        <v>Red</v>
      </c>
      <c r="P903" t="str">
        <f t="shared" si="305"/>
        <v>Green</v>
      </c>
      <c r="Q903" t="str">
        <f t="shared" si="306"/>
        <v>Red</v>
      </c>
      <c r="R903" t="str">
        <f t="shared" si="307"/>
        <v>Green</v>
      </c>
      <c r="S903" t="str">
        <f t="shared" si="308"/>
        <v>Green</v>
      </c>
      <c r="T903" t="str">
        <f t="shared" si="309"/>
        <v>Red</v>
      </c>
      <c r="U903" t="str">
        <f t="shared" si="310"/>
        <v>Red</v>
      </c>
      <c r="V903" t="str">
        <f t="shared" si="311"/>
        <v>Green</v>
      </c>
      <c r="W903" t="str">
        <f t="shared" si="312"/>
        <v>Red</v>
      </c>
      <c r="X903" t="str">
        <f t="shared" si="313"/>
        <v>Red</v>
      </c>
      <c r="Y903" t="str">
        <f t="shared" si="314"/>
        <v>Red</v>
      </c>
      <c r="Z903" t="str">
        <f t="shared" si="315"/>
        <v>Red</v>
      </c>
      <c r="AA903" t="str">
        <f t="shared" si="316"/>
        <v>Green</v>
      </c>
      <c r="AB903" t="str">
        <f t="shared" si="317"/>
        <v>Green</v>
      </c>
      <c r="AC903" t="str">
        <f t="shared" si="318"/>
        <v>Red</v>
      </c>
      <c r="AD903" t="str">
        <f t="shared" si="319"/>
        <v>Green</v>
      </c>
    </row>
    <row r="904" spans="1:30" x14ac:dyDescent="0.2">
      <c r="A904" t="str">
        <f t="shared" si="300"/>
        <v>25/07/2026North West Sydney WomenHills Brumbies Women</v>
      </c>
      <c r="B904" t="s">
        <v>810</v>
      </c>
      <c r="D904" s="2">
        <v>46228</v>
      </c>
      <c r="E904" s="3">
        <v>0.20833333333333334</v>
      </c>
      <c r="F904" t="s">
        <v>2927</v>
      </c>
      <c r="G904" t="s">
        <v>2928</v>
      </c>
      <c r="H904">
        <v>0</v>
      </c>
      <c r="I904">
        <v>0</v>
      </c>
      <c r="J904">
        <v>1</v>
      </c>
      <c r="K904">
        <v>0</v>
      </c>
      <c r="L904" s="22" t="str">
        <f t="shared" si="301"/>
        <v>25/07/2026</v>
      </c>
      <c r="M904" s="23">
        <f t="shared" si="302"/>
        <v>8.3333333333333343E-2</v>
      </c>
      <c r="N904" t="str">
        <f t="shared" si="303"/>
        <v>1 - 0</v>
      </c>
      <c r="O904" t="str">
        <f t="shared" si="304"/>
        <v>Green</v>
      </c>
      <c r="P904" t="str">
        <f t="shared" si="305"/>
        <v>Red</v>
      </c>
      <c r="Q904" t="str">
        <f t="shared" si="306"/>
        <v>Red</v>
      </c>
      <c r="R904" t="str">
        <f t="shared" si="307"/>
        <v>Green</v>
      </c>
      <c r="S904" t="str">
        <f t="shared" si="308"/>
        <v>Red</v>
      </c>
      <c r="T904" t="str">
        <f t="shared" si="309"/>
        <v>Green</v>
      </c>
      <c r="U904" t="str">
        <f t="shared" si="310"/>
        <v>Red</v>
      </c>
      <c r="V904" t="str">
        <f t="shared" si="311"/>
        <v>Green</v>
      </c>
      <c r="W904" t="str">
        <f t="shared" si="312"/>
        <v>Red</v>
      </c>
      <c r="X904" t="str">
        <f t="shared" si="313"/>
        <v>Red</v>
      </c>
      <c r="Y904" t="str">
        <f t="shared" si="314"/>
        <v>Red</v>
      </c>
      <c r="Z904" t="str">
        <f t="shared" si="315"/>
        <v>Red</v>
      </c>
      <c r="AA904" t="str">
        <f t="shared" si="316"/>
        <v>Green</v>
      </c>
      <c r="AB904" t="str">
        <f t="shared" si="317"/>
        <v>Green</v>
      </c>
      <c r="AC904" t="str">
        <f t="shared" si="318"/>
        <v>Red</v>
      </c>
      <c r="AD904" t="str">
        <f t="shared" si="319"/>
        <v>Green</v>
      </c>
    </row>
    <row r="905" spans="1:30" x14ac:dyDescent="0.2">
      <c r="A905" t="str">
        <f t="shared" si="300"/>
        <v>25/07/2026Essendon Royals SC WomenMelbourne Victory Reserves Women</v>
      </c>
      <c r="B905" t="s">
        <v>810</v>
      </c>
      <c r="D905" s="2">
        <v>46228</v>
      </c>
      <c r="E905" s="3">
        <v>0.20833333333333334</v>
      </c>
      <c r="F905" t="s">
        <v>2933</v>
      </c>
      <c r="G905" t="s">
        <v>2934</v>
      </c>
      <c r="H905">
        <v>1</v>
      </c>
      <c r="I905">
        <v>0</v>
      </c>
      <c r="J905">
        <v>6</v>
      </c>
      <c r="K905">
        <v>0</v>
      </c>
      <c r="L905" s="22" t="str">
        <f t="shared" si="301"/>
        <v>25/07/2026</v>
      </c>
      <c r="M905" s="23">
        <f t="shared" si="302"/>
        <v>8.3333333333333343E-2</v>
      </c>
      <c r="N905" t="str">
        <f t="shared" si="303"/>
        <v>6 - 0</v>
      </c>
      <c r="O905" t="str">
        <f t="shared" si="304"/>
        <v>Green</v>
      </c>
      <c r="P905" t="str">
        <f t="shared" si="305"/>
        <v>Red</v>
      </c>
      <c r="Q905" t="str">
        <f t="shared" si="306"/>
        <v>Red</v>
      </c>
      <c r="R905" t="str">
        <f t="shared" si="307"/>
        <v>Green</v>
      </c>
      <c r="S905" t="str">
        <f t="shared" si="308"/>
        <v>Red</v>
      </c>
      <c r="T905" t="str">
        <f t="shared" si="309"/>
        <v>Green</v>
      </c>
      <c r="U905" t="str">
        <f t="shared" si="310"/>
        <v>Green</v>
      </c>
      <c r="V905" t="str">
        <f t="shared" si="311"/>
        <v>Red</v>
      </c>
      <c r="W905" t="str">
        <f t="shared" si="312"/>
        <v>Red</v>
      </c>
      <c r="X905" t="str">
        <f t="shared" si="313"/>
        <v>Green</v>
      </c>
      <c r="Y905" t="str">
        <f t="shared" si="314"/>
        <v>Green</v>
      </c>
      <c r="Z905" t="str">
        <f t="shared" si="315"/>
        <v>Green</v>
      </c>
      <c r="AA905" t="str">
        <f t="shared" si="316"/>
        <v>Red</v>
      </c>
      <c r="AB905" t="str">
        <f t="shared" si="317"/>
        <v>Red</v>
      </c>
      <c r="AC905" t="str">
        <f t="shared" si="318"/>
        <v>Red</v>
      </c>
      <c r="AD905" t="str">
        <f t="shared" si="319"/>
        <v>Green</v>
      </c>
    </row>
    <row r="906" spans="1:30" x14ac:dyDescent="0.2">
      <c r="A906" t="str">
        <f t="shared" si="300"/>
        <v>25/07/2026Perth Glory U23Dianella White Eagle U23</v>
      </c>
      <c r="B906" t="s">
        <v>810</v>
      </c>
      <c r="D906" s="2">
        <v>46228</v>
      </c>
      <c r="E906" s="3">
        <v>0.20833333333333334</v>
      </c>
      <c r="F906" t="s">
        <v>2989</v>
      </c>
      <c r="G906" t="s">
        <v>2990</v>
      </c>
      <c r="H906">
        <v>3</v>
      </c>
      <c r="I906">
        <v>0</v>
      </c>
      <c r="J906">
        <v>5</v>
      </c>
      <c r="K906">
        <v>1</v>
      </c>
      <c r="L906" s="22" t="str">
        <f t="shared" si="301"/>
        <v>25/07/2026</v>
      </c>
      <c r="M906" s="23">
        <f t="shared" si="302"/>
        <v>8.3333333333333343E-2</v>
      </c>
      <c r="N906" t="str">
        <f t="shared" si="303"/>
        <v>5 - 1</v>
      </c>
      <c r="O906" t="str">
        <f t="shared" si="304"/>
        <v>Green</v>
      </c>
      <c r="P906" t="str">
        <f t="shared" si="305"/>
        <v>Red</v>
      </c>
      <c r="Q906" t="str">
        <f t="shared" si="306"/>
        <v>Red</v>
      </c>
      <c r="R906" t="str">
        <f t="shared" si="307"/>
        <v>Green</v>
      </c>
      <c r="S906" t="str">
        <f t="shared" si="308"/>
        <v>Red</v>
      </c>
      <c r="T906" t="str">
        <f t="shared" si="309"/>
        <v>Green</v>
      </c>
      <c r="U906" t="str">
        <f t="shared" si="310"/>
        <v>Green</v>
      </c>
      <c r="V906" t="str">
        <f t="shared" si="311"/>
        <v>Red</v>
      </c>
      <c r="W906" t="str">
        <f t="shared" si="312"/>
        <v>Red</v>
      </c>
      <c r="X906" t="str">
        <f t="shared" si="313"/>
        <v>Green</v>
      </c>
      <c r="Y906" t="str">
        <f t="shared" si="314"/>
        <v>Green</v>
      </c>
      <c r="Z906" t="str">
        <f t="shared" si="315"/>
        <v>Green</v>
      </c>
      <c r="AA906" t="str">
        <f t="shared" si="316"/>
        <v>Red</v>
      </c>
      <c r="AB906" t="str">
        <f t="shared" si="317"/>
        <v>Red</v>
      </c>
      <c r="AC906" t="str">
        <f t="shared" si="318"/>
        <v>Green</v>
      </c>
      <c r="AD906" t="str">
        <f t="shared" si="319"/>
        <v>Red</v>
      </c>
    </row>
    <row r="907" spans="1:30" x14ac:dyDescent="0.2">
      <c r="A907" t="str">
        <f t="shared" si="300"/>
        <v>25/07/2026Perth RedStar U23Balcatta U23</v>
      </c>
      <c r="B907" t="s">
        <v>810</v>
      </c>
      <c r="D907" s="2">
        <v>46228</v>
      </c>
      <c r="E907" s="3">
        <v>0.20833333333333334</v>
      </c>
      <c r="F907" t="s">
        <v>2991</v>
      </c>
      <c r="G907" t="s">
        <v>2992</v>
      </c>
      <c r="H907">
        <v>1</v>
      </c>
      <c r="I907">
        <v>1</v>
      </c>
      <c r="J907">
        <v>4</v>
      </c>
      <c r="K907">
        <v>1</v>
      </c>
      <c r="L907" s="22" t="str">
        <f t="shared" si="301"/>
        <v>25/07/2026</v>
      </c>
      <c r="M907" s="23">
        <f t="shared" si="302"/>
        <v>8.3333333333333343E-2</v>
      </c>
      <c r="N907" t="str">
        <f t="shared" si="303"/>
        <v>4 - 1</v>
      </c>
      <c r="O907" t="str">
        <f t="shared" si="304"/>
        <v>Green</v>
      </c>
      <c r="P907" t="str">
        <f t="shared" si="305"/>
        <v>Red</v>
      </c>
      <c r="Q907" t="str">
        <f t="shared" si="306"/>
        <v>Red</v>
      </c>
      <c r="R907" t="str">
        <f t="shared" si="307"/>
        <v>Green</v>
      </c>
      <c r="S907" t="str">
        <f t="shared" si="308"/>
        <v>Red</v>
      </c>
      <c r="T907" t="str">
        <f t="shared" si="309"/>
        <v>Green</v>
      </c>
      <c r="U907" t="str">
        <f t="shared" si="310"/>
        <v>Red</v>
      </c>
      <c r="V907" t="str">
        <f t="shared" si="311"/>
        <v>Green</v>
      </c>
      <c r="W907" t="str">
        <f t="shared" si="312"/>
        <v>Red</v>
      </c>
      <c r="X907" t="str">
        <f t="shared" si="313"/>
        <v>Green</v>
      </c>
      <c r="Y907" t="str">
        <f t="shared" si="314"/>
        <v>Green</v>
      </c>
      <c r="Z907" t="str">
        <f t="shared" si="315"/>
        <v>Green</v>
      </c>
      <c r="AA907" t="str">
        <f t="shared" si="316"/>
        <v>Red</v>
      </c>
      <c r="AB907" t="str">
        <f t="shared" si="317"/>
        <v>Red</v>
      </c>
      <c r="AC907" t="str">
        <f t="shared" si="318"/>
        <v>Green</v>
      </c>
      <c r="AD907" t="str">
        <f t="shared" si="319"/>
        <v>Red</v>
      </c>
    </row>
    <row r="908" spans="1:30" x14ac:dyDescent="0.2">
      <c r="A908" t="str">
        <f t="shared" si="300"/>
        <v>25/07/2026Perth SC U23Bayswater City U23</v>
      </c>
      <c r="B908" t="s">
        <v>810</v>
      </c>
      <c r="D908" s="2">
        <v>46228</v>
      </c>
      <c r="E908" s="3">
        <v>0.20833333333333334</v>
      </c>
      <c r="F908" t="s">
        <v>2993</v>
      </c>
      <c r="G908" t="s">
        <v>2994</v>
      </c>
      <c r="H908">
        <v>1</v>
      </c>
      <c r="I908">
        <v>0</v>
      </c>
      <c r="J908">
        <v>3</v>
      </c>
      <c r="K908">
        <v>0</v>
      </c>
      <c r="L908" s="22" t="str">
        <f t="shared" si="301"/>
        <v>25/07/2026</v>
      </c>
      <c r="M908" s="23">
        <f t="shared" si="302"/>
        <v>8.3333333333333343E-2</v>
      </c>
      <c r="N908" t="str">
        <f t="shared" si="303"/>
        <v>3 - 0</v>
      </c>
      <c r="O908" t="str">
        <f t="shared" si="304"/>
        <v>Green</v>
      </c>
      <c r="P908" t="str">
        <f t="shared" si="305"/>
        <v>Red</v>
      </c>
      <c r="Q908" t="str">
        <f t="shared" si="306"/>
        <v>Red</v>
      </c>
      <c r="R908" t="str">
        <f t="shared" si="307"/>
        <v>Green</v>
      </c>
      <c r="S908" t="str">
        <f t="shared" si="308"/>
        <v>Red</v>
      </c>
      <c r="T908" t="str">
        <f t="shared" si="309"/>
        <v>Green</v>
      </c>
      <c r="U908" t="str">
        <f t="shared" si="310"/>
        <v>Green</v>
      </c>
      <c r="V908" t="str">
        <f t="shared" si="311"/>
        <v>Red</v>
      </c>
      <c r="W908" t="str">
        <f t="shared" si="312"/>
        <v>Red</v>
      </c>
      <c r="X908" t="str">
        <f t="shared" si="313"/>
        <v>Green</v>
      </c>
      <c r="Y908" t="str">
        <f t="shared" si="314"/>
        <v>Green</v>
      </c>
      <c r="Z908" t="str">
        <f t="shared" si="315"/>
        <v>Green</v>
      </c>
      <c r="AA908" t="str">
        <f t="shared" si="316"/>
        <v>Red</v>
      </c>
      <c r="AB908" t="str">
        <f t="shared" si="317"/>
        <v>Green</v>
      </c>
      <c r="AC908" t="str">
        <f t="shared" si="318"/>
        <v>Red</v>
      </c>
      <c r="AD908" t="str">
        <f t="shared" si="319"/>
        <v>Green</v>
      </c>
    </row>
    <row r="909" spans="1:30" x14ac:dyDescent="0.2">
      <c r="A909" t="str">
        <f t="shared" si="300"/>
        <v>25/07/2026Stirling Lions U23Armadale U23</v>
      </c>
      <c r="B909" t="s">
        <v>810</v>
      </c>
      <c r="D909" s="2">
        <v>46228</v>
      </c>
      <c r="E909" s="3">
        <v>0.20833333333333334</v>
      </c>
      <c r="F909" t="s">
        <v>2995</v>
      </c>
      <c r="G909" t="s">
        <v>2996</v>
      </c>
      <c r="H909">
        <v>1</v>
      </c>
      <c r="I909">
        <v>0</v>
      </c>
      <c r="J909">
        <v>3</v>
      </c>
      <c r="K909">
        <v>0</v>
      </c>
      <c r="L909" s="22" t="str">
        <f t="shared" si="301"/>
        <v>25/07/2026</v>
      </c>
      <c r="M909" s="23">
        <f t="shared" si="302"/>
        <v>8.3333333333333343E-2</v>
      </c>
      <c r="N909" t="str">
        <f t="shared" si="303"/>
        <v>3 - 0</v>
      </c>
      <c r="O909" t="str">
        <f t="shared" si="304"/>
        <v>Green</v>
      </c>
      <c r="P909" t="str">
        <f t="shared" si="305"/>
        <v>Red</v>
      </c>
      <c r="Q909" t="str">
        <f t="shared" si="306"/>
        <v>Red</v>
      </c>
      <c r="R909" t="str">
        <f t="shared" si="307"/>
        <v>Green</v>
      </c>
      <c r="S909" t="str">
        <f t="shared" si="308"/>
        <v>Red</v>
      </c>
      <c r="T909" t="str">
        <f t="shared" si="309"/>
        <v>Green</v>
      </c>
      <c r="U909" t="str">
        <f t="shared" si="310"/>
        <v>Green</v>
      </c>
      <c r="V909" t="str">
        <f t="shared" si="311"/>
        <v>Red</v>
      </c>
      <c r="W909" t="str">
        <f t="shared" si="312"/>
        <v>Red</v>
      </c>
      <c r="X909" t="str">
        <f t="shared" si="313"/>
        <v>Green</v>
      </c>
      <c r="Y909" t="str">
        <f t="shared" si="314"/>
        <v>Green</v>
      </c>
      <c r="Z909" t="str">
        <f t="shared" si="315"/>
        <v>Green</v>
      </c>
      <c r="AA909" t="str">
        <f t="shared" si="316"/>
        <v>Red</v>
      </c>
      <c r="AB909" t="str">
        <f t="shared" si="317"/>
        <v>Green</v>
      </c>
      <c r="AC909" t="str">
        <f t="shared" si="318"/>
        <v>Red</v>
      </c>
      <c r="AD909" t="str">
        <f t="shared" si="319"/>
        <v>Green</v>
      </c>
    </row>
    <row r="910" spans="1:30" x14ac:dyDescent="0.2">
      <c r="A910" t="str">
        <f t="shared" si="300"/>
        <v>25/07/2026Western Knights U23Olympic Kingsway SC U23</v>
      </c>
      <c r="B910" t="s">
        <v>810</v>
      </c>
      <c r="D910" s="2">
        <v>46228</v>
      </c>
      <c r="E910" s="3">
        <v>0.20833333333333334</v>
      </c>
      <c r="F910" t="s">
        <v>2997</v>
      </c>
      <c r="G910" t="s">
        <v>2998</v>
      </c>
      <c r="H910">
        <v>2</v>
      </c>
      <c r="I910">
        <v>1</v>
      </c>
      <c r="J910">
        <v>3</v>
      </c>
      <c r="K910">
        <v>2</v>
      </c>
      <c r="L910" s="22" t="str">
        <f t="shared" si="301"/>
        <v>25/07/2026</v>
      </c>
      <c r="M910" s="23">
        <f t="shared" si="302"/>
        <v>8.3333333333333343E-2</v>
      </c>
      <c r="N910" t="str">
        <f t="shared" si="303"/>
        <v>3 - 2</v>
      </c>
      <c r="O910" t="str">
        <f t="shared" si="304"/>
        <v>Green</v>
      </c>
      <c r="P910" t="str">
        <f t="shared" si="305"/>
        <v>Red</v>
      </c>
      <c r="Q910" t="str">
        <f t="shared" si="306"/>
        <v>Red</v>
      </c>
      <c r="R910" t="str">
        <f t="shared" si="307"/>
        <v>Green</v>
      </c>
      <c r="S910" t="str">
        <f t="shared" si="308"/>
        <v>Red</v>
      </c>
      <c r="T910" t="str">
        <f t="shared" si="309"/>
        <v>Green</v>
      </c>
      <c r="U910" t="str">
        <f t="shared" si="310"/>
        <v>Green</v>
      </c>
      <c r="V910" t="str">
        <f t="shared" si="311"/>
        <v>Red</v>
      </c>
      <c r="W910" t="str">
        <f t="shared" si="312"/>
        <v>Red</v>
      </c>
      <c r="X910" t="str">
        <f t="shared" si="313"/>
        <v>Green</v>
      </c>
      <c r="Y910" t="str">
        <f t="shared" si="314"/>
        <v>Green</v>
      </c>
      <c r="Z910" t="str">
        <f t="shared" si="315"/>
        <v>Green</v>
      </c>
      <c r="AA910" t="str">
        <f t="shared" si="316"/>
        <v>Red</v>
      </c>
      <c r="AB910" t="str">
        <f t="shared" si="317"/>
        <v>Red</v>
      </c>
      <c r="AC910" t="str">
        <f t="shared" si="318"/>
        <v>Green</v>
      </c>
      <c r="AD910" t="str">
        <f t="shared" si="319"/>
        <v>Red</v>
      </c>
    </row>
    <row r="911" spans="1:30" x14ac:dyDescent="0.2">
      <c r="A911" t="str">
        <f t="shared" si="300"/>
        <v>25/07/2026Manningham UnitedMelbourne Knights</v>
      </c>
      <c r="B911" t="s">
        <v>810</v>
      </c>
      <c r="D911" s="2">
        <v>46228</v>
      </c>
      <c r="E911" s="3">
        <v>0.21875</v>
      </c>
      <c r="F911" t="s">
        <v>2819</v>
      </c>
      <c r="G911" t="s">
        <v>2820</v>
      </c>
      <c r="H911">
        <v>1</v>
      </c>
      <c r="I911">
        <v>5</v>
      </c>
      <c r="J911">
        <v>1</v>
      </c>
      <c r="K911">
        <v>5</v>
      </c>
      <c r="L911" s="22" t="str">
        <f t="shared" si="301"/>
        <v>25/07/2026</v>
      </c>
      <c r="M911" s="23">
        <f t="shared" si="302"/>
        <v>9.375E-2</v>
      </c>
      <c r="N911" t="str">
        <f t="shared" si="303"/>
        <v>1 - 5</v>
      </c>
      <c r="O911" t="str">
        <f t="shared" si="304"/>
        <v>Red</v>
      </c>
      <c r="P911" t="str">
        <f t="shared" si="305"/>
        <v>Red</v>
      </c>
      <c r="Q911" t="str">
        <f t="shared" si="306"/>
        <v>Green</v>
      </c>
      <c r="R911" t="str">
        <f t="shared" si="307"/>
        <v>Red</v>
      </c>
      <c r="S911" t="str">
        <f t="shared" si="308"/>
        <v>Green</v>
      </c>
      <c r="T911" t="str">
        <f t="shared" si="309"/>
        <v>Green</v>
      </c>
      <c r="U911" t="str">
        <f t="shared" si="310"/>
        <v>Red</v>
      </c>
      <c r="V911" t="str">
        <f t="shared" si="311"/>
        <v>Red</v>
      </c>
      <c r="W911" t="str">
        <f t="shared" si="312"/>
        <v>Green</v>
      </c>
      <c r="X911" t="str">
        <f t="shared" si="313"/>
        <v>Green</v>
      </c>
      <c r="Y911" t="str">
        <f t="shared" si="314"/>
        <v>Green</v>
      </c>
      <c r="Z911" t="str">
        <f t="shared" si="315"/>
        <v>Green</v>
      </c>
      <c r="AA911" t="str">
        <f t="shared" si="316"/>
        <v>Red</v>
      </c>
      <c r="AB911" t="str">
        <f t="shared" si="317"/>
        <v>Red</v>
      </c>
      <c r="AC911" t="str">
        <f t="shared" si="318"/>
        <v>Green</v>
      </c>
      <c r="AD911" t="str">
        <f t="shared" si="319"/>
        <v>Red</v>
      </c>
    </row>
    <row r="912" spans="1:30" x14ac:dyDescent="0.2">
      <c r="A912" t="str">
        <f t="shared" si="300"/>
        <v>25/07/2026Adelaide CometsWhite City</v>
      </c>
      <c r="B912" t="s">
        <v>810</v>
      </c>
      <c r="D912" s="2">
        <v>46228</v>
      </c>
      <c r="E912" s="3">
        <v>0.22916666666666666</v>
      </c>
      <c r="F912" t="s">
        <v>505</v>
      </c>
      <c r="G912" t="s">
        <v>2807</v>
      </c>
      <c r="H912">
        <v>1</v>
      </c>
      <c r="I912">
        <v>0</v>
      </c>
      <c r="J912">
        <v>1</v>
      </c>
      <c r="K912">
        <v>0</v>
      </c>
      <c r="L912" s="22" t="str">
        <f t="shared" si="301"/>
        <v>25/07/2026</v>
      </c>
      <c r="M912" s="23">
        <f t="shared" si="302"/>
        <v>0.10416666666666666</v>
      </c>
      <c r="N912" t="str">
        <f t="shared" si="303"/>
        <v>1 - 0</v>
      </c>
      <c r="O912" t="str">
        <f t="shared" si="304"/>
        <v>Green</v>
      </c>
      <c r="P912" t="str">
        <f t="shared" si="305"/>
        <v>Red</v>
      </c>
      <c r="Q912" t="str">
        <f t="shared" si="306"/>
        <v>Red</v>
      </c>
      <c r="R912" t="str">
        <f t="shared" si="307"/>
        <v>Green</v>
      </c>
      <c r="S912" t="str">
        <f t="shared" si="308"/>
        <v>Red</v>
      </c>
      <c r="T912" t="str">
        <f t="shared" si="309"/>
        <v>Green</v>
      </c>
      <c r="U912" t="str">
        <f t="shared" si="310"/>
        <v>Green</v>
      </c>
      <c r="V912" t="str">
        <f t="shared" si="311"/>
        <v>Red</v>
      </c>
      <c r="W912" t="str">
        <f t="shared" si="312"/>
        <v>Red</v>
      </c>
      <c r="X912" t="str">
        <f t="shared" si="313"/>
        <v>Green</v>
      </c>
      <c r="Y912" t="str">
        <f t="shared" si="314"/>
        <v>Red</v>
      </c>
      <c r="Z912" t="str">
        <f t="shared" si="315"/>
        <v>Red</v>
      </c>
      <c r="AA912" t="str">
        <f t="shared" si="316"/>
        <v>Green</v>
      </c>
      <c r="AB912" t="str">
        <f t="shared" si="317"/>
        <v>Green</v>
      </c>
      <c r="AC912" t="str">
        <f t="shared" si="318"/>
        <v>Red</v>
      </c>
      <c r="AD912" t="str">
        <f t="shared" si="319"/>
        <v>Green</v>
      </c>
    </row>
    <row r="913" spans="1:30" x14ac:dyDescent="0.2">
      <c r="A913" t="str">
        <f t="shared" si="300"/>
        <v>25/07/2026Adelaide United U21Sturt Lions</v>
      </c>
      <c r="B913" t="s">
        <v>810</v>
      </c>
      <c r="D913" s="2">
        <v>46228</v>
      </c>
      <c r="E913" s="3">
        <v>0.22916666666666666</v>
      </c>
      <c r="F913" t="s">
        <v>2808</v>
      </c>
      <c r="G913" t="s">
        <v>508</v>
      </c>
      <c r="H913">
        <v>1</v>
      </c>
      <c r="I913">
        <v>2</v>
      </c>
      <c r="J913">
        <v>2</v>
      </c>
      <c r="K913">
        <v>3</v>
      </c>
      <c r="L913" s="22" t="str">
        <f t="shared" si="301"/>
        <v>25/07/2026</v>
      </c>
      <c r="M913" s="23">
        <f t="shared" si="302"/>
        <v>0.10416666666666666</v>
      </c>
      <c r="N913" t="str">
        <f t="shared" si="303"/>
        <v>2 - 3</v>
      </c>
      <c r="O913" t="str">
        <f t="shared" si="304"/>
        <v>Red</v>
      </c>
      <c r="P913" t="str">
        <f t="shared" si="305"/>
        <v>Red</v>
      </c>
      <c r="Q913" t="str">
        <f t="shared" si="306"/>
        <v>Green</v>
      </c>
      <c r="R913" t="str">
        <f t="shared" si="307"/>
        <v>Red</v>
      </c>
      <c r="S913" t="str">
        <f t="shared" si="308"/>
        <v>Green</v>
      </c>
      <c r="T913" t="str">
        <f t="shared" si="309"/>
        <v>Green</v>
      </c>
      <c r="U913" t="str">
        <f t="shared" si="310"/>
        <v>Red</v>
      </c>
      <c r="V913" t="str">
        <f t="shared" si="311"/>
        <v>Red</v>
      </c>
      <c r="W913" t="str">
        <f t="shared" si="312"/>
        <v>Green</v>
      </c>
      <c r="X913" t="str">
        <f t="shared" si="313"/>
        <v>Green</v>
      </c>
      <c r="Y913" t="str">
        <f t="shared" si="314"/>
        <v>Green</v>
      </c>
      <c r="Z913" t="str">
        <f t="shared" si="315"/>
        <v>Green</v>
      </c>
      <c r="AA913" t="str">
        <f t="shared" si="316"/>
        <v>Red</v>
      </c>
      <c r="AB913" t="str">
        <f t="shared" si="317"/>
        <v>Red</v>
      </c>
      <c r="AC913" t="str">
        <f t="shared" si="318"/>
        <v>Green</v>
      </c>
      <c r="AD913" t="str">
        <f t="shared" si="319"/>
        <v>Red</v>
      </c>
    </row>
    <row r="914" spans="1:30" x14ac:dyDescent="0.2">
      <c r="A914" t="str">
        <f t="shared" si="300"/>
        <v>25/07/2026Para Hills KnightsPlayford City</v>
      </c>
      <c r="B914" t="s">
        <v>810</v>
      </c>
      <c r="D914" s="2">
        <v>46228</v>
      </c>
      <c r="E914" s="3">
        <v>0.22916666666666666</v>
      </c>
      <c r="F914" t="s">
        <v>509</v>
      </c>
      <c r="G914" t="s">
        <v>1287</v>
      </c>
      <c r="H914">
        <v>1</v>
      </c>
      <c r="I914">
        <v>0</v>
      </c>
      <c r="J914">
        <v>2</v>
      </c>
      <c r="K914">
        <v>4</v>
      </c>
      <c r="L914" s="22" t="str">
        <f t="shared" si="301"/>
        <v>25/07/2026</v>
      </c>
      <c r="M914" s="23">
        <f t="shared" si="302"/>
        <v>0.10416666666666666</v>
      </c>
      <c r="N914" t="str">
        <f t="shared" si="303"/>
        <v>2 - 4</v>
      </c>
      <c r="O914" t="str">
        <f t="shared" si="304"/>
        <v>Red</v>
      </c>
      <c r="P914" t="str">
        <f t="shared" si="305"/>
        <v>Red</v>
      </c>
      <c r="Q914" t="str">
        <f t="shared" si="306"/>
        <v>Green</v>
      </c>
      <c r="R914" t="str">
        <f t="shared" si="307"/>
        <v>Red</v>
      </c>
      <c r="S914" t="str">
        <f t="shared" si="308"/>
        <v>Green</v>
      </c>
      <c r="T914" t="str">
        <f t="shared" si="309"/>
        <v>Green</v>
      </c>
      <c r="U914" t="str">
        <f t="shared" si="310"/>
        <v>Green</v>
      </c>
      <c r="V914" t="str">
        <f t="shared" si="311"/>
        <v>Red</v>
      </c>
      <c r="W914" t="str">
        <f t="shared" si="312"/>
        <v>Red</v>
      </c>
      <c r="X914" t="str">
        <f t="shared" si="313"/>
        <v>Green</v>
      </c>
      <c r="Y914" t="str">
        <f t="shared" si="314"/>
        <v>Green</v>
      </c>
      <c r="Z914" t="str">
        <f t="shared" si="315"/>
        <v>Green</v>
      </c>
      <c r="AA914" t="str">
        <f t="shared" si="316"/>
        <v>Red</v>
      </c>
      <c r="AB914" t="str">
        <f t="shared" si="317"/>
        <v>Red</v>
      </c>
      <c r="AC914" t="str">
        <f t="shared" si="318"/>
        <v>Green</v>
      </c>
      <c r="AD914" t="str">
        <f t="shared" si="319"/>
        <v>Red</v>
      </c>
    </row>
    <row r="915" spans="1:30" x14ac:dyDescent="0.2">
      <c r="A915" t="str">
        <f t="shared" si="300"/>
        <v>25/07/2026Adelaide RaidersFulham United FC</v>
      </c>
      <c r="B915" t="s">
        <v>810</v>
      </c>
      <c r="D915" s="2">
        <v>46228</v>
      </c>
      <c r="E915" s="3">
        <v>0.22916666666666666</v>
      </c>
      <c r="F915" t="s">
        <v>2837</v>
      </c>
      <c r="G915" t="s">
        <v>2838</v>
      </c>
      <c r="H915">
        <v>0</v>
      </c>
      <c r="I915">
        <v>0</v>
      </c>
      <c r="J915">
        <v>1</v>
      </c>
      <c r="K915">
        <v>0</v>
      </c>
      <c r="L915" s="22" t="str">
        <f t="shared" si="301"/>
        <v>25/07/2026</v>
      </c>
      <c r="M915" s="23">
        <f t="shared" si="302"/>
        <v>0.10416666666666666</v>
      </c>
      <c r="N915" t="str">
        <f t="shared" si="303"/>
        <v>1 - 0</v>
      </c>
      <c r="O915" t="str">
        <f t="shared" si="304"/>
        <v>Green</v>
      </c>
      <c r="P915" t="str">
        <f t="shared" si="305"/>
        <v>Red</v>
      </c>
      <c r="Q915" t="str">
        <f t="shared" si="306"/>
        <v>Red</v>
      </c>
      <c r="R915" t="str">
        <f t="shared" si="307"/>
        <v>Green</v>
      </c>
      <c r="S915" t="str">
        <f t="shared" si="308"/>
        <v>Red</v>
      </c>
      <c r="T915" t="str">
        <f t="shared" si="309"/>
        <v>Green</v>
      </c>
      <c r="U915" t="str">
        <f t="shared" si="310"/>
        <v>Red</v>
      </c>
      <c r="V915" t="str">
        <f t="shared" si="311"/>
        <v>Green</v>
      </c>
      <c r="W915" t="str">
        <f t="shared" si="312"/>
        <v>Red</v>
      </c>
      <c r="X915" t="str">
        <f t="shared" si="313"/>
        <v>Red</v>
      </c>
      <c r="Y915" t="str">
        <f t="shared" si="314"/>
        <v>Red</v>
      </c>
      <c r="Z915" t="str">
        <f t="shared" si="315"/>
        <v>Red</v>
      </c>
      <c r="AA915" t="str">
        <f t="shared" si="316"/>
        <v>Green</v>
      </c>
      <c r="AB915" t="str">
        <f t="shared" si="317"/>
        <v>Green</v>
      </c>
      <c r="AC915" t="str">
        <f t="shared" si="318"/>
        <v>Red</v>
      </c>
      <c r="AD915" t="str">
        <f t="shared" si="319"/>
        <v>Green</v>
      </c>
    </row>
    <row r="916" spans="1:30" x14ac:dyDescent="0.2">
      <c r="A916" t="str">
        <f t="shared" si="300"/>
        <v>25/07/2026Modbury Jets SCAdelaide Victory</v>
      </c>
      <c r="B916" t="s">
        <v>810</v>
      </c>
      <c r="D916" s="2">
        <v>46228</v>
      </c>
      <c r="E916" s="3">
        <v>0.22916666666666666</v>
      </c>
      <c r="F916" t="s">
        <v>2839</v>
      </c>
      <c r="G916" t="s">
        <v>2840</v>
      </c>
      <c r="H916">
        <v>1</v>
      </c>
      <c r="I916">
        <v>0</v>
      </c>
      <c r="J916">
        <v>4</v>
      </c>
      <c r="K916">
        <v>0</v>
      </c>
      <c r="L916" s="22" t="str">
        <f t="shared" si="301"/>
        <v>25/07/2026</v>
      </c>
      <c r="M916" s="23">
        <f t="shared" si="302"/>
        <v>0.10416666666666666</v>
      </c>
      <c r="N916" t="str">
        <f t="shared" si="303"/>
        <v>4 - 0</v>
      </c>
      <c r="O916" t="str">
        <f t="shared" si="304"/>
        <v>Green</v>
      </c>
      <c r="P916" t="str">
        <f t="shared" si="305"/>
        <v>Red</v>
      </c>
      <c r="Q916" t="str">
        <f t="shared" si="306"/>
        <v>Red</v>
      </c>
      <c r="R916" t="str">
        <f t="shared" si="307"/>
        <v>Green</v>
      </c>
      <c r="S916" t="str">
        <f t="shared" si="308"/>
        <v>Red</v>
      </c>
      <c r="T916" t="str">
        <f t="shared" si="309"/>
        <v>Green</v>
      </c>
      <c r="U916" t="str">
        <f t="shared" si="310"/>
        <v>Green</v>
      </c>
      <c r="V916" t="str">
        <f t="shared" si="311"/>
        <v>Red</v>
      </c>
      <c r="W916" t="str">
        <f t="shared" si="312"/>
        <v>Red</v>
      </c>
      <c r="X916" t="str">
        <f t="shared" si="313"/>
        <v>Green</v>
      </c>
      <c r="Y916" t="str">
        <f t="shared" si="314"/>
        <v>Green</v>
      </c>
      <c r="Z916" t="str">
        <f t="shared" si="315"/>
        <v>Green</v>
      </c>
      <c r="AA916" t="str">
        <f t="shared" si="316"/>
        <v>Red</v>
      </c>
      <c r="AB916" t="str">
        <f t="shared" si="317"/>
        <v>Red</v>
      </c>
      <c r="AC916" t="str">
        <f t="shared" si="318"/>
        <v>Red</v>
      </c>
      <c r="AD916" t="str">
        <f t="shared" si="319"/>
        <v>Green</v>
      </c>
    </row>
    <row r="917" spans="1:30" x14ac:dyDescent="0.2">
      <c r="A917" t="str">
        <f t="shared" si="300"/>
        <v>25/07/2026Adelaide TitansWestern Strikers</v>
      </c>
      <c r="B917" t="s">
        <v>810</v>
      </c>
      <c r="D917" s="2">
        <v>46228</v>
      </c>
      <c r="E917" s="3">
        <v>0.22916666666666666</v>
      </c>
      <c r="F917" t="s">
        <v>2846</v>
      </c>
      <c r="G917" t="s">
        <v>2847</v>
      </c>
      <c r="H917">
        <v>0</v>
      </c>
      <c r="I917">
        <v>0</v>
      </c>
      <c r="J917">
        <v>1</v>
      </c>
      <c r="K917">
        <v>2</v>
      </c>
      <c r="L917" s="22" t="str">
        <f t="shared" si="301"/>
        <v>25/07/2026</v>
      </c>
      <c r="M917" s="23">
        <f t="shared" si="302"/>
        <v>0.10416666666666666</v>
      </c>
      <c r="N917" t="str">
        <f t="shared" si="303"/>
        <v>1 - 2</v>
      </c>
      <c r="O917" t="str">
        <f t="shared" si="304"/>
        <v>Red</v>
      </c>
      <c r="P917" t="str">
        <f t="shared" si="305"/>
        <v>Red</v>
      </c>
      <c r="Q917" t="str">
        <f t="shared" si="306"/>
        <v>Green</v>
      </c>
      <c r="R917" t="str">
        <f t="shared" si="307"/>
        <v>Red</v>
      </c>
      <c r="S917" t="str">
        <f t="shared" si="308"/>
        <v>Green</v>
      </c>
      <c r="T917" t="str">
        <f t="shared" si="309"/>
        <v>Green</v>
      </c>
      <c r="U917" t="str">
        <f t="shared" si="310"/>
        <v>Red</v>
      </c>
      <c r="V917" t="str">
        <f t="shared" si="311"/>
        <v>Green</v>
      </c>
      <c r="W917" t="str">
        <f t="shared" si="312"/>
        <v>Red</v>
      </c>
      <c r="X917" t="str">
        <f t="shared" si="313"/>
        <v>Red</v>
      </c>
      <c r="Y917" t="str">
        <f t="shared" si="314"/>
        <v>Green</v>
      </c>
      <c r="Z917" t="str">
        <f t="shared" si="315"/>
        <v>Green</v>
      </c>
      <c r="AA917" t="str">
        <f t="shared" si="316"/>
        <v>Red</v>
      </c>
      <c r="AB917" t="str">
        <f t="shared" si="317"/>
        <v>Green</v>
      </c>
      <c r="AC917" t="str">
        <f t="shared" si="318"/>
        <v>Green</v>
      </c>
      <c r="AD917" t="str">
        <f t="shared" si="319"/>
        <v>Red</v>
      </c>
    </row>
    <row r="918" spans="1:30" x14ac:dyDescent="0.2">
      <c r="A918" t="str">
        <f t="shared" si="300"/>
        <v>25/07/2026Angle ValePontian Eagles</v>
      </c>
      <c r="B918" t="s">
        <v>810</v>
      </c>
      <c r="D918" s="2">
        <v>46228</v>
      </c>
      <c r="E918" s="3">
        <v>0.22916666666666666</v>
      </c>
      <c r="F918" t="s">
        <v>2848</v>
      </c>
      <c r="G918" t="s">
        <v>2849</v>
      </c>
      <c r="H918">
        <v>0</v>
      </c>
      <c r="I918">
        <v>0</v>
      </c>
      <c r="J918">
        <v>1</v>
      </c>
      <c r="K918">
        <v>0</v>
      </c>
      <c r="L918" s="22" t="str">
        <f t="shared" si="301"/>
        <v>25/07/2026</v>
      </c>
      <c r="M918" s="23">
        <f t="shared" si="302"/>
        <v>0.10416666666666666</v>
      </c>
      <c r="N918" t="str">
        <f t="shared" si="303"/>
        <v>1 - 0</v>
      </c>
      <c r="O918" t="str">
        <f t="shared" si="304"/>
        <v>Green</v>
      </c>
      <c r="P918" t="str">
        <f t="shared" si="305"/>
        <v>Red</v>
      </c>
      <c r="Q918" t="str">
        <f t="shared" si="306"/>
        <v>Red</v>
      </c>
      <c r="R918" t="str">
        <f t="shared" si="307"/>
        <v>Green</v>
      </c>
      <c r="S918" t="str">
        <f t="shared" si="308"/>
        <v>Red</v>
      </c>
      <c r="T918" t="str">
        <f t="shared" si="309"/>
        <v>Green</v>
      </c>
      <c r="U918" t="str">
        <f t="shared" si="310"/>
        <v>Red</v>
      </c>
      <c r="V918" t="str">
        <f t="shared" si="311"/>
        <v>Green</v>
      </c>
      <c r="W918" t="str">
        <f t="shared" si="312"/>
        <v>Red</v>
      </c>
      <c r="X918" t="str">
        <f t="shared" si="313"/>
        <v>Red</v>
      </c>
      <c r="Y918" t="str">
        <f t="shared" si="314"/>
        <v>Red</v>
      </c>
      <c r="Z918" t="str">
        <f t="shared" si="315"/>
        <v>Red</v>
      </c>
      <c r="AA918" t="str">
        <f t="shared" si="316"/>
        <v>Green</v>
      </c>
      <c r="AB918" t="str">
        <f t="shared" si="317"/>
        <v>Green</v>
      </c>
      <c r="AC918" t="str">
        <f t="shared" si="318"/>
        <v>Red</v>
      </c>
      <c r="AD918" t="str">
        <f t="shared" si="319"/>
        <v>Green</v>
      </c>
    </row>
    <row r="919" spans="1:30" x14ac:dyDescent="0.2">
      <c r="A919" t="str">
        <f t="shared" si="300"/>
        <v>25/07/2026Barossa UnitedModbury Vista</v>
      </c>
      <c r="B919" t="s">
        <v>810</v>
      </c>
      <c r="D919" s="2">
        <v>46228</v>
      </c>
      <c r="E919" s="3">
        <v>0.22916666666666666</v>
      </c>
      <c r="F919" t="s">
        <v>2850</v>
      </c>
      <c r="G919" t="s">
        <v>2851</v>
      </c>
      <c r="H919">
        <v>0</v>
      </c>
      <c r="I919">
        <v>3</v>
      </c>
      <c r="J919">
        <v>1</v>
      </c>
      <c r="K919">
        <v>8</v>
      </c>
      <c r="L919" s="22" t="str">
        <f t="shared" si="301"/>
        <v>25/07/2026</v>
      </c>
      <c r="M919" s="23">
        <f t="shared" si="302"/>
        <v>0.10416666666666666</v>
      </c>
      <c r="N919" t="str">
        <f t="shared" si="303"/>
        <v>1 - 8</v>
      </c>
      <c r="O919" t="str">
        <f t="shared" si="304"/>
        <v>Red</v>
      </c>
      <c r="P919" t="str">
        <f t="shared" si="305"/>
        <v>Red</v>
      </c>
      <c r="Q919" t="str">
        <f t="shared" si="306"/>
        <v>Green</v>
      </c>
      <c r="R919" t="str">
        <f t="shared" si="307"/>
        <v>Red</v>
      </c>
      <c r="S919" t="str">
        <f t="shared" si="308"/>
        <v>Green</v>
      </c>
      <c r="T919" t="str">
        <f t="shared" si="309"/>
        <v>Green</v>
      </c>
      <c r="U919" t="str">
        <f t="shared" si="310"/>
        <v>Red</v>
      </c>
      <c r="V919" t="str">
        <f t="shared" si="311"/>
        <v>Red</v>
      </c>
      <c r="W919" t="str">
        <f t="shared" si="312"/>
        <v>Green</v>
      </c>
      <c r="X919" t="str">
        <f t="shared" si="313"/>
        <v>Green</v>
      </c>
      <c r="Y919" t="str">
        <f t="shared" si="314"/>
        <v>Green</v>
      </c>
      <c r="Z919" t="str">
        <f t="shared" si="315"/>
        <v>Green</v>
      </c>
      <c r="AA919" t="str">
        <f t="shared" si="316"/>
        <v>Red</v>
      </c>
      <c r="AB919" t="str">
        <f t="shared" si="317"/>
        <v>Red</v>
      </c>
      <c r="AC919" t="str">
        <f t="shared" si="318"/>
        <v>Green</v>
      </c>
      <c r="AD919" t="str">
        <f t="shared" si="319"/>
        <v>Red</v>
      </c>
    </row>
    <row r="920" spans="1:30" x14ac:dyDescent="0.2">
      <c r="A920" t="str">
        <f t="shared" si="300"/>
        <v>25/07/2026Gawler SCPort Adelaide SC</v>
      </c>
      <c r="B920" t="s">
        <v>810</v>
      </c>
      <c r="D920" s="2">
        <v>46228</v>
      </c>
      <c r="E920" s="3">
        <v>0.22916666666666666</v>
      </c>
      <c r="F920" t="s">
        <v>2852</v>
      </c>
      <c r="G920" t="s">
        <v>2853</v>
      </c>
      <c r="H920">
        <v>1</v>
      </c>
      <c r="I920">
        <v>0</v>
      </c>
      <c r="J920">
        <v>2</v>
      </c>
      <c r="K920">
        <v>0</v>
      </c>
      <c r="L920" s="22" t="str">
        <f t="shared" si="301"/>
        <v>25/07/2026</v>
      </c>
      <c r="M920" s="23">
        <f t="shared" si="302"/>
        <v>0.10416666666666666</v>
      </c>
      <c r="N920" t="str">
        <f t="shared" si="303"/>
        <v>2 - 0</v>
      </c>
      <c r="O920" t="str">
        <f t="shared" si="304"/>
        <v>Green</v>
      </c>
      <c r="P920" t="str">
        <f t="shared" si="305"/>
        <v>Red</v>
      </c>
      <c r="Q920" t="str">
        <f t="shared" si="306"/>
        <v>Red</v>
      </c>
      <c r="R920" t="str">
        <f t="shared" si="307"/>
        <v>Green</v>
      </c>
      <c r="S920" t="str">
        <f t="shared" si="308"/>
        <v>Red</v>
      </c>
      <c r="T920" t="str">
        <f t="shared" si="309"/>
        <v>Green</v>
      </c>
      <c r="U920" t="str">
        <f t="shared" si="310"/>
        <v>Green</v>
      </c>
      <c r="V920" t="str">
        <f t="shared" si="311"/>
        <v>Red</v>
      </c>
      <c r="W920" t="str">
        <f t="shared" si="312"/>
        <v>Red</v>
      </c>
      <c r="X920" t="str">
        <f t="shared" si="313"/>
        <v>Green</v>
      </c>
      <c r="Y920" t="str">
        <f t="shared" si="314"/>
        <v>Green</v>
      </c>
      <c r="Z920" t="str">
        <f t="shared" si="315"/>
        <v>Red</v>
      </c>
      <c r="AA920" t="str">
        <f t="shared" si="316"/>
        <v>Green</v>
      </c>
      <c r="AB920" t="str">
        <f t="shared" si="317"/>
        <v>Green</v>
      </c>
      <c r="AC920" t="str">
        <f t="shared" si="318"/>
        <v>Red</v>
      </c>
      <c r="AD920" t="str">
        <f t="shared" si="319"/>
        <v>Green</v>
      </c>
    </row>
    <row r="921" spans="1:30" x14ac:dyDescent="0.2">
      <c r="A921" t="str">
        <f t="shared" si="300"/>
        <v>25/07/2026Seaford Rangers FCAdelaide University SC</v>
      </c>
      <c r="B921" t="s">
        <v>810</v>
      </c>
      <c r="D921" s="2">
        <v>46228</v>
      </c>
      <c r="E921" s="3">
        <v>0.22916666666666666</v>
      </c>
      <c r="F921" t="s">
        <v>2854</v>
      </c>
      <c r="G921" t="s">
        <v>2855</v>
      </c>
      <c r="H921">
        <v>4</v>
      </c>
      <c r="I921">
        <v>2</v>
      </c>
      <c r="J921">
        <v>4</v>
      </c>
      <c r="K921">
        <v>2</v>
      </c>
      <c r="L921" s="22" t="str">
        <f t="shared" si="301"/>
        <v>25/07/2026</v>
      </c>
      <c r="M921" s="23">
        <f t="shared" si="302"/>
        <v>0.10416666666666666</v>
      </c>
      <c r="N921" t="str">
        <f t="shared" si="303"/>
        <v>4 - 2</v>
      </c>
      <c r="O921" t="str">
        <f t="shared" si="304"/>
        <v>Green</v>
      </c>
      <c r="P921" t="str">
        <f t="shared" si="305"/>
        <v>Red</v>
      </c>
      <c r="Q921" t="str">
        <f t="shared" si="306"/>
        <v>Red</v>
      </c>
      <c r="R921" t="str">
        <f t="shared" si="307"/>
        <v>Green</v>
      </c>
      <c r="S921" t="str">
        <f t="shared" si="308"/>
        <v>Red</v>
      </c>
      <c r="T921" t="str">
        <f t="shared" si="309"/>
        <v>Green</v>
      </c>
      <c r="U921" t="str">
        <f t="shared" si="310"/>
        <v>Green</v>
      </c>
      <c r="V921" t="str">
        <f t="shared" si="311"/>
        <v>Red</v>
      </c>
      <c r="W921" t="str">
        <f t="shared" si="312"/>
        <v>Red</v>
      </c>
      <c r="X921" t="str">
        <f t="shared" si="313"/>
        <v>Green</v>
      </c>
      <c r="Y921" t="str">
        <f t="shared" si="314"/>
        <v>Green</v>
      </c>
      <c r="Z921" t="str">
        <f t="shared" si="315"/>
        <v>Green</v>
      </c>
      <c r="AA921" t="str">
        <f t="shared" si="316"/>
        <v>Red</v>
      </c>
      <c r="AB921" t="str">
        <f t="shared" si="317"/>
        <v>Red</v>
      </c>
      <c r="AC921" t="str">
        <f t="shared" si="318"/>
        <v>Green</v>
      </c>
      <c r="AD921" t="str">
        <f t="shared" si="319"/>
        <v>Red</v>
      </c>
    </row>
    <row r="922" spans="1:30" x14ac:dyDescent="0.2">
      <c r="A922" t="str">
        <f t="shared" si="300"/>
        <v>25/07/2026Vipers FC Adelaide ReservesNoarlunga United</v>
      </c>
      <c r="B922" t="s">
        <v>810</v>
      </c>
      <c r="D922" s="2">
        <v>46228</v>
      </c>
      <c r="E922" s="3">
        <v>0.22916666666666666</v>
      </c>
      <c r="F922" t="s">
        <v>2856</v>
      </c>
      <c r="G922" t="s">
        <v>2857</v>
      </c>
      <c r="L922" s="22" t="str">
        <f t="shared" si="301"/>
        <v>25/07/2026</v>
      </c>
      <c r="M922" s="23">
        <f t="shared" si="302"/>
        <v>0.10416666666666666</v>
      </c>
      <c r="N922" t="str">
        <f t="shared" si="303"/>
        <v xml:space="preserve"> - </v>
      </c>
      <c r="O922" t="str">
        <f t="shared" si="304"/>
        <v>Red</v>
      </c>
      <c r="P922" t="str">
        <f t="shared" si="305"/>
        <v>Green</v>
      </c>
      <c r="Q922" t="str">
        <f t="shared" si="306"/>
        <v>Red</v>
      </c>
      <c r="R922" t="str">
        <f t="shared" si="307"/>
        <v>Green</v>
      </c>
      <c r="S922" t="str">
        <f t="shared" si="308"/>
        <v>Green</v>
      </c>
      <c r="T922" t="str">
        <f t="shared" si="309"/>
        <v>Red</v>
      </c>
      <c r="U922" t="str">
        <f t="shared" si="310"/>
        <v>Red</v>
      </c>
      <c r="V922" t="str">
        <f t="shared" si="311"/>
        <v>Green</v>
      </c>
      <c r="W922" t="str">
        <f t="shared" si="312"/>
        <v>Red</v>
      </c>
      <c r="X922" t="str">
        <f t="shared" si="313"/>
        <v>Red</v>
      </c>
      <c r="Y922" t="str">
        <f t="shared" si="314"/>
        <v>Red</v>
      </c>
      <c r="Z922" t="str">
        <f t="shared" si="315"/>
        <v>Red</v>
      </c>
      <c r="AA922" t="str">
        <f t="shared" si="316"/>
        <v>Green</v>
      </c>
      <c r="AB922" t="str">
        <f t="shared" si="317"/>
        <v>Green</v>
      </c>
      <c r="AC922" t="str">
        <f t="shared" si="318"/>
        <v>Red</v>
      </c>
      <c r="AD922" t="str">
        <f t="shared" si="319"/>
        <v>Green</v>
      </c>
    </row>
    <row r="923" spans="1:30" x14ac:dyDescent="0.2">
      <c r="A923" t="str">
        <f t="shared" si="300"/>
        <v>25/07/2026South Melbourne WomenBulleen Lions Women</v>
      </c>
      <c r="B923" t="s">
        <v>810</v>
      </c>
      <c r="D923" s="2">
        <v>46228</v>
      </c>
      <c r="E923" s="3">
        <v>0.22916666666666666</v>
      </c>
      <c r="F923" t="s">
        <v>2935</v>
      </c>
      <c r="G923" t="s">
        <v>2936</v>
      </c>
      <c r="H923">
        <v>0</v>
      </c>
      <c r="I923">
        <v>1</v>
      </c>
      <c r="J923">
        <v>1</v>
      </c>
      <c r="K923">
        <v>2</v>
      </c>
      <c r="L923" s="22" t="str">
        <f t="shared" si="301"/>
        <v>25/07/2026</v>
      </c>
      <c r="M923" s="23">
        <f t="shared" si="302"/>
        <v>0.10416666666666666</v>
      </c>
      <c r="N923" t="str">
        <f t="shared" si="303"/>
        <v>1 - 2</v>
      </c>
      <c r="O923" t="str">
        <f t="shared" si="304"/>
        <v>Red</v>
      </c>
      <c r="P923" t="str">
        <f t="shared" si="305"/>
        <v>Red</v>
      </c>
      <c r="Q923" t="str">
        <f t="shared" si="306"/>
        <v>Green</v>
      </c>
      <c r="R923" t="str">
        <f t="shared" si="307"/>
        <v>Red</v>
      </c>
      <c r="S923" t="str">
        <f t="shared" si="308"/>
        <v>Green</v>
      </c>
      <c r="T923" t="str">
        <f t="shared" si="309"/>
        <v>Green</v>
      </c>
      <c r="U923" t="str">
        <f t="shared" si="310"/>
        <v>Red</v>
      </c>
      <c r="V923" t="str">
        <f t="shared" si="311"/>
        <v>Red</v>
      </c>
      <c r="W923" t="str">
        <f t="shared" si="312"/>
        <v>Green</v>
      </c>
      <c r="X923" t="str">
        <f t="shared" si="313"/>
        <v>Green</v>
      </c>
      <c r="Y923" t="str">
        <f t="shared" si="314"/>
        <v>Green</v>
      </c>
      <c r="Z923" t="str">
        <f t="shared" si="315"/>
        <v>Green</v>
      </c>
      <c r="AA923" t="str">
        <f t="shared" si="316"/>
        <v>Red</v>
      </c>
      <c r="AB923" t="str">
        <f t="shared" si="317"/>
        <v>Green</v>
      </c>
      <c r="AC923" t="str">
        <f t="shared" si="318"/>
        <v>Green</v>
      </c>
      <c r="AD923" t="str">
        <f t="shared" si="319"/>
        <v>Red</v>
      </c>
    </row>
    <row r="924" spans="1:30" x14ac:dyDescent="0.2">
      <c r="A924" t="str">
        <f t="shared" si="300"/>
        <v>25/07/2026APIA Leichhardt Tigers U20UNSW U20</v>
      </c>
      <c r="B924" t="s">
        <v>810</v>
      </c>
      <c r="D924" s="2">
        <v>46228</v>
      </c>
      <c r="E924" s="3">
        <v>0.22916666666666666</v>
      </c>
      <c r="F924" t="s">
        <v>2961</v>
      </c>
      <c r="G924" t="s">
        <v>2962</v>
      </c>
      <c r="H924">
        <v>0</v>
      </c>
      <c r="I924">
        <v>0</v>
      </c>
      <c r="J924">
        <v>1</v>
      </c>
      <c r="K924">
        <v>0</v>
      </c>
      <c r="L924" s="22" t="str">
        <f t="shared" si="301"/>
        <v>25/07/2026</v>
      </c>
      <c r="M924" s="23">
        <f t="shared" si="302"/>
        <v>0.10416666666666666</v>
      </c>
      <c r="N924" t="str">
        <f t="shared" si="303"/>
        <v>1 - 0</v>
      </c>
      <c r="O924" t="str">
        <f t="shared" si="304"/>
        <v>Green</v>
      </c>
      <c r="P924" t="str">
        <f t="shared" si="305"/>
        <v>Red</v>
      </c>
      <c r="Q924" t="str">
        <f t="shared" si="306"/>
        <v>Red</v>
      </c>
      <c r="R924" t="str">
        <f t="shared" si="307"/>
        <v>Green</v>
      </c>
      <c r="S924" t="str">
        <f t="shared" si="308"/>
        <v>Red</v>
      </c>
      <c r="T924" t="str">
        <f t="shared" si="309"/>
        <v>Green</v>
      </c>
      <c r="U924" t="str">
        <f t="shared" si="310"/>
        <v>Red</v>
      </c>
      <c r="V924" t="str">
        <f t="shared" si="311"/>
        <v>Green</v>
      </c>
      <c r="W924" t="str">
        <f t="shared" si="312"/>
        <v>Red</v>
      </c>
      <c r="X924" t="str">
        <f t="shared" si="313"/>
        <v>Red</v>
      </c>
      <c r="Y924" t="str">
        <f t="shared" si="314"/>
        <v>Red</v>
      </c>
      <c r="Z924" t="str">
        <f t="shared" si="315"/>
        <v>Red</v>
      </c>
      <c r="AA924" t="str">
        <f t="shared" si="316"/>
        <v>Green</v>
      </c>
      <c r="AB924" t="str">
        <f t="shared" si="317"/>
        <v>Green</v>
      </c>
      <c r="AC924" t="str">
        <f t="shared" si="318"/>
        <v>Red</v>
      </c>
      <c r="AD924" t="str">
        <f t="shared" si="319"/>
        <v>Green</v>
      </c>
    </row>
    <row r="925" spans="1:30" x14ac:dyDescent="0.2">
      <c r="A925" t="str">
        <f t="shared" si="300"/>
        <v>25/07/2026Cooma Tigers U23Tuggeranong United U23</v>
      </c>
      <c r="B925" t="s">
        <v>810</v>
      </c>
      <c r="D925" s="2">
        <v>46228</v>
      </c>
      <c r="E925" s="3">
        <v>0.22916666666666666</v>
      </c>
      <c r="F925" t="s">
        <v>3003</v>
      </c>
      <c r="G925" t="s">
        <v>910</v>
      </c>
      <c r="H925">
        <v>0</v>
      </c>
      <c r="I925">
        <v>1</v>
      </c>
      <c r="J925">
        <v>1</v>
      </c>
      <c r="K925">
        <v>2</v>
      </c>
      <c r="L925" s="22" t="str">
        <f t="shared" si="301"/>
        <v>25/07/2026</v>
      </c>
      <c r="M925" s="23">
        <f t="shared" si="302"/>
        <v>0.10416666666666666</v>
      </c>
      <c r="N925" t="str">
        <f t="shared" si="303"/>
        <v>1 - 2</v>
      </c>
      <c r="O925" t="str">
        <f t="shared" si="304"/>
        <v>Red</v>
      </c>
      <c r="P925" t="str">
        <f t="shared" si="305"/>
        <v>Red</v>
      </c>
      <c r="Q925" t="str">
        <f t="shared" si="306"/>
        <v>Green</v>
      </c>
      <c r="R925" t="str">
        <f t="shared" si="307"/>
        <v>Red</v>
      </c>
      <c r="S925" t="str">
        <f t="shared" si="308"/>
        <v>Green</v>
      </c>
      <c r="T925" t="str">
        <f t="shared" si="309"/>
        <v>Green</v>
      </c>
      <c r="U925" t="str">
        <f t="shared" si="310"/>
        <v>Red</v>
      </c>
      <c r="V925" t="str">
        <f t="shared" si="311"/>
        <v>Red</v>
      </c>
      <c r="W925" t="str">
        <f t="shared" si="312"/>
        <v>Green</v>
      </c>
      <c r="X925" t="str">
        <f t="shared" si="313"/>
        <v>Green</v>
      </c>
      <c r="Y925" t="str">
        <f t="shared" si="314"/>
        <v>Green</v>
      </c>
      <c r="Z925" t="str">
        <f t="shared" si="315"/>
        <v>Green</v>
      </c>
      <c r="AA925" t="str">
        <f t="shared" si="316"/>
        <v>Red</v>
      </c>
      <c r="AB925" t="str">
        <f t="shared" si="317"/>
        <v>Green</v>
      </c>
      <c r="AC925" t="str">
        <f t="shared" si="318"/>
        <v>Green</v>
      </c>
      <c r="AD925" t="str">
        <f t="shared" si="319"/>
        <v>Red</v>
      </c>
    </row>
    <row r="926" spans="1:30" x14ac:dyDescent="0.2">
      <c r="A926" t="str">
        <f t="shared" si="300"/>
        <v>25/07/2026Taringa RoversPine Hills</v>
      </c>
      <c r="B926" t="s">
        <v>810</v>
      </c>
      <c r="D926" s="2">
        <v>46228</v>
      </c>
      <c r="E926" s="3">
        <v>0.25</v>
      </c>
      <c r="F926" t="s">
        <v>2829</v>
      </c>
      <c r="G926" t="s">
        <v>2830</v>
      </c>
      <c r="H926">
        <v>0</v>
      </c>
      <c r="I926">
        <v>1</v>
      </c>
      <c r="J926">
        <v>0</v>
      </c>
      <c r="K926">
        <v>1</v>
      </c>
      <c r="L926" s="22" t="str">
        <f t="shared" si="301"/>
        <v>25/07/2026</v>
      </c>
      <c r="M926" s="23">
        <f t="shared" si="302"/>
        <v>0.125</v>
      </c>
      <c r="N926" t="str">
        <f t="shared" si="303"/>
        <v>0 - 1</v>
      </c>
      <c r="O926" t="str">
        <f t="shared" si="304"/>
        <v>Red</v>
      </c>
      <c r="P926" t="str">
        <f t="shared" si="305"/>
        <v>Red</v>
      </c>
      <c r="Q926" t="str">
        <f t="shared" si="306"/>
        <v>Green</v>
      </c>
      <c r="R926" t="str">
        <f t="shared" si="307"/>
        <v>Red</v>
      </c>
      <c r="S926" t="str">
        <f t="shared" si="308"/>
        <v>Green</v>
      </c>
      <c r="T926" t="str">
        <f t="shared" si="309"/>
        <v>Green</v>
      </c>
      <c r="U926" t="str">
        <f t="shared" si="310"/>
        <v>Red</v>
      </c>
      <c r="V926" t="str">
        <f t="shared" si="311"/>
        <v>Red</v>
      </c>
      <c r="W926" t="str">
        <f t="shared" si="312"/>
        <v>Green</v>
      </c>
      <c r="X926" t="str">
        <f t="shared" si="313"/>
        <v>Green</v>
      </c>
      <c r="Y926" t="str">
        <f t="shared" si="314"/>
        <v>Red</v>
      </c>
      <c r="Z926" t="str">
        <f t="shared" si="315"/>
        <v>Red</v>
      </c>
      <c r="AA926" t="str">
        <f t="shared" si="316"/>
        <v>Green</v>
      </c>
      <c r="AB926" t="str">
        <f t="shared" si="317"/>
        <v>Green</v>
      </c>
      <c r="AC926" t="str">
        <f t="shared" si="318"/>
        <v>Red</v>
      </c>
      <c r="AD926" t="str">
        <f t="shared" si="319"/>
        <v>Green</v>
      </c>
    </row>
    <row r="927" spans="1:30" x14ac:dyDescent="0.2">
      <c r="A927" t="str">
        <f t="shared" si="300"/>
        <v>25/07/2026Elizabeth GroveNorthern Demons</v>
      </c>
      <c r="B927" t="s">
        <v>810</v>
      </c>
      <c r="D927" s="2">
        <v>46228</v>
      </c>
      <c r="E927" s="3">
        <v>0.25</v>
      </c>
      <c r="F927" t="s">
        <v>2858</v>
      </c>
      <c r="G927" t="s">
        <v>2859</v>
      </c>
      <c r="H927">
        <v>0</v>
      </c>
      <c r="I927">
        <v>0</v>
      </c>
      <c r="J927">
        <v>0</v>
      </c>
      <c r="K927">
        <v>1</v>
      </c>
      <c r="L927" s="22" t="str">
        <f t="shared" si="301"/>
        <v>25/07/2026</v>
      </c>
      <c r="M927" s="23">
        <f t="shared" si="302"/>
        <v>0.125</v>
      </c>
      <c r="N927" t="str">
        <f t="shared" si="303"/>
        <v>0 - 1</v>
      </c>
      <c r="O927" t="str">
        <f t="shared" si="304"/>
        <v>Red</v>
      </c>
      <c r="P927" t="str">
        <f t="shared" si="305"/>
        <v>Red</v>
      </c>
      <c r="Q927" t="str">
        <f t="shared" si="306"/>
        <v>Green</v>
      </c>
      <c r="R927" t="str">
        <f t="shared" si="307"/>
        <v>Red</v>
      </c>
      <c r="S927" t="str">
        <f t="shared" si="308"/>
        <v>Green</v>
      </c>
      <c r="T927" t="str">
        <f t="shared" si="309"/>
        <v>Green</v>
      </c>
      <c r="U927" t="str">
        <f t="shared" si="310"/>
        <v>Red</v>
      </c>
      <c r="V927" t="str">
        <f t="shared" si="311"/>
        <v>Green</v>
      </c>
      <c r="W927" t="str">
        <f t="shared" si="312"/>
        <v>Red</v>
      </c>
      <c r="X927" t="str">
        <f t="shared" si="313"/>
        <v>Red</v>
      </c>
      <c r="Y927" t="str">
        <f t="shared" si="314"/>
        <v>Red</v>
      </c>
      <c r="Z927" t="str">
        <f t="shared" si="315"/>
        <v>Red</v>
      </c>
      <c r="AA927" t="str">
        <f t="shared" si="316"/>
        <v>Green</v>
      </c>
      <c r="AB927" t="str">
        <f t="shared" si="317"/>
        <v>Green</v>
      </c>
      <c r="AC927" t="str">
        <f t="shared" si="318"/>
        <v>Red</v>
      </c>
      <c r="AD927" t="str">
        <f t="shared" si="319"/>
        <v>Green</v>
      </c>
    </row>
    <row r="928" spans="1:30" x14ac:dyDescent="0.2">
      <c r="A928" t="str">
        <f t="shared" si="300"/>
        <v>25/07/2026Bentleigh Greens WomenMelbourne City Reserves Women</v>
      </c>
      <c r="B928" t="s">
        <v>810</v>
      </c>
      <c r="D928" s="2">
        <v>46228</v>
      </c>
      <c r="E928" s="3">
        <v>0.25</v>
      </c>
      <c r="F928" t="s">
        <v>2937</v>
      </c>
      <c r="G928" t="s">
        <v>2938</v>
      </c>
      <c r="H928">
        <v>1</v>
      </c>
      <c r="I928">
        <v>0</v>
      </c>
      <c r="J928">
        <v>2</v>
      </c>
      <c r="K928">
        <v>0</v>
      </c>
      <c r="L928" s="22" t="str">
        <f t="shared" si="301"/>
        <v>25/07/2026</v>
      </c>
      <c r="M928" s="23">
        <f t="shared" si="302"/>
        <v>0.125</v>
      </c>
      <c r="N928" t="str">
        <f t="shared" si="303"/>
        <v>2 - 0</v>
      </c>
      <c r="O928" t="str">
        <f t="shared" si="304"/>
        <v>Green</v>
      </c>
      <c r="P928" t="str">
        <f t="shared" si="305"/>
        <v>Red</v>
      </c>
      <c r="Q928" t="str">
        <f t="shared" si="306"/>
        <v>Red</v>
      </c>
      <c r="R928" t="str">
        <f t="shared" si="307"/>
        <v>Green</v>
      </c>
      <c r="S928" t="str">
        <f t="shared" si="308"/>
        <v>Red</v>
      </c>
      <c r="T928" t="str">
        <f t="shared" si="309"/>
        <v>Green</v>
      </c>
      <c r="U928" t="str">
        <f t="shared" si="310"/>
        <v>Green</v>
      </c>
      <c r="V928" t="str">
        <f t="shared" si="311"/>
        <v>Red</v>
      </c>
      <c r="W928" t="str">
        <f t="shared" si="312"/>
        <v>Red</v>
      </c>
      <c r="X928" t="str">
        <f t="shared" si="313"/>
        <v>Green</v>
      </c>
      <c r="Y928" t="str">
        <f t="shared" si="314"/>
        <v>Green</v>
      </c>
      <c r="Z928" t="str">
        <f t="shared" si="315"/>
        <v>Red</v>
      </c>
      <c r="AA928" t="str">
        <f t="shared" si="316"/>
        <v>Green</v>
      </c>
      <c r="AB928" t="str">
        <f t="shared" si="317"/>
        <v>Green</v>
      </c>
      <c r="AC928" t="str">
        <f t="shared" si="318"/>
        <v>Red</v>
      </c>
      <c r="AD928" t="str">
        <f t="shared" si="319"/>
        <v>Green</v>
      </c>
    </row>
    <row r="929" spans="1:30" x14ac:dyDescent="0.2">
      <c r="A929" t="str">
        <f t="shared" si="300"/>
        <v>25/07/2026Gold Coast Knights U23Gold Coast United U23</v>
      </c>
      <c r="B929" t="s">
        <v>810</v>
      </c>
      <c r="D929" s="2">
        <v>46228</v>
      </c>
      <c r="E929" s="3">
        <v>0.25</v>
      </c>
      <c r="F929" t="s">
        <v>2999</v>
      </c>
      <c r="G929" t="s">
        <v>3000</v>
      </c>
      <c r="H929">
        <v>1</v>
      </c>
      <c r="I929">
        <v>2</v>
      </c>
      <c r="J929">
        <v>2</v>
      </c>
      <c r="K929">
        <v>4</v>
      </c>
      <c r="L929" s="22" t="str">
        <f t="shared" si="301"/>
        <v>25/07/2026</v>
      </c>
      <c r="M929" s="23">
        <f t="shared" si="302"/>
        <v>0.125</v>
      </c>
      <c r="N929" t="str">
        <f t="shared" si="303"/>
        <v>2 - 4</v>
      </c>
      <c r="O929" t="str">
        <f t="shared" si="304"/>
        <v>Red</v>
      </c>
      <c r="P929" t="str">
        <f t="shared" si="305"/>
        <v>Red</v>
      </c>
      <c r="Q929" t="str">
        <f t="shared" si="306"/>
        <v>Green</v>
      </c>
      <c r="R929" t="str">
        <f t="shared" si="307"/>
        <v>Red</v>
      </c>
      <c r="S929" t="str">
        <f t="shared" si="308"/>
        <v>Green</v>
      </c>
      <c r="T929" t="str">
        <f t="shared" si="309"/>
        <v>Green</v>
      </c>
      <c r="U929" t="str">
        <f t="shared" si="310"/>
        <v>Red</v>
      </c>
      <c r="V929" t="str">
        <f t="shared" si="311"/>
        <v>Red</v>
      </c>
      <c r="W929" t="str">
        <f t="shared" si="312"/>
        <v>Green</v>
      </c>
      <c r="X929" t="str">
        <f t="shared" si="313"/>
        <v>Green</v>
      </c>
      <c r="Y929" t="str">
        <f t="shared" si="314"/>
        <v>Green</v>
      </c>
      <c r="Z929" t="str">
        <f t="shared" si="315"/>
        <v>Green</v>
      </c>
      <c r="AA929" t="str">
        <f t="shared" si="316"/>
        <v>Red</v>
      </c>
      <c r="AB929" t="str">
        <f t="shared" si="317"/>
        <v>Red</v>
      </c>
      <c r="AC929" t="str">
        <f t="shared" si="318"/>
        <v>Green</v>
      </c>
      <c r="AD929" t="str">
        <f t="shared" si="319"/>
        <v>Red</v>
      </c>
    </row>
    <row r="930" spans="1:30" x14ac:dyDescent="0.2">
      <c r="A930" t="str">
        <f t="shared" si="300"/>
        <v>25/07/2026Fencibles UnitedAuckland City</v>
      </c>
      <c r="D930" s="2">
        <v>46228</v>
      </c>
      <c r="E930" s="3">
        <v>0.25</v>
      </c>
      <c r="F930" t="s">
        <v>3429</v>
      </c>
      <c r="G930" t="s">
        <v>3430</v>
      </c>
      <c r="H930">
        <v>2</v>
      </c>
      <c r="I930">
        <v>0</v>
      </c>
      <c r="J930">
        <v>3</v>
      </c>
      <c r="K930">
        <v>2</v>
      </c>
      <c r="L930" s="22" t="str">
        <f t="shared" si="301"/>
        <v>25/07/2026</v>
      </c>
      <c r="M930" s="23">
        <f t="shared" si="302"/>
        <v>0.125</v>
      </c>
      <c r="N930" t="str">
        <f t="shared" si="303"/>
        <v>3 - 2</v>
      </c>
      <c r="O930" t="str">
        <f t="shared" si="304"/>
        <v>Green</v>
      </c>
      <c r="P930" t="str">
        <f t="shared" si="305"/>
        <v>Red</v>
      </c>
      <c r="Q930" t="str">
        <f t="shared" si="306"/>
        <v>Red</v>
      </c>
      <c r="R930" t="str">
        <f t="shared" si="307"/>
        <v>Green</v>
      </c>
      <c r="S930" t="str">
        <f t="shared" si="308"/>
        <v>Red</v>
      </c>
      <c r="T930" t="str">
        <f t="shared" si="309"/>
        <v>Green</v>
      </c>
      <c r="U930" t="str">
        <f t="shared" si="310"/>
        <v>Green</v>
      </c>
      <c r="V930" t="str">
        <f t="shared" si="311"/>
        <v>Red</v>
      </c>
      <c r="W930" t="str">
        <f t="shared" si="312"/>
        <v>Red</v>
      </c>
      <c r="X930" t="str">
        <f t="shared" si="313"/>
        <v>Green</v>
      </c>
      <c r="Y930" t="str">
        <f t="shared" si="314"/>
        <v>Green</v>
      </c>
      <c r="Z930" t="str">
        <f t="shared" si="315"/>
        <v>Green</v>
      </c>
      <c r="AA930" t="str">
        <f t="shared" si="316"/>
        <v>Red</v>
      </c>
      <c r="AB930" t="str">
        <f t="shared" si="317"/>
        <v>Red</v>
      </c>
      <c r="AC930" t="str">
        <f t="shared" si="318"/>
        <v>Green</v>
      </c>
      <c r="AD930" t="str">
        <f t="shared" si="319"/>
        <v>Red</v>
      </c>
    </row>
    <row r="931" spans="1:30" x14ac:dyDescent="0.2">
      <c r="A931" t="str">
        <f t="shared" si="300"/>
        <v>25/07/2026Heidelberg United WomenAvondale Heights Women</v>
      </c>
      <c r="B931" t="s">
        <v>810</v>
      </c>
      <c r="D931" s="2">
        <v>46228</v>
      </c>
      <c r="E931" s="3">
        <v>0.26041666666666669</v>
      </c>
      <c r="F931" t="s">
        <v>2939</v>
      </c>
      <c r="G931" t="s">
        <v>2940</v>
      </c>
      <c r="H931">
        <v>0</v>
      </c>
      <c r="I931">
        <v>4</v>
      </c>
      <c r="J931">
        <v>0</v>
      </c>
      <c r="K931">
        <v>4</v>
      </c>
      <c r="L931" s="22" t="str">
        <f t="shared" si="301"/>
        <v>25/07/2026</v>
      </c>
      <c r="M931" s="23">
        <f t="shared" si="302"/>
        <v>0.13541666666666669</v>
      </c>
      <c r="N931" t="str">
        <f t="shared" si="303"/>
        <v>0 - 4</v>
      </c>
      <c r="O931" t="str">
        <f t="shared" si="304"/>
        <v>Red</v>
      </c>
      <c r="P931" t="str">
        <f t="shared" si="305"/>
        <v>Red</v>
      </c>
      <c r="Q931" t="str">
        <f t="shared" si="306"/>
        <v>Green</v>
      </c>
      <c r="R931" t="str">
        <f t="shared" si="307"/>
        <v>Red</v>
      </c>
      <c r="S931" t="str">
        <f t="shared" si="308"/>
        <v>Green</v>
      </c>
      <c r="T931" t="str">
        <f t="shared" si="309"/>
        <v>Green</v>
      </c>
      <c r="U931" t="str">
        <f t="shared" si="310"/>
        <v>Red</v>
      </c>
      <c r="V931" t="str">
        <f t="shared" si="311"/>
        <v>Red</v>
      </c>
      <c r="W931" t="str">
        <f t="shared" si="312"/>
        <v>Green</v>
      </c>
      <c r="X931" t="str">
        <f t="shared" si="313"/>
        <v>Green</v>
      </c>
      <c r="Y931" t="str">
        <f t="shared" si="314"/>
        <v>Green</v>
      </c>
      <c r="Z931" t="str">
        <f t="shared" si="315"/>
        <v>Green</v>
      </c>
      <c r="AA931" t="str">
        <f t="shared" si="316"/>
        <v>Red</v>
      </c>
      <c r="AB931" t="str">
        <f t="shared" si="317"/>
        <v>Red</v>
      </c>
      <c r="AC931" t="str">
        <f t="shared" si="318"/>
        <v>Red</v>
      </c>
      <c r="AD931" t="str">
        <f t="shared" si="319"/>
        <v>Green</v>
      </c>
    </row>
    <row r="932" spans="1:30" x14ac:dyDescent="0.2">
      <c r="A932" t="str">
        <f t="shared" si="300"/>
        <v>25/07/2026Belconnen UnitedO'Connor Knights</v>
      </c>
      <c r="B932" t="s">
        <v>810</v>
      </c>
      <c r="C932" t="s">
        <v>811</v>
      </c>
      <c r="D932" s="2">
        <v>46228</v>
      </c>
      <c r="E932" s="3">
        <v>0.27083333333333331</v>
      </c>
      <c r="F932" t="s">
        <v>511</v>
      </c>
      <c r="G932" t="s">
        <v>512</v>
      </c>
      <c r="H932">
        <v>1</v>
      </c>
      <c r="I932">
        <v>0</v>
      </c>
      <c r="J932">
        <v>1</v>
      </c>
      <c r="K932">
        <v>1</v>
      </c>
      <c r="L932" s="22" t="str">
        <f t="shared" si="301"/>
        <v>25/07/2026</v>
      </c>
      <c r="M932" s="23">
        <f t="shared" si="302"/>
        <v>0.14583333333333331</v>
      </c>
      <c r="N932" t="str">
        <f t="shared" si="303"/>
        <v>1 - 1</v>
      </c>
      <c r="O932" t="str">
        <f t="shared" si="304"/>
        <v>Red</v>
      </c>
      <c r="P932" t="str">
        <f t="shared" si="305"/>
        <v>Green</v>
      </c>
      <c r="Q932" t="str">
        <f t="shared" si="306"/>
        <v>Red</v>
      </c>
      <c r="R932" t="str">
        <f t="shared" si="307"/>
        <v>Green</v>
      </c>
      <c r="S932" t="str">
        <f t="shared" si="308"/>
        <v>Green</v>
      </c>
      <c r="T932" t="str">
        <f t="shared" si="309"/>
        <v>Red</v>
      </c>
      <c r="U932" t="str">
        <f t="shared" si="310"/>
        <v>Green</v>
      </c>
      <c r="V932" t="str">
        <f t="shared" si="311"/>
        <v>Red</v>
      </c>
      <c r="W932" t="str">
        <f t="shared" si="312"/>
        <v>Red</v>
      </c>
      <c r="X932" t="str">
        <f t="shared" si="313"/>
        <v>Green</v>
      </c>
      <c r="Y932" t="str">
        <f t="shared" si="314"/>
        <v>Green</v>
      </c>
      <c r="Z932" t="str">
        <f t="shared" si="315"/>
        <v>Red</v>
      </c>
      <c r="AA932" t="str">
        <f t="shared" si="316"/>
        <v>Green</v>
      </c>
      <c r="AB932" t="str">
        <f t="shared" si="317"/>
        <v>Green</v>
      </c>
      <c r="AC932" t="str">
        <f t="shared" si="318"/>
        <v>Green</v>
      </c>
      <c r="AD932" t="str">
        <f t="shared" si="319"/>
        <v>Red</v>
      </c>
    </row>
    <row r="933" spans="1:30" x14ac:dyDescent="0.2">
      <c r="A933" t="str">
        <f t="shared" si="300"/>
        <v>25/07/2026Maitland FCBroadmeadow Magic</v>
      </c>
      <c r="B933" t="s">
        <v>810</v>
      </c>
      <c r="C933" t="s">
        <v>893</v>
      </c>
      <c r="D933" s="2">
        <v>46228</v>
      </c>
      <c r="E933" s="3">
        <v>0.27083333333333331</v>
      </c>
      <c r="F933" t="s">
        <v>513</v>
      </c>
      <c r="G933" t="s">
        <v>514</v>
      </c>
      <c r="H933">
        <v>0</v>
      </c>
      <c r="I933">
        <v>0</v>
      </c>
      <c r="J933">
        <v>0</v>
      </c>
      <c r="K933">
        <v>1</v>
      </c>
      <c r="L933" s="22" t="str">
        <f t="shared" si="301"/>
        <v>25/07/2026</v>
      </c>
      <c r="M933" s="23">
        <f t="shared" si="302"/>
        <v>0.14583333333333331</v>
      </c>
      <c r="N933" t="str">
        <f t="shared" si="303"/>
        <v>0 - 1</v>
      </c>
      <c r="O933" t="str">
        <f t="shared" si="304"/>
        <v>Red</v>
      </c>
      <c r="P933" t="str">
        <f t="shared" si="305"/>
        <v>Red</v>
      </c>
      <c r="Q933" t="str">
        <f t="shared" si="306"/>
        <v>Green</v>
      </c>
      <c r="R933" t="str">
        <f t="shared" si="307"/>
        <v>Red</v>
      </c>
      <c r="S933" t="str">
        <f t="shared" si="308"/>
        <v>Green</v>
      </c>
      <c r="T933" t="str">
        <f t="shared" si="309"/>
        <v>Green</v>
      </c>
      <c r="U933" t="str">
        <f t="shared" si="310"/>
        <v>Red</v>
      </c>
      <c r="V933" t="str">
        <f t="shared" si="311"/>
        <v>Green</v>
      </c>
      <c r="W933" t="str">
        <f t="shared" si="312"/>
        <v>Red</v>
      </c>
      <c r="X933" t="str">
        <f t="shared" si="313"/>
        <v>Red</v>
      </c>
      <c r="Y933" t="str">
        <f t="shared" si="314"/>
        <v>Red</v>
      </c>
      <c r="Z933" t="str">
        <f t="shared" si="315"/>
        <v>Red</v>
      </c>
      <c r="AA933" t="str">
        <f t="shared" si="316"/>
        <v>Green</v>
      </c>
      <c r="AB933" t="str">
        <f t="shared" si="317"/>
        <v>Green</v>
      </c>
      <c r="AC933" t="str">
        <f t="shared" si="318"/>
        <v>Red</v>
      </c>
      <c r="AD933" t="str">
        <f t="shared" si="319"/>
        <v>Green</v>
      </c>
    </row>
    <row r="934" spans="1:30" x14ac:dyDescent="0.2">
      <c r="A934" t="str">
        <f t="shared" si="300"/>
        <v>25/07/2026Valentine PhoenixCharlestown City Blues</v>
      </c>
      <c r="B934" t="s">
        <v>810</v>
      </c>
      <c r="C934" t="s">
        <v>893</v>
      </c>
      <c r="D934" s="2">
        <v>46228</v>
      </c>
      <c r="E934" s="3">
        <v>0.27083333333333331</v>
      </c>
      <c r="F934" t="s">
        <v>515</v>
      </c>
      <c r="G934" t="s">
        <v>2803</v>
      </c>
      <c r="H934">
        <v>0</v>
      </c>
      <c r="I934">
        <v>0</v>
      </c>
      <c r="J934">
        <v>1</v>
      </c>
      <c r="K934">
        <v>0</v>
      </c>
      <c r="L934" s="22" t="str">
        <f t="shared" si="301"/>
        <v>25/07/2026</v>
      </c>
      <c r="M934" s="23">
        <f t="shared" si="302"/>
        <v>0.14583333333333331</v>
      </c>
      <c r="N934" t="str">
        <f t="shared" si="303"/>
        <v>1 - 0</v>
      </c>
      <c r="O934" t="str">
        <f t="shared" si="304"/>
        <v>Green</v>
      </c>
      <c r="P934" t="str">
        <f t="shared" si="305"/>
        <v>Red</v>
      </c>
      <c r="Q934" t="str">
        <f t="shared" si="306"/>
        <v>Red</v>
      </c>
      <c r="R934" t="str">
        <f t="shared" si="307"/>
        <v>Green</v>
      </c>
      <c r="S934" t="str">
        <f t="shared" si="308"/>
        <v>Red</v>
      </c>
      <c r="T934" t="str">
        <f t="shared" si="309"/>
        <v>Green</v>
      </c>
      <c r="U934" t="str">
        <f t="shared" si="310"/>
        <v>Red</v>
      </c>
      <c r="V934" t="str">
        <f t="shared" si="311"/>
        <v>Green</v>
      </c>
      <c r="W934" t="str">
        <f t="shared" si="312"/>
        <v>Red</v>
      </c>
      <c r="X934" t="str">
        <f t="shared" si="313"/>
        <v>Red</v>
      </c>
      <c r="Y934" t="str">
        <f t="shared" si="314"/>
        <v>Red</v>
      </c>
      <c r="Z934" t="str">
        <f t="shared" si="315"/>
        <v>Red</v>
      </c>
      <c r="AA934" t="str">
        <f t="shared" si="316"/>
        <v>Green</v>
      </c>
      <c r="AB934" t="str">
        <f t="shared" si="317"/>
        <v>Green</v>
      </c>
      <c r="AC934" t="str">
        <f t="shared" si="318"/>
        <v>Red</v>
      </c>
      <c r="AD934" t="str">
        <f t="shared" si="319"/>
        <v>Green</v>
      </c>
    </row>
    <row r="935" spans="1:30" x14ac:dyDescent="0.2">
      <c r="A935" t="str">
        <f t="shared" si="300"/>
        <v>25/07/2026Newcastle CroatiaSingleton Strikers FC</v>
      </c>
      <c r="B935" t="s">
        <v>810</v>
      </c>
      <c r="D935" s="2">
        <v>46228</v>
      </c>
      <c r="E935" s="3">
        <v>0.27083333333333331</v>
      </c>
      <c r="F935" t="s">
        <v>2886</v>
      </c>
      <c r="G935" t="s">
        <v>2887</v>
      </c>
      <c r="H935">
        <v>3</v>
      </c>
      <c r="I935">
        <v>2</v>
      </c>
      <c r="J935">
        <v>5</v>
      </c>
      <c r="K935">
        <v>2</v>
      </c>
      <c r="L935" s="22" t="str">
        <f t="shared" si="301"/>
        <v>25/07/2026</v>
      </c>
      <c r="M935" s="23">
        <f t="shared" si="302"/>
        <v>0.14583333333333331</v>
      </c>
      <c r="N935" t="str">
        <f t="shared" si="303"/>
        <v>5 - 2</v>
      </c>
      <c r="O935" t="str">
        <f t="shared" si="304"/>
        <v>Green</v>
      </c>
      <c r="P935" t="str">
        <f t="shared" si="305"/>
        <v>Red</v>
      </c>
      <c r="Q935" t="str">
        <f t="shared" si="306"/>
        <v>Red</v>
      </c>
      <c r="R935" t="str">
        <f t="shared" si="307"/>
        <v>Green</v>
      </c>
      <c r="S935" t="str">
        <f t="shared" si="308"/>
        <v>Red</v>
      </c>
      <c r="T935" t="str">
        <f t="shared" si="309"/>
        <v>Green</v>
      </c>
      <c r="U935" t="str">
        <f t="shared" si="310"/>
        <v>Green</v>
      </c>
      <c r="V935" t="str">
        <f t="shared" si="311"/>
        <v>Red</v>
      </c>
      <c r="W935" t="str">
        <f t="shared" si="312"/>
        <v>Red</v>
      </c>
      <c r="X935" t="str">
        <f t="shared" si="313"/>
        <v>Green</v>
      </c>
      <c r="Y935" t="str">
        <f t="shared" si="314"/>
        <v>Green</v>
      </c>
      <c r="Z935" t="str">
        <f t="shared" si="315"/>
        <v>Green</v>
      </c>
      <c r="AA935" t="str">
        <f t="shared" si="316"/>
        <v>Red</v>
      </c>
      <c r="AB935" t="str">
        <f t="shared" si="317"/>
        <v>Red</v>
      </c>
      <c r="AC935" t="str">
        <f t="shared" si="318"/>
        <v>Green</v>
      </c>
      <c r="AD935" t="str">
        <f t="shared" si="319"/>
        <v>Red</v>
      </c>
    </row>
    <row r="936" spans="1:30" x14ac:dyDescent="0.2">
      <c r="A936" t="str">
        <f t="shared" si="300"/>
        <v>25/07/2026Hakoah Sydney CityRydalmere Lions FC</v>
      </c>
      <c r="B936" t="s">
        <v>810</v>
      </c>
      <c r="D936" s="2">
        <v>46228</v>
      </c>
      <c r="E936" s="3">
        <v>0.27083333333333331</v>
      </c>
      <c r="F936" t="s">
        <v>2900</v>
      </c>
      <c r="G936" t="s">
        <v>2901</v>
      </c>
      <c r="H936">
        <v>0</v>
      </c>
      <c r="I936">
        <v>0</v>
      </c>
      <c r="J936">
        <v>1</v>
      </c>
      <c r="K936">
        <v>0</v>
      </c>
      <c r="L936" s="22" t="str">
        <f t="shared" si="301"/>
        <v>25/07/2026</v>
      </c>
      <c r="M936" s="23">
        <f t="shared" si="302"/>
        <v>0.14583333333333331</v>
      </c>
      <c r="N936" t="str">
        <f t="shared" si="303"/>
        <v>1 - 0</v>
      </c>
      <c r="O936" t="str">
        <f t="shared" si="304"/>
        <v>Green</v>
      </c>
      <c r="P936" t="str">
        <f t="shared" si="305"/>
        <v>Red</v>
      </c>
      <c r="Q936" t="str">
        <f t="shared" si="306"/>
        <v>Red</v>
      </c>
      <c r="R936" t="str">
        <f t="shared" si="307"/>
        <v>Green</v>
      </c>
      <c r="S936" t="str">
        <f t="shared" si="308"/>
        <v>Red</v>
      </c>
      <c r="T936" t="str">
        <f t="shared" si="309"/>
        <v>Green</v>
      </c>
      <c r="U936" t="str">
        <f t="shared" si="310"/>
        <v>Red</v>
      </c>
      <c r="V936" t="str">
        <f t="shared" si="311"/>
        <v>Green</v>
      </c>
      <c r="W936" t="str">
        <f t="shared" si="312"/>
        <v>Red</v>
      </c>
      <c r="X936" t="str">
        <f t="shared" si="313"/>
        <v>Red</v>
      </c>
      <c r="Y936" t="str">
        <f t="shared" si="314"/>
        <v>Red</v>
      </c>
      <c r="Z936" t="str">
        <f t="shared" si="315"/>
        <v>Red</v>
      </c>
      <c r="AA936" t="str">
        <f t="shared" si="316"/>
        <v>Green</v>
      </c>
      <c r="AB936" t="str">
        <f t="shared" si="317"/>
        <v>Green</v>
      </c>
      <c r="AC936" t="str">
        <f t="shared" si="318"/>
        <v>Red</v>
      </c>
      <c r="AD936" t="str">
        <f t="shared" si="319"/>
        <v>Green</v>
      </c>
    </row>
    <row r="937" spans="1:30" x14ac:dyDescent="0.2">
      <c r="A937" t="str">
        <f t="shared" si="300"/>
        <v>25/07/2026Macarthur RamsHurstville ZFC</v>
      </c>
      <c r="B937" t="s">
        <v>810</v>
      </c>
      <c r="D937" s="2">
        <v>46228</v>
      </c>
      <c r="E937" s="3">
        <v>0.27083333333333331</v>
      </c>
      <c r="F937" t="s">
        <v>2902</v>
      </c>
      <c r="G937" t="s">
        <v>2903</v>
      </c>
      <c r="H937">
        <v>0</v>
      </c>
      <c r="I937">
        <v>0</v>
      </c>
      <c r="J937">
        <v>1</v>
      </c>
      <c r="K937">
        <v>2</v>
      </c>
      <c r="L937" s="22" t="str">
        <f t="shared" si="301"/>
        <v>25/07/2026</v>
      </c>
      <c r="M937" s="23">
        <f t="shared" si="302"/>
        <v>0.14583333333333331</v>
      </c>
      <c r="N937" t="str">
        <f t="shared" si="303"/>
        <v>1 - 2</v>
      </c>
      <c r="O937" t="str">
        <f t="shared" si="304"/>
        <v>Red</v>
      </c>
      <c r="P937" t="str">
        <f t="shared" si="305"/>
        <v>Red</v>
      </c>
      <c r="Q937" t="str">
        <f t="shared" si="306"/>
        <v>Green</v>
      </c>
      <c r="R937" t="str">
        <f t="shared" si="307"/>
        <v>Red</v>
      </c>
      <c r="S937" t="str">
        <f t="shared" si="308"/>
        <v>Green</v>
      </c>
      <c r="T937" t="str">
        <f t="shared" si="309"/>
        <v>Green</v>
      </c>
      <c r="U937" t="str">
        <f t="shared" si="310"/>
        <v>Red</v>
      </c>
      <c r="V937" t="str">
        <f t="shared" si="311"/>
        <v>Green</v>
      </c>
      <c r="W937" t="str">
        <f t="shared" si="312"/>
        <v>Red</v>
      </c>
      <c r="X937" t="str">
        <f t="shared" si="313"/>
        <v>Red</v>
      </c>
      <c r="Y937" t="str">
        <f t="shared" si="314"/>
        <v>Green</v>
      </c>
      <c r="Z937" t="str">
        <f t="shared" si="315"/>
        <v>Green</v>
      </c>
      <c r="AA937" t="str">
        <f t="shared" si="316"/>
        <v>Red</v>
      </c>
      <c r="AB937" t="str">
        <f t="shared" si="317"/>
        <v>Green</v>
      </c>
      <c r="AC937" t="str">
        <f t="shared" si="318"/>
        <v>Green</v>
      </c>
      <c r="AD937" t="str">
        <f t="shared" si="319"/>
        <v>Red</v>
      </c>
    </row>
    <row r="938" spans="1:30" x14ac:dyDescent="0.2">
      <c r="A938" t="str">
        <f t="shared" si="300"/>
        <v>25/07/2026Northern TigersBlacktown Spartans</v>
      </c>
      <c r="B938" t="s">
        <v>810</v>
      </c>
      <c r="D938" s="2">
        <v>46228</v>
      </c>
      <c r="E938" s="3">
        <v>0.27083333333333331</v>
      </c>
      <c r="F938" t="s">
        <v>2904</v>
      </c>
      <c r="G938" t="s">
        <v>2905</v>
      </c>
      <c r="H938">
        <v>0</v>
      </c>
      <c r="I938">
        <v>3</v>
      </c>
      <c r="J938">
        <v>0</v>
      </c>
      <c r="K938">
        <v>3</v>
      </c>
      <c r="L938" s="22" t="str">
        <f t="shared" si="301"/>
        <v>25/07/2026</v>
      </c>
      <c r="M938" s="23">
        <f t="shared" si="302"/>
        <v>0.14583333333333331</v>
      </c>
      <c r="N938" t="str">
        <f t="shared" si="303"/>
        <v>0 - 3</v>
      </c>
      <c r="O938" t="str">
        <f t="shared" si="304"/>
        <v>Red</v>
      </c>
      <c r="P938" t="str">
        <f t="shared" si="305"/>
        <v>Red</v>
      </c>
      <c r="Q938" t="str">
        <f t="shared" si="306"/>
        <v>Green</v>
      </c>
      <c r="R938" t="str">
        <f t="shared" si="307"/>
        <v>Red</v>
      </c>
      <c r="S938" t="str">
        <f t="shared" si="308"/>
        <v>Green</v>
      </c>
      <c r="T938" t="str">
        <f t="shared" si="309"/>
        <v>Green</v>
      </c>
      <c r="U938" t="str">
        <f t="shared" si="310"/>
        <v>Red</v>
      </c>
      <c r="V938" t="str">
        <f t="shared" si="311"/>
        <v>Red</v>
      </c>
      <c r="W938" t="str">
        <f t="shared" si="312"/>
        <v>Green</v>
      </c>
      <c r="X938" t="str">
        <f t="shared" si="313"/>
        <v>Green</v>
      </c>
      <c r="Y938" t="str">
        <f t="shared" si="314"/>
        <v>Green</v>
      </c>
      <c r="Z938" t="str">
        <f t="shared" si="315"/>
        <v>Green</v>
      </c>
      <c r="AA938" t="str">
        <f t="shared" si="316"/>
        <v>Red</v>
      </c>
      <c r="AB938" t="str">
        <f t="shared" si="317"/>
        <v>Green</v>
      </c>
      <c r="AC938" t="str">
        <f t="shared" si="318"/>
        <v>Red</v>
      </c>
      <c r="AD938" t="str">
        <f t="shared" si="319"/>
        <v>Green</v>
      </c>
    </row>
    <row r="939" spans="1:30" x14ac:dyDescent="0.2">
      <c r="A939" t="str">
        <f t="shared" si="300"/>
        <v>25/07/2026St George U20Sydney FC U20</v>
      </c>
      <c r="B939" t="s">
        <v>810</v>
      </c>
      <c r="D939" s="2">
        <v>46228</v>
      </c>
      <c r="E939" s="3">
        <v>0.27083333333333331</v>
      </c>
      <c r="F939" t="s">
        <v>2963</v>
      </c>
      <c r="G939" t="s">
        <v>2964</v>
      </c>
      <c r="H939">
        <v>2</v>
      </c>
      <c r="I939">
        <v>1</v>
      </c>
      <c r="J939">
        <v>2</v>
      </c>
      <c r="K939">
        <v>3</v>
      </c>
      <c r="L939" s="22" t="str">
        <f t="shared" si="301"/>
        <v>25/07/2026</v>
      </c>
      <c r="M939" s="23">
        <f t="shared" si="302"/>
        <v>0.14583333333333331</v>
      </c>
      <c r="N939" t="str">
        <f t="shared" si="303"/>
        <v>2 - 3</v>
      </c>
      <c r="O939" t="str">
        <f t="shared" si="304"/>
        <v>Red</v>
      </c>
      <c r="P939" t="str">
        <f t="shared" si="305"/>
        <v>Red</v>
      </c>
      <c r="Q939" t="str">
        <f t="shared" si="306"/>
        <v>Green</v>
      </c>
      <c r="R939" t="str">
        <f t="shared" si="307"/>
        <v>Red</v>
      </c>
      <c r="S939" t="str">
        <f t="shared" si="308"/>
        <v>Green</v>
      </c>
      <c r="T939" t="str">
        <f t="shared" si="309"/>
        <v>Green</v>
      </c>
      <c r="U939" t="str">
        <f t="shared" si="310"/>
        <v>Green</v>
      </c>
      <c r="V939" t="str">
        <f t="shared" si="311"/>
        <v>Red</v>
      </c>
      <c r="W939" t="str">
        <f t="shared" si="312"/>
        <v>Red</v>
      </c>
      <c r="X939" t="str">
        <f t="shared" si="313"/>
        <v>Green</v>
      </c>
      <c r="Y939" t="str">
        <f t="shared" si="314"/>
        <v>Green</v>
      </c>
      <c r="Z939" t="str">
        <f t="shared" si="315"/>
        <v>Green</v>
      </c>
      <c r="AA939" t="str">
        <f t="shared" si="316"/>
        <v>Red</v>
      </c>
      <c r="AB939" t="str">
        <f t="shared" si="317"/>
        <v>Red</v>
      </c>
      <c r="AC939" t="str">
        <f t="shared" si="318"/>
        <v>Green</v>
      </c>
      <c r="AD939" t="str">
        <f t="shared" si="319"/>
        <v>Red</v>
      </c>
    </row>
    <row r="940" spans="1:30" x14ac:dyDescent="0.2">
      <c r="A940" t="str">
        <f t="shared" si="300"/>
        <v>25/07/2026SD Raiders FCMarconi Stallions</v>
      </c>
      <c r="B940" t="s">
        <v>810</v>
      </c>
      <c r="C940" t="s">
        <v>2249</v>
      </c>
      <c r="D940" s="2">
        <v>46228</v>
      </c>
      <c r="E940" s="3">
        <v>0.29166666666666669</v>
      </c>
      <c r="F940" t="s">
        <v>2794</v>
      </c>
      <c r="G940" t="s">
        <v>518</v>
      </c>
      <c r="H940">
        <v>0</v>
      </c>
      <c r="I940">
        <v>1</v>
      </c>
      <c r="J940">
        <v>2</v>
      </c>
      <c r="K940">
        <v>1</v>
      </c>
      <c r="L940" s="22" t="str">
        <f t="shared" si="301"/>
        <v>25/07/2026</v>
      </c>
      <c r="M940" s="23">
        <f t="shared" si="302"/>
        <v>0.16666666666666669</v>
      </c>
      <c r="N940" t="str">
        <f t="shared" si="303"/>
        <v>2 - 1</v>
      </c>
      <c r="O940" t="str">
        <f t="shared" si="304"/>
        <v>Green</v>
      </c>
      <c r="P940" t="str">
        <f t="shared" si="305"/>
        <v>Red</v>
      </c>
      <c r="Q940" t="str">
        <f t="shared" si="306"/>
        <v>Red</v>
      </c>
      <c r="R940" t="str">
        <f t="shared" si="307"/>
        <v>Green</v>
      </c>
      <c r="S940" t="str">
        <f t="shared" si="308"/>
        <v>Red</v>
      </c>
      <c r="T940" t="str">
        <f t="shared" si="309"/>
        <v>Green</v>
      </c>
      <c r="U940" t="str">
        <f t="shared" si="310"/>
        <v>Red</v>
      </c>
      <c r="V940" t="str">
        <f t="shared" si="311"/>
        <v>Red</v>
      </c>
      <c r="W940" t="str">
        <f t="shared" si="312"/>
        <v>Green</v>
      </c>
      <c r="X940" t="str">
        <f t="shared" si="313"/>
        <v>Green</v>
      </c>
      <c r="Y940" t="str">
        <f t="shared" si="314"/>
        <v>Green</v>
      </c>
      <c r="Z940" t="str">
        <f t="shared" si="315"/>
        <v>Green</v>
      </c>
      <c r="AA940" t="str">
        <f t="shared" si="316"/>
        <v>Red</v>
      </c>
      <c r="AB940" t="str">
        <f t="shared" si="317"/>
        <v>Green</v>
      </c>
      <c r="AC940" t="str">
        <f t="shared" si="318"/>
        <v>Green</v>
      </c>
      <c r="AD940" t="str">
        <f t="shared" si="319"/>
        <v>Red</v>
      </c>
    </row>
    <row r="941" spans="1:30" x14ac:dyDescent="0.2">
      <c r="A941" t="str">
        <f t="shared" si="300"/>
        <v>25/07/2026Dandenong ThunderAltona Magic</v>
      </c>
      <c r="B941" t="s">
        <v>810</v>
      </c>
      <c r="D941" s="2">
        <v>46228</v>
      </c>
      <c r="E941" s="3">
        <v>0.29166666666666669</v>
      </c>
      <c r="F941" t="s">
        <v>519</v>
      </c>
      <c r="G941" t="s">
        <v>520</v>
      </c>
      <c r="H941">
        <v>0</v>
      </c>
      <c r="I941">
        <v>0</v>
      </c>
      <c r="J941">
        <v>0</v>
      </c>
      <c r="K941">
        <v>2</v>
      </c>
      <c r="L941" s="22" t="str">
        <f t="shared" si="301"/>
        <v>25/07/2026</v>
      </c>
      <c r="M941" s="23">
        <f t="shared" si="302"/>
        <v>0.16666666666666669</v>
      </c>
      <c r="N941" t="str">
        <f t="shared" si="303"/>
        <v>0 - 2</v>
      </c>
      <c r="O941" t="str">
        <f t="shared" si="304"/>
        <v>Red</v>
      </c>
      <c r="P941" t="str">
        <f t="shared" si="305"/>
        <v>Red</v>
      </c>
      <c r="Q941" t="str">
        <f t="shared" si="306"/>
        <v>Green</v>
      </c>
      <c r="R941" t="str">
        <f t="shared" si="307"/>
        <v>Red</v>
      </c>
      <c r="S941" t="str">
        <f t="shared" si="308"/>
        <v>Green</v>
      </c>
      <c r="T941" t="str">
        <f t="shared" si="309"/>
        <v>Green</v>
      </c>
      <c r="U941" t="str">
        <f t="shared" si="310"/>
        <v>Red</v>
      </c>
      <c r="V941" t="str">
        <f t="shared" si="311"/>
        <v>Green</v>
      </c>
      <c r="W941" t="str">
        <f t="shared" si="312"/>
        <v>Red</v>
      </c>
      <c r="X941" t="str">
        <f t="shared" si="313"/>
        <v>Red</v>
      </c>
      <c r="Y941" t="str">
        <f t="shared" si="314"/>
        <v>Green</v>
      </c>
      <c r="Z941" t="str">
        <f t="shared" si="315"/>
        <v>Red</v>
      </c>
      <c r="AA941" t="str">
        <f t="shared" si="316"/>
        <v>Green</v>
      </c>
      <c r="AB941" t="str">
        <f t="shared" si="317"/>
        <v>Green</v>
      </c>
      <c r="AC941" t="str">
        <f t="shared" si="318"/>
        <v>Red</v>
      </c>
      <c r="AD941" t="str">
        <f t="shared" si="319"/>
        <v>Green</v>
      </c>
    </row>
    <row r="942" spans="1:30" x14ac:dyDescent="0.2">
      <c r="A942" t="str">
        <f t="shared" si="300"/>
        <v>25/07/2026Perth Glory U21Dianella White Eagles</v>
      </c>
      <c r="B942" t="s">
        <v>810</v>
      </c>
      <c r="D942" s="2">
        <v>46228</v>
      </c>
      <c r="E942" s="3">
        <v>0.29166666666666669</v>
      </c>
      <c r="F942" t="s">
        <v>522</v>
      </c>
      <c r="G942" t="s">
        <v>523</v>
      </c>
      <c r="H942">
        <v>1</v>
      </c>
      <c r="I942">
        <v>0</v>
      </c>
      <c r="J942">
        <v>4</v>
      </c>
      <c r="K942">
        <v>0</v>
      </c>
      <c r="L942" s="22" t="str">
        <f t="shared" si="301"/>
        <v>25/07/2026</v>
      </c>
      <c r="M942" s="23">
        <f t="shared" si="302"/>
        <v>0.16666666666666669</v>
      </c>
      <c r="N942" t="str">
        <f t="shared" si="303"/>
        <v>4 - 0</v>
      </c>
      <c r="O942" t="str">
        <f t="shared" si="304"/>
        <v>Green</v>
      </c>
      <c r="P942" t="str">
        <f t="shared" si="305"/>
        <v>Red</v>
      </c>
      <c r="Q942" t="str">
        <f t="shared" si="306"/>
        <v>Red</v>
      </c>
      <c r="R942" t="str">
        <f t="shared" si="307"/>
        <v>Green</v>
      </c>
      <c r="S942" t="str">
        <f t="shared" si="308"/>
        <v>Red</v>
      </c>
      <c r="T942" t="str">
        <f t="shared" si="309"/>
        <v>Green</v>
      </c>
      <c r="U942" t="str">
        <f t="shared" si="310"/>
        <v>Green</v>
      </c>
      <c r="V942" t="str">
        <f t="shared" si="311"/>
        <v>Red</v>
      </c>
      <c r="W942" t="str">
        <f t="shared" si="312"/>
        <v>Red</v>
      </c>
      <c r="X942" t="str">
        <f t="shared" si="313"/>
        <v>Green</v>
      </c>
      <c r="Y942" t="str">
        <f t="shared" si="314"/>
        <v>Green</v>
      </c>
      <c r="Z942" t="str">
        <f t="shared" si="315"/>
        <v>Green</v>
      </c>
      <c r="AA942" t="str">
        <f t="shared" si="316"/>
        <v>Red</v>
      </c>
      <c r="AB942" t="str">
        <f t="shared" si="317"/>
        <v>Red</v>
      </c>
      <c r="AC942" t="str">
        <f t="shared" si="318"/>
        <v>Red</v>
      </c>
      <c r="AD942" t="str">
        <f t="shared" si="319"/>
        <v>Green</v>
      </c>
    </row>
    <row r="943" spans="1:30" x14ac:dyDescent="0.2">
      <c r="A943" t="str">
        <f t="shared" ref="A943:A1006" si="320">L942&amp;F943&amp;G943</f>
        <v>25/07/2026Perth RedStarBalcatta</v>
      </c>
      <c r="B943" t="s">
        <v>810</v>
      </c>
      <c r="D943" s="2">
        <v>46228</v>
      </c>
      <c r="E943" s="3">
        <v>0.29166666666666669</v>
      </c>
      <c r="F943" t="s">
        <v>2812</v>
      </c>
      <c r="G943" t="s">
        <v>525</v>
      </c>
      <c r="H943">
        <v>0</v>
      </c>
      <c r="I943">
        <v>0</v>
      </c>
      <c r="J943">
        <v>0</v>
      </c>
      <c r="K943">
        <v>0</v>
      </c>
      <c r="L943" s="22" t="str">
        <f t="shared" ref="L943:L1006" si="321">DAY(D943)&amp;"/"&amp;"07"&amp;"/"&amp;YEAR(D943)</f>
        <v>25/07/2026</v>
      </c>
      <c r="M943" s="23">
        <f t="shared" ref="M943:M1006" si="322">E943-TIME(3,0,0)</f>
        <v>0.16666666666666669</v>
      </c>
      <c r="N943" t="str">
        <f t="shared" ref="N943:N1006" si="323">J943&amp;" - "&amp;K943</f>
        <v>0 - 0</v>
      </c>
      <c r="O943" t="str">
        <f t="shared" si="304"/>
        <v>Red</v>
      </c>
      <c r="P943" t="str">
        <f t="shared" si="305"/>
        <v>Green</v>
      </c>
      <c r="Q943" t="str">
        <f t="shared" si="306"/>
        <v>Red</v>
      </c>
      <c r="R943" t="str">
        <f t="shared" si="307"/>
        <v>Green</v>
      </c>
      <c r="S943" t="str">
        <f t="shared" si="308"/>
        <v>Green</v>
      </c>
      <c r="T943" t="str">
        <f t="shared" si="309"/>
        <v>Red</v>
      </c>
      <c r="U943" t="str">
        <f t="shared" si="310"/>
        <v>Red</v>
      </c>
      <c r="V943" t="str">
        <f t="shared" si="311"/>
        <v>Green</v>
      </c>
      <c r="W943" t="str">
        <f t="shared" si="312"/>
        <v>Red</v>
      </c>
      <c r="X943" t="str">
        <f t="shared" si="313"/>
        <v>Red</v>
      </c>
      <c r="Y943" t="str">
        <f t="shared" si="314"/>
        <v>Red</v>
      </c>
      <c r="Z943" t="str">
        <f t="shared" si="315"/>
        <v>Red</v>
      </c>
      <c r="AA943" t="str">
        <f t="shared" si="316"/>
        <v>Green</v>
      </c>
      <c r="AB943" t="str">
        <f t="shared" si="317"/>
        <v>Green</v>
      </c>
      <c r="AC943" t="str">
        <f t="shared" si="318"/>
        <v>Red</v>
      </c>
      <c r="AD943" t="str">
        <f t="shared" si="319"/>
        <v>Green</v>
      </c>
    </row>
    <row r="944" spans="1:30" x14ac:dyDescent="0.2">
      <c r="A944" t="str">
        <f t="shared" si="320"/>
        <v>25/07/2026Perth AzzurriBayswater City</v>
      </c>
      <c r="B944" t="s">
        <v>810</v>
      </c>
      <c r="D944" s="2">
        <v>46228</v>
      </c>
      <c r="E944" s="3">
        <v>0.29166666666666669</v>
      </c>
      <c r="F944" t="s">
        <v>2813</v>
      </c>
      <c r="G944" t="s">
        <v>393</v>
      </c>
      <c r="H944">
        <v>0</v>
      </c>
      <c r="I944">
        <v>1</v>
      </c>
      <c r="J944">
        <v>0</v>
      </c>
      <c r="K944">
        <v>2</v>
      </c>
      <c r="L944" s="22" t="str">
        <f t="shared" si="321"/>
        <v>25/07/2026</v>
      </c>
      <c r="M944" s="23">
        <f t="shared" si="322"/>
        <v>0.16666666666666669</v>
      </c>
      <c r="N944" t="str">
        <f t="shared" si="323"/>
        <v>0 - 2</v>
      </c>
      <c r="O944" t="str">
        <f t="shared" si="304"/>
        <v>Red</v>
      </c>
      <c r="P944" t="str">
        <f t="shared" si="305"/>
        <v>Red</v>
      </c>
      <c r="Q944" t="str">
        <f t="shared" si="306"/>
        <v>Green</v>
      </c>
      <c r="R944" t="str">
        <f t="shared" si="307"/>
        <v>Red</v>
      </c>
      <c r="S944" t="str">
        <f t="shared" si="308"/>
        <v>Green</v>
      </c>
      <c r="T944" t="str">
        <f t="shared" si="309"/>
        <v>Green</v>
      </c>
      <c r="U944" t="str">
        <f t="shared" si="310"/>
        <v>Red</v>
      </c>
      <c r="V944" t="str">
        <f t="shared" si="311"/>
        <v>Red</v>
      </c>
      <c r="W944" t="str">
        <f t="shared" si="312"/>
        <v>Green</v>
      </c>
      <c r="X944" t="str">
        <f t="shared" si="313"/>
        <v>Green</v>
      </c>
      <c r="Y944" t="str">
        <f t="shared" si="314"/>
        <v>Green</v>
      </c>
      <c r="Z944" t="str">
        <f t="shared" si="315"/>
        <v>Red</v>
      </c>
      <c r="AA944" t="str">
        <f t="shared" si="316"/>
        <v>Green</v>
      </c>
      <c r="AB944" t="str">
        <f t="shared" si="317"/>
        <v>Green</v>
      </c>
      <c r="AC944" t="str">
        <f t="shared" si="318"/>
        <v>Red</v>
      </c>
      <c r="AD944" t="str">
        <f t="shared" si="319"/>
        <v>Green</v>
      </c>
    </row>
    <row r="945" spans="1:30" x14ac:dyDescent="0.2">
      <c r="A945" t="str">
        <f t="shared" si="320"/>
        <v>25/07/2026SorrentoFremantle City FC</v>
      </c>
      <c r="B945" t="s">
        <v>810</v>
      </c>
      <c r="D945" s="2">
        <v>46228</v>
      </c>
      <c r="E945" s="3">
        <v>0.29166666666666669</v>
      </c>
      <c r="F945" t="s">
        <v>2814</v>
      </c>
      <c r="G945" t="s">
        <v>905</v>
      </c>
      <c r="L945" s="22" t="str">
        <f t="shared" si="321"/>
        <v>25/07/2026</v>
      </c>
      <c r="M945" s="23">
        <f t="shared" si="322"/>
        <v>0.16666666666666669</v>
      </c>
      <c r="N945" t="str">
        <f t="shared" si="323"/>
        <v xml:space="preserve"> - </v>
      </c>
      <c r="O945" t="str">
        <f t="shared" si="304"/>
        <v>Red</v>
      </c>
      <c r="P945" t="str">
        <f t="shared" si="305"/>
        <v>Green</v>
      </c>
      <c r="Q945" t="str">
        <f t="shared" si="306"/>
        <v>Red</v>
      </c>
      <c r="R945" t="str">
        <f t="shared" si="307"/>
        <v>Green</v>
      </c>
      <c r="S945" t="str">
        <f t="shared" si="308"/>
        <v>Green</v>
      </c>
      <c r="T945" t="str">
        <f t="shared" si="309"/>
        <v>Red</v>
      </c>
      <c r="U945" t="str">
        <f t="shared" si="310"/>
        <v>Red</v>
      </c>
      <c r="V945" t="str">
        <f t="shared" si="311"/>
        <v>Green</v>
      </c>
      <c r="W945" t="str">
        <f t="shared" si="312"/>
        <v>Red</v>
      </c>
      <c r="X945" t="str">
        <f t="shared" si="313"/>
        <v>Red</v>
      </c>
      <c r="Y945" t="str">
        <f t="shared" si="314"/>
        <v>Red</v>
      </c>
      <c r="Z945" t="str">
        <f t="shared" si="315"/>
        <v>Red</v>
      </c>
      <c r="AA945" t="str">
        <f t="shared" si="316"/>
        <v>Green</v>
      </c>
      <c r="AB945" t="str">
        <f t="shared" si="317"/>
        <v>Green</v>
      </c>
      <c r="AC945" t="str">
        <f t="shared" si="318"/>
        <v>Red</v>
      </c>
      <c r="AD945" t="str">
        <f t="shared" si="319"/>
        <v>Green</v>
      </c>
    </row>
    <row r="946" spans="1:30" x14ac:dyDescent="0.2">
      <c r="A946" t="str">
        <f t="shared" si="320"/>
        <v>25/07/2026Stirling LionsArmadale</v>
      </c>
      <c r="B946" t="s">
        <v>810</v>
      </c>
      <c r="D946" s="2">
        <v>46228</v>
      </c>
      <c r="E946" s="3">
        <v>0.29166666666666669</v>
      </c>
      <c r="F946" t="s">
        <v>2815</v>
      </c>
      <c r="G946" t="s">
        <v>528</v>
      </c>
      <c r="H946">
        <v>0</v>
      </c>
      <c r="I946">
        <v>1</v>
      </c>
      <c r="J946">
        <v>1</v>
      </c>
      <c r="K946">
        <v>1</v>
      </c>
      <c r="L946" s="22" t="str">
        <f t="shared" si="321"/>
        <v>25/07/2026</v>
      </c>
      <c r="M946" s="23">
        <f t="shared" si="322"/>
        <v>0.16666666666666669</v>
      </c>
      <c r="N946" t="str">
        <f t="shared" si="323"/>
        <v>1 - 1</v>
      </c>
      <c r="O946" t="str">
        <f t="shared" si="304"/>
        <v>Red</v>
      </c>
      <c r="P946" t="str">
        <f t="shared" si="305"/>
        <v>Green</v>
      </c>
      <c r="Q946" t="str">
        <f t="shared" si="306"/>
        <v>Red</v>
      </c>
      <c r="R946" t="str">
        <f t="shared" si="307"/>
        <v>Green</v>
      </c>
      <c r="S946" t="str">
        <f t="shared" si="308"/>
        <v>Green</v>
      </c>
      <c r="T946" t="str">
        <f t="shared" si="309"/>
        <v>Red</v>
      </c>
      <c r="U946" t="str">
        <f t="shared" si="310"/>
        <v>Red</v>
      </c>
      <c r="V946" t="str">
        <f t="shared" si="311"/>
        <v>Red</v>
      </c>
      <c r="W946" t="str">
        <f t="shared" si="312"/>
        <v>Green</v>
      </c>
      <c r="X946" t="str">
        <f t="shared" si="313"/>
        <v>Green</v>
      </c>
      <c r="Y946" t="str">
        <f t="shared" si="314"/>
        <v>Green</v>
      </c>
      <c r="Z946" t="str">
        <f t="shared" si="315"/>
        <v>Red</v>
      </c>
      <c r="AA946" t="str">
        <f t="shared" si="316"/>
        <v>Green</v>
      </c>
      <c r="AB946" t="str">
        <f t="shared" si="317"/>
        <v>Green</v>
      </c>
      <c r="AC946" t="str">
        <f t="shared" si="318"/>
        <v>Green</v>
      </c>
      <c r="AD946" t="str">
        <f t="shared" si="319"/>
        <v>Red</v>
      </c>
    </row>
    <row r="947" spans="1:30" x14ac:dyDescent="0.2">
      <c r="A947" t="str">
        <f t="shared" si="320"/>
        <v>25/07/2026Western KnightsOlympic Kingsway SC</v>
      </c>
      <c r="B947" t="s">
        <v>810</v>
      </c>
      <c r="D947" s="2">
        <v>46228</v>
      </c>
      <c r="E947" s="3">
        <v>0.29166666666666669</v>
      </c>
      <c r="F947" t="s">
        <v>529</v>
      </c>
      <c r="G947" t="s">
        <v>2816</v>
      </c>
      <c r="H947">
        <v>0</v>
      </c>
      <c r="I947">
        <v>0</v>
      </c>
      <c r="J947">
        <v>1</v>
      </c>
      <c r="K947">
        <v>2</v>
      </c>
      <c r="L947" s="22" t="str">
        <f t="shared" si="321"/>
        <v>25/07/2026</v>
      </c>
      <c r="M947" s="23">
        <f t="shared" si="322"/>
        <v>0.16666666666666669</v>
      </c>
      <c r="N947" t="str">
        <f t="shared" si="323"/>
        <v>1 - 2</v>
      </c>
      <c r="O947" t="str">
        <f t="shared" si="304"/>
        <v>Red</v>
      </c>
      <c r="P947" t="str">
        <f t="shared" si="305"/>
        <v>Red</v>
      </c>
      <c r="Q947" t="str">
        <f t="shared" si="306"/>
        <v>Green</v>
      </c>
      <c r="R947" t="str">
        <f t="shared" si="307"/>
        <v>Red</v>
      </c>
      <c r="S947" t="str">
        <f t="shared" si="308"/>
        <v>Green</v>
      </c>
      <c r="T947" t="str">
        <f t="shared" si="309"/>
        <v>Green</v>
      </c>
      <c r="U947" t="str">
        <f t="shared" si="310"/>
        <v>Red</v>
      </c>
      <c r="V947" t="str">
        <f t="shared" si="311"/>
        <v>Green</v>
      </c>
      <c r="W947" t="str">
        <f t="shared" si="312"/>
        <v>Red</v>
      </c>
      <c r="X947" t="str">
        <f t="shared" si="313"/>
        <v>Red</v>
      </c>
      <c r="Y947" t="str">
        <f t="shared" si="314"/>
        <v>Green</v>
      </c>
      <c r="Z947" t="str">
        <f t="shared" si="315"/>
        <v>Green</v>
      </c>
      <c r="AA947" t="str">
        <f t="shared" si="316"/>
        <v>Red</v>
      </c>
      <c r="AB947" t="str">
        <f t="shared" si="317"/>
        <v>Green</v>
      </c>
      <c r="AC947" t="str">
        <f t="shared" si="318"/>
        <v>Green</v>
      </c>
      <c r="AD947" t="str">
        <f t="shared" si="319"/>
        <v>Red</v>
      </c>
    </row>
    <row r="948" spans="1:30" x14ac:dyDescent="0.2">
      <c r="A948" t="str">
        <f t="shared" si="320"/>
        <v>25/07/2026Goulburn Valley SunsSpringvale White Eagles</v>
      </c>
      <c r="B948" t="s">
        <v>810</v>
      </c>
      <c r="D948" s="2">
        <v>46228</v>
      </c>
      <c r="E948" s="3">
        <v>0.29166666666666669</v>
      </c>
      <c r="F948" t="s">
        <v>2825</v>
      </c>
      <c r="G948" t="s">
        <v>2826</v>
      </c>
      <c r="H948">
        <v>0</v>
      </c>
      <c r="I948">
        <v>0</v>
      </c>
      <c r="J948">
        <v>2</v>
      </c>
      <c r="K948">
        <v>1</v>
      </c>
      <c r="L948" s="22" t="str">
        <f t="shared" si="321"/>
        <v>25/07/2026</v>
      </c>
      <c r="M948" s="23">
        <f t="shared" si="322"/>
        <v>0.16666666666666669</v>
      </c>
      <c r="N948" t="str">
        <f t="shared" si="323"/>
        <v>2 - 1</v>
      </c>
      <c r="O948" t="str">
        <f t="shared" si="304"/>
        <v>Green</v>
      </c>
      <c r="P948" t="str">
        <f t="shared" si="305"/>
        <v>Red</v>
      </c>
      <c r="Q948" t="str">
        <f t="shared" si="306"/>
        <v>Red</v>
      </c>
      <c r="R948" t="str">
        <f t="shared" si="307"/>
        <v>Green</v>
      </c>
      <c r="S948" t="str">
        <f t="shared" si="308"/>
        <v>Red</v>
      </c>
      <c r="T948" t="str">
        <f t="shared" si="309"/>
        <v>Green</v>
      </c>
      <c r="U948" t="str">
        <f t="shared" si="310"/>
        <v>Red</v>
      </c>
      <c r="V948" t="str">
        <f t="shared" si="311"/>
        <v>Green</v>
      </c>
      <c r="W948" t="str">
        <f t="shared" si="312"/>
        <v>Red</v>
      </c>
      <c r="X948" t="str">
        <f t="shared" si="313"/>
        <v>Red</v>
      </c>
      <c r="Y948" t="str">
        <f t="shared" si="314"/>
        <v>Green</v>
      </c>
      <c r="Z948" t="str">
        <f t="shared" si="315"/>
        <v>Green</v>
      </c>
      <c r="AA948" t="str">
        <f t="shared" si="316"/>
        <v>Red</v>
      </c>
      <c r="AB948" t="str">
        <f t="shared" si="317"/>
        <v>Green</v>
      </c>
      <c r="AC948" t="str">
        <f t="shared" si="318"/>
        <v>Green</v>
      </c>
      <c r="AD948" t="str">
        <f t="shared" si="319"/>
        <v>Red</v>
      </c>
    </row>
    <row r="949" spans="1:30" x14ac:dyDescent="0.2">
      <c r="A949" t="str">
        <f t="shared" si="320"/>
        <v>25/07/2026Grange ThistleMoreton City Reserves</v>
      </c>
      <c r="B949" t="s">
        <v>810</v>
      </c>
      <c r="D949" s="2">
        <v>46228</v>
      </c>
      <c r="E949" s="3">
        <v>0.29166666666666669</v>
      </c>
      <c r="F949" t="s">
        <v>2831</v>
      </c>
      <c r="G949" t="s">
        <v>2832</v>
      </c>
      <c r="H949">
        <v>1</v>
      </c>
      <c r="I949">
        <v>0</v>
      </c>
      <c r="J949">
        <v>4</v>
      </c>
      <c r="K949">
        <v>0</v>
      </c>
      <c r="L949" s="22" t="str">
        <f t="shared" si="321"/>
        <v>25/07/2026</v>
      </c>
      <c r="M949" s="23">
        <f t="shared" si="322"/>
        <v>0.16666666666666669</v>
      </c>
      <c r="N949" t="str">
        <f t="shared" si="323"/>
        <v>4 - 0</v>
      </c>
      <c r="O949" t="str">
        <f t="shared" si="304"/>
        <v>Green</v>
      </c>
      <c r="P949" t="str">
        <f t="shared" si="305"/>
        <v>Red</v>
      </c>
      <c r="Q949" t="str">
        <f t="shared" si="306"/>
        <v>Red</v>
      </c>
      <c r="R949" t="str">
        <f t="shared" si="307"/>
        <v>Green</v>
      </c>
      <c r="S949" t="str">
        <f t="shared" si="308"/>
        <v>Red</v>
      </c>
      <c r="T949" t="str">
        <f t="shared" si="309"/>
        <v>Green</v>
      </c>
      <c r="U949" t="str">
        <f t="shared" si="310"/>
        <v>Green</v>
      </c>
      <c r="V949" t="str">
        <f t="shared" si="311"/>
        <v>Red</v>
      </c>
      <c r="W949" t="str">
        <f t="shared" si="312"/>
        <v>Red</v>
      </c>
      <c r="X949" t="str">
        <f t="shared" si="313"/>
        <v>Green</v>
      </c>
      <c r="Y949" t="str">
        <f t="shared" si="314"/>
        <v>Green</v>
      </c>
      <c r="Z949" t="str">
        <f t="shared" si="315"/>
        <v>Green</v>
      </c>
      <c r="AA949" t="str">
        <f t="shared" si="316"/>
        <v>Red</v>
      </c>
      <c r="AB949" t="str">
        <f t="shared" si="317"/>
        <v>Red</v>
      </c>
      <c r="AC949" t="str">
        <f t="shared" si="318"/>
        <v>Red</v>
      </c>
      <c r="AD949" t="str">
        <f t="shared" si="319"/>
        <v>Green</v>
      </c>
    </row>
    <row r="950" spans="1:30" x14ac:dyDescent="0.2">
      <c r="A950" t="str">
        <f t="shared" si="320"/>
        <v>25/07/2026Mandurah CityInglewood United</v>
      </c>
      <c r="B950" t="s">
        <v>810</v>
      </c>
      <c r="D950" s="2">
        <v>46228</v>
      </c>
      <c r="E950" s="3">
        <v>0.29166666666666669</v>
      </c>
      <c r="F950" t="s">
        <v>2862</v>
      </c>
      <c r="G950" t="s">
        <v>2863</v>
      </c>
      <c r="H950">
        <v>0</v>
      </c>
      <c r="I950">
        <v>1</v>
      </c>
      <c r="J950">
        <v>1</v>
      </c>
      <c r="K950">
        <v>1</v>
      </c>
      <c r="L950" s="22" t="str">
        <f t="shared" si="321"/>
        <v>25/07/2026</v>
      </c>
      <c r="M950" s="23">
        <f t="shared" si="322"/>
        <v>0.16666666666666669</v>
      </c>
      <c r="N950" t="str">
        <f t="shared" si="323"/>
        <v>1 - 1</v>
      </c>
      <c r="O950" t="str">
        <f t="shared" si="304"/>
        <v>Red</v>
      </c>
      <c r="P950" t="str">
        <f t="shared" si="305"/>
        <v>Green</v>
      </c>
      <c r="Q950" t="str">
        <f t="shared" si="306"/>
        <v>Red</v>
      </c>
      <c r="R950" t="str">
        <f t="shared" si="307"/>
        <v>Green</v>
      </c>
      <c r="S950" t="str">
        <f t="shared" si="308"/>
        <v>Green</v>
      </c>
      <c r="T950" t="str">
        <f t="shared" si="309"/>
        <v>Red</v>
      </c>
      <c r="U950" t="str">
        <f t="shared" si="310"/>
        <v>Red</v>
      </c>
      <c r="V950" t="str">
        <f t="shared" si="311"/>
        <v>Red</v>
      </c>
      <c r="W950" t="str">
        <f t="shared" si="312"/>
        <v>Green</v>
      </c>
      <c r="X950" t="str">
        <f t="shared" si="313"/>
        <v>Green</v>
      </c>
      <c r="Y950" t="str">
        <f t="shared" si="314"/>
        <v>Green</v>
      </c>
      <c r="Z950" t="str">
        <f t="shared" si="315"/>
        <v>Red</v>
      </c>
      <c r="AA950" t="str">
        <f t="shared" si="316"/>
        <v>Green</v>
      </c>
      <c r="AB950" t="str">
        <f t="shared" si="317"/>
        <v>Green</v>
      </c>
      <c r="AC950" t="str">
        <f t="shared" si="318"/>
        <v>Green</v>
      </c>
      <c r="AD950" t="str">
        <f t="shared" si="319"/>
        <v>Red</v>
      </c>
    </row>
    <row r="951" spans="1:30" x14ac:dyDescent="0.2">
      <c r="A951" t="str">
        <f t="shared" si="320"/>
        <v>25/07/2026Murdoch University MelvilleGwelup Croatia SC</v>
      </c>
      <c r="B951" t="s">
        <v>810</v>
      </c>
      <c r="D951" s="2">
        <v>46228</v>
      </c>
      <c r="E951" s="3">
        <v>0.29166666666666669</v>
      </c>
      <c r="F951" t="s">
        <v>2864</v>
      </c>
      <c r="G951" t="s">
        <v>2865</v>
      </c>
      <c r="H951">
        <v>1</v>
      </c>
      <c r="I951">
        <v>1</v>
      </c>
      <c r="J951">
        <v>5</v>
      </c>
      <c r="K951">
        <v>3</v>
      </c>
      <c r="L951" s="22" t="str">
        <f t="shared" si="321"/>
        <v>25/07/2026</v>
      </c>
      <c r="M951" s="23">
        <f t="shared" si="322"/>
        <v>0.16666666666666669</v>
      </c>
      <c r="N951" t="str">
        <f t="shared" si="323"/>
        <v>5 - 3</v>
      </c>
      <c r="O951" t="str">
        <f t="shared" si="304"/>
        <v>Green</v>
      </c>
      <c r="P951" t="str">
        <f t="shared" si="305"/>
        <v>Red</v>
      </c>
      <c r="Q951" t="str">
        <f t="shared" si="306"/>
        <v>Red</v>
      </c>
      <c r="R951" t="str">
        <f t="shared" si="307"/>
        <v>Green</v>
      </c>
      <c r="S951" t="str">
        <f t="shared" si="308"/>
        <v>Red</v>
      </c>
      <c r="T951" t="str">
        <f t="shared" si="309"/>
        <v>Green</v>
      </c>
      <c r="U951" t="str">
        <f t="shared" si="310"/>
        <v>Red</v>
      </c>
      <c r="V951" t="str">
        <f t="shared" si="311"/>
        <v>Green</v>
      </c>
      <c r="W951" t="str">
        <f t="shared" si="312"/>
        <v>Red</v>
      </c>
      <c r="X951" t="str">
        <f t="shared" si="313"/>
        <v>Green</v>
      </c>
      <c r="Y951" t="str">
        <f t="shared" si="314"/>
        <v>Green</v>
      </c>
      <c r="Z951" t="str">
        <f t="shared" si="315"/>
        <v>Green</v>
      </c>
      <c r="AA951" t="str">
        <f t="shared" si="316"/>
        <v>Red</v>
      </c>
      <c r="AB951" t="str">
        <f t="shared" si="317"/>
        <v>Red</v>
      </c>
      <c r="AC951" t="str">
        <f t="shared" si="318"/>
        <v>Green</v>
      </c>
      <c r="AD951" t="str">
        <f t="shared" si="319"/>
        <v>Red</v>
      </c>
    </row>
    <row r="952" spans="1:30" x14ac:dyDescent="0.2">
      <c r="A952" t="str">
        <f t="shared" si="320"/>
        <v>25/07/2026Quinns FCCockburn City</v>
      </c>
      <c r="B952" t="s">
        <v>810</v>
      </c>
      <c r="D952" s="2">
        <v>46228</v>
      </c>
      <c r="E952" s="3">
        <v>0.29166666666666669</v>
      </c>
      <c r="F952" t="s">
        <v>2866</v>
      </c>
      <c r="G952" t="s">
        <v>2867</v>
      </c>
      <c r="H952">
        <v>0</v>
      </c>
      <c r="I952">
        <v>1</v>
      </c>
      <c r="J952">
        <v>3</v>
      </c>
      <c r="K952">
        <v>1</v>
      </c>
      <c r="L952" s="22" t="str">
        <f t="shared" si="321"/>
        <v>25/07/2026</v>
      </c>
      <c r="M952" s="23">
        <f t="shared" si="322"/>
        <v>0.16666666666666669</v>
      </c>
      <c r="N952" t="str">
        <f t="shared" si="323"/>
        <v>3 - 1</v>
      </c>
      <c r="O952" t="str">
        <f t="shared" si="304"/>
        <v>Green</v>
      </c>
      <c r="P952" t="str">
        <f t="shared" si="305"/>
        <v>Red</v>
      </c>
      <c r="Q952" t="str">
        <f t="shared" si="306"/>
        <v>Red</v>
      </c>
      <c r="R952" t="str">
        <f t="shared" si="307"/>
        <v>Green</v>
      </c>
      <c r="S952" t="str">
        <f t="shared" si="308"/>
        <v>Red</v>
      </c>
      <c r="T952" t="str">
        <f t="shared" si="309"/>
        <v>Green</v>
      </c>
      <c r="U952" t="str">
        <f t="shared" si="310"/>
        <v>Red</v>
      </c>
      <c r="V952" t="str">
        <f t="shared" si="311"/>
        <v>Red</v>
      </c>
      <c r="W952" t="str">
        <f t="shared" si="312"/>
        <v>Green</v>
      </c>
      <c r="X952" t="str">
        <f t="shared" si="313"/>
        <v>Green</v>
      </c>
      <c r="Y952" t="str">
        <f t="shared" si="314"/>
        <v>Green</v>
      </c>
      <c r="Z952" t="str">
        <f t="shared" si="315"/>
        <v>Green</v>
      </c>
      <c r="AA952" t="str">
        <f t="shared" si="316"/>
        <v>Red</v>
      </c>
      <c r="AB952" t="str">
        <f t="shared" si="317"/>
        <v>Red</v>
      </c>
      <c r="AC952" t="str">
        <f t="shared" si="318"/>
        <v>Green</v>
      </c>
      <c r="AD952" t="str">
        <f t="shared" si="319"/>
        <v>Red</v>
      </c>
    </row>
    <row r="953" spans="1:30" x14ac:dyDescent="0.2">
      <c r="A953" t="str">
        <f t="shared" si="320"/>
        <v>25/07/2026Subiaco AFCFloreat Athena</v>
      </c>
      <c r="B953" t="s">
        <v>810</v>
      </c>
      <c r="D953" s="2">
        <v>46228</v>
      </c>
      <c r="E953" s="3">
        <v>0.29166666666666669</v>
      </c>
      <c r="F953" t="s">
        <v>2868</v>
      </c>
      <c r="G953" t="s">
        <v>2869</v>
      </c>
      <c r="H953">
        <v>1</v>
      </c>
      <c r="I953">
        <v>0</v>
      </c>
      <c r="J953">
        <v>1</v>
      </c>
      <c r="K953">
        <v>2</v>
      </c>
      <c r="L953" s="22" t="str">
        <f t="shared" si="321"/>
        <v>25/07/2026</v>
      </c>
      <c r="M953" s="23">
        <f t="shared" si="322"/>
        <v>0.16666666666666669</v>
      </c>
      <c r="N953" t="str">
        <f t="shared" si="323"/>
        <v>1 - 2</v>
      </c>
      <c r="O953" t="str">
        <f t="shared" si="304"/>
        <v>Red</v>
      </c>
      <c r="P953" t="str">
        <f t="shared" si="305"/>
        <v>Red</v>
      </c>
      <c r="Q953" t="str">
        <f t="shared" si="306"/>
        <v>Green</v>
      </c>
      <c r="R953" t="str">
        <f t="shared" si="307"/>
        <v>Red</v>
      </c>
      <c r="S953" t="str">
        <f t="shared" si="308"/>
        <v>Green</v>
      </c>
      <c r="T953" t="str">
        <f t="shared" si="309"/>
        <v>Green</v>
      </c>
      <c r="U953" t="str">
        <f t="shared" si="310"/>
        <v>Green</v>
      </c>
      <c r="V953" t="str">
        <f t="shared" si="311"/>
        <v>Red</v>
      </c>
      <c r="W953" t="str">
        <f t="shared" si="312"/>
        <v>Red</v>
      </c>
      <c r="X953" t="str">
        <f t="shared" si="313"/>
        <v>Green</v>
      </c>
      <c r="Y953" t="str">
        <f t="shared" si="314"/>
        <v>Green</v>
      </c>
      <c r="Z953" t="str">
        <f t="shared" si="315"/>
        <v>Green</v>
      </c>
      <c r="AA953" t="str">
        <f t="shared" si="316"/>
        <v>Red</v>
      </c>
      <c r="AB953" t="str">
        <f t="shared" si="317"/>
        <v>Green</v>
      </c>
      <c r="AC953" t="str">
        <f t="shared" si="318"/>
        <v>Green</v>
      </c>
      <c r="AD953" t="str">
        <f t="shared" si="319"/>
        <v>Red</v>
      </c>
    </row>
    <row r="954" spans="1:30" x14ac:dyDescent="0.2">
      <c r="A954" t="str">
        <f t="shared" si="320"/>
        <v>25/07/2026UWA-Nedlands FCCurtin University SC</v>
      </c>
      <c r="B954" t="s">
        <v>810</v>
      </c>
      <c r="D954" s="2">
        <v>46228</v>
      </c>
      <c r="E954" s="3">
        <v>0.29166666666666669</v>
      </c>
      <c r="F954" t="s">
        <v>2870</v>
      </c>
      <c r="G954" t="s">
        <v>2871</v>
      </c>
      <c r="H954">
        <v>1</v>
      </c>
      <c r="I954">
        <v>0</v>
      </c>
      <c r="J954">
        <v>2</v>
      </c>
      <c r="K954">
        <v>1</v>
      </c>
      <c r="L954" s="22" t="str">
        <f t="shared" si="321"/>
        <v>25/07/2026</v>
      </c>
      <c r="M954" s="23">
        <f t="shared" si="322"/>
        <v>0.16666666666666669</v>
      </c>
      <c r="N954" t="str">
        <f t="shared" si="323"/>
        <v>2 - 1</v>
      </c>
      <c r="O954" t="str">
        <f t="shared" si="304"/>
        <v>Green</v>
      </c>
      <c r="P954" t="str">
        <f t="shared" si="305"/>
        <v>Red</v>
      </c>
      <c r="Q954" t="str">
        <f t="shared" si="306"/>
        <v>Red</v>
      </c>
      <c r="R954" t="str">
        <f t="shared" si="307"/>
        <v>Green</v>
      </c>
      <c r="S954" t="str">
        <f t="shared" si="308"/>
        <v>Red</v>
      </c>
      <c r="T954" t="str">
        <f t="shared" si="309"/>
        <v>Green</v>
      </c>
      <c r="U954" t="str">
        <f t="shared" si="310"/>
        <v>Green</v>
      </c>
      <c r="V954" t="str">
        <f t="shared" si="311"/>
        <v>Red</v>
      </c>
      <c r="W954" t="str">
        <f t="shared" si="312"/>
        <v>Red</v>
      </c>
      <c r="X954" t="str">
        <f t="shared" si="313"/>
        <v>Green</v>
      </c>
      <c r="Y954" t="str">
        <f t="shared" si="314"/>
        <v>Green</v>
      </c>
      <c r="Z954" t="str">
        <f t="shared" si="315"/>
        <v>Green</v>
      </c>
      <c r="AA954" t="str">
        <f t="shared" si="316"/>
        <v>Red</v>
      </c>
      <c r="AB954" t="str">
        <f t="shared" si="317"/>
        <v>Green</v>
      </c>
      <c r="AC954" t="str">
        <f t="shared" si="318"/>
        <v>Green</v>
      </c>
      <c r="AD954" t="str">
        <f t="shared" si="319"/>
        <v>Red</v>
      </c>
    </row>
    <row r="955" spans="1:30" x14ac:dyDescent="0.2">
      <c r="A955" t="str">
        <f t="shared" si="320"/>
        <v>25/07/2026Bankstown City LionsBankstown Berries</v>
      </c>
      <c r="B955" t="s">
        <v>810</v>
      </c>
      <c r="D955" s="2">
        <v>46228</v>
      </c>
      <c r="E955" s="3">
        <v>0.29166666666666669</v>
      </c>
      <c r="F955" t="s">
        <v>2906</v>
      </c>
      <c r="G955" t="s">
        <v>2907</v>
      </c>
      <c r="H955">
        <v>0</v>
      </c>
      <c r="I955">
        <v>0</v>
      </c>
      <c r="J955">
        <v>2</v>
      </c>
      <c r="K955">
        <v>1</v>
      </c>
      <c r="L955" s="22" t="str">
        <f t="shared" si="321"/>
        <v>25/07/2026</v>
      </c>
      <c r="M955" s="23">
        <f t="shared" si="322"/>
        <v>0.16666666666666669</v>
      </c>
      <c r="N955" t="str">
        <f t="shared" si="323"/>
        <v>2 - 1</v>
      </c>
      <c r="O955" t="str">
        <f t="shared" si="304"/>
        <v>Green</v>
      </c>
      <c r="P955" t="str">
        <f t="shared" si="305"/>
        <v>Red</v>
      </c>
      <c r="Q955" t="str">
        <f t="shared" si="306"/>
        <v>Red</v>
      </c>
      <c r="R955" t="str">
        <f t="shared" si="307"/>
        <v>Green</v>
      </c>
      <c r="S955" t="str">
        <f t="shared" si="308"/>
        <v>Red</v>
      </c>
      <c r="T955" t="str">
        <f t="shared" si="309"/>
        <v>Green</v>
      </c>
      <c r="U955" t="str">
        <f t="shared" si="310"/>
        <v>Red</v>
      </c>
      <c r="V955" t="str">
        <f t="shared" si="311"/>
        <v>Green</v>
      </c>
      <c r="W955" t="str">
        <f t="shared" si="312"/>
        <v>Red</v>
      </c>
      <c r="X955" t="str">
        <f t="shared" si="313"/>
        <v>Red</v>
      </c>
      <c r="Y955" t="str">
        <f t="shared" si="314"/>
        <v>Green</v>
      </c>
      <c r="Z955" t="str">
        <f t="shared" si="315"/>
        <v>Green</v>
      </c>
      <c r="AA955" t="str">
        <f t="shared" si="316"/>
        <v>Red</v>
      </c>
      <c r="AB955" t="str">
        <f t="shared" si="317"/>
        <v>Green</v>
      </c>
      <c r="AC955" t="str">
        <f t="shared" si="318"/>
        <v>Green</v>
      </c>
      <c r="AD955" t="str">
        <f t="shared" si="319"/>
        <v>Red</v>
      </c>
    </row>
    <row r="956" spans="1:30" x14ac:dyDescent="0.2">
      <c r="A956" t="str">
        <f t="shared" si="320"/>
        <v>25/07/2026Dulwich HillWestern City Rangers</v>
      </c>
      <c r="B956" t="s">
        <v>810</v>
      </c>
      <c r="D956" s="2">
        <v>46228</v>
      </c>
      <c r="E956" s="3">
        <v>0.29166666666666669</v>
      </c>
      <c r="F956" t="s">
        <v>2908</v>
      </c>
      <c r="G956" t="s">
        <v>2909</v>
      </c>
      <c r="H956">
        <v>1</v>
      </c>
      <c r="I956">
        <v>0</v>
      </c>
      <c r="J956">
        <v>4</v>
      </c>
      <c r="K956">
        <v>0</v>
      </c>
      <c r="L956" s="22" t="str">
        <f t="shared" si="321"/>
        <v>25/07/2026</v>
      </c>
      <c r="M956" s="23">
        <f t="shared" si="322"/>
        <v>0.16666666666666669</v>
      </c>
      <c r="N956" t="str">
        <f t="shared" si="323"/>
        <v>4 - 0</v>
      </c>
      <c r="O956" t="str">
        <f t="shared" si="304"/>
        <v>Green</v>
      </c>
      <c r="P956" t="str">
        <f t="shared" si="305"/>
        <v>Red</v>
      </c>
      <c r="Q956" t="str">
        <f t="shared" si="306"/>
        <v>Red</v>
      </c>
      <c r="R956" t="str">
        <f t="shared" si="307"/>
        <v>Green</v>
      </c>
      <c r="S956" t="str">
        <f t="shared" si="308"/>
        <v>Red</v>
      </c>
      <c r="T956" t="str">
        <f t="shared" si="309"/>
        <v>Green</v>
      </c>
      <c r="U956" t="str">
        <f t="shared" si="310"/>
        <v>Green</v>
      </c>
      <c r="V956" t="str">
        <f t="shared" si="311"/>
        <v>Red</v>
      </c>
      <c r="W956" t="str">
        <f t="shared" si="312"/>
        <v>Red</v>
      </c>
      <c r="X956" t="str">
        <f t="shared" si="313"/>
        <v>Green</v>
      </c>
      <c r="Y956" t="str">
        <f t="shared" si="314"/>
        <v>Green</v>
      </c>
      <c r="Z956" t="str">
        <f t="shared" si="315"/>
        <v>Green</v>
      </c>
      <c r="AA956" t="str">
        <f t="shared" si="316"/>
        <v>Red</v>
      </c>
      <c r="AB956" t="str">
        <f t="shared" si="317"/>
        <v>Red</v>
      </c>
      <c r="AC956" t="str">
        <f t="shared" si="318"/>
        <v>Red</v>
      </c>
      <c r="AD956" t="str">
        <f t="shared" si="319"/>
        <v>Green</v>
      </c>
    </row>
    <row r="957" spans="1:30" x14ac:dyDescent="0.2">
      <c r="A957" t="str">
        <f t="shared" si="320"/>
        <v>25/07/2026Inter LionsProspect United</v>
      </c>
      <c r="B957" t="s">
        <v>810</v>
      </c>
      <c r="D957" s="2">
        <v>46228</v>
      </c>
      <c r="E957" s="3">
        <v>0.29166666666666669</v>
      </c>
      <c r="F957" t="s">
        <v>2910</v>
      </c>
      <c r="G957" t="s">
        <v>2911</v>
      </c>
      <c r="H957">
        <v>1</v>
      </c>
      <c r="I957">
        <v>0</v>
      </c>
      <c r="J957">
        <v>1</v>
      </c>
      <c r="K957">
        <v>1</v>
      </c>
      <c r="L957" s="22" t="str">
        <f t="shared" si="321"/>
        <v>25/07/2026</v>
      </c>
      <c r="M957" s="23">
        <f t="shared" si="322"/>
        <v>0.16666666666666669</v>
      </c>
      <c r="N957" t="str">
        <f t="shared" si="323"/>
        <v>1 - 1</v>
      </c>
      <c r="O957" t="str">
        <f t="shared" si="304"/>
        <v>Red</v>
      </c>
      <c r="P957" t="str">
        <f t="shared" si="305"/>
        <v>Green</v>
      </c>
      <c r="Q957" t="str">
        <f t="shared" si="306"/>
        <v>Red</v>
      </c>
      <c r="R957" t="str">
        <f t="shared" si="307"/>
        <v>Green</v>
      </c>
      <c r="S957" t="str">
        <f t="shared" si="308"/>
        <v>Green</v>
      </c>
      <c r="T957" t="str">
        <f t="shared" si="309"/>
        <v>Red</v>
      </c>
      <c r="U957" t="str">
        <f t="shared" si="310"/>
        <v>Green</v>
      </c>
      <c r="V957" t="str">
        <f t="shared" si="311"/>
        <v>Red</v>
      </c>
      <c r="W957" t="str">
        <f t="shared" si="312"/>
        <v>Red</v>
      </c>
      <c r="X957" t="str">
        <f t="shared" si="313"/>
        <v>Green</v>
      </c>
      <c r="Y957" t="str">
        <f t="shared" si="314"/>
        <v>Green</v>
      </c>
      <c r="Z957" t="str">
        <f t="shared" si="315"/>
        <v>Red</v>
      </c>
      <c r="AA957" t="str">
        <f t="shared" si="316"/>
        <v>Green</v>
      </c>
      <c r="AB957" t="str">
        <f t="shared" si="317"/>
        <v>Green</v>
      </c>
      <c r="AC957" t="str">
        <f t="shared" si="318"/>
        <v>Green</v>
      </c>
      <c r="AD957" t="str">
        <f t="shared" si="319"/>
        <v>Red</v>
      </c>
    </row>
    <row r="958" spans="1:30" x14ac:dyDescent="0.2">
      <c r="A958" t="str">
        <f t="shared" si="320"/>
        <v>25/07/2026Newcastle Jets U21Hills Brumbies</v>
      </c>
      <c r="B958" t="s">
        <v>810</v>
      </c>
      <c r="D958" s="2">
        <v>46228</v>
      </c>
      <c r="E958" s="3">
        <v>0.29166666666666669</v>
      </c>
      <c r="F958" t="s">
        <v>2912</v>
      </c>
      <c r="G958" t="s">
        <v>2913</v>
      </c>
      <c r="H958">
        <v>2</v>
      </c>
      <c r="I958">
        <v>0</v>
      </c>
      <c r="J958">
        <v>2</v>
      </c>
      <c r="K958">
        <v>1</v>
      </c>
      <c r="L958" s="22" t="str">
        <f t="shared" si="321"/>
        <v>25/07/2026</v>
      </c>
      <c r="M958" s="23">
        <f t="shared" si="322"/>
        <v>0.16666666666666669</v>
      </c>
      <c r="N958" t="str">
        <f t="shared" si="323"/>
        <v>2 - 1</v>
      </c>
      <c r="O958" t="str">
        <f t="shared" si="304"/>
        <v>Green</v>
      </c>
      <c r="P958" t="str">
        <f t="shared" si="305"/>
        <v>Red</v>
      </c>
      <c r="Q958" t="str">
        <f t="shared" si="306"/>
        <v>Red</v>
      </c>
      <c r="R958" t="str">
        <f t="shared" si="307"/>
        <v>Green</v>
      </c>
      <c r="S958" t="str">
        <f t="shared" si="308"/>
        <v>Red</v>
      </c>
      <c r="T958" t="str">
        <f t="shared" si="309"/>
        <v>Green</v>
      </c>
      <c r="U958" t="str">
        <f t="shared" si="310"/>
        <v>Green</v>
      </c>
      <c r="V958" t="str">
        <f t="shared" si="311"/>
        <v>Red</v>
      </c>
      <c r="W958" t="str">
        <f t="shared" si="312"/>
        <v>Red</v>
      </c>
      <c r="X958" t="str">
        <f t="shared" si="313"/>
        <v>Green</v>
      </c>
      <c r="Y958" t="str">
        <f t="shared" si="314"/>
        <v>Green</v>
      </c>
      <c r="Z958" t="str">
        <f t="shared" si="315"/>
        <v>Green</v>
      </c>
      <c r="AA958" t="str">
        <f t="shared" si="316"/>
        <v>Red</v>
      </c>
      <c r="AB958" t="str">
        <f t="shared" si="317"/>
        <v>Green</v>
      </c>
      <c r="AC958" t="str">
        <f t="shared" si="318"/>
        <v>Green</v>
      </c>
      <c r="AD958" t="str">
        <f t="shared" si="319"/>
        <v>Red</v>
      </c>
    </row>
    <row r="959" spans="1:30" x14ac:dyDescent="0.2">
      <c r="A959" t="str">
        <f t="shared" si="320"/>
        <v>25/07/2026Bankstown United FCGranville Rage</v>
      </c>
      <c r="B959" t="s">
        <v>810</v>
      </c>
      <c r="D959" s="2">
        <v>46228</v>
      </c>
      <c r="E959" s="3">
        <v>0.29166666666666669</v>
      </c>
      <c r="F959" t="s">
        <v>2914</v>
      </c>
      <c r="G959" t="s">
        <v>2915</v>
      </c>
      <c r="H959">
        <v>1</v>
      </c>
      <c r="I959">
        <v>0</v>
      </c>
      <c r="J959">
        <v>2</v>
      </c>
      <c r="K959">
        <v>0</v>
      </c>
      <c r="L959" s="22" t="str">
        <f t="shared" si="321"/>
        <v>25/07/2026</v>
      </c>
      <c r="M959" s="23">
        <f t="shared" si="322"/>
        <v>0.16666666666666669</v>
      </c>
      <c r="N959" t="str">
        <f t="shared" si="323"/>
        <v>2 - 0</v>
      </c>
      <c r="O959" t="str">
        <f t="shared" si="304"/>
        <v>Green</v>
      </c>
      <c r="P959" t="str">
        <f t="shared" si="305"/>
        <v>Red</v>
      </c>
      <c r="Q959" t="str">
        <f t="shared" si="306"/>
        <v>Red</v>
      </c>
      <c r="R959" t="str">
        <f t="shared" si="307"/>
        <v>Green</v>
      </c>
      <c r="S959" t="str">
        <f t="shared" si="308"/>
        <v>Red</v>
      </c>
      <c r="T959" t="str">
        <f t="shared" si="309"/>
        <v>Green</v>
      </c>
      <c r="U959" t="str">
        <f t="shared" si="310"/>
        <v>Green</v>
      </c>
      <c r="V959" t="str">
        <f t="shared" si="311"/>
        <v>Red</v>
      </c>
      <c r="W959" t="str">
        <f t="shared" si="312"/>
        <v>Red</v>
      </c>
      <c r="X959" t="str">
        <f t="shared" si="313"/>
        <v>Green</v>
      </c>
      <c r="Y959" t="str">
        <f t="shared" si="314"/>
        <v>Green</v>
      </c>
      <c r="Z959" t="str">
        <f t="shared" si="315"/>
        <v>Red</v>
      </c>
      <c r="AA959" t="str">
        <f t="shared" si="316"/>
        <v>Green</v>
      </c>
      <c r="AB959" t="str">
        <f t="shared" si="317"/>
        <v>Green</v>
      </c>
      <c r="AC959" t="str">
        <f t="shared" si="318"/>
        <v>Red</v>
      </c>
      <c r="AD959" t="str">
        <f t="shared" si="319"/>
        <v>Green</v>
      </c>
    </row>
    <row r="960" spans="1:30" x14ac:dyDescent="0.2">
      <c r="A960" t="str">
        <f t="shared" si="320"/>
        <v>25/07/2026Hawkesbury City SCParramatta</v>
      </c>
      <c r="B960" t="s">
        <v>810</v>
      </c>
      <c r="D960" s="2">
        <v>46228</v>
      </c>
      <c r="E960" s="3">
        <v>0.29166666666666669</v>
      </c>
      <c r="F960" t="s">
        <v>2916</v>
      </c>
      <c r="G960" t="s">
        <v>2917</v>
      </c>
      <c r="H960">
        <v>0</v>
      </c>
      <c r="I960">
        <v>1</v>
      </c>
      <c r="J960">
        <v>1</v>
      </c>
      <c r="K960">
        <v>5</v>
      </c>
      <c r="L960" s="22" t="str">
        <f t="shared" si="321"/>
        <v>25/07/2026</v>
      </c>
      <c r="M960" s="23">
        <f t="shared" si="322"/>
        <v>0.16666666666666669</v>
      </c>
      <c r="N960" t="str">
        <f t="shared" si="323"/>
        <v>1 - 5</v>
      </c>
      <c r="O960" t="str">
        <f t="shared" si="304"/>
        <v>Red</v>
      </c>
      <c r="P960" t="str">
        <f t="shared" si="305"/>
        <v>Red</v>
      </c>
      <c r="Q960" t="str">
        <f t="shared" si="306"/>
        <v>Green</v>
      </c>
      <c r="R960" t="str">
        <f t="shared" si="307"/>
        <v>Red</v>
      </c>
      <c r="S960" t="str">
        <f t="shared" si="308"/>
        <v>Green</v>
      </c>
      <c r="T960" t="str">
        <f t="shared" si="309"/>
        <v>Green</v>
      </c>
      <c r="U960" t="str">
        <f t="shared" si="310"/>
        <v>Red</v>
      </c>
      <c r="V960" t="str">
        <f t="shared" si="311"/>
        <v>Red</v>
      </c>
      <c r="W960" t="str">
        <f t="shared" si="312"/>
        <v>Green</v>
      </c>
      <c r="X960" t="str">
        <f t="shared" si="313"/>
        <v>Green</v>
      </c>
      <c r="Y960" t="str">
        <f t="shared" si="314"/>
        <v>Green</v>
      </c>
      <c r="Z960" t="str">
        <f t="shared" si="315"/>
        <v>Green</v>
      </c>
      <c r="AA960" t="str">
        <f t="shared" si="316"/>
        <v>Red</v>
      </c>
      <c r="AB960" t="str">
        <f t="shared" si="317"/>
        <v>Red</v>
      </c>
      <c r="AC960" t="str">
        <f t="shared" si="318"/>
        <v>Green</v>
      </c>
      <c r="AD960" t="str">
        <f t="shared" si="319"/>
        <v>Red</v>
      </c>
    </row>
    <row r="961" spans="1:30" x14ac:dyDescent="0.2">
      <c r="A961" t="str">
        <f t="shared" si="320"/>
        <v>25/07/2026South Coast FlameStanmore Hawks</v>
      </c>
      <c r="B961" t="s">
        <v>810</v>
      </c>
      <c r="D961" s="2">
        <v>46228</v>
      </c>
      <c r="E961" s="3">
        <v>0.29166666666666669</v>
      </c>
      <c r="F961" t="s">
        <v>2918</v>
      </c>
      <c r="G961" t="s">
        <v>2919</v>
      </c>
      <c r="H961">
        <v>0</v>
      </c>
      <c r="I961">
        <v>1</v>
      </c>
      <c r="J961">
        <v>0</v>
      </c>
      <c r="K961">
        <v>2</v>
      </c>
      <c r="L961" s="22" t="str">
        <f t="shared" si="321"/>
        <v>25/07/2026</v>
      </c>
      <c r="M961" s="23">
        <f t="shared" si="322"/>
        <v>0.16666666666666669</v>
      </c>
      <c r="N961" t="str">
        <f t="shared" si="323"/>
        <v>0 - 2</v>
      </c>
      <c r="O961" t="str">
        <f t="shared" si="304"/>
        <v>Red</v>
      </c>
      <c r="P961" t="str">
        <f t="shared" si="305"/>
        <v>Red</v>
      </c>
      <c r="Q961" t="str">
        <f t="shared" si="306"/>
        <v>Green</v>
      </c>
      <c r="R961" t="str">
        <f t="shared" si="307"/>
        <v>Red</v>
      </c>
      <c r="S961" t="str">
        <f t="shared" si="308"/>
        <v>Green</v>
      </c>
      <c r="T961" t="str">
        <f t="shared" si="309"/>
        <v>Green</v>
      </c>
      <c r="U961" t="str">
        <f t="shared" si="310"/>
        <v>Red</v>
      </c>
      <c r="V961" t="str">
        <f t="shared" si="311"/>
        <v>Red</v>
      </c>
      <c r="W961" t="str">
        <f t="shared" si="312"/>
        <v>Green</v>
      </c>
      <c r="X961" t="str">
        <f t="shared" si="313"/>
        <v>Green</v>
      </c>
      <c r="Y961" t="str">
        <f t="shared" si="314"/>
        <v>Green</v>
      </c>
      <c r="Z961" t="str">
        <f t="shared" si="315"/>
        <v>Red</v>
      </c>
      <c r="AA961" t="str">
        <f t="shared" si="316"/>
        <v>Green</v>
      </c>
      <c r="AB961" t="str">
        <f t="shared" si="317"/>
        <v>Green</v>
      </c>
      <c r="AC961" t="str">
        <f t="shared" si="318"/>
        <v>Red</v>
      </c>
      <c r="AD961" t="str">
        <f t="shared" si="319"/>
        <v>Green</v>
      </c>
    </row>
    <row r="962" spans="1:30" x14ac:dyDescent="0.2">
      <c r="A962" t="str">
        <f t="shared" si="320"/>
        <v>25/07/2026UNSW WomenAPIA Leichhardt Tigers Women</v>
      </c>
      <c r="B962" t="s">
        <v>810</v>
      </c>
      <c r="D962" s="2">
        <v>46228</v>
      </c>
      <c r="E962" s="3">
        <v>0.29166666666666669</v>
      </c>
      <c r="F962" t="s">
        <v>2929</v>
      </c>
      <c r="G962" t="s">
        <v>2930</v>
      </c>
      <c r="H962">
        <v>1</v>
      </c>
      <c r="I962">
        <v>1</v>
      </c>
      <c r="J962">
        <v>1</v>
      </c>
      <c r="K962">
        <v>1</v>
      </c>
      <c r="L962" s="22" t="str">
        <f t="shared" si="321"/>
        <v>25/07/2026</v>
      </c>
      <c r="M962" s="23">
        <f t="shared" si="322"/>
        <v>0.16666666666666669</v>
      </c>
      <c r="N962" t="str">
        <f t="shared" si="323"/>
        <v>1 - 1</v>
      </c>
      <c r="O962" t="str">
        <f t="shared" ref="O962:O1025" si="324">IF($J962&gt;$K962,"Green","Red")</f>
        <v>Red</v>
      </c>
      <c r="P962" t="str">
        <f t="shared" ref="P962:P1025" si="325">IF($J962=$K962,"Green","Red")</f>
        <v>Green</v>
      </c>
      <c r="Q962" t="str">
        <f t="shared" ref="Q962:Q1025" si="326">IF($J962&lt;$K962,"Green","Red")</f>
        <v>Red</v>
      </c>
      <c r="R962" t="str">
        <f t="shared" ref="R962:R1025" si="327">IF($J962&gt;=$K962,"Green","Red")</f>
        <v>Green</v>
      </c>
      <c r="S962" t="str">
        <f t="shared" ref="S962:S1025" si="328">IF($J962&lt;=$K962,"Green","Red")</f>
        <v>Green</v>
      </c>
      <c r="T962" t="str">
        <f t="shared" ref="T962:T1025" si="329">IF(OR($J962&gt;$K962,$J962&lt;$K962),"Green","Red")</f>
        <v>Red</v>
      </c>
      <c r="U962" t="str">
        <f t="shared" ref="U962:U1025" si="330">IF($H962&gt;$I962,"Green","Red")</f>
        <v>Red</v>
      </c>
      <c r="V962" t="str">
        <f t="shared" ref="V962:V1025" si="331">IF($H962=$I962,"Green","Red")</f>
        <v>Green</v>
      </c>
      <c r="W962" t="str">
        <f t="shared" ref="W962:W1025" si="332">IF($H962&lt;$I962,"Green","Red")</f>
        <v>Red</v>
      </c>
      <c r="X962" t="str">
        <f t="shared" ref="X962:X1025" si="333">IF($H962+$I962&gt;0,"Green","Red")</f>
        <v>Green</v>
      </c>
      <c r="Y962" t="str">
        <f t="shared" ref="Y962:Y1025" si="334">IF($J962+$K962&gt;1.5,"Green","Red")</f>
        <v>Green</v>
      </c>
      <c r="Z962" t="str">
        <f t="shared" ref="Z962:Z1025" si="335">IF($J962+$K962&gt;2.5,"Green","Red")</f>
        <v>Red</v>
      </c>
      <c r="AA962" t="str">
        <f t="shared" ref="AA962:AA1025" si="336">IF($J962+$K962&lt;2.5,"Green","Red")</f>
        <v>Green</v>
      </c>
      <c r="AB962" t="str">
        <f t="shared" ref="AB962:AB1025" si="337">IF($J962+$K962&lt;3.5,"Green","Red")</f>
        <v>Green</v>
      </c>
      <c r="AC962" t="str">
        <f t="shared" ref="AC962:AC1025" si="338">IF(AND($J962&gt;0,$K962&gt;0),"Green","Red")</f>
        <v>Green</v>
      </c>
      <c r="AD962" t="str">
        <f t="shared" ref="AD962:AD1025" si="339">IF(OR($J962=0,$K962=0),"Green","Red")</f>
        <v>Red</v>
      </c>
    </row>
    <row r="963" spans="1:30" x14ac:dyDescent="0.2">
      <c r="A963" t="str">
        <f t="shared" si="320"/>
        <v>25/07/2026Boroondara Eagles WomenSpring Hills Women</v>
      </c>
      <c r="B963" t="s">
        <v>810</v>
      </c>
      <c r="D963" s="2">
        <v>46228</v>
      </c>
      <c r="E963" s="3">
        <v>0.29166666666666669</v>
      </c>
      <c r="F963" t="s">
        <v>2941</v>
      </c>
      <c r="G963" t="s">
        <v>2942</v>
      </c>
      <c r="H963">
        <v>2</v>
      </c>
      <c r="I963">
        <v>0</v>
      </c>
      <c r="J963">
        <v>2</v>
      </c>
      <c r="K963">
        <v>1</v>
      </c>
      <c r="L963" s="22" t="str">
        <f t="shared" si="321"/>
        <v>25/07/2026</v>
      </c>
      <c r="M963" s="23">
        <f t="shared" si="322"/>
        <v>0.16666666666666669</v>
      </c>
      <c r="N963" t="str">
        <f t="shared" si="323"/>
        <v>2 - 1</v>
      </c>
      <c r="O963" t="str">
        <f t="shared" si="324"/>
        <v>Green</v>
      </c>
      <c r="P963" t="str">
        <f t="shared" si="325"/>
        <v>Red</v>
      </c>
      <c r="Q963" t="str">
        <f t="shared" si="326"/>
        <v>Red</v>
      </c>
      <c r="R963" t="str">
        <f t="shared" si="327"/>
        <v>Green</v>
      </c>
      <c r="S963" t="str">
        <f t="shared" si="328"/>
        <v>Red</v>
      </c>
      <c r="T963" t="str">
        <f t="shared" si="329"/>
        <v>Green</v>
      </c>
      <c r="U963" t="str">
        <f t="shared" si="330"/>
        <v>Green</v>
      </c>
      <c r="V963" t="str">
        <f t="shared" si="331"/>
        <v>Red</v>
      </c>
      <c r="W963" t="str">
        <f t="shared" si="332"/>
        <v>Red</v>
      </c>
      <c r="X963" t="str">
        <f t="shared" si="333"/>
        <v>Green</v>
      </c>
      <c r="Y963" t="str">
        <f t="shared" si="334"/>
        <v>Green</v>
      </c>
      <c r="Z963" t="str">
        <f t="shared" si="335"/>
        <v>Green</v>
      </c>
      <c r="AA963" t="str">
        <f t="shared" si="336"/>
        <v>Red</v>
      </c>
      <c r="AB963" t="str">
        <f t="shared" si="337"/>
        <v>Green</v>
      </c>
      <c r="AC963" t="str">
        <f t="shared" si="338"/>
        <v>Green</v>
      </c>
      <c r="AD963" t="str">
        <f t="shared" si="339"/>
        <v>Red</v>
      </c>
    </row>
    <row r="964" spans="1:30" x14ac:dyDescent="0.2">
      <c r="A964" t="str">
        <f t="shared" si="320"/>
        <v>25/07/2026North Eastern MetroStars WomenFlinders United Women</v>
      </c>
      <c r="B964" t="s">
        <v>810</v>
      </c>
      <c r="D964" s="2">
        <v>46228</v>
      </c>
      <c r="E964" s="3">
        <v>0.29166666666666669</v>
      </c>
      <c r="F964" t="s">
        <v>2945</v>
      </c>
      <c r="G964" t="s">
        <v>2946</v>
      </c>
      <c r="H964">
        <v>5</v>
      </c>
      <c r="I964">
        <v>0</v>
      </c>
      <c r="J964">
        <v>8</v>
      </c>
      <c r="K964">
        <v>0</v>
      </c>
      <c r="L964" s="22" t="str">
        <f t="shared" si="321"/>
        <v>25/07/2026</v>
      </c>
      <c r="M964" s="23">
        <f t="shared" si="322"/>
        <v>0.16666666666666669</v>
      </c>
      <c r="N964" t="str">
        <f t="shared" si="323"/>
        <v>8 - 0</v>
      </c>
      <c r="O964" t="str">
        <f t="shared" si="324"/>
        <v>Green</v>
      </c>
      <c r="P964" t="str">
        <f t="shared" si="325"/>
        <v>Red</v>
      </c>
      <c r="Q964" t="str">
        <f t="shared" si="326"/>
        <v>Red</v>
      </c>
      <c r="R964" t="str">
        <f t="shared" si="327"/>
        <v>Green</v>
      </c>
      <c r="S964" t="str">
        <f t="shared" si="328"/>
        <v>Red</v>
      </c>
      <c r="T964" t="str">
        <f t="shared" si="329"/>
        <v>Green</v>
      </c>
      <c r="U964" t="str">
        <f t="shared" si="330"/>
        <v>Green</v>
      </c>
      <c r="V964" t="str">
        <f t="shared" si="331"/>
        <v>Red</v>
      </c>
      <c r="W964" t="str">
        <f t="shared" si="332"/>
        <v>Red</v>
      </c>
      <c r="X964" t="str">
        <f t="shared" si="333"/>
        <v>Green</v>
      </c>
      <c r="Y964" t="str">
        <f t="shared" si="334"/>
        <v>Green</v>
      </c>
      <c r="Z964" t="str">
        <f t="shared" si="335"/>
        <v>Green</v>
      </c>
      <c r="AA964" t="str">
        <f t="shared" si="336"/>
        <v>Red</v>
      </c>
      <c r="AB964" t="str">
        <f t="shared" si="337"/>
        <v>Red</v>
      </c>
      <c r="AC964" t="str">
        <f t="shared" si="338"/>
        <v>Red</v>
      </c>
      <c r="AD964" t="str">
        <f t="shared" si="339"/>
        <v>Green</v>
      </c>
    </row>
    <row r="965" spans="1:30" x14ac:dyDescent="0.2">
      <c r="A965" t="str">
        <f t="shared" si="320"/>
        <v>25/07/2026Virginia United WomenMoreton City Excelsior Women</v>
      </c>
      <c r="B965" t="s">
        <v>810</v>
      </c>
      <c r="D965" s="2">
        <v>46228</v>
      </c>
      <c r="E965" s="3">
        <v>0.29166666666666669</v>
      </c>
      <c r="F965" t="s">
        <v>2951</v>
      </c>
      <c r="G965" t="s">
        <v>2952</v>
      </c>
      <c r="H965">
        <v>1</v>
      </c>
      <c r="I965">
        <v>0</v>
      </c>
      <c r="J965">
        <v>1</v>
      </c>
      <c r="K965">
        <v>0</v>
      </c>
      <c r="L965" s="22" t="str">
        <f t="shared" si="321"/>
        <v>25/07/2026</v>
      </c>
      <c r="M965" s="23">
        <f t="shared" si="322"/>
        <v>0.16666666666666669</v>
      </c>
      <c r="N965" t="str">
        <f t="shared" si="323"/>
        <v>1 - 0</v>
      </c>
      <c r="O965" t="str">
        <f t="shared" si="324"/>
        <v>Green</v>
      </c>
      <c r="P965" t="str">
        <f t="shared" si="325"/>
        <v>Red</v>
      </c>
      <c r="Q965" t="str">
        <f t="shared" si="326"/>
        <v>Red</v>
      </c>
      <c r="R965" t="str">
        <f t="shared" si="327"/>
        <v>Green</v>
      </c>
      <c r="S965" t="str">
        <f t="shared" si="328"/>
        <v>Red</v>
      </c>
      <c r="T965" t="str">
        <f t="shared" si="329"/>
        <v>Green</v>
      </c>
      <c r="U965" t="str">
        <f t="shared" si="330"/>
        <v>Green</v>
      </c>
      <c r="V965" t="str">
        <f t="shared" si="331"/>
        <v>Red</v>
      </c>
      <c r="W965" t="str">
        <f t="shared" si="332"/>
        <v>Red</v>
      </c>
      <c r="X965" t="str">
        <f t="shared" si="333"/>
        <v>Green</v>
      </c>
      <c r="Y965" t="str">
        <f t="shared" si="334"/>
        <v>Red</v>
      </c>
      <c r="Z965" t="str">
        <f t="shared" si="335"/>
        <v>Red</v>
      </c>
      <c r="AA965" t="str">
        <f t="shared" si="336"/>
        <v>Green</v>
      </c>
      <c r="AB965" t="str">
        <f t="shared" si="337"/>
        <v>Green</v>
      </c>
      <c r="AC965" t="str">
        <f t="shared" si="338"/>
        <v>Red</v>
      </c>
      <c r="AD965" t="str">
        <f t="shared" si="339"/>
        <v>Green</v>
      </c>
    </row>
    <row r="966" spans="1:30" x14ac:dyDescent="0.2">
      <c r="A966" t="str">
        <f t="shared" si="320"/>
        <v>25/07/2026St George City U20Sydney United U20</v>
      </c>
      <c r="B966" t="s">
        <v>810</v>
      </c>
      <c r="D966" s="2">
        <v>46228</v>
      </c>
      <c r="E966" s="3">
        <v>0.29166666666666669</v>
      </c>
      <c r="F966" t="s">
        <v>2965</v>
      </c>
      <c r="G966" t="s">
        <v>2966</v>
      </c>
      <c r="H966">
        <v>0</v>
      </c>
      <c r="I966">
        <v>1</v>
      </c>
      <c r="J966">
        <v>1</v>
      </c>
      <c r="K966">
        <v>1</v>
      </c>
      <c r="L966" s="22" t="str">
        <f t="shared" si="321"/>
        <v>25/07/2026</v>
      </c>
      <c r="M966" s="23">
        <f t="shared" si="322"/>
        <v>0.16666666666666669</v>
      </c>
      <c r="N966" t="str">
        <f t="shared" si="323"/>
        <v>1 - 1</v>
      </c>
      <c r="O966" t="str">
        <f t="shared" si="324"/>
        <v>Red</v>
      </c>
      <c r="P966" t="str">
        <f t="shared" si="325"/>
        <v>Green</v>
      </c>
      <c r="Q966" t="str">
        <f t="shared" si="326"/>
        <v>Red</v>
      </c>
      <c r="R966" t="str">
        <f t="shared" si="327"/>
        <v>Green</v>
      </c>
      <c r="S966" t="str">
        <f t="shared" si="328"/>
        <v>Green</v>
      </c>
      <c r="T966" t="str">
        <f t="shared" si="329"/>
        <v>Red</v>
      </c>
      <c r="U966" t="str">
        <f t="shared" si="330"/>
        <v>Red</v>
      </c>
      <c r="V966" t="str">
        <f t="shared" si="331"/>
        <v>Red</v>
      </c>
      <c r="W966" t="str">
        <f t="shared" si="332"/>
        <v>Green</v>
      </c>
      <c r="X966" t="str">
        <f t="shared" si="333"/>
        <v>Green</v>
      </c>
      <c r="Y966" t="str">
        <f t="shared" si="334"/>
        <v>Green</v>
      </c>
      <c r="Z966" t="str">
        <f t="shared" si="335"/>
        <v>Red</v>
      </c>
      <c r="AA966" t="str">
        <f t="shared" si="336"/>
        <v>Green</v>
      </c>
      <c r="AB966" t="str">
        <f t="shared" si="337"/>
        <v>Green</v>
      </c>
      <c r="AC966" t="str">
        <f t="shared" si="338"/>
        <v>Green</v>
      </c>
      <c r="AD966" t="str">
        <f t="shared" si="339"/>
        <v>Red</v>
      </c>
    </row>
    <row r="967" spans="1:30" x14ac:dyDescent="0.2">
      <c r="A967" t="str">
        <f t="shared" si="320"/>
        <v>25/07/2026Spirit FCWestern Sydney Wanderers U21</v>
      </c>
      <c r="B967" t="s">
        <v>810</v>
      </c>
      <c r="C967" t="s">
        <v>2249</v>
      </c>
      <c r="D967" s="2">
        <v>46228</v>
      </c>
      <c r="E967" s="3">
        <v>0.3125</v>
      </c>
      <c r="F967" t="s">
        <v>2795</v>
      </c>
      <c r="G967" t="s">
        <v>532</v>
      </c>
      <c r="H967">
        <v>0</v>
      </c>
      <c r="I967">
        <v>2</v>
      </c>
      <c r="J967">
        <v>0</v>
      </c>
      <c r="K967">
        <v>4</v>
      </c>
      <c r="L967" s="22" t="str">
        <f t="shared" si="321"/>
        <v>25/07/2026</v>
      </c>
      <c r="M967" s="23">
        <f t="shared" si="322"/>
        <v>0.1875</v>
      </c>
      <c r="N967" t="str">
        <f t="shared" si="323"/>
        <v>0 - 4</v>
      </c>
      <c r="O967" t="str">
        <f t="shared" si="324"/>
        <v>Red</v>
      </c>
      <c r="P967" t="str">
        <f t="shared" si="325"/>
        <v>Red</v>
      </c>
      <c r="Q967" t="str">
        <f t="shared" si="326"/>
        <v>Green</v>
      </c>
      <c r="R967" t="str">
        <f t="shared" si="327"/>
        <v>Red</v>
      </c>
      <c r="S967" t="str">
        <f t="shared" si="328"/>
        <v>Green</v>
      </c>
      <c r="T967" t="str">
        <f t="shared" si="329"/>
        <v>Green</v>
      </c>
      <c r="U967" t="str">
        <f t="shared" si="330"/>
        <v>Red</v>
      </c>
      <c r="V967" t="str">
        <f t="shared" si="331"/>
        <v>Red</v>
      </c>
      <c r="W967" t="str">
        <f t="shared" si="332"/>
        <v>Green</v>
      </c>
      <c r="X967" t="str">
        <f t="shared" si="333"/>
        <v>Green</v>
      </c>
      <c r="Y967" t="str">
        <f t="shared" si="334"/>
        <v>Green</v>
      </c>
      <c r="Z967" t="str">
        <f t="shared" si="335"/>
        <v>Green</v>
      </c>
      <c r="AA967" t="str">
        <f t="shared" si="336"/>
        <v>Red</v>
      </c>
      <c r="AB967" t="str">
        <f t="shared" si="337"/>
        <v>Red</v>
      </c>
      <c r="AC967" t="str">
        <f t="shared" si="338"/>
        <v>Red</v>
      </c>
      <c r="AD967" t="str">
        <f t="shared" si="339"/>
        <v>Green</v>
      </c>
    </row>
    <row r="968" spans="1:30" x14ac:dyDescent="0.2">
      <c r="A968" t="str">
        <f t="shared" si="320"/>
        <v>25/07/2026The Cove FCAdelaide Cobras</v>
      </c>
      <c r="B968" t="s">
        <v>810</v>
      </c>
      <c r="D968" s="2">
        <v>46228</v>
      </c>
      <c r="E968" s="3">
        <v>0.3125</v>
      </c>
      <c r="F968" t="s">
        <v>2841</v>
      </c>
      <c r="G968" t="s">
        <v>2842</v>
      </c>
      <c r="H968">
        <v>0</v>
      </c>
      <c r="I968">
        <v>1</v>
      </c>
      <c r="J968">
        <v>0</v>
      </c>
      <c r="K968">
        <v>1</v>
      </c>
      <c r="L968" s="22" t="str">
        <f t="shared" si="321"/>
        <v>25/07/2026</v>
      </c>
      <c r="M968" s="23">
        <f t="shared" si="322"/>
        <v>0.1875</v>
      </c>
      <c r="N968" t="str">
        <f t="shared" si="323"/>
        <v>0 - 1</v>
      </c>
      <c r="O968" t="str">
        <f t="shared" si="324"/>
        <v>Red</v>
      </c>
      <c r="P968" t="str">
        <f t="shared" si="325"/>
        <v>Red</v>
      </c>
      <c r="Q968" t="str">
        <f t="shared" si="326"/>
        <v>Green</v>
      </c>
      <c r="R968" t="str">
        <f t="shared" si="327"/>
        <v>Red</v>
      </c>
      <c r="S968" t="str">
        <f t="shared" si="328"/>
        <v>Green</v>
      </c>
      <c r="T968" t="str">
        <f t="shared" si="329"/>
        <v>Green</v>
      </c>
      <c r="U968" t="str">
        <f t="shared" si="330"/>
        <v>Red</v>
      </c>
      <c r="V968" t="str">
        <f t="shared" si="331"/>
        <v>Red</v>
      </c>
      <c r="W968" t="str">
        <f t="shared" si="332"/>
        <v>Green</v>
      </c>
      <c r="X968" t="str">
        <f t="shared" si="333"/>
        <v>Green</v>
      </c>
      <c r="Y968" t="str">
        <f t="shared" si="334"/>
        <v>Red</v>
      </c>
      <c r="Z968" t="str">
        <f t="shared" si="335"/>
        <v>Red</v>
      </c>
      <c r="AA968" t="str">
        <f t="shared" si="336"/>
        <v>Green</v>
      </c>
      <c r="AB968" t="str">
        <f t="shared" si="337"/>
        <v>Green</v>
      </c>
      <c r="AC968" t="str">
        <f t="shared" si="338"/>
        <v>Red</v>
      </c>
      <c r="AD968" t="str">
        <f t="shared" si="339"/>
        <v>Green</v>
      </c>
    </row>
    <row r="969" spans="1:30" x14ac:dyDescent="0.2">
      <c r="A969" t="str">
        <f t="shared" si="320"/>
        <v>25/07/2026Salisbury InterElizabeth Downs</v>
      </c>
      <c r="B969" t="s">
        <v>810</v>
      </c>
      <c r="D969" s="2">
        <v>46228</v>
      </c>
      <c r="E969" s="3">
        <v>0.3125</v>
      </c>
      <c r="F969" t="s">
        <v>2860</v>
      </c>
      <c r="G969" t="s">
        <v>2861</v>
      </c>
      <c r="H969">
        <v>1</v>
      </c>
      <c r="I969">
        <v>0</v>
      </c>
      <c r="J969">
        <v>1</v>
      </c>
      <c r="K969">
        <v>0</v>
      </c>
      <c r="L969" s="22" t="str">
        <f t="shared" si="321"/>
        <v>25/07/2026</v>
      </c>
      <c r="M969" s="23">
        <f t="shared" si="322"/>
        <v>0.1875</v>
      </c>
      <c r="N969" t="str">
        <f t="shared" si="323"/>
        <v>1 - 0</v>
      </c>
      <c r="O969" t="str">
        <f t="shared" si="324"/>
        <v>Green</v>
      </c>
      <c r="P969" t="str">
        <f t="shared" si="325"/>
        <v>Red</v>
      </c>
      <c r="Q969" t="str">
        <f t="shared" si="326"/>
        <v>Red</v>
      </c>
      <c r="R969" t="str">
        <f t="shared" si="327"/>
        <v>Green</v>
      </c>
      <c r="S969" t="str">
        <f t="shared" si="328"/>
        <v>Red</v>
      </c>
      <c r="T969" t="str">
        <f t="shared" si="329"/>
        <v>Green</v>
      </c>
      <c r="U969" t="str">
        <f t="shared" si="330"/>
        <v>Green</v>
      </c>
      <c r="V969" t="str">
        <f t="shared" si="331"/>
        <v>Red</v>
      </c>
      <c r="W969" t="str">
        <f t="shared" si="332"/>
        <v>Red</v>
      </c>
      <c r="X969" t="str">
        <f t="shared" si="333"/>
        <v>Green</v>
      </c>
      <c r="Y969" t="str">
        <f t="shared" si="334"/>
        <v>Red</v>
      </c>
      <c r="Z969" t="str">
        <f t="shared" si="335"/>
        <v>Red</v>
      </c>
      <c r="AA969" t="str">
        <f t="shared" si="336"/>
        <v>Green</v>
      </c>
      <c r="AB969" t="str">
        <f t="shared" si="337"/>
        <v>Green</v>
      </c>
      <c r="AC969" t="str">
        <f t="shared" si="338"/>
        <v>Red</v>
      </c>
      <c r="AD969" t="str">
        <f t="shared" si="339"/>
        <v>Green</v>
      </c>
    </row>
    <row r="970" spans="1:30" x14ac:dyDescent="0.2">
      <c r="A970" t="str">
        <f t="shared" si="320"/>
        <v>25/07/2026CoomaTuggeranong United</v>
      </c>
      <c r="B970" t="s">
        <v>810</v>
      </c>
      <c r="C970" t="s">
        <v>811</v>
      </c>
      <c r="D970" s="2">
        <v>46228</v>
      </c>
      <c r="E970" s="3">
        <v>0.33333333333333331</v>
      </c>
      <c r="F970" t="s">
        <v>903</v>
      </c>
      <c r="G970" t="s">
        <v>892</v>
      </c>
      <c r="H970">
        <v>2</v>
      </c>
      <c r="I970">
        <v>0</v>
      </c>
      <c r="J970">
        <v>4</v>
      </c>
      <c r="K970">
        <v>1</v>
      </c>
      <c r="L970" s="22" t="str">
        <f t="shared" si="321"/>
        <v>25/07/2026</v>
      </c>
      <c r="M970" s="23">
        <f t="shared" si="322"/>
        <v>0.20833333333333331</v>
      </c>
      <c r="N970" t="str">
        <f t="shared" si="323"/>
        <v>4 - 1</v>
      </c>
      <c r="O970" t="str">
        <f t="shared" si="324"/>
        <v>Green</v>
      </c>
      <c r="P970" t="str">
        <f t="shared" si="325"/>
        <v>Red</v>
      </c>
      <c r="Q970" t="str">
        <f t="shared" si="326"/>
        <v>Red</v>
      </c>
      <c r="R970" t="str">
        <f t="shared" si="327"/>
        <v>Green</v>
      </c>
      <c r="S970" t="str">
        <f t="shared" si="328"/>
        <v>Red</v>
      </c>
      <c r="T970" t="str">
        <f t="shared" si="329"/>
        <v>Green</v>
      </c>
      <c r="U970" t="str">
        <f t="shared" si="330"/>
        <v>Green</v>
      </c>
      <c r="V970" t="str">
        <f t="shared" si="331"/>
        <v>Red</v>
      </c>
      <c r="W970" t="str">
        <f t="shared" si="332"/>
        <v>Red</v>
      </c>
      <c r="X970" t="str">
        <f t="shared" si="333"/>
        <v>Green</v>
      </c>
      <c r="Y970" t="str">
        <f t="shared" si="334"/>
        <v>Green</v>
      </c>
      <c r="Z970" t="str">
        <f t="shared" si="335"/>
        <v>Green</v>
      </c>
      <c r="AA970" t="str">
        <f t="shared" si="336"/>
        <v>Red</v>
      </c>
      <c r="AB970" t="str">
        <f t="shared" si="337"/>
        <v>Red</v>
      </c>
      <c r="AC970" t="str">
        <f t="shared" si="338"/>
        <v>Green</v>
      </c>
      <c r="AD970" t="str">
        <f t="shared" si="339"/>
        <v>Red</v>
      </c>
    </row>
    <row r="971" spans="1:30" x14ac:dyDescent="0.2">
      <c r="A971" t="str">
        <f t="shared" si="320"/>
        <v>25/07/2026APIA Leichhardt TigersUNSW</v>
      </c>
      <c r="B971" t="s">
        <v>810</v>
      </c>
      <c r="C971" t="s">
        <v>2249</v>
      </c>
      <c r="D971" s="2">
        <v>46228</v>
      </c>
      <c r="E971" s="3">
        <v>0.33333333333333331</v>
      </c>
      <c r="F971" t="s">
        <v>2796</v>
      </c>
      <c r="G971" t="s">
        <v>2797</v>
      </c>
      <c r="H971">
        <v>2</v>
      </c>
      <c r="I971">
        <v>0</v>
      </c>
      <c r="J971">
        <v>4</v>
      </c>
      <c r="K971">
        <v>1</v>
      </c>
      <c r="L971" s="22" t="str">
        <f t="shared" si="321"/>
        <v>25/07/2026</v>
      </c>
      <c r="M971" s="23">
        <f t="shared" si="322"/>
        <v>0.20833333333333331</v>
      </c>
      <c r="N971" t="str">
        <f t="shared" si="323"/>
        <v>4 - 1</v>
      </c>
      <c r="O971" t="str">
        <f t="shared" si="324"/>
        <v>Green</v>
      </c>
      <c r="P971" t="str">
        <f t="shared" si="325"/>
        <v>Red</v>
      </c>
      <c r="Q971" t="str">
        <f t="shared" si="326"/>
        <v>Red</v>
      </c>
      <c r="R971" t="str">
        <f t="shared" si="327"/>
        <v>Green</v>
      </c>
      <c r="S971" t="str">
        <f t="shared" si="328"/>
        <v>Red</v>
      </c>
      <c r="T971" t="str">
        <f t="shared" si="329"/>
        <v>Green</v>
      </c>
      <c r="U971" t="str">
        <f t="shared" si="330"/>
        <v>Green</v>
      </c>
      <c r="V971" t="str">
        <f t="shared" si="331"/>
        <v>Red</v>
      </c>
      <c r="W971" t="str">
        <f t="shared" si="332"/>
        <v>Red</v>
      </c>
      <c r="X971" t="str">
        <f t="shared" si="333"/>
        <v>Green</v>
      </c>
      <c r="Y971" t="str">
        <f t="shared" si="334"/>
        <v>Green</v>
      </c>
      <c r="Z971" t="str">
        <f t="shared" si="335"/>
        <v>Green</v>
      </c>
      <c r="AA971" t="str">
        <f t="shared" si="336"/>
        <v>Red</v>
      </c>
      <c r="AB971" t="str">
        <f t="shared" si="337"/>
        <v>Red</v>
      </c>
      <c r="AC971" t="str">
        <f t="shared" si="338"/>
        <v>Green</v>
      </c>
      <c r="AD971" t="str">
        <f t="shared" si="339"/>
        <v>Red</v>
      </c>
    </row>
    <row r="972" spans="1:30" x14ac:dyDescent="0.2">
      <c r="A972" t="str">
        <f t="shared" si="320"/>
        <v>25/07/2026Brunswick JuventusNorth Geelong Warriors</v>
      </c>
      <c r="B972" t="s">
        <v>810</v>
      </c>
      <c r="D972" s="2">
        <v>46228</v>
      </c>
      <c r="E972" s="3">
        <v>0.33333333333333331</v>
      </c>
      <c r="F972" t="s">
        <v>2821</v>
      </c>
      <c r="G972" t="s">
        <v>2822</v>
      </c>
      <c r="H972">
        <v>2</v>
      </c>
      <c r="I972">
        <v>0</v>
      </c>
      <c r="J972">
        <v>3</v>
      </c>
      <c r="K972">
        <v>0</v>
      </c>
      <c r="L972" s="22" t="str">
        <f t="shared" si="321"/>
        <v>25/07/2026</v>
      </c>
      <c r="M972" s="23">
        <f t="shared" si="322"/>
        <v>0.20833333333333331</v>
      </c>
      <c r="N972" t="str">
        <f t="shared" si="323"/>
        <v>3 - 0</v>
      </c>
      <c r="O972" t="str">
        <f t="shared" si="324"/>
        <v>Green</v>
      </c>
      <c r="P972" t="str">
        <f t="shared" si="325"/>
        <v>Red</v>
      </c>
      <c r="Q972" t="str">
        <f t="shared" si="326"/>
        <v>Red</v>
      </c>
      <c r="R972" t="str">
        <f t="shared" si="327"/>
        <v>Green</v>
      </c>
      <c r="S972" t="str">
        <f t="shared" si="328"/>
        <v>Red</v>
      </c>
      <c r="T972" t="str">
        <f t="shared" si="329"/>
        <v>Green</v>
      </c>
      <c r="U972" t="str">
        <f t="shared" si="330"/>
        <v>Green</v>
      </c>
      <c r="V972" t="str">
        <f t="shared" si="331"/>
        <v>Red</v>
      </c>
      <c r="W972" t="str">
        <f t="shared" si="332"/>
        <v>Red</v>
      </c>
      <c r="X972" t="str">
        <f t="shared" si="333"/>
        <v>Green</v>
      </c>
      <c r="Y972" t="str">
        <f t="shared" si="334"/>
        <v>Green</v>
      </c>
      <c r="Z972" t="str">
        <f t="shared" si="335"/>
        <v>Green</v>
      </c>
      <c r="AA972" t="str">
        <f t="shared" si="336"/>
        <v>Red</v>
      </c>
      <c r="AB972" t="str">
        <f t="shared" si="337"/>
        <v>Green</v>
      </c>
      <c r="AC972" t="str">
        <f t="shared" si="338"/>
        <v>Red</v>
      </c>
      <c r="AD972" t="str">
        <f t="shared" si="339"/>
        <v>Green</v>
      </c>
    </row>
    <row r="973" spans="1:30" x14ac:dyDescent="0.2">
      <c r="A973" t="str">
        <f t="shared" si="320"/>
        <v>25/07/2026SWQ ThunderCaloundra FC</v>
      </c>
      <c r="B973" t="s">
        <v>810</v>
      </c>
      <c r="D973" s="2">
        <v>46228</v>
      </c>
      <c r="E973" s="3">
        <v>0.33333333333333331</v>
      </c>
      <c r="F973" t="s">
        <v>2833</v>
      </c>
      <c r="G973" t="s">
        <v>2834</v>
      </c>
      <c r="H973">
        <v>1</v>
      </c>
      <c r="I973">
        <v>0</v>
      </c>
      <c r="J973">
        <v>2</v>
      </c>
      <c r="K973">
        <v>0</v>
      </c>
      <c r="L973" s="22" t="str">
        <f t="shared" si="321"/>
        <v>25/07/2026</v>
      </c>
      <c r="M973" s="23">
        <f t="shared" si="322"/>
        <v>0.20833333333333331</v>
      </c>
      <c r="N973" t="str">
        <f t="shared" si="323"/>
        <v>2 - 0</v>
      </c>
      <c r="O973" t="str">
        <f t="shared" si="324"/>
        <v>Green</v>
      </c>
      <c r="P973" t="str">
        <f t="shared" si="325"/>
        <v>Red</v>
      </c>
      <c r="Q973" t="str">
        <f t="shared" si="326"/>
        <v>Red</v>
      </c>
      <c r="R973" t="str">
        <f t="shared" si="327"/>
        <v>Green</v>
      </c>
      <c r="S973" t="str">
        <f t="shared" si="328"/>
        <v>Red</v>
      </c>
      <c r="T973" t="str">
        <f t="shared" si="329"/>
        <v>Green</v>
      </c>
      <c r="U973" t="str">
        <f t="shared" si="330"/>
        <v>Green</v>
      </c>
      <c r="V973" t="str">
        <f t="shared" si="331"/>
        <v>Red</v>
      </c>
      <c r="W973" t="str">
        <f t="shared" si="332"/>
        <v>Red</v>
      </c>
      <c r="X973" t="str">
        <f t="shared" si="333"/>
        <v>Green</v>
      </c>
      <c r="Y973" t="str">
        <f t="shared" si="334"/>
        <v>Green</v>
      </c>
      <c r="Z973" t="str">
        <f t="shared" si="335"/>
        <v>Red</v>
      </c>
      <c r="AA973" t="str">
        <f t="shared" si="336"/>
        <v>Green</v>
      </c>
      <c r="AB973" t="str">
        <f t="shared" si="337"/>
        <v>Green</v>
      </c>
      <c r="AC973" t="str">
        <f t="shared" si="338"/>
        <v>Red</v>
      </c>
      <c r="AD973" t="str">
        <f t="shared" si="339"/>
        <v>Green</v>
      </c>
    </row>
    <row r="974" spans="1:30" x14ac:dyDescent="0.2">
      <c r="A974" t="str">
        <f t="shared" si="320"/>
        <v>25/07/2026Kingsley FC ReservesJoondalup City Reserves</v>
      </c>
      <c r="B974" t="s">
        <v>810</v>
      </c>
      <c r="D974" s="2">
        <v>46228</v>
      </c>
      <c r="E974" s="3">
        <v>0.33333333333333331</v>
      </c>
      <c r="F974" t="s">
        <v>2882</v>
      </c>
      <c r="G974" t="s">
        <v>2883</v>
      </c>
      <c r="H974">
        <v>0</v>
      </c>
      <c r="I974">
        <v>2</v>
      </c>
      <c r="J974">
        <v>0</v>
      </c>
      <c r="K974">
        <v>2</v>
      </c>
      <c r="L974" s="22" t="str">
        <f t="shared" si="321"/>
        <v>25/07/2026</v>
      </c>
      <c r="M974" s="23">
        <f t="shared" si="322"/>
        <v>0.20833333333333331</v>
      </c>
      <c r="N974" t="str">
        <f t="shared" si="323"/>
        <v>0 - 2</v>
      </c>
      <c r="O974" t="str">
        <f t="shared" si="324"/>
        <v>Red</v>
      </c>
      <c r="P974" t="str">
        <f t="shared" si="325"/>
        <v>Red</v>
      </c>
      <c r="Q974" t="str">
        <f t="shared" si="326"/>
        <v>Green</v>
      </c>
      <c r="R974" t="str">
        <f t="shared" si="327"/>
        <v>Red</v>
      </c>
      <c r="S974" t="str">
        <f t="shared" si="328"/>
        <v>Green</v>
      </c>
      <c r="T974" t="str">
        <f t="shared" si="329"/>
        <v>Green</v>
      </c>
      <c r="U974" t="str">
        <f t="shared" si="330"/>
        <v>Red</v>
      </c>
      <c r="V974" t="str">
        <f t="shared" si="331"/>
        <v>Red</v>
      </c>
      <c r="W974" t="str">
        <f t="shared" si="332"/>
        <v>Green</v>
      </c>
      <c r="X974" t="str">
        <f t="shared" si="333"/>
        <v>Green</v>
      </c>
      <c r="Y974" t="str">
        <f t="shared" si="334"/>
        <v>Green</v>
      </c>
      <c r="Z974" t="str">
        <f t="shared" si="335"/>
        <v>Red</v>
      </c>
      <c r="AA974" t="str">
        <f t="shared" si="336"/>
        <v>Green</v>
      </c>
      <c r="AB974" t="str">
        <f t="shared" si="337"/>
        <v>Green</v>
      </c>
      <c r="AC974" t="str">
        <f t="shared" si="338"/>
        <v>Red</v>
      </c>
      <c r="AD974" t="str">
        <f t="shared" si="339"/>
        <v>Green</v>
      </c>
    </row>
    <row r="975" spans="1:30" x14ac:dyDescent="0.2">
      <c r="A975" t="str">
        <f t="shared" si="320"/>
        <v>25/07/2026Souths United NPL WomenGold Coast Knights Women</v>
      </c>
      <c r="B975" t="s">
        <v>810</v>
      </c>
      <c r="D975" s="2">
        <v>46228</v>
      </c>
      <c r="E975" s="3">
        <v>0.33333333333333331</v>
      </c>
      <c r="F975" t="s">
        <v>2924</v>
      </c>
      <c r="G975" t="s">
        <v>2925</v>
      </c>
      <c r="H975">
        <v>0</v>
      </c>
      <c r="I975">
        <v>0</v>
      </c>
      <c r="J975">
        <v>0</v>
      </c>
      <c r="K975">
        <v>3</v>
      </c>
      <c r="L975" s="22" t="str">
        <f t="shared" si="321"/>
        <v>25/07/2026</v>
      </c>
      <c r="M975" s="23">
        <f t="shared" si="322"/>
        <v>0.20833333333333331</v>
      </c>
      <c r="N975" t="str">
        <f t="shared" si="323"/>
        <v>0 - 3</v>
      </c>
      <c r="O975" t="str">
        <f t="shared" si="324"/>
        <v>Red</v>
      </c>
      <c r="P975" t="str">
        <f t="shared" si="325"/>
        <v>Red</v>
      </c>
      <c r="Q975" t="str">
        <f t="shared" si="326"/>
        <v>Green</v>
      </c>
      <c r="R975" t="str">
        <f t="shared" si="327"/>
        <v>Red</v>
      </c>
      <c r="S975" t="str">
        <f t="shared" si="328"/>
        <v>Green</v>
      </c>
      <c r="T975" t="str">
        <f t="shared" si="329"/>
        <v>Green</v>
      </c>
      <c r="U975" t="str">
        <f t="shared" si="330"/>
        <v>Red</v>
      </c>
      <c r="V975" t="str">
        <f t="shared" si="331"/>
        <v>Green</v>
      </c>
      <c r="W975" t="str">
        <f t="shared" si="332"/>
        <v>Red</v>
      </c>
      <c r="X975" t="str">
        <f t="shared" si="333"/>
        <v>Red</v>
      </c>
      <c r="Y975" t="str">
        <f t="shared" si="334"/>
        <v>Green</v>
      </c>
      <c r="Z975" t="str">
        <f t="shared" si="335"/>
        <v>Green</v>
      </c>
      <c r="AA975" t="str">
        <f t="shared" si="336"/>
        <v>Red</v>
      </c>
      <c r="AB975" t="str">
        <f t="shared" si="337"/>
        <v>Green</v>
      </c>
      <c r="AC975" t="str">
        <f t="shared" si="338"/>
        <v>Red</v>
      </c>
      <c r="AD975" t="str">
        <f t="shared" si="339"/>
        <v>Green</v>
      </c>
    </row>
    <row r="976" spans="1:30" x14ac:dyDescent="0.2">
      <c r="A976" t="str">
        <f t="shared" si="320"/>
        <v>25/07/2026Mitchelton WomenLogan Lightning Women</v>
      </c>
      <c r="B976" t="s">
        <v>810</v>
      </c>
      <c r="D976" s="2">
        <v>46228</v>
      </c>
      <c r="E976" s="3">
        <v>0.33333333333333331</v>
      </c>
      <c r="F976" t="s">
        <v>2953</v>
      </c>
      <c r="G976" t="s">
        <v>2954</v>
      </c>
      <c r="H976">
        <v>1</v>
      </c>
      <c r="I976">
        <v>1</v>
      </c>
      <c r="J976">
        <v>3</v>
      </c>
      <c r="K976">
        <v>1</v>
      </c>
      <c r="L976" s="22" t="str">
        <f t="shared" si="321"/>
        <v>25/07/2026</v>
      </c>
      <c r="M976" s="23">
        <f t="shared" si="322"/>
        <v>0.20833333333333331</v>
      </c>
      <c r="N976" t="str">
        <f t="shared" si="323"/>
        <v>3 - 1</v>
      </c>
      <c r="O976" t="str">
        <f t="shared" si="324"/>
        <v>Green</v>
      </c>
      <c r="P976" t="str">
        <f t="shared" si="325"/>
        <v>Red</v>
      </c>
      <c r="Q976" t="str">
        <f t="shared" si="326"/>
        <v>Red</v>
      </c>
      <c r="R976" t="str">
        <f t="shared" si="327"/>
        <v>Green</v>
      </c>
      <c r="S976" t="str">
        <f t="shared" si="328"/>
        <v>Red</v>
      </c>
      <c r="T976" t="str">
        <f t="shared" si="329"/>
        <v>Green</v>
      </c>
      <c r="U976" t="str">
        <f t="shared" si="330"/>
        <v>Red</v>
      </c>
      <c r="V976" t="str">
        <f t="shared" si="331"/>
        <v>Green</v>
      </c>
      <c r="W976" t="str">
        <f t="shared" si="332"/>
        <v>Red</v>
      </c>
      <c r="X976" t="str">
        <f t="shared" si="333"/>
        <v>Green</v>
      </c>
      <c r="Y976" t="str">
        <f t="shared" si="334"/>
        <v>Green</v>
      </c>
      <c r="Z976" t="str">
        <f t="shared" si="335"/>
        <v>Green</v>
      </c>
      <c r="AA976" t="str">
        <f t="shared" si="336"/>
        <v>Red</v>
      </c>
      <c r="AB976" t="str">
        <f t="shared" si="337"/>
        <v>Red</v>
      </c>
      <c r="AC976" t="str">
        <f t="shared" si="338"/>
        <v>Green</v>
      </c>
      <c r="AD976" t="str">
        <f t="shared" si="339"/>
        <v>Red</v>
      </c>
    </row>
    <row r="977" spans="1:30" x14ac:dyDescent="0.2">
      <c r="A977" t="str">
        <f t="shared" si="320"/>
        <v>25/07/2026North Lakes United WomenPalm Beach Sharks SC Women</v>
      </c>
      <c r="B977" t="s">
        <v>810</v>
      </c>
      <c r="D977" s="2">
        <v>46228</v>
      </c>
      <c r="E977" s="3">
        <v>0.33333333333333331</v>
      </c>
      <c r="F977" t="s">
        <v>2955</v>
      </c>
      <c r="G977" t="s">
        <v>2956</v>
      </c>
      <c r="H977">
        <v>1</v>
      </c>
      <c r="I977">
        <v>1</v>
      </c>
      <c r="J977">
        <v>3</v>
      </c>
      <c r="K977">
        <v>1</v>
      </c>
      <c r="L977" s="22" t="str">
        <f t="shared" si="321"/>
        <v>25/07/2026</v>
      </c>
      <c r="M977" s="23">
        <f t="shared" si="322"/>
        <v>0.20833333333333331</v>
      </c>
      <c r="N977" t="str">
        <f t="shared" si="323"/>
        <v>3 - 1</v>
      </c>
      <c r="O977" t="str">
        <f t="shared" si="324"/>
        <v>Green</v>
      </c>
      <c r="P977" t="str">
        <f t="shared" si="325"/>
        <v>Red</v>
      </c>
      <c r="Q977" t="str">
        <f t="shared" si="326"/>
        <v>Red</v>
      </c>
      <c r="R977" t="str">
        <f t="shared" si="327"/>
        <v>Green</v>
      </c>
      <c r="S977" t="str">
        <f t="shared" si="328"/>
        <v>Red</v>
      </c>
      <c r="T977" t="str">
        <f t="shared" si="329"/>
        <v>Green</v>
      </c>
      <c r="U977" t="str">
        <f t="shared" si="330"/>
        <v>Red</v>
      </c>
      <c r="V977" t="str">
        <f t="shared" si="331"/>
        <v>Green</v>
      </c>
      <c r="W977" t="str">
        <f t="shared" si="332"/>
        <v>Red</v>
      </c>
      <c r="X977" t="str">
        <f t="shared" si="333"/>
        <v>Green</v>
      </c>
      <c r="Y977" t="str">
        <f t="shared" si="334"/>
        <v>Green</v>
      </c>
      <c r="Z977" t="str">
        <f t="shared" si="335"/>
        <v>Green</v>
      </c>
      <c r="AA977" t="str">
        <f t="shared" si="336"/>
        <v>Red</v>
      </c>
      <c r="AB977" t="str">
        <f t="shared" si="337"/>
        <v>Red</v>
      </c>
      <c r="AC977" t="str">
        <f t="shared" si="338"/>
        <v>Green</v>
      </c>
      <c r="AD977" t="str">
        <f t="shared" si="339"/>
        <v>Red</v>
      </c>
    </row>
    <row r="978" spans="1:30" x14ac:dyDescent="0.2">
      <c r="A978" t="str">
        <f t="shared" si="320"/>
        <v>25/07/2026Buducnost Podgorica WomenHapoel Jerusalem Women</v>
      </c>
      <c r="D978" s="2">
        <v>46228</v>
      </c>
      <c r="E978" s="3">
        <v>0.33333333333333331</v>
      </c>
      <c r="F978" t="s">
        <v>1585</v>
      </c>
      <c r="G978" t="s">
        <v>1646</v>
      </c>
      <c r="H978">
        <v>0</v>
      </c>
      <c r="I978">
        <v>1</v>
      </c>
      <c r="J978">
        <v>0</v>
      </c>
      <c r="K978">
        <v>1</v>
      </c>
      <c r="L978" s="22" t="str">
        <f t="shared" si="321"/>
        <v>25/07/2026</v>
      </c>
      <c r="M978" s="23">
        <f t="shared" si="322"/>
        <v>0.20833333333333331</v>
      </c>
      <c r="N978" t="str">
        <f t="shared" si="323"/>
        <v>0 - 1</v>
      </c>
      <c r="O978" t="str">
        <f t="shared" si="324"/>
        <v>Red</v>
      </c>
      <c r="P978" t="str">
        <f t="shared" si="325"/>
        <v>Red</v>
      </c>
      <c r="Q978" t="str">
        <f t="shared" si="326"/>
        <v>Green</v>
      </c>
      <c r="R978" t="str">
        <f t="shared" si="327"/>
        <v>Red</v>
      </c>
      <c r="S978" t="str">
        <f t="shared" si="328"/>
        <v>Green</v>
      </c>
      <c r="T978" t="str">
        <f t="shared" si="329"/>
        <v>Green</v>
      </c>
      <c r="U978" t="str">
        <f t="shared" si="330"/>
        <v>Red</v>
      </c>
      <c r="V978" t="str">
        <f t="shared" si="331"/>
        <v>Red</v>
      </c>
      <c r="W978" t="str">
        <f t="shared" si="332"/>
        <v>Green</v>
      </c>
      <c r="X978" t="str">
        <f t="shared" si="333"/>
        <v>Green</v>
      </c>
      <c r="Y978" t="str">
        <f t="shared" si="334"/>
        <v>Red</v>
      </c>
      <c r="Z978" t="str">
        <f t="shared" si="335"/>
        <v>Red</v>
      </c>
      <c r="AA978" t="str">
        <f t="shared" si="336"/>
        <v>Green</v>
      </c>
      <c r="AB978" t="str">
        <f t="shared" si="337"/>
        <v>Green</v>
      </c>
      <c r="AC978" t="str">
        <f t="shared" si="338"/>
        <v>Red</v>
      </c>
      <c r="AD978" t="str">
        <f t="shared" si="339"/>
        <v>Green</v>
      </c>
    </row>
    <row r="979" spans="1:30" x14ac:dyDescent="0.2">
      <c r="A979" t="str">
        <f t="shared" si="320"/>
        <v>25/07/2026Gyeongju KHNPSiheung Citizen</v>
      </c>
      <c r="D979" s="2">
        <v>46228</v>
      </c>
      <c r="E979" s="3">
        <v>0.33333333333333331</v>
      </c>
      <c r="F979" t="s">
        <v>3643</v>
      </c>
      <c r="G979" t="s">
        <v>3644</v>
      </c>
      <c r="H979">
        <v>0</v>
      </c>
      <c r="I979">
        <v>0</v>
      </c>
      <c r="J979">
        <v>1</v>
      </c>
      <c r="K979">
        <v>0</v>
      </c>
      <c r="L979" s="22" t="str">
        <f t="shared" si="321"/>
        <v>25/07/2026</v>
      </c>
      <c r="M979" s="23">
        <f t="shared" si="322"/>
        <v>0.20833333333333331</v>
      </c>
      <c r="N979" t="str">
        <f t="shared" si="323"/>
        <v>1 - 0</v>
      </c>
      <c r="O979" t="str">
        <f t="shared" si="324"/>
        <v>Green</v>
      </c>
      <c r="P979" t="str">
        <f t="shared" si="325"/>
        <v>Red</v>
      </c>
      <c r="Q979" t="str">
        <f t="shared" si="326"/>
        <v>Red</v>
      </c>
      <c r="R979" t="str">
        <f t="shared" si="327"/>
        <v>Green</v>
      </c>
      <c r="S979" t="str">
        <f t="shared" si="328"/>
        <v>Red</v>
      </c>
      <c r="T979" t="str">
        <f t="shared" si="329"/>
        <v>Green</v>
      </c>
      <c r="U979" t="str">
        <f t="shared" si="330"/>
        <v>Red</v>
      </c>
      <c r="V979" t="str">
        <f t="shared" si="331"/>
        <v>Green</v>
      </c>
      <c r="W979" t="str">
        <f t="shared" si="332"/>
        <v>Red</v>
      </c>
      <c r="X979" t="str">
        <f t="shared" si="333"/>
        <v>Red</v>
      </c>
      <c r="Y979" t="str">
        <f t="shared" si="334"/>
        <v>Red</v>
      </c>
      <c r="Z979" t="str">
        <f t="shared" si="335"/>
        <v>Red</v>
      </c>
      <c r="AA979" t="str">
        <f t="shared" si="336"/>
        <v>Green</v>
      </c>
      <c r="AB979" t="str">
        <f t="shared" si="337"/>
        <v>Green</v>
      </c>
      <c r="AC979" t="str">
        <f t="shared" si="338"/>
        <v>Red</v>
      </c>
      <c r="AD979" t="str">
        <f t="shared" si="339"/>
        <v>Green</v>
      </c>
    </row>
    <row r="980" spans="1:30" x14ac:dyDescent="0.2">
      <c r="A980" t="str">
        <f t="shared" si="320"/>
        <v>25/07/2026EldenseAl Ettifaq</v>
      </c>
      <c r="D980" s="2">
        <v>46228</v>
      </c>
      <c r="E980" s="3">
        <v>0.33333333333333331</v>
      </c>
      <c r="F980" t="s">
        <v>1809</v>
      </c>
      <c r="G980" t="s">
        <v>2669</v>
      </c>
      <c r="H980">
        <v>3</v>
      </c>
      <c r="I980">
        <v>1</v>
      </c>
      <c r="J980">
        <v>3</v>
      </c>
      <c r="K980">
        <v>1</v>
      </c>
      <c r="L980" s="22" t="str">
        <f t="shared" si="321"/>
        <v>25/07/2026</v>
      </c>
      <c r="M980" s="23">
        <f t="shared" si="322"/>
        <v>0.20833333333333331</v>
      </c>
      <c r="N980" t="str">
        <f t="shared" si="323"/>
        <v>3 - 1</v>
      </c>
      <c r="O980" t="str">
        <f t="shared" si="324"/>
        <v>Green</v>
      </c>
      <c r="P980" t="str">
        <f t="shared" si="325"/>
        <v>Red</v>
      </c>
      <c r="Q980" t="str">
        <f t="shared" si="326"/>
        <v>Red</v>
      </c>
      <c r="R980" t="str">
        <f t="shared" si="327"/>
        <v>Green</v>
      </c>
      <c r="S980" t="str">
        <f t="shared" si="328"/>
        <v>Red</v>
      </c>
      <c r="T980" t="str">
        <f t="shared" si="329"/>
        <v>Green</v>
      </c>
      <c r="U980" t="str">
        <f t="shared" si="330"/>
        <v>Green</v>
      </c>
      <c r="V980" t="str">
        <f t="shared" si="331"/>
        <v>Red</v>
      </c>
      <c r="W980" t="str">
        <f t="shared" si="332"/>
        <v>Red</v>
      </c>
      <c r="X980" t="str">
        <f t="shared" si="333"/>
        <v>Green</v>
      </c>
      <c r="Y980" t="str">
        <f t="shared" si="334"/>
        <v>Green</v>
      </c>
      <c r="Z980" t="str">
        <f t="shared" si="335"/>
        <v>Green</v>
      </c>
      <c r="AA980" t="str">
        <f t="shared" si="336"/>
        <v>Red</v>
      </c>
      <c r="AB980" t="str">
        <f t="shared" si="337"/>
        <v>Red</v>
      </c>
      <c r="AC980" t="str">
        <f t="shared" si="338"/>
        <v>Green</v>
      </c>
      <c r="AD980" t="str">
        <f t="shared" si="339"/>
        <v>Red</v>
      </c>
    </row>
    <row r="981" spans="1:30" x14ac:dyDescent="0.2">
      <c r="A981" t="str">
        <f t="shared" si="320"/>
        <v>25/07/2026Matsumoto Yamaga Ventforet Kofu</v>
      </c>
      <c r="D981" s="2">
        <v>46228</v>
      </c>
      <c r="E981" s="3">
        <v>0.33333333333333331</v>
      </c>
      <c r="F981" t="s">
        <v>3737</v>
      </c>
      <c r="G981" t="s">
        <v>3738</v>
      </c>
      <c r="H981">
        <v>2</v>
      </c>
      <c r="I981">
        <v>0</v>
      </c>
      <c r="J981">
        <v>3</v>
      </c>
      <c r="K981">
        <v>0</v>
      </c>
      <c r="L981" s="22" t="str">
        <f t="shared" si="321"/>
        <v>25/07/2026</v>
      </c>
      <c r="M981" s="23">
        <f t="shared" si="322"/>
        <v>0.20833333333333331</v>
      </c>
      <c r="N981" t="str">
        <f t="shared" si="323"/>
        <v>3 - 0</v>
      </c>
      <c r="O981" t="str">
        <f t="shared" si="324"/>
        <v>Green</v>
      </c>
      <c r="P981" t="str">
        <f t="shared" si="325"/>
        <v>Red</v>
      </c>
      <c r="Q981" t="str">
        <f t="shared" si="326"/>
        <v>Red</v>
      </c>
      <c r="R981" t="str">
        <f t="shared" si="327"/>
        <v>Green</v>
      </c>
      <c r="S981" t="str">
        <f t="shared" si="328"/>
        <v>Red</v>
      </c>
      <c r="T981" t="str">
        <f t="shared" si="329"/>
        <v>Green</v>
      </c>
      <c r="U981" t="str">
        <f t="shared" si="330"/>
        <v>Green</v>
      </c>
      <c r="V981" t="str">
        <f t="shared" si="331"/>
        <v>Red</v>
      </c>
      <c r="W981" t="str">
        <f t="shared" si="332"/>
        <v>Red</v>
      </c>
      <c r="X981" t="str">
        <f t="shared" si="333"/>
        <v>Green</v>
      </c>
      <c r="Y981" t="str">
        <f t="shared" si="334"/>
        <v>Green</v>
      </c>
      <c r="Z981" t="str">
        <f t="shared" si="335"/>
        <v>Green</v>
      </c>
      <c r="AA981" t="str">
        <f t="shared" si="336"/>
        <v>Red</v>
      </c>
      <c r="AB981" t="str">
        <f t="shared" si="337"/>
        <v>Green</v>
      </c>
      <c r="AC981" t="str">
        <f t="shared" si="338"/>
        <v>Red</v>
      </c>
      <c r="AD981" t="str">
        <f t="shared" si="339"/>
        <v>Green</v>
      </c>
    </row>
    <row r="982" spans="1:30" x14ac:dyDescent="0.2">
      <c r="A982" t="str">
        <f t="shared" si="320"/>
        <v>25/07/2026NK Dubrava ZagrebNK Kustosija</v>
      </c>
      <c r="D982" s="2">
        <v>46228</v>
      </c>
      <c r="E982" s="3">
        <v>0.33333333333333331</v>
      </c>
      <c r="F982" t="s">
        <v>1714</v>
      </c>
      <c r="G982" t="s">
        <v>1586</v>
      </c>
      <c r="H982">
        <v>0</v>
      </c>
      <c r="I982">
        <v>1</v>
      </c>
      <c r="J982">
        <v>0</v>
      </c>
      <c r="K982">
        <v>1</v>
      </c>
      <c r="L982" s="22" t="str">
        <f t="shared" si="321"/>
        <v>25/07/2026</v>
      </c>
      <c r="M982" s="23">
        <f t="shared" si="322"/>
        <v>0.20833333333333331</v>
      </c>
      <c r="N982" t="str">
        <f t="shared" si="323"/>
        <v>0 - 1</v>
      </c>
      <c r="O982" t="str">
        <f t="shared" si="324"/>
        <v>Red</v>
      </c>
      <c r="P982" t="str">
        <f t="shared" si="325"/>
        <v>Red</v>
      </c>
      <c r="Q982" t="str">
        <f t="shared" si="326"/>
        <v>Green</v>
      </c>
      <c r="R982" t="str">
        <f t="shared" si="327"/>
        <v>Red</v>
      </c>
      <c r="S982" t="str">
        <f t="shared" si="328"/>
        <v>Green</v>
      </c>
      <c r="T982" t="str">
        <f t="shared" si="329"/>
        <v>Green</v>
      </c>
      <c r="U982" t="str">
        <f t="shared" si="330"/>
        <v>Red</v>
      </c>
      <c r="V982" t="str">
        <f t="shared" si="331"/>
        <v>Red</v>
      </c>
      <c r="W982" t="str">
        <f t="shared" si="332"/>
        <v>Green</v>
      </c>
      <c r="X982" t="str">
        <f t="shared" si="333"/>
        <v>Green</v>
      </c>
      <c r="Y982" t="str">
        <f t="shared" si="334"/>
        <v>Red</v>
      </c>
      <c r="Z982" t="str">
        <f t="shared" si="335"/>
        <v>Red</v>
      </c>
      <c r="AA982" t="str">
        <f t="shared" si="336"/>
        <v>Green</v>
      </c>
      <c r="AB982" t="str">
        <f t="shared" si="337"/>
        <v>Green</v>
      </c>
      <c r="AC982" t="str">
        <f t="shared" si="338"/>
        <v>Red</v>
      </c>
      <c r="AD982" t="str">
        <f t="shared" si="339"/>
        <v>Green</v>
      </c>
    </row>
    <row r="983" spans="1:30" x14ac:dyDescent="0.2">
      <c r="A983" t="str">
        <f t="shared" si="320"/>
        <v>25/07/2026NK Radnik-KrizevciNK Jarun</v>
      </c>
      <c r="D983" s="2">
        <v>46228</v>
      </c>
      <c r="E983" s="3">
        <v>0.33333333333333331</v>
      </c>
      <c r="F983" t="s">
        <v>3739</v>
      </c>
      <c r="G983" t="s">
        <v>3740</v>
      </c>
      <c r="H983">
        <v>1</v>
      </c>
      <c r="I983">
        <v>0</v>
      </c>
      <c r="J983">
        <v>1</v>
      </c>
      <c r="K983">
        <v>1</v>
      </c>
      <c r="L983" s="22" t="str">
        <f t="shared" si="321"/>
        <v>25/07/2026</v>
      </c>
      <c r="M983" s="23">
        <f t="shared" si="322"/>
        <v>0.20833333333333331</v>
      </c>
      <c r="N983" t="str">
        <f t="shared" si="323"/>
        <v>1 - 1</v>
      </c>
      <c r="O983" t="str">
        <f t="shared" si="324"/>
        <v>Red</v>
      </c>
      <c r="P983" t="str">
        <f t="shared" si="325"/>
        <v>Green</v>
      </c>
      <c r="Q983" t="str">
        <f t="shared" si="326"/>
        <v>Red</v>
      </c>
      <c r="R983" t="str">
        <f t="shared" si="327"/>
        <v>Green</v>
      </c>
      <c r="S983" t="str">
        <f t="shared" si="328"/>
        <v>Green</v>
      </c>
      <c r="T983" t="str">
        <f t="shared" si="329"/>
        <v>Red</v>
      </c>
      <c r="U983" t="str">
        <f t="shared" si="330"/>
        <v>Green</v>
      </c>
      <c r="V983" t="str">
        <f t="shared" si="331"/>
        <v>Red</v>
      </c>
      <c r="W983" t="str">
        <f t="shared" si="332"/>
        <v>Red</v>
      </c>
      <c r="X983" t="str">
        <f t="shared" si="333"/>
        <v>Green</v>
      </c>
      <c r="Y983" t="str">
        <f t="shared" si="334"/>
        <v>Green</v>
      </c>
      <c r="Z983" t="str">
        <f t="shared" si="335"/>
        <v>Red</v>
      </c>
      <c r="AA983" t="str">
        <f t="shared" si="336"/>
        <v>Green</v>
      </c>
      <c r="AB983" t="str">
        <f t="shared" si="337"/>
        <v>Green</v>
      </c>
      <c r="AC983" t="str">
        <f t="shared" si="338"/>
        <v>Green</v>
      </c>
      <c r="AD983" t="str">
        <f t="shared" si="339"/>
        <v>Red</v>
      </c>
    </row>
    <row r="984" spans="1:30" x14ac:dyDescent="0.2">
      <c r="A984" t="str">
        <f t="shared" si="320"/>
        <v>25/07/2026SD HuescaPetro Luanda</v>
      </c>
      <c r="D984" s="2">
        <v>46228</v>
      </c>
      <c r="E984" s="3">
        <v>0.33333333333333331</v>
      </c>
      <c r="F984" t="s">
        <v>3741</v>
      </c>
      <c r="G984" t="s">
        <v>1445</v>
      </c>
      <c r="H984">
        <v>1</v>
      </c>
      <c r="I984">
        <v>0</v>
      </c>
      <c r="J984">
        <v>1</v>
      </c>
      <c r="K984">
        <v>0</v>
      </c>
      <c r="L984" s="22" t="str">
        <f t="shared" si="321"/>
        <v>25/07/2026</v>
      </c>
      <c r="M984" s="23">
        <f t="shared" si="322"/>
        <v>0.20833333333333331</v>
      </c>
      <c r="N984" t="str">
        <f t="shared" si="323"/>
        <v>1 - 0</v>
      </c>
      <c r="O984" t="str">
        <f t="shared" si="324"/>
        <v>Green</v>
      </c>
      <c r="P984" t="str">
        <f t="shared" si="325"/>
        <v>Red</v>
      </c>
      <c r="Q984" t="str">
        <f t="shared" si="326"/>
        <v>Red</v>
      </c>
      <c r="R984" t="str">
        <f t="shared" si="327"/>
        <v>Green</v>
      </c>
      <c r="S984" t="str">
        <f t="shared" si="328"/>
        <v>Red</v>
      </c>
      <c r="T984" t="str">
        <f t="shared" si="329"/>
        <v>Green</v>
      </c>
      <c r="U984" t="str">
        <f t="shared" si="330"/>
        <v>Green</v>
      </c>
      <c r="V984" t="str">
        <f t="shared" si="331"/>
        <v>Red</v>
      </c>
      <c r="W984" t="str">
        <f t="shared" si="332"/>
        <v>Red</v>
      </c>
      <c r="X984" t="str">
        <f t="shared" si="333"/>
        <v>Green</v>
      </c>
      <c r="Y984" t="str">
        <f t="shared" si="334"/>
        <v>Red</v>
      </c>
      <c r="Z984" t="str">
        <f t="shared" si="335"/>
        <v>Red</v>
      </c>
      <c r="AA984" t="str">
        <f t="shared" si="336"/>
        <v>Green</v>
      </c>
      <c r="AB984" t="str">
        <f t="shared" si="337"/>
        <v>Green</v>
      </c>
      <c r="AC984" t="str">
        <f t="shared" si="338"/>
        <v>Red</v>
      </c>
      <c r="AD984" t="str">
        <f t="shared" si="339"/>
        <v>Green</v>
      </c>
    </row>
    <row r="985" spans="1:30" x14ac:dyDescent="0.2">
      <c r="A985" t="str">
        <f t="shared" si="320"/>
        <v>25/07/2026SK Aritma PrahaBenatky Nad Jizerou</v>
      </c>
      <c r="D985" s="2">
        <v>46228</v>
      </c>
      <c r="E985" s="3">
        <v>0.33333333333333331</v>
      </c>
      <c r="F985" t="s">
        <v>3742</v>
      </c>
      <c r="G985" t="s">
        <v>3743</v>
      </c>
      <c r="H985">
        <v>0</v>
      </c>
      <c r="I985">
        <v>0</v>
      </c>
      <c r="J985">
        <v>1</v>
      </c>
      <c r="K985">
        <v>0</v>
      </c>
      <c r="L985" s="22" t="str">
        <f t="shared" si="321"/>
        <v>25/07/2026</v>
      </c>
      <c r="M985" s="23">
        <f t="shared" si="322"/>
        <v>0.20833333333333331</v>
      </c>
      <c r="N985" t="str">
        <f t="shared" si="323"/>
        <v>1 - 0</v>
      </c>
      <c r="O985" t="str">
        <f t="shared" si="324"/>
        <v>Green</v>
      </c>
      <c r="P985" t="str">
        <f t="shared" si="325"/>
        <v>Red</v>
      </c>
      <c r="Q985" t="str">
        <f t="shared" si="326"/>
        <v>Red</v>
      </c>
      <c r="R985" t="str">
        <f t="shared" si="327"/>
        <v>Green</v>
      </c>
      <c r="S985" t="str">
        <f t="shared" si="328"/>
        <v>Red</v>
      </c>
      <c r="T985" t="str">
        <f t="shared" si="329"/>
        <v>Green</v>
      </c>
      <c r="U985" t="str">
        <f t="shared" si="330"/>
        <v>Red</v>
      </c>
      <c r="V985" t="str">
        <f t="shared" si="331"/>
        <v>Green</v>
      </c>
      <c r="W985" t="str">
        <f t="shared" si="332"/>
        <v>Red</v>
      </c>
      <c r="X985" t="str">
        <f t="shared" si="333"/>
        <v>Red</v>
      </c>
      <c r="Y985" t="str">
        <f t="shared" si="334"/>
        <v>Red</v>
      </c>
      <c r="Z985" t="str">
        <f t="shared" si="335"/>
        <v>Red</v>
      </c>
      <c r="AA985" t="str">
        <f t="shared" si="336"/>
        <v>Green</v>
      </c>
      <c r="AB985" t="str">
        <f t="shared" si="337"/>
        <v>Green</v>
      </c>
      <c r="AC985" t="str">
        <f t="shared" si="338"/>
        <v>Red</v>
      </c>
      <c r="AD985" t="str">
        <f t="shared" si="339"/>
        <v>Green</v>
      </c>
    </row>
    <row r="986" spans="1:30" x14ac:dyDescent="0.2">
      <c r="A986" t="str">
        <f t="shared" si="320"/>
        <v>25/07/2026SK Vysoke MytoHradec Kralove II</v>
      </c>
      <c r="D986" s="2">
        <v>46228</v>
      </c>
      <c r="E986" s="3">
        <v>0.33333333333333331</v>
      </c>
      <c r="F986" t="s">
        <v>1660</v>
      </c>
      <c r="G986" t="s">
        <v>3744</v>
      </c>
      <c r="H986">
        <v>2</v>
      </c>
      <c r="I986">
        <v>1</v>
      </c>
      <c r="J986">
        <v>2</v>
      </c>
      <c r="K986">
        <v>1</v>
      </c>
      <c r="L986" s="22" t="str">
        <f t="shared" si="321"/>
        <v>25/07/2026</v>
      </c>
      <c r="M986" s="23">
        <f t="shared" si="322"/>
        <v>0.20833333333333331</v>
      </c>
      <c r="N986" t="str">
        <f t="shared" si="323"/>
        <v>2 - 1</v>
      </c>
      <c r="O986" t="str">
        <f t="shared" si="324"/>
        <v>Green</v>
      </c>
      <c r="P986" t="str">
        <f t="shared" si="325"/>
        <v>Red</v>
      </c>
      <c r="Q986" t="str">
        <f t="shared" si="326"/>
        <v>Red</v>
      </c>
      <c r="R986" t="str">
        <f t="shared" si="327"/>
        <v>Green</v>
      </c>
      <c r="S986" t="str">
        <f t="shared" si="328"/>
        <v>Red</v>
      </c>
      <c r="T986" t="str">
        <f t="shared" si="329"/>
        <v>Green</v>
      </c>
      <c r="U986" t="str">
        <f t="shared" si="330"/>
        <v>Green</v>
      </c>
      <c r="V986" t="str">
        <f t="shared" si="331"/>
        <v>Red</v>
      </c>
      <c r="W986" t="str">
        <f t="shared" si="332"/>
        <v>Red</v>
      </c>
      <c r="X986" t="str">
        <f t="shared" si="333"/>
        <v>Green</v>
      </c>
      <c r="Y986" t="str">
        <f t="shared" si="334"/>
        <v>Green</v>
      </c>
      <c r="Z986" t="str">
        <f t="shared" si="335"/>
        <v>Green</v>
      </c>
      <c r="AA986" t="str">
        <f t="shared" si="336"/>
        <v>Red</v>
      </c>
      <c r="AB986" t="str">
        <f t="shared" si="337"/>
        <v>Green</v>
      </c>
      <c r="AC986" t="str">
        <f t="shared" si="338"/>
        <v>Green</v>
      </c>
      <c r="AD986" t="str">
        <f t="shared" si="339"/>
        <v>Red</v>
      </c>
    </row>
    <row r="987" spans="1:30" x14ac:dyDescent="0.2">
      <c r="A987" t="str">
        <f t="shared" si="320"/>
        <v>25/07/2026Gold Coast KnightsGold Coast United</v>
      </c>
      <c r="B987" t="s">
        <v>810</v>
      </c>
      <c r="D987" s="2">
        <v>46228</v>
      </c>
      <c r="E987" s="3">
        <v>0.34375</v>
      </c>
      <c r="F987" t="s">
        <v>537</v>
      </c>
      <c r="G987" t="s">
        <v>2805</v>
      </c>
      <c r="H987">
        <v>0</v>
      </c>
      <c r="I987">
        <v>0</v>
      </c>
      <c r="J987">
        <v>1</v>
      </c>
      <c r="K987">
        <v>1</v>
      </c>
      <c r="L987" s="22" t="str">
        <f t="shared" si="321"/>
        <v>25/07/2026</v>
      </c>
      <c r="M987" s="23">
        <f t="shared" si="322"/>
        <v>0.21875</v>
      </c>
      <c r="N987" t="str">
        <f t="shared" si="323"/>
        <v>1 - 1</v>
      </c>
      <c r="O987" t="str">
        <f t="shared" si="324"/>
        <v>Red</v>
      </c>
      <c r="P987" t="str">
        <f t="shared" si="325"/>
        <v>Green</v>
      </c>
      <c r="Q987" t="str">
        <f t="shared" si="326"/>
        <v>Red</v>
      </c>
      <c r="R987" t="str">
        <f t="shared" si="327"/>
        <v>Green</v>
      </c>
      <c r="S987" t="str">
        <f t="shared" si="328"/>
        <v>Green</v>
      </c>
      <c r="T987" t="str">
        <f t="shared" si="329"/>
        <v>Red</v>
      </c>
      <c r="U987" t="str">
        <f t="shared" si="330"/>
        <v>Red</v>
      </c>
      <c r="V987" t="str">
        <f t="shared" si="331"/>
        <v>Green</v>
      </c>
      <c r="W987" t="str">
        <f t="shared" si="332"/>
        <v>Red</v>
      </c>
      <c r="X987" t="str">
        <f t="shared" si="333"/>
        <v>Red</v>
      </c>
      <c r="Y987" t="str">
        <f t="shared" si="334"/>
        <v>Green</v>
      </c>
      <c r="Z987" t="str">
        <f t="shared" si="335"/>
        <v>Red</v>
      </c>
      <c r="AA987" t="str">
        <f t="shared" si="336"/>
        <v>Green</v>
      </c>
      <c r="AB987" t="str">
        <f t="shared" si="337"/>
        <v>Green</v>
      </c>
      <c r="AC987" t="str">
        <f t="shared" si="338"/>
        <v>Green</v>
      </c>
      <c r="AD987" t="str">
        <f t="shared" si="339"/>
        <v>Red</v>
      </c>
    </row>
    <row r="988" spans="1:30" x14ac:dyDescent="0.2">
      <c r="A988" t="str">
        <f t="shared" si="320"/>
        <v>25/07/2026Altona CityWhittlesea United SC</v>
      </c>
      <c r="B988" t="s">
        <v>810</v>
      </c>
      <c r="D988" s="2">
        <v>46228</v>
      </c>
      <c r="E988" s="3">
        <v>0.34375</v>
      </c>
      <c r="F988" t="s">
        <v>2827</v>
      </c>
      <c r="G988" t="s">
        <v>2828</v>
      </c>
      <c r="H988">
        <v>0</v>
      </c>
      <c r="I988">
        <v>0</v>
      </c>
      <c r="J988">
        <v>0</v>
      </c>
      <c r="K988">
        <v>0</v>
      </c>
      <c r="L988" s="22" t="str">
        <f t="shared" si="321"/>
        <v>25/07/2026</v>
      </c>
      <c r="M988" s="23">
        <f t="shared" si="322"/>
        <v>0.21875</v>
      </c>
      <c r="N988" t="str">
        <f t="shared" si="323"/>
        <v>0 - 0</v>
      </c>
      <c r="O988" t="str">
        <f t="shared" si="324"/>
        <v>Red</v>
      </c>
      <c r="P988" t="str">
        <f t="shared" si="325"/>
        <v>Green</v>
      </c>
      <c r="Q988" t="str">
        <f t="shared" si="326"/>
        <v>Red</v>
      </c>
      <c r="R988" t="str">
        <f t="shared" si="327"/>
        <v>Green</v>
      </c>
      <c r="S988" t="str">
        <f t="shared" si="328"/>
        <v>Green</v>
      </c>
      <c r="T988" t="str">
        <f t="shared" si="329"/>
        <v>Red</v>
      </c>
      <c r="U988" t="str">
        <f t="shared" si="330"/>
        <v>Red</v>
      </c>
      <c r="V988" t="str">
        <f t="shared" si="331"/>
        <v>Green</v>
      </c>
      <c r="W988" t="str">
        <f t="shared" si="332"/>
        <v>Red</v>
      </c>
      <c r="X988" t="str">
        <f t="shared" si="333"/>
        <v>Red</v>
      </c>
      <c r="Y988" t="str">
        <f t="shared" si="334"/>
        <v>Red</v>
      </c>
      <c r="Z988" t="str">
        <f t="shared" si="335"/>
        <v>Red</v>
      </c>
      <c r="AA988" t="str">
        <f t="shared" si="336"/>
        <v>Green</v>
      </c>
      <c r="AB988" t="str">
        <f t="shared" si="337"/>
        <v>Green</v>
      </c>
      <c r="AC988" t="str">
        <f t="shared" si="338"/>
        <v>Red</v>
      </c>
      <c r="AD988" t="str">
        <f t="shared" si="339"/>
        <v>Green</v>
      </c>
    </row>
    <row r="989" spans="1:30" x14ac:dyDescent="0.2">
      <c r="A989" t="str">
        <f t="shared" si="320"/>
        <v>25/07/2026FC VratimovMFK Havirov</v>
      </c>
      <c r="D989" s="2">
        <v>46228</v>
      </c>
      <c r="E989" s="3">
        <v>0.34375</v>
      </c>
      <c r="F989" t="s">
        <v>3161</v>
      </c>
      <c r="G989" t="s">
        <v>3162</v>
      </c>
      <c r="H989">
        <v>0</v>
      </c>
      <c r="I989">
        <v>0</v>
      </c>
      <c r="J989">
        <v>1</v>
      </c>
      <c r="K989">
        <v>1</v>
      </c>
      <c r="L989" s="22" t="str">
        <f t="shared" si="321"/>
        <v>25/07/2026</v>
      </c>
      <c r="M989" s="23">
        <f t="shared" si="322"/>
        <v>0.21875</v>
      </c>
      <c r="N989" t="str">
        <f t="shared" si="323"/>
        <v>1 - 1</v>
      </c>
      <c r="O989" t="str">
        <f t="shared" si="324"/>
        <v>Red</v>
      </c>
      <c r="P989" t="str">
        <f t="shared" si="325"/>
        <v>Green</v>
      </c>
      <c r="Q989" t="str">
        <f t="shared" si="326"/>
        <v>Red</v>
      </c>
      <c r="R989" t="str">
        <f t="shared" si="327"/>
        <v>Green</v>
      </c>
      <c r="S989" t="str">
        <f t="shared" si="328"/>
        <v>Green</v>
      </c>
      <c r="T989" t="str">
        <f t="shared" si="329"/>
        <v>Red</v>
      </c>
      <c r="U989" t="str">
        <f t="shared" si="330"/>
        <v>Red</v>
      </c>
      <c r="V989" t="str">
        <f t="shared" si="331"/>
        <v>Green</v>
      </c>
      <c r="W989" t="str">
        <f t="shared" si="332"/>
        <v>Red</v>
      </c>
      <c r="X989" t="str">
        <f t="shared" si="333"/>
        <v>Red</v>
      </c>
      <c r="Y989" t="str">
        <f t="shared" si="334"/>
        <v>Green</v>
      </c>
      <c r="Z989" t="str">
        <f t="shared" si="335"/>
        <v>Red</v>
      </c>
      <c r="AA989" t="str">
        <f t="shared" si="336"/>
        <v>Green</v>
      </c>
      <c r="AB989" t="str">
        <f t="shared" si="337"/>
        <v>Green</v>
      </c>
      <c r="AC989" t="str">
        <f t="shared" si="338"/>
        <v>Green</v>
      </c>
      <c r="AD989" t="str">
        <f t="shared" si="339"/>
        <v>Red</v>
      </c>
    </row>
    <row r="990" spans="1:30" x14ac:dyDescent="0.2">
      <c r="A990" t="str">
        <f t="shared" si="320"/>
        <v>25/07/2026TJ Tatran BohuniceCSK Uhersky Brod</v>
      </c>
      <c r="D990" s="2">
        <v>46228</v>
      </c>
      <c r="E990" s="3">
        <v>0.34375</v>
      </c>
      <c r="F990" t="s">
        <v>3163</v>
      </c>
      <c r="G990" t="s">
        <v>3164</v>
      </c>
      <c r="H990">
        <v>0</v>
      </c>
      <c r="I990">
        <v>0</v>
      </c>
      <c r="J990">
        <v>1</v>
      </c>
      <c r="K990">
        <v>1</v>
      </c>
      <c r="L990" s="22" t="str">
        <f t="shared" si="321"/>
        <v>25/07/2026</v>
      </c>
      <c r="M990" s="23">
        <f t="shared" si="322"/>
        <v>0.21875</v>
      </c>
      <c r="N990" t="str">
        <f t="shared" si="323"/>
        <v>1 - 1</v>
      </c>
      <c r="O990" t="str">
        <f t="shared" si="324"/>
        <v>Red</v>
      </c>
      <c r="P990" t="str">
        <f t="shared" si="325"/>
        <v>Green</v>
      </c>
      <c r="Q990" t="str">
        <f t="shared" si="326"/>
        <v>Red</v>
      </c>
      <c r="R990" t="str">
        <f t="shared" si="327"/>
        <v>Green</v>
      </c>
      <c r="S990" t="str">
        <f t="shared" si="328"/>
        <v>Green</v>
      </c>
      <c r="T990" t="str">
        <f t="shared" si="329"/>
        <v>Red</v>
      </c>
      <c r="U990" t="str">
        <f t="shared" si="330"/>
        <v>Red</v>
      </c>
      <c r="V990" t="str">
        <f t="shared" si="331"/>
        <v>Green</v>
      </c>
      <c r="W990" t="str">
        <f t="shared" si="332"/>
        <v>Red</v>
      </c>
      <c r="X990" t="str">
        <f t="shared" si="333"/>
        <v>Red</v>
      </c>
      <c r="Y990" t="str">
        <f t="shared" si="334"/>
        <v>Green</v>
      </c>
      <c r="Z990" t="str">
        <f t="shared" si="335"/>
        <v>Red</v>
      </c>
      <c r="AA990" t="str">
        <f t="shared" si="336"/>
        <v>Green</v>
      </c>
      <c r="AB990" t="str">
        <f t="shared" si="337"/>
        <v>Green</v>
      </c>
      <c r="AC990" t="str">
        <f t="shared" si="338"/>
        <v>Green</v>
      </c>
      <c r="AD990" t="str">
        <f t="shared" si="339"/>
        <v>Red</v>
      </c>
    </row>
    <row r="991" spans="1:30" x14ac:dyDescent="0.2">
      <c r="A991" t="str">
        <f t="shared" si="320"/>
        <v>25/07/2026FC HlinskoUsti Nad Orlici</v>
      </c>
      <c r="D991" s="2">
        <v>46228</v>
      </c>
      <c r="E991" s="3">
        <v>0.34375</v>
      </c>
      <c r="F991" t="s">
        <v>3745</v>
      </c>
      <c r="G991" t="s">
        <v>3746</v>
      </c>
      <c r="H991">
        <v>0</v>
      </c>
      <c r="I991">
        <v>3</v>
      </c>
      <c r="J991">
        <v>2</v>
      </c>
      <c r="K991">
        <v>4</v>
      </c>
      <c r="L991" s="22" t="str">
        <f t="shared" si="321"/>
        <v>25/07/2026</v>
      </c>
      <c r="M991" s="23">
        <f t="shared" si="322"/>
        <v>0.21875</v>
      </c>
      <c r="N991" t="str">
        <f t="shared" si="323"/>
        <v>2 - 4</v>
      </c>
      <c r="O991" t="str">
        <f t="shared" si="324"/>
        <v>Red</v>
      </c>
      <c r="P991" t="str">
        <f t="shared" si="325"/>
        <v>Red</v>
      </c>
      <c r="Q991" t="str">
        <f t="shared" si="326"/>
        <v>Green</v>
      </c>
      <c r="R991" t="str">
        <f t="shared" si="327"/>
        <v>Red</v>
      </c>
      <c r="S991" t="str">
        <f t="shared" si="328"/>
        <v>Green</v>
      </c>
      <c r="T991" t="str">
        <f t="shared" si="329"/>
        <v>Green</v>
      </c>
      <c r="U991" t="str">
        <f t="shared" si="330"/>
        <v>Red</v>
      </c>
      <c r="V991" t="str">
        <f t="shared" si="331"/>
        <v>Red</v>
      </c>
      <c r="W991" t="str">
        <f t="shared" si="332"/>
        <v>Green</v>
      </c>
      <c r="X991" t="str">
        <f t="shared" si="333"/>
        <v>Green</v>
      </c>
      <c r="Y991" t="str">
        <f t="shared" si="334"/>
        <v>Green</v>
      </c>
      <c r="Z991" t="str">
        <f t="shared" si="335"/>
        <v>Green</v>
      </c>
      <c r="AA991" t="str">
        <f t="shared" si="336"/>
        <v>Red</v>
      </c>
      <c r="AB991" t="str">
        <f t="shared" si="337"/>
        <v>Red</v>
      </c>
      <c r="AC991" t="str">
        <f t="shared" si="338"/>
        <v>Green</v>
      </c>
      <c r="AD991" t="str">
        <f t="shared" si="339"/>
        <v>Red</v>
      </c>
    </row>
    <row r="992" spans="1:30" x14ac:dyDescent="0.2">
      <c r="A992" t="str">
        <f t="shared" si="320"/>
        <v>25/07/2026St GeorgeSydney U21</v>
      </c>
      <c r="B992" t="s">
        <v>810</v>
      </c>
      <c r="C992" t="s">
        <v>2249</v>
      </c>
      <c r="D992" s="2">
        <v>46228</v>
      </c>
      <c r="E992" s="3">
        <v>0.35416666666666669</v>
      </c>
      <c r="F992" t="s">
        <v>2798</v>
      </c>
      <c r="G992" t="s">
        <v>2799</v>
      </c>
      <c r="H992">
        <v>0</v>
      </c>
      <c r="I992">
        <v>0</v>
      </c>
      <c r="J992">
        <v>0</v>
      </c>
      <c r="K992">
        <v>0</v>
      </c>
      <c r="L992" s="22" t="str">
        <f t="shared" si="321"/>
        <v>25/07/2026</v>
      </c>
      <c r="M992" s="23">
        <f t="shared" si="322"/>
        <v>0.22916666666666669</v>
      </c>
      <c r="N992" t="str">
        <f t="shared" si="323"/>
        <v>0 - 0</v>
      </c>
      <c r="O992" t="str">
        <f t="shared" si="324"/>
        <v>Red</v>
      </c>
      <c r="P992" t="str">
        <f t="shared" si="325"/>
        <v>Green</v>
      </c>
      <c r="Q992" t="str">
        <f t="shared" si="326"/>
        <v>Red</v>
      </c>
      <c r="R992" t="str">
        <f t="shared" si="327"/>
        <v>Green</v>
      </c>
      <c r="S992" t="str">
        <f t="shared" si="328"/>
        <v>Green</v>
      </c>
      <c r="T992" t="str">
        <f t="shared" si="329"/>
        <v>Red</v>
      </c>
      <c r="U992" t="str">
        <f t="shared" si="330"/>
        <v>Red</v>
      </c>
      <c r="V992" t="str">
        <f t="shared" si="331"/>
        <v>Green</v>
      </c>
      <c r="W992" t="str">
        <f t="shared" si="332"/>
        <v>Red</v>
      </c>
      <c r="X992" t="str">
        <f t="shared" si="333"/>
        <v>Red</v>
      </c>
      <c r="Y992" t="str">
        <f t="shared" si="334"/>
        <v>Red</v>
      </c>
      <c r="Z992" t="str">
        <f t="shared" si="335"/>
        <v>Red</v>
      </c>
      <c r="AA992" t="str">
        <f t="shared" si="336"/>
        <v>Green</v>
      </c>
      <c r="AB992" t="str">
        <f t="shared" si="337"/>
        <v>Green</v>
      </c>
      <c r="AC992" t="str">
        <f t="shared" si="338"/>
        <v>Red</v>
      </c>
      <c r="AD992" t="str">
        <f t="shared" si="339"/>
        <v>Green</v>
      </c>
    </row>
    <row r="993" spans="1:30" x14ac:dyDescent="0.2">
      <c r="A993" t="str">
        <f t="shared" si="320"/>
        <v>25/07/2026University Azzurri FCCasuarina FC</v>
      </c>
      <c r="B993" t="s">
        <v>810</v>
      </c>
      <c r="D993" s="2">
        <v>46228</v>
      </c>
      <c r="E993" s="3">
        <v>0.35416666666666669</v>
      </c>
      <c r="F993" t="s">
        <v>907</v>
      </c>
      <c r="G993" t="s">
        <v>900</v>
      </c>
      <c r="H993">
        <v>1</v>
      </c>
      <c r="I993">
        <v>0</v>
      </c>
      <c r="J993">
        <v>5</v>
      </c>
      <c r="K993">
        <v>1</v>
      </c>
      <c r="L993" s="22" t="str">
        <f t="shared" si="321"/>
        <v>25/07/2026</v>
      </c>
      <c r="M993" s="23">
        <f t="shared" si="322"/>
        <v>0.22916666666666669</v>
      </c>
      <c r="N993" t="str">
        <f t="shared" si="323"/>
        <v>5 - 1</v>
      </c>
      <c r="O993" t="str">
        <f t="shared" si="324"/>
        <v>Green</v>
      </c>
      <c r="P993" t="str">
        <f t="shared" si="325"/>
        <v>Red</v>
      </c>
      <c r="Q993" t="str">
        <f t="shared" si="326"/>
        <v>Red</v>
      </c>
      <c r="R993" t="str">
        <f t="shared" si="327"/>
        <v>Green</v>
      </c>
      <c r="S993" t="str">
        <f t="shared" si="328"/>
        <v>Red</v>
      </c>
      <c r="T993" t="str">
        <f t="shared" si="329"/>
        <v>Green</v>
      </c>
      <c r="U993" t="str">
        <f t="shared" si="330"/>
        <v>Green</v>
      </c>
      <c r="V993" t="str">
        <f t="shared" si="331"/>
        <v>Red</v>
      </c>
      <c r="W993" t="str">
        <f t="shared" si="332"/>
        <v>Red</v>
      </c>
      <c r="X993" t="str">
        <f t="shared" si="333"/>
        <v>Green</v>
      </c>
      <c r="Y993" t="str">
        <f t="shared" si="334"/>
        <v>Green</v>
      </c>
      <c r="Z993" t="str">
        <f t="shared" si="335"/>
        <v>Green</v>
      </c>
      <c r="AA993" t="str">
        <f t="shared" si="336"/>
        <v>Red</v>
      </c>
      <c r="AB993" t="str">
        <f t="shared" si="337"/>
        <v>Red</v>
      </c>
      <c r="AC993" t="str">
        <f t="shared" si="338"/>
        <v>Green</v>
      </c>
      <c r="AD993" t="str">
        <f t="shared" si="339"/>
        <v>Red</v>
      </c>
    </row>
    <row r="994" spans="1:30" x14ac:dyDescent="0.2">
      <c r="A994" t="str">
        <f t="shared" si="320"/>
        <v>25/07/2026Hakoah Sydney City East U20Rydalmere Lions FC U20</v>
      </c>
      <c r="B994" t="s">
        <v>810</v>
      </c>
      <c r="D994" s="2">
        <v>46228</v>
      </c>
      <c r="E994" s="3">
        <v>0.35416666666666669</v>
      </c>
      <c r="F994" t="s">
        <v>2967</v>
      </c>
      <c r="G994" t="s">
        <v>2968</v>
      </c>
      <c r="H994">
        <v>1</v>
      </c>
      <c r="I994">
        <v>1</v>
      </c>
      <c r="J994">
        <v>2</v>
      </c>
      <c r="K994">
        <v>1</v>
      </c>
      <c r="L994" s="22" t="str">
        <f t="shared" si="321"/>
        <v>25/07/2026</v>
      </c>
      <c r="M994" s="23">
        <f t="shared" si="322"/>
        <v>0.22916666666666669</v>
      </c>
      <c r="N994" t="str">
        <f t="shared" si="323"/>
        <v>2 - 1</v>
      </c>
      <c r="O994" t="str">
        <f t="shared" si="324"/>
        <v>Green</v>
      </c>
      <c r="P994" t="str">
        <f t="shared" si="325"/>
        <v>Red</v>
      </c>
      <c r="Q994" t="str">
        <f t="shared" si="326"/>
        <v>Red</v>
      </c>
      <c r="R994" t="str">
        <f t="shared" si="327"/>
        <v>Green</v>
      </c>
      <c r="S994" t="str">
        <f t="shared" si="328"/>
        <v>Red</v>
      </c>
      <c r="T994" t="str">
        <f t="shared" si="329"/>
        <v>Green</v>
      </c>
      <c r="U994" t="str">
        <f t="shared" si="330"/>
        <v>Red</v>
      </c>
      <c r="V994" t="str">
        <f t="shared" si="331"/>
        <v>Green</v>
      </c>
      <c r="W994" t="str">
        <f t="shared" si="332"/>
        <v>Red</v>
      </c>
      <c r="X994" t="str">
        <f t="shared" si="333"/>
        <v>Green</v>
      </c>
      <c r="Y994" t="str">
        <f t="shared" si="334"/>
        <v>Green</v>
      </c>
      <c r="Z994" t="str">
        <f t="shared" si="335"/>
        <v>Green</v>
      </c>
      <c r="AA994" t="str">
        <f t="shared" si="336"/>
        <v>Red</v>
      </c>
      <c r="AB994" t="str">
        <f t="shared" si="337"/>
        <v>Green</v>
      </c>
      <c r="AC994" t="str">
        <f t="shared" si="338"/>
        <v>Green</v>
      </c>
      <c r="AD994" t="str">
        <f t="shared" si="339"/>
        <v>Red</v>
      </c>
    </row>
    <row r="995" spans="1:30" x14ac:dyDescent="0.2">
      <c r="A995" t="str">
        <f t="shared" si="320"/>
        <v>25/07/2026Macarthur Rams U20Hurstville ZFC U20</v>
      </c>
      <c r="B995" t="s">
        <v>810</v>
      </c>
      <c r="D995" s="2">
        <v>46228</v>
      </c>
      <c r="E995" s="3">
        <v>0.35416666666666669</v>
      </c>
      <c r="F995" t="s">
        <v>2969</v>
      </c>
      <c r="G995" t="s">
        <v>2970</v>
      </c>
      <c r="H995">
        <v>0</v>
      </c>
      <c r="I995">
        <v>2</v>
      </c>
      <c r="J995">
        <v>1</v>
      </c>
      <c r="K995">
        <v>2</v>
      </c>
      <c r="L995" s="22" t="str">
        <f t="shared" si="321"/>
        <v>25/07/2026</v>
      </c>
      <c r="M995" s="23">
        <f t="shared" si="322"/>
        <v>0.22916666666666669</v>
      </c>
      <c r="N995" t="str">
        <f t="shared" si="323"/>
        <v>1 - 2</v>
      </c>
      <c r="O995" t="str">
        <f t="shared" si="324"/>
        <v>Red</v>
      </c>
      <c r="P995" t="str">
        <f t="shared" si="325"/>
        <v>Red</v>
      </c>
      <c r="Q995" t="str">
        <f t="shared" si="326"/>
        <v>Green</v>
      </c>
      <c r="R995" t="str">
        <f t="shared" si="327"/>
        <v>Red</v>
      </c>
      <c r="S995" t="str">
        <f t="shared" si="328"/>
        <v>Green</v>
      </c>
      <c r="T995" t="str">
        <f t="shared" si="329"/>
        <v>Green</v>
      </c>
      <c r="U995" t="str">
        <f t="shared" si="330"/>
        <v>Red</v>
      </c>
      <c r="V995" t="str">
        <f t="shared" si="331"/>
        <v>Red</v>
      </c>
      <c r="W995" t="str">
        <f t="shared" si="332"/>
        <v>Green</v>
      </c>
      <c r="X995" t="str">
        <f t="shared" si="333"/>
        <v>Green</v>
      </c>
      <c r="Y995" t="str">
        <f t="shared" si="334"/>
        <v>Green</v>
      </c>
      <c r="Z995" t="str">
        <f t="shared" si="335"/>
        <v>Green</v>
      </c>
      <c r="AA995" t="str">
        <f t="shared" si="336"/>
        <v>Red</v>
      </c>
      <c r="AB995" t="str">
        <f t="shared" si="337"/>
        <v>Green</v>
      </c>
      <c r="AC995" t="str">
        <f t="shared" si="338"/>
        <v>Green</v>
      </c>
      <c r="AD995" t="str">
        <f t="shared" si="339"/>
        <v>Red</v>
      </c>
    </row>
    <row r="996" spans="1:30" x14ac:dyDescent="0.2">
      <c r="A996" t="str">
        <f t="shared" si="320"/>
        <v>25/07/2026Northern Tigers U20Blacktown Spartans U20</v>
      </c>
      <c r="B996" t="s">
        <v>810</v>
      </c>
      <c r="D996" s="2">
        <v>46228</v>
      </c>
      <c r="E996" s="3">
        <v>0.35416666666666669</v>
      </c>
      <c r="F996" t="s">
        <v>2971</v>
      </c>
      <c r="G996" t="s">
        <v>2972</v>
      </c>
      <c r="H996">
        <v>3</v>
      </c>
      <c r="I996">
        <v>1</v>
      </c>
      <c r="J996">
        <v>3</v>
      </c>
      <c r="K996">
        <v>1</v>
      </c>
      <c r="L996" s="22" t="str">
        <f t="shared" si="321"/>
        <v>25/07/2026</v>
      </c>
      <c r="M996" s="23">
        <f t="shared" si="322"/>
        <v>0.22916666666666669</v>
      </c>
      <c r="N996" t="str">
        <f t="shared" si="323"/>
        <v>3 - 1</v>
      </c>
      <c r="O996" t="str">
        <f t="shared" si="324"/>
        <v>Green</v>
      </c>
      <c r="P996" t="str">
        <f t="shared" si="325"/>
        <v>Red</v>
      </c>
      <c r="Q996" t="str">
        <f t="shared" si="326"/>
        <v>Red</v>
      </c>
      <c r="R996" t="str">
        <f t="shared" si="327"/>
        <v>Green</v>
      </c>
      <c r="S996" t="str">
        <f t="shared" si="328"/>
        <v>Red</v>
      </c>
      <c r="T996" t="str">
        <f t="shared" si="329"/>
        <v>Green</v>
      </c>
      <c r="U996" t="str">
        <f t="shared" si="330"/>
        <v>Green</v>
      </c>
      <c r="V996" t="str">
        <f t="shared" si="331"/>
        <v>Red</v>
      </c>
      <c r="W996" t="str">
        <f t="shared" si="332"/>
        <v>Red</v>
      </c>
      <c r="X996" t="str">
        <f t="shared" si="333"/>
        <v>Green</v>
      </c>
      <c r="Y996" t="str">
        <f t="shared" si="334"/>
        <v>Green</v>
      </c>
      <c r="Z996" t="str">
        <f t="shared" si="335"/>
        <v>Green</v>
      </c>
      <c r="AA996" t="str">
        <f t="shared" si="336"/>
        <v>Red</v>
      </c>
      <c r="AB996" t="str">
        <f t="shared" si="337"/>
        <v>Red</v>
      </c>
      <c r="AC996" t="str">
        <f t="shared" si="338"/>
        <v>Green</v>
      </c>
      <c r="AD996" t="str">
        <f t="shared" si="339"/>
        <v>Red</v>
      </c>
    </row>
    <row r="997" spans="1:30" x14ac:dyDescent="0.2">
      <c r="A997" t="str">
        <f t="shared" si="320"/>
        <v>25/07/2026FK BlanskoVelka Bites</v>
      </c>
      <c r="D997" s="2">
        <v>46228</v>
      </c>
      <c r="E997" s="3">
        <v>0.35416666666666669</v>
      </c>
      <c r="F997" t="s">
        <v>3165</v>
      </c>
      <c r="G997" t="s">
        <v>3166</v>
      </c>
      <c r="H997">
        <v>0</v>
      </c>
      <c r="I997">
        <v>0</v>
      </c>
      <c r="J997">
        <v>1</v>
      </c>
      <c r="K997">
        <v>1</v>
      </c>
      <c r="L997" s="22" t="str">
        <f t="shared" si="321"/>
        <v>25/07/2026</v>
      </c>
      <c r="M997" s="23">
        <f t="shared" si="322"/>
        <v>0.22916666666666669</v>
      </c>
      <c r="N997" t="str">
        <f t="shared" si="323"/>
        <v>1 - 1</v>
      </c>
      <c r="O997" t="str">
        <f t="shared" si="324"/>
        <v>Red</v>
      </c>
      <c r="P997" t="str">
        <f t="shared" si="325"/>
        <v>Green</v>
      </c>
      <c r="Q997" t="str">
        <f t="shared" si="326"/>
        <v>Red</v>
      </c>
      <c r="R997" t="str">
        <f t="shared" si="327"/>
        <v>Green</v>
      </c>
      <c r="S997" t="str">
        <f t="shared" si="328"/>
        <v>Green</v>
      </c>
      <c r="T997" t="str">
        <f t="shared" si="329"/>
        <v>Red</v>
      </c>
      <c r="U997" t="str">
        <f t="shared" si="330"/>
        <v>Red</v>
      </c>
      <c r="V997" t="str">
        <f t="shared" si="331"/>
        <v>Green</v>
      </c>
      <c r="W997" t="str">
        <f t="shared" si="332"/>
        <v>Red</v>
      </c>
      <c r="X997" t="str">
        <f t="shared" si="333"/>
        <v>Red</v>
      </c>
      <c r="Y997" t="str">
        <f t="shared" si="334"/>
        <v>Green</v>
      </c>
      <c r="Z997" t="str">
        <f t="shared" si="335"/>
        <v>Red</v>
      </c>
      <c r="AA997" t="str">
        <f t="shared" si="336"/>
        <v>Green</v>
      </c>
      <c r="AB997" t="str">
        <f t="shared" si="337"/>
        <v>Green</v>
      </c>
      <c r="AC997" t="str">
        <f t="shared" si="338"/>
        <v>Green</v>
      </c>
      <c r="AD997" t="str">
        <f t="shared" si="339"/>
        <v>Red</v>
      </c>
    </row>
    <row r="998" spans="1:30" x14ac:dyDescent="0.2">
      <c r="A998" t="str">
        <f t="shared" si="320"/>
        <v>25/07/2026Sparta BrnoSFK Vrchovina</v>
      </c>
      <c r="D998" s="2">
        <v>46228</v>
      </c>
      <c r="E998" s="3">
        <v>0.35416666666666669</v>
      </c>
      <c r="F998" t="s">
        <v>1724</v>
      </c>
      <c r="G998" t="s">
        <v>3167</v>
      </c>
      <c r="H998">
        <v>0</v>
      </c>
      <c r="I998">
        <v>0</v>
      </c>
      <c r="J998">
        <v>1</v>
      </c>
      <c r="K998">
        <v>0</v>
      </c>
      <c r="L998" s="22" t="str">
        <f t="shared" si="321"/>
        <v>25/07/2026</v>
      </c>
      <c r="M998" s="23">
        <f t="shared" si="322"/>
        <v>0.22916666666666669</v>
      </c>
      <c r="N998" t="str">
        <f t="shared" si="323"/>
        <v>1 - 0</v>
      </c>
      <c r="O998" t="str">
        <f t="shared" si="324"/>
        <v>Green</v>
      </c>
      <c r="P998" t="str">
        <f t="shared" si="325"/>
        <v>Red</v>
      </c>
      <c r="Q998" t="str">
        <f t="shared" si="326"/>
        <v>Red</v>
      </c>
      <c r="R998" t="str">
        <f t="shared" si="327"/>
        <v>Green</v>
      </c>
      <c r="S998" t="str">
        <f t="shared" si="328"/>
        <v>Red</v>
      </c>
      <c r="T998" t="str">
        <f t="shared" si="329"/>
        <v>Green</v>
      </c>
      <c r="U998" t="str">
        <f t="shared" si="330"/>
        <v>Red</v>
      </c>
      <c r="V998" t="str">
        <f t="shared" si="331"/>
        <v>Green</v>
      </c>
      <c r="W998" t="str">
        <f t="shared" si="332"/>
        <v>Red</v>
      </c>
      <c r="X998" t="str">
        <f t="shared" si="333"/>
        <v>Red</v>
      </c>
      <c r="Y998" t="str">
        <f t="shared" si="334"/>
        <v>Red</v>
      </c>
      <c r="Z998" t="str">
        <f t="shared" si="335"/>
        <v>Red</v>
      </c>
      <c r="AA998" t="str">
        <f t="shared" si="336"/>
        <v>Green</v>
      </c>
      <c r="AB998" t="str">
        <f t="shared" si="337"/>
        <v>Green</v>
      </c>
      <c r="AC998" t="str">
        <f t="shared" si="338"/>
        <v>Red</v>
      </c>
      <c r="AD998" t="str">
        <f t="shared" si="339"/>
        <v>Green</v>
      </c>
    </row>
    <row r="999" spans="1:30" x14ac:dyDescent="0.2">
      <c r="A999" t="str">
        <f t="shared" si="320"/>
        <v>25/07/2026EspanyolCE Sabadell</v>
      </c>
      <c r="D999" s="2">
        <v>46228</v>
      </c>
      <c r="E999" s="3">
        <v>0.35416666666666669</v>
      </c>
      <c r="F999" t="s">
        <v>1466</v>
      </c>
      <c r="G999" t="s">
        <v>3747</v>
      </c>
      <c r="H999">
        <v>0</v>
      </c>
      <c r="I999">
        <v>0</v>
      </c>
      <c r="J999">
        <v>1</v>
      </c>
      <c r="K999">
        <v>1</v>
      </c>
      <c r="L999" s="22" t="str">
        <f t="shared" si="321"/>
        <v>25/07/2026</v>
      </c>
      <c r="M999" s="23">
        <f t="shared" si="322"/>
        <v>0.22916666666666669</v>
      </c>
      <c r="N999" t="str">
        <f t="shared" si="323"/>
        <v>1 - 1</v>
      </c>
      <c r="O999" t="str">
        <f t="shared" si="324"/>
        <v>Red</v>
      </c>
      <c r="P999" t="str">
        <f t="shared" si="325"/>
        <v>Green</v>
      </c>
      <c r="Q999" t="str">
        <f t="shared" si="326"/>
        <v>Red</v>
      </c>
      <c r="R999" t="str">
        <f t="shared" si="327"/>
        <v>Green</v>
      </c>
      <c r="S999" t="str">
        <f t="shared" si="328"/>
        <v>Green</v>
      </c>
      <c r="T999" t="str">
        <f t="shared" si="329"/>
        <v>Red</v>
      </c>
      <c r="U999" t="str">
        <f t="shared" si="330"/>
        <v>Red</v>
      </c>
      <c r="V999" t="str">
        <f t="shared" si="331"/>
        <v>Green</v>
      </c>
      <c r="W999" t="str">
        <f t="shared" si="332"/>
        <v>Red</v>
      </c>
      <c r="X999" t="str">
        <f t="shared" si="333"/>
        <v>Red</v>
      </c>
      <c r="Y999" t="str">
        <f t="shared" si="334"/>
        <v>Green</v>
      </c>
      <c r="Z999" t="str">
        <f t="shared" si="335"/>
        <v>Red</v>
      </c>
      <c r="AA999" t="str">
        <f t="shared" si="336"/>
        <v>Green</v>
      </c>
      <c r="AB999" t="str">
        <f t="shared" si="337"/>
        <v>Green</v>
      </c>
      <c r="AC999" t="str">
        <f t="shared" si="338"/>
        <v>Green</v>
      </c>
      <c r="AD999" t="str">
        <f t="shared" si="339"/>
        <v>Red</v>
      </c>
    </row>
    <row r="1000" spans="1:30" x14ac:dyDescent="0.2">
      <c r="A1000" t="str">
        <f t="shared" si="320"/>
        <v>25/07/2026FK Jedinstvo Stara PazovaVeternik</v>
      </c>
      <c r="D1000" s="2">
        <v>46228</v>
      </c>
      <c r="E1000" s="3">
        <v>0.35416666666666669</v>
      </c>
      <c r="F1000" t="s">
        <v>3748</v>
      </c>
      <c r="G1000" t="s">
        <v>3749</v>
      </c>
      <c r="H1000">
        <v>2</v>
      </c>
      <c r="I1000">
        <v>0</v>
      </c>
      <c r="J1000">
        <v>3</v>
      </c>
      <c r="K1000">
        <v>1</v>
      </c>
      <c r="L1000" s="22" t="str">
        <f t="shared" si="321"/>
        <v>25/07/2026</v>
      </c>
      <c r="M1000" s="23">
        <f t="shared" si="322"/>
        <v>0.22916666666666669</v>
      </c>
      <c r="N1000" t="str">
        <f t="shared" si="323"/>
        <v>3 - 1</v>
      </c>
      <c r="O1000" t="str">
        <f t="shared" si="324"/>
        <v>Green</v>
      </c>
      <c r="P1000" t="str">
        <f t="shared" si="325"/>
        <v>Red</v>
      </c>
      <c r="Q1000" t="str">
        <f t="shared" si="326"/>
        <v>Red</v>
      </c>
      <c r="R1000" t="str">
        <f t="shared" si="327"/>
        <v>Green</v>
      </c>
      <c r="S1000" t="str">
        <f t="shared" si="328"/>
        <v>Red</v>
      </c>
      <c r="T1000" t="str">
        <f t="shared" si="329"/>
        <v>Green</v>
      </c>
      <c r="U1000" t="str">
        <f t="shared" si="330"/>
        <v>Green</v>
      </c>
      <c r="V1000" t="str">
        <f t="shared" si="331"/>
        <v>Red</v>
      </c>
      <c r="W1000" t="str">
        <f t="shared" si="332"/>
        <v>Red</v>
      </c>
      <c r="X1000" t="str">
        <f t="shared" si="333"/>
        <v>Green</v>
      </c>
      <c r="Y1000" t="str">
        <f t="shared" si="334"/>
        <v>Green</v>
      </c>
      <c r="Z1000" t="str">
        <f t="shared" si="335"/>
        <v>Green</v>
      </c>
      <c r="AA1000" t="str">
        <f t="shared" si="336"/>
        <v>Red</v>
      </c>
      <c r="AB1000" t="str">
        <f t="shared" si="337"/>
        <v>Red</v>
      </c>
      <c r="AC1000" t="str">
        <f t="shared" si="338"/>
        <v>Green</v>
      </c>
      <c r="AD1000" t="str">
        <f t="shared" si="339"/>
        <v>Red</v>
      </c>
    </row>
    <row r="1001" spans="1:30" x14ac:dyDescent="0.2">
      <c r="A1001" t="str">
        <f t="shared" si="320"/>
        <v>25/07/2026GironaAlaves</v>
      </c>
      <c r="D1001" s="2">
        <v>46228</v>
      </c>
      <c r="E1001" s="3">
        <v>0.35416666666666669</v>
      </c>
      <c r="F1001" t="s">
        <v>1807</v>
      </c>
      <c r="G1001" t="s">
        <v>3750</v>
      </c>
      <c r="H1001">
        <v>0</v>
      </c>
      <c r="I1001">
        <v>0</v>
      </c>
      <c r="J1001">
        <v>0</v>
      </c>
      <c r="K1001">
        <v>1</v>
      </c>
      <c r="L1001" s="22" t="str">
        <f t="shared" si="321"/>
        <v>25/07/2026</v>
      </c>
      <c r="M1001" s="23">
        <f t="shared" si="322"/>
        <v>0.22916666666666669</v>
      </c>
      <c r="N1001" t="str">
        <f t="shared" si="323"/>
        <v>0 - 1</v>
      </c>
      <c r="O1001" t="str">
        <f t="shared" si="324"/>
        <v>Red</v>
      </c>
      <c r="P1001" t="str">
        <f t="shared" si="325"/>
        <v>Red</v>
      </c>
      <c r="Q1001" t="str">
        <f t="shared" si="326"/>
        <v>Green</v>
      </c>
      <c r="R1001" t="str">
        <f t="shared" si="327"/>
        <v>Red</v>
      </c>
      <c r="S1001" t="str">
        <f t="shared" si="328"/>
        <v>Green</v>
      </c>
      <c r="T1001" t="str">
        <f t="shared" si="329"/>
        <v>Green</v>
      </c>
      <c r="U1001" t="str">
        <f t="shared" si="330"/>
        <v>Red</v>
      </c>
      <c r="V1001" t="str">
        <f t="shared" si="331"/>
        <v>Green</v>
      </c>
      <c r="W1001" t="str">
        <f t="shared" si="332"/>
        <v>Red</v>
      </c>
      <c r="X1001" t="str">
        <f t="shared" si="333"/>
        <v>Red</v>
      </c>
      <c r="Y1001" t="str">
        <f t="shared" si="334"/>
        <v>Red</v>
      </c>
      <c r="Z1001" t="str">
        <f t="shared" si="335"/>
        <v>Red</v>
      </c>
      <c r="AA1001" t="str">
        <f t="shared" si="336"/>
        <v>Green</v>
      </c>
      <c r="AB1001" t="str">
        <f t="shared" si="337"/>
        <v>Green</v>
      </c>
      <c r="AC1001" t="str">
        <f t="shared" si="338"/>
        <v>Red</v>
      </c>
      <c r="AD1001" t="str">
        <f t="shared" si="339"/>
        <v>Green</v>
      </c>
    </row>
    <row r="1002" spans="1:30" x14ac:dyDescent="0.2">
      <c r="A1002" t="str">
        <f t="shared" si="320"/>
        <v>25/07/2026Virginia UnitedBrisbane Knights</v>
      </c>
      <c r="B1002" t="s">
        <v>810</v>
      </c>
      <c r="D1002" s="2">
        <v>46228</v>
      </c>
      <c r="E1002" s="3">
        <v>0.375</v>
      </c>
      <c r="F1002" t="s">
        <v>2835</v>
      </c>
      <c r="G1002" t="s">
        <v>2836</v>
      </c>
      <c r="H1002">
        <v>0</v>
      </c>
      <c r="I1002">
        <v>0</v>
      </c>
      <c r="J1002">
        <v>3</v>
      </c>
      <c r="K1002">
        <v>0</v>
      </c>
      <c r="L1002" s="22" t="str">
        <f t="shared" si="321"/>
        <v>25/07/2026</v>
      </c>
      <c r="M1002" s="23">
        <f t="shared" si="322"/>
        <v>0.25</v>
      </c>
      <c r="N1002" t="str">
        <f t="shared" si="323"/>
        <v>3 - 0</v>
      </c>
      <c r="O1002" t="str">
        <f t="shared" si="324"/>
        <v>Green</v>
      </c>
      <c r="P1002" t="str">
        <f t="shared" si="325"/>
        <v>Red</v>
      </c>
      <c r="Q1002" t="str">
        <f t="shared" si="326"/>
        <v>Red</v>
      </c>
      <c r="R1002" t="str">
        <f t="shared" si="327"/>
        <v>Green</v>
      </c>
      <c r="S1002" t="str">
        <f t="shared" si="328"/>
        <v>Red</v>
      </c>
      <c r="T1002" t="str">
        <f t="shared" si="329"/>
        <v>Green</v>
      </c>
      <c r="U1002" t="str">
        <f t="shared" si="330"/>
        <v>Red</v>
      </c>
      <c r="V1002" t="str">
        <f t="shared" si="331"/>
        <v>Green</v>
      </c>
      <c r="W1002" t="str">
        <f t="shared" si="332"/>
        <v>Red</v>
      </c>
      <c r="X1002" t="str">
        <f t="shared" si="333"/>
        <v>Red</v>
      </c>
      <c r="Y1002" t="str">
        <f t="shared" si="334"/>
        <v>Green</v>
      </c>
      <c r="Z1002" t="str">
        <f t="shared" si="335"/>
        <v>Green</v>
      </c>
      <c r="AA1002" t="str">
        <f t="shared" si="336"/>
        <v>Red</v>
      </c>
      <c r="AB1002" t="str">
        <f t="shared" si="337"/>
        <v>Green</v>
      </c>
      <c r="AC1002" t="str">
        <f t="shared" si="338"/>
        <v>Red</v>
      </c>
      <c r="AD1002" t="str">
        <f t="shared" si="339"/>
        <v>Green</v>
      </c>
    </row>
    <row r="1003" spans="1:30" x14ac:dyDescent="0.2">
      <c r="A1003" t="str">
        <f t="shared" si="320"/>
        <v>25/07/2026Camden TigersNepean FC</v>
      </c>
      <c r="B1003" t="s">
        <v>810</v>
      </c>
      <c r="D1003" s="2">
        <v>46228</v>
      </c>
      <c r="E1003" s="3">
        <v>0.375</v>
      </c>
      <c r="F1003" t="s">
        <v>2920</v>
      </c>
      <c r="G1003" t="s">
        <v>2921</v>
      </c>
      <c r="H1003">
        <v>1</v>
      </c>
      <c r="I1003">
        <v>1</v>
      </c>
      <c r="J1003">
        <v>2</v>
      </c>
      <c r="K1003">
        <v>2</v>
      </c>
      <c r="L1003" s="22" t="str">
        <f t="shared" si="321"/>
        <v>25/07/2026</v>
      </c>
      <c r="M1003" s="23">
        <f t="shared" si="322"/>
        <v>0.25</v>
      </c>
      <c r="N1003" t="str">
        <f t="shared" si="323"/>
        <v>2 - 2</v>
      </c>
      <c r="O1003" t="str">
        <f t="shared" si="324"/>
        <v>Red</v>
      </c>
      <c r="P1003" t="str">
        <f t="shared" si="325"/>
        <v>Green</v>
      </c>
      <c r="Q1003" t="str">
        <f t="shared" si="326"/>
        <v>Red</v>
      </c>
      <c r="R1003" t="str">
        <f t="shared" si="327"/>
        <v>Green</v>
      </c>
      <c r="S1003" t="str">
        <f t="shared" si="328"/>
        <v>Green</v>
      </c>
      <c r="T1003" t="str">
        <f t="shared" si="329"/>
        <v>Red</v>
      </c>
      <c r="U1003" t="str">
        <f t="shared" si="330"/>
        <v>Red</v>
      </c>
      <c r="V1003" t="str">
        <f t="shared" si="331"/>
        <v>Green</v>
      </c>
      <c r="W1003" t="str">
        <f t="shared" si="332"/>
        <v>Red</v>
      </c>
      <c r="X1003" t="str">
        <f t="shared" si="333"/>
        <v>Green</v>
      </c>
      <c r="Y1003" t="str">
        <f t="shared" si="334"/>
        <v>Green</v>
      </c>
      <c r="Z1003" t="str">
        <f t="shared" si="335"/>
        <v>Green</v>
      </c>
      <c r="AA1003" t="str">
        <f t="shared" si="336"/>
        <v>Red</v>
      </c>
      <c r="AB1003" t="str">
        <f t="shared" si="337"/>
        <v>Red</v>
      </c>
      <c r="AC1003" t="str">
        <f t="shared" si="338"/>
        <v>Green</v>
      </c>
      <c r="AD1003" t="str">
        <f t="shared" si="339"/>
        <v>Red</v>
      </c>
    </row>
    <row r="1004" spans="1:30" x14ac:dyDescent="0.2">
      <c r="A1004" t="str">
        <f t="shared" si="320"/>
        <v>25/07/2026Eastern Suburbs NPL WomenBrisbane Roar NTC Women</v>
      </c>
      <c r="B1004" t="s">
        <v>810</v>
      </c>
      <c r="D1004" s="2">
        <v>46228</v>
      </c>
      <c r="E1004" s="3">
        <v>0.375</v>
      </c>
      <c r="F1004" t="s">
        <v>2526</v>
      </c>
      <c r="G1004" t="s">
        <v>2926</v>
      </c>
      <c r="H1004">
        <v>1</v>
      </c>
      <c r="I1004">
        <v>0</v>
      </c>
      <c r="J1004">
        <v>3</v>
      </c>
      <c r="K1004">
        <v>0</v>
      </c>
      <c r="L1004" s="22" t="str">
        <f t="shared" si="321"/>
        <v>25/07/2026</v>
      </c>
      <c r="M1004" s="23">
        <f t="shared" si="322"/>
        <v>0.25</v>
      </c>
      <c r="N1004" t="str">
        <f t="shared" si="323"/>
        <v>3 - 0</v>
      </c>
      <c r="O1004" t="str">
        <f t="shared" si="324"/>
        <v>Green</v>
      </c>
      <c r="P1004" t="str">
        <f t="shared" si="325"/>
        <v>Red</v>
      </c>
      <c r="Q1004" t="str">
        <f t="shared" si="326"/>
        <v>Red</v>
      </c>
      <c r="R1004" t="str">
        <f t="shared" si="327"/>
        <v>Green</v>
      </c>
      <c r="S1004" t="str">
        <f t="shared" si="328"/>
        <v>Red</v>
      </c>
      <c r="T1004" t="str">
        <f t="shared" si="329"/>
        <v>Green</v>
      </c>
      <c r="U1004" t="str">
        <f t="shared" si="330"/>
        <v>Green</v>
      </c>
      <c r="V1004" t="str">
        <f t="shared" si="331"/>
        <v>Red</v>
      </c>
      <c r="W1004" t="str">
        <f t="shared" si="332"/>
        <v>Red</v>
      </c>
      <c r="X1004" t="str">
        <f t="shared" si="333"/>
        <v>Green</v>
      </c>
      <c r="Y1004" t="str">
        <f t="shared" si="334"/>
        <v>Green</v>
      </c>
      <c r="Z1004" t="str">
        <f t="shared" si="335"/>
        <v>Green</v>
      </c>
      <c r="AA1004" t="str">
        <f t="shared" si="336"/>
        <v>Red</v>
      </c>
      <c r="AB1004" t="str">
        <f t="shared" si="337"/>
        <v>Green</v>
      </c>
      <c r="AC1004" t="str">
        <f t="shared" si="338"/>
        <v>Red</v>
      </c>
      <c r="AD1004" t="str">
        <f t="shared" si="339"/>
        <v>Green</v>
      </c>
    </row>
    <row r="1005" spans="1:30" x14ac:dyDescent="0.2">
      <c r="A1005" t="str">
        <f t="shared" si="320"/>
        <v>25/07/2026Perth RedStar WomenBalcatta Women</v>
      </c>
      <c r="B1005" t="s">
        <v>810</v>
      </c>
      <c r="D1005" s="2">
        <v>46228</v>
      </c>
      <c r="E1005" s="3">
        <v>0.375</v>
      </c>
      <c r="F1005" t="s">
        <v>2943</v>
      </c>
      <c r="G1005" t="s">
        <v>2944</v>
      </c>
      <c r="H1005">
        <v>0</v>
      </c>
      <c r="I1005">
        <v>3</v>
      </c>
      <c r="J1005">
        <v>1</v>
      </c>
      <c r="K1005">
        <v>5</v>
      </c>
      <c r="L1005" s="22" t="str">
        <f t="shared" si="321"/>
        <v>25/07/2026</v>
      </c>
      <c r="M1005" s="23">
        <f t="shared" si="322"/>
        <v>0.25</v>
      </c>
      <c r="N1005" t="str">
        <f t="shared" si="323"/>
        <v>1 - 5</v>
      </c>
      <c r="O1005" t="str">
        <f t="shared" si="324"/>
        <v>Red</v>
      </c>
      <c r="P1005" t="str">
        <f t="shared" si="325"/>
        <v>Red</v>
      </c>
      <c r="Q1005" t="str">
        <f t="shared" si="326"/>
        <v>Green</v>
      </c>
      <c r="R1005" t="str">
        <f t="shared" si="327"/>
        <v>Red</v>
      </c>
      <c r="S1005" t="str">
        <f t="shared" si="328"/>
        <v>Green</v>
      </c>
      <c r="T1005" t="str">
        <f t="shared" si="329"/>
        <v>Green</v>
      </c>
      <c r="U1005" t="str">
        <f t="shared" si="330"/>
        <v>Red</v>
      </c>
      <c r="V1005" t="str">
        <f t="shared" si="331"/>
        <v>Red</v>
      </c>
      <c r="W1005" t="str">
        <f t="shared" si="332"/>
        <v>Green</v>
      </c>
      <c r="X1005" t="str">
        <f t="shared" si="333"/>
        <v>Green</v>
      </c>
      <c r="Y1005" t="str">
        <f t="shared" si="334"/>
        <v>Green</v>
      </c>
      <c r="Z1005" t="str">
        <f t="shared" si="335"/>
        <v>Green</v>
      </c>
      <c r="AA1005" t="str">
        <f t="shared" si="336"/>
        <v>Red</v>
      </c>
      <c r="AB1005" t="str">
        <f t="shared" si="337"/>
        <v>Red</v>
      </c>
      <c r="AC1005" t="str">
        <f t="shared" si="338"/>
        <v>Green</v>
      </c>
      <c r="AD1005" t="str">
        <f t="shared" si="339"/>
        <v>Red</v>
      </c>
    </row>
    <row r="1006" spans="1:30" x14ac:dyDescent="0.2">
      <c r="A1006" t="str">
        <f t="shared" si="320"/>
        <v>25/07/2026Grange Thistle WomenCaboolture FC Women</v>
      </c>
      <c r="B1006" t="s">
        <v>810</v>
      </c>
      <c r="D1006" s="2">
        <v>46228</v>
      </c>
      <c r="E1006" s="3">
        <v>0.375</v>
      </c>
      <c r="F1006" t="s">
        <v>2957</v>
      </c>
      <c r="G1006" t="s">
        <v>2958</v>
      </c>
      <c r="H1006">
        <v>0</v>
      </c>
      <c r="I1006">
        <v>0</v>
      </c>
      <c r="J1006">
        <v>1</v>
      </c>
      <c r="K1006">
        <v>1</v>
      </c>
      <c r="L1006" s="22" t="str">
        <f t="shared" si="321"/>
        <v>25/07/2026</v>
      </c>
      <c r="M1006" s="23">
        <f t="shared" si="322"/>
        <v>0.25</v>
      </c>
      <c r="N1006" t="str">
        <f t="shared" si="323"/>
        <v>1 - 1</v>
      </c>
      <c r="O1006" t="str">
        <f t="shared" si="324"/>
        <v>Red</v>
      </c>
      <c r="P1006" t="str">
        <f t="shared" si="325"/>
        <v>Green</v>
      </c>
      <c r="Q1006" t="str">
        <f t="shared" si="326"/>
        <v>Red</v>
      </c>
      <c r="R1006" t="str">
        <f t="shared" si="327"/>
        <v>Green</v>
      </c>
      <c r="S1006" t="str">
        <f t="shared" si="328"/>
        <v>Green</v>
      </c>
      <c r="T1006" t="str">
        <f t="shared" si="329"/>
        <v>Red</v>
      </c>
      <c r="U1006" t="str">
        <f t="shared" si="330"/>
        <v>Red</v>
      </c>
      <c r="V1006" t="str">
        <f t="shared" si="331"/>
        <v>Green</v>
      </c>
      <c r="W1006" t="str">
        <f t="shared" si="332"/>
        <v>Red</v>
      </c>
      <c r="X1006" t="str">
        <f t="shared" si="333"/>
        <v>Red</v>
      </c>
      <c r="Y1006" t="str">
        <f t="shared" si="334"/>
        <v>Green</v>
      </c>
      <c r="Z1006" t="str">
        <f t="shared" si="335"/>
        <v>Red</v>
      </c>
      <c r="AA1006" t="str">
        <f t="shared" si="336"/>
        <v>Green</v>
      </c>
      <c r="AB1006" t="str">
        <f t="shared" si="337"/>
        <v>Green</v>
      </c>
      <c r="AC1006" t="str">
        <f t="shared" si="338"/>
        <v>Green</v>
      </c>
      <c r="AD1006" t="str">
        <f t="shared" si="339"/>
        <v>Red</v>
      </c>
    </row>
    <row r="1007" spans="1:30" x14ac:dyDescent="0.2">
      <c r="A1007" t="str">
        <f t="shared" ref="A1007:A1070" si="340">L1006&amp;F1007&amp;G1007</f>
        <v>25/07/2026Bankstown City Lions U20Bankstown Berries U20</v>
      </c>
      <c r="B1007" t="s">
        <v>810</v>
      </c>
      <c r="D1007" s="2">
        <v>46228</v>
      </c>
      <c r="E1007" s="3">
        <v>0.375</v>
      </c>
      <c r="F1007" t="s">
        <v>2973</v>
      </c>
      <c r="G1007" t="s">
        <v>2974</v>
      </c>
      <c r="H1007">
        <v>1</v>
      </c>
      <c r="I1007">
        <v>0</v>
      </c>
      <c r="J1007">
        <v>2</v>
      </c>
      <c r="K1007">
        <v>0</v>
      </c>
      <c r="L1007" s="22" t="str">
        <f t="shared" ref="L1007:L1070" si="341">DAY(D1007)&amp;"/"&amp;"07"&amp;"/"&amp;YEAR(D1007)</f>
        <v>25/07/2026</v>
      </c>
      <c r="M1007" s="23">
        <f t="shared" ref="M1007:M1070" si="342">E1007-TIME(3,0,0)</f>
        <v>0.25</v>
      </c>
      <c r="N1007" t="str">
        <f t="shared" ref="N1007:N1070" si="343">J1007&amp;" - "&amp;K1007</f>
        <v>2 - 0</v>
      </c>
      <c r="O1007" t="str">
        <f t="shared" si="324"/>
        <v>Green</v>
      </c>
      <c r="P1007" t="str">
        <f t="shared" si="325"/>
        <v>Red</v>
      </c>
      <c r="Q1007" t="str">
        <f t="shared" si="326"/>
        <v>Red</v>
      </c>
      <c r="R1007" t="str">
        <f t="shared" si="327"/>
        <v>Green</v>
      </c>
      <c r="S1007" t="str">
        <f t="shared" si="328"/>
        <v>Red</v>
      </c>
      <c r="T1007" t="str">
        <f t="shared" si="329"/>
        <v>Green</v>
      </c>
      <c r="U1007" t="str">
        <f t="shared" si="330"/>
        <v>Green</v>
      </c>
      <c r="V1007" t="str">
        <f t="shared" si="331"/>
        <v>Red</v>
      </c>
      <c r="W1007" t="str">
        <f t="shared" si="332"/>
        <v>Red</v>
      </c>
      <c r="X1007" t="str">
        <f t="shared" si="333"/>
        <v>Green</v>
      </c>
      <c r="Y1007" t="str">
        <f t="shared" si="334"/>
        <v>Green</v>
      </c>
      <c r="Z1007" t="str">
        <f t="shared" si="335"/>
        <v>Red</v>
      </c>
      <c r="AA1007" t="str">
        <f t="shared" si="336"/>
        <v>Green</v>
      </c>
      <c r="AB1007" t="str">
        <f t="shared" si="337"/>
        <v>Green</v>
      </c>
      <c r="AC1007" t="str">
        <f t="shared" si="338"/>
        <v>Red</v>
      </c>
      <c r="AD1007" t="str">
        <f t="shared" si="339"/>
        <v>Green</v>
      </c>
    </row>
    <row r="1008" spans="1:30" x14ac:dyDescent="0.2">
      <c r="A1008" t="str">
        <f t="shared" si="340"/>
        <v>25/07/2026Dulwich Hill U20Western City Rangers U20</v>
      </c>
      <c r="B1008" t="s">
        <v>810</v>
      </c>
      <c r="D1008" s="2">
        <v>46228</v>
      </c>
      <c r="E1008" s="3">
        <v>0.375</v>
      </c>
      <c r="F1008" t="s">
        <v>2975</v>
      </c>
      <c r="G1008" t="s">
        <v>2976</v>
      </c>
      <c r="H1008">
        <v>3</v>
      </c>
      <c r="I1008">
        <v>2</v>
      </c>
      <c r="J1008">
        <v>3</v>
      </c>
      <c r="K1008">
        <v>2</v>
      </c>
      <c r="L1008" s="22" t="str">
        <f t="shared" si="341"/>
        <v>25/07/2026</v>
      </c>
      <c r="M1008" s="23">
        <f t="shared" si="342"/>
        <v>0.25</v>
      </c>
      <c r="N1008" t="str">
        <f t="shared" si="343"/>
        <v>3 - 2</v>
      </c>
      <c r="O1008" t="str">
        <f t="shared" si="324"/>
        <v>Green</v>
      </c>
      <c r="P1008" t="str">
        <f t="shared" si="325"/>
        <v>Red</v>
      </c>
      <c r="Q1008" t="str">
        <f t="shared" si="326"/>
        <v>Red</v>
      </c>
      <c r="R1008" t="str">
        <f t="shared" si="327"/>
        <v>Green</v>
      </c>
      <c r="S1008" t="str">
        <f t="shared" si="328"/>
        <v>Red</v>
      </c>
      <c r="T1008" t="str">
        <f t="shared" si="329"/>
        <v>Green</v>
      </c>
      <c r="U1008" t="str">
        <f t="shared" si="330"/>
        <v>Green</v>
      </c>
      <c r="V1008" t="str">
        <f t="shared" si="331"/>
        <v>Red</v>
      </c>
      <c r="W1008" t="str">
        <f t="shared" si="332"/>
        <v>Red</v>
      </c>
      <c r="X1008" t="str">
        <f t="shared" si="333"/>
        <v>Green</v>
      </c>
      <c r="Y1008" t="str">
        <f t="shared" si="334"/>
        <v>Green</v>
      </c>
      <c r="Z1008" t="str">
        <f t="shared" si="335"/>
        <v>Green</v>
      </c>
      <c r="AA1008" t="str">
        <f t="shared" si="336"/>
        <v>Red</v>
      </c>
      <c r="AB1008" t="str">
        <f t="shared" si="337"/>
        <v>Red</v>
      </c>
      <c r="AC1008" t="str">
        <f t="shared" si="338"/>
        <v>Green</v>
      </c>
      <c r="AD1008" t="str">
        <f t="shared" si="339"/>
        <v>Red</v>
      </c>
    </row>
    <row r="1009" spans="1:30" x14ac:dyDescent="0.2">
      <c r="A1009" t="str">
        <f t="shared" si="340"/>
        <v>25/07/2026Inter Lions U20Prospect United U20</v>
      </c>
      <c r="B1009" t="s">
        <v>810</v>
      </c>
      <c r="D1009" s="2">
        <v>46228</v>
      </c>
      <c r="E1009" s="3">
        <v>0.375</v>
      </c>
      <c r="F1009" t="s">
        <v>2977</v>
      </c>
      <c r="G1009" t="s">
        <v>2978</v>
      </c>
      <c r="H1009">
        <v>0</v>
      </c>
      <c r="I1009">
        <v>2</v>
      </c>
      <c r="J1009">
        <v>1</v>
      </c>
      <c r="K1009">
        <v>4</v>
      </c>
      <c r="L1009" s="22" t="str">
        <f t="shared" si="341"/>
        <v>25/07/2026</v>
      </c>
      <c r="M1009" s="23">
        <f t="shared" si="342"/>
        <v>0.25</v>
      </c>
      <c r="N1009" t="str">
        <f t="shared" si="343"/>
        <v>1 - 4</v>
      </c>
      <c r="O1009" t="str">
        <f t="shared" si="324"/>
        <v>Red</v>
      </c>
      <c r="P1009" t="str">
        <f t="shared" si="325"/>
        <v>Red</v>
      </c>
      <c r="Q1009" t="str">
        <f t="shared" si="326"/>
        <v>Green</v>
      </c>
      <c r="R1009" t="str">
        <f t="shared" si="327"/>
        <v>Red</v>
      </c>
      <c r="S1009" t="str">
        <f t="shared" si="328"/>
        <v>Green</v>
      </c>
      <c r="T1009" t="str">
        <f t="shared" si="329"/>
        <v>Green</v>
      </c>
      <c r="U1009" t="str">
        <f t="shared" si="330"/>
        <v>Red</v>
      </c>
      <c r="V1009" t="str">
        <f t="shared" si="331"/>
        <v>Red</v>
      </c>
      <c r="W1009" t="str">
        <f t="shared" si="332"/>
        <v>Green</v>
      </c>
      <c r="X1009" t="str">
        <f t="shared" si="333"/>
        <v>Green</v>
      </c>
      <c r="Y1009" t="str">
        <f t="shared" si="334"/>
        <v>Green</v>
      </c>
      <c r="Z1009" t="str">
        <f t="shared" si="335"/>
        <v>Green</v>
      </c>
      <c r="AA1009" t="str">
        <f t="shared" si="336"/>
        <v>Red</v>
      </c>
      <c r="AB1009" t="str">
        <f t="shared" si="337"/>
        <v>Red</v>
      </c>
      <c r="AC1009" t="str">
        <f t="shared" si="338"/>
        <v>Green</v>
      </c>
      <c r="AD1009" t="str">
        <f t="shared" si="339"/>
        <v>Red</v>
      </c>
    </row>
    <row r="1010" spans="1:30" x14ac:dyDescent="0.2">
      <c r="A1010" t="str">
        <f t="shared" si="340"/>
        <v>25/07/2026Newcastle Jets U20Hills Brumbies U20</v>
      </c>
      <c r="B1010" t="s">
        <v>810</v>
      </c>
      <c r="D1010" s="2">
        <v>46228</v>
      </c>
      <c r="E1010" s="3">
        <v>0.375</v>
      </c>
      <c r="F1010" t="s">
        <v>2979</v>
      </c>
      <c r="G1010" t="s">
        <v>2980</v>
      </c>
      <c r="H1010">
        <v>0</v>
      </c>
      <c r="I1010">
        <v>0</v>
      </c>
      <c r="J1010">
        <v>0</v>
      </c>
      <c r="K1010">
        <v>1</v>
      </c>
      <c r="L1010" s="22" t="str">
        <f t="shared" si="341"/>
        <v>25/07/2026</v>
      </c>
      <c r="M1010" s="23">
        <f t="shared" si="342"/>
        <v>0.25</v>
      </c>
      <c r="N1010" t="str">
        <f t="shared" si="343"/>
        <v>0 - 1</v>
      </c>
      <c r="O1010" t="str">
        <f t="shared" si="324"/>
        <v>Red</v>
      </c>
      <c r="P1010" t="str">
        <f t="shared" si="325"/>
        <v>Red</v>
      </c>
      <c r="Q1010" t="str">
        <f t="shared" si="326"/>
        <v>Green</v>
      </c>
      <c r="R1010" t="str">
        <f t="shared" si="327"/>
        <v>Red</v>
      </c>
      <c r="S1010" t="str">
        <f t="shared" si="328"/>
        <v>Green</v>
      </c>
      <c r="T1010" t="str">
        <f t="shared" si="329"/>
        <v>Green</v>
      </c>
      <c r="U1010" t="str">
        <f t="shared" si="330"/>
        <v>Red</v>
      </c>
      <c r="V1010" t="str">
        <f t="shared" si="331"/>
        <v>Green</v>
      </c>
      <c r="W1010" t="str">
        <f t="shared" si="332"/>
        <v>Red</v>
      </c>
      <c r="X1010" t="str">
        <f t="shared" si="333"/>
        <v>Red</v>
      </c>
      <c r="Y1010" t="str">
        <f t="shared" si="334"/>
        <v>Red</v>
      </c>
      <c r="Z1010" t="str">
        <f t="shared" si="335"/>
        <v>Red</v>
      </c>
      <c r="AA1010" t="str">
        <f t="shared" si="336"/>
        <v>Green</v>
      </c>
      <c r="AB1010" t="str">
        <f t="shared" si="337"/>
        <v>Green</v>
      </c>
      <c r="AC1010" t="str">
        <f t="shared" si="338"/>
        <v>Red</v>
      </c>
      <c r="AD1010" t="str">
        <f t="shared" si="339"/>
        <v>Green</v>
      </c>
    </row>
    <row r="1011" spans="1:30" x14ac:dyDescent="0.2">
      <c r="A1011" t="str">
        <f t="shared" si="340"/>
        <v>25/07/2026SD Raiders FC U20Marconi Stallions U20</v>
      </c>
      <c r="B1011" t="s">
        <v>810</v>
      </c>
      <c r="D1011" s="2">
        <v>46228</v>
      </c>
      <c r="E1011" s="3">
        <v>0.375</v>
      </c>
      <c r="F1011" t="s">
        <v>2981</v>
      </c>
      <c r="G1011" t="s">
        <v>2982</v>
      </c>
      <c r="H1011">
        <v>1</v>
      </c>
      <c r="I1011">
        <v>0</v>
      </c>
      <c r="J1011">
        <v>1</v>
      </c>
      <c r="K1011">
        <v>2</v>
      </c>
      <c r="L1011" s="22" t="str">
        <f t="shared" si="341"/>
        <v>25/07/2026</v>
      </c>
      <c r="M1011" s="23">
        <f t="shared" si="342"/>
        <v>0.25</v>
      </c>
      <c r="N1011" t="str">
        <f t="shared" si="343"/>
        <v>1 - 2</v>
      </c>
      <c r="O1011" t="str">
        <f t="shared" si="324"/>
        <v>Red</v>
      </c>
      <c r="P1011" t="str">
        <f t="shared" si="325"/>
        <v>Red</v>
      </c>
      <c r="Q1011" t="str">
        <f t="shared" si="326"/>
        <v>Green</v>
      </c>
      <c r="R1011" t="str">
        <f t="shared" si="327"/>
        <v>Red</v>
      </c>
      <c r="S1011" t="str">
        <f t="shared" si="328"/>
        <v>Green</v>
      </c>
      <c r="T1011" t="str">
        <f t="shared" si="329"/>
        <v>Green</v>
      </c>
      <c r="U1011" t="str">
        <f t="shared" si="330"/>
        <v>Green</v>
      </c>
      <c r="V1011" t="str">
        <f t="shared" si="331"/>
        <v>Red</v>
      </c>
      <c r="W1011" t="str">
        <f t="shared" si="332"/>
        <v>Red</v>
      </c>
      <c r="X1011" t="str">
        <f t="shared" si="333"/>
        <v>Green</v>
      </c>
      <c r="Y1011" t="str">
        <f t="shared" si="334"/>
        <v>Green</v>
      </c>
      <c r="Z1011" t="str">
        <f t="shared" si="335"/>
        <v>Green</v>
      </c>
      <c r="AA1011" t="str">
        <f t="shared" si="336"/>
        <v>Red</v>
      </c>
      <c r="AB1011" t="str">
        <f t="shared" si="337"/>
        <v>Green</v>
      </c>
      <c r="AC1011" t="str">
        <f t="shared" si="338"/>
        <v>Green</v>
      </c>
      <c r="AD1011" t="str">
        <f t="shared" si="339"/>
        <v>Red</v>
      </c>
    </row>
    <row r="1012" spans="1:30" x14ac:dyDescent="0.2">
      <c r="A1012" t="str">
        <f t="shared" si="340"/>
        <v>25/07/2026Nike WomenZFK Dragon Women</v>
      </c>
      <c r="D1012" s="2">
        <v>46228</v>
      </c>
      <c r="E1012" s="3">
        <v>0.375</v>
      </c>
      <c r="F1012" t="s">
        <v>1678</v>
      </c>
      <c r="G1012" t="s">
        <v>1589</v>
      </c>
      <c r="H1012">
        <v>1</v>
      </c>
      <c r="I1012">
        <v>0</v>
      </c>
      <c r="J1012">
        <v>2</v>
      </c>
      <c r="K1012">
        <v>0</v>
      </c>
      <c r="L1012" s="22" t="str">
        <f t="shared" si="341"/>
        <v>25/07/2026</v>
      </c>
      <c r="M1012" s="23">
        <f t="shared" si="342"/>
        <v>0.25</v>
      </c>
      <c r="N1012" t="str">
        <f t="shared" si="343"/>
        <v>2 - 0</v>
      </c>
      <c r="O1012" t="str">
        <f t="shared" si="324"/>
        <v>Green</v>
      </c>
      <c r="P1012" t="str">
        <f t="shared" si="325"/>
        <v>Red</v>
      </c>
      <c r="Q1012" t="str">
        <f t="shared" si="326"/>
        <v>Red</v>
      </c>
      <c r="R1012" t="str">
        <f t="shared" si="327"/>
        <v>Green</v>
      </c>
      <c r="S1012" t="str">
        <f t="shared" si="328"/>
        <v>Red</v>
      </c>
      <c r="T1012" t="str">
        <f t="shared" si="329"/>
        <v>Green</v>
      </c>
      <c r="U1012" t="str">
        <f t="shared" si="330"/>
        <v>Green</v>
      </c>
      <c r="V1012" t="str">
        <f t="shared" si="331"/>
        <v>Red</v>
      </c>
      <c r="W1012" t="str">
        <f t="shared" si="332"/>
        <v>Red</v>
      </c>
      <c r="X1012" t="str">
        <f t="shared" si="333"/>
        <v>Green</v>
      </c>
      <c r="Y1012" t="str">
        <f t="shared" si="334"/>
        <v>Green</v>
      </c>
      <c r="Z1012" t="str">
        <f t="shared" si="335"/>
        <v>Red</v>
      </c>
      <c r="AA1012" t="str">
        <f t="shared" si="336"/>
        <v>Green</v>
      </c>
      <c r="AB1012" t="str">
        <f t="shared" si="337"/>
        <v>Green</v>
      </c>
      <c r="AC1012" t="str">
        <f t="shared" si="338"/>
        <v>Red</v>
      </c>
      <c r="AD1012" t="str">
        <f t="shared" si="339"/>
        <v>Green</v>
      </c>
    </row>
    <row r="1013" spans="1:30" x14ac:dyDescent="0.2">
      <c r="A1013" t="str">
        <f t="shared" si="340"/>
        <v>25/07/2026Aaland United WomenVIFK Vaasa Women</v>
      </c>
      <c r="D1013" s="2">
        <v>46228</v>
      </c>
      <c r="E1013" s="3">
        <v>0.375</v>
      </c>
      <c r="F1013" t="s">
        <v>3252</v>
      </c>
      <c r="G1013" t="s">
        <v>3253</v>
      </c>
      <c r="H1013">
        <v>2</v>
      </c>
      <c r="I1013">
        <v>0</v>
      </c>
      <c r="J1013">
        <v>6</v>
      </c>
      <c r="K1013">
        <v>1</v>
      </c>
      <c r="L1013" s="22" t="str">
        <f t="shared" si="341"/>
        <v>25/07/2026</v>
      </c>
      <c r="M1013" s="23">
        <f t="shared" si="342"/>
        <v>0.25</v>
      </c>
      <c r="N1013" t="str">
        <f t="shared" si="343"/>
        <v>6 - 1</v>
      </c>
      <c r="O1013" t="str">
        <f t="shared" si="324"/>
        <v>Green</v>
      </c>
      <c r="P1013" t="str">
        <f t="shared" si="325"/>
        <v>Red</v>
      </c>
      <c r="Q1013" t="str">
        <f t="shared" si="326"/>
        <v>Red</v>
      </c>
      <c r="R1013" t="str">
        <f t="shared" si="327"/>
        <v>Green</v>
      </c>
      <c r="S1013" t="str">
        <f t="shared" si="328"/>
        <v>Red</v>
      </c>
      <c r="T1013" t="str">
        <f t="shared" si="329"/>
        <v>Green</v>
      </c>
      <c r="U1013" t="str">
        <f t="shared" si="330"/>
        <v>Green</v>
      </c>
      <c r="V1013" t="str">
        <f t="shared" si="331"/>
        <v>Red</v>
      </c>
      <c r="W1013" t="str">
        <f t="shared" si="332"/>
        <v>Red</v>
      </c>
      <c r="X1013" t="str">
        <f t="shared" si="333"/>
        <v>Green</v>
      </c>
      <c r="Y1013" t="str">
        <f t="shared" si="334"/>
        <v>Green</v>
      </c>
      <c r="Z1013" t="str">
        <f t="shared" si="335"/>
        <v>Green</v>
      </c>
      <c r="AA1013" t="str">
        <f t="shared" si="336"/>
        <v>Red</v>
      </c>
      <c r="AB1013" t="str">
        <f t="shared" si="337"/>
        <v>Red</v>
      </c>
      <c r="AC1013" t="str">
        <f t="shared" si="338"/>
        <v>Green</v>
      </c>
      <c r="AD1013" t="str">
        <f t="shared" si="339"/>
        <v>Red</v>
      </c>
    </row>
    <row r="1014" spans="1:30" x14ac:dyDescent="0.2">
      <c r="A1014" t="str">
        <f t="shared" si="340"/>
        <v>25/07/2026Nyiregyhaza Spartacus IIDiosgyori VTK II</v>
      </c>
      <c r="D1014" s="2">
        <v>46228</v>
      </c>
      <c r="E1014" s="3">
        <v>0.375</v>
      </c>
      <c r="F1014" t="s">
        <v>3317</v>
      </c>
      <c r="G1014" t="s">
        <v>3318</v>
      </c>
      <c r="H1014">
        <v>1</v>
      </c>
      <c r="I1014">
        <v>0</v>
      </c>
      <c r="J1014">
        <v>3</v>
      </c>
      <c r="K1014">
        <v>1</v>
      </c>
      <c r="L1014" s="22" t="str">
        <f t="shared" si="341"/>
        <v>25/07/2026</v>
      </c>
      <c r="M1014" s="23">
        <f t="shared" si="342"/>
        <v>0.25</v>
      </c>
      <c r="N1014" t="str">
        <f t="shared" si="343"/>
        <v>3 - 1</v>
      </c>
      <c r="O1014" t="str">
        <f t="shared" si="324"/>
        <v>Green</v>
      </c>
      <c r="P1014" t="str">
        <f t="shared" si="325"/>
        <v>Red</v>
      </c>
      <c r="Q1014" t="str">
        <f t="shared" si="326"/>
        <v>Red</v>
      </c>
      <c r="R1014" t="str">
        <f t="shared" si="327"/>
        <v>Green</v>
      </c>
      <c r="S1014" t="str">
        <f t="shared" si="328"/>
        <v>Red</v>
      </c>
      <c r="T1014" t="str">
        <f t="shared" si="329"/>
        <v>Green</v>
      </c>
      <c r="U1014" t="str">
        <f t="shared" si="330"/>
        <v>Green</v>
      </c>
      <c r="V1014" t="str">
        <f t="shared" si="331"/>
        <v>Red</v>
      </c>
      <c r="W1014" t="str">
        <f t="shared" si="332"/>
        <v>Red</v>
      </c>
      <c r="X1014" t="str">
        <f t="shared" si="333"/>
        <v>Green</v>
      </c>
      <c r="Y1014" t="str">
        <f t="shared" si="334"/>
        <v>Green</v>
      </c>
      <c r="Z1014" t="str">
        <f t="shared" si="335"/>
        <v>Green</v>
      </c>
      <c r="AA1014" t="str">
        <f t="shared" si="336"/>
        <v>Red</v>
      </c>
      <c r="AB1014" t="str">
        <f t="shared" si="337"/>
        <v>Red</v>
      </c>
      <c r="AC1014" t="str">
        <f t="shared" si="338"/>
        <v>Green</v>
      </c>
      <c r="AD1014" t="str">
        <f t="shared" si="339"/>
        <v>Red</v>
      </c>
    </row>
    <row r="1015" spans="1:30" x14ac:dyDescent="0.2">
      <c r="A1015" t="str">
        <f t="shared" si="340"/>
        <v>25/07/2026PocheonDaejeon Korail</v>
      </c>
      <c r="D1015" s="2">
        <v>46228</v>
      </c>
      <c r="E1015" s="3">
        <v>0.375</v>
      </c>
      <c r="F1015" t="s">
        <v>3645</v>
      </c>
      <c r="G1015" t="s">
        <v>3646</v>
      </c>
      <c r="H1015">
        <v>1</v>
      </c>
      <c r="I1015">
        <v>1</v>
      </c>
      <c r="J1015">
        <v>1</v>
      </c>
      <c r="K1015">
        <v>1</v>
      </c>
      <c r="L1015" s="22" t="str">
        <f t="shared" si="341"/>
        <v>25/07/2026</v>
      </c>
      <c r="M1015" s="23">
        <f t="shared" si="342"/>
        <v>0.25</v>
      </c>
      <c r="N1015" t="str">
        <f t="shared" si="343"/>
        <v>1 - 1</v>
      </c>
      <c r="O1015" t="str">
        <f t="shared" si="324"/>
        <v>Red</v>
      </c>
      <c r="P1015" t="str">
        <f t="shared" si="325"/>
        <v>Green</v>
      </c>
      <c r="Q1015" t="str">
        <f t="shared" si="326"/>
        <v>Red</v>
      </c>
      <c r="R1015" t="str">
        <f t="shared" si="327"/>
        <v>Green</v>
      </c>
      <c r="S1015" t="str">
        <f t="shared" si="328"/>
        <v>Green</v>
      </c>
      <c r="T1015" t="str">
        <f t="shared" si="329"/>
        <v>Red</v>
      </c>
      <c r="U1015" t="str">
        <f t="shared" si="330"/>
        <v>Red</v>
      </c>
      <c r="V1015" t="str">
        <f t="shared" si="331"/>
        <v>Green</v>
      </c>
      <c r="W1015" t="str">
        <f t="shared" si="332"/>
        <v>Red</v>
      </c>
      <c r="X1015" t="str">
        <f t="shared" si="333"/>
        <v>Green</v>
      </c>
      <c r="Y1015" t="str">
        <f t="shared" si="334"/>
        <v>Green</v>
      </c>
      <c r="Z1015" t="str">
        <f t="shared" si="335"/>
        <v>Red</v>
      </c>
      <c r="AA1015" t="str">
        <f t="shared" si="336"/>
        <v>Green</v>
      </c>
      <c r="AB1015" t="str">
        <f t="shared" si="337"/>
        <v>Green</v>
      </c>
      <c r="AC1015" t="str">
        <f t="shared" si="338"/>
        <v>Green</v>
      </c>
      <c r="AD1015" t="str">
        <f t="shared" si="339"/>
        <v>Red</v>
      </c>
    </row>
    <row r="1016" spans="1:30" x14ac:dyDescent="0.2">
      <c r="A1016" t="str">
        <f t="shared" si="340"/>
        <v>25/07/2026Agrobiznes VolochyskSC Poltava</v>
      </c>
      <c r="D1016" s="2">
        <v>46228</v>
      </c>
      <c r="E1016" s="3">
        <v>0.375</v>
      </c>
      <c r="F1016" t="s">
        <v>3678</v>
      </c>
      <c r="G1016" t="s">
        <v>3679</v>
      </c>
      <c r="H1016">
        <v>0</v>
      </c>
      <c r="I1016">
        <v>0</v>
      </c>
      <c r="J1016">
        <v>0</v>
      </c>
      <c r="K1016">
        <v>3</v>
      </c>
      <c r="L1016" s="22" t="str">
        <f t="shared" si="341"/>
        <v>25/07/2026</v>
      </c>
      <c r="M1016" s="23">
        <f t="shared" si="342"/>
        <v>0.25</v>
      </c>
      <c r="N1016" t="str">
        <f t="shared" si="343"/>
        <v>0 - 3</v>
      </c>
      <c r="O1016" t="str">
        <f t="shared" si="324"/>
        <v>Red</v>
      </c>
      <c r="P1016" t="str">
        <f t="shared" si="325"/>
        <v>Red</v>
      </c>
      <c r="Q1016" t="str">
        <f t="shared" si="326"/>
        <v>Green</v>
      </c>
      <c r="R1016" t="str">
        <f t="shared" si="327"/>
        <v>Red</v>
      </c>
      <c r="S1016" t="str">
        <f t="shared" si="328"/>
        <v>Green</v>
      </c>
      <c r="T1016" t="str">
        <f t="shared" si="329"/>
        <v>Green</v>
      </c>
      <c r="U1016" t="str">
        <f t="shared" si="330"/>
        <v>Red</v>
      </c>
      <c r="V1016" t="str">
        <f t="shared" si="331"/>
        <v>Green</v>
      </c>
      <c r="W1016" t="str">
        <f t="shared" si="332"/>
        <v>Red</v>
      </c>
      <c r="X1016" t="str">
        <f t="shared" si="333"/>
        <v>Red</v>
      </c>
      <c r="Y1016" t="str">
        <f t="shared" si="334"/>
        <v>Green</v>
      </c>
      <c r="Z1016" t="str">
        <f t="shared" si="335"/>
        <v>Green</v>
      </c>
      <c r="AA1016" t="str">
        <f t="shared" si="336"/>
        <v>Red</v>
      </c>
      <c r="AB1016" t="str">
        <f t="shared" si="337"/>
        <v>Green</v>
      </c>
      <c r="AC1016" t="str">
        <f t="shared" si="338"/>
        <v>Red</v>
      </c>
      <c r="AD1016" t="str">
        <f t="shared" si="339"/>
        <v>Green</v>
      </c>
    </row>
    <row r="1017" spans="1:30" x14ac:dyDescent="0.2">
      <c r="A1017" t="str">
        <f t="shared" si="340"/>
        <v>25/07/2026Chainat HornbillLopburi City</v>
      </c>
      <c r="D1017" s="2">
        <v>46228</v>
      </c>
      <c r="E1017" s="3">
        <v>0.375</v>
      </c>
      <c r="F1017" t="s">
        <v>3751</v>
      </c>
      <c r="G1017" t="s">
        <v>3752</v>
      </c>
      <c r="H1017">
        <v>1</v>
      </c>
      <c r="I1017">
        <v>1</v>
      </c>
      <c r="J1017">
        <v>1</v>
      </c>
      <c r="K1017">
        <v>1</v>
      </c>
      <c r="L1017" s="22" t="str">
        <f t="shared" si="341"/>
        <v>25/07/2026</v>
      </c>
      <c r="M1017" s="23">
        <f t="shared" si="342"/>
        <v>0.25</v>
      </c>
      <c r="N1017" t="str">
        <f t="shared" si="343"/>
        <v>1 - 1</v>
      </c>
      <c r="O1017" t="str">
        <f t="shared" si="324"/>
        <v>Red</v>
      </c>
      <c r="P1017" t="str">
        <f t="shared" si="325"/>
        <v>Green</v>
      </c>
      <c r="Q1017" t="str">
        <f t="shared" si="326"/>
        <v>Red</v>
      </c>
      <c r="R1017" t="str">
        <f t="shared" si="327"/>
        <v>Green</v>
      </c>
      <c r="S1017" t="str">
        <f t="shared" si="328"/>
        <v>Green</v>
      </c>
      <c r="T1017" t="str">
        <f t="shared" si="329"/>
        <v>Red</v>
      </c>
      <c r="U1017" t="str">
        <f t="shared" si="330"/>
        <v>Red</v>
      </c>
      <c r="V1017" t="str">
        <f t="shared" si="331"/>
        <v>Green</v>
      </c>
      <c r="W1017" t="str">
        <f t="shared" si="332"/>
        <v>Red</v>
      </c>
      <c r="X1017" t="str">
        <f t="shared" si="333"/>
        <v>Green</v>
      </c>
      <c r="Y1017" t="str">
        <f t="shared" si="334"/>
        <v>Green</v>
      </c>
      <c r="Z1017" t="str">
        <f t="shared" si="335"/>
        <v>Red</v>
      </c>
      <c r="AA1017" t="str">
        <f t="shared" si="336"/>
        <v>Green</v>
      </c>
      <c r="AB1017" t="str">
        <f t="shared" si="337"/>
        <v>Green</v>
      </c>
      <c r="AC1017" t="str">
        <f t="shared" si="338"/>
        <v>Green</v>
      </c>
      <c r="AD1017" t="str">
        <f t="shared" si="339"/>
        <v>Red</v>
      </c>
    </row>
    <row r="1018" spans="1:30" x14ac:dyDescent="0.2">
      <c r="A1018" t="str">
        <f t="shared" si="340"/>
        <v>25/07/2026FC LangenthalFC Rotkreuz</v>
      </c>
      <c r="D1018" s="2">
        <v>46228</v>
      </c>
      <c r="E1018" s="3">
        <v>0.375</v>
      </c>
      <c r="F1018" t="s">
        <v>3753</v>
      </c>
      <c r="G1018" t="s">
        <v>3754</v>
      </c>
      <c r="L1018" s="22" t="str">
        <f t="shared" si="341"/>
        <v>25/07/2026</v>
      </c>
      <c r="M1018" s="23">
        <f t="shared" si="342"/>
        <v>0.25</v>
      </c>
      <c r="N1018" t="str">
        <f t="shared" si="343"/>
        <v xml:space="preserve"> - </v>
      </c>
      <c r="O1018" t="str">
        <f t="shared" si="324"/>
        <v>Red</v>
      </c>
      <c r="P1018" t="str">
        <f t="shared" si="325"/>
        <v>Green</v>
      </c>
      <c r="Q1018" t="str">
        <f t="shared" si="326"/>
        <v>Red</v>
      </c>
      <c r="R1018" t="str">
        <f t="shared" si="327"/>
        <v>Green</v>
      </c>
      <c r="S1018" t="str">
        <f t="shared" si="328"/>
        <v>Green</v>
      </c>
      <c r="T1018" t="str">
        <f t="shared" si="329"/>
        <v>Red</v>
      </c>
      <c r="U1018" t="str">
        <f t="shared" si="330"/>
        <v>Red</v>
      </c>
      <c r="V1018" t="str">
        <f t="shared" si="331"/>
        <v>Green</v>
      </c>
      <c r="W1018" t="str">
        <f t="shared" si="332"/>
        <v>Red</v>
      </c>
      <c r="X1018" t="str">
        <f t="shared" si="333"/>
        <v>Red</v>
      </c>
      <c r="Y1018" t="str">
        <f t="shared" si="334"/>
        <v>Red</v>
      </c>
      <c r="Z1018" t="str">
        <f t="shared" si="335"/>
        <v>Red</v>
      </c>
      <c r="AA1018" t="str">
        <f t="shared" si="336"/>
        <v>Green</v>
      </c>
      <c r="AB1018" t="str">
        <f t="shared" si="337"/>
        <v>Green</v>
      </c>
      <c r="AC1018" t="str">
        <f t="shared" si="338"/>
        <v>Red</v>
      </c>
      <c r="AD1018" t="str">
        <f t="shared" si="339"/>
        <v>Green</v>
      </c>
    </row>
    <row r="1019" spans="1:30" x14ac:dyDescent="0.2">
      <c r="A1019" t="str">
        <f t="shared" si="340"/>
        <v>25/07/2026KaiserslauternFC Sudtirol</v>
      </c>
      <c r="D1019" s="2">
        <v>46228</v>
      </c>
      <c r="E1019" s="3">
        <v>0.375</v>
      </c>
      <c r="F1019" t="s">
        <v>3755</v>
      </c>
      <c r="G1019" t="s">
        <v>3756</v>
      </c>
      <c r="H1019">
        <v>0</v>
      </c>
      <c r="I1019">
        <v>0</v>
      </c>
      <c r="J1019">
        <v>0</v>
      </c>
      <c r="K1019">
        <v>0</v>
      </c>
      <c r="L1019" s="22" t="str">
        <f t="shared" si="341"/>
        <v>25/07/2026</v>
      </c>
      <c r="M1019" s="23">
        <f t="shared" si="342"/>
        <v>0.25</v>
      </c>
      <c r="N1019" t="str">
        <f t="shared" si="343"/>
        <v>0 - 0</v>
      </c>
      <c r="O1019" t="str">
        <f t="shared" si="324"/>
        <v>Red</v>
      </c>
      <c r="P1019" t="str">
        <f t="shared" si="325"/>
        <v>Green</v>
      </c>
      <c r="Q1019" t="str">
        <f t="shared" si="326"/>
        <v>Red</v>
      </c>
      <c r="R1019" t="str">
        <f t="shared" si="327"/>
        <v>Green</v>
      </c>
      <c r="S1019" t="str">
        <f t="shared" si="328"/>
        <v>Green</v>
      </c>
      <c r="T1019" t="str">
        <f t="shared" si="329"/>
        <v>Red</v>
      </c>
      <c r="U1019" t="str">
        <f t="shared" si="330"/>
        <v>Red</v>
      </c>
      <c r="V1019" t="str">
        <f t="shared" si="331"/>
        <v>Green</v>
      </c>
      <c r="W1019" t="str">
        <f t="shared" si="332"/>
        <v>Red</v>
      </c>
      <c r="X1019" t="str">
        <f t="shared" si="333"/>
        <v>Red</v>
      </c>
      <c r="Y1019" t="str">
        <f t="shared" si="334"/>
        <v>Red</v>
      </c>
      <c r="Z1019" t="str">
        <f t="shared" si="335"/>
        <v>Red</v>
      </c>
      <c r="AA1019" t="str">
        <f t="shared" si="336"/>
        <v>Green</v>
      </c>
      <c r="AB1019" t="str">
        <f t="shared" si="337"/>
        <v>Green</v>
      </c>
      <c r="AC1019" t="str">
        <f t="shared" si="338"/>
        <v>Red</v>
      </c>
      <c r="AD1019" t="str">
        <f t="shared" si="339"/>
        <v>Green</v>
      </c>
    </row>
    <row r="1020" spans="1:30" x14ac:dyDescent="0.2">
      <c r="A1020" t="str">
        <f t="shared" si="340"/>
        <v>25/07/2026KV KortrijkRoyal Knokke</v>
      </c>
      <c r="D1020" s="2">
        <v>46228</v>
      </c>
      <c r="E1020" s="3">
        <v>0.375</v>
      </c>
      <c r="F1020" t="s">
        <v>3757</v>
      </c>
      <c r="G1020" t="s">
        <v>3758</v>
      </c>
      <c r="H1020">
        <v>1</v>
      </c>
      <c r="I1020">
        <v>0</v>
      </c>
      <c r="J1020">
        <v>4</v>
      </c>
      <c r="K1020">
        <v>1</v>
      </c>
      <c r="L1020" s="22" t="str">
        <f t="shared" si="341"/>
        <v>25/07/2026</v>
      </c>
      <c r="M1020" s="23">
        <f t="shared" si="342"/>
        <v>0.25</v>
      </c>
      <c r="N1020" t="str">
        <f t="shared" si="343"/>
        <v>4 - 1</v>
      </c>
      <c r="O1020" t="str">
        <f t="shared" si="324"/>
        <v>Green</v>
      </c>
      <c r="P1020" t="str">
        <f t="shared" si="325"/>
        <v>Red</v>
      </c>
      <c r="Q1020" t="str">
        <f t="shared" si="326"/>
        <v>Red</v>
      </c>
      <c r="R1020" t="str">
        <f t="shared" si="327"/>
        <v>Green</v>
      </c>
      <c r="S1020" t="str">
        <f t="shared" si="328"/>
        <v>Red</v>
      </c>
      <c r="T1020" t="str">
        <f t="shared" si="329"/>
        <v>Green</v>
      </c>
      <c r="U1020" t="str">
        <f t="shared" si="330"/>
        <v>Green</v>
      </c>
      <c r="V1020" t="str">
        <f t="shared" si="331"/>
        <v>Red</v>
      </c>
      <c r="W1020" t="str">
        <f t="shared" si="332"/>
        <v>Red</v>
      </c>
      <c r="X1020" t="str">
        <f t="shared" si="333"/>
        <v>Green</v>
      </c>
      <c r="Y1020" t="str">
        <f t="shared" si="334"/>
        <v>Green</v>
      </c>
      <c r="Z1020" t="str">
        <f t="shared" si="335"/>
        <v>Green</v>
      </c>
      <c r="AA1020" t="str">
        <f t="shared" si="336"/>
        <v>Red</v>
      </c>
      <c r="AB1020" t="str">
        <f t="shared" si="337"/>
        <v>Red</v>
      </c>
      <c r="AC1020" t="str">
        <f t="shared" si="338"/>
        <v>Green</v>
      </c>
      <c r="AD1020" t="str">
        <f t="shared" si="339"/>
        <v>Red</v>
      </c>
    </row>
    <row r="1021" spans="1:30" x14ac:dyDescent="0.2">
      <c r="A1021" t="str">
        <f t="shared" si="340"/>
        <v>25/07/2026LavalConcarneau</v>
      </c>
      <c r="D1021" s="2">
        <v>46228</v>
      </c>
      <c r="E1021" s="3">
        <v>0.375</v>
      </c>
      <c r="F1021" t="s">
        <v>1703</v>
      </c>
      <c r="G1021" t="s">
        <v>1652</v>
      </c>
      <c r="H1021">
        <v>1</v>
      </c>
      <c r="I1021">
        <v>1</v>
      </c>
      <c r="J1021">
        <v>1</v>
      </c>
      <c r="K1021">
        <v>2</v>
      </c>
      <c r="L1021" s="22" t="str">
        <f t="shared" si="341"/>
        <v>25/07/2026</v>
      </c>
      <c r="M1021" s="23">
        <f t="shared" si="342"/>
        <v>0.25</v>
      </c>
      <c r="N1021" t="str">
        <f t="shared" si="343"/>
        <v>1 - 2</v>
      </c>
      <c r="O1021" t="str">
        <f t="shared" si="324"/>
        <v>Red</v>
      </c>
      <c r="P1021" t="str">
        <f t="shared" si="325"/>
        <v>Red</v>
      </c>
      <c r="Q1021" t="str">
        <f t="shared" si="326"/>
        <v>Green</v>
      </c>
      <c r="R1021" t="str">
        <f t="shared" si="327"/>
        <v>Red</v>
      </c>
      <c r="S1021" t="str">
        <f t="shared" si="328"/>
        <v>Green</v>
      </c>
      <c r="T1021" t="str">
        <f t="shared" si="329"/>
        <v>Green</v>
      </c>
      <c r="U1021" t="str">
        <f t="shared" si="330"/>
        <v>Red</v>
      </c>
      <c r="V1021" t="str">
        <f t="shared" si="331"/>
        <v>Green</v>
      </c>
      <c r="W1021" t="str">
        <f t="shared" si="332"/>
        <v>Red</v>
      </c>
      <c r="X1021" t="str">
        <f t="shared" si="333"/>
        <v>Green</v>
      </c>
      <c r="Y1021" t="str">
        <f t="shared" si="334"/>
        <v>Green</v>
      </c>
      <c r="Z1021" t="str">
        <f t="shared" si="335"/>
        <v>Green</v>
      </c>
      <c r="AA1021" t="str">
        <f t="shared" si="336"/>
        <v>Red</v>
      </c>
      <c r="AB1021" t="str">
        <f t="shared" si="337"/>
        <v>Green</v>
      </c>
      <c r="AC1021" t="str">
        <f t="shared" si="338"/>
        <v>Green</v>
      </c>
      <c r="AD1021" t="str">
        <f t="shared" si="339"/>
        <v>Red</v>
      </c>
    </row>
    <row r="1022" spans="1:30" x14ac:dyDescent="0.2">
      <c r="A1022" t="str">
        <f t="shared" si="340"/>
        <v>25/07/2026Luton TownAl Kholood</v>
      </c>
      <c r="D1022" s="2">
        <v>46228</v>
      </c>
      <c r="E1022" s="3">
        <v>0.375</v>
      </c>
      <c r="F1022" t="s">
        <v>3759</v>
      </c>
      <c r="G1022" t="s">
        <v>1468</v>
      </c>
      <c r="H1022">
        <v>1</v>
      </c>
      <c r="I1022">
        <v>0</v>
      </c>
      <c r="J1022">
        <v>2</v>
      </c>
      <c r="K1022">
        <v>0</v>
      </c>
      <c r="L1022" s="22" t="str">
        <f t="shared" si="341"/>
        <v>25/07/2026</v>
      </c>
      <c r="M1022" s="23">
        <f t="shared" si="342"/>
        <v>0.25</v>
      </c>
      <c r="N1022" t="str">
        <f t="shared" si="343"/>
        <v>2 - 0</v>
      </c>
      <c r="O1022" t="str">
        <f t="shared" si="324"/>
        <v>Green</v>
      </c>
      <c r="P1022" t="str">
        <f t="shared" si="325"/>
        <v>Red</v>
      </c>
      <c r="Q1022" t="str">
        <f t="shared" si="326"/>
        <v>Red</v>
      </c>
      <c r="R1022" t="str">
        <f t="shared" si="327"/>
        <v>Green</v>
      </c>
      <c r="S1022" t="str">
        <f t="shared" si="328"/>
        <v>Red</v>
      </c>
      <c r="T1022" t="str">
        <f t="shared" si="329"/>
        <v>Green</v>
      </c>
      <c r="U1022" t="str">
        <f t="shared" si="330"/>
        <v>Green</v>
      </c>
      <c r="V1022" t="str">
        <f t="shared" si="331"/>
        <v>Red</v>
      </c>
      <c r="W1022" t="str">
        <f t="shared" si="332"/>
        <v>Red</v>
      </c>
      <c r="X1022" t="str">
        <f t="shared" si="333"/>
        <v>Green</v>
      </c>
      <c r="Y1022" t="str">
        <f t="shared" si="334"/>
        <v>Green</v>
      </c>
      <c r="Z1022" t="str">
        <f t="shared" si="335"/>
        <v>Red</v>
      </c>
      <c r="AA1022" t="str">
        <f t="shared" si="336"/>
        <v>Green</v>
      </c>
      <c r="AB1022" t="str">
        <f t="shared" si="337"/>
        <v>Green</v>
      </c>
      <c r="AC1022" t="str">
        <f t="shared" si="338"/>
        <v>Red</v>
      </c>
      <c r="AD1022" t="str">
        <f t="shared" si="339"/>
        <v>Green</v>
      </c>
    </row>
    <row r="1023" spans="1:30" x14ac:dyDescent="0.2">
      <c r="A1023" t="str">
        <f t="shared" si="340"/>
        <v>25/07/2026Real Oviedo BReal Aviles</v>
      </c>
      <c r="D1023" s="2">
        <v>46228</v>
      </c>
      <c r="E1023" s="3">
        <v>0.375</v>
      </c>
      <c r="F1023" t="s">
        <v>3760</v>
      </c>
      <c r="G1023" t="s">
        <v>3761</v>
      </c>
      <c r="H1023">
        <v>0</v>
      </c>
      <c r="I1023">
        <v>0</v>
      </c>
      <c r="J1023">
        <v>0</v>
      </c>
      <c r="K1023">
        <v>0</v>
      </c>
      <c r="L1023" s="22" t="str">
        <f t="shared" si="341"/>
        <v>25/07/2026</v>
      </c>
      <c r="M1023" s="23">
        <f t="shared" si="342"/>
        <v>0.25</v>
      </c>
      <c r="N1023" t="str">
        <f t="shared" si="343"/>
        <v>0 - 0</v>
      </c>
      <c r="O1023" t="str">
        <f t="shared" si="324"/>
        <v>Red</v>
      </c>
      <c r="P1023" t="str">
        <f t="shared" si="325"/>
        <v>Green</v>
      </c>
      <c r="Q1023" t="str">
        <f t="shared" si="326"/>
        <v>Red</v>
      </c>
      <c r="R1023" t="str">
        <f t="shared" si="327"/>
        <v>Green</v>
      </c>
      <c r="S1023" t="str">
        <f t="shared" si="328"/>
        <v>Green</v>
      </c>
      <c r="T1023" t="str">
        <f t="shared" si="329"/>
        <v>Red</v>
      </c>
      <c r="U1023" t="str">
        <f t="shared" si="330"/>
        <v>Red</v>
      </c>
      <c r="V1023" t="str">
        <f t="shared" si="331"/>
        <v>Green</v>
      </c>
      <c r="W1023" t="str">
        <f t="shared" si="332"/>
        <v>Red</v>
      </c>
      <c r="X1023" t="str">
        <f t="shared" si="333"/>
        <v>Red</v>
      </c>
      <c r="Y1023" t="str">
        <f t="shared" si="334"/>
        <v>Red</v>
      </c>
      <c r="Z1023" t="str">
        <f t="shared" si="335"/>
        <v>Red</v>
      </c>
      <c r="AA1023" t="str">
        <f t="shared" si="336"/>
        <v>Green</v>
      </c>
      <c r="AB1023" t="str">
        <f t="shared" si="337"/>
        <v>Green</v>
      </c>
      <c r="AC1023" t="str">
        <f t="shared" si="338"/>
        <v>Red</v>
      </c>
      <c r="AD1023" t="str">
        <f t="shared" si="339"/>
        <v>Green</v>
      </c>
    </row>
    <row r="1024" spans="1:30" x14ac:dyDescent="0.2">
      <c r="A1024" t="str">
        <f t="shared" si="340"/>
        <v>25/07/2026Versailles 78Fleury Merogis</v>
      </c>
      <c r="D1024" s="2">
        <v>46228</v>
      </c>
      <c r="E1024" s="3">
        <v>0.375</v>
      </c>
      <c r="F1024" t="s">
        <v>1706</v>
      </c>
      <c r="G1024" t="s">
        <v>3762</v>
      </c>
      <c r="H1024">
        <v>1</v>
      </c>
      <c r="I1024">
        <v>0</v>
      </c>
      <c r="J1024">
        <v>2</v>
      </c>
      <c r="K1024">
        <v>1</v>
      </c>
      <c r="L1024" s="22" t="str">
        <f t="shared" si="341"/>
        <v>25/07/2026</v>
      </c>
      <c r="M1024" s="23">
        <f t="shared" si="342"/>
        <v>0.25</v>
      </c>
      <c r="N1024" t="str">
        <f t="shared" si="343"/>
        <v>2 - 1</v>
      </c>
      <c r="O1024" t="str">
        <f t="shared" si="324"/>
        <v>Green</v>
      </c>
      <c r="P1024" t="str">
        <f t="shared" si="325"/>
        <v>Red</v>
      </c>
      <c r="Q1024" t="str">
        <f t="shared" si="326"/>
        <v>Red</v>
      </c>
      <c r="R1024" t="str">
        <f t="shared" si="327"/>
        <v>Green</v>
      </c>
      <c r="S1024" t="str">
        <f t="shared" si="328"/>
        <v>Red</v>
      </c>
      <c r="T1024" t="str">
        <f t="shared" si="329"/>
        <v>Green</v>
      </c>
      <c r="U1024" t="str">
        <f t="shared" si="330"/>
        <v>Green</v>
      </c>
      <c r="V1024" t="str">
        <f t="shared" si="331"/>
        <v>Red</v>
      </c>
      <c r="W1024" t="str">
        <f t="shared" si="332"/>
        <v>Red</v>
      </c>
      <c r="X1024" t="str">
        <f t="shared" si="333"/>
        <v>Green</v>
      </c>
      <c r="Y1024" t="str">
        <f t="shared" si="334"/>
        <v>Green</v>
      </c>
      <c r="Z1024" t="str">
        <f t="shared" si="335"/>
        <v>Green</v>
      </c>
      <c r="AA1024" t="str">
        <f t="shared" si="336"/>
        <v>Red</v>
      </c>
      <c r="AB1024" t="str">
        <f t="shared" si="337"/>
        <v>Green</v>
      </c>
      <c r="AC1024" t="str">
        <f t="shared" si="338"/>
        <v>Green</v>
      </c>
      <c r="AD1024" t="str">
        <f t="shared" si="339"/>
        <v>Red</v>
      </c>
    </row>
    <row r="1025" spans="1:30" x14ac:dyDescent="0.2">
      <c r="A1025" t="str">
        <f t="shared" si="340"/>
        <v>25/07/2026St George CitySydney United 58</v>
      </c>
      <c r="B1025" t="s">
        <v>810</v>
      </c>
      <c r="C1025" t="s">
        <v>2249</v>
      </c>
      <c r="D1025" s="2">
        <v>46228</v>
      </c>
      <c r="E1025" s="3">
        <v>0.38541666666666669</v>
      </c>
      <c r="F1025" t="s">
        <v>2800</v>
      </c>
      <c r="G1025" t="s">
        <v>542</v>
      </c>
      <c r="H1025">
        <v>0</v>
      </c>
      <c r="I1025">
        <v>0</v>
      </c>
      <c r="J1025">
        <v>1</v>
      </c>
      <c r="K1025">
        <v>0</v>
      </c>
      <c r="L1025" s="22" t="str">
        <f t="shared" si="341"/>
        <v>25/07/2026</v>
      </c>
      <c r="M1025" s="23">
        <f t="shared" si="342"/>
        <v>0.26041666666666669</v>
      </c>
      <c r="N1025" t="str">
        <f t="shared" si="343"/>
        <v>1 - 0</v>
      </c>
      <c r="O1025" t="str">
        <f t="shared" si="324"/>
        <v>Green</v>
      </c>
      <c r="P1025" t="str">
        <f t="shared" si="325"/>
        <v>Red</v>
      </c>
      <c r="Q1025" t="str">
        <f t="shared" si="326"/>
        <v>Red</v>
      </c>
      <c r="R1025" t="str">
        <f t="shared" si="327"/>
        <v>Green</v>
      </c>
      <c r="S1025" t="str">
        <f t="shared" si="328"/>
        <v>Red</v>
      </c>
      <c r="T1025" t="str">
        <f t="shared" si="329"/>
        <v>Green</v>
      </c>
      <c r="U1025" t="str">
        <f t="shared" si="330"/>
        <v>Red</v>
      </c>
      <c r="V1025" t="str">
        <f t="shared" si="331"/>
        <v>Green</v>
      </c>
      <c r="W1025" t="str">
        <f t="shared" si="332"/>
        <v>Red</v>
      </c>
      <c r="X1025" t="str">
        <f t="shared" si="333"/>
        <v>Red</v>
      </c>
      <c r="Y1025" t="str">
        <f t="shared" si="334"/>
        <v>Red</v>
      </c>
      <c r="Z1025" t="str">
        <f t="shared" si="335"/>
        <v>Red</v>
      </c>
      <c r="AA1025" t="str">
        <f t="shared" si="336"/>
        <v>Green</v>
      </c>
      <c r="AB1025" t="str">
        <f t="shared" si="337"/>
        <v>Green</v>
      </c>
      <c r="AC1025" t="str">
        <f t="shared" si="338"/>
        <v>Red</v>
      </c>
      <c r="AD1025" t="str">
        <f t="shared" si="339"/>
        <v>Green</v>
      </c>
    </row>
    <row r="1026" spans="1:30" x14ac:dyDescent="0.2">
      <c r="A1026" t="str">
        <f t="shared" si="340"/>
        <v>25/07/2026NKP PodhaleSlask Wroclaw II</v>
      </c>
      <c r="D1026" s="2">
        <v>46228</v>
      </c>
      <c r="E1026" s="3">
        <v>0.38541666666666669</v>
      </c>
      <c r="F1026" t="s">
        <v>3542</v>
      </c>
      <c r="G1026" t="s">
        <v>3543</v>
      </c>
      <c r="H1026">
        <v>2</v>
      </c>
      <c r="I1026">
        <v>0</v>
      </c>
      <c r="J1026">
        <v>3</v>
      </c>
      <c r="K1026">
        <v>1</v>
      </c>
      <c r="L1026" s="22" t="str">
        <f t="shared" si="341"/>
        <v>25/07/2026</v>
      </c>
      <c r="M1026" s="23">
        <f t="shared" si="342"/>
        <v>0.26041666666666669</v>
      </c>
      <c r="N1026" t="str">
        <f t="shared" si="343"/>
        <v>3 - 1</v>
      </c>
      <c r="O1026" t="str">
        <f t="shared" ref="O1026:O1089" si="344">IF($J1026&gt;$K1026,"Green","Red")</f>
        <v>Green</v>
      </c>
      <c r="P1026" t="str">
        <f t="shared" ref="P1026:P1089" si="345">IF($J1026=$K1026,"Green","Red")</f>
        <v>Red</v>
      </c>
      <c r="Q1026" t="str">
        <f t="shared" ref="Q1026:Q1089" si="346">IF($J1026&lt;$K1026,"Green","Red")</f>
        <v>Red</v>
      </c>
      <c r="R1026" t="str">
        <f t="shared" ref="R1026:R1089" si="347">IF($J1026&gt;=$K1026,"Green","Red")</f>
        <v>Green</v>
      </c>
      <c r="S1026" t="str">
        <f t="shared" ref="S1026:S1089" si="348">IF($J1026&lt;=$K1026,"Green","Red")</f>
        <v>Red</v>
      </c>
      <c r="T1026" t="str">
        <f t="shared" ref="T1026:T1089" si="349">IF(OR($J1026&gt;$K1026,$J1026&lt;$K1026),"Green","Red")</f>
        <v>Green</v>
      </c>
      <c r="U1026" t="str">
        <f t="shared" ref="U1026:U1089" si="350">IF($H1026&gt;$I1026,"Green","Red")</f>
        <v>Green</v>
      </c>
      <c r="V1026" t="str">
        <f t="shared" ref="V1026:V1089" si="351">IF($H1026=$I1026,"Green","Red")</f>
        <v>Red</v>
      </c>
      <c r="W1026" t="str">
        <f t="shared" ref="W1026:W1089" si="352">IF($H1026&lt;$I1026,"Green","Red")</f>
        <v>Red</v>
      </c>
      <c r="X1026" t="str">
        <f t="shared" ref="X1026:X1089" si="353">IF($H1026+$I1026&gt;0,"Green","Red")</f>
        <v>Green</v>
      </c>
      <c r="Y1026" t="str">
        <f t="shared" ref="Y1026:Y1089" si="354">IF($J1026+$K1026&gt;1.5,"Green","Red")</f>
        <v>Green</v>
      </c>
      <c r="Z1026" t="str">
        <f t="shared" ref="Z1026:Z1089" si="355">IF($J1026+$K1026&gt;2.5,"Green","Red")</f>
        <v>Green</v>
      </c>
      <c r="AA1026" t="str">
        <f t="shared" ref="AA1026:AA1089" si="356">IF($J1026+$K1026&lt;2.5,"Green","Red")</f>
        <v>Red</v>
      </c>
      <c r="AB1026" t="str">
        <f t="shared" ref="AB1026:AB1089" si="357">IF($J1026+$K1026&lt;3.5,"Green","Red")</f>
        <v>Red</v>
      </c>
      <c r="AC1026" t="str">
        <f t="shared" ref="AC1026:AC1089" si="358">IF(AND($J1026&gt;0,$K1026&gt;0),"Green","Red")</f>
        <v>Green</v>
      </c>
      <c r="AD1026" t="str">
        <f t="shared" ref="AD1026:AD1089" si="359">IF(OR($J1026=0,$K1026=0),"Green","Red")</f>
        <v>Red</v>
      </c>
    </row>
    <row r="1027" spans="1:30" x14ac:dyDescent="0.2">
      <c r="A1027" t="str">
        <f t="shared" si="340"/>
        <v>25/07/2026Cumberland UnitedAdelaide Blue Eagles</v>
      </c>
      <c r="B1027" t="s">
        <v>810</v>
      </c>
      <c r="D1027" s="2">
        <v>46228</v>
      </c>
      <c r="E1027" s="3">
        <v>0.39583333333333331</v>
      </c>
      <c r="F1027" t="s">
        <v>391</v>
      </c>
      <c r="G1027" t="s">
        <v>2843</v>
      </c>
      <c r="H1027">
        <v>1</v>
      </c>
      <c r="I1027">
        <v>1</v>
      </c>
      <c r="J1027">
        <v>2</v>
      </c>
      <c r="K1027">
        <v>1</v>
      </c>
      <c r="L1027" s="22" t="str">
        <f t="shared" si="341"/>
        <v>25/07/2026</v>
      </c>
      <c r="M1027" s="23">
        <f t="shared" si="342"/>
        <v>0.27083333333333331</v>
      </c>
      <c r="N1027" t="str">
        <f t="shared" si="343"/>
        <v>2 - 1</v>
      </c>
      <c r="O1027" t="str">
        <f t="shared" si="344"/>
        <v>Green</v>
      </c>
      <c r="P1027" t="str">
        <f t="shared" si="345"/>
        <v>Red</v>
      </c>
      <c r="Q1027" t="str">
        <f t="shared" si="346"/>
        <v>Red</v>
      </c>
      <c r="R1027" t="str">
        <f t="shared" si="347"/>
        <v>Green</v>
      </c>
      <c r="S1027" t="str">
        <f t="shared" si="348"/>
        <v>Red</v>
      </c>
      <c r="T1027" t="str">
        <f t="shared" si="349"/>
        <v>Green</v>
      </c>
      <c r="U1027" t="str">
        <f t="shared" si="350"/>
        <v>Red</v>
      </c>
      <c r="V1027" t="str">
        <f t="shared" si="351"/>
        <v>Green</v>
      </c>
      <c r="W1027" t="str">
        <f t="shared" si="352"/>
        <v>Red</v>
      </c>
      <c r="X1027" t="str">
        <f t="shared" si="353"/>
        <v>Green</v>
      </c>
      <c r="Y1027" t="str">
        <f t="shared" si="354"/>
        <v>Green</v>
      </c>
      <c r="Z1027" t="str">
        <f t="shared" si="355"/>
        <v>Green</v>
      </c>
      <c r="AA1027" t="str">
        <f t="shared" si="356"/>
        <v>Red</v>
      </c>
      <c r="AB1027" t="str">
        <f t="shared" si="357"/>
        <v>Green</v>
      </c>
      <c r="AC1027" t="str">
        <f t="shared" si="358"/>
        <v>Green</v>
      </c>
      <c r="AD1027" t="str">
        <f t="shared" si="359"/>
        <v>Red</v>
      </c>
    </row>
    <row r="1028" spans="1:30" x14ac:dyDescent="0.2">
      <c r="A1028" t="str">
        <f t="shared" si="340"/>
        <v>25/07/2026Qingdao JonoonTianjin Teda</v>
      </c>
      <c r="D1028" s="2">
        <v>46228</v>
      </c>
      <c r="E1028" s="3">
        <v>0.39583333333333331</v>
      </c>
      <c r="F1028" t="s">
        <v>409</v>
      </c>
      <c r="G1028" t="s">
        <v>3125</v>
      </c>
      <c r="H1028">
        <v>0</v>
      </c>
      <c r="I1028">
        <v>1</v>
      </c>
      <c r="J1028">
        <v>0</v>
      </c>
      <c r="K1028">
        <v>2</v>
      </c>
      <c r="L1028" s="22" t="str">
        <f t="shared" si="341"/>
        <v>25/07/2026</v>
      </c>
      <c r="M1028" s="23">
        <f t="shared" si="342"/>
        <v>0.27083333333333331</v>
      </c>
      <c r="N1028" t="str">
        <f t="shared" si="343"/>
        <v>0 - 2</v>
      </c>
      <c r="O1028" t="str">
        <f t="shared" si="344"/>
        <v>Red</v>
      </c>
      <c r="P1028" t="str">
        <f t="shared" si="345"/>
        <v>Red</v>
      </c>
      <c r="Q1028" t="str">
        <f t="shared" si="346"/>
        <v>Green</v>
      </c>
      <c r="R1028" t="str">
        <f t="shared" si="347"/>
        <v>Red</v>
      </c>
      <c r="S1028" t="str">
        <f t="shared" si="348"/>
        <v>Green</v>
      </c>
      <c r="T1028" t="str">
        <f t="shared" si="349"/>
        <v>Green</v>
      </c>
      <c r="U1028" t="str">
        <f t="shared" si="350"/>
        <v>Red</v>
      </c>
      <c r="V1028" t="str">
        <f t="shared" si="351"/>
        <v>Red</v>
      </c>
      <c r="W1028" t="str">
        <f t="shared" si="352"/>
        <v>Green</v>
      </c>
      <c r="X1028" t="str">
        <f t="shared" si="353"/>
        <v>Green</v>
      </c>
      <c r="Y1028" t="str">
        <f t="shared" si="354"/>
        <v>Green</v>
      </c>
      <c r="Z1028" t="str">
        <f t="shared" si="355"/>
        <v>Red</v>
      </c>
      <c r="AA1028" t="str">
        <f t="shared" si="356"/>
        <v>Green</v>
      </c>
      <c r="AB1028" t="str">
        <f t="shared" si="357"/>
        <v>Green</v>
      </c>
      <c r="AC1028" t="str">
        <f t="shared" si="358"/>
        <v>Red</v>
      </c>
      <c r="AD1028" t="str">
        <f t="shared" si="359"/>
        <v>Green</v>
      </c>
    </row>
    <row r="1029" spans="1:30" x14ac:dyDescent="0.2">
      <c r="A1029" t="str">
        <f t="shared" si="340"/>
        <v>25/07/2026Dalian KeweiDalian Yingbo Reserves</v>
      </c>
      <c r="D1029" s="2">
        <v>46228</v>
      </c>
      <c r="E1029" s="3">
        <v>0.39583333333333331</v>
      </c>
      <c r="F1029" t="s">
        <v>402</v>
      </c>
      <c r="G1029" t="s">
        <v>3131</v>
      </c>
      <c r="H1029">
        <v>1</v>
      </c>
      <c r="I1029">
        <v>0</v>
      </c>
      <c r="J1029">
        <v>2</v>
      </c>
      <c r="K1029">
        <v>0</v>
      </c>
      <c r="L1029" s="22" t="str">
        <f t="shared" si="341"/>
        <v>25/07/2026</v>
      </c>
      <c r="M1029" s="23">
        <f t="shared" si="342"/>
        <v>0.27083333333333331</v>
      </c>
      <c r="N1029" t="str">
        <f t="shared" si="343"/>
        <v>2 - 0</v>
      </c>
      <c r="O1029" t="str">
        <f t="shared" si="344"/>
        <v>Green</v>
      </c>
      <c r="P1029" t="str">
        <f t="shared" si="345"/>
        <v>Red</v>
      </c>
      <c r="Q1029" t="str">
        <f t="shared" si="346"/>
        <v>Red</v>
      </c>
      <c r="R1029" t="str">
        <f t="shared" si="347"/>
        <v>Green</v>
      </c>
      <c r="S1029" t="str">
        <f t="shared" si="348"/>
        <v>Red</v>
      </c>
      <c r="T1029" t="str">
        <f t="shared" si="349"/>
        <v>Green</v>
      </c>
      <c r="U1029" t="str">
        <f t="shared" si="350"/>
        <v>Green</v>
      </c>
      <c r="V1029" t="str">
        <f t="shared" si="351"/>
        <v>Red</v>
      </c>
      <c r="W1029" t="str">
        <f t="shared" si="352"/>
        <v>Red</v>
      </c>
      <c r="X1029" t="str">
        <f t="shared" si="353"/>
        <v>Green</v>
      </c>
      <c r="Y1029" t="str">
        <f t="shared" si="354"/>
        <v>Green</v>
      </c>
      <c r="Z1029" t="str">
        <f t="shared" si="355"/>
        <v>Red</v>
      </c>
      <c r="AA1029" t="str">
        <f t="shared" si="356"/>
        <v>Green</v>
      </c>
      <c r="AB1029" t="str">
        <f t="shared" si="357"/>
        <v>Green</v>
      </c>
      <c r="AC1029" t="str">
        <f t="shared" si="358"/>
        <v>Red</v>
      </c>
      <c r="AD1029" t="str">
        <f t="shared" si="359"/>
        <v>Green</v>
      </c>
    </row>
    <row r="1030" spans="1:30" x14ac:dyDescent="0.2">
      <c r="A1030" t="str">
        <f t="shared" si="340"/>
        <v>25/07/2026RB LeipzigIngolstadt</v>
      </c>
      <c r="D1030" s="2">
        <v>46228</v>
      </c>
      <c r="E1030" s="3">
        <v>0.39583333333333331</v>
      </c>
      <c r="F1030" t="s">
        <v>3763</v>
      </c>
      <c r="G1030" t="s">
        <v>3764</v>
      </c>
      <c r="H1030">
        <v>1</v>
      </c>
      <c r="I1030">
        <v>0</v>
      </c>
      <c r="J1030">
        <v>1</v>
      </c>
      <c r="K1030">
        <v>0</v>
      </c>
      <c r="L1030" s="22" t="str">
        <f t="shared" si="341"/>
        <v>25/07/2026</v>
      </c>
      <c r="M1030" s="23">
        <f t="shared" si="342"/>
        <v>0.27083333333333331</v>
      </c>
      <c r="N1030" t="str">
        <f t="shared" si="343"/>
        <v>1 - 0</v>
      </c>
      <c r="O1030" t="str">
        <f t="shared" si="344"/>
        <v>Green</v>
      </c>
      <c r="P1030" t="str">
        <f t="shared" si="345"/>
        <v>Red</v>
      </c>
      <c r="Q1030" t="str">
        <f t="shared" si="346"/>
        <v>Red</v>
      </c>
      <c r="R1030" t="str">
        <f t="shared" si="347"/>
        <v>Green</v>
      </c>
      <c r="S1030" t="str">
        <f t="shared" si="348"/>
        <v>Red</v>
      </c>
      <c r="T1030" t="str">
        <f t="shared" si="349"/>
        <v>Green</v>
      </c>
      <c r="U1030" t="str">
        <f t="shared" si="350"/>
        <v>Green</v>
      </c>
      <c r="V1030" t="str">
        <f t="shared" si="351"/>
        <v>Red</v>
      </c>
      <c r="W1030" t="str">
        <f t="shared" si="352"/>
        <v>Red</v>
      </c>
      <c r="X1030" t="str">
        <f t="shared" si="353"/>
        <v>Green</v>
      </c>
      <c r="Y1030" t="str">
        <f t="shared" si="354"/>
        <v>Red</v>
      </c>
      <c r="Z1030" t="str">
        <f t="shared" si="355"/>
        <v>Red</v>
      </c>
      <c r="AA1030" t="str">
        <f t="shared" si="356"/>
        <v>Green</v>
      </c>
      <c r="AB1030" t="str">
        <f t="shared" si="357"/>
        <v>Green</v>
      </c>
      <c r="AC1030" t="str">
        <f t="shared" si="358"/>
        <v>Red</v>
      </c>
      <c r="AD1030" t="str">
        <f t="shared" si="359"/>
        <v>Green</v>
      </c>
    </row>
    <row r="1031" spans="1:30" x14ac:dyDescent="0.2">
      <c r="A1031" t="str">
        <f t="shared" si="340"/>
        <v>25/07/2026North Eastern MetroStarsWest Adelaide</v>
      </c>
      <c r="B1031" t="s">
        <v>810</v>
      </c>
      <c r="D1031" s="2">
        <v>46228</v>
      </c>
      <c r="E1031" s="3">
        <v>0.40625</v>
      </c>
      <c r="F1031" t="s">
        <v>2809</v>
      </c>
      <c r="G1031" t="s">
        <v>549</v>
      </c>
      <c r="H1031">
        <v>0</v>
      </c>
      <c r="I1031">
        <v>1</v>
      </c>
      <c r="J1031">
        <v>1</v>
      </c>
      <c r="K1031">
        <v>3</v>
      </c>
      <c r="L1031" s="22" t="str">
        <f t="shared" si="341"/>
        <v>25/07/2026</v>
      </c>
      <c r="M1031" s="23">
        <f t="shared" si="342"/>
        <v>0.28125</v>
      </c>
      <c r="N1031" t="str">
        <f t="shared" si="343"/>
        <v>1 - 3</v>
      </c>
      <c r="O1031" t="str">
        <f t="shared" si="344"/>
        <v>Red</v>
      </c>
      <c r="P1031" t="str">
        <f t="shared" si="345"/>
        <v>Red</v>
      </c>
      <c r="Q1031" t="str">
        <f t="shared" si="346"/>
        <v>Green</v>
      </c>
      <c r="R1031" t="str">
        <f t="shared" si="347"/>
        <v>Red</v>
      </c>
      <c r="S1031" t="str">
        <f t="shared" si="348"/>
        <v>Green</v>
      </c>
      <c r="T1031" t="str">
        <f t="shared" si="349"/>
        <v>Green</v>
      </c>
      <c r="U1031" t="str">
        <f t="shared" si="350"/>
        <v>Red</v>
      </c>
      <c r="V1031" t="str">
        <f t="shared" si="351"/>
        <v>Red</v>
      </c>
      <c r="W1031" t="str">
        <f t="shared" si="352"/>
        <v>Green</v>
      </c>
      <c r="X1031" t="str">
        <f t="shared" si="353"/>
        <v>Green</v>
      </c>
      <c r="Y1031" t="str">
        <f t="shared" si="354"/>
        <v>Green</v>
      </c>
      <c r="Z1031" t="str">
        <f t="shared" si="355"/>
        <v>Green</v>
      </c>
      <c r="AA1031" t="str">
        <f t="shared" si="356"/>
        <v>Red</v>
      </c>
      <c r="AB1031" t="str">
        <f t="shared" si="357"/>
        <v>Red</v>
      </c>
      <c r="AC1031" t="str">
        <f t="shared" si="358"/>
        <v>Green</v>
      </c>
      <c r="AD1031" t="str">
        <f t="shared" si="359"/>
        <v>Red</v>
      </c>
    </row>
    <row r="1032" spans="1:30" x14ac:dyDescent="0.2">
      <c r="A1032" t="str">
        <f t="shared" si="340"/>
        <v>25/07/2026Spirit FC U20Western Sydney Wanderers U20</v>
      </c>
      <c r="B1032" t="s">
        <v>810</v>
      </c>
      <c r="D1032" s="2">
        <v>46228</v>
      </c>
      <c r="E1032" s="3">
        <v>0.40625</v>
      </c>
      <c r="F1032" t="s">
        <v>2983</v>
      </c>
      <c r="G1032" t="s">
        <v>2984</v>
      </c>
      <c r="H1032">
        <v>3</v>
      </c>
      <c r="I1032">
        <v>2</v>
      </c>
      <c r="J1032">
        <v>4</v>
      </c>
      <c r="K1032">
        <v>3</v>
      </c>
      <c r="L1032" s="22" t="str">
        <f t="shared" si="341"/>
        <v>25/07/2026</v>
      </c>
      <c r="M1032" s="23">
        <f t="shared" si="342"/>
        <v>0.28125</v>
      </c>
      <c r="N1032" t="str">
        <f t="shared" si="343"/>
        <v>4 - 3</v>
      </c>
      <c r="O1032" t="str">
        <f t="shared" si="344"/>
        <v>Green</v>
      </c>
      <c r="P1032" t="str">
        <f t="shared" si="345"/>
        <v>Red</v>
      </c>
      <c r="Q1032" t="str">
        <f t="shared" si="346"/>
        <v>Red</v>
      </c>
      <c r="R1032" t="str">
        <f t="shared" si="347"/>
        <v>Green</v>
      </c>
      <c r="S1032" t="str">
        <f t="shared" si="348"/>
        <v>Red</v>
      </c>
      <c r="T1032" t="str">
        <f t="shared" si="349"/>
        <v>Green</v>
      </c>
      <c r="U1032" t="str">
        <f t="shared" si="350"/>
        <v>Green</v>
      </c>
      <c r="V1032" t="str">
        <f t="shared" si="351"/>
        <v>Red</v>
      </c>
      <c r="W1032" t="str">
        <f t="shared" si="352"/>
        <v>Red</v>
      </c>
      <c r="X1032" t="str">
        <f t="shared" si="353"/>
        <v>Green</v>
      </c>
      <c r="Y1032" t="str">
        <f t="shared" si="354"/>
        <v>Green</v>
      </c>
      <c r="Z1032" t="str">
        <f t="shared" si="355"/>
        <v>Green</v>
      </c>
      <c r="AA1032" t="str">
        <f t="shared" si="356"/>
        <v>Red</v>
      </c>
      <c r="AB1032" t="str">
        <f t="shared" si="357"/>
        <v>Red</v>
      </c>
      <c r="AC1032" t="str">
        <f t="shared" si="358"/>
        <v>Green</v>
      </c>
      <c r="AD1032" t="str">
        <f t="shared" si="359"/>
        <v>Red</v>
      </c>
    </row>
    <row r="1033" spans="1:30" x14ac:dyDescent="0.2">
      <c r="A1033" t="str">
        <f t="shared" si="340"/>
        <v>25/07/2026MyanmarMalaysia</v>
      </c>
      <c r="B1033" t="s">
        <v>2243</v>
      </c>
      <c r="C1033" t="s">
        <v>2244</v>
      </c>
      <c r="D1033" s="2">
        <v>46228</v>
      </c>
      <c r="E1033" s="3">
        <v>0.41666666666666669</v>
      </c>
      <c r="F1033" t="s">
        <v>2789</v>
      </c>
      <c r="G1033" t="s">
        <v>2790</v>
      </c>
      <c r="H1033">
        <v>1</v>
      </c>
      <c r="I1033">
        <v>0</v>
      </c>
      <c r="J1033">
        <v>1</v>
      </c>
      <c r="K1033">
        <v>2</v>
      </c>
      <c r="L1033" s="22" t="str">
        <f t="shared" si="341"/>
        <v>25/07/2026</v>
      </c>
      <c r="M1033" s="23">
        <f t="shared" si="342"/>
        <v>0.29166666666666669</v>
      </c>
      <c r="N1033" t="str">
        <f t="shared" si="343"/>
        <v>1 - 2</v>
      </c>
      <c r="O1033" t="str">
        <f t="shared" si="344"/>
        <v>Red</v>
      </c>
      <c r="P1033" t="str">
        <f t="shared" si="345"/>
        <v>Red</v>
      </c>
      <c r="Q1033" t="str">
        <f t="shared" si="346"/>
        <v>Green</v>
      </c>
      <c r="R1033" t="str">
        <f t="shared" si="347"/>
        <v>Red</v>
      </c>
      <c r="S1033" t="str">
        <f t="shared" si="348"/>
        <v>Green</v>
      </c>
      <c r="T1033" t="str">
        <f t="shared" si="349"/>
        <v>Green</v>
      </c>
      <c r="U1033" t="str">
        <f t="shared" si="350"/>
        <v>Green</v>
      </c>
      <c r="V1033" t="str">
        <f t="shared" si="351"/>
        <v>Red</v>
      </c>
      <c r="W1033" t="str">
        <f t="shared" si="352"/>
        <v>Red</v>
      </c>
      <c r="X1033" t="str">
        <f t="shared" si="353"/>
        <v>Green</v>
      </c>
      <c r="Y1033" t="str">
        <f t="shared" si="354"/>
        <v>Green</v>
      </c>
      <c r="Z1033" t="str">
        <f t="shared" si="355"/>
        <v>Green</v>
      </c>
      <c r="AA1033" t="str">
        <f t="shared" si="356"/>
        <v>Red</v>
      </c>
      <c r="AB1033" t="str">
        <f t="shared" si="357"/>
        <v>Green</v>
      </c>
      <c r="AC1033" t="str">
        <f t="shared" si="358"/>
        <v>Green</v>
      </c>
      <c r="AD1033" t="str">
        <f t="shared" si="359"/>
        <v>Red</v>
      </c>
    </row>
    <row r="1034" spans="1:30" x14ac:dyDescent="0.2">
      <c r="A1034" t="str">
        <f t="shared" si="340"/>
        <v>25/07/2026Kingsley FCJoondalup City</v>
      </c>
      <c r="B1034" t="s">
        <v>810</v>
      </c>
      <c r="D1034" s="2">
        <v>46228</v>
      </c>
      <c r="E1034" s="3">
        <v>0.41666666666666669</v>
      </c>
      <c r="F1034" t="s">
        <v>2872</v>
      </c>
      <c r="G1034" t="s">
        <v>2873</v>
      </c>
      <c r="H1034">
        <v>1</v>
      </c>
      <c r="I1034">
        <v>1</v>
      </c>
      <c r="J1034">
        <v>2</v>
      </c>
      <c r="K1034">
        <v>2</v>
      </c>
      <c r="L1034" s="22" t="str">
        <f t="shared" si="341"/>
        <v>25/07/2026</v>
      </c>
      <c r="M1034" s="23">
        <f t="shared" si="342"/>
        <v>0.29166666666666669</v>
      </c>
      <c r="N1034" t="str">
        <f t="shared" si="343"/>
        <v>2 - 2</v>
      </c>
      <c r="O1034" t="str">
        <f t="shared" si="344"/>
        <v>Red</v>
      </c>
      <c r="P1034" t="str">
        <f t="shared" si="345"/>
        <v>Green</v>
      </c>
      <c r="Q1034" t="str">
        <f t="shared" si="346"/>
        <v>Red</v>
      </c>
      <c r="R1034" t="str">
        <f t="shared" si="347"/>
        <v>Green</v>
      </c>
      <c r="S1034" t="str">
        <f t="shared" si="348"/>
        <v>Green</v>
      </c>
      <c r="T1034" t="str">
        <f t="shared" si="349"/>
        <v>Red</v>
      </c>
      <c r="U1034" t="str">
        <f t="shared" si="350"/>
        <v>Red</v>
      </c>
      <c r="V1034" t="str">
        <f t="shared" si="351"/>
        <v>Green</v>
      </c>
      <c r="W1034" t="str">
        <f t="shared" si="352"/>
        <v>Red</v>
      </c>
      <c r="X1034" t="str">
        <f t="shared" si="353"/>
        <v>Green</v>
      </c>
      <c r="Y1034" t="str">
        <f t="shared" si="354"/>
        <v>Green</v>
      </c>
      <c r="Z1034" t="str">
        <f t="shared" si="355"/>
        <v>Green</v>
      </c>
      <c r="AA1034" t="str">
        <f t="shared" si="356"/>
        <v>Red</v>
      </c>
      <c r="AB1034" t="str">
        <f t="shared" si="357"/>
        <v>Red</v>
      </c>
      <c r="AC1034" t="str">
        <f t="shared" si="358"/>
        <v>Green</v>
      </c>
      <c r="AD1034" t="str">
        <f t="shared" si="359"/>
        <v>Red</v>
      </c>
    </row>
    <row r="1035" spans="1:30" x14ac:dyDescent="0.2">
      <c r="A1035" t="str">
        <f t="shared" si="340"/>
        <v>25/07/2026Avangard KurskEnergiya Khabarovsk U21</v>
      </c>
      <c r="D1035" s="2">
        <v>46228</v>
      </c>
      <c r="E1035" s="3">
        <v>0.41666666666666669</v>
      </c>
      <c r="F1035" t="s">
        <v>3584</v>
      </c>
      <c r="G1035" t="s">
        <v>3585</v>
      </c>
      <c r="H1035">
        <v>0</v>
      </c>
      <c r="I1035">
        <v>0</v>
      </c>
      <c r="J1035">
        <v>1</v>
      </c>
      <c r="K1035">
        <v>2</v>
      </c>
      <c r="L1035" s="22" t="str">
        <f t="shared" si="341"/>
        <v>25/07/2026</v>
      </c>
      <c r="M1035" s="23">
        <f t="shared" si="342"/>
        <v>0.29166666666666669</v>
      </c>
      <c r="N1035" t="str">
        <f t="shared" si="343"/>
        <v>1 - 2</v>
      </c>
      <c r="O1035" t="str">
        <f t="shared" si="344"/>
        <v>Red</v>
      </c>
      <c r="P1035" t="str">
        <f t="shared" si="345"/>
        <v>Red</v>
      </c>
      <c r="Q1035" t="str">
        <f t="shared" si="346"/>
        <v>Green</v>
      </c>
      <c r="R1035" t="str">
        <f t="shared" si="347"/>
        <v>Red</v>
      </c>
      <c r="S1035" t="str">
        <f t="shared" si="348"/>
        <v>Green</v>
      </c>
      <c r="T1035" t="str">
        <f t="shared" si="349"/>
        <v>Green</v>
      </c>
      <c r="U1035" t="str">
        <f t="shared" si="350"/>
        <v>Red</v>
      </c>
      <c r="V1035" t="str">
        <f t="shared" si="351"/>
        <v>Green</v>
      </c>
      <c r="W1035" t="str">
        <f t="shared" si="352"/>
        <v>Red</v>
      </c>
      <c r="X1035" t="str">
        <f t="shared" si="353"/>
        <v>Red</v>
      </c>
      <c r="Y1035" t="str">
        <f t="shared" si="354"/>
        <v>Green</v>
      </c>
      <c r="Z1035" t="str">
        <f t="shared" si="355"/>
        <v>Green</v>
      </c>
      <c r="AA1035" t="str">
        <f t="shared" si="356"/>
        <v>Red</v>
      </c>
      <c r="AB1035" t="str">
        <f t="shared" si="357"/>
        <v>Green</v>
      </c>
      <c r="AC1035" t="str">
        <f t="shared" si="358"/>
        <v>Green</v>
      </c>
      <c r="AD1035" t="str">
        <f t="shared" si="359"/>
        <v>Red</v>
      </c>
    </row>
    <row r="1036" spans="1:30" x14ac:dyDescent="0.2">
      <c r="A1036" t="str">
        <f t="shared" si="340"/>
        <v>25/07/2026Rodina IIISalyut Belgorod</v>
      </c>
      <c r="D1036" s="2">
        <v>46228</v>
      </c>
      <c r="E1036" s="3">
        <v>0.41666666666666669</v>
      </c>
      <c r="F1036" t="s">
        <v>3586</v>
      </c>
      <c r="G1036" t="s">
        <v>3587</v>
      </c>
      <c r="H1036">
        <v>0</v>
      </c>
      <c r="I1036">
        <v>0</v>
      </c>
      <c r="J1036">
        <v>1</v>
      </c>
      <c r="K1036">
        <v>3</v>
      </c>
      <c r="L1036" s="22" t="str">
        <f t="shared" si="341"/>
        <v>25/07/2026</v>
      </c>
      <c r="M1036" s="23">
        <f t="shared" si="342"/>
        <v>0.29166666666666669</v>
      </c>
      <c r="N1036" t="str">
        <f t="shared" si="343"/>
        <v>1 - 3</v>
      </c>
      <c r="O1036" t="str">
        <f t="shared" si="344"/>
        <v>Red</v>
      </c>
      <c r="P1036" t="str">
        <f t="shared" si="345"/>
        <v>Red</v>
      </c>
      <c r="Q1036" t="str">
        <f t="shared" si="346"/>
        <v>Green</v>
      </c>
      <c r="R1036" t="str">
        <f t="shared" si="347"/>
        <v>Red</v>
      </c>
      <c r="S1036" t="str">
        <f t="shared" si="348"/>
        <v>Green</v>
      </c>
      <c r="T1036" t="str">
        <f t="shared" si="349"/>
        <v>Green</v>
      </c>
      <c r="U1036" t="str">
        <f t="shared" si="350"/>
        <v>Red</v>
      </c>
      <c r="V1036" t="str">
        <f t="shared" si="351"/>
        <v>Green</v>
      </c>
      <c r="W1036" t="str">
        <f t="shared" si="352"/>
        <v>Red</v>
      </c>
      <c r="X1036" t="str">
        <f t="shared" si="353"/>
        <v>Red</v>
      </c>
      <c r="Y1036" t="str">
        <f t="shared" si="354"/>
        <v>Green</v>
      </c>
      <c r="Z1036" t="str">
        <f t="shared" si="355"/>
        <v>Green</v>
      </c>
      <c r="AA1036" t="str">
        <f t="shared" si="356"/>
        <v>Red</v>
      </c>
      <c r="AB1036" t="str">
        <f t="shared" si="357"/>
        <v>Red</v>
      </c>
      <c r="AC1036" t="str">
        <f t="shared" si="358"/>
        <v>Green</v>
      </c>
      <c r="AD1036" t="str">
        <f t="shared" si="359"/>
        <v>Red</v>
      </c>
    </row>
    <row r="1037" spans="1:30" x14ac:dyDescent="0.2">
      <c r="A1037" t="str">
        <f t="shared" si="340"/>
        <v>25/07/2026Dynamo Moscow WomenYM Spartak Moscow Women</v>
      </c>
      <c r="D1037" s="2">
        <v>46228</v>
      </c>
      <c r="E1037" s="3">
        <v>0.41666666666666669</v>
      </c>
      <c r="F1037" t="s">
        <v>3598</v>
      </c>
      <c r="G1037" t="s">
        <v>3599</v>
      </c>
      <c r="H1037">
        <v>0</v>
      </c>
      <c r="I1037">
        <v>0</v>
      </c>
      <c r="J1037">
        <v>1</v>
      </c>
      <c r="K1037">
        <v>1</v>
      </c>
      <c r="L1037" s="22" t="str">
        <f t="shared" si="341"/>
        <v>25/07/2026</v>
      </c>
      <c r="M1037" s="23">
        <f t="shared" si="342"/>
        <v>0.29166666666666669</v>
      </c>
      <c r="N1037" t="str">
        <f t="shared" si="343"/>
        <v>1 - 1</v>
      </c>
      <c r="O1037" t="str">
        <f t="shared" si="344"/>
        <v>Red</v>
      </c>
      <c r="P1037" t="str">
        <f t="shared" si="345"/>
        <v>Green</v>
      </c>
      <c r="Q1037" t="str">
        <f t="shared" si="346"/>
        <v>Red</v>
      </c>
      <c r="R1037" t="str">
        <f t="shared" si="347"/>
        <v>Green</v>
      </c>
      <c r="S1037" t="str">
        <f t="shared" si="348"/>
        <v>Green</v>
      </c>
      <c r="T1037" t="str">
        <f t="shared" si="349"/>
        <v>Red</v>
      </c>
      <c r="U1037" t="str">
        <f t="shared" si="350"/>
        <v>Red</v>
      </c>
      <c r="V1037" t="str">
        <f t="shared" si="351"/>
        <v>Green</v>
      </c>
      <c r="W1037" t="str">
        <f t="shared" si="352"/>
        <v>Red</v>
      </c>
      <c r="X1037" t="str">
        <f t="shared" si="353"/>
        <v>Red</v>
      </c>
      <c r="Y1037" t="str">
        <f t="shared" si="354"/>
        <v>Green</v>
      </c>
      <c r="Z1037" t="str">
        <f t="shared" si="355"/>
        <v>Red</v>
      </c>
      <c r="AA1037" t="str">
        <f t="shared" si="356"/>
        <v>Green</v>
      </c>
      <c r="AB1037" t="str">
        <f t="shared" si="357"/>
        <v>Green</v>
      </c>
      <c r="AC1037" t="str">
        <f t="shared" si="358"/>
        <v>Green</v>
      </c>
      <c r="AD1037" t="str">
        <f t="shared" si="359"/>
        <v>Red</v>
      </c>
    </row>
    <row r="1038" spans="1:30" x14ac:dyDescent="0.2">
      <c r="A1038" t="str">
        <f t="shared" si="340"/>
        <v>25/07/2026Dangjin CitizenMokpo City</v>
      </c>
      <c r="D1038" s="2">
        <v>46228</v>
      </c>
      <c r="E1038" s="3">
        <v>0.41666666666666669</v>
      </c>
      <c r="F1038" t="s">
        <v>3647</v>
      </c>
      <c r="G1038" t="s">
        <v>3648</v>
      </c>
      <c r="H1038">
        <v>2</v>
      </c>
      <c r="I1038">
        <v>1</v>
      </c>
      <c r="J1038">
        <v>6</v>
      </c>
      <c r="K1038">
        <v>1</v>
      </c>
      <c r="L1038" s="22" t="str">
        <f t="shared" si="341"/>
        <v>25/07/2026</v>
      </c>
      <c r="M1038" s="23">
        <f t="shared" si="342"/>
        <v>0.29166666666666669</v>
      </c>
      <c r="N1038" t="str">
        <f t="shared" si="343"/>
        <v>6 - 1</v>
      </c>
      <c r="O1038" t="str">
        <f t="shared" si="344"/>
        <v>Green</v>
      </c>
      <c r="P1038" t="str">
        <f t="shared" si="345"/>
        <v>Red</v>
      </c>
      <c r="Q1038" t="str">
        <f t="shared" si="346"/>
        <v>Red</v>
      </c>
      <c r="R1038" t="str">
        <f t="shared" si="347"/>
        <v>Green</v>
      </c>
      <c r="S1038" t="str">
        <f t="shared" si="348"/>
        <v>Red</v>
      </c>
      <c r="T1038" t="str">
        <f t="shared" si="349"/>
        <v>Green</v>
      </c>
      <c r="U1038" t="str">
        <f t="shared" si="350"/>
        <v>Green</v>
      </c>
      <c r="V1038" t="str">
        <f t="shared" si="351"/>
        <v>Red</v>
      </c>
      <c r="W1038" t="str">
        <f t="shared" si="352"/>
        <v>Red</v>
      </c>
      <c r="X1038" t="str">
        <f t="shared" si="353"/>
        <v>Green</v>
      </c>
      <c r="Y1038" t="str">
        <f t="shared" si="354"/>
        <v>Green</v>
      </c>
      <c r="Z1038" t="str">
        <f t="shared" si="355"/>
        <v>Green</v>
      </c>
      <c r="AA1038" t="str">
        <f t="shared" si="356"/>
        <v>Red</v>
      </c>
      <c r="AB1038" t="str">
        <f t="shared" si="357"/>
        <v>Red</v>
      </c>
      <c r="AC1038" t="str">
        <f t="shared" si="358"/>
        <v>Green</v>
      </c>
      <c r="AD1038" t="str">
        <f t="shared" si="359"/>
        <v>Red</v>
      </c>
    </row>
    <row r="1039" spans="1:30" x14ac:dyDescent="0.2">
      <c r="A1039" t="str">
        <f t="shared" si="340"/>
        <v>25/07/2026Gangneung CityYeoju Citizen</v>
      </c>
      <c r="D1039" s="2">
        <v>46228</v>
      </c>
      <c r="E1039" s="3">
        <v>0.41666666666666669</v>
      </c>
      <c r="F1039" t="s">
        <v>3649</v>
      </c>
      <c r="G1039" t="s">
        <v>3650</v>
      </c>
      <c r="H1039">
        <v>0</v>
      </c>
      <c r="I1039">
        <v>0</v>
      </c>
      <c r="J1039">
        <v>1</v>
      </c>
      <c r="K1039">
        <v>1</v>
      </c>
      <c r="L1039" s="22" t="str">
        <f t="shared" si="341"/>
        <v>25/07/2026</v>
      </c>
      <c r="M1039" s="23">
        <f t="shared" si="342"/>
        <v>0.29166666666666669</v>
      </c>
      <c r="N1039" t="str">
        <f t="shared" si="343"/>
        <v>1 - 1</v>
      </c>
      <c r="O1039" t="str">
        <f t="shared" si="344"/>
        <v>Red</v>
      </c>
      <c r="P1039" t="str">
        <f t="shared" si="345"/>
        <v>Green</v>
      </c>
      <c r="Q1039" t="str">
        <f t="shared" si="346"/>
        <v>Red</v>
      </c>
      <c r="R1039" t="str">
        <f t="shared" si="347"/>
        <v>Green</v>
      </c>
      <c r="S1039" t="str">
        <f t="shared" si="348"/>
        <v>Green</v>
      </c>
      <c r="T1039" t="str">
        <f t="shared" si="349"/>
        <v>Red</v>
      </c>
      <c r="U1039" t="str">
        <f t="shared" si="350"/>
        <v>Red</v>
      </c>
      <c r="V1039" t="str">
        <f t="shared" si="351"/>
        <v>Green</v>
      </c>
      <c r="W1039" t="str">
        <f t="shared" si="352"/>
        <v>Red</v>
      </c>
      <c r="X1039" t="str">
        <f t="shared" si="353"/>
        <v>Red</v>
      </c>
      <c r="Y1039" t="str">
        <f t="shared" si="354"/>
        <v>Green</v>
      </c>
      <c r="Z1039" t="str">
        <f t="shared" si="355"/>
        <v>Red</v>
      </c>
      <c r="AA1039" t="str">
        <f t="shared" si="356"/>
        <v>Green</v>
      </c>
      <c r="AB1039" t="str">
        <f t="shared" si="357"/>
        <v>Green</v>
      </c>
      <c r="AC1039" t="str">
        <f t="shared" si="358"/>
        <v>Green</v>
      </c>
      <c r="AD1039" t="str">
        <f t="shared" si="359"/>
        <v>Red</v>
      </c>
    </row>
    <row r="1040" spans="1:30" x14ac:dyDescent="0.2">
      <c r="A1040" t="str">
        <f t="shared" si="340"/>
        <v>25/07/2026AnnecyBrighton</v>
      </c>
      <c r="D1040" s="2">
        <v>46228</v>
      </c>
      <c r="E1040" s="3">
        <v>0.41666666666666669</v>
      </c>
      <c r="F1040" t="s">
        <v>3765</v>
      </c>
      <c r="G1040" t="s">
        <v>3766</v>
      </c>
      <c r="L1040" s="22" t="str">
        <f t="shared" si="341"/>
        <v>25/07/2026</v>
      </c>
      <c r="M1040" s="23">
        <f t="shared" si="342"/>
        <v>0.29166666666666669</v>
      </c>
      <c r="N1040" t="str">
        <f t="shared" si="343"/>
        <v xml:space="preserve"> - </v>
      </c>
      <c r="O1040" t="str">
        <f t="shared" si="344"/>
        <v>Red</v>
      </c>
      <c r="P1040" t="str">
        <f t="shared" si="345"/>
        <v>Green</v>
      </c>
      <c r="Q1040" t="str">
        <f t="shared" si="346"/>
        <v>Red</v>
      </c>
      <c r="R1040" t="str">
        <f t="shared" si="347"/>
        <v>Green</v>
      </c>
      <c r="S1040" t="str">
        <f t="shared" si="348"/>
        <v>Green</v>
      </c>
      <c r="T1040" t="str">
        <f t="shared" si="349"/>
        <v>Red</v>
      </c>
      <c r="U1040" t="str">
        <f t="shared" si="350"/>
        <v>Red</v>
      </c>
      <c r="V1040" t="str">
        <f t="shared" si="351"/>
        <v>Green</v>
      </c>
      <c r="W1040" t="str">
        <f t="shared" si="352"/>
        <v>Red</v>
      </c>
      <c r="X1040" t="str">
        <f t="shared" si="353"/>
        <v>Red</v>
      </c>
      <c r="Y1040" t="str">
        <f t="shared" si="354"/>
        <v>Red</v>
      </c>
      <c r="Z1040" t="str">
        <f t="shared" si="355"/>
        <v>Red</v>
      </c>
      <c r="AA1040" t="str">
        <f t="shared" si="356"/>
        <v>Green</v>
      </c>
      <c r="AB1040" t="str">
        <f t="shared" si="357"/>
        <v>Green</v>
      </c>
      <c r="AC1040" t="str">
        <f t="shared" si="358"/>
        <v>Red</v>
      </c>
      <c r="AD1040" t="str">
        <f t="shared" si="359"/>
        <v>Green</v>
      </c>
    </row>
    <row r="1041" spans="1:30" x14ac:dyDescent="0.2">
      <c r="A1041" t="str">
        <f t="shared" si="340"/>
        <v>25/07/2026LensRoyal Charleroi SC</v>
      </c>
      <c r="D1041" s="2">
        <v>46228</v>
      </c>
      <c r="E1041" s="3">
        <v>0.41666666666666669</v>
      </c>
      <c r="F1041" t="s">
        <v>3767</v>
      </c>
      <c r="G1041" t="s">
        <v>3768</v>
      </c>
      <c r="H1041">
        <v>1</v>
      </c>
      <c r="I1041">
        <v>1</v>
      </c>
      <c r="J1041">
        <v>2</v>
      </c>
      <c r="K1041">
        <v>2</v>
      </c>
      <c r="L1041" s="22" t="str">
        <f t="shared" si="341"/>
        <v>25/07/2026</v>
      </c>
      <c r="M1041" s="23">
        <f t="shared" si="342"/>
        <v>0.29166666666666669</v>
      </c>
      <c r="N1041" t="str">
        <f t="shared" si="343"/>
        <v>2 - 2</v>
      </c>
      <c r="O1041" t="str">
        <f t="shared" si="344"/>
        <v>Red</v>
      </c>
      <c r="P1041" t="str">
        <f t="shared" si="345"/>
        <v>Green</v>
      </c>
      <c r="Q1041" t="str">
        <f t="shared" si="346"/>
        <v>Red</v>
      </c>
      <c r="R1041" t="str">
        <f t="shared" si="347"/>
        <v>Green</v>
      </c>
      <c r="S1041" t="str">
        <f t="shared" si="348"/>
        <v>Green</v>
      </c>
      <c r="T1041" t="str">
        <f t="shared" si="349"/>
        <v>Red</v>
      </c>
      <c r="U1041" t="str">
        <f t="shared" si="350"/>
        <v>Red</v>
      </c>
      <c r="V1041" t="str">
        <f t="shared" si="351"/>
        <v>Green</v>
      </c>
      <c r="W1041" t="str">
        <f t="shared" si="352"/>
        <v>Red</v>
      </c>
      <c r="X1041" t="str">
        <f t="shared" si="353"/>
        <v>Green</v>
      </c>
      <c r="Y1041" t="str">
        <f t="shared" si="354"/>
        <v>Green</v>
      </c>
      <c r="Z1041" t="str">
        <f t="shared" si="355"/>
        <v>Green</v>
      </c>
      <c r="AA1041" t="str">
        <f t="shared" si="356"/>
        <v>Red</v>
      </c>
      <c r="AB1041" t="str">
        <f t="shared" si="357"/>
        <v>Red</v>
      </c>
      <c r="AC1041" t="str">
        <f t="shared" si="358"/>
        <v>Green</v>
      </c>
      <c r="AD1041" t="str">
        <f t="shared" si="359"/>
        <v>Red</v>
      </c>
    </row>
    <row r="1042" spans="1:30" x14ac:dyDescent="0.2">
      <c r="A1042" t="str">
        <f t="shared" si="340"/>
        <v>25/07/2026SC BruhlDietikon</v>
      </c>
      <c r="D1042" s="2">
        <v>46228</v>
      </c>
      <c r="E1042" s="3">
        <v>0.41666666666666669</v>
      </c>
      <c r="F1042" t="s">
        <v>3769</v>
      </c>
      <c r="G1042" t="s">
        <v>3770</v>
      </c>
      <c r="H1042">
        <v>1</v>
      </c>
      <c r="I1042">
        <v>0</v>
      </c>
      <c r="J1042">
        <v>3</v>
      </c>
      <c r="K1042">
        <v>0</v>
      </c>
      <c r="L1042" s="22" t="str">
        <f t="shared" si="341"/>
        <v>25/07/2026</v>
      </c>
      <c r="M1042" s="23">
        <f t="shared" si="342"/>
        <v>0.29166666666666669</v>
      </c>
      <c r="N1042" t="str">
        <f t="shared" si="343"/>
        <v>3 - 0</v>
      </c>
      <c r="O1042" t="str">
        <f t="shared" si="344"/>
        <v>Green</v>
      </c>
      <c r="P1042" t="str">
        <f t="shared" si="345"/>
        <v>Red</v>
      </c>
      <c r="Q1042" t="str">
        <f t="shared" si="346"/>
        <v>Red</v>
      </c>
      <c r="R1042" t="str">
        <f t="shared" si="347"/>
        <v>Green</v>
      </c>
      <c r="S1042" t="str">
        <f t="shared" si="348"/>
        <v>Red</v>
      </c>
      <c r="T1042" t="str">
        <f t="shared" si="349"/>
        <v>Green</v>
      </c>
      <c r="U1042" t="str">
        <f t="shared" si="350"/>
        <v>Green</v>
      </c>
      <c r="V1042" t="str">
        <f t="shared" si="351"/>
        <v>Red</v>
      </c>
      <c r="W1042" t="str">
        <f t="shared" si="352"/>
        <v>Red</v>
      </c>
      <c r="X1042" t="str">
        <f t="shared" si="353"/>
        <v>Green</v>
      </c>
      <c r="Y1042" t="str">
        <f t="shared" si="354"/>
        <v>Green</v>
      </c>
      <c r="Z1042" t="str">
        <f t="shared" si="355"/>
        <v>Green</v>
      </c>
      <c r="AA1042" t="str">
        <f t="shared" si="356"/>
        <v>Red</v>
      </c>
      <c r="AB1042" t="str">
        <f t="shared" si="357"/>
        <v>Green</v>
      </c>
      <c r="AC1042" t="str">
        <f t="shared" si="358"/>
        <v>Red</v>
      </c>
      <c r="AD1042" t="str">
        <f t="shared" si="359"/>
        <v>Green</v>
      </c>
    </row>
    <row r="1043" spans="1:30" x14ac:dyDescent="0.2">
      <c r="A1043" t="str">
        <f t="shared" si="340"/>
        <v>25/07/2026Darwin OlympicPort Darwin FC</v>
      </c>
      <c r="B1043" t="s">
        <v>810</v>
      </c>
      <c r="D1043" s="2">
        <v>46228</v>
      </c>
      <c r="E1043" s="3">
        <v>0.4375</v>
      </c>
      <c r="F1043" t="s">
        <v>902</v>
      </c>
      <c r="G1043" t="s">
        <v>899</v>
      </c>
      <c r="H1043">
        <v>0</v>
      </c>
      <c r="I1043">
        <v>0</v>
      </c>
      <c r="J1043">
        <v>1</v>
      </c>
      <c r="K1043">
        <v>0</v>
      </c>
      <c r="L1043" s="22" t="str">
        <f t="shared" si="341"/>
        <v>25/07/2026</v>
      </c>
      <c r="M1043" s="23">
        <f t="shared" si="342"/>
        <v>0.3125</v>
      </c>
      <c r="N1043" t="str">
        <f t="shared" si="343"/>
        <v>1 - 0</v>
      </c>
      <c r="O1043" t="str">
        <f t="shared" si="344"/>
        <v>Green</v>
      </c>
      <c r="P1043" t="str">
        <f t="shared" si="345"/>
        <v>Red</v>
      </c>
      <c r="Q1043" t="str">
        <f t="shared" si="346"/>
        <v>Red</v>
      </c>
      <c r="R1043" t="str">
        <f t="shared" si="347"/>
        <v>Green</v>
      </c>
      <c r="S1043" t="str">
        <f t="shared" si="348"/>
        <v>Red</v>
      </c>
      <c r="T1043" t="str">
        <f t="shared" si="349"/>
        <v>Green</v>
      </c>
      <c r="U1043" t="str">
        <f t="shared" si="350"/>
        <v>Red</v>
      </c>
      <c r="V1043" t="str">
        <f t="shared" si="351"/>
        <v>Green</v>
      </c>
      <c r="W1043" t="str">
        <f t="shared" si="352"/>
        <v>Red</v>
      </c>
      <c r="X1043" t="str">
        <f t="shared" si="353"/>
        <v>Red</v>
      </c>
      <c r="Y1043" t="str">
        <f t="shared" si="354"/>
        <v>Red</v>
      </c>
      <c r="Z1043" t="str">
        <f t="shared" si="355"/>
        <v>Red</v>
      </c>
      <c r="AA1043" t="str">
        <f t="shared" si="356"/>
        <v>Green</v>
      </c>
      <c r="AB1043" t="str">
        <f t="shared" si="357"/>
        <v>Green</v>
      </c>
      <c r="AC1043" t="str">
        <f t="shared" si="358"/>
        <v>Red</v>
      </c>
      <c r="AD1043" t="str">
        <f t="shared" si="359"/>
        <v>Green</v>
      </c>
    </row>
    <row r="1044" spans="1:30" x14ac:dyDescent="0.2">
      <c r="A1044" t="str">
        <f t="shared" si="340"/>
        <v>25/07/2026Pohang SteelersJeonbuk Hyundai Motors</v>
      </c>
      <c r="D1044" s="2">
        <v>46228</v>
      </c>
      <c r="E1044" s="3">
        <v>0.4375</v>
      </c>
      <c r="F1044" t="s">
        <v>28</v>
      </c>
      <c r="G1044" t="s">
        <v>1414</v>
      </c>
      <c r="H1044">
        <v>0</v>
      </c>
      <c r="I1044">
        <v>1</v>
      </c>
      <c r="J1044">
        <v>0</v>
      </c>
      <c r="K1044">
        <v>2</v>
      </c>
      <c r="L1044" s="22" t="str">
        <f t="shared" si="341"/>
        <v>25/07/2026</v>
      </c>
      <c r="M1044" s="23">
        <f t="shared" si="342"/>
        <v>0.3125</v>
      </c>
      <c r="N1044" t="str">
        <f t="shared" si="343"/>
        <v>0 - 2</v>
      </c>
      <c r="O1044" t="str">
        <f t="shared" si="344"/>
        <v>Red</v>
      </c>
      <c r="P1044" t="str">
        <f t="shared" si="345"/>
        <v>Red</v>
      </c>
      <c r="Q1044" t="str">
        <f t="shared" si="346"/>
        <v>Green</v>
      </c>
      <c r="R1044" t="str">
        <f t="shared" si="347"/>
        <v>Red</v>
      </c>
      <c r="S1044" t="str">
        <f t="shared" si="348"/>
        <v>Green</v>
      </c>
      <c r="T1044" t="str">
        <f t="shared" si="349"/>
        <v>Green</v>
      </c>
      <c r="U1044" t="str">
        <f t="shared" si="350"/>
        <v>Red</v>
      </c>
      <c r="V1044" t="str">
        <f t="shared" si="351"/>
        <v>Red</v>
      </c>
      <c r="W1044" t="str">
        <f t="shared" si="352"/>
        <v>Green</v>
      </c>
      <c r="X1044" t="str">
        <f t="shared" si="353"/>
        <v>Green</v>
      </c>
      <c r="Y1044" t="str">
        <f t="shared" si="354"/>
        <v>Green</v>
      </c>
      <c r="Z1044" t="str">
        <f t="shared" si="355"/>
        <v>Red</v>
      </c>
      <c r="AA1044" t="str">
        <f t="shared" si="356"/>
        <v>Green</v>
      </c>
      <c r="AB1044" t="str">
        <f t="shared" si="357"/>
        <v>Green</v>
      </c>
      <c r="AC1044" t="str">
        <f t="shared" si="358"/>
        <v>Red</v>
      </c>
      <c r="AD1044" t="str">
        <f t="shared" si="359"/>
        <v>Green</v>
      </c>
    </row>
    <row r="1045" spans="1:30" x14ac:dyDescent="0.2">
      <c r="A1045" t="str">
        <f t="shared" si="340"/>
        <v>25/07/2026Sangju SangmuDaejeon Citizen</v>
      </c>
      <c r="D1045" s="2">
        <v>46228</v>
      </c>
      <c r="E1045" s="3">
        <v>0.4375</v>
      </c>
      <c r="F1045" t="s">
        <v>1599</v>
      </c>
      <c r="G1045" t="s">
        <v>1415</v>
      </c>
      <c r="H1045">
        <v>2</v>
      </c>
      <c r="I1045">
        <v>1</v>
      </c>
      <c r="J1045">
        <v>3</v>
      </c>
      <c r="K1045">
        <v>2</v>
      </c>
      <c r="L1045" s="22" t="str">
        <f t="shared" si="341"/>
        <v>25/07/2026</v>
      </c>
      <c r="M1045" s="23">
        <f t="shared" si="342"/>
        <v>0.3125</v>
      </c>
      <c r="N1045" t="str">
        <f t="shared" si="343"/>
        <v>3 - 2</v>
      </c>
      <c r="O1045" t="str">
        <f t="shared" si="344"/>
        <v>Green</v>
      </c>
      <c r="P1045" t="str">
        <f t="shared" si="345"/>
        <v>Red</v>
      </c>
      <c r="Q1045" t="str">
        <f t="shared" si="346"/>
        <v>Red</v>
      </c>
      <c r="R1045" t="str">
        <f t="shared" si="347"/>
        <v>Green</v>
      </c>
      <c r="S1045" t="str">
        <f t="shared" si="348"/>
        <v>Red</v>
      </c>
      <c r="T1045" t="str">
        <f t="shared" si="349"/>
        <v>Green</v>
      </c>
      <c r="U1045" t="str">
        <f t="shared" si="350"/>
        <v>Green</v>
      </c>
      <c r="V1045" t="str">
        <f t="shared" si="351"/>
        <v>Red</v>
      </c>
      <c r="W1045" t="str">
        <f t="shared" si="352"/>
        <v>Red</v>
      </c>
      <c r="X1045" t="str">
        <f t="shared" si="353"/>
        <v>Green</v>
      </c>
      <c r="Y1045" t="str">
        <f t="shared" si="354"/>
        <v>Green</v>
      </c>
      <c r="Z1045" t="str">
        <f t="shared" si="355"/>
        <v>Green</v>
      </c>
      <c r="AA1045" t="str">
        <f t="shared" si="356"/>
        <v>Red</v>
      </c>
      <c r="AB1045" t="str">
        <f t="shared" si="357"/>
        <v>Red</v>
      </c>
      <c r="AC1045" t="str">
        <f t="shared" si="358"/>
        <v>Green</v>
      </c>
      <c r="AD1045" t="str">
        <f t="shared" si="359"/>
        <v>Red</v>
      </c>
    </row>
    <row r="1046" spans="1:30" x14ac:dyDescent="0.2">
      <c r="A1046" t="str">
        <f t="shared" si="340"/>
        <v>25/07/2026Busan IParkSuwon Samsung Bluewings</v>
      </c>
      <c r="D1046" s="2">
        <v>46228</v>
      </c>
      <c r="E1046" s="3">
        <v>0.4375</v>
      </c>
      <c r="F1046" t="s">
        <v>3637</v>
      </c>
      <c r="G1046" t="s">
        <v>3638</v>
      </c>
      <c r="H1046">
        <v>1</v>
      </c>
      <c r="I1046">
        <v>1</v>
      </c>
      <c r="J1046">
        <v>1</v>
      </c>
      <c r="K1046">
        <v>4</v>
      </c>
      <c r="L1046" s="22" t="str">
        <f t="shared" si="341"/>
        <v>25/07/2026</v>
      </c>
      <c r="M1046" s="23">
        <f t="shared" si="342"/>
        <v>0.3125</v>
      </c>
      <c r="N1046" t="str">
        <f t="shared" si="343"/>
        <v>1 - 4</v>
      </c>
      <c r="O1046" t="str">
        <f t="shared" si="344"/>
        <v>Red</v>
      </c>
      <c r="P1046" t="str">
        <f t="shared" si="345"/>
        <v>Red</v>
      </c>
      <c r="Q1046" t="str">
        <f t="shared" si="346"/>
        <v>Green</v>
      </c>
      <c r="R1046" t="str">
        <f t="shared" si="347"/>
        <v>Red</v>
      </c>
      <c r="S1046" t="str">
        <f t="shared" si="348"/>
        <v>Green</v>
      </c>
      <c r="T1046" t="str">
        <f t="shared" si="349"/>
        <v>Green</v>
      </c>
      <c r="U1046" t="str">
        <f t="shared" si="350"/>
        <v>Red</v>
      </c>
      <c r="V1046" t="str">
        <f t="shared" si="351"/>
        <v>Green</v>
      </c>
      <c r="W1046" t="str">
        <f t="shared" si="352"/>
        <v>Red</v>
      </c>
      <c r="X1046" t="str">
        <f t="shared" si="353"/>
        <v>Green</v>
      </c>
      <c r="Y1046" t="str">
        <f t="shared" si="354"/>
        <v>Green</v>
      </c>
      <c r="Z1046" t="str">
        <f t="shared" si="355"/>
        <v>Green</v>
      </c>
      <c r="AA1046" t="str">
        <f t="shared" si="356"/>
        <v>Red</v>
      </c>
      <c r="AB1046" t="str">
        <f t="shared" si="357"/>
        <v>Red</v>
      </c>
      <c r="AC1046" t="str">
        <f t="shared" si="358"/>
        <v>Green</v>
      </c>
      <c r="AD1046" t="str">
        <f t="shared" si="359"/>
        <v>Red</v>
      </c>
    </row>
    <row r="1047" spans="1:30" x14ac:dyDescent="0.2">
      <c r="A1047" t="str">
        <f t="shared" si="340"/>
        <v>25/07/2026DaeguSuwon FC</v>
      </c>
      <c r="D1047" s="2">
        <v>46228</v>
      </c>
      <c r="E1047" s="3">
        <v>0.4375</v>
      </c>
      <c r="F1047" t="s">
        <v>3639</v>
      </c>
      <c r="G1047" t="s">
        <v>553</v>
      </c>
      <c r="H1047">
        <v>0</v>
      </c>
      <c r="I1047">
        <v>2</v>
      </c>
      <c r="J1047">
        <v>1</v>
      </c>
      <c r="K1047">
        <v>2</v>
      </c>
      <c r="L1047" s="22" t="str">
        <f t="shared" si="341"/>
        <v>25/07/2026</v>
      </c>
      <c r="M1047" s="23">
        <f t="shared" si="342"/>
        <v>0.3125</v>
      </c>
      <c r="N1047" t="str">
        <f t="shared" si="343"/>
        <v>1 - 2</v>
      </c>
      <c r="O1047" t="str">
        <f t="shared" si="344"/>
        <v>Red</v>
      </c>
      <c r="P1047" t="str">
        <f t="shared" si="345"/>
        <v>Red</v>
      </c>
      <c r="Q1047" t="str">
        <f t="shared" si="346"/>
        <v>Green</v>
      </c>
      <c r="R1047" t="str">
        <f t="shared" si="347"/>
        <v>Red</v>
      </c>
      <c r="S1047" t="str">
        <f t="shared" si="348"/>
        <v>Green</v>
      </c>
      <c r="T1047" t="str">
        <f t="shared" si="349"/>
        <v>Green</v>
      </c>
      <c r="U1047" t="str">
        <f t="shared" si="350"/>
        <v>Red</v>
      </c>
      <c r="V1047" t="str">
        <f t="shared" si="351"/>
        <v>Red</v>
      </c>
      <c r="W1047" t="str">
        <f t="shared" si="352"/>
        <v>Green</v>
      </c>
      <c r="X1047" t="str">
        <f t="shared" si="353"/>
        <v>Green</v>
      </c>
      <c r="Y1047" t="str">
        <f t="shared" si="354"/>
        <v>Green</v>
      </c>
      <c r="Z1047" t="str">
        <f t="shared" si="355"/>
        <v>Green</v>
      </c>
      <c r="AA1047" t="str">
        <f t="shared" si="356"/>
        <v>Red</v>
      </c>
      <c r="AB1047" t="str">
        <f t="shared" si="357"/>
        <v>Green</v>
      </c>
      <c r="AC1047" t="str">
        <f t="shared" si="358"/>
        <v>Green</v>
      </c>
      <c r="AD1047" t="str">
        <f t="shared" si="359"/>
        <v>Red</v>
      </c>
    </row>
    <row r="1048" spans="1:30" x14ac:dyDescent="0.2">
      <c r="A1048" t="str">
        <f t="shared" si="340"/>
        <v>25/07/2026HwaseongAnsan Police</v>
      </c>
      <c r="D1048" s="2">
        <v>46228</v>
      </c>
      <c r="E1048" s="3">
        <v>0.4375</v>
      </c>
      <c r="F1048" t="s">
        <v>3640</v>
      </c>
      <c r="G1048" t="s">
        <v>3641</v>
      </c>
      <c r="H1048">
        <v>2</v>
      </c>
      <c r="I1048">
        <v>0</v>
      </c>
      <c r="J1048">
        <v>3</v>
      </c>
      <c r="K1048">
        <v>2</v>
      </c>
      <c r="L1048" s="22" t="str">
        <f t="shared" si="341"/>
        <v>25/07/2026</v>
      </c>
      <c r="M1048" s="23">
        <f t="shared" si="342"/>
        <v>0.3125</v>
      </c>
      <c r="N1048" t="str">
        <f t="shared" si="343"/>
        <v>3 - 2</v>
      </c>
      <c r="O1048" t="str">
        <f t="shared" si="344"/>
        <v>Green</v>
      </c>
      <c r="P1048" t="str">
        <f t="shared" si="345"/>
        <v>Red</v>
      </c>
      <c r="Q1048" t="str">
        <f t="shared" si="346"/>
        <v>Red</v>
      </c>
      <c r="R1048" t="str">
        <f t="shared" si="347"/>
        <v>Green</v>
      </c>
      <c r="S1048" t="str">
        <f t="shared" si="348"/>
        <v>Red</v>
      </c>
      <c r="T1048" t="str">
        <f t="shared" si="349"/>
        <v>Green</v>
      </c>
      <c r="U1048" t="str">
        <f t="shared" si="350"/>
        <v>Green</v>
      </c>
      <c r="V1048" t="str">
        <f t="shared" si="351"/>
        <v>Red</v>
      </c>
      <c r="W1048" t="str">
        <f t="shared" si="352"/>
        <v>Red</v>
      </c>
      <c r="X1048" t="str">
        <f t="shared" si="353"/>
        <v>Green</v>
      </c>
      <c r="Y1048" t="str">
        <f t="shared" si="354"/>
        <v>Green</v>
      </c>
      <c r="Z1048" t="str">
        <f t="shared" si="355"/>
        <v>Green</v>
      </c>
      <c r="AA1048" t="str">
        <f t="shared" si="356"/>
        <v>Red</v>
      </c>
      <c r="AB1048" t="str">
        <f t="shared" si="357"/>
        <v>Red</v>
      </c>
      <c r="AC1048" t="str">
        <f t="shared" si="358"/>
        <v>Green</v>
      </c>
      <c r="AD1048" t="str">
        <f t="shared" si="359"/>
        <v>Red</v>
      </c>
    </row>
    <row r="1049" spans="1:30" x14ac:dyDescent="0.2">
      <c r="A1049" t="str">
        <f t="shared" si="340"/>
        <v>25/07/2026Jeonnam DragonsGyeongnam</v>
      </c>
      <c r="D1049" s="2">
        <v>46228</v>
      </c>
      <c r="E1049" s="3">
        <v>0.4375</v>
      </c>
      <c r="F1049" t="s">
        <v>556</v>
      </c>
      <c r="G1049" t="s">
        <v>3642</v>
      </c>
      <c r="H1049">
        <v>1</v>
      </c>
      <c r="I1049">
        <v>0</v>
      </c>
      <c r="J1049">
        <v>1</v>
      </c>
      <c r="K1049">
        <v>1</v>
      </c>
      <c r="L1049" s="22" t="str">
        <f t="shared" si="341"/>
        <v>25/07/2026</v>
      </c>
      <c r="M1049" s="23">
        <f t="shared" si="342"/>
        <v>0.3125</v>
      </c>
      <c r="N1049" t="str">
        <f t="shared" si="343"/>
        <v>1 - 1</v>
      </c>
      <c r="O1049" t="str">
        <f t="shared" si="344"/>
        <v>Red</v>
      </c>
      <c r="P1049" t="str">
        <f t="shared" si="345"/>
        <v>Green</v>
      </c>
      <c r="Q1049" t="str">
        <f t="shared" si="346"/>
        <v>Red</v>
      </c>
      <c r="R1049" t="str">
        <f t="shared" si="347"/>
        <v>Green</v>
      </c>
      <c r="S1049" t="str">
        <f t="shared" si="348"/>
        <v>Green</v>
      </c>
      <c r="T1049" t="str">
        <f t="shared" si="349"/>
        <v>Red</v>
      </c>
      <c r="U1049" t="str">
        <f t="shared" si="350"/>
        <v>Green</v>
      </c>
      <c r="V1049" t="str">
        <f t="shared" si="351"/>
        <v>Red</v>
      </c>
      <c r="W1049" t="str">
        <f t="shared" si="352"/>
        <v>Red</v>
      </c>
      <c r="X1049" t="str">
        <f t="shared" si="353"/>
        <v>Green</v>
      </c>
      <c r="Y1049" t="str">
        <f t="shared" si="354"/>
        <v>Green</v>
      </c>
      <c r="Z1049" t="str">
        <f t="shared" si="355"/>
        <v>Red</v>
      </c>
      <c r="AA1049" t="str">
        <f t="shared" si="356"/>
        <v>Green</v>
      </c>
      <c r="AB1049" t="str">
        <f t="shared" si="357"/>
        <v>Green</v>
      </c>
      <c r="AC1049" t="str">
        <f t="shared" si="358"/>
        <v>Green</v>
      </c>
      <c r="AD1049" t="str">
        <f t="shared" si="359"/>
        <v>Red</v>
      </c>
    </row>
    <row r="1050" spans="1:30" x14ac:dyDescent="0.2">
      <c r="A1050" t="str">
        <f t="shared" si="340"/>
        <v>25/07/2026FC SmorgonFC Gomel Reserves</v>
      </c>
      <c r="D1050" s="2">
        <v>46228</v>
      </c>
      <c r="E1050" s="3">
        <v>0.45833333333333331</v>
      </c>
      <c r="F1050" t="s">
        <v>3028</v>
      </c>
      <c r="G1050" t="s">
        <v>3029</v>
      </c>
      <c r="H1050">
        <v>0</v>
      </c>
      <c r="I1050">
        <v>0</v>
      </c>
      <c r="J1050">
        <v>2</v>
      </c>
      <c r="K1050">
        <v>0</v>
      </c>
      <c r="L1050" s="22" t="str">
        <f t="shared" si="341"/>
        <v>25/07/2026</v>
      </c>
      <c r="M1050" s="23">
        <f t="shared" si="342"/>
        <v>0.33333333333333331</v>
      </c>
      <c r="N1050" t="str">
        <f t="shared" si="343"/>
        <v>2 - 0</v>
      </c>
      <c r="O1050" t="str">
        <f t="shared" si="344"/>
        <v>Green</v>
      </c>
      <c r="P1050" t="str">
        <f t="shared" si="345"/>
        <v>Red</v>
      </c>
      <c r="Q1050" t="str">
        <f t="shared" si="346"/>
        <v>Red</v>
      </c>
      <c r="R1050" t="str">
        <f t="shared" si="347"/>
        <v>Green</v>
      </c>
      <c r="S1050" t="str">
        <f t="shared" si="348"/>
        <v>Red</v>
      </c>
      <c r="T1050" t="str">
        <f t="shared" si="349"/>
        <v>Green</v>
      </c>
      <c r="U1050" t="str">
        <f t="shared" si="350"/>
        <v>Red</v>
      </c>
      <c r="V1050" t="str">
        <f t="shared" si="351"/>
        <v>Green</v>
      </c>
      <c r="W1050" t="str">
        <f t="shared" si="352"/>
        <v>Red</v>
      </c>
      <c r="X1050" t="str">
        <f t="shared" si="353"/>
        <v>Red</v>
      </c>
      <c r="Y1050" t="str">
        <f t="shared" si="354"/>
        <v>Green</v>
      </c>
      <c r="Z1050" t="str">
        <f t="shared" si="355"/>
        <v>Red</v>
      </c>
      <c r="AA1050" t="str">
        <f t="shared" si="356"/>
        <v>Green</v>
      </c>
      <c r="AB1050" t="str">
        <f t="shared" si="357"/>
        <v>Green</v>
      </c>
      <c r="AC1050" t="str">
        <f t="shared" si="358"/>
        <v>Red</v>
      </c>
      <c r="AD1050" t="str">
        <f t="shared" si="359"/>
        <v>Green</v>
      </c>
    </row>
    <row r="1051" spans="1:30" x14ac:dyDescent="0.2">
      <c r="A1051" t="str">
        <f t="shared" si="340"/>
        <v>25/07/2026Belshina BobruiskFC Minsk</v>
      </c>
      <c r="D1051" s="2">
        <v>46228</v>
      </c>
      <c r="E1051" s="3">
        <v>0.45833333333333331</v>
      </c>
      <c r="F1051" t="s">
        <v>3036</v>
      </c>
      <c r="G1051" t="s">
        <v>3037</v>
      </c>
      <c r="H1051">
        <v>0</v>
      </c>
      <c r="I1051">
        <v>1</v>
      </c>
      <c r="J1051">
        <v>1</v>
      </c>
      <c r="K1051">
        <v>2</v>
      </c>
      <c r="L1051" s="22" t="str">
        <f t="shared" si="341"/>
        <v>25/07/2026</v>
      </c>
      <c r="M1051" s="23">
        <f t="shared" si="342"/>
        <v>0.33333333333333331</v>
      </c>
      <c r="N1051" t="str">
        <f t="shared" si="343"/>
        <v>1 - 2</v>
      </c>
      <c r="O1051" t="str">
        <f t="shared" si="344"/>
        <v>Red</v>
      </c>
      <c r="P1051" t="str">
        <f t="shared" si="345"/>
        <v>Red</v>
      </c>
      <c r="Q1051" t="str">
        <f t="shared" si="346"/>
        <v>Green</v>
      </c>
      <c r="R1051" t="str">
        <f t="shared" si="347"/>
        <v>Red</v>
      </c>
      <c r="S1051" t="str">
        <f t="shared" si="348"/>
        <v>Green</v>
      </c>
      <c r="T1051" t="str">
        <f t="shared" si="349"/>
        <v>Green</v>
      </c>
      <c r="U1051" t="str">
        <f t="shared" si="350"/>
        <v>Red</v>
      </c>
      <c r="V1051" t="str">
        <f t="shared" si="351"/>
        <v>Red</v>
      </c>
      <c r="W1051" t="str">
        <f t="shared" si="352"/>
        <v>Green</v>
      </c>
      <c r="X1051" t="str">
        <f t="shared" si="353"/>
        <v>Green</v>
      </c>
      <c r="Y1051" t="str">
        <f t="shared" si="354"/>
        <v>Green</v>
      </c>
      <c r="Z1051" t="str">
        <f t="shared" si="355"/>
        <v>Green</v>
      </c>
      <c r="AA1051" t="str">
        <f t="shared" si="356"/>
        <v>Red</v>
      </c>
      <c r="AB1051" t="str">
        <f t="shared" si="357"/>
        <v>Green</v>
      </c>
      <c r="AC1051" t="str">
        <f t="shared" si="358"/>
        <v>Green</v>
      </c>
      <c r="AD1051" t="str">
        <f t="shared" si="359"/>
        <v>Red</v>
      </c>
    </row>
    <row r="1052" spans="1:30" x14ac:dyDescent="0.2">
      <c r="A1052" t="str">
        <f t="shared" si="340"/>
        <v>25/07/2026Changchun YataiNanjing City</v>
      </c>
      <c r="D1052" s="2">
        <v>46228</v>
      </c>
      <c r="E1052" s="3">
        <v>0.45833333333333331</v>
      </c>
      <c r="F1052" t="s">
        <v>559</v>
      </c>
      <c r="G1052" t="s">
        <v>560</v>
      </c>
      <c r="H1052">
        <v>2</v>
      </c>
      <c r="I1052">
        <v>0</v>
      </c>
      <c r="J1052">
        <v>2</v>
      </c>
      <c r="K1052">
        <v>1</v>
      </c>
      <c r="L1052" s="22" t="str">
        <f t="shared" si="341"/>
        <v>25/07/2026</v>
      </c>
      <c r="M1052" s="23">
        <f t="shared" si="342"/>
        <v>0.33333333333333331</v>
      </c>
      <c r="N1052" t="str">
        <f t="shared" si="343"/>
        <v>2 - 1</v>
      </c>
      <c r="O1052" t="str">
        <f t="shared" si="344"/>
        <v>Green</v>
      </c>
      <c r="P1052" t="str">
        <f t="shared" si="345"/>
        <v>Red</v>
      </c>
      <c r="Q1052" t="str">
        <f t="shared" si="346"/>
        <v>Red</v>
      </c>
      <c r="R1052" t="str">
        <f t="shared" si="347"/>
        <v>Green</v>
      </c>
      <c r="S1052" t="str">
        <f t="shared" si="348"/>
        <v>Red</v>
      </c>
      <c r="T1052" t="str">
        <f t="shared" si="349"/>
        <v>Green</v>
      </c>
      <c r="U1052" t="str">
        <f t="shared" si="350"/>
        <v>Green</v>
      </c>
      <c r="V1052" t="str">
        <f t="shared" si="351"/>
        <v>Red</v>
      </c>
      <c r="W1052" t="str">
        <f t="shared" si="352"/>
        <v>Red</v>
      </c>
      <c r="X1052" t="str">
        <f t="shared" si="353"/>
        <v>Green</v>
      </c>
      <c r="Y1052" t="str">
        <f t="shared" si="354"/>
        <v>Green</v>
      </c>
      <c r="Z1052" t="str">
        <f t="shared" si="355"/>
        <v>Green</v>
      </c>
      <c r="AA1052" t="str">
        <f t="shared" si="356"/>
        <v>Red</v>
      </c>
      <c r="AB1052" t="str">
        <f t="shared" si="357"/>
        <v>Green</v>
      </c>
      <c r="AC1052" t="str">
        <f t="shared" si="358"/>
        <v>Green</v>
      </c>
      <c r="AD1052" t="str">
        <f t="shared" si="359"/>
        <v>Red</v>
      </c>
    </row>
    <row r="1053" spans="1:30" x14ac:dyDescent="0.2">
      <c r="A1053" t="str">
        <f t="shared" si="340"/>
        <v>25/07/2026Shaanxi Union FCShenzhen Juniors</v>
      </c>
      <c r="D1053" s="2">
        <v>46228</v>
      </c>
      <c r="E1053" s="3">
        <v>0.45833333333333331</v>
      </c>
      <c r="F1053" t="s">
        <v>1601</v>
      </c>
      <c r="G1053" t="s">
        <v>564</v>
      </c>
      <c r="H1053">
        <v>2</v>
      </c>
      <c r="I1053">
        <v>0</v>
      </c>
      <c r="J1053">
        <v>3</v>
      </c>
      <c r="K1053">
        <v>0</v>
      </c>
      <c r="L1053" s="22" t="str">
        <f t="shared" si="341"/>
        <v>25/07/2026</v>
      </c>
      <c r="M1053" s="23">
        <f t="shared" si="342"/>
        <v>0.33333333333333331</v>
      </c>
      <c r="N1053" t="str">
        <f t="shared" si="343"/>
        <v>3 - 0</v>
      </c>
      <c r="O1053" t="str">
        <f t="shared" si="344"/>
        <v>Green</v>
      </c>
      <c r="P1053" t="str">
        <f t="shared" si="345"/>
        <v>Red</v>
      </c>
      <c r="Q1053" t="str">
        <f t="shared" si="346"/>
        <v>Red</v>
      </c>
      <c r="R1053" t="str">
        <f t="shared" si="347"/>
        <v>Green</v>
      </c>
      <c r="S1053" t="str">
        <f t="shared" si="348"/>
        <v>Red</v>
      </c>
      <c r="T1053" t="str">
        <f t="shared" si="349"/>
        <v>Green</v>
      </c>
      <c r="U1053" t="str">
        <f t="shared" si="350"/>
        <v>Green</v>
      </c>
      <c r="V1053" t="str">
        <f t="shared" si="351"/>
        <v>Red</v>
      </c>
      <c r="W1053" t="str">
        <f t="shared" si="352"/>
        <v>Red</v>
      </c>
      <c r="X1053" t="str">
        <f t="shared" si="353"/>
        <v>Green</v>
      </c>
      <c r="Y1053" t="str">
        <f t="shared" si="354"/>
        <v>Green</v>
      </c>
      <c r="Z1053" t="str">
        <f t="shared" si="355"/>
        <v>Green</v>
      </c>
      <c r="AA1053" t="str">
        <f t="shared" si="356"/>
        <v>Red</v>
      </c>
      <c r="AB1053" t="str">
        <f t="shared" si="357"/>
        <v>Green</v>
      </c>
      <c r="AC1053" t="str">
        <f t="shared" si="358"/>
        <v>Red</v>
      </c>
      <c r="AD1053" t="str">
        <f t="shared" si="359"/>
        <v>Green</v>
      </c>
    </row>
    <row r="1054" spans="1:30" x14ac:dyDescent="0.2">
      <c r="A1054" t="str">
        <f t="shared" si="340"/>
        <v>25/07/2026Ningbo ProfessionalGuandong GZ-Power FC</v>
      </c>
      <c r="D1054" s="2">
        <v>46228</v>
      </c>
      <c r="E1054" s="3">
        <v>0.45833333333333331</v>
      </c>
      <c r="F1054" t="s">
        <v>3127</v>
      </c>
      <c r="G1054" t="s">
        <v>3128</v>
      </c>
      <c r="H1054">
        <v>0</v>
      </c>
      <c r="I1054">
        <v>0</v>
      </c>
      <c r="J1054">
        <v>1</v>
      </c>
      <c r="K1054">
        <v>2</v>
      </c>
      <c r="L1054" s="22" t="str">
        <f t="shared" si="341"/>
        <v>25/07/2026</v>
      </c>
      <c r="M1054" s="23">
        <f t="shared" si="342"/>
        <v>0.33333333333333331</v>
      </c>
      <c r="N1054" t="str">
        <f t="shared" si="343"/>
        <v>1 - 2</v>
      </c>
      <c r="O1054" t="str">
        <f t="shared" si="344"/>
        <v>Red</v>
      </c>
      <c r="P1054" t="str">
        <f t="shared" si="345"/>
        <v>Red</v>
      </c>
      <c r="Q1054" t="str">
        <f t="shared" si="346"/>
        <v>Green</v>
      </c>
      <c r="R1054" t="str">
        <f t="shared" si="347"/>
        <v>Red</v>
      </c>
      <c r="S1054" t="str">
        <f t="shared" si="348"/>
        <v>Green</v>
      </c>
      <c r="T1054" t="str">
        <f t="shared" si="349"/>
        <v>Green</v>
      </c>
      <c r="U1054" t="str">
        <f t="shared" si="350"/>
        <v>Red</v>
      </c>
      <c r="V1054" t="str">
        <f t="shared" si="351"/>
        <v>Green</v>
      </c>
      <c r="W1054" t="str">
        <f t="shared" si="352"/>
        <v>Red</v>
      </c>
      <c r="X1054" t="str">
        <f t="shared" si="353"/>
        <v>Red</v>
      </c>
      <c r="Y1054" t="str">
        <f t="shared" si="354"/>
        <v>Green</v>
      </c>
      <c r="Z1054" t="str">
        <f t="shared" si="355"/>
        <v>Green</v>
      </c>
      <c r="AA1054" t="str">
        <f t="shared" si="356"/>
        <v>Red</v>
      </c>
      <c r="AB1054" t="str">
        <f t="shared" si="357"/>
        <v>Green</v>
      </c>
      <c r="AC1054" t="str">
        <f t="shared" si="358"/>
        <v>Green</v>
      </c>
      <c r="AD1054" t="str">
        <f t="shared" si="359"/>
        <v>Red</v>
      </c>
    </row>
    <row r="1055" spans="1:30" x14ac:dyDescent="0.2">
      <c r="A1055" t="str">
        <f t="shared" si="340"/>
        <v>25/07/2026Guangzhou Dandelion AlphaYichun Grand Tiger</v>
      </c>
      <c r="D1055" s="2">
        <v>46228</v>
      </c>
      <c r="E1055" s="3">
        <v>0.45833333333333331</v>
      </c>
      <c r="F1055" t="s">
        <v>3132</v>
      </c>
      <c r="G1055" t="s">
        <v>3133</v>
      </c>
      <c r="H1055">
        <v>0</v>
      </c>
      <c r="I1055">
        <v>0</v>
      </c>
      <c r="J1055">
        <v>0</v>
      </c>
      <c r="K1055">
        <v>0</v>
      </c>
      <c r="L1055" s="22" t="str">
        <f t="shared" si="341"/>
        <v>25/07/2026</v>
      </c>
      <c r="M1055" s="23">
        <f t="shared" si="342"/>
        <v>0.33333333333333331</v>
      </c>
      <c r="N1055" t="str">
        <f t="shared" si="343"/>
        <v>0 - 0</v>
      </c>
      <c r="O1055" t="str">
        <f t="shared" si="344"/>
        <v>Red</v>
      </c>
      <c r="P1055" t="str">
        <f t="shared" si="345"/>
        <v>Green</v>
      </c>
      <c r="Q1055" t="str">
        <f t="shared" si="346"/>
        <v>Red</v>
      </c>
      <c r="R1055" t="str">
        <f t="shared" si="347"/>
        <v>Green</v>
      </c>
      <c r="S1055" t="str">
        <f t="shared" si="348"/>
        <v>Green</v>
      </c>
      <c r="T1055" t="str">
        <f t="shared" si="349"/>
        <v>Red</v>
      </c>
      <c r="U1055" t="str">
        <f t="shared" si="350"/>
        <v>Red</v>
      </c>
      <c r="V1055" t="str">
        <f t="shared" si="351"/>
        <v>Green</v>
      </c>
      <c r="W1055" t="str">
        <f t="shared" si="352"/>
        <v>Red</v>
      </c>
      <c r="X1055" t="str">
        <f t="shared" si="353"/>
        <v>Red</v>
      </c>
      <c r="Y1055" t="str">
        <f t="shared" si="354"/>
        <v>Red</v>
      </c>
      <c r="Z1055" t="str">
        <f t="shared" si="355"/>
        <v>Red</v>
      </c>
      <c r="AA1055" t="str">
        <f t="shared" si="356"/>
        <v>Green</v>
      </c>
      <c r="AB1055" t="str">
        <f t="shared" si="357"/>
        <v>Green</v>
      </c>
      <c r="AC1055" t="str">
        <f t="shared" si="358"/>
        <v>Red</v>
      </c>
      <c r="AD1055" t="str">
        <f t="shared" si="359"/>
        <v>Green</v>
      </c>
    </row>
    <row r="1056" spans="1:30" x14ac:dyDescent="0.2">
      <c r="A1056" t="str">
        <f t="shared" si="340"/>
        <v>25/07/2026Shandong Luneng Taishan ReservesChangchun Xidu</v>
      </c>
      <c r="D1056" s="2">
        <v>46228</v>
      </c>
      <c r="E1056" s="3">
        <v>0.45833333333333331</v>
      </c>
      <c r="F1056" t="s">
        <v>3134</v>
      </c>
      <c r="G1056" t="s">
        <v>568</v>
      </c>
      <c r="H1056">
        <v>0</v>
      </c>
      <c r="I1056">
        <v>0</v>
      </c>
      <c r="J1056">
        <v>1</v>
      </c>
      <c r="K1056">
        <v>1</v>
      </c>
      <c r="L1056" s="22" t="str">
        <f t="shared" si="341"/>
        <v>25/07/2026</v>
      </c>
      <c r="M1056" s="23">
        <f t="shared" si="342"/>
        <v>0.33333333333333331</v>
      </c>
      <c r="N1056" t="str">
        <f t="shared" si="343"/>
        <v>1 - 1</v>
      </c>
      <c r="O1056" t="str">
        <f t="shared" si="344"/>
        <v>Red</v>
      </c>
      <c r="P1056" t="str">
        <f t="shared" si="345"/>
        <v>Green</v>
      </c>
      <c r="Q1056" t="str">
        <f t="shared" si="346"/>
        <v>Red</v>
      </c>
      <c r="R1056" t="str">
        <f t="shared" si="347"/>
        <v>Green</v>
      </c>
      <c r="S1056" t="str">
        <f t="shared" si="348"/>
        <v>Green</v>
      </c>
      <c r="T1056" t="str">
        <f t="shared" si="349"/>
        <v>Red</v>
      </c>
      <c r="U1056" t="str">
        <f t="shared" si="350"/>
        <v>Red</v>
      </c>
      <c r="V1056" t="str">
        <f t="shared" si="351"/>
        <v>Green</v>
      </c>
      <c r="W1056" t="str">
        <f t="shared" si="352"/>
        <v>Red</v>
      </c>
      <c r="X1056" t="str">
        <f t="shared" si="353"/>
        <v>Red</v>
      </c>
      <c r="Y1056" t="str">
        <f t="shared" si="354"/>
        <v>Green</v>
      </c>
      <c r="Z1056" t="str">
        <f t="shared" si="355"/>
        <v>Red</v>
      </c>
      <c r="AA1056" t="str">
        <f t="shared" si="356"/>
        <v>Green</v>
      </c>
      <c r="AB1056" t="str">
        <f t="shared" si="357"/>
        <v>Green</v>
      </c>
      <c r="AC1056" t="str">
        <f t="shared" si="358"/>
        <v>Green</v>
      </c>
      <c r="AD1056" t="str">
        <f t="shared" si="359"/>
        <v>Red</v>
      </c>
    </row>
    <row r="1057" spans="1:30" x14ac:dyDescent="0.2">
      <c r="A1057" t="str">
        <f t="shared" si="340"/>
        <v>25/07/2026ASA Aarhus WomenAGF Aarhus Women</v>
      </c>
      <c r="D1057" s="2">
        <v>46228</v>
      </c>
      <c r="E1057" s="3">
        <v>0.45833333333333331</v>
      </c>
      <c r="F1057" t="s">
        <v>3187</v>
      </c>
      <c r="G1057" t="s">
        <v>3188</v>
      </c>
      <c r="H1057">
        <v>0</v>
      </c>
      <c r="I1057">
        <v>0</v>
      </c>
      <c r="J1057">
        <v>3</v>
      </c>
      <c r="K1057">
        <v>1</v>
      </c>
      <c r="L1057" s="22" t="str">
        <f t="shared" si="341"/>
        <v>25/07/2026</v>
      </c>
      <c r="M1057" s="23">
        <f t="shared" si="342"/>
        <v>0.33333333333333331</v>
      </c>
      <c r="N1057" t="str">
        <f t="shared" si="343"/>
        <v>3 - 1</v>
      </c>
      <c r="O1057" t="str">
        <f t="shared" si="344"/>
        <v>Green</v>
      </c>
      <c r="P1057" t="str">
        <f t="shared" si="345"/>
        <v>Red</v>
      </c>
      <c r="Q1057" t="str">
        <f t="shared" si="346"/>
        <v>Red</v>
      </c>
      <c r="R1057" t="str">
        <f t="shared" si="347"/>
        <v>Green</v>
      </c>
      <c r="S1057" t="str">
        <f t="shared" si="348"/>
        <v>Red</v>
      </c>
      <c r="T1057" t="str">
        <f t="shared" si="349"/>
        <v>Green</v>
      </c>
      <c r="U1057" t="str">
        <f t="shared" si="350"/>
        <v>Red</v>
      </c>
      <c r="V1057" t="str">
        <f t="shared" si="351"/>
        <v>Green</v>
      </c>
      <c r="W1057" t="str">
        <f t="shared" si="352"/>
        <v>Red</v>
      </c>
      <c r="X1057" t="str">
        <f t="shared" si="353"/>
        <v>Red</v>
      </c>
      <c r="Y1057" t="str">
        <f t="shared" si="354"/>
        <v>Green</v>
      </c>
      <c r="Z1057" t="str">
        <f t="shared" si="355"/>
        <v>Green</v>
      </c>
      <c r="AA1057" t="str">
        <f t="shared" si="356"/>
        <v>Red</v>
      </c>
      <c r="AB1057" t="str">
        <f t="shared" si="357"/>
        <v>Red</v>
      </c>
      <c r="AC1057" t="str">
        <f t="shared" si="358"/>
        <v>Green</v>
      </c>
      <c r="AD1057" t="str">
        <f t="shared" si="359"/>
        <v>Red</v>
      </c>
    </row>
    <row r="1058" spans="1:30" x14ac:dyDescent="0.2">
      <c r="A1058" t="str">
        <f t="shared" si="340"/>
        <v>25/07/2026FC Midtjylland WomenBrondby Women</v>
      </c>
      <c r="D1058" s="2">
        <v>46228</v>
      </c>
      <c r="E1058" s="3">
        <v>0.45833333333333331</v>
      </c>
      <c r="F1058" t="s">
        <v>3189</v>
      </c>
      <c r="G1058" t="s">
        <v>3190</v>
      </c>
      <c r="H1058">
        <v>0</v>
      </c>
      <c r="I1058">
        <v>0</v>
      </c>
      <c r="J1058">
        <v>1</v>
      </c>
      <c r="K1058">
        <v>1</v>
      </c>
      <c r="L1058" s="22" t="str">
        <f t="shared" si="341"/>
        <v>25/07/2026</v>
      </c>
      <c r="M1058" s="23">
        <f t="shared" si="342"/>
        <v>0.33333333333333331</v>
      </c>
      <c r="N1058" t="str">
        <f t="shared" si="343"/>
        <v>1 - 1</v>
      </c>
      <c r="O1058" t="str">
        <f t="shared" si="344"/>
        <v>Red</v>
      </c>
      <c r="P1058" t="str">
        <f t="shared" si="345"/>
        <v>Green</v>
      </c>
      <c r="Q1058" t="str">
        <f t="shared" si="346"/>
        <v>Red</v>
      </c>
      <c r="R1058" t="str">
        <f t="shared" si="347"/>
        <v>Green</v>
      </c>
      <c r="S1058" t="str">
        <f t="shared" si="348"/>
        <v>Green</v>
      </c>
      <c r="T1058" t="str">
        <f t="shared" si="349"/>
        <v>Red</v>
      </c>
      <c r="U1058" t="str">
        <f t="shared" si="350"/>
        <v>Red</v>
      </c>
      <c r="V1058" t="str">
        <f t="shared" si="351"/>
        <v>Green</v>
      </c>
      <c r="W1058" t="str">
        <f t="shared" si="352"/>
        <v>Red</v>
      </c>
      <c r="X1058" t="str">
        <f t="shared" si="353"/>
        <v>Red</v>
      </c>
      <c r="Y1058" t="str">
        <f t="shared" si="354"/>
        <v>Green</v>
      </c>
      <c r="Z1058" t="str">
        <f t="shared" si="355"/>
        <v>Red</v>
      </c>
      <c r="AA1058" t="str">
        <f t="shared" si="356"/>
        <v>Green</v>
      </c>
      <c r="AB1058" t="str">
        <f t="shared" si="357"/>
        <v>Green</v>
      </c>
      <c r="AC1058" t="str">
        <f t="shared" si="358"/>
        <v>Green</v>
      </c>
      <c r="AD1058" t="str">
        <f t="shared" si="359"/>
        <v>Red</v>
      </c>
    </row>
    <row r="1059" spans="1:30" x14ac:dyDescent="0.2">
      <c r="A1059" t="str">
        <f t="shared" si="340"/>
        <v>25/07/2026JK Viljandi TulevikJohvi FC Phoenix</v>
      </c>
      <c r="D1059" s="2">
        <v>46228</v>
      </c>
      <c r="E1059" s="3">
        <v>0.45833333333333331</v>
      </c>
      <c r="F1059" t="s">
        <v>1628</v>
      </c>
      <c r="G1059" t="s">
        <v>1673</v>
      </c>
      <c r="H1059">
        <v>0</v>
      </c>
      <c r="I1059">
        <v>0</v>
      </c>
      <c r="J1059">
        <v>0</v>
      </c>
      <c r="K1059">
        <v>0</v>
      </c>
      <c r="L1059" s="22" t="str">
        <f t="shared" si="341"/>
        <v>25/07/2026</v>
      </c>
      <c r="M1059" s="23">
        <f t="shared" si="342"/>
        <v>0.33333333333333331</v>
      </c>
      <c r="N1059" t="str">
        <f t="shared" si="343"/>
        <v>0 - 0</v>
      </c>
      <c r="O1059" t="str">
        <f t="shared" si="344"/>
        <v>Red</v>
      </c>
      <c r="P1059" t="str">
        <f t="shared" si="345"/>
        <v>Green</v>
      </c>
      <c r="Q1059" t="str">
        <f t="shared" si="346"/>
        <v>Red</v>
      </c>
      <c r="R1059" t="str">
        <f t="shared" si="347"/>
        <v>Green</v>
      </c>
      <c r="S1059" t="str">
        <f t="shared" si="348"/>
        <v>Green</v>
      </c>
      <c r="T1059" t="str">
        <f t="shared" si="349"/>
        <v>Red</v>
      </c>
      <c r="U1059" t="str">
        <f t="shared" si="350"/>
        <v>Red</v>
      </c>
      <c r="V1059" t="str">
        <f t="shared" si="351"/>
        <v>Green</v>
      </c>
      <c r="W1059" t="str">
        <f t="shared" si="352"/>
        <v>Red</v>
      </c>
      <c r="X1059" t="str">
        <f t="shared" si="353"/>
        <v>Red</v>
      </c>
      <c r="Y1059" t="str">
        <f t="shared" si="354"/>
        <v>Red</v>
      </c>
      <c r="Z1059" t="str">
        <f t="shared" si="355"/>
        <v>Red</v>
      </c>
      <c r="AA1059" t="str">
        <f t="shared" si="356"/>
        <v>Green</v>
      </c>
      <c r="AB1059" t="str">
        <f t="shared" si="357"/>
        <v>Green</v>
      </c>
      <c r="AC1059" t="str">
        <f t="shared" si="358"/>
        <v>Red</v>
      </c>
      <c r="AD1059" t="str">
        <f t="shared" si="359"/>
        <v>Green</v>
      </c>
    </row>
    <row r="1060" spans="1:30" x14ac:dyDescent="0.2">
      <c r="A1060" t="str">
        <f t="shared" si="340"/>
        <v>25/07/2026Estham UnitedFC Kose</v>
      </c>
      <c r="D1060" s="2">
        <v>46228</v>
      </c>
      <c r="E1060" s="3">
        <v>0.45833333333333331</v>
      </c>
      <c r="F1060" t="s">
        <v>3209</v>
      </c>
      <c r="G1060" t="s">
        <v>3210</v>
      </c>
      <c r="H1060">
        <v>1</v>
      </c>
      <c r="I1060">
        <v>4</v>
      </c>
      <c r="J1060">
        <v>1</v>
      </c>
      <c r="K1060">
        <v>5</v>
      </c>
      <c r="L1060" s="22" t="str">
        <f t="shared" si="341"/>
        <v>25/07/2026</v>
      </c>
      <c r="M1060" s="23">
        <f t="shared" si="342"/>
        <v>0.33333333333333331</v>
      </c>
      <c r="N1060" t="str">
        <f t="shared" si="343"/>
        <v>1 - 5</v>
      </c>
      <c r="O1060" t="str">
        <f t="shared" si="344"/>
        <v>Red</v>
      </c>
      <c r="P1060" t="str">
        <f t="shared" si="345"/>
        <v>Red</v>
      </c>
      <c r="Q1060" t="str">
        <f t="shared" si="346"/>
        <v>Green</v>
      </c>
      <c r="R1060" t="str">
        <f t="shared" si="347"/>
        <v>Red</v>
      </c>
      <c r="S1060" t="str">
        <f t="shared" si="348"/>
        <v>Green</v>
      </c>
      <c r="T1060" t="str">
        <f t="shared" si="349"/>
        <v>Green</v>
      </c>
      <c r="U1060" t="str">
        <f t="shared" si="350"/>
        <v>Red</v>
      </c>
      <c r="V1060" t="str">
        <f t="shared" si="351"/>
        <v>Red</v>
      </c>
      <c r="W1060" t="str">
        <f t="shared" si="352"/>
        <v>Green</v>
      </c>
      <c r="X1060" t="str">
        <f t="shared" si="353"/>
        <v>Green</v>
      </c>
      <c r="Y1060" t="str">
        <f t="shared" si="354"/>
        <v>Green</v>
      </c>
      <c r="Z1060" t="str">
        <f t="shared" si="355"/>
        <v>Green</v>
      </c>
      <c r="AA1060" t="str">
        <f t="shared" si="356"/>
        <v>Red</v>
      </c>
      <c r="AB1060" t="str">
        <f t="shared" si="357"/>
        <v>Red</v>
      </c>
      <c r="AC1060" t="str">
        <f t="shared" si="358"/>
        <v>Green</v>
      </c>
      <c r="AD1060" t="str">
        <f t="shared" si="359"/>
        <v>Red</v>
      </c>
    </row>
    <row r="1061" spans="1:30" x14ac:dyDescent="0.2">
      <c r="A1061" t="str">
        <f t="shared" si="340"/>
        <v>25/07/2026Glentoran Belfast United WomenPyunik Women Women</v>
      </c>
      <c r="D1061" s="2">
        <v>46228</v>
      </c>
      <c r="E1061" s="3">
        <v>0.45833333333333331</v>
      </c>
      <c r="F1061" t="s">
        <v>1602</v>
      </c>
      <c r="G1061" t="s">
        <v>1798</v>
      </c>
      <c r="H1061">
        <v>1</v>
      </c>
      <c r="I1061">
        <v>1</v>
      </c>
      <c r="J1061">
        <v>4</v>
      </c>
      <c r="K1061">
        <v>2</v>
      </c>
      <c r="L1061" s="22" t="str">
        <f t="shared" si="341"/>
        <v>25/07/2026</v>
      </c>
      <c r="M1061" s="23">
        <f t="shared" si="342"/>
        <v>0.33333333333333331</v>
      </c>
      <c r="N1061" t="str">
        <f t="shared" si="343"/>
        <v>4 - 2</v>
      </c>
      <c r="O1061" t="str">
        <f t="shared" si="344"/>
        <v>Green</v>
      </c>
      <c r="P1061" t="str">
        <f t="shared" si="345"/>
        <v>Red</v>
      </c>
      <c r="Q1061" t="str">
        <f t="shared" si="346"/>
        <v>Red</v>
      </c>
      <c r="R1061" t="str">
        <f t="shared" si="347"/>
        <v>Green</v>
      </c>
      <c r="S1061" t="str">
        <f t="shared" si="348"/>
        <v>Red</v>
      </c>
      <c r="T1061" t="str">
        <f t="shared" si="349"/>
        <v>Green</v>
      </c>
      <c r="U1061" t="str">
        <f t="shared" si="350"/>
        <v>Red</v>
      </c>
      <c r="V1061" t="str">
        <f t="shared" si="351"/>
        <v>Green</v>
      </c>
      <c r="W1061" t="str">
        <f t="shared" si="352"/>
        <v>Red</v>
      </c>
      <c r="X1061" t="str">
        <f t="shared" si="353"/>
        <v>Green</v>
      </c>
      <c r="Y1061" t="str">
        <f t="shared" si="354"/>
        <v>Green</v>
      </c>
      <c r="Z1061" t="str">
        <f t="shared" si="355"/>
        <v>Green</v>
      </c>
      <c r="AA1061" t="str">
        <f t="shared" si="356"/>
        <v>Red</v>
      </c>
      <c r="AB1061" t="str">
        <f t="shared" si="357"/>
        <v>Red</v>
      </c>
      <c r="AC1061" t="str">
        <f t="shared" si="358"/>
        <v>Green</v>
      </c>
      <c r="AD1061" t="str">
        <f t="shared" si="359"/>
        <v>Red</v>
      </c>
    </row>
    <row r="1062" spans="1:30" x14ac:dyDescent="0.2">
      <c r="A1062" t="str">
        <f t="shared" si="340"/>
        <v>25/07/2026Tampere United IIFC Lasten</v>
      </c>
      <c r="D1062" s="2">
        <v>46228</v>
      </c>
      <c r="E1062" s="3">
        <v>0.45833333333333331</v>
      </c>
      <c r="F1062" t="s">
        <v>3234</v>
      </c>
      <c r="G1062" t="s">
        <v>3235</v>
      </c>
      <c r="H1062">
        <v>0</v>
      </c>
      <c r="I1062">
        <v>0</v>
      </c>
      <c r="J1062">
        <v>1</v>
      </c>
      <c r="K1062">
        <v>1</v>
      </c>
      <c r="L1062" s="22" t="str">
        <f t="shared" si="341"/>
        <v>25/07/2026</v>
      </c>
      <c r="M1062" s="23">
        <f t="shared" si="342"/>
        <v>0.33333333333333331</v>
      </c>
      <c r="N1062" t="str">
        <f t="shared" si="343"/>
        <v>1 - 1</v>
      </c>
      <c r="O1062" t="str">
        <f t="shared" si="344"/>
        <v>Red</v>
      </c>
      <c r="P1062" t="str">
        <f t="shared" si="345"/>
        <v>Green</v>
      </c>
      <c r="Q1062" t="str">
        <f t="shared" si="346"/>
        <v>Red</v>
      </c>
      <c r="R1062" t="str">
        <f t="shared" si="347"/>
        <v>Green</v>
      </c>
      <c r="S1062" t="str">
        <f t="shared" si="348"/>
        <v>Green</v>
      </c>
      <c r="T1062" t="str">
        <f t="shared" si="349"/>
        <v>Red</v>
      </c>
      <c r="U1062" t="str">
        <f t="shared" si="350"/>
        <v>Red</v>
      </c>
      <c r="V1062" t="str">
        <f t="shared" si="351"/>
        <v>Green</v>
      </c>
      <c r="W1062" t="str">
        <f t="shared" si="352"/>
        <v>Red</v>
      </c>
      <c r="X1062" t="str">
        <f t="shared" si="353"/>
        <v>Red</v>
      </c>
      <c r="Y1062" t="str">
        <f t="shared" si="354"/>
        <v>Green</v>
      </c>
      <c r="Z1062" t="str">
        <f t="shared" si="355"/>
        <v>Red</v>
      </c>
      <c r="AA1062" t="str">
        <f t="shared" si="356"/>
        <v>Green</v>
      </c>
      <c r="AB1062" t="str">
        <f t="shared" si="357"/>
        <v>Green</v>
      </c>
      <c r="AC1062" t="str">
        <f t="shared" si="358"/>
        <v>Green</v>
      </c>
      <c r="AD1062" t="str">
        <f t="shared" si="359"/>
        <v>Red</v>
      </c>
    </row>
    <row r="1063" spans="1:30" x14ac:dyDescent="0.2">
      <c r="A1063" t="str">
        <f t="shared" si="340"/>
        <v>25/07/2026Virkia LapuaSaaripotku</v>
      </c>
      <c r="D1063" s="2">
        <v>46228</v>
      </c>
      <c r="E1063" s="3">
        <v>0.45833333333333331</v>
      </c>
      <c r="F1063" t="s">
        <v>3250</v>
      </c>
      <c r="G1063" t="s">
        <v>3251</v>
      </c>
      <c r="H1063">
        <v>0</v>
      </c>
      <c r="I1063">
        <v>0</v>
      </c>
      <c r="J1063">
        <v>18</v>
      </c>
      <c r="K1063">
        <v>0</v>
      </c>
      <c r="L1063" s="22" t="str">
        <f t="shared" si="341"/>
        <v>25/07/2026</v>
      </c>
      <c r="M1063" s="23">
        <f t="shared" si="342"/>
        <v>0.33333333333333331</v>
      </c>
      <c r="N1063" t="str">
        <f t="shared" si="343"/>
        <v>18 - 0</v>
      </c>
      <c r="O1063" t="str">
        <f t="shared" si="344"/>
        <v>Green</v>
      </c>
      <c r="P1063" t="str">
        <f t="shared" si="345"/>
        <v>Red</v>
      </c>
      <c r="Q1063" t="str">
        <f t="shared" si="346"/>
        <v>Red</v>
      </c>
      <c r="R1063" t="str">
        <f t="shared" si="347"/>
        <v>Green</v>
      </c>
      <c r="S1063" t="str">
        <f t="shared" si="348"/>
        <v>Red</v>
      </c>
      <c r="T1063" t="str">
        <f t="shared" si="349"/>
        <v>Green</v>
      </c>
      <c r="U1063" t="str">
        <f t="shared" si="350"/>
        <v>Red</v>
      </c>
      <c r="V1063" t="str">
        <f t="shared" si="351"/>
        <v>Green</v>
      </c>
      <c r="W1063" t="str">
        <f t="shared" si="352"/>
        <v>Red</v>
      </c>
      <c r="X1063" t="str">
        <f t="shared" si="353"/>
        <v>Red</v>
      </c>
      <c r="Y1063" t="str">
        <f t="shared" si="354"/>
        <v>Green</v>
      </c>
      <c r="Z1063" t="str">
        <f t="shared" si="355"/>
        <v>Green</v>
      </c>
      <c r="AA1063" t="str">
        <f t="shared" si="356"/>
        <v>Red</v>
      </c>
      <c r="AB1063" t="str">
        <f t="shared" si="357"/>
        <v>Red</v>
      </c>
      <c r="AC1063" t="str">
        <f t="shared" si="358"/>
        <v>Red</v>
      </c>
      <c r="AD1063" t="str">
        <f t="shared" si="359"/>
        <v>Green</v>
      </c>
    </row>
    <row r="1064" spans="1:30" x14ac:dyDescent="0.2">
      <c r="A1064" t="str">
        <f t="shared" si="340"/>
        <v>25/07/2026HPS WomenIlves Women</v>
      </c>
      <c r="D1064" s="2">
        <v>46228</v>
      </c>
      <c r="E1064" s="3">
        <v>0.45833333333333331</v>
      </c>
      <c r="F1064" t="s">
        <v>3254</v>
      </c>
      <c r="G1064" t="s">
        <v>3255</v>
      </c>
      <c r="H1064">
        <v>0</v>
      </c>
      <c r="I1064">
        <v>1</v>
      </c>
      <c r="J1064">
        <v>1</v>
      </c>
      <c r="K1064">
        <v>2</v>
      </c>
      <c r="L1064" s="22" t="str">
        <f t="shared" si="341"/>
        <v>25/07/2026</v>
      </c>
      <c r="M1064" s="23">
        <f t="shared" si="342"/>
        <v>0.33333333333333331</v>
      </c>
      <c r="N1064" t="str">
        <f t="shared" si="343"/>
        <v>1 - 2</v>
      </c>
      <c r="O1064" t="str">
        <f t="shared" si="344"/>
        <v>Red</v>
      </c>
      <c r="P1064" t="str">
        <f t="shared" si="345"/>
        <v>Red</v>
      </c>
      <c r="Q1064" t="str">
        <f t="shared" si="346"/>
        <v>Green</v>
      </c>
      <c r="R1064" t="str">
        <f t="shared" si="347"/>
        <v>Red</v>
      </c>
      <c r="S1064" t="str">
        <f t="shared" si="348"/>
        <v>Green</v>
      </c>
      <c r="T1064" t="str">
        <f t="shared" si="349"/>
        <v>Green</v>
      </c>
      <c r="U1064" t="str">
        <f t="shared" si="350"/>
        <v>Red</v>
      </c>
      <c r="V1064" t="str">
        <f t="shared" si="351"/>
        <v>Red</v>
      </c>
      <c r="W1064" t="str">
        <f t="shared" si="352"/>
        <v>Green</v>
      </c>
      <c r="X1064" t="str">
        <f t="shared" si="353"/>
        <v>Green</v>
      </c>
      <c r="Y1064" t="str">
        <f t="shared" si="354"/>
        <v>Green</v>
      </c>
      <c r="Z1064" t="str">
        <f t="shared" si="355"/>
        <v>Green</v>
      </c>
      <c r="AA1064" t="str">
        <f t="shared" si="356"/>
        <v>Red</v>
      </c>
      <c r="AB1064" t="str">
        <f t="shared" si="357"/>
        <v>Green</v>
      </c>
      <c r="AC1064" t="str">
        <f t="shared" si="358"/>
        <v>Green</v>
      </c>
      <c r="AD1064" t="str">
        <f t="shared" si="359"/>
        <v>Red</v>
      </c>
    </row>
    <row r="1065" spans="1:30" x14ac:dyDescent="0.2">
      <c r="A1065" t="str">
        <f t="shared" si="340"/>
        <v>25/07/2026IF Gnistan WomenKuopio PS Women</v>
      </c>
      <c r="D1065" s="2">
        <v>46228</v>
      </c>
      <c r="E1065" s="3">
        <v>0.45833333333333331</v>
      </c>
      <c r="F1065" t="s">
        <v>3256</v>
      </c>
      <c r="G1065" t="s">
        <v>3257</v>
      </c>
      <c r="H1065">
        <v>0</v>
      </c>
      <c r="I1065">
        <v>0</v>
      </c>
      <c r="J1065">
        <v>0</v>
      </c>
      <c r="K1065">
        <v>1</v>
      </c>
      <c r="L1065" s="22" t="str">
        <f t="shared" si="341"/>
        <v>25/07/2026</v>
      </c>
      <c r="M1065" s="23">
        <f t="shared" si="342"/>
        <v>0.33333333333333331</v>
      </c>
      <c r="N1065" t="str">
        <f t="shared" si="343"/>
        <v>0 - 1</v>
      </c>
      <c r="O1065" t="str">
        <f t="shared" si="344"/>
        <v>Red</v>
      </c>
      <c r="P1065" t="str">
        <f t="shared" si="345"/>
        <v>Red</v>
      </c>
      <c r="Q1065" t="str">
        <f t="shared" si="346"/>
        <v>Green</v>
      </c>
      <c r="R1065" t="str">
        <f t="shared" si="347"/>
        <v>Red</v>
      </c>
      <c r="S1065" t="str">
        <f t="shared" si="348"/>
        <v>Green</v>
      </c>
      <c r="T1065" t="str">
        <f t="shared" si="349"/>
        <v>Green</v>
      </c>
      <c r="U1065" t="str">
        <f t="shared" si="350"/>
        <v>Red</v>
      </c>
      <c r="V1065" t="str">
        <f t="shared" si="351"/>
        <v>Green</v>
      </c>
      <c r="W1065" t="str">
        <f t="shared" si="352"/>
        <v>Red</v>
      </c>
      <c r="X1065" t="str">
        <f t="shared" si="353"/>
        <v>Red</v>
      </c>
      <c r="Y1065" t="str">
        <f t="shared" si="354"/>
        <v>Red</v>
      </c>
      <c r="Z1065" t="str">
        <f t="shared" si="355"/>
        <v>Red</v>
      </c>
      <c r="AA1065" t="str">
        <f t="shared" si="356"/>
        <v>Green</v>
      </c>
      <c r="AB1065" t="str">
        <f t="shared" si="357"/>
        <v>Green</v>
      </c>
      <c r="AC1065" t="str">
        <f t="shared" si="358"/>
        <v>Red</v>
      </c>
      <c r="AD1065" t="str">
        <f t="shared" si="359"/>
        <v>Green</v>
      </c>
    </row>
    <row r="1066" spans="1:30" x14ac:dyDescent="0.2">
      <c r="A1066" t="str">
        <f t="shared" si="340"/>
        <v>25/07/2026PK-35 Vantaa WomenHJK Helsinki Women</v>
      </c>
      <c r="D1066" s="2">
        <v>46228</v>
      </c>
      <c r="E1066" s="3">
        <v>0.45833333333333331</v>
      </c>
      <c r="F1066" t="s">
        <v>3258</v>
      </c>
      <c r="G1066" t="s">
        <v>3259</v>
      </c>
      <c r="H1066">
        <v>0</v>
      </c>
      <c r="I1066">
        <v>1</v>
      </c>
      <c r="J1066">
        <v>0</v>
      </c>
      <c r="K1066">
        <v>2</v>
      </c>
      <c r="L1066" s="22" t="str">
        <f t="shared" si="341"/>
        <v>25/07/2026</v>
      </c>
      <c r="M1066" s="23">
        <f t="shared" si="342"/>
        <v>0.33333333333333331</v>
      </c>
      <c r="N1066" t="str">
        <f t="shared" si="343"/>
        <v>0 - 2</v>
      </c>
      <c r="O1066" t="str">
        <f t="shared" si="344"/>
        <v>Red</v>
      </c>
      <c r="P1066" t="str">
        <f t="shared" si="345"/>
        <v>Red</v>
      </c>
      <c r="Q1066" t="str">
        <f t="shared" si="346"/>
        <v>Green</v>
      </c>
      <c r="R1066" t="str">
        <f t="shared" si="347"/>
        <v>Red</v>
      </c>
      <c r="S1066" t="str">
        <f t="shared" si="348"/>
        <v>Green</v>
      </c>
      <c r="T1066" t="str">
        <f t="shared" si="349"/>
        <v>Green</v>
      </c>
      <c r="U1066" t="str">
        <f t="shared" si="350"/>
        <v>Red</v>
      </c>
      <c r="V1066" t="str">
        <f t="shared" si="351"/>
        <v>Red</v>
      </c>
      <c r="W1066" t="str">
        <f t="shared" si="352"/>
        <v>Green</v>
      </c>
      <c r="X1066" t="str">
        <f t="shared" si="353"/>
        <v>Green</v>
      </c>
      <c r="Y1066" t="str">
        <f t="shared" si="354"/>
        <v>Green</v>
      </c>
      <c r="Z1066" t="str">
        <f t="shared" si="355"/>
        <v>Red</v>
      </c>
      <c r="AA1066" t="str">
        <f t="shared" si="356"/>
        <v>Green</v>
      </c>
      <c r="AB1066" t="str">
        <f t="shared" si="357"/>
        <v>Green</v>
      </c>
      <c r="AC1066" t="str">
        <f t="shared" si="358"/>
        <v>Red</v>
      </c>
      <c r="AD1066" t="str">
        <f t="shared" si="359"/>
        <v>Green</v>
      </c>
    </row>
    <row r="1067" spans="1:30" x14ac:dyDescent="0.2">
      <c r="A1067" t="str">
        <f t="shared" si="340"/>
        <v>25/07/2026Tus DassendorfEtsv Hamburg</v>
      </c>
      <c r="D1067" s="2">
        <v>46228</v>
      </c>
      <c r="E1067" s="3">
        <v>0.45833333333333331</v>
      </c>
      <c r="F1067" t="s">
        <v>3279</v>
      </c>
      <c r="G1067" t="s">
        <v>3280</v>
      </c>
      <c r="H1067">
        <v>0</v>
      </c>
      <c r="I1067">
        <v>1</v>
      </c>
      <c r="J1067">
        <v>1</v>
      </c>
      <c r="K1067">
        <v>1</v>
      </c>
      <c r="L1067" s="22" t="str">
        <f t="shared" si="341"/>
        <v>25/07/2026</v>
      </c>
      <c r="M1067" s="23">
        <f t="shared" si="342"/>
        <v>0.33333333333333331</v>
      </c>
      <c r="N1067" t="str">
        <f t="shared" si="343"/>
        <v>1 - 1</v>
      </c>
      <c r="O1067" t="str">
        <f t="shared" si="344"/>
        <v>Red</v>
      </c>
      <c r="P1067" t="str">
        <f t="shared" si="345"/>
        <v>Green</v>
      </c>
      <c r="Q1067" t="str">
        <f t="shared" si="346"/>
        <v>Red</v>
      </c>
      <c r="R1067" t="str">
        <f t="shared" si="347"/>
        <v>Green</v>
      </c>
      <c r="S1067" t="str">
        <f t="shared" si="348"/>
        <v>Green</v>
      </c>
      <c r="T1067" t="str">
        <f t="shared" si="349"/>
        <v>Red</v>
      </c>
      <c r="U1067" t="str">
        <f t="shared" si="350"/>
        <v>Red</v>
      </c>
      <c r="V1067" t="str">
        <f t="shared" si="351"/>
        <v>Red</v>
      </c>
      <c r="W1067" t="str">
        <f t="shared" si="352"/>
        <v>Green</v>
      </c>
      <c r="X1067" t="str">
        <f t="shared" si="353"/>
        <v>Green</v>
      </c>
      <c r="Y1067" t="str">
        <f t="shared" si="354"/>
        <v>Green</v>
      </c>
      <c r="Z1067" t="str">
        <f t="shared" si="355"/>
        <v>Red</v>
      </c>
      <c r="AA1067" t="str">
        <f t="shared" si="356"/>
        <v>Green</v>
      </c>
      <c r="AB1067" t="str">
        <f t="shared" si="357"/>
        <v>Green</v>
      </c>
      <c r="AC1067" t="str">
        <f t="shared" si="358"/>
        <v>Green</v>
      </c>
      <c r="AD1067" t="str">
        <f t="shared" si="359"/>
        <v>Red</v>
      </c>
    </row>
    <row r="1068" spans="1:30" x14ac:dyDescent="0.2">
      <c r="A1068" t="str">
        <f t="shared" si="340"/>
        <v>25/07/2026FK SmilteneRigas Futbola Skola II</v>
      </c>
      <c r="D1068" s="2">
        <v>46228</v>
      </c>
      <c r="E1068" s="3">
        <v>0.45833333333333331</v>
      </c>
      <c r="F1068" t="s">
        <v>3388</v>
      </c>
      <c r="G1068" t="s">
        <v>288</v>
      </c>
      <c r="H1068">
        <v>1</v>
      </c>
      <c r="I1068">
        <v>2</v>
      </c>
      <c r="J1068">
        <v>3</v>
      </c>
      <c r="K1068">
        <v>5</v>
      </c>
      <c r="L1068" s="22" t="str">
        <f t="shared" si="341"/>
        <v>25/07/2026</v>
      </c>
      <c r="M1068" s="23">
        <f t="shared" si="342"/>
        <v>0.33333333333333331</v>
      </c>
      <c r="N1068" t="str">
        <f t="shared" si="343"/>
        <v>3 - 5</v>
      </c>
      <c r="O1068" t="str">
        <f t="shared" si="344"/>
        <v>Red</v>
      </c>
      <c r="P1068" t="str">
        <f t="shared" si="345"/>
        <v>Red</v>
      </c>
      <c r="Q1068" t="str">
        <f t="shared" si="346"/>
        <v>Green</v>
      </c>
      <c r="R1068" t="str">
        <f t="shared" si="347"/>
        <v>Red</v>
      </c>
      <c r="S1068" t="str">
        <f t="shared" si="348"/>
        <v>Green</v>
      </c>
      <c r="T1068" t="str">
        <f t="shared" si="349"/>
        <v>Green</v>
      </c>
      <c r="U1068" t="str">
        <f t="shared" si="350"/>
        <v>Red</v>
      </c>
      <c r="V1068" t="str">
        <f t="shared" si="351"/>
        <v>Red</v>
      </c>
      <c r="W1068" t="str">
        <f t="shared" si="352"/>
        <v>Green</v>
      </c>
      <c r="X1068" t="str">
        <f t="shared" si="353"/>
        <v>Green</v>
      </c>
      <c r="Y1068" t="str">
        <f t="shared" si="354"/>
        <v>Green</v>
      </c>
      <c r="Z1068" t="str">
        <f t="shared" si="355"/>
        <v>Green</v>
      </c>
      <c r="AA1068" t="str">
        <f t="shared" si="356"/>
        <v>Red</v>
      </c>
      <c r="AB1068" t="str">
        <f t="shared" si="357"/>
        <v>Red</v>
      </c>
      <c r="AC1068" t="str">
        <f t="shared" si="358"/>
        <v>Green</v>
      </c>
      <c r="AD1068" t="str">
        <f t="shared" si="359"/>
        <v>Red</v>
      </c>
    </row>
    <row r="1069" spans="1:30" x14ac:dyDescent="0.2">
      <c r="A1069" t="str">
        <f t="shared" si="340"/>
        <v>25/07/2026BjargPors Grenland</v>
      </c>
      <c r="D1069" s="2">
        <v>46228</v>
      </c>
      <c r="E1069" s="3">
        <v>0.45833333333333331</v>
      </c>
      <c r="F1069" t="s">
        <v>3445</v>
      </c>
      <c r="G1069" t="s">
        <v>3446</v>
      </c>
      <c r="H1069">
        <v>0</v>
      </c>
      <c r="I1069">
        <v>0</v>
      </c>
      <c r="J1069">
        <v>0</v>
      </c>
      <c r="K1069">
        <v>1</v>
      </c>
      <c r="L1069" s="22" t="str">
        <f t="shared" si="341"/>
        <v>25/07/2026</v>
      </c>
      <c r="M1069" s="23">
        <f t="shared" si="342"/>
        <v>0.33333333333333331</v>
      </c>
      <c r="N1069" t="str">
        <f t="shared" si="343"/>
        <v>0 - 1</v>
      </c>
      <c r="O1069" t="str">
        <f t="shared" si="344"/>
        <v>Red</v>
      </c>
      <c r="P1069" t="str">
        <f t="shared" si="345"/>
        <v>Red</v>
      </c>
      <c r="Q1069" t="str">
        <f t="shared" si="346"/>
        <v>Green</v>
      </c>
      <c r="R1069" t="str">
        <f t="shared" si="347"/>
        <v>Red</v>
      </c>
      <c r="S1069" t="str">
        <f t="shared" si="348"/>
        <v>Green</v>
      </c>
      <c r="T1069" t="str">
        <f t="shared" si="349"/>
        <v>Green</v>
      </c>
      <c r="U1069" t="str">
        <f t="shared" si="350"/>
        <v>Red</v>
      </c>
      <c r="V1069" t="str">
        <f t="shared" si="351"/>
        <v>Green</v>
      </c>
      <c r="W1069" t="str">
        <f t="shared" si="352"/>
        <v>Red</v>
      </c>
      <c r="X1069" t="str">
        <f t="shared" si="353"/>
        <v>Red</v>
      </c>
      <c r="Y1069" t="str">
        <f t="shared" si="354"/>
        <v>Red</v>
      </c>
      <c r="Z1069" t="str">
        <f t="shared" si="355"/>
        <v>Red</v>
      </c>
      <c r="AA1069" t="str">
        <f t="shared" si="356"/>
        <v>Green</v>
      </c>
      <c r="AB1069" t="str">
        <f t="shared" si="357"/>
        <v>Green</v>
      </c>
      <c r="AC1069" t="str">
        <f t="shared" si="358"/>
        <v>Red</v>
      </c>
      <c r="AD1069" t="str">
        <f t="shared" si="359"/>
        <v>Green</v>
      </c>
    </row>
    <row r="1070" spans="1:30" x14ac:dyDescent="0.2">
      <c r="A1070" t="str">
        <f t="shared" si="340"/>
        <v>25/07/2026GreiKonnerud</v>
      </c>
      <c r="D1070" s="2">
        <v>46228</v>
      </c>
      <c r="E1070" s="3">
        <v>0.45833333333333331</v>
      </c>
      <c r="F1070" t="s">
        <v>3465</v>
      </c>
      <c r="G1070" t="s">
        <v>3466</v>
      </c>
      <c r="H1070">
        <v>2</v>
      </c>
      <c r="I1070">
        <v>0</v>
      </c>
      <c r="J1070">
        <v>3</v>
      </c>
      <c r="K1070">
        <v>1</v>
      </c>
      <c r="L1070" s="22" t="str">
        <f t="shared" si="341"/>
        <v>25/07/2026</v>
      </c>
      <c r="M1070" s="23">
        <f t="shared" si="342"/>
        <v>0.33333333333333331</v>
      </c>
      <c r="N1070" t="str">
        <f t="shared" si="343"/>
        <v>3 - 1</v>
      </c>
      <c r="O1070" t="str">
        <f t="shared" si="344"/>
        <v>Green</v>
      </c>
      <c r="P1070" t="str">
        <f t="shared" si="345"/>
        <v>Red</v>
      </c>
      <c r="Q1070" t="str">
        <f t="shared" si="346"/>
        <v>Red</v>
      </c>
      <c r="R1070" t="str">
        <f t="shared" si="347"/>
        <v>Green</v>
      </c>
      <c r="S1070" t="str">
        <f t="shared" si="348"/>
        <v>Red</v>
      </c>
      <c r="T1070" t="str">
        <f t="shared" si="349"/>
        <v>Green</v>
      </c>
      <c r="U1070" t="str">
        <f t="shared" si="350"/>
        <v>Green</v>
      </c>
      <c r="V1070" t="str">
        <f t="shared" si="351"/>
        <v>Red</v>
      </c>
      <c r="W1070" t="str">
        <f t="shared" si="352"/>
        <v>Red</v>
      </c>
      <c r="X1070" t="str">
        <f t="shared" si="353"/>
        <v>Green</v>
      </c>
      <c r="Y1070" t="str">
        <f t="shared" si="354"/>
        <v>Green</v>
      </c>
      <c r="Z1070" t="str">
        <f t="shared" si="355"/>
        <v>Green</v>
      </c>
      <c r="AA1070" t="str">
        <f t="shared" si="356"/>
        <v>Red</v>
      </c>
      <c r="AB1070" t="str">
        <f t="shared" si="357"/>
        <v>Red</v>
      </c>
      <c r="AC1070" t="str">
        <f t="shared" si="358"/>
        <v>Green</v>
      </c>
      <c r="AD1070" t="str">
        <f t="shared" si="359"/>
        <v>Red</v>
      </c>
    </row>
    <row r="1071" spans="1:30" x14ac:dyDescent="0.2">
      <c r="A1071" t="str">
        <f t="shared" ref="A1071:A1134" si="360">L1070&amp;F1071&amp;G1071</f>
        <v>25/07/2026NordstrandGamle Oslo</v>
      </c>
      <c r="D1071" s="2">
        <v>46228</v>
      </c>
      <c r="E1071" s="3">
        <v>0.45833333333333331</v>
      </c>
      <c r="F1071" t="s">
        <v>3467</v>
      </c>
      <c r="G1071" t="s">
        <v>3468</v>
      </c>
      <c r="H1071">
        <v>1</v>
      </c>
      <c r="I1071">
        <v>1</v>
      </c>
      <c r="J1071">
        <v>1</v>
      </c>
      <c r="K1071">
        <v>2</v>
      </c>
      <c r="L1071" s="22" t="str">
        <f t="shared" ref="L1071:L1134" si="361">DAY(D1071)&amp;"/"&amp;"07"&amp;"/"&amp;YEAR(D1071)</f>
        <v>25/07/2026</v>
      </c>
      <c r="M1071" s="23">
        <f t="shared" ref="M1071:M1134" si="362">E1071-TIME(3,0,0)</f>
        <v>0.33333333333333331</v>
      </c>
      <c r="N1071" t="str">
        <f t="shared" ref="N1071:N1134" si="363">J1071&amp;" - "&amp;K1071</f>
        <v>1 - 2</v>
      </c>
      <c r="O1071" t="str">
        <f t="shared" si="344"/>
        <v>Red</v>
      </c>
      <c r="P1071" t="str">
        <f t="shared" si="345"/>
        <v>Red</v>
      </c>
      <c r="Q1071" t="str">
        <f t="shared" si="346"/>
        <v>Green</v>
      </c>
      <c r="R1071" t="str">
        <f t="shared" si="347"/>
        <v>Red</v>
      </c>
      <c r="S1071" t="str">
        <f t="shared" si="348"/>
        <v>Green</v>
      </c>
      <c r="T1071" t="str">
        <f t="shared" si="349"/>
        <v>Green</v>
      </c>
      <c r="U1071" t="str">
        <f t="shared" si="350"/>
        <v>Red</v>
      </c>
      <c r="V1071" t="str">
        <f t="shared" si="351"/>
        <v>Green</v>
      </c>
      <c r="W1071" t="str">
        <f t="shared" si="352"/>
        <v>Red</v>
      </c>
      <c r="X1071" t="str">
        <f t="shared" si="353"/>
        <v>Green</v>
      </c>
      <c r="Y1071" t="str">
        <f t="shared" si="354"/>
        <v>Green</v>
      </c>
      <c r="Z1071" t="str">
        <f t="shared" si="355"/>
        <v>Green</v>
      </c>
      <c r="AA1071" t="str">
        <f t="shared" si="356"/>
        <v>Red</v>
      </c>
      <c r="AB1071" t="str">
        <f t="shared" si="357"/>
        <v>Green</v>
      </c>
      <c r="AC1071" t="str">
        <f t="shared" si="358"/>
        <v>Green</v>
      </c>
      <c r="AD1071" t="str">
        <f t="shared" si="359"/>
        <v>Red</v>
      </c>
    </row>
    <row r="1072" spans="1:30" x14ac:dyDescent="0.2">
      <c r="A1072" t="str">
        <f t="shared" si="360"/>
        <v>25/07/2026UllernHeming</v>
      </c>
      <c r="D1072" s="2">
        <v>46228</v>
      </c>
      <c r="E1072" s="3">
        <v>0.45833333333333331</v>
      </c>
      <c r="F1072" t="s">
        <v>3469</v>
      </c>
      <c r="G1072" t="s">
        <v>3470</v>
      </c>
      <c r="H1072">
        <v>0</v>
      </c>
      <c r="I1072">
        <v>1</v>
      </c>
      <c r="J1072">
        <v>1</v>
      </c>
      <c r="K1072">
        <v>3</v>
      </c>
      <c r="L1072" s="22" t="str">
        <f t="shared" si="361"/>
        <v>25/07/2026</v>
      </c>
      <c r="M1072" s="23">
        <f t="shared" si="362"/>
        <v>0.33333333333333331</v>
      </c>
      <c r="N1072" t="str">
        <f t="shared" si="363"/>
        <v>1 - 3</v>
      </c>
      <c r="O1072" t="str">
        <f t="shared" si="344"/>
        <v>Red</v>
      </c>
      <c r="P1072" t="str">
        <f t="shared" si="345"/>
        <v>Red</v>
      </c>
      <c r="Q1072" t="str">
        <f t="shared" si="346"/>
        <v>Green</v>
      </c>
      <c r="R1072" t="str">
        <f t="shared" si="347"/>
        <v>Red</v>
      </c>
      <c r="S1072" t="str">
        <f t="shared" si="348"/>
        <v>Green</v>
      </c>
      <c r="T1072" t="str">
        <f t="shared" si="349"/>
        <v>Green</v>
      </c>
      <c r="U1072" t="str">
        <f t="shared" si="350"/>
        <v>Red</v>
      </c>
      <c r="V1072" t="str">
        <f t="shared" si="351"/>
        <v>Red</v>
      </c>
      <c r="W1072" t="str">
        <f t="shared" si="352"/>
        <v>Green</v>
      </c>
      <c r="X1072" t="str">
        <f t="shared" si="353"/>
        <v>Green</v>
      </c>
      <c r="Y1072" t="str">
        <f t="shared" si="354"/>
        <v>Green</v>
      </c>
      <c r="Z1072" t="str">
        <f t="shared" si="355"/>
        <v>Green</v>
      </c>
      <c r="AA1072" t="str">
        <f t="shared" si="356"/>
        <v>Red</v>
      </c>
      <c r="AB1072" t="str">
        <f t="shared" si="357"/>
        <v>Red</v>
      </c>
      <c r="AC1072" t="str">
        <f t="shared" si="358"/>
        <v>Green</v>
      </c>
      <c r="AD1072" t="str">
        <f t="shared" si="359"/>
        <v>Red</v>
      </c>
    </row>
    <row r="1073" spans="1:30" x14ac:dyDescent="0.2">
      <c r="A1073" t="str">
        <f t="shared" si="360"/>
        <v>25/07/2026FordeAustevoll</v>
      </c>
      <c r="D1073" s="2">
        <v>46228</v>
      </c>
      <c r="E1073" s="3">
        <v>0.45833333333333331</v>
      </c>
      <c r="F1073" t="s">
        <v>3481</v>
      </c>
      <c r="G1073" t="s">
        <v>3482</v>
      </c>
      <c r="H1073">
        <v>0</v>
      </c>
      <c r="I1073">
        <v>1</v>
      </c>
      <c r="J1073">
        <v>1</v>
      </c>
      <c r="K1073">
        <v>1</v>
      </c>
      <c r="L1073" s="22" t="str">
        <f t="shared" si="361"/>
        <v>25/07/2026</v>
      </c>
      <c r="M1073" s="23">
        <f t="shared" si="362"/>
        <v>0.33333333333333331</v>
      </c>
      <c r="N1073" t="str">
        <f t="shared" si="363"/>
        <v>1 - 1</v>
      </c>
      <c r="O1073" t="str">
        <f t="shared" si="344"/>
        <v>Red</v>
      </c>
      <c r="P1073" t="str">
        <f t="shared" si="345"/>
        <v>Green</v>
      </c>
      <c r="Q1073" t="str">
        <f t="shared" si="346"/>
        <v>Red</v>
      </c>
      <c r="R1073" t="str">
        <f t="shared" si="347"/>
        <v>Green</v>
      </c>
      <c r="S1073" t="str">
        <f t="shared" si="348"/>
        <v>Green</v>
      </c>
      <c r="T1073" t="str">
        <f t="shared" si="349"/>
        <v>Red</v>
      </c>
      <c r="U1073" t="str">
        <f t="shared" si="350"/>
        <v>Red</v>
      </c>
      <c r="V1073" t="str">
        <f t="shared" si="351"/>
        <v>Red</v>
      </c>
      <c r="W1073" t="str">
        <f t="shared" si="352"/>
        <v>Green</v>
      </c>
      <c r="X1073" t="str">
        <f t="shared" si="353"/>
        <v>Green</v>
      </c>
      <c r="Y1073" t="str">
        <f t="shared" si="354"/>
        <v>Green</v>
      </c>
      <c r="Z1073" t="str">
        <f t="shared" si="355"/>
        <v>Red</v>
      </c>
      <c r="AA1073" t="str">
        <f t="shared" si="356"/>
        <v>Green</v>
      </c>
      <c r="AB1073" t="str">
        <f t="shared" si="357"/>
        <v>Green</v>
      </c>
      <c r="AC1073" t="str">
        <f t="shared" si="358"/>
        <v>Green</v>
      </c>
      <c r="AD1073" t="str">
        <f t="shared" si="359"/>
        <v>Red</v>
      </c>
    </row>
    <row r="1074" spans="1:30" x14ac:dyDescent="0.2">
      <c r="A1074" t="str">
        <f t="shared" si="360"/>
        <v>25/07/2026Legia IIStal Stalowa Wola</v>
      </c>
      <c r="D1074" s="2">
        <v>46228</v>
      </c>
      <c r="E1074" s="3">
        <v>0.45833333333333331</v>
      </c>
      <c r="F1074" t="s">
        <v>3544</v>
      </c>
      <c r="G1074" t="s">
        <v>3545</v>
      </c>
      <c r="H1074">
        <v>0</v>
      </c>
      <c r="I1074">
        <v>0</v>
      </c>
      <c r="J1074">
        <v>0</v>
      </c>
      <c r="K1074">
        <v>2</v>
      </c>
      <c r="L1074" s="22" t="str">
        <f t="shared" si="361"/>
        <v>25/07/2026</v>
      </c>
      <c r="M1074" s="23">
        <f t="shared" si="362"/>
        <v>0.33333333333333331</v>
      </c>
      <c r="N1074" t="str">
        <f t="shared" si="363"/>
        <v>0 - 2</v>
      </c>
      <c r="O1074" t="str">
        <f t="shared" si="344"/>
        <v>Red</v>
      </c>
      <c r="P1074" t="str">
        <f t="shared" si="345"/>
        <v>Red</v>
      </c>
      <c r="Q1074" t="str">
        <f t="shared" si="346"/>
        <v>Green</v>
      </c>
      <c r="R1074" t="str">
        <f t="shared" si="347"/>
        <v>Red</v>
      </c>
      <c r="S1074" t="str">
        <f t="shared" si="348"/>
        <v>Green</v>
      </c>
      <c r="T1074" t="str">
        <f t="shared" si="349"/>
        <v>Green</v>
      </c>
      <c r="U1074" t="str">
        <f t="shared" si="350"/>
        <v>Red</v>
      </c>
      <c r="V1074" t="str">
        <f t="shared" si="351"/>
        <v>Green</v>
      </c>
      <c r="W1074" t="str">
        <f t="shared" si="352"/>
        <v>Red</v>
      </c>
      <c r="X1074" t="str">
        <f t="shared" si="353"/>
        <v>Red</v>
      </c>
      <c r="Y1074" t="str">
        <f t="shared" si="354"/>
        <v>Green</v>
      </c>
      <c r="Z1074" t="str">
        <f t="shared" si="355"/>
        <v>Red</v>
      </c>
      <c r="AA1074" t="str">
        <f t="shared" si="356"/>
        <v>Green</v>
      </c>
      <c r="AB1074" t="str">
        <f t="shared" si="357"/>
        <v>Green</v>
      </c>
      <c r="AC1074" t="str">
        <f t="shared" si="358"/>
        <v>Red</v>
      </c>
      <c r="AD1074" t="str">
        <f t="shared" si="359"/>
        <v>Green</v>
      </c>
    </row>
    <row r="1075" spans="1:30" x14ac:dyDescent="0.2">
      <c r="A1075" t="str">
        <f t="shared" si="360"/>
        <v>25/07/2026FK Torpedo MiassZenit St Petersburg II</v>
      </c>
      <c r="D1075" s="2">
        <v>46228</v>
      </c>
      <c r="E1075" s="3">
        <v>0.45833333333333331</v>
      </c>
      <c r="F1075" t="s">
        <v>3562</v>
      </c>
      <c r="G1075" t="s">
        <v>3563</v>
      </c>
      <c r="H1075">
        <v>0</v>
      </c>
      <c r="I1075">
        <v>0</v>
      </c>
      <c r="J1075">
        <v>0</v>
      </c>
      <c r="K1075">
        <v>1</v>
      </c>
      <c r="L1075" s="22" t="str">
        <f t="shared" si="361"/>
        <v>25/07/2026</v>
      </c>
      <c r="M1075" s="23">
        <f t="shared" si="362"/>
        <v>0.33333333333333331</v>
      </c>
      <c r="N1075" t="str">
        <f t="shared" si="363"/>
        <v>0 - 1</v>
      </c>
      <c r="O1075" t="str">
        <f t="shared" si="344"/>
        <v>Red</v>
      </c>
      <c r="P1075" t="str">
        <f t="shared" si="345"/>
        <v>Red</v>
      </c>
      <c r="Q1075" t="str">
        <f t="shared" si="346"/>
        <v>Green</v>
      </c>
      <c r="R1075" t="str">
        <f t="shared" si="347"/>
        <v>Red</v>
      </c>
      <c r="S1075" t="str">
        <f t="shared" si="348"/>
        <v>Green</v>
      </c>
      <c r="T1075" t="str">
        <f t="shared" si="349"/>
        <v>Green</v>
      </c>
      <c r="U1075" t="str">
        <f t="shared" si="350"/>
        <v>Red</v>
      </c>
      <c r="V1075" t="str">
        <f t="shared" si="351"/>
        <v>Green</v>
      </c>
      <c r="W1075" t="str">
        <f t="shared" si="352"/>
        <v>Red</v>
      </c>
      <c r="X1075" t="str">
        <f t="shared" si="353"/>
        <v>Red</v>
      </c>
      <c r="Y1075" t="str">
        <f t="shared" si="354"/>
        <v>Red</v>
      </c>
      <c r="Z1075" t="str">
        <f t="shared" si="355"/>
        <v>Red</v>
      </c>
      <c r="AA1075" t="str">
        <f t="shared" si="356"/>
        <v>Green</v>
      </c>
      <c r="AB1075" t="str">
        <f t="shared" si="357"/>
        <v>Green</v>
      </c>
      <c r="AC1075" t="str">
        <f t="shared" si="358"/>
        <v>Red</v>
      </c>
      <c r="AD1075" t="str">
        <f t="shared" si="359"/>
        <v>Green</v>
      </c>
    </row>
    <row r="1076" spans="1:30" x14ac:dyDescent="0.2">
      <c r="A1076" t="str">
        <f t="shared" si="360"/>
        <v>25/07/2026Dynamo St PetersburgFC Murom</v>
      </c>
      <c r="D1076" s="2">
        <v>46228</v>
      </c>
      <c r="E1076" s="3">
        <v>0.45833333333333331</v>
      </c>
      <c r="F1076" t="s">
        <v>3582</v>
      </c>
      <c r="G1076" t="s">
        <v>3583</v>
      </c>
      <c r="H1076">
        <v>0</v>
      </c>
      <c r="I1076">
        <v>0</v>
      </c>
      <c r="J1076">
        <v>1</v>
      </c>
      <c r="K1076">
        <v>2</v>
      </c>
      <c r="L1076" s="22" t="str">
        <f t="shared" si="361"/>
        <v>25/07/2026</v>
      </c>
      <c r="M1076" s="23">
        <f t="shared" si="362"/>
        <v>0.33333333333333331</v>
      </c>
      <c r="N1076" t="str">
        <f t="shared" si="363"/>
        <v>1 - 2</v>
      </c>
      <c r="O1076" t="str">
        <f t="shared" si="344"/>
        <v>Red</v>
      </c>
      <c r="P1076" t="str">
        <f t="shared" si="345"/>
        <v>Red</v>
      </c>
      <c r="Q1076" t="str">
        <f t="shared" si="346"/>
        <v>Green</v>
      </c>
      <c r="R1076" t="str">
        <f t="shared" si="347"/>
        <v>Red</v>
      </c>
      <c r="S1076" t="str">
        <f t="shared" si="348"/>
        <v>Green</v>
      </c>
      <c r="T1076" t="str">
        <f t="shared" si="349"/>
        <v>Green</v>
      </c>
      <c r="U1076" t="str">
        <f t="shared" si="350"/>
        <v>Red</v>
      </c>
      <c r="V1076" t="str">
        <f t="shared" si="351"/>
        <v>Green</v>
      </c>
      <c r="W1076" t="str">
        <f t="shared" si="352"/>
        <v>Red</v>
      </c>
      <c r="X1076" t="str">
        <f t="shared" si="353"/>
        <v>Red</v>
      </c>
      <c r="Y1076" t="str">
        <f t="shared" si="354"/>
        <v>Green</v>
      </c>
      <c r="Z1076" t="str">
        <f t="shared" si="355"/>
        <v>Green</v>
      </c>
      <c r="AA1076" t="str">
        <f t="shared" si="356"/>
        <v>Red</v>
      </c>
      <c r="AB1076" t="str">
        <f t="shared" si="357"/>
        <v>Green</v>
      </c>
      <c r="AC1076" t="str">
        <f t="shared" si="358"/>
        <v>Green</v>
      </c>
      <c r="AD1076" t="str">
        <f t="shared" si="359"/>
        <v>Red</v>
      </c>
    </row>
    <row r="1077" spans="1:30" x14ac:dyDescent="0.2">
      <c r="A1077" t="str">
        <f t="shared" si="360"/>
        <v>25/07/2026GAIS Goteborg U19Mjallby U19</v>
      </c>
      <c r="B1077" t="s">
        <v>827</v>
      </c>
      <c r="D1077" s="2">
        <v>46228</v>
      </c>
      <c r="E1077" s="3">
        <v>0.45833333333333331</v>
      </c>
      <c r="F1077" t="s">
        <v>3651</v>
      </c>
      <c r="G1077" t="s">
        <v>3652</v>
      </c>
      <c r="H1077">
        <v>0</v>
      </c>
      <c r="I1077">
        <v>0</v>
      </c>
      <c r="J1077">
        <v>4</v>
      </c>
      <c r="K1077">
        <v>2</v>
      </c>
      <c r="L1077" s="22" t="str">
        <f t="shared" si="361"/>
        <v>25/07/2026</v>
      </c>
      <c r="M1077" s="23">
        <f t="shared" si="362"/>
        <v>0.33333333333333331</v>
      </c>
      <c r="N1077" t="str">
        <f t="shared" si="363"/>
        <v>4 - 2</v>
      </c>
      <c r="O1077" t="str">
        <f t="shared" si="344"/>
        <v>Green</v>
      </c>
      <c r="P1077" t="str">
        <f t="shared" si="345"/>
        <v>Red</v>
      </c>
      <c r="Q1077" t="str">
        <f t="shared" si="346"/>
        <v>Red</v>
      </c>
      <c r="R1077" t="str">
        <f t="shared" si="347"/>
        <v>Green</v>
      </c>
      <c r="S1077" t="str">
        <f t="shared" si="348"/>
        <v>Red</v>
      </c>
      <c r="T1077" t="str">
        <f t="shared" si="349"/>
        <v>Green</v>
      </c>
      <c r="U1077" t="str">
        <f t="shared" si="350"/>
        <v>Red</v>
      </c>
      <c r="V1077" t="str">
        <f t="shared" si="351"/>
        <v>Green</v>
      </c>
      <c r="W1077" t="str">
        <f t="shared" si="352"/>
        <v>Red</v>
      </c>
      <c r="X1077" t="str">
        <f t="shared" si="353"/>
        <v>Red</v>
      </c>
      <c r="Y1077" t="str">
        <f t="shared" si="354"/>
        <v>Green</v>
      </c>
      <c r="Z1077" t="str">
        <f t="shared" si="355"/>
        <v>Green</v>
      </c>
      <c r="AA1077" t="str">
        <f t="shared" si="356"/>
        <v>Red</v>
      </c>
      <c r="AB1077" t="str">
        <f t="shared" si="357"/>
        <v>Red</v>
      </c>
      <c r="AC1077" t="str">
        <f t="shared" si="358"/>
        <v>Green</v>
      </c>
      <c r="AD1077" t="str">
        <f t="shared" si="359"/>
        <v>Red</v>
      </c>
    </row>
    <row r="1078" spans="1:30" x14ac:dyDescent="0.2">
      <c r="A1078" t="str">
        <f t="shared" si="360"/>
        <v>25/07/2026Orebro U19Djurgardens U19</v>
      </c>
      <c r="B1078" t="s">
        <v>827</v>
      </c>
      <c r="D1078" s="2">
        <v>46228</v>
      </c>
      <c r="E1078" s="3">
        <v>0.45833333333333331</v>
      </c>
      <c r="F1078" t="s">
        <v>3653</v>
      </c>
      <c r="G1078" t="s">
        <v>3654</v>
      </c>
      <c r="H1078">
        <v>0</v>
      </c>
      <c r="I1078">
        <v>0</v>
      </c>
      <c r="J1078">
        <v>0</v>
      </c>
      <c r="K1078">
        <v>1</v>
      </c>
      <c r="L1078" s="22" t="str">
        <f t="shared" si="361"/>
        <v>25/07/2026</v>
      </c>
      <c r="M1078" s="23">
        <f t="shared" si="362"/>
        <v>0.33333333333333331</v>
      </c>
      <c r="N1078" t="str">
        <f t="shared" si="363"/>
        <v>0 - 1</v>
      </c>
      <c r="O1078" t="str">
        <f t="shared" si="344"/>
        <v>Red</v>
      </c>
      <c r="P1078" t="str">
        <f t="shared" si="345"/>
        <v>Red</v>
      </c>
      <c r="Q1078" t="str">
        <f t="shared" si="346"/>
        <v>Green</v>
      </c>
      <c r="R1078" t="str">
        <f t="shared" si="347"/>
        <v>Red</v>
      </c>
      <c r="S1078" t="str">
        <f t="shared" si="348"/>
        <v>Green</v>
      </c>
      <c r="T1078" t="str">
        <f t="shared" si="349"/>
        <v>Green</v>
      </c>
      <c r="U1078" t="str">
        <f t="shared" si="350"/>
        <v>Red</v>
      </c>
      <c r="V1078" t="str">
        <f t="shared" si="351"/>
        <v>Green</v>
      </c>
      <c r="W1078" t="str">
        <f t="shared" si="352"/>
        <v>Red</v>
      </c>
      <c r="X1078" t="str">
        <f t="shared" si="353"/>
        <v>Red</v>
      </c>
      <c r="Y1078" t="str">
        <f t="shared" si="354"/>
        <v>Red</v>
      </c>
      <c r="Z1078" t="str">
        <f t="shared" si="355"/>
        <v>Red</v>
      </c>
      <c r="AA1078" t="str">
        <f t="shared" si="356"/>
        <v>Green</v>
      </c>
      <c r="AB1078" t="str">
        <f t="shared" si="357"/>
        <v>Green</v>
      </c>
      <c r="AC1078" t="str">
        <f t="shared" si="358"/>
        <v>Red</v>
      </c>
      <c r="AD1078" t="str">
        <f t="shared" si="359"/>
        <v>Green</v>
      </c>
    </row>
    <row r="1079" spans="1:30" x14ac:dyDescent="0.2">
      <c r="A1079" t="str">
        <f t="shared" si="360"/>
        <v>25/07/2026Elfsborg WomenUmea IK Women</v>
      </c>
      <c r="B1079" t="s">
        <v>827</v>
      </c>
      <c r="D1079" s="2">
        <v>46228</v>
      </c>
      <c r="E1079" s="3">
        <v>0.45833333333333331</v>
      </c>
      <c r="F1079" t="s">
        <v>3659</v>
      </c>
      <c r="G1079" t="s">
        <v>3660</v>
      </c>
      <c r="H1079">
        <v>2</v>
      </c>
      <c r="I1079">
        <v>0</v>
      </c>
      <c r="J1079">
        <v>4</v>
      </c>
      <c r="K1079">
        <v>1</v>
      </c>
      <c r="L1079" s="22" t="str">
        <f t="shared" si="361"/>
        <v>25/07/2026</v>
      </c>
      <c r="M1079" s="23">
        <f t="shared" si="362"/>
        <v>0.33333333333333331</v>
      </c>
      <c r="N1079" t="str">
        <f t="shared" si="363"/>
        <v>4 - 1</v>
      </c>
      <c r="O1079" t="str">
        <f t="shared" si="344"/>
        <v>Green</v>
      </c>
      <c r="P1079" t="str">
        <f t="shared" si="345"/>
        <v>Red</v>
      </c>
      <c r="Q1079" t="str">
        <f t="shared" si="346"/>
        <v>Red</v>
      </c>
      <c r="R1079" t="str">
        <f t="shared" si="347"/>
        <v>Green</v>
      </c>
      <c r="S1079" t="str">
        <f t="shared" si="348"/>
        <v>Red</v>
      </c>
      <c r="T1079" t="str">
        <f t="shared" si="349"/>
        <v>Green</v>
      </c>
      <c r="U1079" t="str">
        <f t="shared" si="350"/>
        <v>Green</v>
      </c>
      <c r="V1079" t="str">
        <f t="shared" si="351"/>
        <v>Red</v>
      </c>
      <c r="W1079" t="str">
        <f t="shared" si="352"/>
        <v>Red</v>
      </c>
      <c r="X1079" t="str">
        <f t="shared" si="353"/>
        <v>Green</v>
      </c>
      <c r="Y1079" t="str">
        <f t="shared" si="354"/>
        <v>Green</v>
      </c>
      <c r="Z1079" t="str">
        <f t="shared" si="355"/>
        <v>Green</v>
      </c>
      <c r="AA1079" t="str">
        <f t="shared" si="356"/>
        <v>Red</v>
      </c>
      <c r="AB1079" t="str">
        <f t="shared" si="357"/>
        <v>Red</v>
      </c>
      <c r="AC1079" t="str">
        <f t="shared" si="358"/>
        <v>Green</v>
      </c>
      <c r="AD1079" t="str">
        <f t="shared" si="359"/>
        <v>Red</v>
      </c>
    </row>
    <row r="1080" spans="1:30" x14ac:dyDescent="0.2">
      <c r="A1080" t="str">
        <f t="shared" si="360"/>
        <v>25/07/2026Husqvarna FF WomenIFK Goteborg Women</v>
      </c>
      <c r="B1080" t="s">
        <v>827</v>
      </c>
      <c r="D1080" s="2">
        <v>46228</v>
      </c>
      <c r="E1080" s="3">
        <v>0.45833333333333331</v>
      </c>
      <c r="F1080" t="s">
        <v>3661</v>
      </c>
      <c r="G1080" t="s">
        <v>3662</v>
      </c>
      <c r="H1080">
        <v>2</v>
      </c>
      <c r="I1080">
        <v>2</v>
      </c>
      <c r="J1080">
        <v>4</v>
      </c>
      <c r="K1080">
        <v>4</v>
      </c>
      <c r="L1080" s="22" t="str">
        <f t="shared" si="361"/>
        <v>25/07/2026</v>
      </c>
      <c r="M1080" s="23">
        <f t="shared" si="362"/>
        <v>0.33333333333333331</v>
      </c>
      <c r="N1080" t="str">
        <f t="shared" si="363"/>
        <v>4 - 4</v>
      </c>
      <c r="O1080" t="str">
        <f t="shared" si="344"/>
        <v>Red</v>
      </c>
      <c r="P1080" t="str">
        <f t="shared" si="345"/>
        <v>Green</v>
      </c>
      <c r="Q1080" t="str">
        <f t="shared" si="346"/>
        <v>Red</v>
      </c>
      <c r="R1080" t="str">
        <f t="shared" si="347"/>
        <v>Green</v>
      </c>
      <c r="S1080" t="str">
        <f t="shared" si="348"/>
        <v>Green</v>
      </c>
      <c r="T1080" t="str">
        <f t="shared" si="349"/>
        <v>Red</v>
      </c>
      <c r="U1080" t="str">
        <f t="shared" si="350"/>
        <v>Red</v>
      </c>
      <c r="V1080" t="str">
        <f t="shared" si="351"/>
        <v>Green</v>
      </c>
      <c r="W1080" t="str">
        <f t="shared" si="352"/>
        <v>Red</v>
      </c>
      <c r="X1080" t="str">
        <f t="shared" si="353"/>
        <v>Green</v>
      </c>
      <c r="Y1080" t="str">
        <f t="shared" si="354"/>
        <v>Green</v>
      </c>
      <c r="Z1080" t="str">
        <f t="shared" si="355"/>
        <v>Green</v>
      </c>
      <c r="AA1080" t="str">
        <f t="shared" si="356"/>
        <v>Red</v>
      </c>
      <c r="AB1080" t="str">
        <f t="shared" si="357"/>
        <v>Red</v>
      </c>
      <c r="AC1080" t="str">
        <f t="shared" si="358"/>
        <v>Green</v>
      </c>
      <c r="AD1080" t="str">
        <f t="shared" si="359"/>
        <v>Red</v>
      </c>
    </row>
    <row r="1081" spans="1:30" x14ac:dyDescent="0.2">
      <c r="A1081" t="str">
        <f t="shared" si="360"/>
        <v>25/07/2026Sandvikens IF WomenHolmalund Women</v>
      </c>
      <c r="B1081" t="s">
        <v>827</v>
      </c>
      <c r="D1081" s="2">
        <v>46228</v>
      </c>
      <c r="E1081" s="3">
        <v>0.45833333333333331</v>
      </c>
      <c r="F1081" t="s">
        <v>3663</v>
      </c>
      <c r="G1081" t="s">
        <v>3664</v>
      </c>
      <c r="H1081">
        <v>2</v>
      </c>
      <c r="I1081">
        <v>1</v>
      </c>
      <c r="J1081">
        <v>3</v>
      </c>
      <c r="K1081">
        <v>3</v>
      </c>
      <c r="L1081" s="22" t="str">
        <f t="shared" si="361"/>
        <v>25/07/2026</v>
      </c>
      <c r="M1081" s="23">
        <f t="shared" si="362"/>
        <v>0.33333333333333331</v>
      </c>
      <c r="N1081" t="str">
        <f t="shared" si="363"/>
        <v>3 - 3</v>
      </c>
      <c r="O1081" t="str">
        <f t="shared" si="344"/>
        <v>Red</v>
      </c>
      <c r="P1081" t="str">
        <f t="shared" si="345"/>
        <v>Green</v>
      </c>
      <c r="Q1081" t="str">
        <f t="shared" si="346"/>
        <v>Red</v>
      </c>
      <c r="R1081" t="str">
        <f t="shared" si="347"/>
        <v>Green</v>
      </c>
      <c r="S1081" t="str">
        <f t="shared" si="348"/>
        <v>Green</v>
      </c>
      <c r="T1081" t="str">
        <f t="shared" si="349"/>
        <v>Red</v>
      </c>
      <c r="U1081" t="str">
        <f t="shared" si="350"/>
        <v>Green</v>
      </c>
      <c r="V1081" t="str">
        <f t="shared" si="351"/>
        <v>Red</v>
      </c>
      <c r="W1081" t="str">
        <f t="shared" si="352"/>
        <v>Red</v>
      </c>
      <c r="X1081" t="str">
        <f t="shared" si="353"/>
        <v>Green</v>
      </c>
      <c r="Y1081" t="str">
        <f t="shared" si="354"/>
        <v>Green</v>
      </c>
      <c r="Z1081" t="str">
        <f t="shared" si="355"/>
        <v>Green</v>
      </c>
      <c r="AA1081" t="str">
        <f t="shared" si="356"/>
        <v>Red</v>
      </c>
      <c r="AB1081" t="str">
        <f t="shared" si="357"/>
        <v>Red</v>
      </c>
      <c r="AC1081" t="str">
        <f t="shared" si="358"/>
        <v>Green</v>
      </c>
      <c r="AD1081" t="str">
        <f t="shared" si="359"/>
        <v>Red</v>
      </c>
    </row>
    <row r="1082" spans="1:30" x14ac:dyDescent="0.2">
      <c r="A1082" t="str">
        <f t="shared" si="360"/>
        <v>25/07/2026FC Lokomotiv KievFC Chernigiv</v>
      </c>
      <c r="D1082" s="2">
        <v>46228</v>
      </c>
      <c r="E1082" s="3">
        <v>0.45833333333333331</v>
      </c>
      <c r="F1082" t="s">
        <v>3680</v>
      </c>
      <c r="G1082" t="s">
        <v>3681</v>
      </c>
      <c r="H1082">
        <v>0</v>
      </c>
      <c r="I1082">
        <v>0</v>
      </c>
      <c r="J1082">
        <v>1</v>
      </c>
      <c r="K1082">
        <v>1</v>
      </c>
      <c r="L1082" s="22" t="str">
        <f t="shared" si="361"/>
        <v>25/07/2026</v>
      </c>
      <c r="M1082" s="23">
        <f t="shared" si="362"/>
        <v>0.33333333333333331</v>
      </c>
      <c r="N1082" t="str">
        <f t="shared" si="363"/>
        <v>1 - 1</v>
      </c>
      <c r="O1082" t="str">
        <f t="shared" si="344"/>
        <v>Red</v>
      </c>
      <c r="P1082" t="str">
        <f t="shared" si="345"/>
        <v>Green</v>
      </c>
      <c r="Q1082" t="str">
        <f t="shared" si="346"/>
        <v>Red</v>
      </c>
      <c r="R1082" t="str">
        <f t="shared" si="347"/>
        <v>Green</v>
      </c>
      <c r="S1082" t="str">
        <f t="shared" si="348"/>
        <v>Green</v>
      </c>
      <c r="T1082" t="str">
        <f t="shared" si="349"/>
        <v>Red</v>
      </c>
      <c r="U1082" t="str">
        <f t="shared" si="350"/>
        <v>Red</v>
      </c>
      <c r="V1082" t="str">
        <f t="shared" si="351"/>
        <v>Green</v>
      </c>
      <c r="W1082" t="str">
        <f t="shared" si="352"/>
        <v>Red</v>
      </c>
      <c r="X1082" t="str">
        <f t="shared" si="353"/>
        <v>Red</v>
      </c>
      <c r="Y1082" t="str">
        <f t="shared" si="354"/>
        <v>Green</v>
      </c>
      <c r="Z1082" t="str">
        <f t="shared" si="355"/>
        <v>Red</v>
      </c>
      <c r="AA1082" t="str">
        <f t="shared" si="356"/>
        <v>Green</v>
      </c>
      <c r="AB1082" t="str">
        <f t="shared" si="357"/>
        <v>Green</v>
      </c>
      <c r="AC1082" t="str">
        <f t="shared" si="358"/>
        <v>Green</v>
      </c>
      <c r="AD1082" t="str">
        <f t="shared" si="359"/>
        <v>Red</v>
      </c>
    </row>
    <row r="1083" spans="1:30" x14ac:dyDescent="0.2">
      <c r="A1083" t="str">
        <f t="shared" si="360"/>
        <v>25/07/2026ArlandaIFK Haninge/Brandbergen</v>
      </c>
      <c r="D1083" s="2">
        <v>46228</v>
      </c>
      <c r="E1083" s="3">
        <v>0.45833333333333331</v>
      </c>
      <c r="F1083" t="s">
        <v>3771</v>
      </c>
      <c r="G1083" t="s">
        <v>3772</v>
      </c>
      <c r="H1083">
        <v>2</v>
      </c>
      <c r="I1083">
        <v>1</v>
      </c>
      <c r="J1083">
        <v>6</v>
      </c>
      <c r="K1083">
        <v>1</v>
      </c>
      <c r="L1083" s="22" t="str">
        <f t="shared" si="361"/>
        <v>25/07/2026</v>
      </c>
      <c r="M1083" s="23">
        <f t="shared" si="362"/>
        <v>0.33333333333333331</v>
      </c>
      <c r="N1083" t="str">
        <f t="shared" si="363"/>
        <v>6 - 1</v>
      </c>
      <c r="O1083" t="str">
        <f t="shared" si="344"/>
        <v>Green</v>
      </c>
      <c r="P1083" t="str">
        <f t="shared" si="345"/>
        <v>Red</v>
      </c>
      <c r="Q1083" t="str">
        <f t="shared" si="346"/>
        <v>Red</v>
      </c>
      <c r="R1083" t="str">
        <f t="shared" si="347"/>
        <v>Green</v>
      </c>
      <c r="S1083" t="str">
        <f t="shared" si="348"/>
        <v>Red</v>
      </c>
      <c r="T1083" t="str">
        <f t="shared" si="349"/>
        <v>Green</v>
      </c>
      <c r="U1083" t="str">
        <f t="shared" si="350"/>
        <v>Green</v>
      </c>
      <c r="V1083" t="str">
        <f t="shared" si="351"/>
        <v>Red</v>
      </c>
      <c r="W1083" t="str">
        <f t="shared" si="352"/>
        <v>Red</v>
      </c>
      <c r="X1083" t="str">
        <f t="shared" si="353"/>
        <v>Green</v>
      </c>
      <c r="Y1083" t="str">
        <f t="shared" si="354"/>
        <v>Green</v>
      </c>
      <c r="Z1083" t="str">
        <f t="shared" si="355"/>
        <v>Green</v>
      </c>
      <c r="AA1083" t="str">
        <f t="shared" si="356"/>
        <v>Red</v>
      </c>
      <c r="AB1083" t="str">
        <f t="shared" si="357"/>
        <v>Red</v>
      </c>
      <c r="AC1083" t="str">
        <f t="shared" si="358"/>
        <v>Green</v>
      </c>
      <c r="AD1083" t="str">
        <f t="shared" si="359"/>
        <v>Red</v>
      </c>
    </row>
    <row r="1084" spans="1:30" x14ac:dyDescent="0.2">
      <c r="A1084" t="str">
        <f t="shared" si="360"/>
        <v>25/07/2026Dynamo DresdenEnergie Cottbus</v>
      </c>
      <c r="D1084" s="2">
        <v>46228</v>
      </c>
      <c r="E1084" s="3">
        <v>0.45833333333333331</v>
      </c>
      <c r="F1084" t="s">
        <v>3773</v>
      </c>
      <c r="G1084" t="s">
        <v>3774</v>
      </c>
      <c r="H1084">
        <v>1</v>
      </c>
      <c r="I1084">
        <v>1</v>
      </c>
      <c r="J1084">
        <v>1</v>
      </c>
      <c r="K1084">
        <v>2</v>
      </c>
      <c r="L1084" s="22" t="str">
        <f t="shared" si="361"/>
        <v>25/07/2026</v>
      </c>
      <c r="M1084" s="23">
        <f t="shared" si="362"/>
        <v>0.33333333333333331</v>
      </c>
      <c r="N1084" t="str">
        <f t="shared" si="363"/>
        <v>1 - 2</v>
      </c>
      <c r="O1084" t="str">
        <f t="shared" si="344"/>
        <v>Red</v>
      </c>
      <c r="P1084" t="str">
        <f t="shared" si="345"/>
        <v>Red</v>
      </c>
      <c r="Q1084" t="str">
        <f t="shared" si="346"/>
        <v>Green</v>
      </c>
      <c r="R1084" t="str">
        <f t="shared" si="347"/>
        <v>Red</v>
      </c>
      <c r="S1084" t="str">
        <f t="shared" si="348"/>
        <v>Green</v>
      </c>
      <c r="T1084" t="str">
        <f t="shared" si="349"/>
        <v>Green</v>
      </c>
      <c r="U1084" t="str">
        <f t="shared" si="350"/>
        <v>Red</v>
      </c>
      <c r="V1084" t="str">
        <f t="shared" si="351"/>
        <v>Green</v>
      </c>
      <c r="W1084" t="str">
        <f t="shared" si="352"/>
        <v>Red</v>
      </c>
      <c r="X1084" t="str">
        <f t="shared" si="353"/>
        <v>Green</v>
      </c>
      <c r="Y1084" t="str">
        <f t="shared" si="354"/>
        <v>Green</v>
      </c>
      <c r="Z1084" t="str">
        <f t="shared" si="355"/>
        <v>Green</v>
      </c>
      <c r="AA1084" t="str">
        <f t="shared" si="356"/>
        <v>Red</v>
      </c>
      <c r="AB1084" t="str">
        <f t="shared" si="357"/>
        <v>Green</v>
      </c>
      <c r="AC1084" t="str">
        <f t="shared" si="358"/>
        <v>Green</v>
      </c>
      <c r="AD1084" t="str">
        <f t="shared" si="359"/>
        <v>Red</v>
      </c>
    </row>
    <row r="1085" spans="1:30" x14ac:dyDescent="0.2">
      <c r="A1085" t="str">
        <f t="shared" si="360"/>
        <v>25/07/2026Fortuna DusseldorfBorussia Dortmund</v>
      </c>
      <c r="D1085" s="2">
        <v>46228</v>
      </c>
      <c r="E1085" s="3">
        <v>0.45833333333333331</v>
      </c>
      <c r="F1085" t="s">
        <v>3775</v>
      </c>
      <c r="G1085" t="s">
        <v>3776</v>
      </c>
      <c r="H1085">
        <v>0</v>
      </c>
      <c r="I1085">
        <v>1</v>
      </c>
      <c r="J1085">
        <v>2</v>
      </c>
      <c r="K1085">
        <v>1</v>
      </c>
      <c r="L1085" s="22" t="str">
        <f t="shared" si="361"/>
        <v>25/07/2026</v>
      </c>
      <c r="M1085" s="23">
        <f t="shared" si="362"/>
        <v>0.33333333333333331</v>
      </c>
      <c r="N1085" t="str">
        <f t="shared" si="363"/>
        <v>2 - 1</v>
      </c>
      <c r="O1085" t="str">
        <f t="shared" si="344"/>
        <v>Green</v>
      </c>
      <c r="P1085" t="str">
        <f t="shared" si="345"/>
        <v>Red</v>
      </c>
      <c r="Q1085" t="str">
        <f t="shared" si="346"/>
        <v>Red</v>
      </c>
      <c r="R1085" t="str">
        <f t="shared" si="347"/>
        <v>Green</v>
      </c>
      <c r="S1085" t="str">
        <f t="shared" si="348"/>
        <v>Red</v>
      </c>
      <c r="T1085" t="str">
        <f t="shared" si="349"/>
        <v>Green</v>
      </c>
      <c r="U1085" t="str">
        <f t="shared" si="350"/>
        <v>Red</v>
      </c>
      <c r="V1085" t="str">
        <f t="shared" si="351"/>
        <v>Red</v>
      </c>
      <c r="W1085" t="str">
        <f t="shared" si="352"/>
        <v>Green</v>
      </c>
      <c r="X1085" t="str">
        <f t="shared" si="353"/>
        <v>Green</v>
      </c>
      <c r="Y1085" t="str">
        <f t="shared" si="354"/>
        <v>Green</v>
      </c>
      <c r="Z1085" t="str">
        <f t="shared" si="355"/>
        <v>Green</v>
      </c>
      <c r="AA1085" t="str">
        <f t="shared" si="356"/>
        <v>Red</v>
      </c>
      <c r="AB1085" t="str">
        <f t="shared" si="357"/>
        <v>Green</v>
      </c>
      <c r="AC1085" t="str">
        <f t="shared" si="358"/>
        <v>Green</v>
      </c>
      <c r="AD1085" t="str">
        <f t="shared" si="359"/>
        <v>Red</v>
      </c>
    </row>
    <row r="1086" spans="1:30" x14ac:dyDescent="0.2">
      <c r="A1086" t="str">
        <f t="shared" si="360"/>
        <v>25/07/2026Harrogate TownDoncaster Rovers</v>
      </c>
      <c r="D1086" s="2">
        <v>46228</v>
      </c>
      <c r="E1086" s="3">
        <v>0.45833333333333331</v>
      </c>
      <c r="F1086" t="s">
        <v>1513</v>
      </c>
      <c r="G1086" t="s">
        <v>3777</v>
      </c>
      <c r="H1086">
        <v>2</v>
      </c>
      <c r="I1086">
        <v>0</v>
      </c>
      <c r="J1086">
        <v>2</v>
      </c>
      <c r="K1086">
        <v>2</v>
      </c>
      <c r="L1086" s="22" t="str">
        <f t="shared" si="361"/>
        <v>25/07/2026</v>
      </c>
      <c r="M1086" s="23">
        <f t="shared" si="362"/>
        <v>0.33333333333333331</v>
      </c>
      <c r="N1086" t="str">
        <f t="shared" si="363"/>
        <v>2 - 2</v>
      </c>
      <c r="O1086" t="str">
        <f t="shared" si="344"/>
        <v>Red</v>
      </c>
      <c r="P1086" t="str">
        <f t="shared" si="345"/>
        <v>Green</v>
      </c>
      <c r="Q1086" t="str">
        <f t="shared" si="346"/>
        <v>Red</v>
      </c>
      <c r="R1086" t="str">
        <f t="shared" si="347"/>
        <v>Green</v>
      </c>
      <c r="S1086" t="str">
        <f t="shared" si="348"/>
        <v>Green</v>
      </c>
      <c r="T1086" t="str">
        <f t="shared" si="349"/>
        <v>Red</v>
      </c>
      <c r="U1086" t="str">
        <f t="shared" si="350"/>
        <v>Green</v>
      </c>
      <c r="V1086" t="str">
        <f t="shared" si="351"/>
        <v>Red</v>
      </c>
      <c r="W1086" t="str">
        <f t="shared" si="352"/>
        <v>Red</v>
      </c>
      <c r="X1086" t="str">
        <f t="shared" si="353"/>
        <v>Green</v>
      </c>
      <c r="Y1086" t="str">
        <f t="shared" si="354"/>
        <v>Green</v>
      </c>
      <c r="Z1086" t="str">
        <f t="shared" si="355"/>
        <v>Green</v>
      </c>
      <c r="AA1086" t="str">
        <f t="shared" si="356"/>
        <v>Red</v>
      </c>
      <c r="AB1086" t="str">
        <f t="shared" si="357"/>
        <v>Red</v>
      </c>
      <c r="AC1086" t="str">
        <f t="shared" si="358"/>
        <v>Green</v>
      </c>
      <c r="AD1086" t="str">
        <f t="shared" si="359"/>
        <v>Red</v>
      </c>
    </row>
    <row r="1087" spans="1:30" x14ac:dyDescent="0.2">
      <c r="A1087" t="str">
        <f t="shared" si="360"/>
        <v>25/07/2026Hassleholms IFBK Olympic</v>
      </c>
      <c r="D1087" s="2">
        <v>46228</v>
      </c>
      <c r="E1087" s="3">
        <v>0.45833333333333331</v>
      </c>
      <c r="F1087" t="s">
        <v>3778</v>
      </c>
      <c r="G1087" t="s">
        <v>3779</v>
      </c>
      <c r="H1087">
        <v>0</v>
      </c>
      <c r="I1087">
        <v>2</v>
      </c>
      <c r="J1087">
        <v>1</v>
      </c>
      <c r="K1087">
        <v>2</v>
      </c>
      <c r="L1087" s="22" t="str">
        <f t="shared" si="361"/>
        <v>25/07/2026</v>
      </c>
      <c r="M1087" s="23">
        <f t="shared" si="362"/>
        <v>0.33333333333333331</v>
      </c>
      <c r="N1087" t="str">
        <f t="shared" si="363"/>
        <v>1 - 2</v>
      </c>
      <c r="O1087" t="str">
        <f t="shared" si="344"/>
        <v>Red</v>
      </c>
      <c r="P1087" t="str">
        <f t="shared" si="345"/>
        <v>Red</v>
      </c>
      <c r="Q1087" t="str">
        <f t="shared" si="346"/>
        <v>Green</v>
      </c>
      <c r="R1087" t="str">
        <f t="shared" si="347"/>
        <v>Red</v>
      </c>
      <c r="S1087" t="str">
        <f t="shared" si="348"/>
        <v>Green</v>
      </c>
      <c r="T1087" t="str">
        <f t="shared" si="349"/>
        <v>Green</v>
      </c>
      <c r="U1087" t="str">
        <f t="shared" si="350"/>
        <v>Red</v>
      </c>
      <c r="V1087" t="str">
        <f t="shared" si="351"/>
        <v>Red</v>
      </c>
      <c r="W1087" t="str">
        <f t="shared" si="352"/>
        <v>Green</v>
      </c>
      <c r="X1087" t="str">
        <f t="shared" si="353"/>
        <v>Green</v>
      </c>
      <c r="Y1087" t="str">
        <f t="shared" si="354"/>
        <v>Green</v>
      </c>
      <c r="Z1087" t="str">
        <f t="shared" si="355"/>
        <v>Green</v>
      </c>
      <c r="AA1087" t="str">
        <f t="shared" si="356"/>
        <v>Red</v>
      </c>
      <c r="AB1087" t="str">
        <f t="shared" si="357"/>
        <v>Green</v>
      </c>
      <c r="AC1087" t="str">
        <f t="shared" si="358"/>
        <v>Green</v>
      </c>
      <c r="AD1087" t="str">
        <f t="shared" si="359"/>
        <v>Red</v>
      </c>
    </row>
    <row r="1088" spans="1:30" x14ac:dyDescent="0.2">
      <c r="A1088" t="str">
        <f t="shared" si="360"/>
        <v>25/07/2026Oskarshamn AIKGute</v>
      </c>
      <c r="D1088" s="2">
        <v>46228</v>
      </c>
      <c r="E1088" s="3">
        <v>0.45833333333333331</v>
      </c>
      <c r="F1088" t="s">
        <v>3780</v>
      </c>
      <c r="G1088" t="s">
        <v>3781</v>
      </c>
      <c r="H1088">
        <v>0</v>
      </c>
      <c r="I1088">
        <v>0</v>
      </c>
      <c r="J1088">
        <v>2</v>
      </c>
      <c r="K1088">
        <v>1</v>
      </c>
      <c r="L1088" s="22" t="str">
        <f t="shared" si="361"/>
        <v>25/07/2026</v>
      </c>
      <c r="M1088" s="23">
        <f t="shared" si="362"/>
        <v>0.33333333333333331</v>
      </c>
      <c r="N1088" t="str">
        <f t="shared" si="363"/>
        <v>2 - 1</v>
      </c>
      <c r="O1088" t="str">
        <f t="shared" si="344"/>
        <v>Green</v>
      </c>
      <c r="P1088" t="str">
        <f t="shared" si="345"/>
        <v>Red</v>
      </c>
      <c r="Q1088" t="str">
        <f t="shared" si="346"/>
        <v>Red</v>
      </c>
      <c r="R1088" t="str">
        <f t="shared" si="347"/>
        <v>Green</v>
      </c>
      <c r="S1088" t="str">
        <f t="shared" si="348"/>
        <v>Red</v>
      </c>
      <c r="T1088" t="str">
        <f t="shared" si="349"/>
        <v>Green</v>
      </c>
      <c r="U1088" t="str">
        <f t="shared" si="350"/>
        <v>Red</v>
      </c>
      <c r="V1088" t="str">
        <f t="shared" si="351"/>
        <v>Green</v>
      </c>
      <c r="W1088" t="str">
        <f t="shared" si="352"/>
        <v>Red</v>
      </c>
      <c r="X1088" t="str">
        <f t="shared" si="353"/>
        <v>Red</v>
      </c>
      <c r="Y1088" t="str">
        <f t="shared" si="354"/>
        <v>Green</v>
      </c>
      <c r="Z1088" t="str">
        <f t="shared" si="355"/>
        <v>Green</v>
      </c>
      <c r="AA1088" t="str">
        <f t="shared" si="356"/>
        <v>Red</v>
      </c>
      <c r="AB1088" t="str">
        <f t="shared" si="357"/>
        <v>Green</v>
      </c>
      <c r="AC1088" t="str">
        <f t="shared" si="358"/>
        <v>Green</v>
      </c>
      <c r="AD1088" t="str">
        <f t="shared" si="359"/>
        <v>Red</v>
      </c>
    </row>
    <row r="1089" spans="1:30" x14ac:dyDescent="0.2">
      <c r="A1089" t="str">
        <f t="shared" si="360"/>
        <v>25/07/2026Torquay UnitedCardiff City U21</v>
      </c>
      <c r="D1089" s="2">
        <v>46228</v>
      </c>
      <c r="E1089" s="3">
        <v>0.45833333333333331</v>
      </c>
      <c r="F1089" t="s">
        <v>1518</v>
      </c>
      <c r="G1089" t="s">
        <v>3782</v>
      </c>
      <c r="H1089">
        <v>4</v>
      </c>
      <c r="I1089">
        <v>0</v>
      </c>
      <c r="J1089">
        <v>5</v>
      </c>
      <c r="K1089">
        <v>0</v>
      </c>
      <c r="L1089" s="22" t="str">
        <f t="shared" si="361"/>
        <v>25/07/2026</v>
      </c>
      <c r="M1089" s="23">
        <f t="shared" si="362"/>
        <v>0.33333333333333331</v>
      </c>
      <c r="N1089" t="str">
        <f t="shared" si="363"/>
        <v>5 - 0</v>
      </c>
      <c r="O1089" t="str">
        <f t="shared" si="344"/>
        <v>Green</v>
      </c>
      <c r="P1089" t="str">
        <f t="shared" si="345"/>
        <v>Red</v>
      </c>
      <c r="Q1089" t="str">
        <f t="shared" si="346"/>
        <v>Red</v>
      </c>
      <c r="R1089" t="str">
        <f t="shared" si="347"/>
        <v>Green</v>
      </c>
      <c r="S1089" t="str">
        <f t="shared" si="348"/>
        <v>Red</v>
      </c>
      <c r="T1089" t="str">
        <f t="shared" si="349"/>
        <v>Green</v>
      </c>
      <c r="U1089" t="str">
        <f t="shared" si="350"/>
        <v>Green</v>
      </c>
      <c r="V1089" t="str">
        <f t="shared" si="351"/>
        <v>Red</v>
      </c>
      <c r="W1089" t="str">
        <f t="shared" si="352"/>
        <v>Red</v>
      </c>
      <c r="X1089" t="str">
        <f t="shared" si="353"/>
        <v>Green</v>
      </c>
      <c r="Y1089" t="str">
        <f t="shared" si="354"/>
        <v>Green</v>
      </c>
      <c r="Z1089" t="str">
        <f t="shared" si="355"/>
        <v>Green</v>
      </c>
      <c r="AA1089" t="str">
        <f t="shared" si="356"/>
        <v>Red</v>
      </c>
      <c r="AB1089" t="str">
        <f t="shared" si="357"/>
        <v>Red</v>
      </c>
      <c r="AC1089" t="str">
        <f t="shared" si="358"/>
        <v>Red</v>
      </c>
      <c r="AD1089" t="str">
        <f t="shared" si="359"/>
        <v>Green</v>
      </c>
    </row>
    <row r="1090" spans="1:30" x14ac:dyDescent="0.2">
      <c r="A1090" t="str">
        <f t="shared" si="360"/>
        <v>25/07/2026TSV SteinbachSportfreunde Siegen</v>
      </c>
      <c r="D1090" s="2">
        <v>46228</v>
      </c>
      <c r="E1090" s="3">
        <v>0.45833333333333331</v>
      </c>
      <c r="F1090" t="s">
        <v>3783</v>
      </c>
      <c r="G1090" t="s">
        <v>3784</v>
      </c>
      <c r="H1090">
        <v>2</v>
      </c>
      <c r="I1090">
        <v>5</v>
      </c>
      <c r="J1090">
        <v>2</v>
      </c>
      <c r="K1090">
        <v>8</v>
      </c>
      <c r="L1090" s="22" t="str">
        <f t="shared" si="361"/>
        <v>25/07/2026</v>
      </c>
      <c r="M1090" s="23">
        <f t="shared" si="362"/>
        <v>0.33333333333333331</v>
      </c>
      <c r="N1090" t="str">
        <f t="shared" si="363"/>
        <v>2 - 8</v>
      </c>
      <c r="O1090" t="str">
        <f t="shared" ref="O1090:O1153" si="364">IF($J1090&gt;$K1090,"Green","Red")</f>
        <v>Red</v>
      </c>
      <c r="P1090" t="str">
        <f t="shared" ref="P1090:P1153" si="365">IF($J1090=$K1090,"Green","Red")</f>
        <v>Red</v>
      </c>
      <c r="Q1090" t="str">
        <f t="shared" ref="Q1090:Q1153" si="366">IF($J1090&lt;$K1090,"Green","Red")</f>
        <v>Green</v>
      </c>
      <c r="R1090" t="str">
        <f t="shared" ref="R1090:R1153" si="367">IF($J1090&gt;=$K1090,"Green","Red")</f>
        <v>Red</v>
      </c>
      <c r="S1090" t="str">
        <f t="shared" ref="S1090:S1153" si="368">IF($J1090&lt;=$K1090,"Green","Red")</f>
        <v>Green</v>
      </c>
      <c r="T1090" t="str">
        <f t="shared" ref="T1090:T1153" si="369">IF(OR($J1090&gt;$K1090,$J1090&lt;$K1090),"Green","Red")</f>
        <v>Green</v>
      </c>
      <c r="U1090" t="str">
        <f t="shared" ref="U1090:U1153" si="370">IF($H1090&gt;$I1090,"Green","Red")</f>
        <v>Red</v>
      </c>
      <c r="V1090" t="str">
        <f t="shared" ref="V1090:V1153" si="371">IF($H1090=$I1090,"Green","Red")</f>
        <v>Red</v>
      </c>
      <c r="W1090" t="str">
        <f t="shared" ref="W1090:W1153" si="372">IF($H1090&lt;$I1090,"Green","Red")</f>
        <v>Green</v>
      </c>
      <c r="X1090" t="str">
        <f t="shared" ref="X1090:X1153" si="373">IF($H1090+$I1090&gt;0,"Green","Red")</f>
        <v>Green</v>
      </c>
      <c r="Y1090" t="str">
        <f t="shared" ref="Y1090:Y1153" si="374">IF($J1090+$K1090&gt;1.5,"Green","Red")</f>
        <v>Green</v>
      </c>
      <c r="Z1090" t="str">
        <f t="shared" ref="Z1090:Z1153" si="375">IF($J1090+$K1090&gt;2.5,"Green","Red")</f>
        <v>Green</v>
      </c>
      <c r="AA1090" t="str">
        <f t="shared" ref="AA1090:AA1153" si="376">IF($J1090+$K1090&lt;2.5,"Green","Red")</f>
        <v>Red</v>
      </c>
      <c r="AB1090" t="str">
        <f t="shared" ref="AB1090:AB1153" si="377">IF($J1090+$K1090&lt;3.5,"Green","Red")</f>
        <v>Red</v>
      </c>
      <c r="AC1090" t="str">
        <f t="shared" ref="AC1090:AC1153" si="378">IF(AND($J1090&gt;0,$K1090&gt;0),"Green","Red")</f>
        <v>Green</v>
      </c>
      <c r="AD1090" t="str">
        <f t="shared" ref="AD1090:AD1153" si="379">IF(OR($J1090=0,$K1090=0),"Green","Red")</f>
        <v>Red</v>
      </c>
    </row>
    <row r="1091" spans="1:30" x14ac:dyDescent="0.2">
      <c r="A1091" t="str">
        <f t="shared" si="360"/>
        <v>25/07/2026Werder BremenVfL Bochum</v>
      </c>
      <c r="D1091" s="2">
        <v>46228</v>
      </c>
      <c r="E1091" s="3">
        <v>0.45833333333333331</v>
      </c>
      <c r="F1091" t="s">
        <v>1666</v>
      </c>
      <c r="G1091" t="s">
        <v>1441</v>
      </c>
      <c r="H1091">
        <v>1</v>
      </c>
      <c r="I1091">
        <v>0</v>
      </c>
      <c r="J1091">
        <v>2</v>
      </c>
      <c r="K1091">
        <v>0</v>
      </c>
      <c r="L1091" s="22" t="str">
        <f t="shared" si="361"/>
        <v>25/07/2026</v>
      </c>
      <c r="M1091" s="23">
        <f t="shared" si="362"/>
        <v>0.33333333333333331</v>
      </c>
      <c r="N1091" t="str">
        <f t="shared" si="363"/>
        <v>2 - 0</v>
      </c>
      <c r="O1091" t="str">
        <f t="shared" si="364"/>
        <v>Green</v>
      </c>
      <c r="P1091" t="str">
        <f t="shared" si="365"/>
        <v>Red</v>
      </c>
      <c r="Q1091" t="str">
        <f t="shared" si="366"/>
        <v>Red</v>
      </c>
      <c r="R1091" t="str">
        <f t="shared" si="367"/>
        <v>Green</v>
      </c>
      <c r="S1091" t="str">
        <f t="shared" si="368"/>
        <v>Red</v>
      </c>
      <c r="T1091" t="str">
        <f t="shared" si="369"/>
        <v>Green</v>
      </c>
      <c r="U1091" t="str">
        <f t="shared" si="370"/>
        <v>Green</v>
      </c>
      <c r="V1091" t="str">
        <f t="shared" si="371"/>
        <v>Red</v>
      </c>
      <c r="W1091" t="str">
        <f t="shared" si="372"/>
        <v>Red</v>
      </c>
      <c r="X1091" t="str">
        <f t="shared" si="373"/>
        <v>Green</v>
      </c>
      <c r="Y1091" t="str">
        <f t="shared" si="374"/>
        <v>Green</v>
      </c>
      <c r="Z1091" t="str">
        <f t="shared" si="375"/>
        <v>Red</v>
      </c>
      <c r="AA1091" t="str">
        <f t="shared" si="376"/>
        <v>Green</v>
      </c>
      <c r="AB1091" t="str">
        <f t="shared" si="377"/>
        <v>Green</v>
      </c>
      <c r="AC1091" t="str">
        <f t="shared" si="378"/>
        <v>Red</v>
      </c>
      <c r="AD1091" t="str">
        <f t="shared" si="379"/>
        <v>Green</v>
      </c>
    </row>
    <row r="1092" spans="1:30" x14ac:dyDescent="0.2">
      <c r="A1092" t="str">
        <f t="shared" si="360"/>
        <v>25/07/2026Foshan NanshiWuxi Wugou</v>
      </c>
      <c r="D1092" s="2">
        <v>46228</v>
      </c>
      <c r="E1092" s="3">
        <v>0.47916666666666669</v>
      </c>
      <c r="F1092" t="s">
        <v>571</v>
      </c>
      <c r="G1092" t="s">
        <v>3129</v>
      </c>
      <c r="H1092">
        <v>0</v>
      </c>
      <c r="I1092">
        <v>0</v>
      </c>
      <c r="J1092">
        <v>0</v>
      </c>
      <c r="K1092">
        <v>2</v>
      </c>
      <c r="L1092" s="22" t="str">
        <f t="shared" si="361"/>
        <v>25/07/2026</v>
      </c>
      <c r="M1092" s="23">
        <f t="shared" si="362"/>
        <v>0.35416666666666669</v>
      </c>
      <c r="N1092" t="str">
        <f t="shared" si="363"/>
        <v>0 - 2</v>
      </c>
      <c r="O1092" t="str">
        <f t="shared" si="364"/>
        <v>Red</v>
      </c>
      <c r="P1092" t="str">
        <f t="shared" si="365"/>
        <v>Red</v>
      </c>
      <c r="Q1092" t="str">
        <f t="shared" si="366"/>
        <v>Green</v>
      </c>
      <c r="R1092" t="str">
        <f t="shared" si="367"/>
        <v>Red</v>
      </c>
      <c r="S1092" t="str">
        <f t="shared" si="368"/>
        <v>Green</v>
      </c>
      <c r="T1092" t="str">
        <f t="shared" si="369"/>
        <v>Green</v>
      </c>
      <c r="U1092" t="str">
        <f t="shared" si="370"/>
        <v>Red</v>
      </c>
      <c r="V1092" t="str">
        <f t="shared" si="371"/>
        <v>Green</v>
      </c>
      <c r="W1092" t="str">
        <f t="shared" si="372"/>
        <v>Red</v>
      </c>
      <c r="X1092" t="str">
        <f t="shared" si="373"/>
        <v>Red</v>
      </c>
      <c r="Y1092" t="str">
        <f t="shared" si="374"/>
        <v>Green</v>
      </c>
      <c r="Z1092" t="str">
        <f t="shared" si="375"/>
        <v>Red</v>
      </c>
      <c r="AA1092" t="str">
        <f t="shared" si="376"/>
        <v>Green</v>
      </c>
      <c r="AB1092" t="str">
        <f t="shared" si="377"/>
        <v>Green</v>
      </c>
      <c r="AC1092" t="str">
        <f t="shared" si="378"/>
        <v>Red</v>
      </c>
      <c r="AD1092" t="str">
        <f t="shared" si="379"/>
        <v>Green</v>
      </c>
    </row>
    <row r="1093" spans="1:30" x14ac:dyDescent="0.2">
      <c r="A1093" t="str">
        <f t="shared" si="360"/>
        <v>25/07/2026Hebei KungFuNantong Zhiyun</v>
      </c>
      <c r="D1093" s="2">
        <v>46228</v>
      </c>
      <c r="E1093" s="3">
        <v>0.47916666666666669</v>
      </c>
      <c r="F1093" t="s">
        <v>3130</v>
      </c>
      <c r="G1093" t="s">
        <v>574</v>
      </c>
      <c r="H1093">
        <v>1</v>
      </c>
      <c r="I1093">
        <v>1</v>
      </c>
      <c r="J1093">
        <v>1</v>
      </c>
      <c r="K1093">
        <v>1</v>
      </c>
      <c r="L1093" s="22" t="str">
        <f t="shared" si="361"/>
        <v>25/07/2026</v>
      </c>
      <c r="M1093" s="23">
        <f t="shared" si="362"/>
        <v>0.35416666666666669</v>
      </c>
      <c r="N1093" t="str">
        <f t="shared" si="363"/>
        <v>1 - 1</v>
      </c>
      <c r="O1093" t="str">
        <f t="shared" si="364"/>
        <v>Red</v>
      </c>
      <c r="P1093" t="str">
        <f t="shared" si="365"/>
        <v>Green</v>
      </c>
      <c r="Q1093" t="str">
        <f t="shared" si="366"/>
        <v>Red</v>
      </c>
      <c r="R1093" t="str">
        <f t="shared" si="367"/>
        <v>Green</v>
      </c>
      <c r="S1093" t="str">
        <f t="shared" si="368"/>
        <v>Green</v>
      </c>
      <c r="T1093" t="str">
        <f t="shared" si="369"/>
        <v>Red</v>
      </c>
      <c r="U1093" t="str">
        <f t="shared" si="370"/>
        <v>Red</v>
      </c>
      <c r="V1093" t="str">
        <f t="shared" si="371"/>
        <v>Green</v>
      </c>
      <c r="W1093" t="str">
        <f t="shared" si="372"/>
        <v>Red</v>
      </c>
      <c r="X1093" t="str">
        <f t="shared" si="373"/>
        <v>Green</v>
      </c>
      <c r="Y1093" t="str">
        <f t="shared" si="374"/>
        <v>Green</v>
      </c>
      <c r="Z1093" t="str">
        <f t="shared" si="375"/>
        <v>Red</v>
      </c>
      <c r="AA1093" t="str">
        <f t="shared" si="376"/>
        <v>Green</v>
      </c>
      <c r="AB1093" t="str">
        <f t="shared" si="377"/>
        <v>Green</v>
      </c>
      <c r="AC1093" t="str">
        <f t="shared" si="378"/>
        <v>Green</v>
      </c>
      <c r="AD1093" t="str">
        <f t="shared" si="379"/>
        <v>Red</v>
      </c>
    </row>
    <row r="1094" spans="1:30" x14ac:dyDescent="0.2">
      <c r="A1094" t="str">
        <f t="shared" si="360"/>
        <v>25/07/2026Guizhou ZhichengGanzhou Ruishi</v>
      </c>
      <c r="D1094" s="2">
        <v>46228</v>
      </c>
      <c r="E1094" s="3">
        <v>0.47916666666666669</v>
      </c>
      <c r="F1094" t="s">
        <v>3135</v>
      </c>
      <c r="G1094" t="s">
        <v>576</v>
      </c>
      <c r="H1094">
        <v>2</v>
      </c>
      <c r="I1094">
        <v>0</v>
      </c>
      <c r="J1094">
        <v>3</v>
      </c>
      <c r="K1094">
        <v>0</v>
      </c>
      <c r="L1094" s="22" t="str">
        <f t="shared" si="361"/>
        <v>25/07/2026</v>
      </c>
      <c r="M1094" s="23">
        <f t="shared" si="362"/>
        <v>0.35416666666666669</v>
      </c>
      <c r="N1094" t="str">
        <f t="shared" si="363"/>
        <v>3 - 0</v>
      </c>
      <c r="O1094" t="str">
        <f t="shared" si="364"/>
        <v>Green</v>
      </c>
      <c r="P1094" t="str">
        <f t="shared" si="365"/>
        <v>Red</v>
      </c>
      <c r="Q1094" t="str">
        <f t="shared" si="366"/>
        <v>Red</v>
      </c>
      <c r="R1094" t="str">
        <f t="shared" si="367"/>
        <v>Green</v>
      </c>
      <c r="S1094" t="str">
        <f t="shared" si="368"/>
        <v>Red</v>
      </c>
      <c r="T1094" t="str">
        <f t="shared" si="369"/>
        <v>Green</v>
      </c>
      <c r="U1094" t="str">
        <f t="shared" si="370"/>
        <v>Green</v>
      </c>
      <c r="V1094" t="str">
        <f t="shared" si="371"/>
        <v>Red</v>
      </c>
      <c r="W1094" t="str">
        <f t="shared" si="372"/>
        <v>Red</v>
      </c>
      <c r="X1094" t="str">
        <f t="shared" si="373"/>
        <v>Green</v>
      </c>
      <c r="Y1094" t="str">
        <f t="shared" si="374"/>
        <v>Green</v>
      </c>
      <c r="Z1094" t="str">
        <f t="shared" si="375"/>
        <v>Green</v>
      </c>
      <c r="AA1094" t="str">
        <f t="shared" si="376"/>
        <v>Red</v>
      </c>
      <c r="AB1094" t="str">
        <f t="shared" si="377"/>
        <v>Green</v>
      </c>
      <c r="AC1094" t="str">
        <f t="shared" si="378"/>
        <v>Red</v>
      </c>
      <c r="AD1094" t="str">
        <f t="shared" si="379"/>
        <v>Green</v>
      </c>
    </row>
    <row r="1095" spans="1:30" x14ac:dyDescent="0.2">
      <c r="A1095" t="str">
        <f t="shared" si="360"/>
        <v>25/07/2026Jiangxi Liansheng FCShenzhen 2028</v>
      </c>
      <c r="D1095" s="2">
        <v>46228</v>
      </c>
      <c r="E1095" s="3">
        <v>0.47916666666666669</v>
      </c>
      <c r="F1095" t="s">
        <v>3136</v>
      </c>
      <c r="G1095" t="s">
        <v>578</v>
      </c>
      <c r="H1095">
        <v>0</v>
      </c>
      <c r="I1095">
        <v>0</v>
      </c>
      <c r="J1095">
        <v>1</v>
      </c>
      <c r="K1095">
        <v>2</v>
      </c>
      <c r="L1095" s="22" t="str">
        <f t="shared" si="361"/>
        <v>25/07/2026</v>
      </c>
      <c r="M1095" s="23">
        <f t="shared" si="362"/>
        <v>0.35416666666666669</v>
      </c>
      <c r="N1095" t="str">
        <f t="shared" si="363"/>
        <v>1 - 2</v>
      </c>
      <c r="O1095" t="str">
        <f t="shared" si="364"/>
        <v>Red</v>
      </c>
      <c r="P1095" t="str">
        <f t="shared" si="365"/>
        <v>Red</v>
      </c>
      <c r="Q1095" t="str">
        <f t="shared" si="366"/>
        <v>Green</v>
      </c>
      <c r="R1095" t="str">
        <f t="shared" si="367"/>
        <v>Red</v>
      </c>
      <c r="S1095" t="str">
        <f t="shared" si="368"/>
        <v>Green</v>
      </c>
      <c r="T1095" t="str">
        <f t="shared" si="369"/>
        <v>Green</v>
      </c>
      <c r="U1095" t="str">
        <f t="shared" si="370"/>
        <v>Red</v>
      </c>
      <c r="V1095" t="str">
        <f t="shared" si="371"/>
        <v>Green</v>
      </c>
      <c r="W1095" t="str">
        <f t="shared" si="372"/>
        <v>Red</v>
      </c>
      <c r="X1095" t="str">
        <f t="shared" si="373"/>
        <v>Red</v>
      </c>
      <c r="Y1095" t="str">
        <f t="shared" si="374"/>
        <v>Green</v>
      </c>
      <c r="Z1095" t="str">
        <f t="shared" si="375"/>
        <v>Green</v>
      </c>
      <c r="AA1095" t="str">
        <f t="shared" si="376"/>
        <v>Red</v>
      </c>
      <c r="AB1095" t="str">
        <f t="shared" si="377"/>
        <v>Green</v>
      </c>
      <c r="AC1095" t="str">
        <f t="shared" si="378"/>
        <v>Green</v>
      </c>
      <c r="AD1095" t="str">
        <f t="shared" si="379"/>
        <v>Red</v>
      </c>
    </row>
    <row r="1096" spans="1:30" x14ac:dyDescent="0.2">
      <c r="A1096" t="str">
        <f t="shared" si="360"/>
        <v>25/07/2026Rizhao YuqiShanghai Segenda</v>
      </c>
      <c r="D1096" s="2">
        <v>46228</v>
      </c>
      <c r="E1096" s="3">
        <v>0.47916666666666669</v>
      </c>
      <c r="F1096" t="s">
        <v>1600</v>
      </c>
      <c r="G1096" t="s">
        <v>580</v>
      </c>
      <c r="H1096">
        <v>0</v>
      </c>
      <c r="I1096">
        <v>1</v>
      </c>
      <c r="J1096">
        <v>2</v>
      </c>
      <c r="K1096">
        <v>2</v>
      </c>
      <c r="L1096" s="22" t="str">
        <f t="shared" si="361"/>
        <v>25/07/2026</v>
      </c>
      <c r="M1096" s="23">
        <f t="shared" si="362"/>
        <v>0.35416666666666669</v>
      </c>
      <c r="N1096" t="str">
        <f t="shared" si="363"/>
        <v>2 - 2</v>
      </c>
      <c r="O1096" t="str">
        <f t="shared" si="364"/>
        <v>Red</v>
      </c>
      <c r="P1096" t="str">
        <f t="shared" si="365"/>
        <v>Green</v>
      </c>
      <c r="Q1096" t="str">
        <f t="shared" si="366"/>
        <v>Red</v>
      </c>
      <c r="R1096" t="str">
        <f t="shared" si="367"/>
        <v>Green</v>
      </c>
      <c r="S1096" t="str">
        <f t="shared" si="368"/>
        <v>Green</v>
      </c>
      <c r="T1096" t="str">
        <f t="shared" si="369"/>
        <v>Red</v>
      </c>
      <c r="U1096" t="str">
        <f t="shared" si="370"/>
        <v>Red</v>
      </c>
      <c r="V1096" t="str">
        <f t="shared" si="371"/>
        <v>Red</v>
      </c>
      <c r="W1096" t="str">
        <f t="shared" si="372"/>
        <v>Green</v>
      </c>
      <c r="X1096" t="str">
        <f t="shared" si="373"/>
        <v>Green</v>
      </c>
      <c r="Y1096" t="str">
        <f t="shared" si="374"/>
        <v>Green</v>
      </c>
      <c r="Z1096" t="str">
        <f t="shared" si="375"/>
        <v>Green</v>
      </c>
      <c r="AA1096" t="str">
        <f t="shared" si="376"/>
        <v>Red</v>
      </c>
      <c r="AB1096" t="str">
        <f t="shared" si="377"/>
        <v>Red</v>
      </c>
      <c r="AC1096" t="str">
        <f t="shared" si="378"/>
        <v>Green</v>
      </c>
      <c r="AD1096" t="str">
        <f t="shared" si="379"/>
        <v>Red</v>
      </c>
    </row>
    <row r="1097" spans="1:30" x14ac:dyDescent="0.2">
      <c r="A1097" t="str">
        <f t="shared" si="360"/>
        <v>25/07/2026East BengalMohun Bagan AC</v>
      </c>
      <c r="D1097" s="2">
        <v>46228</v>
      </c>
      <c r="E1097" s="3">
        <v>0.47916666666666669</v>
      </c>
      <c r="F1097" t="s">
        <v>3362</v>
      </c>
      <c r="G1097" t="s">
        <v>3363</v>
      </c>
      <c r="H1097">
        <v>0</v>
      </c>
      <c r="I1097">
        <v>0</v>
      </c>
      <c r="J1097">
        <v>0</v>
      </c>
      <c r="K1097">
        <v>1</v>
      </c>
      <c r="L1097" s="22" t="str">
        <f t="shared" si="361"/>
        <v>25/07/2026</v>
      </c>
      <c r="M1097" s="23">
        <f t="shared" si="362"/>
        <v>0.35416666666666669</v>
      </c>
      <c r="N1097" t="str">
        <f t="shared" si="363"/>
        <v>0 - 1</v>
      </c>
      <c r="O1097" t="str">
        <f t="shared" si="364"/>
        <v>Red</v>
      </c>
      <c r="P1097" t="str">
        <f t="shared" si="365"/>
        <v>Red</v>
      </c>
      <c r="Q1097" t="str">
        <f t="shared" si="366"/>
        <v>Green</v>
      </c>
      <c r="R1097" t="str">
        <f t="shared" si="367"/>
        <v>Red</v>
      </c>
      <c r="S1097" t="str">
        <f t="shared" si="368"/>
        <v>Green</v>
      </c>
      <c r="T1097" t="str">
        <f t="shared" si="369"/>
        <v>Green</v>
      </c>
      <c r="U1097" t="str">
        <f t="shared" si="370"/>
        <v>Red</v>
      </c>
      <c r="V1097" t="str">
        <f t="shared" si="371"/>
        <v>Green</v>
      </c>
      <c r="W1097" t="str">
        <f t="shared" si="372"/>
        <v>Red</v>
      </c>
      <c r="X1097" t="str">
        <f t="shared" si="373"/>
        <v>Red</v>
      </c>
      <c r="Y1097" t="str">
        <f t="shared" si="374"/>
        <v>Red</v>
      </c>
      <c r="Z1097" t="str">
        <f t="shared" si="375"/>
        <v>Red</v>
      </c>
      <c r="AA1097" t="str">
        <f t="shared" si="376"/>
        <v>Green</v>
      </c>
      <c r="AB1097" t="str">
        <f t="shared" si="377"/>
        <v>Green</v>
      </c>
      <c r="AC1097" t="str">
        <f t="shared" si="378"/>
        <v>Red</v>
      </c>
      <c r="AD1097" t="str">
        <f t="shared" si="379"/>
        <v>Green</v>
      </c>
    </row>
    <row r="1098" spans="1:30" x14ac:dyDescent="0.2">
      <c r="A1098" t="str">
        <f t="shared" si="360"/>
        <v>25/07/2026GatesheadNewcastle</v>
      </c>
      <c r="D1098" s="2">
        <v>46228</v>
      </c>
      <c r="E1098" s="3">
        <v>0.47916666666666669</v>
      </c>
      <c r="F1098" t="s">
        <v>3785</v>
      </c>
      <c r="G1098" t="s">
        <v>3786</v>
      </c>
      <c r="H1098">
        <v>1</v>
      </c>
      <c r="I1098">
        <v>0</v>
      </c>
      <c r="J1098">
        <v>1</v>
      </c>
      <c r="K1098">
        <v>1</v>
      </c>
      <c r="L1098" s="22" t="str">
        <f t="shared" si="361"/>
        <v>25/07/2026</v>
      </c>
      <c r="M1098" s="23">
        <f t="shared" si="362"/>
        <v>0.35416666666666669</v>
      </c>
      <c r="N1098" t="str">
        <f t="shared" si="363"/>
        <v>1 - 1</v>
      </c>
      <c r="O1098" t="str">
        <f t="shared" si="364"/>
        <v>Red</v>
      </c>
      <c r="P1098" t="str">
        <f t="shared" si="365"/>
        <v>Green</v>
      </c>
      <c r="Q1098" t="str">
        <f t="shared" si="366"/>
        <v>Red</v>
      </c>
      <c r="R1098" t="str">
        <f t="shared" si="367"/>
        <v>Green</v>
      </c>
      <c r="S1098" t="str">
        <f t="shared" si="368"/>
        <v>Green</v>
      </c>
      <c r="T1098" t="str">
        <f t="shared" si="369"/>
        <v>Red</v>
      </c>
      <c r="U1098" t="str">
        <f t="shared" si="370"/>
        <v>Green</v>
      </c>
      <c r="V1098" t="str">
        <f t="shared" si="371"/>
        <v>Red</v>
      </c>
      <c r="W1098" t="str">
        <f t="shared" si="372"/>
        <v>Red</v>
      </c>
      <c r="X1098" t="str">
        <f t="shared" si="373"/>
        <v>Green</v>
      </c>
      <c r="Y1098" t="str">
        <f t="shared" si="374"/>
        <v>Green</v>
      </c>
      <c r="Z1098" t="str">
        <f t="shared" si="375"/>
        <v>Red</v>
      </c>
      <c r="AA1098" t="str">
        <f t="shared" si="376"/>
        <v>Green</v>
      </c>
      <c r="AB1098" t="str">
        <f t="shared" si="377"/>
        <v>Green</v>
      </c>
      <c r="AC1098" t="str">
        <f t="shared" si="378"/>
        <v>Green</v>
      </c>
      <c r="AD1098" t="str">
        <f t="shared" si="379"/>
        <v>Red</v>
      </c>
    </row>
    <row r="1099" spans="1:30" x14ac:dyDescent="0.2">
      <c r="A1099" t="str">
        <f t="shared" si="360"/>
        <v>25/07/2026HamburgHeidenheim</v>
      </c>
      <c r="D1099" s="2">
        <v>46228</v>
      </c>
      <c r="E1099" s="3">
        <v>0.47916666666666669</v>
      </c>
      <c r="F1099" t="s">
        <v>3787</v>
      </c>
      <c r="G1099" t="s">
        <v>1619</v>
      </c>
      <c r="H1099">
        <v>1</v>
      </c>
      <c r="I1099">
        <v>0</v>
      </c>
      <c r="J1099">
        <v>3</v>
      </c>
      <c r="K1099">
        <v>1</v>
      </c>
      <c r="L1099" s="22" t="str">
        <f t="shared" si="361"/>
        <v>25/07/2026</v>
      </c>
      <c r="M1099" s="23">
        <f t="shared" si="362"/>
        <v>0.35416666666666669</v>
      </c>
      <c r="N1099" t="str">
        <f t="shared" si="363"/>
        <v>3 - 1</v>
      </c>
      <c r="O1099" t="str">
        <f t="shared" si="364"/>
        <v>Green</v>
      </c>
      <c r="P1099" t="str">
        <f t="shared" si="365"/>
        <v>Red</v>
      </c>
      <c r="Q1099" t="str">
        <f t="shared" si="366"/>
        <v>Red</v>
      </c>
      <c r="R1099" t="str">
        <f t="shared" si="367"/>
        <v>Green</v>
      </c>
      <c r="S1099" t="str">
        <f t="shared" si="368"/>
        <v>Red</v>
      </c>
      <c r="T1099" t="str">
        <f t="shared" si="369"/>
        <v>Green</v>
      </c>
      <c r="U1099" t="str">
        <f t="shared" si="370"/>
        <v>Green</v>
      </c>
      <c r="V1099" t="str">
        <f t="shared" si="371"/>
        <v>Red</v>
      </c>
      <c r="W1099" t="str">
        <f t="shared" si="372"/>
        <v>Red</v>
      </c>
      <c r="X1099" t="str">
        <f t="shared" si="373"/>
        <v>Green</v>
      </c>
      <c r="Y1099" t="str">
        <f t="shared" si="374"/>
        <v>Green</v>
      </c>
      <c r="Z1099" t="str">
        <f t="shared" si="375"/>
        <v>Green</v>
      </c>
      <c r="AA1099" t="str">
        <f t="shared" si="376"/>
        <v>Red</v>
      </c>
      <c r="AB1099" t="str">
        <f t="shared" si="377"/>
        <v>Red</v>
      </c>
      <c r="AC1099" t="str">
        <f t="shared" si="378"/>
        <v>Green</v>
      </c>
      <c r="AD1099" t="str">
        <f t="shared" si="379"/>
        <v>Red</v>
      </c>
    </row>
    <row r="1100" spans="1:30" x14ac:dyDescent="0.2">
      <c r="A1100" t="str">
        <f t="shared" si="360"/>
        <v>25/07/2026Shanghai PortShanghai Greenland Shenhua</v>
      </c>
      <c r="D1100" s="2">
        <v>46228</v>
      </c>
      <c r="E1100" s="3">
        <v>0.4826388888888889</v>
      </c>
      <c r="F1100" t="s">
        <v>404</v>
      </c>
      <c r="G1100" t="s">
        <v>408</v>
      </c>
      <c r="H1100">
        <v>2</v>
      </c>
      <c r="I1100">
        <v>0</v>
      </c>
      <c r="J1100">
        <v>2</v>
      </c>
      <c r="K1100">
        <v>0</v>
      </c>
      <c r="L1100" s="22" t="str">
        <f t="shared" si="361"/>
        <v>25/07/2026</v>
      </c>
      <c r="M1100" s="23">
        <f t="shared" si="362"/>
        <v>0.3576388888888889</v>
      </c>
      <c r="N1100" t="str">
        <f t="shared" si="363"/>
        <v>2 - 0</v>
      </c>
      <c r="O1100" t="str">
        <f t="shared" si="364"/>
        <v>Green</v>
      </c>
      <c r="P1100" t="str">
        <f t="shared" si="365"/>
        <v>Red</v>
      </c>
      <c r="Q1100" t="str">
        <f t="shared" si="366"/>
        <v>Red</v>
      </c>
      <c r="R1100" t="str">
        <f t="shared" si="367"/>
        <v>Green</v>
      </c>
      <c r="S1100" t="str">
        <f t="shared" si="368"/>
        <v>Red</v>
      </c>
      <c r="T1100" t="str">
        <f t="shared" si="369"/>
        <v>Green</v>
      </c>
      <c r="U1100" t="str">
        <f t="shared" si="370"/>
        <v>Green</v>
      </c>
      <c r="V1100" t="str">
        <f t="shared" si="371"/>
        <v>Red</v>
      </c>
      <c r="W1100" t="str">
        <f t="shared" si="372"/>
        <v>Red</v>
      </c>
      <c r="X1100" t="str">
        <f t="shared" si="373"/>
        <v>Green</v>
      </c>
      <c r="Y1100" t="str">
        <f t="shared" si="374"/>
        <v>Green</v>
      </c>
      <c r="Z1100" t="str">
        <f t="shared" si="375"/>
        <v>Red</v>
      </c>
      <c r="AA1100" t="str">
        <f t="shared" si="376"/>
        <v>Green</v>
      </c>
      <c r="AB1100" t="str">
        <f t="shared" si="377"/>
        <v>Green</v>
      </c>
      <c r="AC1100" t="str">
        <f t="shared" si="378"/>
        <v>Red</v>
      </c>
      <c r="AD1100" t="str">
        <f t="shared" si="379"/>
        <v>Green</v>
      </c>
    </row>
    <row r="1101" spans="1:30" x14ac:dyDescent="0.2">
      <c r="A1101" t="str">
        <f t="shared" si="360"/>
        <v>25/07/2026Liaoning TierenQingdao Kangtine</v>
      </c>
      <c r="D1101" s="2">
        <v>46228</v>
      </c>
      <c r="E1101" s="3">
        <v>0.4826388888888889</v>
      </c>
      <c r="F1101" t="s">
        <v>3126</v>
      </c>
      <c r="G1101" t="s">
        <v>407</v>
      </c>
      <c r="H1101">
        <v>0</v>
      </c>
      <c r="I1101">
        <v>0</v>
      </c>
      <c r="J1101">
        <v>0</v>
      </c>
      <c r="K1101">
        <v>1</v>
      </c>
      <c r="L1101" s="22" t="str">
        <f t="shared" si="361"/>
        <v>25/07/2026</v>
      </c>
      <c r="M1101" s="23">
        <f t="shared" si="362"/>
        <v>0.3576388888888889</v>
      </c>
      <c r="N1101" t="str">
        <f t="shared" si="363"/>
        <v>0 - 1</v>
      </c>
      <c r="O1101" t="str">
        <f t="shared" si="364"/>
        <v>Red</v>
      </c>
      <c r="P1101" t="str">
        <f t="shared" si="365"/>
        <v>Red</v>
      </c>
      <c r="Q1101" t="str">
        <f t="shared" si="366"/>
        <v>Green</v>
      </c>
      <c r="R1101" t="str">
        <f t="shared" si="367"/>
        <v>Red</v>
      </c>
      <c r="S1101" t="str">
        <f t="shared" si="368"/>
        <v>Green</v>
      </c>
      <c r="T1101" t="str">
        <f t="shared" si="369"/>
        <v>Green</v>
      </c>
      <c r="U1101" t="str">
        <f t="shared" si="370"/>
        <v>Red</v>
      </c>
      <c r="V1101" t="str">
        <f t="shared" si="371"/>
        <v>Green</v>
      </c>
      <c r="W1101" t="str">
        <f t="shared" si="372"/>
        <v>Red</v>
      </c>
      <c r="X1101" t="str">
        <f t="shared" si="373"/>
        <v>Red</v>
      </c>
      <c r="Y1101" t="str">
        <f t="shared" si="374"/>
        <v>Red</v>
      </c>
      <c r="Z1101" t="str">
        <f t="shared" si="375"/>
        <v>Red</v>
      </c>
      <c r="AA1101" t="str">
        <f t="shared" si="376"/>
        <v>Green</v>
      </c>
      <c r="AB1101" t="str">
        <f t="shared" si="377"/>
        <v>Green</v>
      </c>
      <c r="AC1101" t="str">
        <f t="shared" si="378"/>
        <v>Red</v>
      </c>
      <c r="AD1101" t="str">
        <f t="shared" si="379"/>
        <v>Green</v>
      </c>
    </row>
    <row r="1102" spans="1:30" x14ac:dyDescent="0.2">
      <c r="A1102" t="str">
        <f t="shared" si="360"/>
        <v>25/07/2026Hvidovre IFVendsyssel</v>
      </c>
      <c r="D1102" s="2">
        <v>46228</v>
      </c>
      <c r="E1102" s="3">
        <v>0.49652777777777779</v>
      </c>
      <c r="F1102" t="s">
        <v>3181</v>
      </c>
      <c r="G1102" t="s">
        <v>3182</v>
      </c>
      <c r="H1102">
        <v>2</v>
      </c>
      <c r="I1102">
        <v>0</v>
      </c>
      <c r="J1102">
        <v>2</v>
      </c>
      <c r="K1102">
        <v>2</v>
      </c>
      <c r="L1102" s="22" t="str">
        <f t="shared" si="361"/>
        <v>25/07/2026</v>
      </c>
      <c r="M1102" s="23">
        <f t="shared" si="362"/>
        <v>0.37152777777777779</v>
      </c>
      <c r="N1102" t="str">
        <f t="shared" si="363"/>
        <v>2 - 2</v>
      </c>
      <c r="O1102" t="str">
        <f t="shared" si="364"/>
        <v>Red</v>
      </c>
      <c r="P1102" t="str">
        <f t="shared" si="365"/>
        <v>Green</v>
      </c>
      <c r="Q1102" t="str">
        <f t="shared" si="366"/>
        <v>Red</v>
      </c>
      <c r="R1102" t="str">
        <f t="shared" si="367"/>
        <v>Green</v>
      </c>
      <c r="S1102" t="str">
        <f t="shared" si="368"/>
        <v>Green</v>
      </c>
      <c r="T1102" t="str">
        <f t="shared" si="369"/>
        <v>Red</v>
      </c>
      <c r="U1102" t="str">
        <f t="shared" si="370"/>
        <v>Green</v>
      </c>
      <c r="V1102" t="str">
        <f t="shared" si="371"/>
        <v>Red</v>
      </c>
      <c r="W1102" t="str">
        <f t="shared" si="372"/>
        <v>Red</v>
      </c>
      <c r="X1102" t="str">
        <f t="shared" si="373"/>
        <v>Green</v>
      </c>
      <c r="Y1102" t="str">
        <f t="shared" si="374"/>
        <v>Green</v>
      </c>
      <c r="Z1102" t="str">
        <f t="shared" si="375"/>
        <v>Green</v>
      </c>
      <c r="AA1102" t="str">
        <f t="shared" si="376"/>
        <v>Red</v>
      </c>
      <c r="AB1102" t="str">
        <f t="shared" si="377"/>
        <v>Red</v>
      </c>
      <c r="AC1102" t="str">
        <f t="shared" si="378"/>
        <v>Green</v>
      </c>
      <c r="AD1102" t="str">
        <f t="shared" si="379"/>
        <v>Red</v>
      </c>
    </row>
    <row r="1103" spans="1:30" x14ac:dyDescent="0.2">
      <c r="A1103" t="str">
        <f t="shared" si="360"/>
        <v>25/07/2026FC Volna PinskFC Orsha</v>
      </c>
      <c r="D1103" s="2">
        <v>46228</v>
      </c>
      <c r="E1103" s="3">
        <v>0.5</v>
      </c>
      <c r="F1103" t="s">
        <v>3030</v>
      </c>
      <c r="G1103" t="s">
        <v>3031</v>
      </c>
      <c r="H1103">
        <v>2</v>
      </c>
      <c r="I1103">
        <v>1</v>
      </c>
      <c r="J1103">
        <v>3</v>
      </c>
      <c r="K1103">
        <v>1</v>
      </c>
      <c r="L1103" s="22" t="str">
        <f t="shared" si="361"/>
        <v>25/07/2026</v>
      </c>
      <c r="M1103" s="23">
        <f t="shared" si="362"/>
        <v>0.375</v>
      </c>
      <c r="N1103" t="str">
        <f t="shared" si="363"/>
        <v>3 - 1</v>
      </c>
      <c r="O1103" t="str">
        <f t="shared" si="364"/>
        <v>Green</v>
      </c>
      <c r="P1103" t="str">
        <f t="shared" si="365"/>
        <v>Red</v>
      </c>
      <c r="Q1103" t="str">
        <f t="shared" si="366"/>
        <v>Red</v>
      </c>
      <c r="R1103" t="str">
        <f t="shared" si="367"/>
        <v>Green</v>
      </c>
      <c r="S1103" t="str">
        <f t="shared" si="368"/>
        <v>Red</v>
      </c>
      <c r="T1103" t="str">
        <f t="shared" si="369"/>
        <v>Green</v>
      </c>
      <c r="U1103" t="str">
        <f t="shared" si="370"/>
        <v>Green</v>
      </c>
      <c r="V1103" t="str">
        <f t="shared" si="371"/>
        <v>Red</v>
      </c>
      <c r="W1103" t="str">
        <f t="shared" si="372"/>
        <v>Red</v>
      </c>
      <c r="X1103" t="str">
        <f t="shared" si="373"/>
        <v>Green</v>
      </c>
      <c r="Y1103" t="str">
        <f t="shared" si="374"/>
        <v>Green</v>
      </c>
      <c r="Z1103" t="str">
        <f t="shared" si="375"/>
        <v>Green</v>
      </c>
      <c r="AA1103" t="str">
        <f t="shared" si="376"/>
        <v>Red</v>
      </c>
      <c r="AB1103" t="str">
        <f t="shared" si="377"/>
        <v>Red</v>
      </c>
      <c r="AC1103" t="str">
        <f t="shared" si="378"/>
        <v>Green</v>
      </c>
      <c r="AD1103" t="str">
        <f t="shared" si="379"/>
        <v>Red</v>
      </c>
    </row>
    <row r="1104" spans="1:30" x14ac:dyDescent="0.2">
      <c r="A1104" t="str">
        <f t="shared" si="360"/>
        <v>25/07/2026Wuhan Three TownsChongqing Tonglianglong</v>
      </c>
      <c r="D1104" s="2">
        <v>46228</v>
      </c>
      <c r="E1104" s="3">
        <v>0.5</v>
      </c>
      <c r="F1104" t="s">
        <v>410</v>
      </c>
      <c r="G1104" t="s">
        <v>406</v>
      </c>
      <c r="H1104">
        <v>1</v>
      </c>
      <c r="I1104">
        <v>0</v>
      </c>
      <c r="J1104">
        <v>1</v>
      </c>
      <c r="K1104">
        <v>0</v>
      </c>
      <c r="L1104" s="22" t="str">
        <f t="shared" si="361"/>
        <v>25/07/2026</v>
      </c>
      <c r="M1104" s="23">
        <f t="shared" si="362"/>
        <v>0.375</v>
      </c>
      <c r="N1104" t="str">
        <f t="shared" si="363"/>
        <v>1 - 0</v>
      </c>
      <c r="O1104" t="str">
        <f t="shared" si="364"/>
        <v>Green</v>
      </c>
      <c r="P1104" t="str">
        <f t="shared" si="365"/>
        <v>Red</v>
      </c>
      <c r="Q1104" t="str">
        <f t="shared" si="366"/>
        <v>Red</v>
      </c>
      <c r="R1104" t="str">
        <f t="shared" si="367"/>
        <v>Green</v>
      </c>
      <c r="S1104" t="str">
        <f t="shared" si="368"/>
        <v>Red</v>
      </c>
      <c r="T1104" t="str">
        <f t="shared" si="369"/>
        <v>Green</v>
      </c>
      <c r="U1104" t="str">
        <f t="shared" si="370"/>
        <v>Green</v>
      </c>
      <c r="V1104" t="str">
        <f t="shared" si="371"/>
        <v>Red</v>
      </c>
      <c r="W1104" t="str">
        <f t="shared" si="372"/>
        <v>Red</v>
      </c>
      <c r="X1104" t="str">
        <f t="shared" si="373"/>
        <v>Green</v>
      </c>
      <c r="Y1104" t="str">
        <f t="shared" si="374"/>
        <v>Red</v>
      </c>
      <c r="Z1104" t="str">
        <f t="shared" si="375"/>
        <v>Red</v>
      </c>
      <c r="AA1104" t="str">
        <f t="shared" si="376"/>
        <v>Green</v>
      </c>
      <c r="AB1104" t="str">
        <f t="shared" si="377"/>
        <v>Green</v>
      </c>
      <c r="AC1104" t="str">
        <f t="shared" si="378"/>
        <v>Red</v>
      </c>
      <c r="AD1104" t="str">
        <f t="shared" si="379"/>
        <v>Green</v>
      </c>
    </row>
    <row r="1105" spans="1:30" x14ac:dyDescent="0.2">
      <c r="A1105" t="str">
        <f t="shared" si="360"/>
        <v>25/07/2026BridlicnaHlucin</v>
      </c>
      <c r="D1105" s="2">
        <v>46228</v>
      </c>
      <c r="E1105" s="3">
        <v>0.5</v>
      </c>
      <c r="F1105" t="s">
        <v>3168</v>
      </c>
      <c r="G1105" t="s">
        <v>3169</v>
      </c>
      <c r="H1105">
        <v>1</v>
      </c>
      <c r="I1105">
        <v>0</v>
      </c>
      <c r="J1105">
        <v>1</v>
      </c>
      <c r="K1105">
        <v>0</v>
      </c>
      <c r="L1105" s="22" t="str">
        <f t="shared" si="361"/>
        <v>25/07/2026</v>
      </c>
      <c r="M1105" s="23">
        <f t="shared" si="362"/>
        <v>0.375</v>
      </c>
      <c r="N1105" t="str">
        <f t="shared" si="363"/>
        <v>1 - 0</v>
      </c>
      <c r="O1105" t="str">
        <f t="shared" si="364"/>
        <v>Green</v>
      </c>
      <c r="P1105" t="str">
        <f t="shared" si="365"/>
        <v>Red</v>
      </c>
      <c r="Q1105" t="str">
        <f t="shared" si="366"/>
        <v>Red</v>
      </c>
      <c r="R1105" t="str">
        <f t="shared" si="367"/>
        <v>Green</v>
      </c>
      <c r="S1105" t="str">
        <f t="shared" si="368"/>
        <v>Red</v>
      </c>
      <c r="T1105" t="str">
        <f t="shared" si="369"/>
        <v>Green</v>
      </c>
      <c r="U1105" t="str">
        <f t="shared" si="370"/>
        <v>Green</v>
      </c>
      <c r="V1105" t="str">
        <f t="shared" si="371"/>
        <v>Red</v>
      </c>
      <c r="W1105" t="str">
        <f t="shared" si="372"/>
        <v>Red</v>
      </c>
      <c r="X1105" t="str">
        <f t="shared" si="373"/>
        <v>Green</v>
      </c>
      <c r="Y1105" t="str">
        <f t="shared" si="374"/>
        <v>Red</v>
      </c>
      <c r="Z1105" t="str">
        <f t="shared" si="375"/>
        <v>Red</v>
      </c>
      <c r="AA1105" t="str">
        <f t="shared" si="376"/>
        <v>Green</v>
      </c>
      <c r="AB1105" t="str">
        <f t="shared" si="377"/>
        <v>Green</v>
      </c>
      <c r="AC1105" t="str">
        <f t="shared" si="378"/>
        <v>Red</v>
      </c>
      <c r="AD1105" t="str">
        <f t="shared" si="379"/>
        <v>Green</v>
      </c>
    </row>
    <row r="1106" spans="1:30" x14ac:dyDescent="0.2">
      <c r="A1106" t="str">
        <f t="shared" si="360"/>
        <v>25/07/2026HakaKapylan Pallo</v>
      </c>
      <c r="D1106" s="2">
        <v>46228</v>
      </c>
      <c r="E1106" s="3">
        <v>0.5</v>
      </c>
      <c r="F1106" t="s">
        <v>3213</v>
      </c>
      <c r="G1106" t="s">
        <v>1343</v>
      </c>
      <c r="H1106">
        <v>2</v>
      </c>
      <c r="I1106">
        <v>1</v>
      </c>
      <c r="J1106">
        <v>3</v>
      </c>
      <c r="K1106">
        <v>1</v>
      </c>
      <c r="L1106" s="22" t="str">
        <f t="shared" si="361"/>
        <v>25/07/2026</v>
      </c>
      <c r="M1106" s="23">
        <f t="shared" si="362"/>
        <v>0.375</v>
      </c>
      <c r="N1106" t="str">
        <f t="shared" si="363"/>
        <v>3 - 1</v>
      </c>
      <c r="O1106" t="str">
        <f t="shared" si="364"/>
        <v>Green</v>
      </c>
      <c r="P1106" t="str">
        <f t="shared" si="365"/>
        <v>Red</v>
      </c>
      <c r="Q1106" t="str">
        <f t="shared" si="366"/>
        <v>Red</v>
      </c>
      <c r="R1106" t="str">
        <f t="shared" si="367"/>
        <v>Green</v>
      </c>
      <c r="S1106" t="str">
        <f t="shared" si="368"/>
        <v>Red</v>
      </c>
      <c r="T1106" t="str">
        <f t="shared" si="369"/>
        <v>Green</v>
      </c>
      <c r="U1106" t="str">
        <f t="shared" si="370"/>
        <v>Green</v>
      </c>
      <c r="V1106" t="str">
        <f t="shared" si="371"/>
        <v>Red</v>
      </c>
      <c r="W1106" t="str">
        <f t="shared" si="372"/>
        <v>Red</v>
      </c>
      <c r="X1106" t="str">
        <f t="shared" si="373"/>
        <v>Green</v>
      </c>
      <c r="Y1106" t="str">
        <f t="shared" si="374"/>
        <v>Green</v>
      </c>
      <c r="Z1106" t="str">
        <f t="shared" si="375"/>
        <v>Green</v>
      </c>
      <c r="AA1106" t="str">
        <f t="shared" si="376"/>
        <v>Red</v>
      </c>
      <c r="AB1106" t="str">
        <f t="shared" si="377"/>
        <v>Red</v>
      </c>
      <c r="AC1106" t="str">
        <f t="shared" si="378"/>
        <v>Green</v>
      </c>
      <c r="AD1106" t="str">
        <f t="shared" si="379"/>
        <v>Red</v>
      </c>
    </row>
    <row r="1107" spans="1:30" x14ac:dyDescent="0.2">
      <c r="A1107" t="str">
        <f t="shared" si="360"/>
        <v>25/07/2026EuPaLittoisten Ty√∂v√§en Urheilijat</v>
      </c>
      <c r="D1107" s="2">
        <v>46228</v>
      </c>
      <c r="E1107" s="3">
        <v>0.5</v>
      </c>
      <c r="F1107" t="s">
        <v>3236</v>
      </c>
      <c r="G1107" t="s">
        <v>3237</v>
      </c>
      <c r="H1107">
        <v>0</v>
      </c>
      <c r="I1107">
        <v>0</v>
      </c>
      <c r="J1107">
        <v>0</v>
      </c>
      <c r="K1107">
        <v>0</v>
      </c>
      <c r="L1107" s="22" t="str">
        <f t="shared" si="361"/>
        <v>25/07/2026</v>
      </c>
      <c r="M1107" s="23">
        <f t="shared" si="362"/>
        <v>0.375</v>
      </c>
      <c r="N1107" t="str">
        <f t="shared" si="363"/>
        <v>0 - 0</v>
      </c>
      <c r="O1107" t="str">
        <f t="shared" si="364"/>
        <v>Red</v>
      </c>
      <c r="P1107" t="str">
        <f t="shared" si="365"/>
        <v>Green</v>
      </c>
      <c r="Q1107" t="str">
        <f t="shared" si="366"/>
        <v>Red</v>
      </c>
      <c r="R1107" t="str">
        <f t="shared" si="367"/>
        <v>Green</v>
      </c>
      <c r="S1107" t="str">
        <f t="shared" si="368"/>
        <v>Green</v>
      </c>
      <c r="T1107" t="str">
        <f t="shared" si="369"/>
        <v>Red</v>
      </c>
      <c r="U1107" t="str">
        <f t="shared" si="370"/>
        <v>Red</v>
      </c>
      <c r="V1107" t="str">
        <f t="shared" si="371"/>
        <v>Green</v>
      </c>
      <c r="W1107" t="str">
        <f t="shared" si="372"/>
        <v>Red</v>
      </c>
      <c r="X1107" t="str">
        <f t="shared" si="373"/>
        <v>Red</v>
      </c>
      <c r="Y1107" t="str">
        <f t="shared" si="374"/>
        <v>Red</v>
      </c>
      <c r="Z1107" t="str">
        <f t="shared" si="375"/>
        <v>Red</v>
      </c>
      <c r="AA1107" t="str">
        <f t="shared" si="376"/>
        <v>Green</v>
      </c>
      <c r="AB1107" t="str">
        <f t="shared" si="377"/>
        <v>Green</v>
      </c>
      <c r="AC1107" t="str">
        <f t="shared" si="378"/>
        <v>Red</v>
      </c>
      <c r="AD1107" t="str">
        <f t="shared" si="379"/>
        <v>Green</v>
      </c>
    </row>
    <row r="1108" spans="1:30" x14ac:dyDescent="0.2">
      <c r="A1108" t="str">
        <f t="shared" si="360"/>
        <v>25/07/2026KumuMikkelin Kissat</v>
      </c>
      <c r="D1108" s="2">
        <v>46228</v>
      </c>
      <c r="E1108" s="3">
        <v>0.5</v>
      </c>
      <c r="F1108" t="s">
        <v>3238</v>
      </c>
      <c r="G1108" t="s">
        <v>3239</v>
      </c>
      <c r="H1108">
        <v>0</v>
      </c>
      <c r="I1108">
        <v>0</v>
      </c>
      <c r="J1108">
        <v>1</v>
      </c>
      <c r="K1108">
        <v>5</v>
      </c>
      <c r="L1108" s="22" t="str">
        <f t="shared" si="361"/>
        <v>25/07/2026</v>
      </c>
      <c r="M1108" s="23">
        <f t="shared" si="362"/>
        <v>0.375</v>
      </c>
      <c r="N1108" t="str">
        <f t="shared" si="363"/>
        <v>1 - 5</v>
      </c>
      <c r="O1108" t="str">
        <f t="shared" si="364"/>
        <v>Red</v>
      </c>
      <c r="P1108" t="str">
        <f t="shared" si="365"/>
        <v>Red</v>
      </c>
      <c r="Q1108" t="str">
        <f t="shared" si="366"/>
        <v>Green</v>
      </c>
      <c r="R1108" t="str">
        <f t="shared" si="367"/>
        <v>Red</v>
      </c>
      <c r="S1108" t="str">
        <f t="shared" si="368"/>
        <v>Green</v>
      </c>
      <c r="T1108" t="str">
        <f t="shared" si="369"/>
        <v>Green</v>
      </c>
      <c r="U1108" t="str">
        <f t="shared" si="370"/>
        <v>Red</v>
      </c>
      <c r="V1108" t="str">
        <f t="shared" si="371"/>
        <v>Green</v>
      </c>
      <c r="W1108" t="str">
        <f t="shared" si="372"/>
        <v>Red</v>
      </c>
      <c r="X1108" t="str">
        <f t="shared" si="373"/>
        <v>Red</v>
      </c>
      <c r="Y1108" t="str">
        <f t="shared" si="374"/>
        <v>Green</v>
      </c>
      <c r="Z1108" t="str">
        <f t="shared" si="375"/>
        <v>Green</v>
      </c>
      <c r="AA1108" t="str">
        <f t="shared" si="376"/>
        <v>Red</v>
      </c>
      <c r="AB1108" t="str">
        <f t="shared" si="377"/>
        <v>Red</v>
      </c>
      <c r="AC1108" t="str">
        <f t="shared" si="378"/>
        <v>Green</v>
      </c>
      <c r="AD1108" t="str">
        <f t="shared" si="379"/>
        <v>Red</v>
      </c>
    </row>
    <row r="1109" spans="1:30" x14ac:dyDescent="0.2">
      <c r="A1109" t="str">
        <f t="shared" si="360"/>
        <v>25/07/2026Sudet KouvolaHaPK</v>
      </c>
      <c r="D1109" s="2">
        <v>46228</v>
      </c>
      <c r="E1109" s="3">
        <v>0.5</v>
      </c>
      <c r="F1109" t="s">
        <v>3240</v>
      </c>
      <c r="G1109" t="s">
        <v>3241</v>
      </c>
      <c r="H1109">
        <v>0</v>
      </c>
      <c r="I1109">
        <v>0</v>
      </c>
      <c r="J1109">
        <v>0</v>
      </c>
      <c r="K1109">
        <v>2</v>
      </c>
      <c r="L1109" s="22" t="str">
        <f t="shared" si="361"/>
        <v>25/07/2026</v>
      </c>
      <c r="M1109" s="23">
        <f t="shared" si="362"/>
        <v>0.375</v>
      </c>
      <c r="N1109" t="str">
        <f t="shared" si="363"/>
        <v>0 - 2</v>
      </c>
      <c r="O1109" t="str">
        <f t="shared" si="364"/>
        <v>Red</v>
      </c>
      <c r="P1109" t="str">
        <f t="shared" si="365"/>
        <v>Red</v>
      </c>
      <c r="Q1109" t="str">
        <f t="shared" si="366"/>
        <v>Green</v>
      </c>
      <c r="R1109" t="str">
        <f t="shared" si="367"/>
        <v>Red</v>
      </c>
      <c r="S1109" t="str">
        <f t="shared" si="368"/>
        <v>Green</v>
      </c>
      <c r="T1109" t="str">
        <f t="shared" si="369"/>
        <v>Green</v>
      </c>
      <c r="U1109" t="str">
        <f t="shared" si="370"/>
        <v>Red</v>
      </c>
      <c r="V1109" t="str">
        <f t="shared" si="371"/>
        <v>Green</v>
      </c>
      <c r="W1109" t="str">
        <f t="shared" si="372"/>
        <v>Red</v>
      </c>
      <c r="X1109" t="str">
        <f t="shared" si="373"/>
        <v>Red</v>
      </c>
      <c r="Y1109" t="str">
        <f t="shared" si="374"/>
        <v>Green</v>
      </c>
      <c r="Z1109" t="str">
        <f t="shared" si="375"/>
        <v>Red</v>
      </c>
      <c r="AA1109" t="str">
        <f t="shared" si="376"/>
        <v>Green</v>
      </c>
      <c r="AB1109" t="str">
        <f t="shared" si="377"/>
        <v>Green</v>
      </c>
      <c r="AC1109" t="str">
        <f t="shared" si="378"/>
        <v>Red</v>
      </c>
      <c r="AD1109" t="str">
        <f t="shared" si="379"/>
        <v>Green</v>
      </c>
    </row>
    <row r="1110" spans="1:30" x14ac:dyDescent="0.2">
      <c r="A1110" t="str">
        <f t="shared" si="360"/>
        <v>25/07/2026TP-49Ylojarvi United</v>
      </c>
      <c r="D1110" s="2">
        <v>46228</v>
      </c>
      <c r="E1110" s="3">
        <v>0.5</v>
      </c>
      <c r="F1110" t="s">
        <v>3242</v>
      </c>
      <c r="G1110" t="s">
        <v>3243</v>
      </c>
      <c r="H1110">
        <v>0</v>
      </c>
      <c r="I1110">
        <v>0</v>
      </c>
      <c r="J1110">
        <v>0</v>
      </c>
      <c r="K1110">
        <v>5</v>
      </c>
      <c r="L1110" s="22" t="str">
        <f t="shared" si="361"/>
        <v>25/07/2026</v>
      </c>
      <c r="M1110" s="23">
        <f t="shared" si="362"/>
        <v>0.375</v>
      </c>
      <c r="N1110" t="str">
        <f t="shared" si="363"/>
        <v>0 - 5</v>
      </c>
      <c r="O1110" t="str">
        <f t="shared" si="364"/>
        <v>Red</v>
      </c>
      <c r="P1110" t="str">
        <f t="shared" si="365"/>
        <v>Red</v>
      </c>
      <c r="Q1110" t="str">
        <f t="shared" si="366"/>
        <v>Green</v>
      </c>
      <c r="R1110" t="str">
        <f t="shared" si="367"/>
        <v>Red</v>
      </c>
      <c r="S1110" t="str">
        <f t="shared" si="368"/>
        <v>Green</v>
      </c>
      <c r="T1110" t="str">
        <f t="shared" si="369"/>
        <v>Green</v>
      </c>
      <c r="U1110" t="str">
        <f t="shared" si="370"/>
        <v>Red</v>
      </c>
      <c r="V1110" t="str">
        <f t="shared" si="371"/>
        <v>Green</v>
      </c>
      <c r="W1110" t="str">
        <f t="shared" si="372"/>
        <v>Red</v>
      </c>
      <c r="X1110" t="str">
        <f t="shared" si="373"/>
        <v>Red</v>
      </c>
      <c r="Y1110" t="str">
        <f t="shared" si="374"/>
        <v>Green</v>
      </c>
      <c r="Z1110" t="str">
        <f t="shared" si="375"/>
        <v>Green</v>
      </c>
      <c r="AA1110" t="str">
        <f t="shared" si="376"/>
        <v>Red</v>
      </c>
      <c r="AB1110" t="str">
        <f t="shared" si="377"/>
        <v>Red</v>
      </c>
      <c r="AC1110" t="str">
        <f t="shared" si="378"/>
        <v>Red</v>
      </c>
      <c r="AD1110" t="str">
        <f t="shared" si="379"/>
        <v>Green</v>
      </c>
    </row>
    <row r="1111" spans="1:30" x14ac:dyDescent="0.2">
      <c r="A1111" t="str">
        <f t="shared" si="360"/>
        <v>25/07/2026BFC PreussenRSV Eintracht 1949</v>
      </c>
      <c r="D1111" s="2">
        <v>46228</v>
      </c>
      <c r="E1111" s="3">
        <v>0.5</v>
      </c>
      <c r="F1111" t="s">
        <v>3271</v>
      </c>
      <c r="G1111" t="s">
        <v>3272</v>
      </c>
      <c r="H1111">
        <v>1</v>
      </c>
      <c r="I1111">
        <v>0</v>
      </c>
      <c r="J1111">
        <v>1</v>
      </c>
      <c r="K1111">
        <v>1</v>
      </c>
      <c r="L1111" s="22" t="str">
        <f t="shared" si="361"/>
        <v>25/07/2026</v>
      </c>
      <c r="M1111" s="23">
        <f t="shared" si="362"/>
        <v>0.375</v>
      </c>
      <c r="N1111" t="str">
        <f t="shared" si="363"/>
        <v>1 - 1</v>
      </c>
      <c r="O1111" t="str">
        <f t="shared" si="364"/>
        <v>Red</v>
      </c>
      <c r="P1111" t="str">
        <f t="shared" si="365"/>
        <v>Green</v>
      </c>
      <c r="Q1111" t="str">
        <f t="shared" si="366"/>
        <v>Red</v>
      </c>
      <c r="R1111" t="str">
        <f t="shared" si="367"/>
        <v>Green</v>
      </c>
      <c r="S1111" t="str">
        <f t="shared" si="368"/>
        <v>Green</v>
      </c>
      <c r="T1111" t="str">
        <f t="shared" si="369"/>
        <v>Red</v>
      </c>
      <c r="U1111" t="str">
        <f t="shared" si="370"/>
        <v>Green</v>
      </c>
      <c r="V1111" t="str">
        <f t="shared" si="371"/>
        <v>Red</v>
      </c>
      <c r="W1111" t="str">
        <f t="shared" si="372"/>
        <v>Red</v>
      </c>
      <c r="X1111" t="str">
        <f t="shared" si="373"/>
        <v>Green</v>
      </c>
      <c r="Y1111" t="str">
        <f t="shared" si="374"/>
        <v>Green</v>
      </c>
      <c r="Z1111" t="str">
        <f t="shared" si="375"/>
        <v>Red</v>
      </c>
      <c r="AA1111" t="str">
        <f t="shared" si="376"/>
        <v>Green</v>
      </c>
      <c r="AB1111" t="str">
        <f t="shared" si="377"/>
        <v>Green</v>
      </c>
      <c r="AC1111" t="str">
        <f t="shared" si="378"/>
        <v>Green</v>
      </c>
      <c r="AD1111" t="str">
        <f t="shared" si="379"/>
        <v>Red</v>
      </c>
    </row>
    <row r="1112" spans="1:30" x14ac:dyDescent="0.2">
      <c r="A1112" t="str">
        <f t="shared" si="360"/>
        <v>25/07/2026Hertha BSC IIChemnitzer</v>
      </c>
      <c r="D1112" s="2">
        <v>46228</v>
      </c>
      <c r="E1112" s="3">
        <v>0.5</v>
      </c>
      <c r="F1112" t="s">
        <v>3273</v>
      </c>
      <c r="G1112" t="s">
        <v>3274</v>
      </c>
      <c r="H1112">
        <v>0</v>
      </c>
      <c r="I1112">
        <v>1</v>
      </c>
      <c r="J1112">
        <v>0</v>
      </c>
      <c r="K1112">
        <v>4</v>
      </c>
      <c r="L1112" s="22" t="str">
        <f t="shared" si="361"/>
        <v>25/07/2026</v>
      </c>
      <c r="M1112" s="23">
        <f t="shared" si="362"/>
        <v>0.375</v>
      </c>
      <c r="N1112" t="str">
        <f t="shared" si="363"/>
        <v>0 - 4</v>
      </c>
      <c r="O1112" t="str">
        <f t="shared" si="364"/>
        <v>Red</v>
      </c>
      <c r="P1112" t="str">
        <f t="shared" si="365"/>
        <v>Red</v>
      </c>
      <c r="Q1112" t="str">
        <f t="shared" si="366"/>
        <v>Green</v>
      </c>
      <c r="R1112" t="str">
        <f t="shared" si="367"/>
        <v>Red</v>
      </c>
      <c r="S1112" t="str">
        <f t="shared" si="368"/>
        <v>Green</v>
      </c>
      <c r="T1112" t="str">
        <f t="shared" si="369"/>
        <v>Green</v>
      </c>
      <c r="U1112" t="str">
        <f t="shared" si="370"/>
        <v>Red</v>
      </c>
      <c r="V1112" t="str">
        <f t="shared" si="371"/>
        <v>Red</v>
      </c>
      <c r="W1112" t="str">
        <f t="shared" si="372"/>
        <v>Green</v>
      </c>
      <c r="X1112" t="str">
        <f t="shared" si="373"/>
        <v>Green</v>
      </c>
      <c r="Y1112" t="str">
        <f t="shared" si="374"/>
        <v>Green</v>
      </c>
      <c r="Z1112" t="str">
        <f t="shared" si="375"/>
        <v>Green</v>
      </c>
      <c r="AA1112" t="str">
        <f t="shared" si="376"/>
        <v>Red</v>
      </c>
      <c r="AB1112" t="str">
        <f t="shared" si="377"/>
        <v>Red</v>
      </c>
      <c r="AC1112" t="str">
        <f t="shared" si="378"/>
        <v>Red</v>
      </c>
      <c r="AD1112" t="str">
        <f t="shared" si="379"/>
        <v>Green</v>
      </c>
    </row>
    <row r="1113" spans="1:30" x14ac:dyDescent="0.2">
      <c r="A1113" t="str">
        <f t="shared" si="360"/>
        <v>25/07/2026Magdeburg IISV Tasmania Berlin</v>
      </c>
      <c r="D1113" s="2">
        <v>46228</v>
      </c>
      <c r="E1113" s="3">
        <v>0.5</v>
      </c>
      <c r="F1113" t="s">
        <v>3275</v>
      </c>
      <c r="G1113" t="s">
        <v>3276</v>
      </c>
      <c r="H1113">
        <v>4</v>
      </c>
      <c r="I1113">
        <v>0</v>
      </c>
      <c r="J1113">
        <v>5</v>
      </c>
      <c r="K1113">
        <v>1</v>
      </c>
      <c r="L1113" s="22" t="str">
        <f t="shared" si="361"/>
        <v>25/07/2026</v>
      </c>
      <c r="M1113" s="23">
        <f t="shared" si="362"/>
        <v>0.375</v>
      </c>
      <c r="N1113" t="str">
        <f t="shared" si="363"/>
        <v>5 - 1</v>
      </c>
      <c r="O1113" t="str">
        <f t="shared" si="364"/>
        <v>Green</v>
      </c>
      <c r="P1113" t="str">
        <f t="shared" si="365"/>
        <v>Red</v>
      </c>
      <c r="Q1113" t="str">
        <f t="shared" si="366"/>
        <v>Red</v>
      </c>
      <c r="R1113" t="str">
        <f t="shared" si="367"/>
        <v>Green</v>
      </c>
      <c r="S1113" t="str">
        <f t="shared" si="368"/>
        <v>Red</v>
      </c>
      <c r="T1113" t="str">
        <f t="shared" si="369"/>
        <v>Green</v>
      </c>
      <c r="U1113" t="str">
        <f t="shared" si="370"/>
        <v>Green</v>
      </c>
      <c r="V1113" t="str">
        <f t="shared" si="371"/>
        <v>Red</v>
      </c>
      <c r="W1113" t="str">
        <f t="shared" si="372"/>
        <v>Red</v>
      </c>
      <c r="X1113" t="str">
        <f t="shared" si="373"/>
        <v>Green</v>
      </c>
      <c r="Y1113" t="str">
        <f t="shared" si="374"/>
        <v>Green</v>
      </c>
      <c r="Z1113" t="str">
        <f t="shared" si="375"/>
        <v>Green</v>
      </c>
      <c r="AA1113" t="str">
        <f t="shared" si="376"/>
        <v>Red</v>
      </c>
      <c r="AB1113" t="str">
        <f t="shared" si="377"/>
        <v>Red</v>
      </c>
      <c r="AC1113" t="str">
        <f t="shared" si="378"/>
        <v>Green</v>
      </c>
      <c r="AD1113" t="str">
        <f t="shared" si="379"/>
        <v>Red</v>
      </c>
    </row>
    <row r="1114" spans="1:30" x14ac:dyDescent="0.2">
      <c r="A1114" t="str">
        <f t="shared" si="360"/>
        <v>25/07/2026FSV StadelnNeudrossenfeld</v>
      </c>
      <c r="D1114" s="2">
        <v>46228</v>
      </c>
      <c r="E1114" s="3">
        <v>0.5</v>
      </c>
      <c r="F1114" t="s">
        <v>3285</v>
      </c>
      <c r="G1114" t="s">
        <v>1349</v>
      </c>
      <c r="H1114">
        <v>0</v>
      </c>
      <c r="I1114">
        <v>1</v>
      </c>
      <c r="J1114">
        <v>2</v>
      </c>
      <c r="K1114">
        <v>1</v>
      </c>
      <c r="L1114" s="22" t="str">
        <f t="shared" si="361"/>
        <v>25/07/2026</v>
      </c>
      <c r="M1114" s="23">
        <f t="shared" si="362"/>
        <v>0.375</v>
      </c>
      <c r="N1114" t="str">
        <f t="shared" si="363"/>
        <v>2 - 1</v>
      </c>
      <c r="O1114" t="str">
        <f t="shared" si="364"/>
        <v>Green</v>
      </c>
      <c r="P1114" t="str">
        <f t="shared" si="365"/>
        <v>Red</v>
      </c>
      <c r="Q1114" t="str">
        <f t="shared" si="366"/>
        <v>Red</v>
      </c>
      <c r="R1114" t="str">
        <f t="shared" si="367"/>
        <v>Green</v>
      </c>
      <c r="S1114" t="str">
        <f t="shared" si="368"/>
        <v>Red</v>
      </c>
      <c r="T1114" t="str">
        <f t="shared" si="369"/>
        <v>Green</v>
      </c>
      <c r="U1114" t="str">
        <f t="shared" si="370"/>
        <v>Red</v>
      </c>
      <c r="V1114" t="str">
        <f t="shared" si="371"/>
        <v>Red</v>
      </c>
      <c r="W1114" t="str">
        <f t="shared" si="372"/>
        <v>Green</v>
      </c>
      <c r="X1114" t="str">
        <f t="shared" si="373"/>
        <v>Green</v>
      </c>
      <c r="Y1114" t="str">
        <f t="shared" si="374"/>
        <v>Green</v>
      </c>
      <c r="Z1114" t="str">
        <f t="shared" si="375"/>
        <v>Green</v>
      </c>
      <c r="AA1114" t="str">
        <f t="shared" si="376"/>
        <v>Red</v>
      </c>
      <c r="AB1114" t="str">
        <f t="shared" si="377"/>
        <v>Green</v>
      </c>
      <c r="AC1114" t="str">
        <f t="shared" si="378"/>
        <v>Green</v>
      </c>
      <c r="AD1114" t="str">
        <f t="shared" si="379"/>
        <v>Red</v>
      </c>
    </row>
    <row r="1115" spans="1:30" x14ac:dyDescent="0.2">
      <c r="A1115" t="str">
        <f t="shared" si="360"/>
        <v>25/07/2026FC DeisenhofenSV Kirschanschoering</v>
      </c>
      <c r="D1115" s="2">
        <v>46228</v>
      </c>
      <c r="E1115" s="3">
        <v>0.5</v>
      </c>
      <c r="F1115" t="s">
        <v>3290</v>
      </c>
      <c r="G1115" t="s">
        <v>3291</v>
      </c>
      <c r="H1115">
        <v>1</v>
      </c>
      <c r="I1115">
        <v>0</v>
      </c>
      <c r="J1115">
        <v>2</v>
      </c>
      <c r="K1115">
        <v>2</v>
      </c>
      <c r="L1115" s="22" t="str">
        <f t="shared" si="361"/>
        <v>25/07/2026</v>
      </c>
      <c r="M1115" s="23">
        <f t="shared" si="362"/>
        <v>0.375</v>
      </c>
      <c r="N1115" t="str">
        <f t="shared" si="363"/>
        <v>2 - 2</v>
      </c>
      <c r="O1115" t="str">
        <f t="shared" si="364"/>
        <v>Red</v>
      </c>
      <c r="P1115" t="str">
        <f t="shared" si="365"/>
        <v>Green</v>
      </c>
      <c r="Q1115" t="str">
        <f t="shared" si="366"/>
        <v>Red</v>
      </c>
      <c r="R1115" t="str">
        <f t="shared" si="367"/>
        <v>Green</v>
      </c>
      <c r="S1115" t="str">
        <f t="shared" si="368"/>
        <v>Green</v>
      </c>
      <c r="T1115" t="str">
        <f t="shared" si="369"/>
        <v>Red</v>
      </c>
      <c r="U1115" t="str">
        <f t="shared" si="370"/>
        <v>Green</v>
      </c>
      <c r="V1115" t="str">
        <f t="shared" si="371"/>
        <v>Red</v>
      </c>
      <c r="W1115" t="str">
        <f t="shared" si="372"/>
        <v>Red</v>
      </c>
      <c r="X1115" t="str">
        <f t="shared" si="373"/>
        <v>Green</v>
      </c>
      <c r="Y1115" t="str">
        <f t="shared" si="374"/>
        <v>Green</v>
      </c>
      <c r="Z1115" t="str">
        <f t="shared" si="375"/>
        <v>Green</v>
      </c>
      <c r="AA1115" t="str">
        <f t="shared" si="376"/>
        <v>Red</v>
      </c>
      <c r="AB1115" t="str">
        <f t="shared" si="377"/>
        <v>Red</v>
      </c>
      <c r="AC1115" t="str">
        <f t="shared" si="378"/>
        <v>Green</v>
      </c>
      <c r="AD1115" t="str">
        <f t="shared" si="379"/>
        <v>Red</v>
      </c>
    </row>
    <row r="1116" spans="1:30" x14ac:dyDescent="0.2">
      <c r="A1116" t="str">
        <f t="shared" si="360"/>
        <v>25/07/2026FK AtmosferaHegelmann Litauen II</v>
      </c>
      <c r="D1116" s="2">
        <v>46228</v>
      </c>
      <c r="E1116" s="3">
        <v>0.5</v>
      </c>
      <c r="F1116" t="s">
        <v>588</v>
      </c>
      <c r="G1116" t="s">
        <v>1368</v>
      </c>
      <c r="H1116">
        <v>1</v>
      </c>
      <c r="I1116">
        <v>0</v>
      </c>
      <c r="J1116">
        <v>4</v>
      </c>
      <c r="K1116">
        <v>1</v>
      </c>
      <c r="L1116" s="22" t="str">
        <f t="shared" si="361"/>
        <v>25/07/2026</v>
      </c>
      <c r="M1116" s="23">
        <f t="shared" si="362"/>
        <v>0.375</v>
      </c>
      <c r="N1116" t="str">
        <f t="shared" si="363"/>
        <v>4 - 1</v>
      </c>
      <c r="O1116" t="str">
        <f t="shared" si="364"/>
        <v>Green</v>
      </c>
      <c r="P1116" t="str">
        <f t="shared" si="365"/>
        <v>Red</v>
      </c>
      <c r="Q1116" t="str">
        <f t="shared" si="366"/>
        <v>Red</v>
      </c>
      <c r="R1116" t="str">
        <f t="shared" si="367"/>
        <v>Green</v>
      </c>
      <c r="S1116" t="str">
        <f t="shared" si="368"/>
        <v>Red</v>
      </c>
      <c r="T1116" t="str">
        <f t="shared" si="369"/>
        <v>Green</v>
      </c>
      <c r="U1116" t="str">
        <f t="shared" si="370"/>
        <v>Green</v>
      </c>
      <c r="V1116" t="str">
        <f t="shared" si="371"/>
        <v>Red</v>
      </c>
      <c r="W1116" t="str">
        <f t="shared" si="372"/>
        <v>Red</v>
      </c>
      <c r="X1116" t="str">
        <f t="shared" si="373"/>
        <v>Green</v>
      </c>
      <c r="Y1116" t="str">
        <f t="shared" si="374"/>
        <v>Green</v>
      </c>
      <c r="Z1116" t="str">
        <f t="shared" si="375"/>
        <v>Green</v>
      </c>
      <c r="AA1116" t="str">
        <f t="shared" si="376"/>
        <v>Red</v>
      </c>
      <c r="AB1116" t="str">
        <f t="shared" si="377"/>
        <v>Red</v>
      </c>
      <c r="AC1116" t="str">
        <f t="shared" si="378"/>
        <v>Green</v>
      </c>
      <c r="AD1116" t="str">
        <f t="shared" si="379"/>
        <v>Red</v>
      </c>
    </row>
    <row r="1117" spans="1:30" x14ac:dyDescent="0.2">
      <c r="A1117" t="str">
        <f t="shared" si="360"/>
        <v>25/07/2026BrattvagMjondalen</v>
      </c>
      <c r="D1117" s="2">
        <v>46228</v>
      </c>
      <c r="E1117" s="3">
        <v>0.5</v>
      </c>
      <c r="F1117" t="s">
        <v>3447</v>
      </c>
      <c r="G1117" t="s">
        <v>3448</v>
      </c>
      <c r="H1117">
        <v>0</v>
      </c>
      <c r="I1117">
        <v>2</v>
      </c>
      <c r="J1117">
        <v>3</v>
      </c>
      <c r="K1117">
        <v>5</v>
      </c>
      <c r="L1117" s="22" t="str">
        <f t="shared" si="361"/>
        <v>25/07/2026</v>
      </c>
      <c r="M1117" s="23">
        <f t="shared" si="362"/>
        <v>0.375</v>
      </c>
      <c r="N1117" t="str">
        <f t="shared" si="363"/>
        <v>3 - 5</v>
      </c>
      <c r="O1117" t="str">
        <f t="shared" si="364"/>
        <v>Red</v>
      </c>
      <c r="P1117" t="str">
        <f t="shared" si="365"/>
        <v>Red</v>
      </c>
      <c r="Q1117" t="str">
        <f t="shared" si="366"/>
        <v>Green</v>
      </c>
      <c r="R1117" t="str">
        <f t="shared" si="367"/>
        <v>Red</v>
      </c>
      <c r="S1117" t="str">
        <f t="shared" si="368"/>
        <v>Green</v>
      </c>
      <c r="T1117" t="str">
        <f t="shared" si="369"/>
        <v>Green</v>
      </c>
      <c r="U1117" t="str">
        <f t="shared" si="370"/>
        <v>Red</v>
      </c>
      <c r="V1117" t="str">
        <f t="shared" si="371"/>
        <v>Red</v>
      </c>
      <c r="W1117" t="str">
        <f t="shared" si="372"/>
        <v>Green</v>
      </c>
      <c r="X1117" t="str">
        <f t="shared" si="373"/>
        <v>Green</v>
      </c>
      <c r="Y1117" t="str">
        <f t="shared" si="374"/>
        <v>Green</v>
      </c>
      <c r="Z1117" t="str">
        <f t="shared" si="375"/>
        <v>Green</v>
      </c>
      <c r="AA1117" t="str">
        <f t="shared" si="376"/>
        <v>Red</v>
      </c>
      <c r="AB1117" t="str">
        <f t="shared" si="377"/>
        <v>Red</v>
      </c>
      <c r="AC1117" t="str">
        <f t="shared" si="378"/>
        <v>Green</v>
      </c>
      <c r="AD1117" t="str">
        <f t="shared" si="379"/>
        <v>Red</v>
      </c>
    </row>
    <row r="1118" spans="1:30" x14ac:dyDescent="0.2">
      <c r="A1118" t="str">
        <f t="shared" si="360"/>
        <v>25/07/2026HonefossSkeid</v>
      </c>
      <c r="D1118" s="2">
        <v>46228</v>
      </c>
      <c r="E1118" s="3">
        <v>0.5</v>
      </c>
      <c r="F1118" t="s">
        <v>3455</v>
      </c>
      <c r="G1118" t="s">
        <v>3456</v>
      </c>
      <c r="H1118">
        <v>2</v>
      </c>
      <c r="I1118">
        <v>1</v>
      </c>
      <c r="J1118">
        <v>3</v>
      </c>
      <c r="K1118">
        <v>1</v>
      </c>
      <c r="L1118" s="22" t="str">
        <f t="shared" si="361"/>
        <v>25/07/2026</v>
      </c>
      <c r="M1118" s="23">
        <f t="shared" si="362"/>
        <v>0.375</v>
      </c>
      <c r="N1118" t="str">
        <f t="shared" si="363"/>
        <v>3 - 1</v>
      </c>
      <c r="O1118" t="str">
        <f t="shared" si="364"/>
        <v>Green</v>
      </c>
      <c r="P1118" t="str">
        <f t="shared" si="365"/>
        <v>Red</v>
      </c>
      <c r="Q1118" t="str">
        <f t="shared" si="366"/>
        <v>Red</v>
      </c>
      <c r="R1118" t="str">
        <f t="shared" si="367"/>
        <v>Green</v>
      </c>
      <c r="S1118" t="str">
        <f t="shared" si="368"/>
        <v>Red</v>
      </c>
      <c r="T1118" t="str">
        <f t="shared" si="369"/>
        <v>Green</v>
      </c>
      <c r="U1118" t="str">
        <f t="shared" si="370"/>
        <v>Green</v>
      </c>
      <c r="V1118" t="str">
        <f t="shared" si="371"/>
        <v>Red</v>
      </c>
      <c r="W1118" t="str">
        <f t="shared" si="372"/>
        <v>Red</v>
      </c>
      <c r="X1118" t="str">
        <f t="shared" si="373"/>
        <v>Green</v>
      </c>
      <c r="Y1118" t="str">
        <f t="shared" si="374"/>
        <v>Green</v>
      </c>
      <c r="Z1118" t="str">
        <f t="shared" si="375"/>
        <v>Green</v>
      </c>
      <c r="AA1118" t="str">
        <f t="shared" si="376"/>
        <v>Red</v>
      </c>
      <c r="AB1118" t="str">
        <f t="shared" si="377"/>
        <v>Red</v>
      </c>
      <c r="AC1118" t="str">
        <f t="shared" si="378"/>
        <v>Green</v>
      </c>
      <c r="AD1118" t="str">
        <f t="shared" si="379"/>
        <v>Red</v>
      </c>
    </row>
    <row r="1119" spans="1:30" x14ac:dyDescent="0.2">
      <c r="A1119" t="str">
        <f t="shared" si="360"/>
        <v>25/07/2026Levanger FC Ull Kisa</v>
      </c>
      <c r="D1119" s="2">
        <v>46228</v>
      </c>
      <c r="E1119" s="3">
        <v>0.5</v>
      </c>
      <c r="F1119" t="s">
        <v>3457</v>
      </c>
      <c r="G1119" t="s">
        <v>3458</v>
      </c>
      <c r="H1119">
        <v>1</v>
      </c>
      <c r="I1119">
        <v>0</v>
      </c>
      <c r="J1119">
        <v>3</v>
      </c>
      <c r="K1119">
        <v>0</v>
      </c>
      <c r="L1119" s="22" t="str">
        <f t="shared" si="361"/>
        <v>25/07/2026</v>
      </c>
      <c r="M1119" s="23">
        <f t="shared" si="362"/>
        <v>0.375</v>
      </c>
      <c r="N1119" t="str">
        <f t="shared" si="363"/>
        <v>3 - 0</v>
      </c>
      <c r="O1119" t="str">
        <f t="shared" si="364"/>
        <v>Green</v>
      </c>
      <c r="P1119" t="str">
        <f t="shared" si="365"/>
        <v>Red</v>
      </c>
      <c r="Q1119" t="str">
        <f t="shared" si="366"/>
        <v>Red</v>
      </c>
      <c r="R1119" t="str">
        <f t="shared" si="367"/>
        <v>Green</v>
      </c>
      <c r="S1119" t="str">
        <f t="shared" si="368"/>
        <v>Red</v>
      </c>
      <c r="T1119" t="str">
        <f t="shared" si="369"/>
        <v>Green</v>
      </c>
      <c r="U1119" t="str">
        <f t="shared" si="370"/>
        <v>Green</v>
      </c>
      <c r="V1119" t="str">
        <f t="shared" si="371"/>
        <v>Red</v>
      </c>
      <c r="W1119" t="str">
        <f t="shared" si="372"/>
        <v>Red</v>
      </c>
      <c r="X1119" t="str">
        <f t="shared" si="373"/>
        <v>Green</v>
      </c>
      <c r="Y1119" t="str">
        <f t="shared" si="374"/>
        <v>Green</v>
      </c>
      <c r="Z1119" t="str">
        <f t="shared" si="375"/>
        <v>Green</v>
      </c>
      <c r="AA1119" t="str">
        <f t="shared" si="376"/>
        <v>Red</v>
      </c>
      <c r="AB1119" t="str">
        <f t="shared" si="377"/>
        <v>Green</v>
      </c>
      <c r="AC1119" t="str">
        <f t="shared" si="378"/>
        <v>Red</v>
      </c>
      <c r="AD1119" t="str">
        <f t="shared" si="379"/>
        <v>Green</v>
      </c>
    </row>
    <row r="1120" spans="1:30" x14ac:dyDescent="0.2">
      <c r="A1120" t="str">
        <f t="shared" si="360"/>
        <v>25/07/2026BaerumValerenga II</v>
      </c>
      <c r="D1120" s="2">
        <v>46228</v>
      </c>
      <c r="E1120" s="3">
        <v>0.5</v>
      </c>
      <c r="F1120" t="s">
        <v>3471</v>
      </c>
      <c r="G1120" t="s">
        <v>3472</v>
      </c>
      <c r="H1120">
        <v>4</v>
      </c>
      <c r="I1120">
        <v>2</v>
      </c>
      <c r="J1120">
        <v>6</v>
      </c>
      <c r="K1120">
        <v>3</v>
      </c>
      <c r="L1120" s="22" t="str">
        <f t="shared" si="361"/>
        <v>25/07/2026</v>
      </c>
      <c r="M1120" s="23">
        <f t="shared" si="362"/>
        <v>0.375</v>
      </c>
      <c r="N1120" t="str">
        <f t="shared" si="363"/>
        <v>6 - 3</v>
      </c>
      <c r="O1120" t="str">
        <f t="shared" si="364"/>
        <v>Green</v>
      </c>
      <c r="P1120" t="str">
        <f t="shared" si="365"/>
        <v>Red</v>
      </c>
      <c r="Q1120" t="str">
        <f t="shared" si="366"/>
        <v>Red</v>
      </c>
      <c r="R1120" t="str">
        <f t="shared" si="367"/>
        <v>Green</v>
      </c>
      <c r="S1120" t="str">
        <f t="shared" si="368"/>
        <v>Red</v>
      </c>
      <c r="T1120" t="str">
        <f t="shared" si="369"/>
        <v>Green</v>
      </c>
      <c r="U1120" t="str">
        <f t="shared" si="370"/>
        <v>Green</v>
      </c>
      <c r="V1120" t="str">
        <f t="shared" si="371"/>
        <v>Red</v>
      </c>
      <c r="W1120" t="str">
        <f t="shared" si="372"/>
        <v>Red</v>
      </c>
      <c r="X1120" t="str">
        <f t="shared" si="373"/>
        <v>Green</v>
      </c>
      <c r="Y1120" t="str">
        <f t="shared" si="374"/>
        <v>Green</v>
      </c>
      <c r="Z1120" t="str">
        <f t="shared" si="375"/>
        <v>Green</v>
      </c>
      <c r="AA1120" t="str">
        <f t="shared" si="376"/>
        <v>Red</v>
      </c>
      <c r="AB1120" t="str">
        <f t="shared" si="377"/>
        <v>Red</v>
      </c>
      <c r="AC1120" t="str">
        <f t="shared" si="378"/>
        <v>Green</v>
      </c>
      <c r="AD1120" t="str">
        <f t="shared" si="379"/>
        <v>Red</v>
      </c>
    </row>
    <row r="1121" spans="1:30" x14ac:dyDescent="0.2">
      <c r="A1121" t="str">
        <f t="shared" si="360"/>
        <v>25/07/2026FanaDjerv 1919</v>
      </c>
      <c r="D1121" s="2">
        <v>46228</v>
      </c>
      <c r="E1121" s="3">
        <v>0.5</v>
      </c>
      <c r="F1121" t="s">
        <v>3483</v>
      </c>
      <c r="G1121" t="s">
        <v>3484</v>
      </c>
      <c r="H1121">
        <v>2</v>
      </c>
      <c r="I1121">
        <v>0</v>
      </c>
      <c r="J1121">
        <v>4</v>
      </c>
      <c r="K1121">
        <v>3</v>
      </c>
      <c r="L1121" s="22" t="str">
        <f t="shared" si="361"/>
        <v>25/07/2026</v>
      </c>
      <c r="M1121" s="23">
        <f t="shared" si="362"/>
        <v>0.375</v>
      </c>
      <c r="N1121" t="str">
        <f t="shared" si="363"/>
        <v>4 - 3</v>
      </c>
      <c r="O1121" t="str">
        <f t="shared" si="364"/>
        <v>Green</v>
      </c>
      <c r="P1121" t="str">
        <f t="shared" si="365"/>
        <v>Red</v>
      </c>
      <c r="Q1121" t="str">
        <f t="shared" si="366"/>
        <v>Red</v>
      </c>
      <c r="R1121" t="str">
        <f t="shared" si="367"/>
        <v>Green</v>
      </c>
      <c r="S1121" t="str">
        <f t="shared" si="368"/>
        <v>Red</v>
      </c>
      <c r="T1121" t="str">
        <f t="shared" si="369"/>
        <v>Green</v>
      </c>
      <c r="U1121" t="str">
        <f t="shared" si="370"/>
        <v>Green</v>
      </c>
      <c r="V1121" t="str">
        <f t="shared" si="371"/>
        <v>Red</v>
      </c>
      <c r="W1121" t="str">
        <f t="shared" si="372"/>
        <v>Red</v>
      </c>
      <c r="X1121" t="str">
        <f t="shared" si="373"/>
        <v>Green</v>
      </c>
      <c r="Y1121" t="str">
        <f t="shared" si="374"/>
        <v>Green</v>
      </c>
      <c r="Z1121" t="str">
        <f t="shared" si="375"/>
        <v>Green</v>
      </c>
      <c r="AA1121" t="str">
        <f t="shared" si="376"/>
        <v>Red</v>
      </c>
      <c r="AB1121" t="str">
        <f t="shared" si="377"/>
        <v>Red</v>
      </c>
      <c r="AC1121" t="str">
        <f t="shared" si="378"/>
        <v>Green</v>
      </c>
      <c r="AD1121" t="str">
        <f t="shared" si="379"/>
        <v>Red</v>
      </c>
    </row>
    <row r="1122" spans="1:30" x14ac:dyDescent="0.2">
      <c r="A1122" t="str">
        <f t="shared" si="360"/>
        <v>25/07/2026StordAskoy FK</v>
      </c>
      <c r="D1122" s="2">
        <v>46228</v>
      </c>
      <c r="E1122" s="3">
        <v>0.5</v>
      </c>
      <c r="F1122" t="s">
        <v>3485</v>
      </c>
      <c r="G1122" t="s">
        <v>3486</v>
      </c>
      <c r="H1122">
        <v>0</v>
      </c>
      <c r="I1122">
        <v>2</v>
      </c>
      <c r="J1122">
        <v>0</v>
      </c>
      <c r="K1122">
        <v>4</v>
      </c>
      <c r="L1122" s="22" t="str">
        <f t="shared" si="361"/>
        <v>25/07/2026</v>
      </c>
      <c r="M1122" s="23">
        <f t="shared" si="362"/>
        <v>0.375</v>
      </c>
      <c r="N1122" t="str">
        <f t="shared" si="363"/>
        <v>0 - 4</v>
      </c>
      <c r="O1122" t="str">
        <f t="shared" si="364"/>
        <v>Red</v>
      </c>
      <c r="P1122" t="str">
        <f t="shared" si="365"/>
        <v>Red</v>
      </c>
      <c r="Q1122" t="str">
        <f t="shared" si="366"/>
        <v>Green</v>
      </c>
      <c r="R1122" t="str">
        <f t="shared" si="367"/>
        <v>Red</v>
      </c>
      <c r="S1122" t="str">
        <f t="shared" si="368"/>
        <v>Green</v>
      </c>
      <c r="T1122" t="str">
        <f t="shared" si="369"/>
        <v>Green</v>
      </c>
      <c r="U1122" t="str">
        <f t="shared" si="370"/>
        <v>Red</v>
      </c>
      <c r="V1122" t="str">
        <f t="shared" si="371"/>
        <v>Red</v>
      </c>
      <c r="W1122" t="str">
        <f t="shared" si="372"/>
        <v>Green</v>
      </c>
      <c r="X1122" t="str">
        <f t="shared" si="373"/>
        <v>Green</v>
      </c>
      <c r="Y1122" t="str">
        <f t="shared" si="374"/>
        <v>Green</v>
      </c>
      <c r="Z1122" t="str">
        <f t="shared" si="375"/>
        <v>Green</v>
      </c>
      <c r="AA1122" t="str">
        <f t="shared" si="376"/>
        <v>Red</v>
      </c>
      <c r="AB1122" t="str">
        <f t="shared" si="377"/>
        <v>Red</v>
      </c>
      <c r="AC1122" t="str">
        <f t="shared" si="378"/>
        <v>Red</v>
      </c>
      <c r="AD1122" t="str">
        <f t="shared" si="379"/>
        <v>Green</v>
      </c>
    </row>
    <row r="1123" spans="1:30" x14ac:dyDescent="0.2">
      <c r="A1123" t="str">
        <f t="shared" si="360"/>
        <v>25/07/2026HarstadFauske/Sprint</v>
      </c>
      <c r="D1123" s="2">
        <v>46228</v>
      </c>
      <c r="E1123" s="3">
        <v>0.5</v>
      </c>
      <c r="F1123" t="s">
        <v>3495</v>
      </c>
      <c r="G1123" t="s">
        <v>3496</v>
      </c>
      <c r="H1123">
        <v>5</v>
      </c>
      <c r="I1123">
        <v>0</v>
      </c>
      <c r="J1123">
        <v>10</v>
      </c>
      <c r="K1123">
        <v>1</v>
      </c>
      <c r="L1123" s="22" t="str">
        <f t="shared" si="361"/>
        <v>25/07/2026</v>
      </c>
      <c r="M1123" s="23">
        <f t="shared" si="362"/>
        <v>0.375</v>
      </c>
      <c r="N1123" t="str">
        <f t="shared" si="363"/>
        <v>10 - 1</v>
      </c>
      <c r="O1123" t="str">
        <f t="shared" si="364"/>
        <v>Green</v>
      </c>
      <c r="P1123" t="str">
        <f t="shared" si="365"/>
        <v>Red</v>
      </c>
      <c r="Q1123" t="str">
        <f t="shared" si="366"/>
        <v>Red</v>
      </c>
      <c r="R1123" t="str">
        <f t="shared" si="367"/>
        <v>Green</v>
      </c>
      <c r="S1123" t="str">
        <f t="shared" si="368"/>
        <v>Red</v>
      </c>
      <c r="T1123" t="str">
        <f t="shared" si="369"/>
        <v>Green</v>
      </c>
      <c r="U1123" t="str">
        <f t="shared" si="370"/>
        <v>Green</v>
      </c>
      <c r="V1123" t="str">
        <f t="shared" si="371"/>
        <v>Red</v>
      </c>
      <c r="W1123" t="str">
        <f t="shared" si="372"/>
        <v>Red</v>
      </c>
      <c r="X1123" t="str">
        <f t="shared" si="373"/>
        <v>Green</v>
      </c>
      <c r="Y1123" t="str">
        <f t="shared" si="374"/>
        <v>Green</v>
      </c>
      <c r="Z1123" t="str">
        <f t="shared" si="375"/>
        <v>Green</v>
      </c>
      <c r="AA1123" t="str">
        <f t="shared" si="376"/>
        <v>Red</v>
      </c>
      <c r="AB1123" t="str">
        <f t="shared" si="377"/>
        <v>Red</v>
      </c>
      <c r="AC1123" t="str">
        <f t="shared" si="378"/>
        <v>Green</v>
      </c>
      <c r="AD1123" t="str">
        <f t="shared" si="379"/>
        <v>Red</v>
      </c>
    </row>
    <row r="1124" spans="1:30" x14ac:dyDescent="0.2">
      <c r="A1124" t="str">
        <f t="shared" si="360"/>
        <v>25/07/2026Drobak/FrognBrumunddal</v>
      </c>
      <c r="D1124" s="2">
        <v>46228</v>
      </c>
      <c r="E1124" s="3">
        <v>0.5</v>
      </c>
      <c r="F1124" t="s">
        <v>3505</v>
      </c>
      <c r="G1124" t="s">
        <v>3506</v>
      </c>
      <c r="H1124">
        <v>2</v>
      </c>
      <c r="I1124">
        <v>0</v>
      </c>
      <c r="J1124">
        <v>7</v>
      </c>
      <c r="K1124">
        <v>1</v>
      </c>
      <c r="L1124" s="22" t="str">
        <f t="shared" si="361"/>
        <v>25/07/2026</v>
      </c>
      <c r="M1124" s="23">
        <f t="shared" si="362"/>
        <v>0.375</v>
      </c>
      <c r="N1124" t="str">
        <f t="shared" si="363"/>
        <v>7 - 1</v>
      </c>
      <c r="O1124" t="str">
        <f t="shared" si="364"/>
        <v>Green</v>
      </c>
      <c r="P1124" t="str">
        <f t="shared" si="365"/>
        <v>Red</v>
      </c>
      <c r="Q1124" t="str">
        <f t="shared" si="366"/>
        <v>Red</v>
      </c>
      <c r="R1124" t="str">
        <f t="shared" si="367"/>
        <v>Green</v>
      </c>
      <c r="S1124" t="str">
        <f t="shared" si="368"/>
        <v>Red</v>
      </c>
      <c r="T1124" t="str">
        <f t="shared" si="369"/>
        <v>Green</v>
      </c>
      <c r="U1124" t="str">
        <f t="shared" si="370"/>
        <v>Green</v>
      </c>
      <c r="V1124" t="str">
        <f t="shared" si="371"/>
        <v>Red</v>
      </c>
      <c r="W1124" t="str">
        <f t="shared" si="372"/>
        <v>Red</v>
      </c>
      <c r="X1124" t="str">
        <f t="shared" si="373"/>
        <v>Green</v>
      </c>
      <c r="Y1124" t="str">
        <f t="shared" si="374"/>
        <v>Green</v>
      </c>
      <c r="Z1124" t="str">
        <f t="shared" si="375"/>
        <v>Green</v>
      </c>
      <c r="AA1124" t="str">
        <f t="shared" si="376"/>
        <v>Red</v>
      </c>
      <c r="AB1124" t="str">
        <f t="shared" si="377"/>
        <v>Red</v>
      </c>
      <c r="AC1124" t="str">
        <f t="shared" si="378"/>
        <v>Green</v>
      </c>
      <c r="AD1124" t="str">
        <f t="shared" si="379"/>
        <v>Red</v>
      </c>
    </row>
    <row r="1125" spans="1:30" x14ac:dyDescent="0.2">
      <c r="A1125" t="str">
        <f t="shared" si="360"/>
        <v>25/07/2026Kvant ObninskMetallurg Lipetsk</v>
      </c>
      <c r="D1125" s="2">
        <v>46228</v>
      </c>
      <c r="E1125" s="3">
        <v>0.5</v>
      </c>
      <c r="F1125" t="s">
        <v>3588</v>
      </c>
      <c r="G1125" t="s">
        <v>3589</v>
      </c>
      <c r="H1125">
        <v>0</v>
      </c>
      <c r="I1125">
        <v>0</v>
      </c>
      <c r="J1125">
        <v>2</v>
      </c>
      <c r="K1125">
        <v>2</v>
      </c>
      <c r="L1125" s="22" t="str">
        <f t="shared" si="361"/>
        <v>25/07/2026</v>
      </c>
      <c r="M1125" s="23">
        <f t="shared" si="362"/>
        <v>0.375</v>
      </c>
      <c r="N1125" t="str">
        <f t="shared" si="363"/>
        <v>2 - 2</v>
      </c>
      <c r="O1125" t="str">
        <f t="shared" si="364"/>
        <v>Red</v>
      </c>
      <c r="P1125" t="str">
        <f t="shared" si="365"/>
        <v>Green</v>
      </c>
      <c r="Q1125" t="str">
        <f t="shared" si="366"/>
        <v>Red</v>
      </c>
      <c r="R1125" t="str">
        <f t="shared" si="367"/>
        <v>Green</v>
      </c>
      <c r="S1125" t="str">
        <f t="shared" si="368"/>
        <v>Green</v>
      </c>
      <c r="T1125" t="str">
        <f t="shared" si="369"/>
        <v>Red</v>
      </c>
      <c r="U1125" t="str">
        <f t="shared" si="370"/>
        <v>Red</v>
      </c>
      <c r="V1125" t="str">
        <f t="shared" si="371"/>
        <v>Green</v>
      </c>
      <c r="W1125" t="str">
        <f t="shared" si="372"/>
        <v>Red</v>
      </c>
      <c r="X1125" t="str">
        <f t="shared" si="373"/>
        <v>Red</v>
      </c>
      <c r="Y1125" t="str">
        <f t="shared" si="374"/>
        <v>Green</v>
      </c>
      <c r="Z1125" t="str">
        <f t="shared" si="375"/>
        <v>Green</v>
      </c>
      <c r="AA1125" t="str">
        <f t="shared" si="376"/>
        <v>Red</v>
      </c>
      <c r="AB1125" t="str">
        <f t="shared" si="377"/>
        <v>Red</v>
      </c>
      <c r="AC1125" t="str">
        <f t="shared" si="378"/>
        <v>Green</v>
      </c>
      <c r="AD1125" t="str">
        <f t="shared" si="379"/>
        <v>Red</v>
      </c>
    </row>
    <row r="1126" spans="1:30" x14ac:dyDescent="0.2">
      <c r="A1126" t="str">
        <f t="shared" si="360"/>
        <v>25/07/2026Halmstads U19IK Sirius U19</v>
      </c>
      <c r="B1126" t="s">
        <v>827</v>
      </c>
      <c r="D1126" s="2">
        <v>46228</v>
      </c>
      <c r="E1126" s="3">
        <v>0.5</v>
      </c>
      <c r="F1126" t="s">
        <v>3655</v>
      </c>
      <c r="G1126" t="s">
        <v>3656</v>
      </c>
      <c r="H1126">
        <v>0</v>
      </c>
      <c r="I1126">
        <v>0</v>
      </c>
      <c r="J1126">
        <v>3</v>
      </c>
      <c r="K1126">
        <v>4</v>
      </c>
      <c r="L1126" s="22" t="str">
        <f t="shared" si="361"/>
        <v>25/07/2026</v>
      </c>
      <c r="M1126" s="23">
        <f t="shared" si="362"/>
        <v>0.375</v>
      </c>
      <c r="N1126" t="str">
        <f t="shared" si="363"/>
        <v>3 - 4</v>
      </c>
      <c r="O1126" t="str">
        <f t="shared" si="364"/>
        <v>Red</v>
      </c>
      <c r="P1126" t="str">
        <f t="shared" si="365"/>
        <v>Red</v>
      </c>
      <c r="Q1126" t="str">
        <f t="shared" si="366"/>
        <v>Green</v>
      </c>
      <c r="R1126" t="str">
        <f t="shared" si="367"/>
        <v>Red</v>
      </c>
      <c r="S1126" t="str">
        <f t="shared" si="368"/>
        <v>Green</v>
      </c>
      <c r="T1126" t="str">
        <f t="shared" si="369"/>
        <v>Green</v>
      </c>
      <c r="U1126" t="str">
        <f t="shared" si="370"/>
        <v>Red</v>
      </c>
      <c r="V1126" t="str">
        <f t="shared" si="371"/>
        <v>Green</v>
      </c>
      <c r="W1126" t="str">
        <f t="shared" si="372"/>
        <v>Red</v>
      </c>
      <c r="X1126" t="str">
        <f t="shared" si="373"/>
        <v>Red</v>
      </c>
      <c r="Y1126" t="str">
        <f t="shared" si="374"/>
        <v>Green</v>
      </c>
      <c r="Z1126" t="str">
        <f t="shared" si="375"/>
        <v>Green</v>
      </c>
      <c r="AA1126" t="str">
        <f t="shared" si="376"/>
        <v>Red</v>
      </c>
      <c r="AB1126" t="str">
        <f t="shared" si="377"/>
        <v>Red</v>
      </c>
      <c r="AC1126" t="str">
        <f t="shared" si="378"/>
        <v>Green</v>
      </c>
      <c r="AD1126" t="str">
        <f t="shared" si="379"/>
        <v>Red</v>
      </c>
    </row>
    <row r="1127" spans="1:30" x14ac:dyDescent="0.2">
      <c r="A1127" t="str">
        <f t="shared" si="360"/>
        <v>25/07/2026Orebro SK WomenJitex BK Women</v>
      </c>
      <c r="B1127" t="s">
        <v>827</v>
      </c>
      <c r="D1127" s="2">
        <v>46228</v>
      </c>
      <c r="E1127" s="3">
        <v>0.5</v>
      </c>
      <c r="F1127" t="s">
        <v>3671</v>
      </c>
      <c r="G1127" t="s">
        <v>3672</v>
      </c>
      <c r="H1127">
        <v>2</v>
      </c>
      <c r="I1127">
        <v>1</v>
      </c>
      <c r="J1127">
        <v>2</v>
      </c>
      <c r="K1127">
        <v>3</v>
      </c>
      <c r="L1127" s="22" t="str">
        <f t="shared" si="361"/>
        <v>25/07/2026</v>
      </c>
      <c r="M1127" s="23">
        <f t="shared" si="362"/>
        <v>0.375</v>
      </c>
      <c r="N1127" t="str">
        <f t="shared" si="363"/>
        <v>2 - 3</v>
      </c>
      <c r="O1127" t="str">
        <f t="shared" si="364"/>
        <v>Red</v>
      </c>
      <c r="P1127" t="str">
        <f t="shared" si="365"/>
        <v>Red</v>
      </c>
      <c r="Q1127" t="str">
        <f t="shared" si="366"/>
        <v>Green</v>
      </c>
      <c r="R1127" t="str">
        <f t="shared" si="367"/>
        <v>Red</v>
      </c>
      <c r="S1127" t="str">
        <f t="shared" si="368"/>
        <v>Green</v>
      </c>
      <c r="T1127" t="str">
        <f t="shared" si="369"/>
        <v>Green</v>
      </c>
      <c r="U1127" t="str">
        <f t="shared" si="370"/>
        <v>Green</v>
      </c>
      <c r="V1127" t="str">
        <f t="shared" si="371"/>
        <v>Red</v>
      </c>
      <c r="W1127" t="str">
        <f t="shared" si="372"/>
        <v>Red</v>
      </c>
      <c r="X1127" t="str">
        <f t="shared" si="373"/>
        <v>Green</v>
      </c>
      <c r="Y1127" t="str">
        <f t="shared" si="374"/>
        <v>Green</v>
      </c>
      <c r="Z1127" t="str">
        <f t="shared" si="375"/>
        <v>Green</v>
      </c>
      <c r="AA1127" t="str">
        <f t="shared" si="376"/>
        <v>Red</v>
      </c>
      <c r="AB1127" t="str">
        <f t="shared" si="377"/>
        <v>Red</v>
      </c>
      <c r="AC1127" t="str">
        <f t="shared" si="378"/>
        <v>Green</v>
      </c>
      <c r="AD1127" t="str">
        <f t="shared" si="379"/>
        <v>Red</v>
      </c>
    </row>
    <row r="1128" spans="1:30" x14ac:dyDescent="0.2">
      <c r="A1128" t="str">
        <f t="shared" si="360"/>
        <v>25/07/2026AugsburgFC Saarbrucken</v>
      </c>
      <c r="D1128" s="2">
        <v>46228</v>
      </c>
      <c r="E1128" s="3">
        <v>0.5</v>
      </c>
      <c r="F1128" t="s">
        <v>3788</v>
      </c>
      <c r="G1128" t="s">
        <v>3789</v>
      </c>
      <c r="H1128">
        <v>0</v>
      </c>
      <c r="I1128">
        <v>1</v>
      </c>
      <c r="J1128">
        <v>1</v>
      </c>
      <c r="K1128">
        <v>1</v>
      </c>
      <c r="L1128" s="22" t="str">
        <f t="shared" si="361"/>
        <v>25/07/2026</v>
      </c>
      <c r="M1128" s="23">
        <f t="shared" si="362"/>
        <v>0.375</v>
      </c>
      <c r="N1128" t="str">
        <f t="shared" si="363"/>
        <v>1 - 1</v>
      </c>
      <c r="O1128" t="str">
        <f t="shared" si="364"/>
        <v>Red</v>
      </c>
      <c r="P1128" t="str">
        <f t="shared" si="365"/>
        <v>Green</v>
      </c>
      <c r="Q1128" t="str">
        <f t="shared" si="366"/>
        <v>Red</v>
      </c>
      <c r="R1128" t="str">
        <f t="shared" si="367"/>
        <v>Green</v>
      </c>
      <c r="S1128" t="str">
        <f t="shared" si="368"/>
        <v>Green</v>
      </c>
      <c r="T1128" t="str">
        <f t="shared" si="369"/>
        <v>Red</v>
      </c>
      <c r="U1128" t="str">
        <f t="shared" si="370"/>
        <v>Red</v>
      </c>
      <c r="V1128" t="str">
        <f t="shared" si="371"/>
        <v>Red</v>
      </c>
      <c r="W1128" t="str">
        <f t="shared" si="372"/>
        <v>Green</v>
      </c>
      <c r="X1128" t="str">
        <f t="shared" si="373"/>
        <v>Green</v>
      </c>
      <c r="Y1128" t="str">
        <f t="shared" si="374"/>
        <v>Green</v>
      </c>
      <c r="Z1128" t="str">
        <f t="shared" si="375"/>
        <v>Red</v>
      </c>
      <c r="AA1128" t="str">
        <f t="shared" si="376"/>
        <v>Green</v>
      </c>
      <c r="AB1128" t="str">
        <f t="shared" si="377"/>
        <v>Green</v>
      </c>
      <c r="AC1128" t="str">
        <f t="shared" si="378"/>
        <v>Green</v>
      </c>
      <c r="AD1128" t="str">
        <f t="shared" si="379"/>
        <v>Red</v>
      </c>
    </row>
    <row r="1129" spans="1:30" x14ac:dyDescent="0.2">
      <c r="A1129" t="str">
        <f t="shared" si="360"/>
        <v>25/07/2026Brightlingsea RegentAveley</v>
      </c>
      <c r="D1129" s="2">
        <v>46228</v>
      </c>
      <c r="E1129" s="3">
        <v>0.5</v>
      </c>
      <c r="F1129" t="s">
        <v>3790</v>
      </c>
      <c r="G1129" t="s">
        <v>3791</v>
      </c>
      <c r="H1129">
        <v>0</v>
      </c>
      <c r="I1129">
        <v>1</v>
      </c>
      <c r="J1129">
        <v>1</v>
      </c>
      <c r="K1129">
        <v>5</v>
      </c>
      <c r="L1129" s="22" t="str">
        <f t="shared" si="361"/>
        <v>25/07/2026</v>
      </c>
      <c r="M1129" s="23">
        <f t="shared" si="362"/>
        <v>0.375</v>
      </c>
      <c r="N1129" t="str">
        <f t="shared" si="363"/>
        <v>1 - 5</v>
      </c>
      <c r="O1129" t="str">
        <f t="shared" si="364"/>
        <v>Red</v>
      </c>
      <c r="P1129" t="str">
        <f t="shared" si="365"/>
        <v>Red</v>
      </c>
      <c r="Q1129" t="str">
        <f t="shared" si="366"/>
        <v>Green</v>
      </c>
      <c r="R1129" t="str">
        <f t="shared" si="367"/>
        <v>Red</v>
      </c>
      <c r="S1129" t="str">
        <f t="shared" si="368"/>
        <v>Green</v>
      </c>
      <c r="T1129" t="str">
        <f t="shared" si="369"/>
        <v>Green</v>
      </c>
      <c r="U1129" t="str">
        <f t="shared" si="370"/>
        <v>Red</v>
      </c>
      <c r="V1129" t="str">
        <f t="shared" si="371"/>
        <v>Red</v>
      </c>
      <c r="W1129" t="str">
        <f t="shared" si="372"/>
        <v>Green</v>
      </c>
      <c r="X1129" t="str">
        <f t="shared" si="373"/>
        <v>Green</v>
      </c>
      <c r="Y1129" t="str">
        <f t="shared" si="374"/>
        <v>Green</v>
      </c>
      <c r="Z1129" t="str">
        <f t="shared" si="375"/>
        <v>Green</v>
      </c>
      <c r="AA1129" t="str">
        <f t="shared" si="376"/>
        <v>Red</v>
      </c>
      <c r="AB1129" t="str">
        <f t="shared" si="377"/>
        <v>Red</v>
      </c>
      <c r="AC1129" t="str">
        <f t="shared" si="378"/>
        <v>Green</v>
      </c>
      <c r="AD1129" t="str">
        <f t="shared" si="379"/>
        <v>Red</v>
      </c>
    </row>
    <row r="1130" spans="1:30" x14ac:dyDescent="0.2">
      <c r="A1130" t="str">
        <f t="shared" si="360"/>
        <v>25/07/2026Coleshill TownRC Warwick</v>
      </c>
      <c r="D1130" s="2">
        <v>46228</v>
      </c>
      <c r="E1130" s="3">
        <v>0.5</v>
      </c>
      <c r="F1130" t="s">
        <v>3792</v>
      </c>
      <c r="G1130" t="s">
        <v>3793</v>
      </c>
      <c r="H1130">
        <v>0</v>
      </c>
      <c r="I1130">
        <v>0</v>
      </c>
      <c r="J1130">
        <v>2</v>
      </c>
      <c r="K1130">
        <v>2</v>
      </c>
      <c r="L1130" s="22" t="str">
        <f t="shared" si="361"/>
        <v>25/07/2026</v>
      </c>
      <c r="M1130" s="23">
        <f t="shared" si="362"/>
        <v>0.375</v>
      </c>
      <c r="N1130" t="str">
        <f t="shared" si="363"/>
        <v>2 - 2</v>
      </c>
      <c r="O1130" t="str">
        <f t="shared" si="364"/>
        <v>Red</v>
      </c>
      <c r="P1130" t="str">
        <f t="shared" si="365"/>
        <v>Green</v>
      </c>
      <c r="Q1130" t="str">
        <f t="shared" si="366"/>
        <v>Red</v>
      </c>
      <c r="R1130" t="str">
        <f t="shared" si="367"/>
        <v>Green</v>
      </c>
      <c r="S1130" t="str">
        <f t="shared" si="368"/>
        <v>Green</v>
      </c>
      <c r="T1130" t="str">
        <f t="shared" si="369"/>
        <v>Red</v>
      </c>
      <c r="U1130" t="str">
        <f t="shared" si="370"/>
        <v>Red</v>
      </c>
      <c r="V1130" t="str">
        <f t="shared" si="371"/>
        <v>Green</v>
      </c>
      <c r="W1130" t="str">
        <f t="shared" si="372"/>
        <v>Red</v>
      </c>
      <c r="X1130" t="str">
        <f t="shared" si="373"/>
        <v>Red</v>
      </c>
      <c r="Y1130" t="str">
        <f t="shared" si="374"/>
        <v>Green</v>
      </c>
      <c r="Z1130" t="str">
        <f t="shared" si="375"/>
        <v>Green</v>
      </c>
      <c r="AA1130" t="str">
        <f t="shared" si="376"/>
        <v>Red</v>
      </c>
      <c r="AB1130" t="str">
        <f t="shared" si="377"/>
        <v>Red</v>
      </c>
      <c r="AC1130" t="str">
        <f t="shared" si="378"/>
        <v>Green</v>
      </c>
      <c r="AD1130" t="str">
        <f t="shared" si="379"/>
        <v>Red</v>
      </c>
    </row>
    <row r="1131" spans="1:30" x14ac:dyDescent="0.2">
      <c r="A1131" t="str">
        <f t="shared" si="360"/>
        <v>25/07/2026FamalicaoCD Tondela</v>
      </c>
      <c r="D1131" s="2">
        <v>46228</v>
      </c>
      <c r="E1131" s="3">
        <v>0.5</v>
      </c>
      <c r="F1131" t="s">
        <v>1606</v>
      </c>
      <c r="G1131" t="s">
        <v>3794</v>
      </c>
      <c r="H1131">
        <v>0</v>
      </c>
      <c r="I1131">
        <v>0</v>
      </c>
      <c r="J1131">
        <v>1</v>
      </c>
      <c r="K1131">
        <v>0</v>
      </c>
      <c r="L1131" s="22" t="str">
        <f t="shared" si="361"/>
        <v>25/07/2026</v>
      </c>
      <c r="M1131" s="23">
        <f t="shared" si="362"/>
        <v>0.375</v>
      </c>
      <c r="N1131" t="str">
        <f t="shared" si="363"/>
        <v>1 - 0</v>
      </c>
      <c r="O1131" t="str">
        <f t="shared" si="364"/>
        <v>Green</v>
      </c>
      <c r="P1131" t="str">
        <f t="shared" si="365"/>
        <v>Red</v>
      </c>
      <c r="Q1131" t="str">
        <f t="shared" si="366"/>
        <v>Red</v>
      </c>
      <c r="R1131" t="str">
        <f t="shared" si="367"/>
        <v>Green</v>
      </c>
      <c r="S1131" t="str">
        <f t="shared" si="368"/>
        <v>Red</v>
      </c>
      <c r="T1131" t="str">
        <f t="shared" si="369"/>
        <v>Green</v>
      </c>
      <c r="U1131" t="str">
        <f t="shared" si="370"/>
        <v>Red</v>
      </c>
      <c r="V1131" t="str">
        <f t="shared" si="371"/>
        <v>Green</v>
      </c>
      <c r="W1131" t="str">
        <f t="shared" si="372"/>
        <v>Red</v>
      </c>
      <c r="X1131" t="str">
        <f t="shared" si="373"/>
        <v>Red</v>
      </c>
      <c r="Y1131" t="str">
        <f t="shared" si="374"/>
        <v>Red</v>
      </c>
      <c r="Z1131" t="str">
        <f t="shared" si="375"/>
        <v>Red</v>
      </c>
      <c r="AA1131" t="str">
        <f t="shared" si="376"/>
        <v>Green</v>
      </c>
      <c r="AB1131" t="str">
        <f t="shared" si="377"/>
        <v>Green</v>
      </c>
      <c r="AC1131" t="str">
        <f t="shared" si="378"/>
        <v>Red</v>
      </c>
      <c r="AD1131" t="str">
        <f t="shared" si="379"/>
        <v>Green</v>
      </c>
    </row>
    <row r="1132" spans="1:30" x14ac:dyDescent="0.2">
      <c r="A1132" t="str">
        <f t="shared" si="360"/>
        <v>25/07/2026Hanwell TownAldershot Town</v>
      </c>
      <c r="D1132" s="2">
        <v>46228</v>
      </c>
      <c r="E1132" s="3">
        <v>0.5</v>
      </c>
      <c r="F1132" t="s">
        <v>3795</v>
      </c>
      <c r="G1132" t="s">
        <v>1469</v>
      </c>
      <c r="H1132">
        <v>0</v>
      </c>
      <c r="I1132">
        <v>1</v>
      </c>
      <c r="J1132">
        <v>0</v>
      </c>
      <c r="K1132">
        <v>2</v>
      </c>
      <c r="L1132" s="22" t="str">
        <f t="shared" si="361"/>
        <v>25/07/2026</v>
      </c>
      <c r="M1132" s="23">
        <f t="shared" si="362"/>
        <v>0.375</v>
      </c>
      <c r="N1132" t="str">
        <f t="shared" si="363"/>
        <v>0 - 2</v>
      </c>
      <c r="O1132" t="str">
        <f t="shared" si="364"/>
        <v>Red</v>
      </c>
      <c r="P1132" t="str">
        <f t="shared" si="365"/>
        <v>Red</v>
      </c>
      <c r="Q1132" t="str">
        <f t="shared" si="366"/>
        <v>Green</v>
      </c>
      <c r="R1132" t="str">
        <f t="shared" si="367"/>
        <v>Red</v>
      </c>
      <c r="S1132" t="str">
        <f t="shared" si="368"/>
        <v>Green</v>
      </c>
      <c r="T1132" t="str">
        <f t="shared" si="369"/>
        <v>Green</v>
      </c>
      <c r="U1132" t="str">
        <f t="shared" si="370"/>
        <v>Red</v>
      </c>
      <c r="V1132" t="str">
        <f t="shared" si="371"/>
        <v>Red</v>
      </c>
      <c r="W1132" t="str">
        <f t="shared" si="372"/>
        <v>Green</v>
      </c>
      <c r="X1132" t="str">
        <f t="shared" si="373"/>
        <v>Green</v>
      </c>
      <c r="Y1132" t="str">
        <f t="shared" si="374"/>
        <v>Green</v>
      </c>
      <c r="Z1132" t="str">
        <f t="shared" si="375"/>
        <v>Red</v>
      </c>
      <c r="AA1132" t="str">
        <f t="shared" si="376"/>
        <v>Green</v>
      </c>
      <c r="AB1132" t="str">
        <f t="shared" si="377"/>
        <v>Green</v>
      </c>
      <c r="AC1132" t="str">
        <f t="shared" si="378"/>
        <v>Red</v>
      </c>
      <c r="AD1132" t="str">
        <f t="shared" si="379"/>
        <v>Green</v>
      </c>
    </row>
    <row r="1133" spans="1:30" x14ac:dyDescent="0.2">
      <c r="A1133" t="str">
        <f t="shared" si="360"/>
        <v>25/07/2026MetzFortuna Sittard</v>
      </c>
      <c r="D1133" s="2">
        <v>46228</v>
      </c>
      <c r="E1133" s="3">
        <v>0.5</v>
      </c>
      <c r="F1133" t="s">
        <v>1654</v>
      </c>
      <c r="G1133" t="s">
        <v>3796</v>
      </c>
      <c r="H1133">
        <v>1</v>
      </c>
      <c r="I1133">
        <v>1</v>
      </c>
      <c r="J1133">
        <v>3</v>
      </c>
      <c r="K1133">
        <v>1</v>
      </c>
      <c r="L1133" s="22" t="str">
        <f t="shared" si="361"/>
        <v>25/07/2026</v>
      </c>
      <c r="M1133" s="23">
        <f t="shared" si="362"/>
        <v>0.375</v>
      </c>
      <c r="N1133" t="str">
        <f t="shared" si="363"/>
        <v>3 - 1</v>
      </c>
      <c r="O1133" t="str">
        <f t="shared" si="364"/>
        <v>Green</v>
      </c>
      <c r="P1133" t="str">
        <f t="shared" si="365"/>
        <v>Red</v>
      </c>
      <c r="Q1133" t="str">
        <f t="shared" si="366"/>
        <v>Red</v>
      </c>
      <c r="R1133" t="str">
        <f t="shared" si="367"/>
        <v>Green</v>
      </c>
      <c r="S1133" t="str">
        <f t="shared" si="368"/>
        <v>Red</v>
      </c>
      <c r="T1133" t="str">
        <f t="shared" si="369"/>
        <v>Green</v>
      </c>
      <c r="U1133" t="str">
        <f t="shared" si="370"/>
        <v>Red</v>
      </c>
      <c r="V1133" t="str">
        <f t="shared" si="371"/>
        <v>Green</v>
      </c>
      <c r="W1133" t="str">
        <f t="shared" si="372"/>
        <v>Red</v>
      </c>
      <c r="X1133" t="str">
        <f t="shared" si="373"/>
        <v>Green</v>
      </c>
      <c r="Y1133" t="str">
        <f t="shared" si="374"/>
        <v>Green</v>
      </c>
      <c r="Z1133" t="str">
        <f t="shared" si="375"/>
        <v>Green</v>
      </c>
      <c r="AA1133" t="str">
        <f t="shared" si="376"/>
        <v>Red</v>
      </c>
      <c r="AB1133" t="str">
        <f t="shared" si="377"/>
        <v>Red</v>
      </c>
      <c r="AC1133" t="str">
        <f t="shared" si="378"/>
        <v>Green</v>
      </c>
      <c r="AD1133" t="str">
        <f t="shared" si="379"/>
        <v>Red</v>
      </c>
    </row>
    <row r="1134" spans="1:30" x14ac:dyDescent="0.2">
      <c r="A1134" t="str">
        <f t="shared" si="360"/>
        <v>25/07/2026NEC NijmegenSV Elversberg</v>
      </c>
      <c r="D1134" s="2">
        <v>46228</v>
      </c>
      <c r="E1134" s="3">
        <v>0.5</v>
      </c>
      <c r="F1134" t="s">
        <v>3797</v>
      </c>
      <c r="G1134" t="s">
        <v>3798</v>
      </c>
      <c r="H1134">
        <v>0</v>
      </c>
      <c r="I1134">
        <v>0</v>
      </c>
      <c r="J1134">
        <v>0</v>
      </c>
      <c r="K1134">
        <v>1</v>
      </c>
      <c r="L1134" s="22" t="str">
        <f t="shared" si="361"/>
        <v>25/07/2026</v>
      </c>
      <c r="M1134" s="23">
        <f t="shared" si="362"/>
        <v>0.375</v>
      </c>
      <c r="N1134" t="str">
        <f t="shared" si="363"/>
        <v>0 - 1</v>
      </c>
      <c r="O1134" t="str">
        <f t="shared" si="364"/>
        <v>Red</v>
      </c>
      <c r="P1134" t="str">
        <f t="shared" si="365"/>
        <v>Red</v>
      </c>
      <c r="Q1134" t="str">
        <f t="shared" si="366"/>
        <v>Green</v>
      </c>
      <c r="R1134" t="str">
        <f t="shared" si="367"/>
        <v>Red</v>
      </c>
      <c r="S1134" t="str">
        <f t="shared" si="368"/>
        <v>Green</v>
      </c>
      <c r="T1134" t="str">
        <f t="shared" si="369"/>
        <v>Green</v>
      </c>
      <c r="U1134" t="str">
        <f t="shared" si="370"/>
        <v>Red</v>
      </c>
      <c r="V1134" t="str">
        <f t="shared" si="371"/>
        <v>Green</v>
      </c>
      <c r="W1134" t="str">
        <f t="shared" si="372"/>
        <v>Red</v>
      </c>
      <c r="X1134" t="str">
        <f t="shared" si="373"/>
        <v>Red</v>
      </c>
      <c r="Y1134" t="str">
        <f t="shared" si="374"/>
        <v>Red</v>
      </c>
      <c r="Z1134" t="str">
        <f t="shared" si="375"/>
        <v>Red</v>
      </c>
      <c r="AA1134" t="str">
        <f t="shared" si="376"/>
        <v>Green</v>
      </c>
      <c r="AB1134" t="str">
        <f t="shared" si="377"/>
        <v>Green</v>
      </c>
      <c r="AC1134" t="str">
        <f t="shared" si="378"/>
        <v>Red</v>
      </c>
      <c r="AD1134" t="str">
        <f t="shared" si="379"/>
        <v>Green</v>
      </c>
    </row>
    <row r="1135" spans="1:30" x14ac:dyDescent="0.2">
      <c r="A1135" t="str">
        <f t="shared" ref="A1135:A1198" si="380">L1134&amp;F1135&amp;G1135</f>
        <v>25/07/2026QuornHarborough Town</v>
      </c>
      <c r="D1135" s="2">
        <v>46228</v>
      </c>
      <c r="E1135" s="3">
        <v>0.5</v>
      </c>
      <c r="F1135" t="s">
        <v>3799</v>
      </c>
      <c r="G1135" t="s">
        <v>3800</v>
      </c>
      <c r="H1135">
        <v>1</v>
      </c>
      <c r="I1135">
        <v>0</v>
      </c>
      <c r="J1135">
        <v>2</v>
      </c>
      <c r="K1135">
        <v>2</v>
      </c>
      <c r="L1135" s="22" t="str">
        <f t="shared" ref="L1135:L1198" si="381">DAY(D1135)&amp;"/"&amp;"07"&amp;"/"&amp;YEAR(D1135)</f>
        <v>25/07/2026</v>
      </c>
      <c r="M1135" s="23">
        <f t="shared" ref="M1135:M1198" si="382">E1135-TIME(3,0,0)</f>
        <v>0.375</v>
      </c>
      <c r="N1135" t="str">
        <f t="shared" ref="N1135:N1198" si="383">J1135&amp;" - "&amp;K1135</f>
        <v>2 - 2</v>
      </c>
      <c r="O1135" t="str">
        <f t="shared" si="364"/>
        <v>Red</v>
      </c>
      <c r="P1135" t="str">
        <f t="shared" si="365"/>
        <v>Green</v>
      </c>
      <c r="Q1135" t="str">
        <f t="shared" si="366"/>
        <v>Red</v>
      </c>
      <c r="R1135" t="str">
        <f t="shared" si="367"/>
        <v>Green</v>
      </c>
      <c r="S1135" t="str">
        <f t="shared" si="368"/>
        <v>Green</v>
      </c>
      <c r="T1135" t="str">
        <f t="shared" si="369"/>
        <v>Red</v>
      </c>
      <c r="U1135" t="str">
        <f t="shared" si="370"/>
        <v>Green</v>
      </c>
      <c r="V1135" t="str">
        <f t="shared" si="371"/>
        <v>Red</v>
      </c>
      <c r="W1135" t="str">
        <f t="shared" si="372"/>
        <v>Red</v>
      </c>
      <c r="X1135" t="str">
        <f t="shared" si="373"/>
        <v>Green</v>
      </c>
      <c r="Y1135" t="str">
        <f t="shared" si="374"/>
        <v>Green</v>
      </c>
      <c r="Z1135" t="str">
        <f t="shared" si="375"/>
        <v>Green</v>
      </c>
      <c r="AA1135" t="str">
        <f t="shared" si="376"/>
        <v>Red</v>
      </c>
      <c r="AB1135" t="str">
        <f t="shared" si="377"/>
        <v>Red</v>
      </c>
      <c r="AC1135" t="str">
        <f t="shared" si="378"/>
        <v>Green</v>
      </c>
      <c r="AD1135" t="str">
        <f t="shared" si="379"/>
        <v>Red</v>
      </c>
    </row>
    <row r="1136" spans="1:30" x14ac:dyDescent="0.2">
      <c r="A1136" t="str">
        <f t="shared" si="380"/>
        <v>25/07/2026RAAL La LouviereSamsunspor</v>
      </c>
      <c r="D1136" s="2">
        <v>46228</v>
      </c>
      <c r="E1136" s="3">
        <v>0.5</v>
      </c>
      <c r="F1136" t="s">
        <v>1717</v>
      </c>
      <c r="G1136" t="s">
        <v>1605</v>
      </c>
      <c r="H1136">
        <v>0</v>
      </c>
      <c r="I1136">
        <v>0</v>
      </c>
      <c r="J1136">
        <v>0</v>
      </c>
      <c r="K1136">
        <v>0</v>
      </c>
      <c r="L1136" s="22" t="str">
        <f t="shared" si="381"/>
        <v>25/07/2026</v>
      </c>
      <c r="M1136" s="23">
        <f t="shared" si="382"/>
        <v>0.375</v>
      </c>
      <c r="N1136" t="str">
        <f t="shared" si="383"/>
        <v>0 - 0</v>
      </c>
      <c r="O1136" t="str">
        <f t="shared" si="364"/>
        <v>Red</v>
      </c>
      <c r="P1136" t="str">
        <f t="shared" si="365"/>
        <v>Green</v>
      </c>
      <c r="Q1136" t="str">
        <f t="shared" si="366"/>
        <v>Red</v>
      </c>
      <c r="R1136" t="str">
        <f t="shared" si="367"/>
        <v>Green</v>
      </c>
      <c r="S1136" t="str">
        <f t="shared" si="368"/>
        <v>Green</v>
      </c>
      <c r="T1136" t="str">
        <f t="shared" si="369"/>
        <v>Red</v>
      </c>
      <c r="U1136" t="str">
        <f t="shared" si="370"/>
        <v>Red</v>
      </c>
      <c r="V1136" t="str">
        <f t="shared" si="371"/>
        <v>Green</v>
      </c>
      <c r="W1136" t="str">
        <f t="shared" si="372"/>
        <v>Red</v>
      </c>
      <c r="X1136" t="str">
        <f t="shared" si="373"/>
        <v>Red</v>
      </c>
      <c r="Y1136" t="str">
        <f t="shared" si="374"/>
        <v>Red</v>
      </c>
      <c r="Z1136" t="str">
        <f t="shared" si="375"/>
        <v>Red</v>
      </c>
      <c r="AA1136" t="str">
        <f t="shared" si="376"/>
        <v>Green</v>
      </c>
      <c r="AB1136" t="str">
        <f t="shared" si="377"/>
        <v>Green</v>
      </c>
      <c r="AC1136" t="str">
        <f t="shared" si="378"/>
        <v>Red</v>
      </c>
      <c r="AD1136" t="str">
        <f t="shared" si="379"/>
        <v>Green</v>
      </c>
    </row>
    <row r="1137" spans="1:30" x14ac:dyDescent="0.2">
      <c r="A1137" t="str">
        <f t="shared" si="380"/>
        <v>25/07/2026ReimsCercle Brugge</v>
      </c>
      <c r="D1137" s="2">
        <v>46228</v>
      </c>
      <c r="E1137" s="3">
        <v>0.5</v>
      </c>
      <c r="F1137" t="s">
        <v>1621</v>
      </c>
      <c r="G1137" t="s">
        <v>3801</v>
      </c>
      <c r="H1137">
        <v>2</v>
      </c>
      <c r="I1137">
        <v>0</v>
      </c>
      <c r="J1137">
        <v>3</v>
      </c>
      <c r="K1137">
        <v>0</v>
      </c>
      <c r="L1137" s="22" t="str">
        <f t="shared" si="381"/>
        <v>25/07/2026</v>
      </c>
      <c r="M1137" s="23">
        <f t="shared" si="382"/>
        <v>0.375</v>
      </c>
      <c r="N1137" t="str">
        <f t="shared" si="383"/>
        <v>3 - 0</v>
      </c>
      <c r="O1137" t="str">
        <f t="shared" si="364"/>
        <v>Green</v>
      </c>
      <c r="P1137" t="str">
        <f t="shared" si="365"/>
        <v>Red</v>
      </c>
      <c r="Q1137" t="str">
        <f t="shared" si="366"/>
        <v>Red</v>
      </c>
      <c r="R1137" t="str">
        <f t="shared" si="367"/>
        <v>Green</v>
      </c>
      <c r="S1137" t="str">
        <f t="shared" si="368"/>
        <v>Red</v>
      </c>
      <c r="T1137" t="str">
        <f t="shared" si="369"/>
        <v>Green</v>
      </c>
      <c r="U1137" t="str">
        <f t="shared" si="370"/>
        <v>Green</v>
      </c>
      <c r="V1137" t="str">
        <f t="shared" si="371"/>
        <v>Red</v>
      </c>
      <c r="W1137" t="str">
        <f t="shared" si="372"/>
        <v>Red</v>
      </c>
      <c r="X1137" t="str">
        <f t="shared" si="373"/>
        <v>Green</v>
      </c>
      <c r="Y1137" t="str">
        <f t="shared" si="374"/>
        <v>Green</v>
      </c>
      <c r="Z1137" t="str">
        <f t="shared" si="375"/>
        <v>Green</v>
      </c>
      <c r="AA1137" t="str">
        <f t="shared" si="376"/>
        <v>Red</v>
      </c>
      <c r="AB1137" t="str">
        <f t="shared" si="377"/>
        <v>Green</v>
      </c>
      <c r="AC1137" t="str">
        <f t="shared" si="378"/>
        <v>Red</v>
      </c>
      <c r="AD1137" t="str">
        <f t="shared" si="379"/>
        <v>Green</v>
      </c>
    </row>
    <row r="1138" spans="1:30" x14ac:dyDescent="0.2">
      <c r="A1138" t="str">
        <f t="shared" si="380"/>
        <v>25/07/2026Rot Weiss EssenBorussia Monchengladbach</v>
      </c>
      <c r="D1138" s="2">
        <v>46228</v>
      </c>
      <c r="E1138" s="3">
        <v>0.5</v>
      </c>
      <c r="F1138" t="s">
        <v>3802</v>
      </c>
      <c r="G1138" t="s">
        <v>3803</v>
      </c>
      <c r="H1138">
        <v>0</v>
      </c>
      <c r="I1138">
        <v>1</v>
      </c>
      <c r="J1138">
        <v>1</v>
      </c>
      <c r="K1138">
        <v>2</v>
      </c>
      <c r="L1138" s="22" t="str">
        <f t="shared" si="381"/>
        <v>25/07/2026</v>
      </c>
      <c r="M1138" s="23">
        <f t="shared" si="382"/>
        <v>0.375</v>
      </c>
      <c r="N1138" t="str">
        <f t="shared" si="383"/>
        <v>1 - 2</v>
      </c>
      <c r="O1138" t="str">
        <f t="shared" si="364"/>
        <v>Red</v>
      </c>
      <c r="P1138" t="str">
        <f t="shared" si="365"/>
        <v>Red</v>
      </c>
      <c r="Q1138" t="str">
        <f t="shared" si="366"/>
        <v>Green</v>
      </c>
      <c r="R1138" t="str">
        <f t="shared" si="367"/>
        <v>Red</v>
      </c>
      <c r="S1138" t="str">
        <f t="shared" si="368"/>
        <v>Green</v>
      </c>
      <c r="T1138" t="str">
        <f t="shared" si="369"/>
        <v>Green</v>
      </c>
      <c r="U1138" t="str">
        <f t="shared" si="370"/>
        <v>Red</v>
      </c>
      <c r="V1138" t="str">
        <f t="shared" si="371"/>
        <v>Red</v>
      </c>
      <c r="W1138" t="str">
        <f t="shared" si="372"/>
        <v>Green</v>
      </c>
      <c r="X1138" t="str">
        <f t="shared" si="373"/>
        <v>Green</v>
      </c>
      <c r="Y1138" t="str">
        <f t="shared" si="374"/>
        <v>Green</v>
      </c>
      <c r="Z1138" t="str">
        <f t="shared" si="375"/>
        <v>Green</v>
      </c>
      <c r="AA1138" t="str">
        <f t="shared" si="376"/>
        <v>Red</v>
      </c>
      <c r="AB1138" t="str">
        <f t="shared" si="377"/>
        <v>Green</v>
      </c>
      <c r="AC1138" t="str">
        <f t="shared" si="378"/>
        <v>Green</v>
      </c>
      <c r="AD1138" t="str">
        <f t="shared" si="379"/>
        <v>Red</v>
      </c>
    </row>
    <row r="1139" spans="1:30" x14ac:dyDescent="0.2">
      <c r="A1139" t="str">
        <f t="shared" si="380"/>
        <v>25/07/2026SC Paderborn 07Magdeburg</v>
      </c>
      <c r="D1139" s="2">
        <v>46228</v>
      </c>
      <c r="E1139" s="3">
        <v>0.5</v>
      </c>
      <c r="F1139" t="s">
        <v>3804</v>
      </c>
      <c r="G1139" t="s">
        <v>3805</v>
      </c>
      <c r="H1139">
        <v>0</v>
      </c>
      <c r="I1139">
        <v>1</v>
      </c>
      <c r="J1139">
        <v>0</v>
      </c>
      <c r="K1139">
        <v>2</v>
      </c>
      <c r="L1139" s="22" t="str">
        <f t="shared" si="381"/>
        <v>25/07/2026</v>
      </c>
      <c r="M1139" s="23">
        <f t="shared" si="382"/>
        <v>0.375</v>
      </c>
      <c r="N1139" t="str">
        <f t="shared" si="383"/>
        <v>0 - 2</v>
      </c>
      <c r="O1139" t="str">
        <f t="shared" si="364"/>
        <v>Red</v>
      </c>
      <c r="P1139" t="str">
        <f t="shared" si="365"/>
        <v>Red</v>
      </c>
      <c r="Q1139" t="str">
        <f t="shared" si="366"/>
        <v>Green</v>
      </c>
      <c r="R1139" t="str">
        <f t="shared" si="367"/>
        <v>Red</v>
      </c>
      <c r="S1139" t="str">
        <f t="shared" si="368"/>
        <v>Green</v>
      </c>
      <c r="T1139" t="str">
        <f t="shared" si="369"/>
        <v>Green</v>
      </c>
      <c r="U1139" t="str">
        <f t="shared" si="370"/>
        <v>Red</v>
      </c>
      <c r="V1139" t="str">
        <f t="shared" si="371"/>
        <v>Red</v>
      </c>
      <c r="W1139" t="str">
        <f t="shared" si="372"/>
        <v>Green</v>
      </c>
      <c r="X1139" t="str">
        <f t="shared" si="373"/>
        <v>Green</v>
      </c>
      <c r="Y1139" t="str">
        <f t="shared" si="374"/>
        <v>Green</v>
      </c>
      <c r="Z1139" t="str">
        <f t="shared" si="375"/>
        <v>Red</v>
      </c>
      <c r="AA1139" t="str">
        <f t="shared" si="376"/>
        <v>Green</v>
      </c>
      <c r="AB1139" t="str">
        <f t="shared" si="377"/>
        <v>Green</v>
      </c>
      <c r="AC1139" t="str">
        <f t="shared" si="378"/>
        <v>Red</v>
      </c>
      <c r="AD1139" t="str">
        <f t="shared" si="379"/>
        <v>Green</v>
      </c>
    </row>
    <row r="1140" spans="1:30" x14ac:dyDescent="0.2">
      <c r="A1140" t="str">
        <f t="shared" si="380"/>
        <v>25/07/2026Scarborough AthleticBarnsley</v>
      </c>
      <c r="D1140" s="2">
        <v>46228</v>
      </c>
      <c r="E1140" s="3">
        <v>0.5</v>
      </c>
      <c r="F1140" t="s">
        <v>3806</v>
      </c>
      <c r="G1140" t="s">
        <v>3807</v>
      </c>
      <c r="H1140">
        <v>0</v>
      </c>
      <c r="I1140">
        <v>1</v>
      </c>
      <c r="J1140">
        <v>0</v>
      </c>
      <c r="K1140">
        <v>2</v>
      </c>
      <c r="L1140" s="22" t="str">
        <f t="shared" si="381"/>
        <v>25/07/2026</v>
      </c>
      <c r="M1140" s="23">
        <f t="shared" si="382"/>
        <v>0.375</v>
      </c>
      <c r="N1140" t="str">
        <f t="shared" si="383"/>
        <v>0 - 2</v>
      </c>
      <c r="O1140" t="str">
        <f t="shared" si="364"/>
        <v>Red</v>
      </c>
      <c r="P1140" t="str">
        <f t="shared" si="365"/>
        <v>Red</v>
      </c>
      <c r="Q1140" t="str">
        <f t="shared" si="366"/>
        <v>Green</v>
      </c>
      <c r="R1140" t="str">
        <f t="shared" si="367"/>
        <v>Red</v>
      </c>
      <c r="S1140" t="str">
        <f t="shared" si="368"/>
        <v>Green</v>
      </c>
      <c r="T1140" t="str">
        <f t="shared" si="369"/>
        <v>Green</v>
      </c>
      <c r="U1140" t="str">
        <f t="shared" si="370"/>
        <v>Red</v>
      </c>
      <c r="V1140" t="str">
        <f t="shared" si="371"/>
        <v>Red</v>
      </c>
      <c r="W1140" t="str">
        <f t="shared" si="372"/>
        <v>Green</v>
      </c>
      <c r="X1140" t="str">
        <f t="shared" si="373"/>
        <v>Green</v>
      </c>
      <c r="Y1140" t="str">
        <f t="shared" si="374"/>
        <v>Green</v>
      </c>
      <c r="Z1140" t="str">
        <f t="shared" si="375"/>
        <v>Red</v>
      </c>
      <c r="AA1140" t="str">
        <f t="shared" si="376"/>
        <v>Green</v>
      </c>
      <c r="AB1140" t="str">
        <f t="shared" si="377"/>
        <v>Green</v>
      </c>
      <c r="AC1140" t="str">
        <f t="shared" si="378"/>
        <v>Red</v>
      </c>
      <c r="AD1140" t="str">
        <f t="shared" si="379"/>
        <v>Green</v>
      </c>
    </row>
    <row r="1141" spans="1:30" x14ac:dyDescent="0.2">
      <c r="A1141" t="str">
        <f t="shared" si="380"/>
        <v>25/07/2026Sonnenhof GrossaspachSV Darmstadt 98</v>
      </c>
      <c r="D1141" s="2">
        <v>46228</v>
      </c>
      <c r="E1141" s="3">
        <v>0.5</v>
      </c>
      <c r="F1141" t="s">
        <v>1452</v>
      </c>
      <c r="G1141" t="s">
        <v>3808</v>
      </c>
      <c r="H1141">
        <v>1</v>
      </c>
      <c r="I1141">
        <v>4</v>
      </c>
      <c r="J1141">
        <v>2</v>
      </c>
      <c r="K1141">
        <v>7</v>
      </c>
      <c r="L1141" s="22" t="str">
        <f t="shared" si="381"/>
        <v>25/07/2026</v>
      </c>
      <c r="M1141" s="23">
        <f t="shared" si="382"/>
        <v>0.375</v>
      </c>
      <c r="N1141" t="str">
        <f t="shared" si="383"/>
        <v>2 - 7</v>
      </c>
      <c r="O1141" t="str">
        <f t="shared" si="364"/>
        <v>Red</v>
      </c>
      <c r="P1141" t="str">
        <f t="shared" si="365"/>
        <v>Red</v>
      </c>
      <c r="Q1141" t="str">
        <f t="shared" si="366"/>
        <v>Green</v>
      </c>
      <c r="R1141" t="str">
        <f t="shared" si="367"/>
        <v>Red</v>
      </c>
      <c r="S1141" t="str">
        <f t="shared" si="368"/>
        <v>Green</v>
      </c>
      <c r="T1141" t="str">
        <f t="shared" si="369"/>
        <v>Green</v>
      </c>
      <c r="U1141" t="str">
        <f t="shared" si="370"/>
        <v>Red</v>
      </c>
      <c r="V1141" t="str">
        <f t="shared" si="371"/>
        <v>Red</v>
      </c>
      <c r="W1141" t="str">
        <f t="shared" si="372"/>
        <v>Green</v>
      </c>
      <c r="X1141" t="str">
        <f t="shared" si="373"/>
        <v>Green</v>
      </c>
      <c r="Y1141" t="str">
        <f t="shared" si="374"/>
        <v>Green</v>
      </c>
      <c r="Z1141" t="str">
        <f t="shared" si="375"/>
        <v>Green</v>
      </c>
      <c r="AA1141" t="str">
        <f t="shared" si="376"/>
        <v>Red</v>
      </c>
      <c r="AB1141" t="str">
        <f t="shared" si="377"/>
        <v>Red</v>
      </c>
      <c r="AC1141" t="str">
        <f t="shared" si="378"/>
        <v>Green</v>
      </c>
      <c r="AD1141" t="str">
        <f t="shared" si="379"/>
        <v>Red</v>
      </c>
    </row>
    <row r="1142" spans="1:30" x14ac:dyDescent="0.2">
      <c r="A1142" t="str">
        <f t="shared" si="380"/>
        <v>25/07/2026Stuttgarter KickersJahn Regensburg</v>
      </c>
      <c r="D1142" s="2">
        <v>46228</v>
      </c>
      <c r="E1142" s="3">
        <v>0.5</v>
      </c>
      <c r="F1142" t="s">
        <v>3809</v>
      </c>
      <c r="G1142" t="s">
        <v>3810</v>
      </c>
      <c r="H1142">
        <v>1</v>
      </c>
      <c r="I1142">
        <v>1</v>
      </c>
      <c r="J1142">
        <v>1</v>
      </c>
      <c r="K1142">
        <v>2</v>
      </c>
      <c r="L1142" s="22" t="str">
        <f t="shared" si="381"/>
        <v>25/07/2026</v>
      </c>
      <c r="M1142" s="23">
        <f t="shared" si="382"/>
        <v>0.375</v>
      </c>
      <c r="N1142" t="str">
        <f t="shared" si="383"/>
        <v>1 - 2</v>
      </c>
      <c r="O1142" t="str">
        <f t="shared" si="364"/>
        <v>Red</v>
      </c>
      <c r="P1142" t="str">
        <f t="shared" si="365"/>
        <v>Red</v>
      </c>
      <c r="Q1142" t="str">
        <f t="shared" si="366"/>
        <v>Green</v>
      </c>
      <c r="R1142" t="str">
        <f t="shared" si="367"/>
        <v>Red</v>
      </c>
      <c r="S1142" t="str">
        <f t="shared" si="368"/>
        <v>Green</v>
      </c>
      <c r="T1142" t="str">
        <f t="shared" si="369"/>
        <v>Green</v>
      </c>
      <c r="U1142" t="str">
        <f t="shared" si="370"/>
        <v>Red</v>
      </c>
      <c r="V1142" t="str">
        <f t="shared" si="371"/>
        <v>Green</v>
      </c>
      <c r="W1142" t="str">
        <f t="shared" si="372"/>
        <v>Red</v>
      </c>
      <c r="X1142" t="str">
        <f t="shared" si="373"/>
        <v>Green</v>
      </c>
      <c r="Y1142" t="str">
        <f t="shared" si="374"/>
        <v>Green</v>
      </c>
      <c r="Z1142" t="str">
        <f t="shared" si="375"/>
        <v>Green</v>
      </c>
      <c r="AA1142" t="str">
        <f t="shared" si="376"/>
        <v>Red</v>
      </c>
      <c r="AB1142" t="str">
        <f t="shared" si="377"/>
        <v>Green</v>
      </c>
      <c r="AC1142" t="str">
        <f t="shared" si="378"/>
        <v>Green</v>
      </c>
      <c r="AD1142" t="str">
        <f t="shared" si="379"/>
        <v>Red</v>
      </c>
    </row>
    <row r="1143" spans="1:30" x14ac:dyDescent="0.2">
      <c r="A1143" t="str">
        <f t="shared" si="380"/>
        <v>25/07/2026Swindon TownBristol City</v>
      </c>
      <c r="D1143" s="2">
        <v>46228</v>
      </c>
      <c r="E1143" s="3">
        <v>0.5</v>
      </c>
      <c r="F1143" t="s">
        <v>1486</v>
      </c>
      <c r="G1143" t="s">
        <v>3811</v>
      </c>
      <c r="H1143">
        <v>1</v>
      </c>
      <c r="I1143">
        <v>0</v>
      </c>
      <c r="J1143">
        <v>1</v>
      </c>
      <c r="K1143">
        <v>3</v>
      </c>
      <c r="L1143" s="22" t="str">
        <f t="shared" si="381"/>
        <v>25/07/2026</v>
      </c>
      <c r="M1143" s="23">
        <f t="shared" si="382"/>
        <v>0.375</v>
      </c>
      <c r="N1143" t="str">
        <f t="shared" si="383"/>
        <v>1 - 3</v>
      </c>
      <c r="O1143" t="str">
        <f t="shared" si="364"/>
        <v>Red</v>
      </c>
      <c r="P1143" t="str">
        <f t="shared" si="365"/>
        <v>Red</v>
      </c>
      <c r="Q1143" t="str">
        <f t="shared" si="366"/>
        <v>Green</v>
      </c>
      <c r="R1143" t="str">
        <f t="shared" si="367"/>
        <v>Red</v>
      </c>
      <c r="S1143" t="str">
        <f t="shared" si="368"/>
        <v>Green</v>
      </c>
      <c r="T1143" t="str">
        <f t="shared" si="369"/>
        <v>Green</v>
      </c>
      <c r="U1143" t="str">
        <f t="shared" si="370"/>
        <v>Green</v>
      </c>
      <c r="V1143" t="str">
        <f t="shared" si="371"/>
        <v>Red</v>
      </c>
      <c r="W1143" t="str">
        <f t="shared" si="372"/>
        <v>Red</v>
      </c>
      <c r="X1143" t="str">
        <f t="shared" si="373"/>
        <v>Green</v>
      </c>
      <c r="Y1143" t="str">
        <f t="shared" si="374"/>
        <v>Green</v>
      </c>
      <c r="Z1143" t="str">
        <f t="shared" si="375"/>
        <v>Green</v>
      </c>
      <c r="AA1143" t="str">
        <f t="shared" si="376"/>
        <v>Red</v>
      </c>
      <c r="AB1143" t="str">
        <f t="shared" si="377"/>
        <v>Red</v>
      </c>
      <c r="AC1143" t="str">
        <f t="shared" si="378"/>
        <v>Green</v>
      </c>
      <c r="AD1143" t="str">
        <f t="shared" si="379"/>
        <v>Red</v>
      </c>
    </row>
    <row r="1144" spans="1:30" x14ac:dyDescent="0.2">
      <c r="A1144" t="str">
        <f t="shared" si="380"/>
        <v>25/07/2026Willem IIKV Mechelen</v>
      </c>
      <c r="D1144" s="2">
        <v>46228</v>
      </c>
      <c r="E1144" s="3">
        <v>0.5</v>
      </c>
      <c r="F1144" t="s">
        <v>3812</v>
      </c>
      <c r="G1144" t="s">
        <v>3813</v>
      </c>
      <c r="H1144">
        <v>0</v>
      </c>
      <c r="I1144">
        <v>0</v>
      </c>
      <c r="J1144">
        <v>1</v>
      </c>
      <c r="K1144">
        <v>0</v>
      </c>
      <c r="L1144" s="22" t="str">
        <f t="shared" si="381"/>
        <v>25/07/2026</v>
      </c>
      <c r="M1144" s="23">
        <f t="shared" si="382"/>
        <v>0.375</v>
      </c>
      <c r="N1144" t="str">
        <f t="shared" si="383"/>
        <v>1 - 0</v>
      </c>
      <c r="O1144" t="str">
        <f t="shared" si="364"/>
        <v>Green</v>
      </c>
      <c r="P1144" t="str">
        <f t="shared" si="365"/>
        <v>Red</v>
      </c>
      <c r="Q1144" t="str">
        <f t="shared" si="366"/>
        <v>Red</v>
      </c>
      <c r="R1144" t="str">
        <f t="shared" si="367"/>
        <v>Green</v>
      </c>
      <c r="S1144" t="str">
        <f t="shared" si="368"/>
        <v>Red</v>
      </c>
      <c r="T1144" t="str">
        <f t="shared" si="369"/>
        <v>Green</v>
      </c>
      <c r="U1144" t="str">
        <f t="shared" si="370"/>
        <v>Red</v>
      </c>
      <c r="V1144" t="str">
        <f t="shared" si="371"/>
        <v>Green</v>
      </c>
      <c r="W1144" t="str">
        <f t="shared" si="372"/>
        <v>Red</v>
      </c>
      <c r="X1144" t="str">
        <f t="shared" si="373"/>
        <v>Red</v>
      </c>
      <c r="Y1144" t="str">
        <f t="shared" si="374"/>
        <v>Red</v>
      </c>
      <c r="Z1144" t="str">
        <f t="shared" si="375"/>
        <v>Red</v>
      </c>
      <c r="AA1144" t="str">
        <f t="shared" si="376"/>
        <v>Green</v>
      </c>
      <c r="AB1144" t="str">
        <f t="shared" si="377"/>
        <v>Green</v>
      </c>
      <c r="AC1144" t="str">
        <f t="shared" si="378"/>
        <v>Red</v>
      </c>
      <c r="AD1144" t="str">
        <f t="shared" si="379"/>
        <v>Green</v>
      </c>
    </row>
    <row r="1145" spans="1:30" x14ac:dyDescent="0.2">
      <c r="A1145" t="str">
        <f t="shared" si="380"/>
        <v>25/07/2026Dinamo Tbilisi IIFC Spaeri</v>
      </c>
      <c r="D1145" s="2">
        <v>46228</v>
      </c>
      <c r="E1145" s="3">
        <v>0.52083333333333337</v>
      </c>
      <c r="F1145" t="s">
        <v>3260</v>
      </c>
      <c r="G1145" t="s">
        <v>3261</v>
      </c>
      <c r="H1145">
        <v>0</v>
      </c>
      <c r="I1145">
        <v>0</v>
      </c>
      <c r="J1145">
        <v>1</v>
      </c>
      <c r="K1145">
        <v>5</v>
      </c>
      <c r="L1145" s="22" t="str">
        <f t="shared" si="381"/>
        <v>25/07/2026</v>
      </c>
      <c r="M1145" s="23">
        <f t="shared" si="382"/>
        <v>0.39583333333333337</v>
      </c>
      <c r="N1145" t="str">
        <f t="shared" si="383"/>
        <v>1 - 5</v>
      </c>
      <c r="O1145" t="str">
        <f t="shared" si="364"/>
        <v>Red</v>
      </c>
      <c r="P1145" t="str">
        <f t="shared" si="365"/>
        <v>Red</v>
      </c>
      <c r="Q1145" t="str">
        <f t="shared" si="366"/>
        <v>Green</v>
      </c>
      <c r="R1145" t="str">
        <f t="shared" si="367"/>
        <v>Red</v>
      </c>
      <c r="S1145" t="str">
        <f t="shared" si="368"/>
        <v>Green</v>
      </c>
      <c r="T1145" t="str">
        <f t="shared" si="369"/>
        <v>Green</v>
      </c>
      <c r="U1145" t="str">
        <f t="shared" si="370"/>
        <v>Red</v>
      </c>
      <c r="V1145" t="str">
        <f t="shared" si="371"/>
        <v>Green</v>
      </c>
      <c r="W1145" t="str">
        <f t="shared" si="372"/>
        <v>Red</v>
      </c>
      <c r="X1145" t="str">
        <f t="shared" si="373"/>
        <v>Red</v>
      </c>
      <c r="Y1145" t="str">
        <f t="shared" si="374"/>
        <v>Green</v>
      </c>
      <c r="Z1145" t="str">
        <f t="shared" si="375"/>
        <v>Green</v>
      </c>
      <c r="AA1145" t="str">
        <f t="shared" si="376"/>
        <v>Red</v>
      </c>
      <c r="AB1145" t="str">
        <f t="shared" si="377"/>
        <v>Red</v>
      </c>
      <c r="AC1145" t="str">
        <f t="shared" si="378"/>
        <v>Green</v>
      </c>
      <c r="AD1145" t="str">
        <f t="shared" si="379"/>
        <v>Red</v>
      </c>
    </row>
    <row r="1146" spans="1:30" x14ac:dyDescent="0.2">
      <c r="A1146" t="str">
        <f t="shared" si="380"/>
        <v>25/07/2026FC GonioMeshakhte Tkibuli</v>
      </c>
      <c r="D1146" s="2">
        <v>46228</v>
      </c>
      <c r="E1146" s="3">
        <v>0.52083333333333337</v>
      </c>
      <c r="F1146" t="s">
        <v>3262</v>
      </c>
      <c r="G1146" t="s">
        <v>3263</v>
      </c>
      <c r="H1146">
        <v>0</v>
      </c>
      <c r="I1146">
        <v>0</v>
      </c>
      <c r="J1146">
        <v>1</v>
      </c>
      <c r="K1146">
        <v>2</v>
      </c>
      <c r="L1146" s="22" t="str">
        <f t="shared" si="381"/>
        <v>25/07/2026</v>
      </c>
      <c r="M1146" s="23">
        <f t="shared" si="382"/>
        <v>0.39583333333333337</v>
      </c>
      <c r="N1146" t="str">
        <f t="shared" si="383"/>
        <v>1 - 2</v>
      </c>
      <c r="O1146" t="str">
        <f t="shared" si="364"/>
        <v>Red</v>
      </c>
      <c r="P1146" t="str">
        <f t="shared" si="365"/>
        <v>Red</v>
      </c>
      <c r="Q1146" t="str">
        <f t="shared" si="366"/>
        <v>Green</v>
      </c>
      <c r="R1146" t="str">
        <f t="shared" si="367"/>
        <v>Red</v>
      </c>
      <c r="S1146" t="str">
        <f t="shared" si="368"/>
        <v>Green</v>
      </c>
      <c r="T1146" t="str">
        <f t="shared" si="369"/>
        <v>Green</v>
      </c>
      <c r="U1146" t="str">
        <f t="shared" si="370"/>
        <v>Red</v>
      </c>
      <c r="V1146" t="str">
        <f t="shared" si="371"/>
        <v>Green</v>
      </c>
      <c r="W1146" t="str">
        <f t="shared" si="372"/>
        <v>Red</v>
      </c>
      <c r="X1146" t="str">
        <f t="shared" si="373"/>
        <v>Red</v>
      </c>
      <c r="Y1146" t="str">
        <f t="shared" si="374"/>
        <v>Green</v>
      </c>
      <c r="Z1146" t="str">
        <f t="shared" si="375"/>
        <v>Green</v>
      </c>
      <c r="AA1146" t="str">
        <f t="shared" si="376"/>
        <v>Red</v>
      </c>
      <c r="AB1146" t="str">
        <f t="shared" si="377"/>
        <v>Green</v>
      </c>
      <c r="AC1146" t="str">
        <f t="shared" si="378"/>
        <v>Green</v>
      </c>
      <c r="AD1146" t="str">
        <f t="shared" si="379"/>
        <v>Red</v>
      </c>
    </row>
    <row r="1147" spans="1:30" x14ac:dyDescent="0.2">
      <c r="A1147" t="str">
        <f t="shared" si="380"/>
        <v>25/07/2026FC Iberia TbilisiDila Gori</v>
      </c>
      <c r="D1147" s="2">
        <v>46228</v>
      </c>
      <c r="E1147" s="3">
        <v>0.52083333333333337</v>
      </c>
      <c r="F1147" t="s">
        <v>3264</v>
      </c>
      <c r="G1147" t="s">
        <v>1915</v>
      </c>
      <c r="H1147">
        <v>0</v>
      </c>
      <c r="I1147">
        <v>0</v>
      </c>
      <c r="J1147">
        <v>0</v>
      </c>
      <c r="K1147">
        <v>1</v>
      </c>
      <c r="L1147" s="22" t="str">
        <f t="shared" si="381"/>
        <v>25/07/2026</v>
      </c>
      <c r="M1147" s="23">
        <f t="shared" si="382"/>
        <v>0.39583333333333337</v>
      </c>
      <c r="N1147" t="str">
        <f t="shared" si="383"/>
        <v>0 - 1</v>
      </c>
      <c r="O1147" t="str">
        <f t="shared" si="364"/>
        <v>Red</v>
      </c>
      <c r="P1147" t="str">
        <f t="shared" si="365"/>
        <v>Red</v>
      </c>
      <c r="Q1147" t="str">
        <f t="shared" si="366"/>
        <v>Green</v>
      </c>
      <c r="R1147" t="str">
        <f t="shared" si="367"/>
        <v>Red</v>
      </c>
      <c r="S1147" t="str">
        <f t="shared" si="368"/>
        <v>Green</v>
      </c>
      <c r="T1147" t="str">
        <f t="shared" si="369"/>
        <v>Green</v>
      </c>
      <c r="U1147" t="str">
        <f t="shared" si="370"/>
        <v>Red</v>
      </c>
      <c r="V1147" t="str">
        <f t="shared" si="371"/>
        <v>Green</v>
      </c>
      <c r="W1147" t="str">
        <f t="shared" si="372"/>
        <v>Red</v>
      </c>
      <c r="X1147" t="str">
        <f t="shared" si="373"/>
        <v>Red</v>
      </c>
      <c r="Y1147" t="str">
        <f t="shared" si="374"/>
        <v>Red</v>
      </c>
      <c r="Z1147" t="str">
        <f t="shared" si="375"/>
        <v>Red</v>
      </c>
      <c r="AA1147" t="str">
        <f t="shared" si="376"/>
        <v>Green</v>
      </c>
      <c r="AB1147" t="str">
        <f t="shared" si="377"/>
        <v>Green</v>
      </c>
      <c r="AC1147" t="str">
        <f t="shared" si="378"/>
        <v>Red</v>
      </c>
      <c r="AD1147" t="str">
        <f t="shared" si="379"/>
        <v>Green</v>
      </c>
    </row>
    <row r="1148" spans="1:30" x14ac:dyDescent="0.2">
      <c r="A1148" t="str">
        <f t="shared" si="380"/>
        <v>25/07/2026Erzgebirge AueVSG Altglienicke</v>
      </c>
      <c r="D1148" s="2">
        <v>46228</v>
      </c>
      <c r="E1148" s="3">
        <v>0.52083333333333337</v>
      </c>
      <c r="F1148" t="s">
        <v>3277</v>
      </c>
      <c r="G1148" t="s">
        <v>3278</v>
      </c>
      <c r="H1148">
        <v>2</v>
      </c>
      <c r="I1148">
        <v>2</v>
      </c>
      <c r="J1148">
        <v>3</v>
      </c>
      <c r="K1148">
        <v>3</v>
      </c>
      <c r="L1148" s="22" t="str">
        <f t="shared" si="381"/>
        <v>25/07/2026</v>
      </c>
      <c r="M1148" s="23">
        <f t="shared" si="382"/>
        <v>0.39583333333333337</v>
      </c>
      <c r="N1148" t="str">
        <f t="shared" si="383"/>
        <v>3 - 3</v>
      </c>
      <c r="O1148" t="str">
        <f t="shared" si="364"/>
        <v>Red</v>
      </c>
      <c r="P1148" t="str">
        <f t="shared" si="365"/>
        <v>Green</v>
      </c>
      <c r="Q1148" t="str">
        <f t="shared" si="366"/>
        <v>Red</v>
      </c>
      <c r="R1148" t="str">
        <f t="shared" si="367"/>
        <v>Green</v>
      </c>
      <c r="S1148" t="str">
        <f t="shared" si="368"/>
        <v>Green</v>
      </c>
      <c r="T1148" t="str">
        <f t="shared" si="369"/>
        <v>Red</v>
      </c>
      <c r="U1148" t="str">
        <f t="shared" si="370"/>
        <v>Red</v>
      </c>
      <c r="V1148" t="str">
        <f t="shared" si="371"/>
        <v>Green</v>
      </c>
      <c r="W1148" t="str">
        <f t="shared" si="372"/>
        <v>Red</v>
      </c>
      <c r="X1148" t="str">
        <f t="shared" si="373"/>
        <v>Green</v>
      </c>
      <c r="Y1148" t="str">
        <f t="shared" si="374"/>
        <v>Green</v>
      </c>
      <c r="Z1148" t="str">
        <f t="shared" si="375"/>
        <v>Green</v>
      </c>
      <c r="AA1148" t="str">
        <f t="shared" si="376"/>
        <v>Red</v>
      </c>
      <c r="AB1148" t="str">
        <f t="shared" si="377"/>
        <v>Red</v>
      </c>
      <c r="AC1148" t="str">
        <f t="shared" si="378"/>
        <v>Green</v>
      </c>
      <c r="AD1148" t="str">
        <f t="shared" si="379"/>
        <v>Red</v>
      </c>
    </row>
    <row r="1149" spans="1:30" x14ac:dyDescent="0.2">
      <c r="A1149" t="str">
        <f t="shared" si="380"/>
        <v>25/07/2026TuS GeretsriedFC Pipinsried</v>
      </c>
      <c r="D1149" s="2">
        <v>46228</v>
      </c>
      <c r="E1149" s="3">
        <v>0.52083333333333337</v>
      </c>
      <c r="F1149" t="s">
        <v>3292</v>
      </c>
      <c r="G1149" t="s">
        <v>1353</v>
      </c>
      <c r="H1149">
        <v>0</v>
      </c>
      <c r="I1149">
        <v>3</v>
      </c>
      <c r="J1149">
        <v>0</v>
      </c>
      <c r="K1149">
        <v>5</v>
      </c>
      <c r="L1149" s="22" t="str">
        <f t="shared" si="381"/>
        <v>25/07/2026</v>
      </c>
      <c r="M1149" s="23">
        <f t="shared" si="382"/>
        <v>0.39583333333333337</v>
      </c>
      <c r="N1149" t="str">
        <f t="shared" si="383"/>
        <v>0 - 5</v>
      </c>
      <c r="O1149" t="str">
        <f t="shared" si="364"/>
        <v>Red</v>
      </c>
      <c r="P1149" t="str">
        <f t="shared" si="365"/>
        <v>Red</v>
      </c>
      <c r="Q1149" t="str">
        <f t="shared" si="366"/>
        <v>Green</v>
      </c>
      <c r="R1149" t="str">
        <f t="shared" si="367"/>
        <v>Red</v>
      </c>
      <c r="S1149" t="str">
        <f t="shared" si="368"/>
        <v>Green</v>
      </c>
      <c r="T1149" t="str">
        <f t="shared" si="369"/>
        <v>Green</v>
      </c>
      <c r="U1149" t="str">
        <f t="shared" si="370"/>
        <v>Red</v>
      </c>
      <c r="V1149" t="str">
        <f t="shared" si="371"/>
        <v>Red</v>
      </c>
      <c r="W1149" t="str">
        <f t="shared" si="372"/>
        <v>Green</v>
      </c>
      <c r="X1149" t="str">
        <f t="shared" si="373"/>
        <v>Green</v>
      </c>
      <c r="Y1149" t="str">
        <f t="shared" si="374"/>
        <v>Green</v>
      </c>
      <c r="Z1149" t="str">
        <f t="shared" si="375"/>
        <v>Green</v>
      </c>
      <c r="AA1149" t="str">
        <f t="shared" si="376"/>
        <v>Red</v>
      </c>
      <c r="AB1149" t="str">
        <f t="shared" si="377"/>
        <v>Red</v>
      </c>
      <c r="AC1149" t="str">
        <f t="shared" si="378"/>
        <v>Red</v>
      </c>
      <c r="AD1149" t="str">
        <f t="shared" si="379"/>
        <v>Green</v>
      </c>
    </row>
    <row r="1150" spans="1:30" x14ac:dyDescent="0.2">
      <c r="A1150" t="str">
        <f t="shared" si="380"/>
        <v>25/07/2026Blue EaglesRed Lions</v>
      </c>
      <c r="D1150" s="2">
        <v>46228</v>
      </c>
      <c r="E1150" s="3">
        <v>0.52083333333333337</v>
      </c>
      <c r="F1150" t="s">
        <v>3398</v>
      </c>
      <c r="G1150" t="s">
        <v>3399</v>
      </c>
      <c r="H1150">
        <v>0</v>
      </c>
      <c r="I1150">
        <v>1</v>
      </c>
      <c r="J1150">
        <v>3</v>
      </c>
      <c r="K1150">
        <v>2</v>
      </c>
      <c r="L1150" s="22" t="str">
        <f t="shared" si="381"/>
        <v>25/07/2026</v>
      </c>
      <c r="M1150" s="23">
        <f t="shared" si="382"/>
        <v>0.39583333333333337</v>
      </c>
      <c r="N1150" t="str">
        <f t="shared" si="383"/>
        <v>3 - 2</v>
      </c>
      <c r="O1150" t="str">
        <f t="shared" si="364"/>
        <v>Green</v>
      </c>
      <c r="P1150" t="str">
        <f t="shared" si="365"/>
        <v>Red</v>
      </c>
      <c r="Q1150" t="str">
        <f t="shared" si="366"/>
        <v>Red</v>
      </c>
      <c r="R1150" t="str">
        <f t="shared" si="367"/>
        <v>Green</v>
      </c>
      <c r="S1150" t="str">
        <f t="shared" si="368"/>
        <v>Red</v>
      </c>
      <c r="T1150" t="str">
        <f t="shared" si="369"/>
        <v>Green</v>
      </c>
      <c r="U1150" t="str">
        <f t="shared" si="370"/>
        <v>Red</v>
      </c>
      <c r="V1150" t="str">
        <f t="shared" si="371"/>
        <v>Red</v>
      </c>
      <c r="W1150" t="str">
        <f t="shared" si="372"/>
        <v>Green</v>
      </c>
      <c r="X1150" t="str">
        <f t="shared" si="373"/>
        <v>Green</v>
      </c>
      <c r="Y1150" t="str">
        <f t="shared" si="374"/>
        <v>Green</v>
      </c>
      <c r="Z1150" t="str">
        <f t="shared" si="375"/>
        <v>Green</v>
      </c>
      <c r="AA1150" t="str">
        <f t="shared" si="376"/>
        <v>Red</v>
      </c>
      <c r="AB1150" t="str">
        <f t="shared" si="377"/>
        <v>Red</v>
      </c>
      <c r="AC1150" t="str">
        <f t="shared" si="378"/>
        <v>Green</v>
      </c>
      <c r="AD1150" t="str">
        <f t="shared" si="379"/>
        <v>Red</v>
      </c>
    </row>
    <row r="1151" spans="1:30" x14ac:dyDescent="0.2">
      <c r="A1151" t="str">
        <f t="shared" si="380"/>
        <v>25/07/2026Chitipa UnitedEkhaya FC</v>
      </c>
      <c r="D1151" s="2">
        <v>46228</v>
      </c>
      <c r="E1151" s="3">
        <v>0.52083333333333337</v>
      </c>
      <c r="F1151" t="s">
        <v>3400</v>
      </c>
      <c r="G1151" t="s">
        <v>3401</v>
      </c>
      <c r="H1151">
        <v>0</v>
      </c>
      <c r="I1151">
        <v>0</v>
      </c>
      <c r="J1151">
        <v>1</v>
      </c>
      <c r="K1151">
        <v>0</v>
      </c>
      <c r="L1151" s="22" t="str">
        <f t="shared" si="381"/>
        <v>25/07/2026</v>
      </c>
      <c r="M1151" s="23">
        <f t="shared" si="382"/>
        <v>0.39583333333333337</v>
      </c>
      <c r="N1151" t="str">
        <f t="shared" si="383"/>
        <v>1 - 0</v>
      </c>
      <c r="O1151" t="str">
        <f t="shared" si="364"/>
        <v>Green</v>
      </c>
      <c r="P1151" t="str">
        <f t="shared" si="365"/>
        <v>Red</v>
      </c>
      <c r="Q1151" t="str">
        <f t="shared" si="366"/>
        <v>Red</v>
      </c>
      <c r="R1151" t="str">
        <f t="shared" si="367"/>
        <v>Green</v>
      </c>
      <c r="S1151" t="str">
        <f t="shared" si="368"/>
        <v>Red</v>
      </c>
      <c r="T1151" t="str">
        <f t="shared" si="369"/>
        <v>Green</v>
      </c>
      <c r="U1151" t="str">
        <f t="shared" si="370"/>
        <v>Red</v>
      </c>
      <c r="V1151" t="str">
        <f t="shared" si="371"/>
        <v>Green</v>
      </c>
      <c r="W1151" t="str">
        <f t="shared" si="372"/>
        <v>Red</v>
      </c>
      <c r="X1151" t="str">
        <f t="shared" si="373"/>
        <v>Red</v>
      </c>
      <c r="Y1151" t="str">
        <f t="shared" si="374"/>
        <v>Red</v>
      </c>
      <c r="Z1151" t="str">
        <f t="shared" si="375"/>
        <v>Red</v>
      </c>
      <c r="AA1151" t="str">
        <f t="shared" si="376"/>
        <v>Green</v>
      </c>
      <c r="AB1151" t="str">
        <f t="shared" si="377"/>
        <v>Green</v>
      </c>
      <c r="AC1151" t="str">
        <f t="shared" si="378"/>
        <v>Red</v>
      </c>
      <c r="AD1151" t="str">
        <f t="shared" si="379"/>
        <v>Green</v>
      </c>
    </row>
    <row r="1152" spans="1:30" x14ac:dyDescent="0.2">
      <c r="A1152" t="str">
        <f t="shared" si="380"/>
        <v>25/07/2026CIVO UnitedMoyale Barracks</v>
      </c>
      <c r="D1152" s="2">
        <v>46228</v>
      </c>
      <c r="E1152" s="3">
        <v>0.52083333333333337</v>
      </c>
      <c r="F1152" t="s">
        <v>3402</v>
      </c>
      <c r="G1152" t="s">
        <v>3403</v>
      </c>
      <c r="H1152">
        <v>0</v>
      </c>
      <c r="I1152">
        <v>0</v>
      </c>
      <c r="J1152">
        <v>0</v>
      </c>
      <c r="K1152">
        <v>1</v>
      </c>
      <c r="L1152" s="22" t="str">
        <f t="shared" si="381"/>
        <v>25/07/2026</v>
      </c>
      <c r="M1152" s="23">
        <f t="shared" si="382"/>
        <v>0.39583333333333337</v>
      </c>
      <c r="N1152" t="str">
        <f t="shared" si="383"/>
        <v>0 - 1</v>
      </c>
      <c r="O1152" t="str">
        <f t="shared" si="364"/>
        <v>Red</v>
      </c>
      <c r="P1152" t="str">
        <f t="shared" si="365"/>
        <v>Red</v>
      </c>
      <c r="Q1152" t="str">
        <f t="shared" si="366"/>
        <v>Green</v>
      </c>
      <c r="R1152" t="str">
        <f t="shared" si="367"/>
        <v>Red</v>
      </c>
      <c r="S1152" t="str">
        <f t="shared" si="368"/>
        <v>Green</v>
      </c>
      <c r="T1152" t="str">
        <f t="shared" si="369"/>
        <v>Green</v>
      </c>
      <c r="U1152" t="str">
        <f t="shared" si="370"/>
        <v>Red</v>
      </c>
      <c r="V1152" t="str">
        <f t="shared" si="371"/>
        <v>Green</v>
      </c>
      <c r="W1152" t="str">
        <f t="shared" si="372"/>
        <v>Red</v>
      </c>
      <c r="X1152" t="str">
        <f t="shared" si="373"/>
        <v>Red</v>
      </c>
      <c r="Y1152" t="str">
        <f t="shared" si="374"/>
        <v>Red</v>
      </c>
      <c r="Z1152" t="str">
        <f t="shared" si="375"/>
        <v>Red</v>
      </c>
      <c r="AA1152" t="str">
        <f t="shared" si="376"/>
        <v>Green</v>
      </c>
      <c r="AB1152" t="str">
        <f t="shared" si="377"/>
        <v>Green</v>
      </c>
      <c r="AC1152" t="str">
        <f t="shared" si="378"/>
        <v>Red</v>
      </c>
      <c r="AD1152" t="str">
        <f t="shared" si="379"/>
        <v>Green</v>
      </c>
    </row>
    <row r="1153" spans="1:30" x14ac:dyDescent="0.2">
      <c r="A1153" t="str">
        <f t="shared" si="380"/>
        <v>25/07/2026Dedza DynamosBig Bullets</v>
      </c>
      <c r="D1153" s="2">
        <v>46228</v>
      </c>
      <c r="E1153" s="3">
        <v>0.52083333333333337</v>
      </c>
      <c r="F1153" t="s">
        <v>3404</v>
      </c>
      <c r="G1153" t="s">
        <v>3405</v>
      </c>
      <c r="H1153">
        <v>1</v>
      </c>
      <c r="I1153">
        <v>0</v>
      </c>
      <c r="J1153">
        <v>1</v>
      </c>
      <c r="K1153">
        <v>0</v>
      </c>
      <c r="L1153" s="22" t="str">
        <f t="shared" si="381"/>
        <v>25/07/2026</v>
      </c>
      <c r="M1153" s="23">
        <f t="shared" si="382"/>
        <v>0.39583333333333337</v>
      </c>
      <c r="N1153" t="str">
        <f t="shared" si="383"/>
        <v>1 - 0</v>
      </c>
      <c r="O1153" t="str">
        <f t="shared" si="364"/>
        <v>Green</v>
      </c>
      <c r="P1153" t="str">
        <f t="shared" si="365"/>
        <v>Red</v>
      </c>
      <c r="Q1153" t="str">
        <f t="shared" si="366"/>
        <v>Red</v>
      </c>
      <c r="R1153" t="str">
        <f t="shared" si="367"/>
        <v>Green</v>
      </c>
      <c r="S1153" t="str">
        <f t="shared" si="368"/>
        <v>Red</v>
      </c>
      <c r="T1153" t="str">
        <f t="shared" si="369"/>
        <v>Green</v>
      </c>
      <c r="U1153" t="str">
        <f t="shared" si="370"/>
        <v>Green</v>
      </c>
      <c r="V1153" t="str">
        <f t="shared" si="371"/>
        <v>Red</v>
      </c>
      <c r="W1153" t="str">
        <f t="shared" si="372"/>
        <v>Red</v>
      </c>
      <c r="X1153" t="str">
        <f t="shared" si="373"/>
        <v>Green</v>
      </c>
      <c r="Y1153" t="str">
        <f t="shared" si="374"/>
        <v>Red</v>
      </c>
      <c r="Z1153" t="str">
        <f t="shared" si="375"/>
        <v>Red</v>
      </c>
      <c r="AA1153" t="str">
        <f t="shared" si="376"/>
        <v>Green</v>
      </c>
      <c r="AB1153" t="str">
        <f t="shared" si="377"/>
        <v>Green</v>
      </c>
      <c r="AC1153" t="str">
        <f t="shared" si="378"/>
        <v>Red</v>
      </c>
      <c r="AD1153" t="str">
        <f t="shared" si="379"/>
        <v>Green</v>
      </c>
    </row>
    <row r="1154" spans="1:30" x14ac:dyDescent="0.2">
      <c r="A1154" t="str">
        <f t="shared" si="380"/>
        <v>25/07/2026Grorud ILStjordals-Blink</v>
      </c>
      <c r="D1154" s="2">
        <v>46228</v>
      </c>
      <c r="E1154" s="3">
        <v>0.52083333333333337</v>
      </c>
      <c r="F1154" t="s">
        <v>3459</v>
      </c>
      <c r="G1154" t="s">
        <v>3460</v>
      </c>
      <c r="H1154">
        <v>0</v>
      </c>
      <c r="I1154">
        <v>0</v>
      </c>
      <c r="J1154">
        <v>0</v>
      </c>
      <c r="K1154">
        <v>1</v>
      </c>
      <c r="L1154" s="22" t="str">
        <f t="shared" si="381"/>
        <v>25/07/2026</v>
      </c>
      <c r="M1154" s="23">
        <f t="shared" si="382"/>
        <v>0.39583333333333337</v>
      </c>
      <c r="N1154" t="str">
        <f t="shared" si="383"/>
        <v>0 - 1</v>
      </c>
      <c r="O1154" t="str">
        <f t="shared" ref="O1154:O1217" si="384">IF($J1154&gt;$K1154,"Green","Red")</f>
        <v>Red</v>
      </c>
      <c r="P1154" t="str">
        <f t="shared" ref="P1154:P1217" si="385">IF($J1154=$K1154,"Green","Red")</f>
        <v>Red</v>
      </c>
      <c r="Q1154" t="str">
        <f t="shared" ref="Q1154:Q1217" si="386">IF($J1154&lt;$K1154,"Green","Red")</f>
        <v>Green</v>
      </c>
      <c r="R1154" t="str">
        <f t="shared" ref="R1154:R1217" si="387">IF($J1154&gt;=$K1154,"Green","Red")</f>
        <v>Red</v>
      </c>
      <c r="S1154" t="str">
        <f t="shared" ref="S1154:S1217" si="388">IF($J1154&lt;=$K1154,"Green","Red")</f>
        <v>Green</v>
      </c>
      <c r="T1154" t="str">
        <f t="shared" ref="T1154:T1217" si="389">IF(OR($J1154&gt;$K1154,$J1154&lt;$K1154),"Green","Red")</f>
        <v>Green</v>
      </c>
      <c r="U1154" t="str">
        <f t="shared" ref="U1154:U1217" si="390">IF($H1154&gt;$I1154,"Green","Red")</f>
        <v>Red</v>
      </c>
      <c r="V1154" t="str">
        <f t="shared" ref="V1154:V1217" si="391">IF($H1154=$I1154,"Green","Red")</f>
        <v>Green</v>
      </c>
      <c r="W1154" t="str">
        <f t="shared" ref="W1154:W1217" si="392">IF($H1154&lt;$I1154,"Green","Red")</f>
        <v>Red</v>
      </c>
      <c r="X1154" t="str">
        <f t="shared" ref="X1154:X1217" si="393">IF($H1154+$I1154&gt;0,"Green","Red")</f>
        <v>Red</v>
      </c>
      <c r="Y1154" t="str">
        <f t="shared" ref="Y1154:Y1217" si="394">IF($J1154+$K1154&gt;1.5,"Green","Red")</f>
        <v>Red</v>
      </c>
      <c r="Z1154" t="str">
        <f t="shared" ref="Z1154:Z1217" si="395">IF($J1154+$K1154&gt;2.5,"Green","Red")</f>
        <v>Red</v>
      </c>
      <c r="AA1154" t="str">
        <f t="shared" ref="AA1154:AA1217" si="396">IF($J1154+$K1154&lt;2.5,"Green","Red")</f>
        <v>Green</v>
      </c>
      <c r="AB1154" t="str">
        <f t="shared" ref="AB1154:AB1217" si="397">IF($J1154+$K1154&lt;3.5,"Green","Red")</f>
        <v>Green</v>
      </c>
      <c r="AC1154" t="str">
        <f t="shared" ref="AC1154:AC1217" si="398">IF(AND($J1154&gt;0,$K1154&gt;0),"Green","Red")</f>
        <v>Red</v>
      </c>
      <c r="AD1154" t="str">
        <f t="shared" ref="AD1154:AD1217" si="399">IF(OR($J1154=0,$K1154=0),"Green","Red")</f>
        <v>Green</v>
      </c>
    </row>
    <row r="1155" spans="1:30" x14ac:dyDescent="0.2">
      <c r="A1155" t="str">
        <f t="shared" si="380"/>
        <v>25/07/2026FK FarDULochin FK</v>
      </c>
      <c r="D1155" s="2">
        <v>46228</v>
      </c>
      <c r="E1155" s="3">
        <v>0.52083333333333337</v>
      </c>
      <c r="F1155" t="s">
        <v>3723</v>
      </c>
      <c r="G1155" t="s">
        <v>3724</v>
      </c>
      <c r="H1155">
        <v>0</v>
      </c>
      <c r="I1155">
        <v>0</v>
      </c>
      <c r="J1155">
        <v>2</v>
      </c>
      <c r="K1155">
        <v>1</v>
      </c>
      <c r="L1155" s="22" t="str">
        <f t="shared" si="381"/>
        <v>25/07/2026</v>
      </c>
      <c r="M1155" s="23">
        <f t="shared" si="382"/>
        <v>0.39583333333333337</v>
      </c>
      <c r="N1155" t="str">
        <f t="shared" si="383"/>
        <v>2 - 1</v>
      </c>
      <c r="O1155" t="str">
        <f t="shared" si="384"/>
        <v>Green</v>
      </c>
      <c r="P1155" t="str">
        <f t="shared" si="385"/>
        <v>Red</v>
      </c>
      <c r="Q1155" t="str">
        <f t="shared" si="386"/>
        <v>Red</v>
      </c>
      <c r="R1155" t="str">
        <f t="shared" si="387"/>
        <v>Green</v>
      </c>
      <c r="S1155" t="str">
        <f t="shared" si="388"/>
        <v>Red</v>
      </c>
      <c r="T1155" t="str">
        <f t="shared" si="389"/>
        <v>Green</v>
      </c>
      <c r="U1155" t="str">
        <f t="shared" si="390"/>
        <v>Red</v>
      </c>
      <c r="V1155" t="str">
        <f t="shared" si="391"/>
        <v>Green</v>
      </c>
      <c r="W1155" t="str">
        <f t="shared" si="392"/>
        <v>Red</v>
      </c>
      <c r="X1155" t="str">
        <f t="shared" si="393"/>
        <v>Red</v>
      </c>
      <c r="Y1155" t="str">
        <f t="shared" si="394"/>
        <v>Green</v>
      </c>
      <c r="Z1155" t="str">
        <f t="shared" si="395"/>
        <v>Green</v>
      </c>
      <c r="AA1155" t="str">
        <f t="shared" si="396"/>
        <v>Red</v>
      </c>
      <c r="AB1155" t="str">
        <f t="shared" si="397"/>
        <v>Green</v>
      </c>
      <c r="AC1155" t="str">
        <f t="shared" si="398"/>
        <v>Green</v>
      </c>
      <c r="AD1155" t="str">
        <f t="shared" si="399"/>
        <v>Red</v>
      </c>
    </row>
    <row r="1156" spans="1:30" x14ac:dyDescent="0.2">
      <c r="A1156" t="str">
        <f t="shared" si="380"/>
        <v>25/07/2026SV Zulte WaregemSparta Rotterdam</v>
      </c>
      <c r="D1156" s="2">
        <v>46228</v>
      </c>
      <c r="E1156" s="3">
        <v>0.52083333333333337</v>
      </c>
      <c r="F1156" t="s">
        <v>3814</v>
      </c>
      <c r="G1156" t="s">
        <v>3815</v>
      </c>
      <c r="H1156">
        <v>1</v>
      </c>
      <c r="I1156">
        <v>2</v>
      </c>
      <c r="J1156">
        <v>3</v>
      </c>
      <c r="K1156">
        <v>2</v>
      </c>
      <c r="L1156" s="22" t="str">
        <f t="shared" si="381"/>
        <v>25/07/2026</v>
      </c>
      <c r="M1156" s="23">
        <f t="shared" si="382"/>
        <v>0.39583333333333337</v>
      </c>
      <c r="N1156" t="str">
        <f t="shared" si="383"/>
        <v>3 - 2</v>
      </c>
      <c r="O1156" t="str">
        <f t="shared" si="384"/>
        <v>Green</v>
      </c>
      <c r="P1156" t="str">
        <f t="shared" si="385"/>
        <v>Red</v>
      </c>
      <c r="Q1156" t="str">
        <f t="shared" si="386"/>
        <v>Red</v>
      </c>
      <c r="R1156" t="str">
        <f t="shared" si="387"/>
        <v>Green</v>
      </c>
      <c r="S1156" t="str">
        <f t="shared" si="388"/>
        <v>Red</v>
      </c>
      <c r="T1156" t="str">
        <f t="shared" si="389"/>
        <v>Green</v>
      </c>
      <c r="U1156" t="str">
        <f t="shared" si="390"/>
        <v>Red</v>
      </c>
      <c r="V1156" t="str">
        <f t="shared" si="391"/>
        <v>Red</v>
      </c>
      <c r="W1156" t="str">
        <f t="shared" si="392"/>
        <v>Green</v>
      </c>
      <c r="X1156" t="str">
        <f t="shared" si="393"/>
        <v>Green</v>
      </c>
      <c r="Y1156" t="str">
        <f t="shared" si="394"/>
        <v>Green</v>
      </c>
      <c r="Z1156" t="str">
        <f t="shared" si="395"/>
        <v>Green</v>
      </c>
      <c r="AA1156" t="str">
        <f t="shared" si="396"/>
        <v>Red</v>
      </c>
      <c r="AB1156" t="str">
        <f t="shared" si="397"/>
        <v>Red</v>
      </c>
      <c r="AC1156" t="str">
        <f t="shared" si="398"/>
        <v>Green</v>
      </c>
      <c r="AD1156" t="str">
        <f t="shared" si="399"/>
        <v>Red</v>
      </c>
    </row>
    <row r="1157" spans="1:30" x14ac:dyDescent="0.2">
      <c r="A1157" t="str">
        <f t="shared" si="380"/>
        <v>25/07/2026Jagiellonia BialystokKorona Kielce</v>
      </c>
      <c r="D1157" s="2">
        <v>46228</v>
      </c>
      <c r="E1157" s="3">
        <v>0.53125</v>
      </c>
      <c r="F1157" t="s">
        <v>3532</v>
      </c>
      <c r="G1157" t="s">
        <v>3533</v>
      </c>
      <c r="H1157">
        <v>0</v>
      </c>
      <c r="I1157">
        <v>0</v>
      </c>
      <c r="J1157">
        <v>1</v>
      </c>
      <c r="K1157">
        <v>0</v>
      </c>
      <c r="L1157" s="22" t="str">
        <f t="shared" si="381"/>
        <v>25/07/2026</v>
      </c>
      <c r="M1157" s="23">
        <f t="shared" si="382"/>
        <v>0.40625</v>
      </c>
      <c r="N1157" t="str">
        <f t="shared" si="383"/>
        <v>1 - 0</v>
      </c>
      <c r="O1157" t="str">
        <f t="shared" si="384"/>
        <v>Green</v>
      </c>
      <c r="P1157" t="str">
        <f t="shared" si="385"/>
        <v>Red</v>
      </c>
      <c r="Q1157" t="str">
        <f t="shared" si="386"/>
        <v>Red</v>
      </c>
      <c r="R1157" t="str">
        <f t="shared" si="387"/>
        <v>Green</v>
      </c>
      <c r="S1157" t="str">
        <f t="shared" si="388"/>
        <v>Red</v>
      </c>
      <c r="T1157" t="str">
        <f t="shared" si="389"/>
        <v>Green</v>
      </c>
      <c r="U1157" t="str">
        <f t="shared" si="390"/>
        <v>Red</v>
      </c>
      <c r="V1157" t="str">
        <f t="shared" si="391"/>
        <v>Green</v>
      </c>
      <c r="W1157" t="str">
        <f t="shared" si="392"/>
        <v>Red</v>
      </c>
      <c r="X1157" t="str">
        <f t="shared" si="393"/>
        <v>Red</v>
      </c>
      <c r="Y1157" t="str">
        <f t="shared" si="394"/>
        <v>Red</v>
      </c>
      <c r="Z1157" t="str">
        <f t="shared" si="395"/>
        <v>Red</v>
      </c>
      <c r="AA1157" t="str">
        <f t="shared" si="396"/>
        <v>Green</v>
      </c>
      <c r="AB1157" t="str">
        <f t="shared" si="397"/>
        <v>Green</v>
      </c>
      <c r="AC1157" t="str">
        <f t="shared" si="398"/>
        <v>Red</v>
      </c>
      <c r="AD1157" t="str">
        <f t="shared" si="399"/>
        <v>Green</v>
      </c>
    </row>
    <row r="1158" spans="1:30" x14ac:dyDescent="0.2">
      <c r="A1158" t="str">
        <f t="shared" si="380"/>
        <v>25/07/2026Degerfors IFDjurgardens IF</v>
      </c>
      <c r="B1158" t="s">
        <v>827</v>
      </c>
      <c r="C1158" t="s">
        <v>828</v>
      </c>
      <c r="D1158" s="2">
        <v>46228</v>
      </c>
      <c r="E1158" s="3">
        <v>0.54166666666666663</v>
      </c>
      <c r="F1158" t="s">
        <v>2758</v>
      </c>
      <c r="G1158" t="s">
        <v>258</v>
      </c>
      <c r="H1158">
        <v>0</v>
      </c>
      <c r="I1158">
        <v>1</v>
      </c>
      <c r="J1158">
        <v>0</v>
      </c>
      <c r="K1158">
        <v>1</v>
      </c>
      <c r="L1158" s="22" t="str">
        <f t="shared" si="381"/>
        <v>25/07/2026</v>
      </c>
      <c r="M1158" s="23">
        <f t="shared" si="382"/>
        <v>0.41666666666666663</v>
      </c>
      <c r="N1158" t="str">
        <f t="shared" si="383"/>
        <v>0 - 1</v>
      </c>
      <c r="O1158" t="str">
        <f t="shared" si="384"/>
        <v>Red</v>
      </c>
      <c r="P1158" t="str">
        <f t="shared" si="385"/>
        <v>Red</v>
      </c>
      <c r="Q1158" t="str">
        <f t="shared" si="386"/>
        <v>Green</v>
      </c>
      <c r="R1158" t="str">
        <f t="shared" si="387"/>
        <v>Red</v>
      </c>
      <c r="S1158" t="str">
        <f t="shared" si="388"/>
        <v>Green</v>
      </c>
      <c r="T1158" t="str">
        <f t="shared" si="389"/>
        <v>Green</v>
      </c>
      <c r="U1158" t="str">
        <f t="shared" si="390"/>
        <v>Red</v>
      </c>
      <c r="V1158" t="str">
        <f t="shared" si="391"/>
        <v>Red</v>
      </c>
      <c r="W1158" t="str">
        <f t="shared" si="392"/>
        <v>Green</v>
      </c>
      <c r="X1158" t="str">
        <f t="shared" si="393"/>
        <v>Green</v>
      </c>
      <c r="Y1158" t="str">
        <f t="shared" si="394"/>
        <v>Red</v>
      </c>
      <c r="Z1158" t="str">
        <f t="shared" si="395"/>
        <v>Red</v>
      </c>
      <c r="AA1158" t="str">
        <f t="shared" si="396"/>
        <v>Green</v>
      </c>
      <c r="AB1158" t="str">
        <f t="shared" si="397"/>
        <v>Green</v>
      </c>
      <c r="AC1158" t="str">
        <f t="shared" si="398"/>
        <v>Red</v>
      </c>
      <c r="AD1158" t="str">
        <f t="shared" si="399"/>
        <v>Green</v>
      </c>
    </row>
    <row r="1159" spans="1:30" x14ac:dyDescent="0.2">
      <c r="A1159" t="str">
        <f t="shared" si="380"/>
        <v>25/07/2026LaosThailand</v>
      </c>
      <c r="B1159" t="s">
        <v>2243</v>
      </c>
      <c r="C1159" t="s">
        <v>2244</v>
      </c>
      <c r="D1159" s="2">
        <v>46228</v>
      </c>
      <c r="E1159" s="3">
        <v>0.54166666666666663</v>
      </c>
      <c r="F1159" t="s">
        <v>2791</v>
      </c>
      <c r="G1159" t="s">
        <v>2792</v>
      </c>
      <c r="H1159">
        <v>0</v>
      </c>
      <c r="I1159">
        <v>2</v>
      </c>
      <c r="J1159">
        <v>0</v>
      </c>
      <c r="K1159">
        <v>5</v>
      </c>
      <c r="L1159" s="22" t="str">
        <f t="shared" si="381"/>
        <v>25/07/2026</v>
      </c>
      <c r="M1159" s="23">
        <f t="shared" si="382"/>
        <v>0.41666666666666663</v>
      </c>
      <c r="N1159" t="str">
        <f t="shared" si="383"/>
        <v>0 - 5</v>
      </c>
      <c r="O1159" t="str">
        <f t="shared" si="384"/>
        <v>Red</v>
      </c>
      <c r="P1159" t="str">
        <f t="shared" si="385"/>
        <v>Red</v>
      </c>
      <c r="Q1159" t="str">
        <f t="shared" si="386"/>
        <v>Green</v>
      </c>
      <c r="R1159" t="str">
        <f t="shared" si="387"/>
        <v>Red</v>
      </c>
      <c r="S1159" t="str">
        <f t="shared" si="388"/>
        <v>Green</v>
      </c>
      <c r="T1159" t="str">
        <f t="shared" si="389"/>
        <v>Green</v>
      </c>
      <c r="U1159" t="str">
        <f t="shared" si="390"/>
        <v>Red</v>
      </c>
      <c r="V1159" t="str">
        <f t="shared" si="391"/>
        <v>Red</v>
      </c>
      <c r="W1159" t="str">
        <f t="shared" si="392"/>
        <v>Green</v>
      </c>
      <c r="X1159" t="str">
        <f t="shared" si="393"/>
        <v>Green</v>
      </c>
      <c r="Y1159" t="str">
        <f t="shared" si="394"/>
        <v>Green</v>
      </c>
      <c r="Z1159" t="str">
        <f t="shared" si="395"/>
        <v>Green</v>
      </c>
      <c r="AA1159" t="str">
        <f t="shared" si="396"/>
        <v>Red</v>
      </c>
      <c r="AB1159" t="str">
        <f t="shared" si="397"/>
        <v>Red</v>
      </c>
      <c r="AC1159" t="str">
        <f t="shared" si="398"/>
        <v>Red</v>
      </c>
      <c r="AD1159" t="str">
        <f t="shared" si="399"/>
        <v>Green</v>
      </c>
    </row>
    <row r="1160" spans="1:30" x14ac:dyDescent="0.2">
      <c r="A1160" t="str">
        <f t="shared" si="380"/>
        <v>25/07/2026Niva DolbiznoOstrovets FC</v>
      </c>
      <c r="D1160" s="2">
        <v>46228</v>
      </c>
      <c r="E1160" s="3">
        <v>0.54166666666666663</v>
      </c>
      <c r="F1160" t="s">
        <v>3032</v>
      </c>
      <c r="G1160" t="s">
        <v>3033</v>
      </c>
      <c r="H1160">
        <v>0</v>
      </c>
      <c r="I1160">
        <v>0</v>
      </c>
      <c r="J1160">
        <v>2</v>
      </c>
      <c r="K1160">
        <v>0</v>
      </c>
      <c r="L1160" s="22" t="str">
        <f t="shared" si="381"/>
        <v>25/07/2026</v>
      </c>
      <c r="M1160" s="23">
        <f t="shared" si="382"/>
        <v>0.41666666666666663</v>
      </c>
      <c r="N1160" t="str">
        <f t="shared" si="383"/>
        <v>2 - 0</v>
      </c>
      <c r="O1160" t="str">
        <f t="shared" si="384"/>
        <v>Green</v>
      </c>
      <c r="P1160" t="str">
        <f t="shared" si="385"/>
        <v>Red</v>
      </c>
      <c r="Q1160" t="str">
        <f t="shared" si="386"/>
        <v>Red</v>
      </c>
      <c r="R1160" t="str">
        <f t="shared" si="387"/>
        <v>Green</v>
      </c>
      <c r="S1160" t="str">
        <f t="shared" si="388"/>
        <v>Red</v>
      </c>
      <c r="T1160" t="str">
        <f t="shared" si="389"/>
        <v>Green</v>
      </c>
      <c r="U1160" t="str">
        <f t="shared" si="390"/>
        <v>Red</v>
      </c>
      <c r="V1160" t="str">
        <f t="shared" si="391"/>
        <v>Green</v>
      </c>
      <c r="W1160" t="str">
        <f t="shared" si="392"/>
        <v>Red</v>
      </c>
      <c r="X1160" t="str">
        <f t="shared" si="393"/>
        <v>Red</v>
      </c>
      <c r="Y1160" t="str">
        <f t="shared" si="394"/>
        <v>Green</v>
      </c>
      <c r="Z1160" t="str">
        <f t="shared" si="395"/>
        <v>Red</v>
      </c>
      <c r="AA1160" t="str">
        <f t="shared" si="396"/>
        <v>Green</v>
      </c>
      <c r="AB1160" t="str">
        <f t="shared" si="397"/>
        <v>Green</v>
      </c>
      <c r="AC1160" t="str">
        <f t="shared" si="398"/>
        <v>Red</v>
      </c>
      <c r="AD1160" t="str">
        <f t="shared" si="399"/>
        <v>Green</v>
      </c>
    </row>
    <row r="1161" spans="1:30" x14ac:dyDescent="0.2">
      <c r="A1161" t="str">
        <f t="shared" si="380"/>
        <v>25/07/2026IslochBaranovichi</v>
      </c>
      <c r="D1161" s="2">
        <v>46228</v>
      </c>
      <c r="E1161" s="3">
        <v>0.54166666666666663</v>
      </c>
      <c r="F1161" t="s">
        <v>3038</v>
      </c>
      <c r="G1161" t="s">
        <v>3039</v>
      </c>
      <c r="H1161">
        <v>1</v>
      </c>
      <c r="I1161">
        <v>0</v>
      </c>
      <c r="J1161">
        <v>1</v>
      </c>
      <c r="K1161">
        <v>1</v>
      </c>
      <c r="L1161" s="22" t="str">
        <f t="shared" si="381"/>
        <v>25/07/2026</v>
      </c>
      <c r="M1161" s="23">
        <f t="shared" si="382"/>
        <v>0.41666666666666663</v>
      </c>
      <c r="N1161" t="str">
        <f t="shared" si="383"/>
        <v>1 - 1</v>
      </c>
      <c r="O1161" t="str">
        <f t="shared" si="384"/>
        <v>Red</v>
      </c>
      <c r="P1161" t="str">
        <f t="shared" si="385"/>
        <v>Green</v>
      </c>
      <c r="Q1161" t="str">
        <f t="shared" si="386"/>
        <v>Red</v>
      </c>
      <c r="R1161" t="str">
        <f t="shared" si="387"/>
        <v>Green</v>
      </c>
      <c r="S1161" t="str">
        <f t="shared" si="388"/>
        <v>Green</v>
      </c>
      <c r="T1161" t="str">
        <f t="shared" si="389"/>
        <v>Red</v>
      </c>
      <c r="U1161" t="str">
        <f t="shared" si="390"/>
        <v>Green</v>
      </c>
      <c r="V1161" t="str">
        <f t="shared" si="391"/>
        <v>Red</v>
      </c>
      <c r="W1161" t="str">
        <f t="shared" si="392"/>
        <v>Red</v>
      </c>
      <c r="X1161" t="str">
        <f t="shared" si="393"/>
        <v>Green</v>
      </c>
      <c r="Y1161" t="str">
        <f t="shared" si="394"/>
        <v>Green</v>
      </c>
      <c r="Z1161" t="str">
        <f t="shared" si="395"/>
        <v>Red</v>
      </c>
      <c r="AA1161" t="str">
        <f t="shared" si="396"/>
        <v>Green</v>
      </c>
      <c r="AB1161" t="str">
        <f t="shared" si="397"/>
        <v>Green</v>
      </c>
      <c r="AC1161" t="str">
        <f t="shared" si="398"/>
        <v>Green</v>
      </c>
      <c r="AD1161" t="str">
        <f t="shared" si="399"/>
        <v>Red</v>
      </c>
    </row>
    <row r="1162" spans="1:30" x14ac:dyDescent="0.2">
      <c r="A1162" t="str">
        <f t="shared" si="380"/>
        <v>25/07/2026Avai U20Concordia AC U20</v>
      </c>
      <c r="B1162" t="s">
        <v>804</v>
      </c>
      <c r="D1162" s="2">
        <v>46228</v>
      </c>
      <c r="E1162" s="3">
        <v>0.54166666666666663</v>
      </c>
      <c r="F1162" t="s">
        <v>1797</v>
      </c>
      <c r="G1162" t="s">
        <v>3091</v>
      </c>
      <c r="H1162">
        <v>0</v>
      </c>
      <c r="I1162">
        <v>0</v>
      </c>
      <c r="J1162">
        <v>8</v>
      </c>
      <c r="K1162">
        <v>1</v>
      </c>
      <c r="L1162" s="22" t="str">
        <f t="shared" si="381"/>
        <v>25/07/2026</v>
      </c>
      <c r="M1162" s="23">
        <f t="shared" si="382"/>
        <v>0.41666666666666663</v>
      </c>
      <c r="N1162" t="str">
        <f t="shared" si="383"/>
        <v>8 - 1</v>
      </c>
      <c r="O1162" t="str">
        <f t="shared" si="384"/>
        <v>Green</v>
      </c>
      <c r="P1162" t="str">
        <f t="shared" si="385"/>
        <v>Red</v>
      </c>
      <c r="Q1162" t="str">
        <f t="shared" si="386"/>
        <v>Red</v>
      </c>
      <c r="R1162" t="str">
        <f t="shared" si="387"/>
        <v>Green</v>
      </c>
      <c r="S1162" t="str">
        <f t="shared" si="388"/>
        <v>Red</v>
      </c>
      <c r="T1162" t="str">
        <f t="shared" si="389"/>
        <v>Green</v>
      </c>
      <c r="U1162" t="str">
        <f t="shared" si="390"/>
        <v>Red</v>
      </c>
      <c r="V1162" t="str">
        <f t="shared" si="391"/>
        <v>Green</v>
      </c>
      <c r="W1162" t="str">
        <f t="shared" si="392"/>
        <v>Red</v>
      </c>
      <c r="X1162" t="str">
        <f t="shared" si="393"/>
        <v>Red</v>
      </c>
      <c r="Y1162" t="str">
        <f t="shared" si="394"/>
        <v>Green</v>
      </c>
      <c r="Z1162" t="str">
        <f t="shared" si="395"/>
        <v>Green</v>
      </c>
      <c r="AA1162" t="str">
        <f t="shared" si="396"/>
        <v>Red</v>
      </c>
      <c r="AB1162" t="str">
        <f t="shared" si="397"/>
        <v>Red</v>
      </c>
      <c r="AC1162" t="str">
        <f t="shared" si="398"/>
        <v>Green</v>
      </c>
      <c r="AD1162" t="str">
        <f t="shared" si="399"/>
        <v>Red</v>
      </c>
    </row>
    <row r="1163" spans="1:30" x14ac:dyDescent="0.2">
      <c r="A1163" t="str">
        <f t="shared" si="380"/>
        <v>25/07/2026EsbjergKolding IF</v>
      </c>
      <c r="D1163" s="2">
        <v>46228</v>
      </c>
      <c r="E1163" s="3">
        <v>0.54166666666666663</v>
      </c>
      <c r="F1163" t="s">
        <v>3183</v>
      </c>
      <c r="G1163" t="s">
        <v>3184</v>
      </c>
      <c r="H1163">
        <v>1</v>
      </c>
      <c r="I1163">
        <v>1</v>
      </c>
      <c r="J1163">
        <v>1</v>
      </c>
      <c r="K1163">
        <v>1</v>
      </c>
      <c r="L1163" s="22" t="str">
        <f t="shared" si="381"/>
        <v>25/07/2026</v>
      </c>
      <c r="M1163" s="23">
        <f t="shared" si="382"/>
        <v>0.41666666666666663</v>
      </c>
      <c r="N1163" t="str">
        <f t="shared" si="383"/>
        <v>1 - 1</v>
      </c>
      <c r="O1163" t="str">
        <f t="shared" si="384"/>
        <v>Red</v>
      </c>
      <c r="P1163" t="str">
        <f t="shared" si="385"/>
        <v>Green</v>
      </c>
      <c r="Q1163" t="str">
        <f t="shared" si="386"/>
        <v>Red</v>
      </c>
      <c r="R1163" t="str">
        <f t="shared" si="387"/>
        <v>Green</v>
      </c>
      <c r="S1163" t="str">
        <f t="shared" si="388"/>
        <v>Green</v>
      </c>
      <c r="T1163" t="str">
        <f t="shared" si="389"/>
        <v>Red</v>
      </c>
      <c r="U1163" t="str">
        <f t="shared" si="390"/>
        <v>Red</v>
      </c>
      <c r="V1163" t="str">
        <f t="shared" si="391"/>
        <v>Green</v>
      </c>
      <c r="W1163" t="str">
        <f t="shared" si="392"/>
        <v>Red</v>
      </c>
      <c r="X1163" t="str">
        <f t="shared" si="393"/>
        <v>Green</v>
      </c>
      <c r="Y1163" t="str">
        <f t="shared" si="394"/>
        <v>Green</v>
      </c>
      <c r="Z1163" t="str">
        <f t="shared" si="395"/>
        <v>Red</v>
      </c>
      <c r="AA1163" t="str">
        <f t="shared" si="396"/>
        <v>Green</v>
      </c>
      <c r="AB1163" t="str">
        <f t="shared" si="397"/>
        <v>Green</v>
      </c>
      <c r="AC1163" t="str">
        <f t="shared" si="398"/>
        <v>Green</v>
      </c>
      <c r="AD1163" t="str">
        <f t="shared" si="399"/>
        <v>Red</v>
      </c>
    </row>
    <row r="1164" spans="1:30" x14ac:dyDescent="0.2">
      <c r="A1164" t="str">
        <f t="shared" si="380"/>
        <v>25/07/2026JaPSKlubi 04</v>
      </c>
      <c r="D1164" s="2">
        <v>46228</v>
      </c>
      <c r="E1164" s="3">
        <v>0.54166666666666663</v>
      </c>
      <c r="F1164" t="s">
        <v>591</v>
      </c>
      <c r="G1164" t="s">
        <v>1344</v>
      </c>
      <c r="H1164">
        <v>1</v>
      </c>
      <c r="I1164">
        <v>0</v>
      </c>
      <c r="J1164">
        <v>2</v>
      </c>
      <c r="K1164">
        <v>0</v>
      </c>
      <c r="L1164" s="22" t="str">
        <f t="shared" si="381"/>
        <v>25/07/2026</v>
      </c>
      <c r="M1164" s="23">
        <f t="shared" si="382"/>
        <v>0.41666666666666663</v>
      </c>
      <c r="N1164" t="str">
        <f t="shared" si="383"/>
        <v>2 - 0</v>
      </c>
      <c r="O1164" t="str">
        <f t="shared" si="384"/>
        <v>Green</v>
      </c>
      <c r="P1164" t="str">
        <f t="shared" si="385"/>
        <v>Red</v>
      </c>
      <c r="Q1164" t="str">
        <f t="shared" si="386"/>
        <v>Red</v>
      </c>
      <c r="R1164" t="str">
        <f t="shared" si="387"/>
        <v>Green</v>
      </c>
      <c r="S1164" t="str">
        <f t="shared" si="388"/>
        <v>Red</v>
      </c>
      <c r="T1164" t="str">
        <f t="shared" si="389"/>
        <v>Green</v>
      </c>
      <c r="U1164" t="str">
        <f t="shared" si="390"/>
        <v>Green</v>
      </c>
      <c r="V1164" t="str">
        <f t="shared" si="391"/>
        <v>Red</v>
      </c>
      <c r="W1164" t="str">
        <f t="shared" si="392"/>
        <v>Red</v>
      </c>
      <c r="X1164" t="str">
        <f t="shared" si="393"/>
        <v>Green</v>
      </c>
      <c r="Y1164" t="str">
        <f t="shared" si="394"/>
        <v>Green</v>
      </c>
      <c r="Z1164" t="str">
        <f t="shared" si="395"/>
        <v>Red</v>
      </c>
      <c r="AA1164" t="str">
        <f t="shared" si="396"/>
        <v>Green</v>
      </c>
      <c r="AB1164" t="str">
        <f t="shared" si="397"/>
        <v>Green</v>
      </c>
      <c r="AC1164" t="str">
        <f t="shared" si="398"/>
        <v>Red</v>
      </c>
      <c r="AD1164" t="str">
        <f t="shared" si="399"/>
        <v>Green</v>
      </c>
    </row>
    <row r="1165" spans="1:30" x14ac:dyDescent="0.2">
      <c r="A1165" t="str">
        <f t="shared" si="380"/>
        <v>25/07/2026Mikkelin PalloilijatKTP</v>
      </c>
      <c r="D1165" s="2">
        <v>46228</v>
      </c>
      <c r="E1165" s="3">
        <v>0.54166666666666663</v>
      </c>
      <c r="F1165" t="s">
        <v>3214</v>
      </c>
      <c r="G1165" t="s">
        <v>593</v>
      </c>
      <c r="H1165">
        <v>2</v>
      </c>
      <c r="I1165">
        <v>1</v>
      </c>
      <c r="J1165">
        <v>3</v>
      </c>
      <c r="K1165">
        <v>3</v>
      </c>
      <c r="L1165" s="22" t="str">
        <f t="shared" si="381"/>
        <v>25/07/2026</v>
      </c>
      <c r="M1165" s="23">
        <f t="shared" si="382"/>
        <v>0.41666666666666663</v>
      </c>
      <c r="N1165" t="str">
        <f t="shared" si="383"/>
        <v>3 - 3</v>
      </c>
      <c r="O1165" t="str">
        <f t="shared" si="384"/>
        <v>Red</v>
      </c>
      <c r="P1165" t="str">
        <f t="shared" si="385"/>
        <v>Green</v>
      </c>
      <c r="Q1165" t="str">
        <f t="shared" si="386"/>
        <v>Red</v>
      </c>
      <c r="R1165" t="str">
        <f t="shared" si="387"/>
        <v>Green</v>
      </c>
      <c r="S1165" t="str">
        <f t="shared" si="388"/>
        <v>Green</v>
      </c>
      <c r="T1165" t="str">
        <f t="shared" si="389"/>
        <v>Red</v>
      </c>
      <c r="U1165" t="str">
        <f t="shared" si="390"/>
        <v>Green</v>
      </c>
      <c r="V1165" t="str">
        <f t="shared" si="391"/>
        <v>Red</v>
      </c>
      <c r="W1165" t="str">
        <f t="shared" si="392"/>
        <v>Red</v>
      </c>
      <c r="X1165" t="str">
        <f t="shared" si="393"/>
        <v>Green</v>
      </c>
      <c r="Y1165" t="str">
        <f t="shared" si="394"/>
        <v>Green</v>
      </c>
      <c r="Z1165" t="str">
        <f t="shared" si="395"/>
        <v>Green</v>
      </c>
      <c r="AA1165" t="str">
        <f t="shared" si="396"/>
        <v>Red</v>
      </c>
      <c r="AB1165" t="str">
        <f t="shared" si="397"/>
        <v>Red</v>
      </c>
      <c r="AC1165" t="str">
        <f t="shared" si="398"/>
        <v>Green</v>
      </c>
      <c r="AD1165" t="str">
        <f t="shared" si="399"/>
        <v>Red</v>
      </c>
    </row>
    <row r="1166" spans="1:30" x14ac:dyDescent="0.2">
      <c r="A1166" t="str">
        <f t="shared" si="380"/>
        <v>25/07/2026Seinajoen JK IIEIF</v>
      </c>
      <c r="D1166" s="2">
        <v>46228</v>
      </c>
      <c r="E1166" s="3">
        <v>0.54166666666666663</v>
      </c>
      <c r="F1166" t="s">
        <v>3215</v>
      </c>
      <c r="G1166" t="s">
        <v>3216</v>
      </c>
      <c r="H1166">
        <v>0</v>
      </c>
      <c r="I1166">
        <v>0</v>
      </c>
      <c r="J1166">
        <v>0</v>
      </c>
      <c r="K1166">
        <v>0</v>
      </c>
      <c r="L1166" s="22" t="str">
        <f t="shared" si="381"/>
        <v>25/07/2026</v>
      </c>
      <c r="M1166" s="23">
        <f t="shared" si="382"/>
        <v>0.41666666666666663</v>
      </c>
      <c r="N1166" t="str">
        <f t="shared" si="383"/>
        <v>0 - 0</v>
      </c>
      <c r="O1166" t="str">
        <f t="shared" si="384"/>
        <v>Red</v>
      </c>
      <c r="P1166" t="str">
        <f t="shared" si="385"/>
        <v>Green</v>
      </c>
      <c r="Q1166" t="str">
        <f t="shared" si="386"/>
        <v>Red</v>
      </c>
      <c r="R1166" t="str">
        <f t="shared" si="387"/>
        <v>Green</v>
      </c>
      <c r="S1166" t="str">
        <f t="shared" si="388"/>
        <v>Green</v>
      </c>
      <c r="T1166" t="str">
        <f t="shared" si="389"/>
        <v>Red</v>
      </c>
      <c r="U1166" t="str">
        <f t="shared" si="390"/>
        <v>Red</v>
      </c>
      <c r="V1166" t="str">
        <f t="shared" si="391"/>
        <v>Green</v>
      </c>
      <c r="W1166" t="str">
        <f t="shared" si="392"/>
        <v>Red</v>
      </c>
      <c r="X1166" t="str">
        <f t="shared" si="393"/>
        <v>Red</v>
      </c>
      <c r="Y1166" t="str">
        <f t="shared" si="394"/>
        <v>Red</v>
      </c>
      <c r="Z1166" t="str">
        <f t="shared" si="395"/>
        <v>Red</v>
      </c>
      <c r="AA1166" t="str">
        <f t="shared" si="396"/>
        <v>Green</v>
      </c>
      <c r="AB1166" t="str">
        <f t="shared" si="397"/>
        <v>Green</v>
      </c>
      <c r="AC1166" t="str">
        <f t="shared" si="398"/>
        <v>Red</v>
      </c>
      <c r="AD1166" t="str">
        <f t="shared" si="399"/>
        <v>Green</v>
      </c>
    </row>
    <row r="1167" spans="1:30" x14ac:dyDescent="0.2">
      <c r="A1167" t="str">
        <f t="shared" si="380"/>
        <v>25/07/2026Rovaniemi PSJJK Jyvaskyla</v>
      </c>
      <c r="D1167" s="2">
        <v>46228</v>
      </c>
      <c r="E1167" s="3">
        <v>0.54166666666666663</v>
      </c>
      <c r="F1167" t="s">
        <v>294</v>
      </c>
      <c r="G1167" t="s">
        <v>3218</v>
      </c>
      <c r="H1167">
        <v>3</v>
      </c>
      <c r="I1167">
        <v>0</v>
      </c>
      <c r="J1167">
        <v>4</v>
      </c>
      <c r="K1167">
        <v>0</v>
      </c>
      <c r="L1167" s="22" t="str">
        <f t="shared" si="381"/>
        <v>25/07/2026</v>
      </c>
      <c r="M1167" s="23">
        <f t="shared" si="382"/>
        <v>0.41666666666666663</v>
      </c>
      <c r="N1167" t="str">
        <f t="shared" si="383"/>
        <v>4 - 0</v>
      </c>
      <c r="O1167" t="str">
        <f t="shared" si="384"/>
        <v>Green</v>
      </c>
      <c r="P1167" t="str">
        <f t="shared" si="385"/>
        <v>Red</v>
      </c>
      <c r="Q1167" t="str">
        <f t="shared" si="386"/>
        <v>Red</v>
      </c>
      <c r="R1167" t="str">
        <f t="shared" si="387"/>
        <v>Green</v>
      </c>
      <c r="S1167" t="str">
        <f t="shared" si="388"/>
        <v>Red</v>
      </c>
      <c r="T1167" t="str">
        <f t="shared" si="389"/>
        <v>Green</v>
      </c>
      <c r="U1167" t="str">
        <f t="shared" si="390"/>
        <v>Green</v>
      </c>
      <c r="V1167" t="str">
        <f t="shared" si="391"/>
        <v>Red</v>
      </c>
      <c r="W1167" t="str">
        <f t="shared" si="392"/>
        <v>Red</v>
      </c>
      <c r="X1167" t="str">
        <f t="shared" si="393"/>
        <v>Green</v>
      </c>
      <c r="Y1167" t="str">
        <f t="shared" si="394"/>
        <v>Green</v>
      </c>
      <c r="Z1167" t="str">
        <f t="shared" si="395"/>
        <v>Green</v>
      </c>
      <c r="AA1167" t="str">
        <f t="shared" si="396"/>
        <v>Red</v>
      </c>
      <c r="AB1167" t="str">
        <f t="shared" si="397"/>
        <v>Red</v>
      </c>
      <c r="AC1167" t="str">
        <f t="shared" si="398"/>
        <v>Red</v>
      </c>
      <c r="AD1167" t="str">
        <f t="shared" si="399"/>
        <v>Green</v>
      </c>
    </row>
    <row r="1168" spans="1:30" x14ac:dyDescent="0.2">
      <c r="A1168" t="str">
        <f t="shared" si="380"/>
        <v>25/07/2026Salon PalloilijatPallokerho Keski-Uusimaa</v>
      </c>
      <c r="D1168" s="2">
        <v>46228</v>
      </c>
      <c r="E1168" s="3">
        <v>0.54166666666666663</v>
      </c>
      <c r="F1168" t="s">
        <v>3219</v>
      </c>
      <c r="G1168" t="s">
        <v>1681</v>
      </c>
      <c r="H1168">
        <v>0</v>
      </c>
      <c r="I1168">
        <v>0</v>
      </c>
      <c r="J1168">
        <v>0</v>
      </c>
      <c r="K1168">
        <v>1</v>
      </c>
      <c r="L1168" s="22" t="str">
        <f t="shared" si="381"/>
        <v>25/07/2026</v>
      </c>
      <c r="M1168" s="23">
        <f t="shared" si="382"/>
        <v>0.41666666666666663</v>
      </c>
      <c r="N1168" t="str">
        <f t="shared" si="383"/>
        <v>0 - 1</v>
      </c>
      <c r="O1168" t="str">
        <f t="shared" si="384"/>
        <v>Red</v>
      </c>
      <c r="P1168" t="str">
        <f t="shared" si="385"/>
        <v>Red</v>
      </c>
      <c r="Q1168" t="str">
        <f t="shared" si="386"/>
        <v>Green</v>
      </c>
      <c r="R1168" t="str">
        <f t="shared" si="387"/>
        <v>Red</v>
      </c>
      <c r="S1168" t="str">
        <f t="shared" si="388"/>
        <v>Green</v>
      </c>
      <c r="T1168" t="str">
        <f t="shared" si="389"/>
        <v>Green</v>
      </c>
      <c r="U1168" t="str">
        <f t="shared" si="390"/>
        <v>Red</v>
      </c>
      <c r="V1168" t="str">
        <f t="shared" si="391"/>
        <v>Green</v>
      </c>
      <c r="W1168" t="str">
        <f t="shared" si="392"/>
        <v>Red</v>
      </c>
      <c r="X1168" t="str">
        <f t="shared" si="393"/>
        <v>Red</v>
      </c>
      <c r="Y1168" t="str">
        <f t="shared" si="394"/>
        <v>Red</v>
      </c>
      <c r="Z1168" t="str">
        <f t="shared" si="395"/>
        <v>Red</v>
      </c>
      <c r="AA1168" t="str">
        <f t="shared" si="396"/>
        <v>Green</v>
      </c>
      <c r="AB1168" t="str">
        <f t="shared" si="397"/>
        <v>Green</v>
      </c>
      <c r="AC1168" t="str">
        <f t="shared" si="398"/>
        <v>Red</v>
      </c>
      <c r="AD1168" t="str">
        <f t="shared" si="399"/>
        <v>Green</v>
      </c>
    </row>
    <row r="1169" spans="1:30" x14ac:dyDescent="0.2">
      <c r="A1169" t="str">
        <f t="shared" si="380"/>
        <v>25/07/2026AtlantisHelsingin Palloseura</v>
      </c>
      <c r="D1169" s="2">
        <v>46228</v>
      </c>
      <c r="E1169" s="3">
        <v>0.54166666666666663</v>
      </c>
      <c r="F1169" t="s">
        <v>3220</v>
      </c>
      <c r="G1169" t="s">
        <v>3221</v>
      </c>
      <c r="H1169">
        <v>3</v>
      </c>
      <c r="I1169">
        <v>1</v>
      </c>
      <c r="J1169">
        <v>5</v>
      </c>
      <c r="K1169">
        <v>3</v>
      </c>
      <c r="L1169" s="22" t="str">
        <f t="shared" si="381"/>
        <v>25/07/2026</v>
      </c>
      <c r="M1169" s="23">
        <f t="shared" si="382"/>
        <v>0.41666666666666663</v>
      </c>
      <c r="N1169" t="str">
        <f t="shared" si="383"/>
        <v>5 - 3</v>
      </c>
      <c r="O1169" t="str">
        <f t="shared" si="384"/>
        <v>Green</v>
      </c>
      <c r="P1169" t="str">
        <f t="shared" si="385"/>
        <v>Red</v>
      </c>
      <c r="Q1169" t="str">
        <f t="shared" si="386"/>
        <v>Red</v>
      </c>
      <c r="R1169" t="str">
        <f t="shared" si="387"/>
        <v>Green</v>
      </c>
      <c r="S1169" t="str">
        <f t="shared" si="388"/>
        <v>Red</v>
      </c>
      <c r="T1169" t="str">
        <f t="shared" si="389"/>
        <v>Green</v>
      </c>
      <c r="U1169" t="str">
        <f t="shared" si="390"/>
        <v>Green</v>
      </c>
      <c r="V1169" t="str">
        <f t="shared" si="391"/>
        <v>Red</v>
      </c>
      <c r="W1169" t="str">
        <f t="shared" si="392"/>
        <v>Red</v>
      </c>
      <c r="X1169" t="str">
        <f t="shared" si="393"/>
        <v>Green</v>
      </c>
      <c r="Y1169" t="str">
        <f t="shared" si="394"/>
        <v>Green</v>
      </c>
      <c r="Z1169" t="str">
        <f t="shared" si="395"/>
        <v>Green</v>
      </c>
      <c r="AA1169" t="str">
        <f t="shared" si="396"/>
        <v>Red</v>
      </c>
      <c r="AB1169" t="str">
        <f t="shared" si="397"/>
        <v>Red</v>
      </c>
      <c r="AC1169" t="str">
        <f t="shared" si="398"/>
        <v>Green</v>
      </c>
      <c r="AD1169" t="str">
        <f t="shared" si="399"/>
        <v>Red</v>
      </c>
    </row>
    <row r="1170" spans="1:30" x14ac:dyDescent="0.2">
      <c r="A1170" t="str">
        <f t="shared" si="380"/>
        <v>25/07/2026HonkaGrankulla IFK</v>
      </c>
      <c r="D1170" s="2">
        <v>46228</v>
      </c>
      <c r="E1170" s="3">
        <v>0.54166666666666663</v>
      </c>
      <c r="F1170" t="s">
        <v>3222</v>
      </c>
      <c r="G1170" t="s">
        <v>3223</v>
      </c>
      <c r="H1170">
        <v>2</v>
      </c>
      <c r="I1170">
        <v>0</v>
      </c>
      <c r="J1170">
        <v>2</v>
      </c>
      <c r="K1170">
        <v>1</v>
      </c>
      <c r="L1170" s="22" t="str">
        <f t="shared" si="381"/>
        <v>25/07/2026</v>
      </c>
      <c r="M1170" s="23">
        <f t="shared" si="382"/>
        <v>0.41666666666666663</v>
      </c>
      <c r="N1170" t="str">
        <f t="shared" si="383"/>
        <v>2 - 1</v>
      </c>
      <c r="O1170" t="str">
        <f t="shared" si="384"/>
        <v>Green</v>
      </c>
      <c r="P1170" t="str">
        <f t="shared" si="385"/>
        <v>Red</v>
      </c>
      <c r="Q1170" t="str">
        <f t="shared" si="386"/>
        <v>Red</v>
      </c>
      <c r="R1170" t="str">
        <f t="shared" si="387"/>
        <v>Green</v>
      </c>
      <c r="S1170" t="str">
        <f t="shared" si="388"/>
        <v>Red</v>
      </c>
      <c r="T1170" t="str">
        <f t="shared" si="389"/>
        <v>Green</v>
      </c>
      <c r="U1170" t="str">
        <f t="shared" si="390"/>
        <v>Green</v>
      </c>
      <c r="V1170" t="str">
        <f t="shared" si="391"/>
        <v>Red</v>
      </c>
      <c r="W1170" t="str">
        <f t="shared" si="392"/>
        <v>Red</v>
      </c>
      <c r="X1170" t="str">
        <f t="shared" si="393"/>
        <v>Green</v>
      </c>
      <c r="Y1170" t="str">
        <f t="shared" si="394"/>
        <v>Green</v>
      </c>
      <c r="Z1170" t="str">
        <f t="shared" si="395"/>
        <v>Green</v>
      </c>
      <c r="AA1170" t="str">
        <f t="shared" si="396"/>
        <v>Red</v>
      </c>
      <c r="AB1170" t="str">
        <f t="shared" si="397"/>
        <v>Green</v>
      </c>
      <c r="AC1170" t="str">
        <f t="shared" si="398"/>
        <v>Green</v>
      </c>
      <c r="AD1170" t="str">
        <f t="shared" si="399"/>
        <v>Red</v>
      </c>
    </row>
    <row r="1171" spans="1:30" x14ac:dyDescent="0.2">
      <c r="A1171" t="str">
        <f t="shared" si="380"/>
        <v>25/07/2026HuimaSeinajoen JK III</v>
      </c>
      <c r="D1171" s="2">
        <v>46228</v>
      </c>
      <c r="E1171" s="3">
        <v>0.54166666666666663</v>
      </c>
      <c r="F1171" t="s">
        <v>3224</v>
      </c>
      <c r="G1171" t="s">
        <v>3225</v>
      </c>
      <c r="H1171">
        <v>3</v>
      </c>
      <c r="I1171">
        <v>0</v>
      </c>
      <c r="J1171">
        <v>4</v>
      </c>
      <c r="K1171">
        <v>0</v>
      </c>
      <c r="L1171" s="22" t="str">
        <f t="shared" si="381"/>
        <v>25/07/2026</v>
      </c>
      <c r="M1171" s="23">
        <f t="shared" si="382"/>
        <v>0.41666666666666663</v>
      </c>
      <c r="N1171" t="str">
        <f t="shared" si="383"/>
        <v>4 - 0</v>
      </c>
      <c r="O1171" t="str">
        <f t="shared" si="384"/>
        <v>Green</v>
      </c>
      <c r="P1171" t="str">
        <f t="shared" si="385"/>
        <v>Red</v>
      </c>
      <c r="Q1171" t="str">
        <f t="shared" si="386"/>
        <v>Red</v>
      </c>
      <c r="R1171" t="str">
        <f t="shared" si="387"/>
        <v>Green</v>
      </c>
      <c r="S1171" t="str">
        <f t="shared" si="388"/>
        <v>Red</v>
      </c>
      <c r="T1171" t="str">
        <f t="shared" si="389"/>
        <v>Green</v>
      </c>
      <c r="U1171" t="str">
        <f t="shared" si="390"/>
        <v>Green</v>
      </c>
      <c r="V1171" t="str">
        <f t="shared" si="391"/>
        <v>Red</v>
      </c>
      <c r="W1171" t="str">
        <f t="shared" si="392"/>
        <v>Red</v>
      </c>
      <c r="X1171" t="str">
        <f t="shared" si="393"/>
        <v>Green</v>
      </c>
      <c r="Y1171" t="str">
        <f t="shared" si="394"/>
        <v>Green</v>
      </c>
      <c r="Z1171" t="str">
        <f t="shared" si="395"/>
        <v>Green</v>
      </c>
      <c r="AA1171" t="str">
        <f t="shared" si="396"/>
        <v>Red</v>
      </c>
      <c r="AB1171" t="str">
        <f t="shared" si="397"/>
        <v>Red</v>
      </c>
      <c r="AC1171" t="str">
        <f t="shared" si="398"/>
        <v>Red</v>
      </c>
      <c r="AD1171" t="str">
        <f t="shared" si="399"/>
        <v>Green</v>
      </c>
    </row>
    <row r="1172" spans="1:30" x14ac:dyDescent="0.2">
      <c r="A1172" t="str">
        <f t="shared" si="380"/>
        <v>25/07/2026Musan SalamaEPS FC</v>
      </c>
      <c r="D1172" s="2">
        <v>46228</v>
      </c>
      <c r="E1172" s="3">
        <v>0.54166666666666663</v>
      </c>
      <c r="F1172" t="s">
        <v>3226</v>
      </c>
      <c r="G1172" t="s">
        <v>3227</v>
      </c>
      <c r="H1172">
        <v>0</v>
      </c>
      <c r="I1172">
        <v>1</v>
      </c>
      <c r="J1172">
        <v>0</v>
      </c>
      <c r="K1172">
        <v>2</v>
      </c>
      <c r="L1172" s="22" t="str">
        <f t="shared" si="381"/>
        <v>25/07/2026</v>
      </c>
      <c r="M1172" s="23">
        <f t="shared" si="382"/>
        <v>0.41666666666666663</v>
      </c>
      <c r="N1172" t="str">
        <f t="shared" si="383"/>
        <v>0 - 2</v>
      </c>
      <c r="O1172" t="str">
        <f t="shared" si="384"/>
        <v>Red</v>
      </c>
      <c r="P1172" t="str">
        <f t="shared" si="385"/>
        <v>Red</v>
      </c>
      <c r="Q1172" t="str">
        <f t="shared" si="386"/>
        <v>Green</v>
      </c>
      <c r="R1172" t="str">
        <f t="shared" si="387"/>
        <v>Red</v>
      </c>
      <c r="S1172" t="str">
        <f t="shared" si="388"/>
        <v>Green</v>
      </c>
      <c r="T1172" t="str">
        <f t="shared" si="389"/>
        <v>Green</v>
      </c>
      <c r="U1172" t="str">
        <f t="shared" si="390"/>
        <v>Red</v>
      </c>
      <c r="V1172" t="str">
        <f t="shared" si="391"/>
        <v>Red</v>
      </c>
      <c r="W1172" t="str">
        <f t="shared" si="392"/>
        <v>Green</v>
      </c>
      <c r="X1172" t="str">
        <f t="shared" si="393"/>
        <v>Green</v>
      </c>
      <c r="Y1172" t="str">
        <f t="shared" si="394"/>
        <v>Green</v>
      </c>
      <c r="Z1172" t="str">
        <f t="shared" si="395"/>
        <v>Red</v>
      </c>
      <c r="AA1172" t="str">
        <f t="shared" si="396"/>
        <v>Green</v>
      </c>
      <c r="AB1172" t="str">
        <f t="shared" si="397"/>
        <v>Green</v>
      </c>
      <c r="AC1172" t="str">
        <f t="shared" si="398"/>
        <v>Red</v>
      </c>
      <c r="AD1172" t="str">
        <f t="shared" si="399"/>
        <v>Green</v>
      </c>
    </row>
    <row r="1173" spans="1:30" x14ac:dyDescent="0.2">
      <c r="A1173" t="str">
        <f t="shared" si="380"/>
        <v>25/07/2026LAUTP IILAUTP</v>
      </c>
      <c r="D1173" s="2">
        <v>46228</v>
      </c>
      <c r="E1173" s="3">
        <v>0.54166666666666663</v>
      </c>
      <c r="F1173" t="s">
        <v>3244</v>
      </c>
      <c r="G1173" t="s">
        <v>3245</v>
      </c>
      <c r="H1173">
        <v>0</v>
      </c>
      <c r="I1173">
        <v>0</v>
      </c>
      <c r="J1173">
        <v>0</v>
      </c>
      <c r="K1173">
        <v>1</v>
      </c>
      <c r="L1173" s="22" t="str">
        <f t="shared" si="381"/>
        <v>25/07/2026</v>
      </c>
      <c r="M1173" s="23">
        <f t="shared" si="382"/>
        <v>0.41666666666666663</v>
      </c>
      <c r="N1173" t="str">
        <f t="shared" si="383"/>
        <v>0 - 1</v>
      </c>
      <c r="O1173" t="str">
        <f t="shared" si="384"/>
        <v>Red</v>
      </c>
      <c r="P1173" t="str">
        <f t="shared" si="385"/>
        <v>Red</v>
      </c>
      <c r="Q1173" t="str">
        <f t="shared" si="386"/>
        <v>Green</v>
      </c>
      <c r="R1173" t="str">
        <f t="shared" si="387"/>
        <v>Red</v>
      </c>
      <c r="S1173" t="str">
        <f t="shared" si="388"/>
        <v>Green</v>
      </c>
      <c r="T1173" t="str">
        <f t="shared" si="389"/>
        <v>Green</v>
      </c>
      <c r="U1173" t="str">
        <f t="shared" si="390"/>
        <v>Red</v>
      </c>
      <c r="V1173" t="str">
        <f t="shared" si="391"/>
        <v>Green</v>
      </c>
      <c r="W1173" t="str">
        <f t="shared" si="392"/>
        <v>Red</v>
      </c>
      <c r="X1173" t="str">
        <f t="shared" si="393"/>
        <v>Red</v>
      </c>
      <c r="Y1173" t="str">
        <f t="shared" si="394"/>
        <v>Red</v>
      </c>
      <c r="Z1173" t="str">
        <f t="shared" si="395"/>
        <v>Red</v>
      </c>
      <c r="AA1173" t="str">
        <f t="shared" si="396"/>
        <v>Green</v>
      </c>
      <c r="AB1173" t="str">
        <f t="shared" si="397"/>
        <v>Green</v>
      </c>
      <c r="AC1173" t="str">
        <f t="shared" si="398"/>
        <v>Red</v>
      </c>
      <c r="AD1173" t="str">
        <f t="shared" si="399"/>
        <v>Green</v>
      </c>
    </row>
    <row r="1174" spans="1:30" x14ac:dyDescent="0.2">
      <c r="A1174" t="str">
        <f t="shared" si="380"/>
        <v>25/07/2026Peimari UnitedSalon Palloilijat II</v>
      </c>
      <c r="D1174" s="2">
        <v>46228</v>
      </c>
      <c r="E1174" s="3">
        <v>0.54166666666666663</v>
      </c>
      <c r="F1174" t="s">
        <v>3246</v>
      </c>
      <c r="G1174" t="s">
        <v>3247</v>
      </c>
      <c r="H1174">
        <v>0</v>
      </c>
      <c r="I1174">
        <v>0</v>
      </c>
      <c r="J1174">
        <v>1</v>
      </c>
      <c r="K1174">
        <v>1</v>
      </c>
      <c r="L1174" s="22" t="str">
        <f t="shared" si="381"/>
        <v>25/07/2026</v>
      </c>
      <c r="M1174" s="23">
        <f t="shared" si="382"/>
        <v>0.41666666666666663</v>
      </c>
      <c r="N1174" t="str">
        <f t="shared" si="383"/>
        <v>1 - 1</v>
      </c>
      <c r="O1174" t="str">
        <f t="shared" si="384"/>
        <v>Red</v>
      </c>
      <c r="P1174" t="str">
        <f t="shared" si="385"/>
        <v>Green</v>
      </c>
      <c r="Q1174" t="str">
        <f t="shared" si="386"/>
        <v>Red</v>
      </c>
      <c r="R1174" t="str">
        <f t="shared" si="387"/>
        <v>Green</v>
      </c>
      <c r="S1174" t="str">
        <f t="shared" si="388"/>
        <v>Green</v>
      </c>
      <c r="T1174" t="str">
        <f t="shared" si="389"/>
        <v>Red</v>
      </c>
      <c r="U1174" t="str">
        <f t="shared" si="390"/>
        <v>Red</v>
      </c>
      <c r="V1174" t="str">
        <f t="shared" si="391"/>
        <v>Green</v>
      </c>
      <c r="W1174" t="str">
        <f t="shared" si="392"/>
        <v>Red</v>
      </c>
      <c r="X1174" t="str">
        <f t="shared" si="393"/>
        <v>Red</v>
      </c>
      <c r="Y1174" t="str">
        <f t="shared" si="394"/>
        <v>Green</v>
      </c>
      <c r="Z1174" t="str">
        <f t="shared" si="395"/>
        <v>Red</v>
      </c>
      <c r="AA1174" t="str">
        <f t="shared" si="396"/>
        <v>Green</v>
      </c>
      <c r="AB1174" t="str">
        <f t="shared" si="397"/>
        <v>Green</v>
      </c>
      <c r="AC1174" t="str">
        <f t="shared" si="398"/>
        <v>Green</v>
      </c>
      <c r="AD1174" t="str">
        <f t="shared" si="399"/>
        <v>Red</v>
      </c>
    </row>
    <row r="1175" spans="1:30" x14ac:dyDescent="0.2">
      <c r="A1175" t="str">
        <f t="shared" si="380"/>
        <v>25/07/2026FC Teutonia 05Concordia Hamburg</v>
      </c>
      <c r="D1175" s="2">
        <v>46228</v>
      </c>
      <c r="E1175" s="3">
        <v>0.54166666666666663</v>
      </c>
      <c r="F1175" t="s">
        <v>3281</v>
      </c>
      <c r="G1175" t="s">
        <v>3282</v>
      </c>
      <c r="H1175">
        <v>0</v>
      </c>
      <c r="I1175">
        <v>0</v>
      </c>
      <c r="J1175">
        <v>2</v>
      </c>
      <c r="K1175">
        <v>0</v>
      </c>
      <c r="L1175" s="22" t="str">
        <f t="shared" si="381"/>
        <v>25/07/2026</v>
      </c>
      <c r="M1175" s="23">
        <f t="shared" si="382"/>
        <v>0.41666666666666663</v>
      </c>
      <c r="N1175" t="str">
        <f t="shared" si="383"/>
        <v>2 - 0</v>
      </c>
      <c r="O1175" t="str">
        <f t="shared" si="384"/>
        <v>Green</v>
      </c>
      <c r="P1175" t="str">
        <f t="shared" si="385"/>
        <v>Red</v>
      </c>
      <c r="Q1175" t="str">
        <f t="shared" si="386"/>
        <v>Red</v>
      </c>
      <c r="R1175" t="str">
        <f t="shared" si="387"/>
        <v>Green</v>
      </c>
      <c r="S1175" t="str">
        <f t="shared" si="388"/>
        <v>Red</v>
      </c>
      <c r="T1175" t="str">
        <f t="shared" si="389"/>
        <v>Green</v>
      </c>
      <c r="U1175" t="str">
        <f t="shared" si="390"/>
        <v>Red</v>
      </c>
      <c r="V1175" t="str">
        <f t="shared" si="391"/>
        <v>Green</v>
      </c>
      <c r="W1175" t="str">
        <f t="shared" si="392"/>
        <v>Red</v>
      </c>
      <c r="X1175" t="str">
        <f t="shared" si="393"/>
        <v>Red</v>
      </c>
      <c r="Y1175" t="str">
        <f t="shared" si="394"/>
        <v>Green</v>
      </c>
      <c r="Z1175" t="str">
        <f t="shared" si="395"/>
        <v>Red</v>
      </c>
      <c r="AA1175" t="str">
        <f t="shared" si="396"/>
        <v>Green</v>
      </c>
      <c r="AB1175" t="str">
        <f t="shared" si="397"/>
        <v>Green</v>
      </c>
      <c r="AC1175" t="str">
        <f t="shared" si="398"/>
        <v>Red</v>
      </c>
      <c r="AD1175" t="str">
        <f t="shared" si="399"/>
        <v>Green</v>
      </c>
    </row>
    <row r="1176" spans="1:30" x14ac:dyDescent="0.2">
      <c r="A1176" t="str">
        <f t="shared" si="380"/>
        <v>25/07/2026ASV NeumarktTSV Grossbardorf</v>
      </c>
      <c r="D1176" s="2">
        <v>46228</v>
      </c>
      <c r="E1176" s="3">
        <v>0.54166666666666663</v>
      </c>
      <c r="F1176" t="s">
        <v>3286</v>
      </c>
      <c r="G1176" t="s">
        <v>1351</v>
      </c>
      <c r="H1176">
        <v>0</v>
      </c>
      <c r="I1176">
        <v>1</v>
      </c>
      <c r="J1176">
        <v>0</v>
      </c>
      <c r="K1176">
        <v>1</v>
      </c>
      <c r="L1176" s="22" t="str">
        <f t="shared" si="381"/>
        <v>25/07/2026</v>
      </c>
      <c r="M1176" s="23">
        <f t="shared" si="382"/>
        <v>0.41666666666666663</v>
      </c>
      <c r="N1176" t="str">
        <f t="shared" si="383"/>
        <v>0 - 1</v>
      </c>
      <c r="O1176" t="str">
        <f t="shared" si="384"/>
        <v>Red</v>
      </c>
      <c r="P1176" t="str">
        <f t="shared" si="385"/>
        <v>Red</v>
      </c>
      <c r="Q1176" t="str">
        <f t="shared" si="386"/>
        <v>Green</v>
      </c>
      <c r="R1176" t="str">
        <f t="shared" si="387"/>
        <v>Red</v>
      </c>
      <c r="S1176" t="str">
        <f t="shared" si="388"/>
        <v>Green</v>
      </c>
      <c r="T1176" t="str">
        <f t="shared" si="389"/>
        <v>Green</v>
      </c>
      <c r="U1176" t="str">
        <f t="shared" si="390"/>
        <v>Red</v>
      </c>
      <c r="V1176" t="str">
        <f t="shared" si="391"/>
        <v>Red</v>
      </c>
      <c r="W1176" t="str">
        <f t="shared" si="392"/>
        <v>Green</v>
      </c>
      <c r="X1176" t="str">
        <f t="shared" si="393"/>
        <v>Green</v>
      </c>
      <c r="Y1176" t="str">
        <f t="shared" si="394"/>
        <v>Red</v>
      </c>
      <c r="Z1176" t="str">
        <f t="shared" si="395"/>
        <v>Red</v>
      </c>
      <c r="AA1176" t="str">
        <f t="shared" si="396"/>
        <v>Green</v>
      </c>
      <c r="AB1176" t="str">
        <f t="shared" si="397"/>
        <v>Green</v>
      </c>
      <c r="AC1176" t="str">
        <f t="shared" si="398"/>
        <v>Red</v>
      </c>
      <c r="AD1176" t="str">
        <f t="shared" si="399"/>
        <v>Green</v>
      </c>
    </row>
    <row r="1177" spans="1:30" x14ac:dyDescent="0.2">
      <c r="A1177" t="str">
        <f t="shared" si="380"/>
        <v>25/07/2026FC ZhetysuFK Kyzylzhar</v>
      </c>
      <c r="D1177" s="2">
        <v>46228</v>
      </c>
      <c r="E1177" s="3">
        <v>0.54166666666666663</v>
      </c>
      <c r="F1177" t="s">
        <v>3384</v>
      </c>
      <c r="G1177" t="s">
        <v>590</v>
      </c>
      <c r="H1177">
        <v>0</v>
      </c>
      <c r="I1177">
        <v>0</v>
      </c>
      <c r="J1177">
        <v>1</v>
      </c>
      <c r="K1177">
        <v>2</v>
      </c>
      <c r="L1177" s="22" t="str">
        <f t="shared" si="381"/>
        <v>25/07/2026</v>
      </c>
      <c r="M1177" s="23">
        <f t="shared" si="382"/>
        <v>0.41666666666666663</v>
      </c>
      <c r="N1177" t="str">
        <f t="shared" si="383"/>
        <v>1 - 2</v>
      </c>
      <c r="O1177" t="str">
        <f t="shared" si="384"/>
        <v>Red</v>
      </c>
      <c r="P1177" t="str">
        <f t="shared" si="385"/>
        <v>Red</v>
      </c>
      <c r="Q1177" t="str">
        <f t="shared" si="386"/>
        <v>Green</v>
      </c>
      <c r="R1177" t="str">
        <f t="shared" si="387"/>
        <v>Red</v>
      </c>
      <c r="S1177" t="str">
        <f t="shared" si="388"/>
        <v>Green</v>
      </c>
      <c r="T1177" t="str">
        <f t="shared" si="389"/>
        <v>Green</v>
      </c>
      <c r="U1177" t="str">
        <f t="shared" si="390"/>
        <v>Red</v>
      </c>
      <c r="V1177" t="str">
        <f t="shared" si="391"/>
        <v>Green</v>
      </c>
      <c r="W1177" t="str">
        <f t="shared" si="392"/>
        <v>Red</v>
      </c>
      <c r="X1177" t="str">
        <f t="shared" si="393"/>
        <v>Red</v>
      </c>
      <c r="Y1177" t="str">
        <f t="shared" si="394"/>
        <v>Green</v>
      </c>
      <c r="Z1177" t="str">
        <f t="shared" si="395"/>
        <v>Green</v>
      </c>
      <c r="AA1177" t="str">
        <f t="shared" si="396"/>
        <v>Red</v>
      </c>
      <c r="AB1177" t="str">
        <f t="shared" si="397"/>
        <v>Green</v>
      </c>
      <c r="AC1177" t="str">
        <f t="shared" si="398"/>
        <v>Green</v>
      </c>
      <c r="AD1177" t="str">
        <f t="shared" si="399"/>
        <v>Red</v>
      </c>
    </row>
    <row r="1178" spans="1:30" x14ac:dyDescent="0.2">
      <c r="A1178" t="str">
        <f t="shared" si="380"/>
        <v>25/07/2026Ulytau FCIrtysh Pavlodar</v>
      </c>
      <c r="D1178" s="2">
        <v>46228</v>
      </c>
      <c r="E1178" s="3">
        <v>0.54166666666666663</v>
      </c>
      <c r="F1178" t="s">
        <v>3385</v>
      </c>
      <c r="G1178" t="s">
        <v>586</v>
      </c>
      <c r="H1178">
        <v>1</v>
      </c>
      <c r="I1178">
        <v>2</v>
      </c>
      <c r="J1178">
        <v>1</v>
      </c>
      <c r="K1178">
        <v>2</v>
      </c>
      <c r="L1178" s="22" t="str">
        <f t="shared" si="381"/>
        <v>25/07/2026</v>
      </c>
      <c r="M1178" s="23">
        <f t="shared" si="382"/>
        <v>0.41666666666666663</v>
      </c>
      <c r="N1178" t="str">
        <f t="shared" si="383"/>
        <v>1 - 2</v>
      </c>
      <c r="O1178" t="str">
        <f t="shared" si="384"/>
        <v>Red</v>
      </c>
      <c r="P1178" t="str">
        <f t="shared" si="385"/>
        <v>Red</v>
      </c>
      <c r="Q1178" t="str">
        <f t="shared" si="386"/>
        <v>Green</v>
      </c>
      <c r="R1178" t="str">
        <f t="shared" si="387"/>
        <v>Red</v>
      </c>
      <c r="S1178" t="str">
        <f t="shared" si="388"/>
        <v>Green</v>
      </c>
      <c r="T1178" t="str">
        <f t="shared" si="389"/>
        <v>Green</v>
      </c>
      <c r="U1178" t="str">
        <f t="shared" si="390"/>
        <v>Red</v>
      </c>
      <c r="V1178" t="str">
        <f t="shared" si="391"/>
        <v>Red</v>
      </c>
      <c r="W1178" t="str">
        <f t="shared" si="392"/>
        <v>Green</v>
      </c>
      <c r="X1178" t="str">
        <f t="shared" si="393"/>
        <v>Green</v>
      </c>
      <c r="Y1178" t="str">
        <f t="shared" si="394"/>
        <v>Green</v>
      </c>
      <c r="Z1178" t="str">
        <f t="shared" si="395"/>
        <v>Green</v>
      </c>
      <c r="AA1178" t="str">
        <f t="shared" si="396"/>
        <v>Red</v>
      </c>
      <c r="AB1178" t="str">
        <f t="shared" si="397"/>
        <v>Green</v>
      </c>
      <c r="AC1178" t="str">
        <f t="shared" si="398"/>
        <v>Green</v>
      </c>
      <c r="AD1178" t="str">
        <f t="shared" si="399"/>
        <v>Red</v>
      </c>
    </row>
    <row r="1179" spans="1:30" x14ac:dyDescent="0.2">
      <c r="A1179" t="str">
        <f t="shared" si="380"/>
        <v>25/07/2026DSVK TractorsSK Super Nova II</v>
      </c>
      <c r="D1179" s="2">
        <v>46228</v>
      </c>
      <c r="E1179" s="3">
        <v>0.54166666666666663</v>
      </c>
      <c r="F1179" t="s">
        <v>3389</v>
      </c>
      <c r="G1179" t="s">
        <v>597</v>
      </c>
      <c r="H1179">
        <v>0</v>
      </c>
      <c r="I1179">
        <v>1</v>
      </c>
      <c r="J1179">
        <v>1</v>
      </c>
      <c r="K1179">
        <v>1</v>
      </c>
      <c r="L1179" s="22" t="str">
        <f t="shared" si="381"/>
        <v>25/07/2026</v>
      </c>
      <c r="M1179" s="23">
        <f t="shared" si="382"/>
        <v>0.41666666666666663</v>
      </c>
      <c r="N1179" t="str">
        <f t="shared" si="383"/>
        <v>1 - 1</v>
      </c>
      <c r="O1179" t="str">
        <f t="shared" si="384"/>
        <v>Red</v>
      </c>
      <c r="P1179" t="str">
        <f t="shared" si="385"/>
        <v>Green</v>
      </c>
      <c r="Q1179" t="str">
        <f t="shared" si="386"/>
        <v>Red</v>
      </c>
      <c r="R1179" t="str">
        <f t="shared" si="387"/>
        <v>Green</v>
      </c>
      <c r="S1179" t="str">
        <f t="shared" si="388"/>
        <v>Green</v>
      </c>
      <c r="T1179" t="str">
        <f t="shared" si="389"/>
        <v>Red</v>
      </c>
      <c r="U1179" t="str">
        <f t="shared" si="390"/>
        <v>Red</v>
      </c>
      <c r="V1179" t="str">
        <f t="shared" si="391"/>
        <v>Red</v>
      </c>
      <c r="W1179" t="str">
        <f t="shared" si="392"/>
        <v>Green</v>
      </c>
      <c r="X1179" t="str">
        <f t="shared" si="393"/>
        <v>Green</v>
      </c>
      <c r="Y1179" t="str">
        <f t="shared" si="394"/>
        <v>Green</v>
      </c>
      <c r="Z1179" t="str">
        <f t="shared" si="395"/>
        <v>Red</v>
      </c>
      <c r="AA1179" t="str">
        <f t="shared" si="396"/>
        <v>Green</v>
      </c>
      <c r="AB1179" t="str">
        <f t="shared" si="397"/>
        <v>Green</v>
      </c>
      <c r="AC1179" t="str">
        <f t="shared" si="398"/>
        <v>Green</v>
      </c>
      <c r="AD1179" t="str">
        <f t="shared" si="399"/>
        <v>Red</v>
      </c>
    </row>
    <row r="1180" spans="1:30" x14ac:dyDescent="0.2">
      <c r="A1180" t="str">
        <f t="shared" si="380"/>
        <v>25/07/2026Racing BeirutAl Riyadi</v>
      </c>
      <c r="D1180" s="2">
        <v>46228</v>
      </c>
      <c r="E1180" s="3">
        <v>0.54166666666666663</v>
      </c>
      <c r="F1180" t="s">
        <v>1367</v>
      </c>
      <c r="G1180" t="s">
        <v>3395</v>
      </c>
      <c r="H1180">
        <v>0</v>
      </c>
      <c r="I1180">
        <v>0</v>
      </c>
      <c r="J1180">
        <v>1</v>
      </c>
      <c r="K1180">
        <v>2</v>
      </c>
      <c r="L1180" s="22" t="str">
        <f t="shared" si="381"/>
        <v>25/07/2026</v>
      </c>
      <c r="M1180" s="23">
        <f t="shared" si="382"/>
        <v>0.41666666666666663</v>
      </c>
      <c r="N1180" t="str">
        <f t="shared" si="383"/>
        <v>1 - 2</v>
      </c>
      <c r="O1180" t="str">
        <f t="shared" si="384"/>
        <v>Red</v>
      </c>
      <c r="P1180" t="str">
        <f t="shared" si="385"/>
        <v>Red</v>
      </c>
      <c r="Q1180" t="str">
        <f t="shared" si="386"/>
        <v>Green</v>
      </c>
      <c r="R1180" t="str">
        <f t="shared" si="387"/>
        <v>Red</v>
      </c>
      <c r="S1180" t="str">
        <f t="shared" si="388"/>
        <v>Green</v>
      </c>
      <c r="T1180" t="str">
        <f t="shared" si="389"/>
        <v>Green</v>
      </c>
      <c r="U1180" t="str">
        <f t="shared" si="390"/>
        <v>Red</v>
      </c>
      <c r="V1180" t="str">
        <f t="shared" si="391"/>
        <v>Green</v>
      </c>
      <c r="W1180" t="str">
        <f t="shared" si="392"/>
        <v>Red</v>
      </c>
      <c r="X1180" t="str">
        <f t="shared" si="393"/>
        <v>Red</v>
      </c>
      <c r="Y1180" t="str">
        <f t="shared" si="394"/>
        <v>Green</v>
      </c>
      <c r="Z1180" t="str">
        <f t="shared" si="395"/>
        <v>Green</v>
      </c>
      <c r="AA1180" t="str">
        <f t="shared" si="396"/>
        <v>Red</v>
      </c>
      <c r="AB1180" t="str">
        <f t="shared" si="397"/>
        <v>Green</v>
      </c>
      <c r="AC1180" t="str">
        <f t="shared" si="398"/>
        <v>Green</v>
      </c>
      <c r="AD1180" t="str">
        <f t="shared" si="399"/>
        <v>Red</v>
      </c>
    </row>
    <row r="1181" spans="1:30" x14ac:dyDescent="0.2">
      <c r="A1181" t="str">
        <f t="shared" si="380"/>
        <v>25/07/2026ArendalVidar</v>
      </c>
      <c r="D1181" s="2">
        <v>46228</v>
      </c>
      <c r="E1181" s="3">
        <v>0.54166666666666663</v>
      </c>
      <c r="F1181" t="s">
        <v>3449</v>
      </c>
      <c r="G1181" t="s">
        <v>3450</v>
      </c>
      <c r="H1181">
        <v>0</v>
      </c>
      <c r="I1181">
        <v>0</v>
      </c>
      <c r="J1181">
        <v>4</v>
      </c>
      <c r="K1181">
        <v>0</v>
      </c>
      <c r="L1181" s="22" t="str">
        <f t="shared" si="381"/>
        <v>25/07/2026</v>
      </c>
      <c r="M1181" s="23">
        <f t="shared" si="382"/>
        <v>0.41666666666666663</v>
      </c>
      <c r="N1181" t="str">
        <f t="shared" si="383"/>
        <v>4 - 0</v>
      </c>
      <c r="O1181" t="str">
        <f t="shared" si="384"/>
        <v>Green</v>
      </c>
      <c r="P1181" t="str">
        <f t="shared" si="385"/>
        <v>Red</v>
      </c>
      <c r="Q1181" t="str">
        <f t="shared" si="386"/>
        <v>Red</v>
      </c>
      <c r="R1181" t="str">
        <f t="shared" si="387"/>
        <v>Green</v>
      </c>
      <c r="S1181" t="str">
        <f t="shared" si="388"/>
        <v>Red</v>
      </c>
      <c r="T1181" t="str">
        <f t="shared" si="389"/>
        <v>Green</v>
      </c>
      <c r="U1181" t="str">
        <f t="shared" si="390"/>
        <v>Red</v>
      </c>
      <c r="V1181" t="str">
        <f t="shared" si="391"/>
        <v>Green</v>
      </c>
      <c r="W1181" t="str">
        <f t="shared" si="392"/>
        <v>Red</v>
      </c>
      <c r="X1181" t="str">
        <f t="shared" si="393"/>
        <v>Red</v>
      </c>
      <c r="Y1181" t="str">
        <f t="shared" si="394"/>
        <v>Green</v>
      </c>
      <c r="Z1181" t="str">
        <f t="shared" si="395"/>
        <v>Green</v>
      </c>
      <c r="AA1181" t="str">
        <f t="shared" si="396"/>
        <v>Red</v>
      </c>
      <c r="AB1181" t="str">
        <f t="shared" si="397"/>
        <v>Red</v>
      </c>
      <c r="AC1181" t="str">
        <f t="shared" si="398"/>
        <v>Red</v>
      </c>
      <c r="AD1181" t="str">
        <f t="shared" si="399"/>
        <v>Green</v>
      </c>
    </row>
    <row r="1182" spans="1:30" x14ac:dyDescent="0.2">
      <c r="A1182" t="str">
        <f t="shared" si="380"/>
        <v>25/07/2026Eik-TonsbergIL Sandviken</v>
      </c>
      <c r="D1182" s="2">
        <v>46228</v>
      </c>
      <c r="E1182" s="3">
        <v>0.54166666666666663</v>
      </c>
      <c r="F1182" t="s">
        <v>3451</v>
      </c>
      <c r="G1182" t="s">
        <v>3452</v>
      </c>
      <c r="H1182">
        <v>1</v>
      </c>
      <c r="I1182">
        <v>2</v>
      </c>
      <c r="J1182">
        <v>5</v>
      </c>
      <c r="K1182">
        <v>6</v>
      </c>
      <c r="L1182" s="22" t="str">
        <f t="shared" si="381"/>
        <v>25/07/2026</v>
      </c>
      <c r="M1182" s="23">
        <f t="shared" si="382"/>
        <v>0.41666666666666663</v>
      </c>
      <c r="N1182" t="str">
        <f t="shared" si="383"/>
        <v>5 - 6</v>
      </c>
      <c r="O1182" t="str">
        <f t="shared" si="384"/>
        <v>Red</v>
      </c>
      <c r="P1182" t="str">
        <f t="shared" si="385"/>
        <v>Red</v>
      </c>
      <c r="Q1182" t="str">
        <f t="shared" si="386"/>
        <v>Green</v>
      </c>
      <c r="R1182" t="str">
        <f t="shared" si="387"/>
        <v>Red</v>
      </c>
      <c r="S1182" t="str">
        <f t="shared" si="388"/>
        <v>Green</v>
      </c>
      <c r="T1182" t="str">
        <f t="shared" si="389"/>
        <v>Green</v>
      </c>
      <c r="U1182" t="str">
        <f t="shared" si="390"/>
        <v>Red</v>
      </c>
      <c r="V1182" t="str">
        <f t="shared" si="391"/>
        <v>Red</v>
      </c>
      <c r="W1182" t="str">
        <f t="shared" si="392"/>
        <v>Green</v>
      </c>
      <c r="X1182" t="str">
        <f t="shared" si="393"/>
        <v>Green</v>
      </c>
      <c r="Y1182" t="str">
        <f t="shared" si="394"/>
        <v>Green</v>
      </c>
      <c r="Z1182" t="str">
        <f t="shared" si="395"/>
        <v>Green</v>
      </c>
      <c r="AA1182" t="str">
        <f t="shared" si="396"/>
        <v>Red</v>
      </c>
      <c r="AB1182" t="str">
        <f t="shared" si="397"/>
        <v>Red</v>
      </c>
      <c r="AC1182" t="str">
        <f t="shared" si="398"/>
        <v>Green</v>
      </c>
      <c r="AD1182" t="str">
        <f t="shared" si="399"/>
        <v>Red</v>
      </c>
    </row>
    <row r="1183" spans="1:30" x14ac:dyDescent="0.2">
      <c r="A1183" t="str">
        <f t="shared" si="380"/>
        <v>25/07/2026JunkerenLorenskog</v>
      </c>
      <c r="D1183" s="2">
        <v>46228</v>
      </c>
      <c r="E1183" s="3">
        <v>0.54166666666666663</v>
      </c>
      <c r="F1183" t="s">
        <v>3461</v>
      </c>
      <c r="G1183" t="s">
        <v>3462</v>
      </c>
      <c r="H1183">
        <v>0</v>
      </c>
      <c r="I1183">
        <v>0</v>
      </c>
      <c r="J1183">
        <v>1</v>
      </c>
      <c r="K1183">
        <v>0</v>
      </c>
      <c r="L1183" s="22" t="str">
        <f t="shared" si="381"/>
        <v>25/07/2026</v>
      </c>
      <c r="M1183" s="23">
        <f t="shared" si="382"/>
        <v>0.41666666666666663</v>
      </c>
      <c r="N1183" t="str">
        <f t="shared" si="383"/>
        <v>1 - 0</v>
      </c>
      <c r="O1183" t="str">
        <f t="shared" si="384"/>
        <v>Green</v>
      </c>
      <c r="P1183" t="str">
        <f t="shared" si="385"/>
        <v>Red</v>
      </c>
      <c r="Q1183" t="str">
        <f t="shared" si="386"/>
        <v>Red</v>
      </c>
      <c r="R1183" t="str">
        <f t="shared" si="387"/>
        <v>Green</v>
      </c>
      <c r="S1183" t="str">
        <f t="shared" si="388"/>
        <v>Red</v>
      </c>
      <c r="T1183" t="str">
        <f t="shared" si="389"/>
        <v>Green</v>
      </c>
      <c r="U1183" t="str">
        <f t="shared" si="390"/>
        <v>Red</v>
      </c>
      <c r="V1183" t="str">
        <f t="shared" si="391"/>
        <v>Green</v>
      </c>
      <c r="W1183" t="str">
        <f t="shared" si="392"/>
        <v>Red</v>
      </c>
      <c r="X1183" t="str">
        <f t="shared" si="393"/>
        <v>Red</v>
      </c>
      <c r="Y1183" t="str">
        <f t="shared" si="394"/>
        <v>Red</v>
      </c>
      <c r="Z1183" t="str">
        <f t="shared" si="395"/>
        <v>Red</v>
      </c>
      <c r="AA1183" t="str">
        <f t="shared" si="396"/>
        <v>Green</v>
      </c>
      <c r="AB1183" t="str">
        <f t="shared" si="397"/>
        <v>Green</v>
      </c>
      <c r="AC1183" t="str">
        <f t="shared" si="398"/>
        <v>Red</v>
      </c>
      <c r="AD1183" t="str">
        <f t="shared" si="399"/>
        <v>Green</v>
      </c>
    </row>
    <row r="1184" spans="1:30" x14ac:dyDescent="0.2">
      <c r="A1184" t="str">
        <f t="shared" si="380"/>
        <v>25/07/2026Aalesunds IIOrkla</v>
      </c>
      <c r="D1184" s="2">
        <v>46228</v>
      </c>
      <c r="E1184" s="3">
        <v>0.54166666666666663</v>
      </c>
      <c r="F1184" t="s">
        <v>3473</v>
      </c>
      <c r="G1184" t="s">
        <v>3474</v>
      </c>
      <c r="H1184">
        <v>3</v>
      </c>
      <c r="I1184">
        <v>1</v>
      </c>
      <c r="J1184">
        <v>4</v>
      </c>
      <c r="K1184">
        <v>2</v>
      </c>
      <c r="L1184" s="22" t="str">
        <f t="shared" si="381"/>
        <v>25/07/2026</v>
      </c>
      <c r="M1184" s="23">
        <f t="shared" si="382"/>
        <v>0.41666666666666663</v>
      </c>
      <c r="N1184" t="str">
        <f t="shared" si="383"/>
        <v>4 - 2</v>
      </c>
      <c r="O1184" t="str">
        <f t="shared" si="384"/>
        <v>Green</v>
      </c>
      <c r="P1184" t="str">
        <f t="shared" si="385"/>
        <v>Red</v>
      </c>
      <c r="Q1184" t="str">
        <f t="shared" si="386"/>
        <v>Red</v>
      </c>
      <c r="R1184" t="str">
        <f t="shared" si="387"/>
        <v>Green</v>
      </c>
      <c r="S1184" t="str">
        <f t="shared" si="388"/>
        <v>Red</v>
      </c>
      <c r="T1184" t="str">
        <f t="shared" si="389"/>
        <v>Green</v>
      </c>
      <c r="U1184" t="str">
        <f t="shared" si="390"/>
        <v>Green</v>
      </c>
      <c r="V1184" t="str">
        <f t="shared" si="391"/>
        <v>Red</v>
      </c>
      <c r="W1184" t="str">
        <f t="shared" si="392"/>
        <v>Red</v>
      </c>
      <c r="X1184" t="str">
        <f t="shared" si="393"/>
        <v>Green</v>
      </c>
      <c r="Y1184" t="str">
        <f t="shared" si="394"/>
        <v>Green</v>
      </c>
      <c r="Z1184" t="str">
        <f t="shared" si="395"/>
        <v>Green</v>
      </c>
      <c r="AA1184" t="str">
        <f t="shared" si="396"/>
        <v>Red</v>
      </c>
      <c r="AB1184" t="str">
        <f t="shared" si="397"/>
        <v>Red</v>
      </c>
      <c r="AC1184" t="str">
        <f t="shared" si="398"/>
        <v>Green</v>
      </c>
      <c r="AD1184" t="str">
        <f t="shared" si="399"/>
        <v>Red</v>
      </c>
    </row>
    <row r="1185" spans="1:30" x14ac:dyDescent="0.2">
      <c r="A1185" t="str">
        <f t="shared" si="380"/>
        <v>25/07/2026Molde IIByasen</v>
      </c>
      <c r="D1185" s="2">
        <v>46228</v>
      </c>
      <c r="E1185" s="3">
        <v>0.54166666666666663</v>
      </c>
      <c r="F1185" t="s">
        <v>3475</v>
      </c>
      <c r="G1185" t="s">
        <v>3476</v>
      </c>
      <c r="H1185">
        <v>2</v>
      </c>
      <c r="I1185">
        <v>0</v>
      </c>
      <c r="J1185">
        <v>6</v>
      </c>
      <c r="K1185">
        <v>6</v>
      </c>
      <c r="L1185" s="22" t="str">
        <f t="shared" si="381"/>
        <v>25/07/2026</v>
      </c>
      <c r="M1185" s="23">
        <f t="shared" si="382"/>
        <v>0.41666666666666663</v>
      </c>
      <c r="N1185" t="str">
        <f t="shared" si="383"/>
        <v>6 - 6</v>
      </c>
      <c r="O1185" t="str">
        <f t="shared" si="384"/>
        <v>Red</v>
      </c>
      <c r="P1185" t="str">
        <f t="shared" si="385"/>
        <v>Green</v>
      </c>
      <c r="Q1185" t="str">
        <f t="shared" si="386"/>
        <v>Red</v>
      </c>
      <c r="R1185" t="str">
        <f t="shared" si="387"/>
        <v>Green</v>
      </c>
      <c r="S1185" t="str">
        <f t="shared" si="388"/>
        <v>Green</v>
      </c>
      <c r="T1185" t="str">
        <f t="shared" si="389"/>
        <v>Red</v>
      </c>
      <c r="U1185" t="str">
        <f t="shared" si="390"/>
        <v>Green</v>
      </c>
      <c r="V1185" t="str">
        <f t="shared" si="391"/>
        <v>Red</v>
      </c>
      <c r="W1185" t="str">
        <f t="shared" si="392"/>
        <v>Red</v>
      </c>
      <c r="X1185" t="str">
        <f t="shared" si="393"/>
        <v>Green</v>
      </c>
      <c r="Y1185" t="str">
        <f t="shared" si="394"/>
        <v>Green</v>
      </c>
      <c r="Z1185" t="str">
        <f t="shared" si="395"/>
        <v>Green</v>
      </c>
      <c r="AA1185" t="str">
        <f t="shared" si="396"/>
        <v>Red</v>
      </c>
      <c r="AB1185" t="str">
        <f t="shared" si="397"/>
        <v>Red</v>
      </c>
      <c r="AC1185" t="str">
        <f t="shared" si="398"/>
        <v>Green</v>
      </c>
      <c r="AD1185" t="str">
        <f t="shared" si="399"/>
        <v>Red</v>
      </c>
    </row>
    <row r="1186" spans="1:30" x14ac:dyDescent="0.2">
      <c r="A1186" t="str">
        <f t="shared" si="380"/>
        <v>25/07/2026SpjelkavikNardo</v>
      </c>
      <c r="D1186" s="2">
        <v>46228</v>
      </c>
      <c r="E1186" s="3">
        <v>0.54166666666666663</v>
      </c>
      <c r="F1186" t="s">
        <v>3477</v>
      </c>
      <c r="G1186" t="s">
        <v>3478</v>
      </c>
      <c r="H1186">
        <v>1</v>
      </c>
      <c r="I1186">
        <v>0</v>
      </c>
      <c r="J1186">
        <v>4</v>
      </c>
      <c r="K1186">
        <v>2</v>
      </c>
      <c r="L1186" s="22" t="str">
        <f t="shared" si="381"/>
        <v>25/07/2026</v>
      </c>
      <c r="M1186" s="23">
        <f t="shared" si="382"/>
        <v>0.41666666666666663</v>
      </c>
      <c r="N1186" t="str">
        <f t="shared" si="383"/>
        <v>4 - 2</v>
      </c>
      <c r="O1186" t="str">
        <f t="shared" si="384"/>
        <v>Green</v>
      </c>
      <c r="P1186" t="str">
        <f t="shared" si="385"/>
        <v>Red</v>
      </c>
      <c r="Q1186" t="str">
        <f t="shared" si="386"/>
        <v>Red</v>
      </c>
      <c r="R1186" t="str">
        <f t="shared" si="387"/>
        <v>Green</v>
      </c>
      <c r="S1186" t="str">
        <f t="shared" si="388"/>
        <v>Red</v>
      </c>
      <c r="T1186" t="str">
        <f t="shared" si="389"/>
        <v>Green</v>
      </c>
      <c r="U1186" t="str">
        <f t="shared" si="390"/>
        <v>Green</v>
      </c>
      <c r="V1186" t="str">
        <f t="shared" si="391"/>
        <v>Red</v>
      </c>
      <c r="W1186" t="str">
        <f t="shared" si="392"/>
        <v>Red</v>
      </c>
      <c r="X1186" t="str">
        <f t="shared" si="393"/>
        <v>Green</v>
      </c>
      <c r="Y1186" t="str">
        <f t="shared" si="394"/>
        <v>Green</v>
      </c>
      <c r="Z1186" t="str">
        <f t="shared" si="395"/>
        <v>Green</v>
      </c>
      <c r="AA1186" t="str">
        <f t="shared" si="396"/>
        <v>Red</v>
      </c>
      <c r="AB1186" t="str">
        <f t="shared" si="397"/>
        <v>Red</v>
      </c>
      <c r="AC1186" t="str">
        <f t="shared" si="398"/>
        <v>Green</v>
      </c>
      <c r="AD1186" t="str">
        <f t="shared" si="399"/>
        <v>Red</v>
      </c>
    </row>
    <row r="1187" spans="1:30" x14ac:dyDescent="0.2">
      <c r="A1187" t="str">
        <f t="shared" si="380"/>
        <v>25/07/2026Hinna FKVindbjart</v>
      </c>
      <c r="D1187" s="2">
        <v>46228</v>
      </c>
      <c r="E1187" s="3">
        <v>0.54166666666666663</v>
      </c>
      <c r="F1187" t="s">
        <v>3487</v>
      </c>
      <c r="G1187" t="s">
        <v>3488</v>
      </c>
      <c r="H1187">
        <v>0</v>
      </c>
      <c r="I1187">
        <v>2</v>
      </c>
      <c r="J1187">
        <v>0</v>
      </c>
      <c r="K1187">
        <v>7</v>
      </c>
      <c r="L1187" s="22" t="str">
        <f t="shared" si="381"/>
        <v>25/07/2026</v>
      </c>
      <c r="M1187" s="23">
        <f t="shared" si="382"/>
        <v>0.41666666666666663</v>
      </c>
      <c r="N1187" t="str">
        <f t="shared" si="383"/>
        <v>0 - 7</v>
      </c>
      <c r="O1187" t="str">
        <f t="shared" si="384"/>
        <v>Red</v>
      </c>
      <c r="P1187" t="str">
        <f t="shared" si="385"/>
        <v>Red</v>
      </c>
      <c r="Q1187" t="str">
        <f t="shared" si="386"/>
        <v>Green</v>
      </c>
      <c r="R1187" t="str">
        <f t="shared" si="387"/>
        <v>Red</v>
      </c>
      <c r="S1187" t="str">
        <f t="shared" si="388"/>
        <v>Green</v>
      </c>
      <c r="T1187" t="str">
        <f t="shared" si="389"/>
        <v>Green</v>
      </c>
      <c r="U1187" t="str">
        <f t="shared" si="390"/>
        <v>Red</v>
      </c>
      <c r="V1187" t="str">
        <f t="shared" si="391"/>
        <v>Red</v>
      </c>
      <c r="W1187" t="str">
        <f t="shared" si="392"/>
        <v>Green</v>
      </c>
      <c r="X1187" t="str">
        <f t="shared" si="393"/>
        <v>Green</v>
      </c>
      <c r="Y1187" t="str">
        <f t="shared" si="394"/>
        <v>Green</v>
      </c>
      <c r="Z1187" t="str">
        <f t="shared" si="395"/>
        <v>Green</v>
      </c>
      <c r="AA1187" t="str">
        <f t="shared" si="396"/>
        <v>Red</v>
      </c>
      <c r="AB1187" t="str">
        <f t="shared" si="397"/>
        <v>Red</v>
      </c>
      <c r="AC1187" t="str">
        <f t="shared" si="398"/>
        <v>Red</v>
      </c>
      <c r="AD1187" t="str">
        <f t="shared" si="399"/>
        <v>Green</v>
      </c>
    </row>
    <row r="1188" spans="1:30" x14ac:dyDescent="0.2">
      <c r="A1188" t="str">
        <f t="shared" si="380"/>
        <v>25/07/2026MadlaFlekkeroy</v>
      </c>
      <c r="D1188" s="2">
        <v>46228</v>
      </c>
      <c r="E1188" s="3">
        <v>0.54166666666666663</v>
      </c>
      <c r="F1188" t="s">
        <v>3489</v>
      </c>
      <c r="G1188" t="s">
        <v>3490</v>
      </c>
      <c r="H1188">
        <v>4</v>
      </c>
      <c r="I1188">
        <v>0</v>
      </c>
      <c r="J1188">
        <v>5</v>
      </c>
      <c r="K1188">
        <v>1</v>
      </c>
      <c r="L1188" s="22" t="str">
        <f t="shared" si="381"/>
        <v>25/07/2026</v>
      </c>
      <c r="M1188" s="23">
        <f t="shared" si="382"/>
        <v>0.41666666666666663</v>
      </c>
      <c r="N1188" t="str">
        <f t="shared" si="383"/>
        <v>5 - 1</v>
      </c>
      <c r="O1188" t="str">
        <f t="shared" si="384"/>
        <v>Green</v>
      </c>
      <c r="P1188" t="str">
        <f t="shared" si="385"/>
        <v>Red</v>
      </c>
      <c r="Q1188" t="str">
        <f t="shared" si="386"/>
        <v>Red</v>
      </c>
      <c r="R1188" t="str">
        <f t="shared" si="387"/>
        <v>Green</v>
      </c>
      <c r="S1188" t="str">
        <f t="shared" si="388"/>
        <v>Red</v>
      </c>
      <c r="T1188" t="str">
        <f t="shared" si="389"/>
        <v>Green</v>
      </c>
      <c r="U1188" t="str">
        <f t="shared" si="390"/>
        <v>Green</v>
      </c>
      <c r="V1188" t="str">
        <f t="shared" si="391"/>
        <v>Red</v>
      </c>
      <c r="W1188" t="str">
        <f t="shared" si="392"/>
        <v>Red</v>
      </c>
      <c r="X1188" t="str">
        <f t="shared" si="393"/>
        <v>Green</v>
      </c>
      <c r="Y1188" t="str">
        <f t="shared" si="394"/>
        <v>Green</v>
      </c>
      <c r="Z1188" t="str">
        <f t="shared" si="395"/>
        <v>Green</v>
      </c>
      <c r="AA1188" t="str">
        <f t="shared" si="396"/>
        <v>Red</v>
      </c>
      <c r="AB1188" t="str">
        <f t="shared" si="397"/>
        <v>Red</v>
      </c>
      <c r="AC1188" t="str">
        <f t="shared" si="398"/>
        <v>Green</v>
      </c>
      <c r="AD1188" t="str">
        <f t="shared" si="399"/>
        <v>Red</v>
      </c>
    </row>
    <row r="1189" spans="1:30" x14ac:dyDescent="0.2">
      <c r="A1189" t="str">
        <f t="shared" si="380"/>
        <v>25/07/2026MandalskamerateneStaal Jorpeland</v>
      </c>
      <c r="D1189" s="2">
        <v>46228</v>
      </c>
      <c r="E1189" s="3">
        <v>0.54166666666666663</v>
      </c>
      <c r="F1189" t="s">
        <v>3491</v>
      </c>
      <c r="G1189" t="s">
        <v>3492</v>
      </c>
      <c r="H1189">
        <v>4</v>
      </c>
      <c r="I1189">
        <v>2</v>
      </c>
      <c r="J1189">
        <v>8</v>
      </c>
      <c r="K1189">
        <v>3</v>
      </c>
      <c r="L1189" s="22" t="str">
        <f t="shared" si="381"/>
        <v>25/07/2026</v>
      </c>
      <c r="M1189" s="23">
        <f t="shared" si="382"/>
        <v>0.41666666666666663</v>
      </c>
      <c r="N1189" t="str">
        <f t="shared" si="383"/>
        <v>8 - 3</v>
      </c>
      <c r="O1189" t="str">
        <f t="shared" si="384"/>
        <v>Green</v>
      </c>
      <c r="P1189" t="str">
        <f t="shared" si="385"/>
        <v>Red</v>
      </c>
      <c r="Q1189" t="str">
        <f t="shared" si="386"/>
        <v>Red</v>
      </c>
      <c r="R1189" t="str">
        <f t="shared" si="387"/>
        <v>Green</v>
      </c>
      <c r="S1189" t="str">
        <f t="shared" si="388"/>
        <v>Red</v>
      </c>
      <c r="T1189" t="str">
        <f t="shared" si="389"/>
        <v>Green</v>
      </c>
      <c r="U1189" t="str">
        <f t="shared" si="390"/>
        <v>Green</v>
      </c>
      <c r="V1189" t="str">
        <f t="shared" si="391"/>
        <v>Red</v>
      </c>
      <c r="W1189" t="str">
        <f t="shared" si="392"/>
        <v>Red</v>
      </c>
      <c r="X1189" t="str">
        <f t="shared" si="393"/>
        <v>Green</v>
      </c>
      <c r="Y1189" t="str">
        <f t="shared" si="394"/>
        <v>Green</v>
      </c>
      <c r="Z1189" t="str">
        <f t="shared" si="395"/>
        <v>Green</v>
      </c>
      <c r="AA1189" t="str">
        <f t="shared" si="396"/>
        <v>Red</v>
      </c>
      <c r="AB1189" t="str">
        <f t="shared" si="397"/>
        <v>Red</v>
      </c>
      <c r="AC1189" t="str">
        <f t="shared" si="398"/>
        <v>Green</v>
      </c>
      <c r="AD1189" t="str">
        <f t="shared" si="399"/>
        <v>Red</v>
      </c>
    </row>
    <row r="1190" spans="1:30" x14ac:dyDescent="0.2">
      <c r="A1190" t="str">
        <f t="shared" si="380"/>
        <v>25/07/2026FinnsnesStromsgodset II</v>
      </c>
      <c r="D1190" s="2">
        <v>46228</v>
      </c>
      <c r="E1190" s="3">
        <v>0.54166666666666663</v>
      </c>
      <c r="F1190" t="s">
        <v>3497</v>
      </c>
      <c r="G1190" t="s">
        <v>3498</v>
      </c>
      <c r="H1190">
        <v>0</v>
      </c>
      <c r="I1190">
        <v>1</v>
      </c>
      <c r="J1190">
        <v>2</v>
      </c>
      <c r="K1190">
        <v>1</v>
      </c>
      <c r="L1190" s="22" t="str">
        <f t="shared" si="381"/>
        <v>25/07/2026</v>
      </c>
      <c r="M1190" s="23">
        <f t="shared" si="382"/>
        <v>0.41666666666666663</v>
      </c>
      <c r="N1190" t="str">
        <f t="shared" si="383"/>
        <v>2 - 1</v>
      </c>
      <c r="O1190" t="str">
        <f t="shared" si="384"/>
        <v>Green</v>
      </c>
      <c r="P1190" t="str">
        <f t="shared" si="385"/>
        <v>Red</v>
      </c>
      <c r="Q1190" t="str">
        <f t="shared" si="386"/>
        <v>Red</v>
      </c>
      <c r="R1190" t="str">
        <f t="shared" si="387"/>
        <v>Green</v>
      </c>
      <c r="S1190" t="str">
        <f t="shared" si="388"/>
        <v>Red</v>
      </c>
      <c r="T1190" t="str">
        <f t="shared" si="389"/>
        <v>Green</v>
      </c>
      <c r="U1190" t="str">
        <f t="shared" si="390"/>
        <v>Red</v>
      </c>
      <c r="V1190" t="str">
        <f t="shared" si="391"/>
        <v>Red</v>
      </c>
      <c r="W1190" t="str">
        <f t="shared" si="392"/>
        <v>Green</v>
      </c>
      <c r="X1190" t="str">
        <f t="shared" si="393"/>
        <v>Green</v>
      </c>
      <c r="Y1190" t="str">
        <f t="shared" si="394"/>
        <v>Green</v>
      </c>
      <c r="Z1190" t="str">
        <f t="shared" si="395"/>
        <v>Green</v>
      </c>
      <c r="AA1190" t="str">
        <f t="shared" si="396"/>
        <v>Red</v>
      </c>
      <c r="AB1190" t="str">
        <f t="shared" si="397"/>
        <v>Green</v>
      </c>
      <c r="AC1190" t="str">
        <f t="shared" si="398"/>
        <v>Green</v>
      </c>
      <c r="AD1190" t="str">
        <f t="shared" si="399"/>
        <v>Red</v>
      </c>
    </row>
    <row r="1191" spans="1:30" x14ac:dyDescent="0.2">
      <c r="A1191" t="str">
        <f t="shared" si="380"/>
        <v>25/07/2026Skjerv√∂yAlta</v>
      </c>
      <c r="D1191" s="2">
        <v>46228</v>
      </c>
      <c r="E1191" s="3">
        <v>0.54166666666666663</v>
      </c>
      <c r="F1191" t="s">
        <v>3499</v>
      </c>
      <c r="G1191" t="s">
        <v>3500</v>
      </c>
      <c r="H1191">
        <v>1</v>
      </c>
      <c r="I1191">
        <v>1</v>
      </c>
      <c r="J1191">
        <v>4</v>
      </c>
      <c r="K1191">
        <v>2</v>
      </c>
      <c r="L1191" s="22" t="str">
        <f t="shared" si="381"/>
        <v>25/07/2026</v>
      </c>
      <c r="M1191" s="23">
        <f t="shared" si="382"/>
        <v>0.41666666666666663</v>
      </c>
      <c r="N1191" t="str">
        <f t="shared" si="383"/>
        <v>4 - 2</v>
      </c>
      <c r="O1191" t="str">
        <f t="shared" si="384"/>
        <v>Green</v>
      </c>
      <c r="P1191" t="str">
        <f t="shared" si="385"/>
        <v>Red</v>
      </c>
      <c r="Q1191" t="str">
        <f t="shared" si="386"/>
        <v>Red</v>
      </c>
      <c r="R1191" t="str">
        <f t="shared" si="387"/>
        <v>Green</v>
      </c>
      <c r="S1191" t="str">
        <f t="shared" si="388"/>
        <v>Red</v>
      </c>
      <c r="T1191" t="str">
        <f t="shared" si="389"/>
        <v>Green</v>
      </c>
      <c r="U1191" t="str">
        <f t="shared" si="390"/>
        <v>Red</v>
      </c>
      <c r="V1191" t="str">
        <f t="shared" si="391"/>
        <v>Green</v>
      </c>
      <c r="W1191" t="str">
        <f t="shared" si="392"/>
        <v>Red</v>
      </c>
      <c r="X1191" t="str">
        <f t="shared" si="393"/>
        <v>Green</v>
      </c>
      <c r="Y1191" t="str">
        <f t="shared" si="394"/>
        <v>Green</v>
      </c>
      <c r="Z1191" t="str">
        <f t="shared" si="395"/>
        <v>Green</v>
      </c>
      <c r="AA1191" t="str">
        <f t="shared" si="396"/>
        <v>Red</v>
      </c>
      <c r="AB1191" t="str">
        <f t="shared" si="397"/>
        <v>Red</v>
      </c>
      <c r="AC1191" t="str">
        <f t="shared" si="398"/>
        <v>Green</v>
      </c>
      <c r="AD1191" t="str">
        <f t="shared" si="399"/>
        <v>Red</v>
      </c>
    </row>
    <row r="1192" spans="1:30" x14ac:dyDescent="0.2">
      <c r="A1192" t="str">
        <f t="shared" si="380"/>
        <v>25/07/2026Tromso IIIL Ulfstind</v>
      </c>
      <c r="D1192" s="2">
        <v>46228</v>
      </c>
      <c r="E1192" s="3">
        <v>0.54166666666666663</v>
      </c>
      <c r="F1192" t="s">
        <v>3501</v>
      </c>
      <c r="G1192" t="s">
        <v>3502</v>
      </c>
      <c r="H1192">
        <v>0</v>
      </c>
      <c r="I1192">
        <v>0</v>
      </c>
      <c r="J1192">
        <v>1</v>
      </c>
      <c r="K1192">
        <v>3</v>
      </c>
      <c r="L1192" s="22" t="str">
        <f t="shared" si="381"/>
        <v>25/07/2026</v>
      </c>
      <c r="M1192" s="23">
        <f t="shared" si="382"/>
        <v>0.41666666666666663</v>
      </c>
      <c r="N1192" t="str">
        <f t="shared" si="383"/>
        <v>1 - 3</v>
      </c>
      <c r="O1192" t="str">
        <f t="shared" si="384"/>
        <v>Red</v>
      </c>
      <c r="P1192" t="str">
        <f t="shared" si="385"/>
        <v>Red</v>
      </c>
      <c r="Q1192" t="str">
        <f t="shared" si="386"/>
        <v>Green</v>
      </c>
      <c r="R1192" t="str">
        <f t="shared" si="387"/>
        <v>Red</v>
      </c>
      <c r="S1192" t="str">
        <f t="shared" si="388"/>
        <v>Green</v>
      </c>
      <c r="T1192" t="str">
        <f t="shared" si="389"/>
        <v>Green</v>
      </c>
      <c r="U1192" t="str">
        <f t="shared" si="390"/>
        <v>Red</v>
      </c>
      <c r="V1192" t="str">
        <f t="shared" si="391"/>
        <v>Green</v>
      </c>
      <c r="W1192" t="str">
        <f t="shared" si="392"/>
        <v>Red</v>
      </c>
      <c r="X1192" t="str">
        <f t="shared" si="393"/>
        <v>Red</v>
      </c>
      <c r="Y1192" t="str">
        <f t="shared" si="394"/>
        <v>Green</v>
      </c>
      <c r="Z1192" t="str">
        <f t="shared" si="395"/>
        <v>Green</v>
      </c>
      <c r="AA1192" t="str">
        <f t="shared" si="396"/>
        <v>Red</v>
      </c>
      <c r="AB1192" t="str">
        <f t="shared" si="397"/>
        <v>Red</v>
      </c>
      <c r="AC1192" t="str">
        <f t="shared" si="398"/>
        <v>Green</v>
      </c>
      <c r="AD1192" t="str">
        <f t="shared" si="399"/>
        <v>Red</v>
      </c>
    </row>
    <row r="1193" spans="1:30" x14ac:dyDescent="0.2">
      <c r="A1193" t="str">
        <f t="shared" si="380"/>
        <v>25/07/2026BjorkelangenFram</v>
      </c>
      <c r="D1193" s="2">
        <v>46228</v>
      </c>
      <c r="E1193" s="3">
        <v>0.54166666666666663</v>
      </c>
      <c r="F1193" t="s">
        <v>3507</v>
      </c>
      <c r="G1193" t="s">
        <v>3508</v>
      </c>
      <c r="H1193">
        <v>0</v>
      </c>
      <c r="I1193">
        <v>1</v>
      </c>
      <c r="J1193">
        <v>0</v>
      </c>
      <c r="K1193">
        <v>2</v>
      </c>
      <c r="L1193" s="22" t="str">
        <f t="shared" si="381"/>
        <v>25/07/2026</v>
      </c>
      <c r="M1193" s="23">
        <f t="shared" si="382"/>
        <v>0.41666666666666663</v>
      </c>
      <c r="N1193" t="str">
        <f t="shared" si="383"/>
        <v>0 - 2</v>
      </c>
      <c r="O1193" t="str">
        <f t="shared" si="384"/>
        <v>Red</v>
      </c>
      <c r="P1193" t="str">
        <f t="shared" si="385"/>
        <v>Red</v>
      </c>
      <c r="Q1193" t="str">
        <f t="shared" si="386"/>
        <v>Green</v>
      </c>
      <c r="R1193" t="str">
        <f t="shared" si="387"/>
        <v>Red</v>
      </c>
      <c r="S1193" t="str">
        <f t="shared" si="388"/>
        <v>Green</v>
      </c>
      <c r="T1193" t="str">
        <f t="shared" si="389"/>
        <v>Green</v>
      </c>
      <c r="U1193" t="str">
        <f t="shared" si="390"/>
        <v>Red</v>
      </c>
      <c r="V1193" t="str">
        <f t="shared" si="391"/>
        <v>Red</v>
      </c>
      <c r="W1193" t="str">
        <f t="shared" si="392"/>
        <v>Green</v>
      </c>
      <c r="X1193" t="str">
        <f t="shared" si="393"/>
        <v>Green</v>
      </c>
      <c r="Y1193" t="str">
        <f t="shared" si="394"/>
        <v>Green</v>
      </c>
      <c r="Z1193" t="str">
        <f t="shared" si="395"/>
        <v>Red</v>
      </c>
      <c r="AA1193" t="str">
        <f t="shared" si="396"/>
        <v>Green</v>
      </c>
      <c r="AB1193" t="str">
        <f t="shared" si="397"/>
        <v>Green</v>
      </c>
      <c r="AC1193" t="str">
        <f t="shared" si="398"/>
        <v>Red</v>
      </c>
      <c r="AD1193" t="str">
        <f t="shared" si="399"/>
        <v>Green</v>
      </c>
    </row>
    <row r="1194" spans="1:30" x14ac:dyDescent="0.2">
      <c r="A1194" t="str">
        <f t="shared" si="380"/>
        <v>25/07/2026ElverumSandefjord II</v>
      </c>
      <c r="D1194" s="2">
        <v>46228</v>
      </c>
      <c r="E1194" s="3">
        <v>0.54166666666666663</v>
      </c>
      <c r="F1194" t="s">
        <v>3509</v>
      </c>
      <c r="G1194" t="s">
        <v>3510</v>
      </c>
      <c r="H1194">
        <v>3</v>
      </c>
      <c r="I1194">
        <v>3</v>
      </c>
      <c r="J1194">
        <v>5</v>
      </c>
      <c r="K1194">
        <v>3</v>
      </c>
      <c r="L1194" s="22" t="str">
        <f t="shared" si="381"/>
        <v>25/07/2026</v>
      </c>
      <c r="M1194" s="23">
        <f t="shared" si="382"/>
        <v>0.41666666666666663</v>
      </c>
      <c r="N1194" t="str">
        <f t="shared" si="383"/>
        <v>5 - 3</v>
      </c>
      <c r="O1194" t="str">
        <f t="shared" si="384"/>
        <v>Green</v>
      </c>
      <c r="P1194" t="str">
        <f t="shared" si="385"/>
        <v>Red</v>
      </c>
      <c r="Q1194" t="str">
        <f t="shared" si="386"/>
        <v>Red</v>
      </c>
      <c r="R1194" t="str">
        <f t="shared" si="387"/>
        <v>Green</v>
      </c>
      <c r="S1194" t="str">
        <f t="shared" si="388"/>
        <v>Red</v>
      </c>
      <c r="T1194" t="str">
        <f t="shared" si="389"/>
        <v>Green</v>
      </c>
      <c r="U1194" t="str">
        <f t="shared" si="390"/>
        <v>Red</v>
      </c>
      <c r="V1194" t="str">
        <f t="shared" si="391"/>
        <v>Green</v>
      </c>
      <c r="W1194" t="str">
        <f t="shared" si="392"/>
        <v>Red</v>
      </c>
      <c r="X1194" t="str">
        <f t="shared" si="393"/>
        <v>Green</v>
      </c>
      <c r="Y1194" t="str">
        <f t="shared" si="394"/>
        <v>Green</v>
      </c>
      <c r="Z1194" t="str">
        <f t="shared" si="395"/>
        <v>Green</v>
      </c>
      <c r="AA1194" t="str">
        <f t="shared" si="396"/>
        <v>Red</v>
      </c>
      <c r="AB1194" t="str">
        <f t="shared" si="397"/>
        <v>Red</v>
      </c>
      <c r="AC1194" t="str">
        <f t="shared" si="398"/>
        <v>Green</v>
      </c>
      <c r="AD1194" t="str">
        <f t="shared" si="399"/>
        <v>Red</v>
      </c>
    </row>
    <row r="1195" spans="1:30" x14ac:dyDescent="0.2">
      <c r="A1195" t="str">
        <f t="shared" si="380"/>
        <v>25/07/2026Gjovik-LynRade</v>
      </c>
      <c r="D1195" s="2">
        <v>46228</v>
      </c>
      <c r="E1195" s="3">
        <v>0.54166666666666663</v>
      </c>
      <c r="F1195" t="s">
        <v>3511</v>
      </c>
      <c r="G1195" t="s">
        <v>3512</v>
      </c>
      <c r="H1195">
        <v>0</v>
      </c>
      <c r="I1195">
        <v>0</v>
      </c>
      <c r="J1195">
        <v>0</v>
      </c>
      <c r="K1195">
        <v>3</v>
      </c>
      <c r="L1195" s="22" t="str">
        <f t="shared" si="381"/>
        <v>25/07/2026</v>
      </c>
      <c r="M1195" s="23">
        <f t="shared" si="382"/>
        <v>0.41666666666666663</v>
      </c>
      <c r="N1195" t="str">
        <f t="shared" si="383"/>
        <v>0 - 3</v>
      </c>
      <c r="O1195" t="str">
        <f t="shared" si="384"/>
        <v>Red</v>
      </c>
      <c r="P1195" t="str">
        <f t="shared" si="385"/>
        <v>Red</v>
      </c>
      <c r="Q1195" t="str">
        <f t="shared" si="386"/>
        <v>Green</v>
      </c>
      <c r="R1195" t="str">
        <f t="shared" si="387"/>
        <v>Red</v>
      </c>
      <c r="S1195" t="str">
        <f t="shared" si="388"/>
        <v>Green</v>
      </c>
      <c r="T1195" t="str">
        <f t="shared" si="389"/>
        <v>Green</v>
      </c>
      <c r="U1195" t="str">
        <f t="shared" si="390"/>
        <v>Red</v>
      </c>
      <c r="V1195" t="str">
        <f t="shared" si="391"/>
        <v>Green</v>
      </c>
      <c r="W1195" t="str">
        <f t="shared" si="392"/>
        <v>Red</v>
      </c>
      <c r="X1195" t="str">
        <f t="shared" si="393"/>
        <v>Red</v>
      </c>
      <c r="Y1195" t="str">
        <f t="shared" si="394"/>
        <v>Green</v>
      </c>
      <c r="Z1195" t="str">
        <f t="shared" si="395"/>
        <v>Green</v>
      </c>
      <c r="AA1195" t="str">
        <f t="shared" si="396"/>
        <v>Red</v>
      </c>
      <c r="AB1195" t="str">
        <f t="shared" si="397"/>
        <v>Green</v>
      </c>
      <c r="AC1195" t="str">
        <f t="shared" si="398"/>
        <v>Red</v>
      </c>
      <c r="AD1195" t="str">
        <f t="shared" si="399"/>
        <v>Green</v>
      </c>
    </row>
    <row r="1196" spans="1:30" x14ac:dyDescent="0.2">
      <c r="A1196" t="str">
        <f t="shared" si="380"/>
        <v>25/07/2026RaelingenLillehammer</v>
      </c>
      <c r="D1196" s="2">
        <v>46228</v>
      </c>
      <c r="E1196" s="3">
        <v>0.54166666666666663</v>
      </c>
      <c r="F1196" t="s">
        <v>3513</v>
      </c>
      <c r="G1196" t="s">
        <v>3514</v>
      </c>
      <c r="H1196">
        <v>1</v>
      </c>
      <c r="I1196">
        <v>2</v>
      </c>
      <c r="J1196">
        <v>2</v>
      </c>
      <c r="K1196">
        <v>4</v>
      </c>
      <c r="L1196" s="22" t="str">
        <f t="shared" si="381"/>
        <v>25/07/2026</v>
      </c>
      <c r="M1196" s="23">
        <f t="shared" si="382"/>
        <v>0.41666666666666663</v>
      </c>
      <c r="N1196" t="str">
        <f t="shared" si="383"/>
        <v>2 - 4</v>
      </c>
      <c r="O1196" t="str">
        <f t="shared" si="384"/>
        <v>Red</v>
      </c>
      <c r="P1196" t="str">
        <f t="shared" si="385"/>
        <v>Red</v>
      </c>
      <c r="Q1196" t="str">
        <f t="shared" si="386"/>
        <v>Green</v>
      </c>
      <c r="R1196" t="str">
        <f t="shared" si="387"/>
        <v>Red</v>
      </c>
      <c r="S1196" t="str">
        <f t="shared" si="388"/>
        <v>Green</v>
      </c>
      <c r="T1196" t="str">
        <f t="shared" si="389"/>
        <v>Green</v>
      </c>
      <c r="U1196" t="str">
        <f t="shared" si="390"/>
        <v>Red</v>
      </c>
      <c r="V1196" t="str">
        <f t="shared" si="391"/>
        <v>Red</v>
      </c>
      <c r="W1196" t="str">
        <f t="shared" si="392"/>
        <v>Green</v>
      </c>
      <c r="X1196" t="str">
        <f t="shared" si="393"/>
        <v>Green</v>
      </c>
      <c r="Y1196" t="str">
        <f t="shared" si="394"/>
        <v>Green</v>
      </c>
      <c r="Z1196" t="str">
        <f t="shared" si="395"/>
        <v>Green</v>
      </c>
      <c r="AA1196" t="str">
        <f t="shared" si="396"/>
        <v>Red</v>
      </c>
      <c r="AB1196" t="str">
        <f t="shared" si="397"/>
        <v>Red</v>
      </c>
      <c r="AC1196" t="str">
        <f t="shared" si="398"/>
        <v>Green</v>
      </c>
      <c r="AD1196" t="str">
        <f t="shared" si="399"/>
        <v>Red</v>
      </c>
    </row>
    <row r="1197" spans="1:30" x14ac:dyDescent="0.2">
      <c r="A1197" t="str">
        <f t="shared" si="380"/>
        <v>25/07/2026TacuarySol de America</v>
      </c>
      <c r="D1197" s="2">
        <v>46228</v>
      </c>
      <c r="E1197" s="3">
        <v>0.54166666666666663</v>
      </c>
      <c r="F1197" t="s">
        <v>281</v>
      </c>
      <c r="G1197" t="s">
        <v>3519</v>
      </c>
      <c r="H1197">
        <v>1</v>
      </c>
      <c r="I1197">
        <v>1</v>
      </c>
      <c r="J1197">
        <v>1</v>
      </c>
      <c r="K1197">
        <v>1</v>
      </c>
      <c r="L1197" s="22" t="str">
        <f t="shared" si="381"/>
        <v>25/07/2026</v>
      </c>
      <c r="M1197" s="23">
        <f t="shared" si="382"/>
        <v>0.41666666666666663</v>
      </c>
      <c r="N1197" t="str">
        <f t="shared" si="383"/>
        <v>1 - 1</v>
      </c>
      <c r="O1197" t="str">
        <f t="shared" si="384"/>
        <v>Red</v>
      </c>
      <c r="P1197" t="str">
        <f t="shared" si="385"/>
        <v>Green</v>
      </c>
      <c r="Q1197" t="str">
        <f t="shared" si="386"/>
        <v>Red</v>
      </c>
      <c r="R1197" t="str">
        <f t="shared" si="387"/>
        <v>Green</v>
      </c>
      <c r="S1197" t="str">
        <f t="shared" si="388"/>
        <v>Green</v>
      </c>
      <c r="T1197" t="str">
        <f t="shared" si="389"/>
        <v>Red</v>
      </c>
      <c r="U1197" t="str">
        <f t="shared" si="390"/>
        <v>Red</v>
      </c>
      <c r="V1197" t="str">
        <f t="shared" si="391"/>
        <v>Green</v>
      </c>
      <c r="W1197" t="str">
        <f t="shared" si="392"/>
        <v>Red</v>
      </c>
      <c r="X1197" t="str">
        <f t="shared" si="393"/>
        <v>Green</v>
      </c>
      <c r="Y1197" t="str">
        <f t="shared" si="394"/>
        <v>Green</v>
      </c>
      <c r="Z1197" t="str">
        <f t="shared" si="395"/>
        <v>Red</v>
      </c>
      <c r="AA1197" t="str">
        <f t="shared" si="396"/>
        <v>Green</v>
      </c>
      <c r="AB1197" t="str">
        <f t="shared" si="397"/>
        <v>Green</v>
      </c>
      <c r="AC1197" t="str">
        <f t="shared" si="398"/>
        <v>Green</v>
      </c>
      <c r="AD1197" t="str">
        <f t="shared" si="399"/>
        <v>Red</v>
      </c>
    </row>
    <row r="1198" spans="1:30" x14ac:dyDescent="0.2">
      <c r="A1198" t="str">
        <f t="shared" si="380"/>
        <v>25/07/2026Volga UlyanovskNeftekhimik Nizhnekamsk</v>
      </c>
      <c r="D1198" s="2">
        <v>46228</v>
      </c>
      <c r="E1198" s="3">
        <v>0.54166666666666663</v>
      </c>
      <c r="F1198" t="s">
        <v>3556</v>
      </c>
      <c r="G1198" t="s">
        <v>3557</v>
      </c>
      <c r="H1198">
        <v>1</v>
      </c>
      <c r="I1198">
        <v>0</v>
      </c>
      <c r="J1198">
        <v>2</v>
      </c>
      <c r="K1198">
        <v>0</v>
      </c>
      <c r="L1198" s="22" t="str">
        <f t="shared" si="381"/>
        <v>25/07/2026</v>
      </c>
      <c r="M1198" s="23">
        <f t="shared" si="382"/>
        <v>0.41666666666666663</v>
      </c>
      <c r="N1198" t="str">
        <f t="shared" si="383"/>
        <v>2 - 0</v>
      </c>
      <c r="O1198" t="str">
        <f t="shared" si="384"/>
        <v>Green</v>
      </c>
      <c r="P1198" t="str">
        <f t="shared" si="385"/>
        <v>Red</v>
      </c>
      <c r="Q1198" t="str">
        <f t="shared" si="386"/>
        <v>Red</v>
      </c>
      <c r="R1198" t="str">
        <f t="shared" si="387"/>
        <v>Green</v>
      </c>
      <c r="S1198" t="str">
        <f t="shared" si="388"/>
        <v>Red</v>
      </c>
      <c r="T1198" t="str">
        <f t="shared" si="389"/>
        <v>Green</v>
      </c>
      <c r="U1198" t="str">
        <f t="shared" si="390"/>
        <v>Green</v>
      </c>
      <c r="V1198" t="str">
        <f t="shared" si="391"/>
        <v>Red</v>
      </c>
      <c r="W1198" t="str">
        <f t="shared" si="392"/>
        <v>Red</v>
      </c>
      <c r="X1198" t="str">
        <f t="shared" si="393"/>
        <v>Green</v>
      </c>
      <c r="Y1198" t="str">
        <f t="shared" si="394"/>
        <v>Green</v>
      </c>
      <c r="Z1198" t="str">
        <f t="shared" si="395"/>
        <v>Red</v>
      </c>
      <c r="AA1198" t="str">
        <f t="shared" si="396"/>
        <v>Green</v>
      </c>
      <c r="AB1198" t="str">
        <f t="shared" si="397"/>
        <v>Green</v>
      </c>
      <c r="AC1198" t="str">
        <f t="shared" si="398"/>
        <v>Red</v>
      </c>
      <c r="AD1198" t="str">
        <f t="shared" si="399"/>
        <v>Green</v>
      </c>
    </row>
    <row r="1199" spans="1:30" x14ac:dyDescent="0.2">
      <c r="A1199" t="str">
        <f t="shared" ref="A1199:A1262" si="400">L1198&amp;F1199&amp;G1199</f>
        <v>25/07/2026IFK VarnamoIK Brage</v>
      </c>
      <c r="B1199" t="s">
        <v>827</v>
      </c>
      <c r="D1199" s="2">
        <v>46228</v>
      </c>
      <c r="E1199" s="3">
        <v>0.54166666666666663</v>
      </c>
      <c r="F1199" t="s">
        <v>599</v>
      </c>
      <c r="G1199" t="s">
        <v>600</v>
      </c>
      <c r="H1199">
        <v>0</v>
      </c>
      <c r="I1199">
        <v>0</v>
      </c>
      <c r="J1199">
        <v>0</v>
      </c>
      <c r="K1199">
        <v>0</v>
      </c>
      <c r="L1199" s="22" t="str">
        <f t="shared" ref="L1199:L1262" si="401">DAY(D1199)&amp;"/"&amp;"07"&amp;"/"&amp;YEAR(D1199)</f>
        <v>25/07/2026</v>
      </c>
      <c r="M1199" s="23">
        <f t="shared" ref="M1199:M1262" si="402">E1199-TIME(3,0,0)</f>
        <v>0.41666666666666663</v>
      </c>
      <c r="N1199" t="str">
        <f t="shared" ref="N1199:N1262" si="403">J1199&amp;" - "&amp;K1199</f>
        <v>0 - 0</v>
      </c>
      <c r="O1199" t="str">
        <f t="shared" si="384"/>
        <v>Red</v>
      </c>
      <c r="P1199" t="str">
        <f t="shared" si="385"/>
        <v>Green</v>
      </c>
      <c r="Q1199" t="str">
        <f t="shared" si="386"/>
        <v>Red</v>
      </c>
      <c r="R1199" t="str">
        <f t="shared" si="387"/>
        <v>Green</v>
      </c>
      <c r="S1199" t="str">
        <f t="shared" si="388"/>
        <v>Green</v>
      </c>
      <c r="T1199" t="str">
        <f t="shared" si="389"/>
        <v>Red</v>
      </c>
      <c r="U1199" t="str">
        <f t="shared" si="390"/>
        <v>Red</v>
      </c>
      <c r="V1199" t="str">
        <f t="shared" si="391"/>
        <v>Green</v>
      </c>
      <c r="W1199" t="str">
        <f t="shared" si="392"/>
        <v>Red</v>
      </c>
      <c r="X1199" t="str">
        <f t="shared" si="393"/>
        <v>Red</v>
      </c>
      <c r="Y1199" t="str">
        <f t="shared" si="394"/>
        <v>Red</v>
      </c>
      <c r="Z1199" t="str">
        <f t="shared" si="395"/>
        <v>Red</v>
      </c>
      <c r="AA1199" t="str">
        <f t="shared" si="396"/>
        <v>Green</v>
      </c>
      <c r="AB1199" t="str">
        <f t="shared" si="397"/>
        <v>Green</v>
      </c>
      <c r="AC1199" t="str">
        <f t="shared" si="398"/>
        <v>Red</v>
      </c>
      <c r="AD1199" t="str">
        <f t="shared" si="399"/>
        <v>Green</v>
      </c>
    </row>
    <row r="1200" spans="1:30" x14ac:dyDescent="0.2">
      <c r="A1200" t="str">
        <f t="shared" si="400"/>
        <v>25/07/2026Enskede IK WomenGoteborg 2 Women</v>
      </c>
      <c r="B1200" t="s">
        <v>827</v>
      </c>
      <c r="D1200" s="2">
        <v>46228</v>
      </c>
      <c r="E1200" s="3">
        <v>0.54166666666666663</v>
      </c>
      <c r="F1200" t="s">
        <v>3665</v>
      </c>
      <c r="G1200" t="s">
        <v>3666</v>
      </c>
      <c r="H1200">
        <v>0</v>
      </c>
      <c r="I1200">
        <v>0</v>
      </c>
      <c r="J1200">
        <v>1</v>
      </c>
      <c r="K1200">
        <v>1</v>
      </c>
      <c r="L1200" s="22" t="str">
        <f t="shared" si="401"/>
        <v>25/07/2026</v>
      </c>
      <c r="M1200" s="23">
        <f t="shared" si="402"/>
        <v>0.41666666666666663</v>
      </c>
      <c r="N1200" t="str">
        <f t="shared" si="403"/>
        <v>1 - 1</v>
      </c>
      <c r="O1200" t="str">
        <f t="shared" si="384"/>
        <v>Red</v>
      </c>
      <c r="P1200" t="str">
        <f t="shared" si="385"/>
        <v>Green</v>
      </c>
      <c r="Q1200" t="str">
        <f t="shared" si="386"/>
        <v>Red</v>
      </c>
      <c r="R1200" t="str">
        <f t="shared" si="387"/>
        <v>Green</v>
      </c>
      <c r="S1200" t="str">
        <f t="shared" si="388"/>
        <v>Green</v>
      </c>
      <c r="T1200" t="str">
        <f t="shared" si="389"/>
        <v>Red</v>
      </c>
      <c r="U1200" t="str">
        <f t="shared" si="390"/>
        <v>Red</v>
      </c>
      <c r="V1200" t="str">
        <f t="shared" si="391"/>
        <v>Green</v>
      </c>
      <c r="W1200" t="str">
        <f t="shared" si="392"/>
        <v>Red</v>
      </c>
      <c r="X1200" t="str">
        <f t="shared" si="393"/>
        <v>Red</v>
      </c>
      <c r="Y1200" t="str">
        <f t="shared" si="394"/>
        <v>Green</v>
      </c>
      <c r="Z1200" t="str">
        <f t="shared" si="395"/>
        <v>Red</v>
      </c>
      <c r="AA1200" t="str">
        <f t="shared" si="396"/>
        <v>Green</v>
      </c>
      <c r="AB1200" t="str">
        <f t="shared" si="397"/>
        <v>Green</v>
      </c>
      <c r="AC1200" t="str">
        <f t="shared" si="398"/>
        <v>Green</v>
      </c>
      <c r="AD1200" t="str">
        <f t="shared" si="399"/>
        <v>Red</v>
      </c>
    </row>
    <row r="1201" spans="1:30" x14ac:dyDescent="0.2">
      <c r="A1201" t="str">
        <f t="shared" si="400"/>
        <v>25/07/2026IFK Trelleborg WomenLinkopings Women</v>
      </c>
      <c r="B1201" t="s">
        <v>827</v>
      </c>
      <c r="D1201" s="2">
        <v>46228</v>
      </c>
      <c r="E1201" s="3">
        <v>0.54166666666666663</v>
      </c>
      <c r="F1201" t="s">
        <v>3667</v>
      </c>
      <c r="G1201" t="s">
        <v>3668</v>
      </c>
      <c r="H1201">
        <v>1</v>
      </c>
      <c r="I1201">
        <v>0</v>
      </c>
      <c r="J1201">
        <v>1</v>
      </c>
      <c r="K1201">
        <v>1</v>
      </c>
      <c r="L1201" s="22" t="str">
        <f t="shared" si="401"/>
        <v>25/07/2026</v>
      </c>
      <c r="M1201" s="23">
        <f t="shared" si="402"/>
        <v>0.41666666666666663</v>
      </c>
      <c r="N1201" t="str">
        <f t="shared" si="403"/>
        <v>1 - 1</v>
      </c>
      <c r="O1201" t="str">
        <f t="shared" si="384"/>
        <v>Red</v>
      </c>
      <c r="P1201" t="str">
        <f t="shared" si="385"/>
        <v>Green</v>
      </c>
      <c r="Q1201" t="str">
        <f t="shared" si="386"/>
        <v>Red</v>
      </c>
      <c r="R1201" t="str">
        <f t="shared" si="387"/>
        <v>Green</v>
      </c>
      <c r="S1201" t="str">
        <f t="shared" si="388"/>
        <v>Green</v>
      </c>
      <c r="T1201" t="str">
        <f t="shared" si="389"/>
        <v>Red</v>
      </c>
      <c r="U1201" t="str">
        <f t="shared" si="390"/>
        <v>Green</v>
      </c>
      <c r="V1201" t="str">
        <f t="shared" si="391"/>
        <v>Red</v>
      </c>
      <c r="W1201" t="str">
        <f t="shared" si="392"/>
        <v>Red</v>
      </c>
      <c r="X1201" t="str">
        <f t="shared" si="393"/>
        <v>Green</v>
      </c>
      <c r="Y1201" t="str">
        <f t="shared" si="394"/>
        <v>Green</v>
      </c>
      <c r="Z1201" t="str">
        <f t="shared" si="395"/>
        <v>Red</v>
      </c>
      <c r="AA1201" t="str">
        <f t="shared" si="396"/>
        <v>Green</v>
      </c>
      <c r="AB1201" t="str">
        <f t="shared" si="397"/>
        <v>Green</v>
      </c>
      <c r="AC1201" t="str">
        <f t="shared" si="398"/>
        <v>Green</v>
      </c>
      <c r="AD1201" t="str">
        <f t="shared" si="399"/>
        <v>Red</v>
      </c>
    </row>
    <row r="1202" spans="1:30" x14ac:dyDescent="0.2">
      <c r="A1202" t="str">
        <f t="shared" si="400"/>
        <v>25/07/2026MFC Zhytomyr IIUCSA</v>
      </c>
      <c r="D1202" s="2">
        <v>46228</v>
      </c>
      <c r="E1202" s="3">
        <v>0.54166666666666663</v>
      </c>
      <c r="F1202" t="s">
        <v>3682</v>
      </c>
      <c r="G1202" t="s">
        <v>3683</v>
      </c>
      <c r="H1202">
        <v>2</v>
      </c>
      <c r="I1202">
        <v>1</v>
      </c>
      <c r="J1202">
        <v>2</v>
      </c>
      <c r="K1202">
        <v>2</v>
      </c>
      <c r="L1202" s="22" t="str">
        <f t="shared" si="401"/>
        <v>25/07/2026</v>
      </c>
      <c r="M1202" s="23">
        <f t="shared" si="402"/>
        <v>0.41666666666666663</v>
      </c>
      <c r="N1202" t="str">
        <f t="shared" si="403"/>
        <v>2 - 2</v>
      </c>
      <c r="O1202" t="str">
        <f t="shared" si="384"/>
        <v>Red</v>
      </c>
      <c r="P1202" t="str">
        <f t="shared" si="385"/>
        <v>Green</v>
      </c>
      <c r="Q1202" t="str">
        <f t="shared" si="386"/>
        <v>Red</v>
      </c>
      <c r="R1202" t="str">
        <f t="shared" si="387"/>
        <v>Green</v>
      </c>
      <c r="S1202" t="str">
        <f t="shared" si="388"/>
        <v>Green</v>
      </c>
      <c r="T1202" t="str">
        <f t="shared" si="389"/>
        <v>Red</v>
      </c>
      <c r="U1202" t="str">
        <f t="shared" si="390"/>
        <v>Green</v>
      </c>
      <c r="V1202" t="str">
        <f t="shared" si="391"/>
        <v>Red</v>
      </c>
      <c r="W1202" t="str">
        <f t="shared" si="392"/>
        <v>Red</v>
      </c>
      <c r="X1202" t="str">
        <f t="shared" si="393"/>
        <v>Green</v>
      </c>
      <c r="Y1202" t="str">
        <f t="shared" si="394"/>
        <v>Green</v>
      </c>
      <c r="Z1202" t="str">
        <f t="shared" si="395"/>
        <v>Green</v>
      </c>
      <c r="AA1202" t="str">
        <f t="shared" si="396"/>
        <v>Red</v>
      </c>
      <c r="AB1202" t="str">
        <f t="shared" si="397"/>
        <v>Red</v>
      </c>
      <c r="AC1202" t="str">
        <f t="shared" si="398"/>
        <v>Green</v>
      </c>
      <c r="AD1202" t="str">
        <f t="shared" si="399"/>
        <v>Red</v>
      </c>
    </row>
    <row r="1203" spans="1:30" x14ac:dyDescent="0.2">
      <c r="A1203" t="str">
        <f t="shared" si="400"/>
        <v>25/07/2026Colon MontevideoPaysandu FC</v>
      </c>
      <c r="D1203" s="2">
        <v>46228</v>
      </c>
      <c r="E1203" s="3">
        <v>0.54166666666666663</v>
      </c>
      <c r="F1203" t="s">
        <v>3687</v>
      </c>
      <c r="G1203" t="s">
        <v>1271</v>
      </c>
      <c r="H1203">
        <v>0</v>
      </c>
      <c r="I1203">
        <v>0</v>
      </c>
      <c r="J1203">
        <v>2</v>
      </c>
      <c r="K1203">
        <v>3</v>
      </c>
      <c r="L1203" s="22" t="str">
        <f t="shared" si="401"/>
        <v>25/07/2026</v>
      </c>
      <c r="M1203" s="23">
        <f t="shared" si="402"/>
        <v>0.41666666666666663</v>
      </c>
      <c r="N1203" t="str">
        <f t="shared" si="403"/>
        <v>2 - 3</v>
      </c>
      <c r="O1203" t="str">
        <f t="shared" si="384"/>
        <v>Red</v>
      </c>
      <c r="P1203" t="str">
        <f t="shared" si="385"/>
        <v>Red</v>
      </c>
      <c r="Q1203" t="str">
        <f t="shared" si="386"/>
        <v>Green</v>
      </c>
      <c r="R1203" t="str">
        <f t="shared" si="387"/>
        <v>Red</v>
      </c>
      <c r="S1203" t="str">
        <f t="shared" si="388"/>
        <v>Green</v>
      </c>
      <c r="T1203" t="str">
        <f t="shared" si="389"/>
        <v>Green</v>
      </c>
      <c r="U1203" t="str">
        <f t="shared" si="390"/>
        <v>Red</v>
      </c>
      <c r="V1203" t="str">
        <f t="shared" si="391"/>
        <v>Green</v>
      </c>
      <c r="W1203" t="str">
        <f t="shared" si="392"/>
        <v>Red</v>
      </c>
      <c r="X1203" t="str">
        <f t="shared" si="393"/>
        <v>Red</v>
      </c>
      <c r="Y1203" t="str">
        <f t="shared" si="394"/>
        <v>Green</v>
      </c>
      <c r="Z1203" t="str">
        <f t="shared" si="395"/>
        <v>Green</v>
      </c>
      <c r="AA1203" t="str">
        <f t="shared" si="396"/>
        <v>Red</v>
      </c>
      <c r="AB1203" t="str">
        <f t="shared" si="397"/>
        <v>Red</v>
      </c>
      <c r="AC1203" t="str">
        <f t="shared" si="398"/>
        <v>Green</v>
      </c>
      <c r="AD1203" t="str">
        <f t="shared" si="399"/>
        <v>Red</v>
      </c>
    </row>
    <row r="1204" spans="1:30" x14ac:dyDescent="0.2">
      <c r="A1204" t="str">
        <f t="shared" si="400"/>
        <v>25/07/2026AngersCreteil</v>
      </c>
      <c r="D1204" s="2">
        <v>46228</v>
      </c>
      <c r="E1204" s="3">
        <v>0.54166666666666663</v>
      </c>
      <c r="F1204" t="s">
        <v>1755</v>
      </c>
      <c r="G1204" t="s">
        <v>3816</v>
      </c>
      <c r="H1204">
        <v>1</v>
      </c>
      <c r="I1204">
        <v>0</v>
      </c>
      <c r="J1204">
        <v>2</v>
      </c>
      <c r="K1204">
        <v>1</v>
      </c>
      <c r="L1204" s="22" t="str">
        <f t="shared" si="401"/>
        <v>25/07/2026</v>
      </c>
      <c r="M1204" s="23">
        <f t="shared" si="402"/>
        <v>0.41666666666666663</v>
      </c>
      <c r="N1204" t="str">
        <f t="shared" si="403"/>
        <v>2 - 1</v>
      </c>
      <c r="O1204" t="str">
        <f t="shared" si="384"/>
        <v>Green</v>
      </c>
      <c r="P1204" t="str">
        <f t="shared" si="385"/>
        <v>Red</v>
      </c>
      <c r="Q1204" t="str">
        <f t="shared" si="386"/>
        <v>Red</v>
      </c>
      <c r="R1204" t="str">
        <f t="shared" si="387"/>
        <v>Green</v>
      </c>
      <c r="S1204" t="str">
        <f t="shared" si="388"/>
        <v>Red</v>
      </c>
      <c r="T1204" t="str">
        <f t="shared" si="389"/>
        <v>Green</v>
      </c>
      <c r="U1204" t="str">
        <f t="shared" si="390"/>
        <v>Green</v>
      </c>
      <c r="V1204" t="str">
        <f t="shared" si="391"/>
        <v>Red</v>
      </c>
      <c r="W1204" t="str">
        <f t="shared" si="392"/>
        <v>Red</v>
      </c>
      <c r="X1204" t="str">
        <f t="shared" si="393"/>
        <v>Green</v>
      </c>
      <c r="Y1204" t="str">
        <f t="shared" si="394"/>
        <v>Green</v>
      </c>
      <c r="Z1204" t="str">
        <f t="shared" si="395"/>
        <v>Green</v>
      </c>
      <c r="AA1204" t="str">
        <f t="shared" si="396"/>
        <v>Red</v>
      </c>
      <c r="AB1204" t="str">
        <f t="shared" si="397"/>
        <v>Green</v>
      </c>
      <c r="AC1204" t="str">
        <f t="shared" si="398"/>
        <v>Green</v>
      </c>
      <c r="AD1204" t="str">
        <f t="shared" si="399"/>
        <v>Red</v>
      </c>
    </row>
    <row r="1205" spans="1:30" x14ac:dyDescent="0.2">
      <c r="A1205" t="str">
        <f t="shared" si="400"/>
        <v>25/07/2026Arminia BielefeldMSV Duisburg</v>
      </c>
      <c r="D1205" s="2">
        <v>46228</v>
      </c>
      <c r="E1205" s="3">
        <v>0.54166666666666663</v>
      </c>
      <c r="F1205" t="s">
        <v>3817</v>
      </c>
      <c r="G1205" t="s">
        <v>1709</v>
      </c>
      <c r="H1205">
        <v>1</v>
      </c>
      <c r="I1205">
        <v>1</v>
      </c>
      <c r="J1205">
        <v>1</v>
      </c>
      <c r="K1205">
        <v>1</v>
      </c>
      <c r="L1205" s="22" t="str">
        <f t="shared" si="401"/>
        <v>25/07/2026</v>
      </c>
      <c r="M1205" s="23">
        <f t="shared" si="402"/>
        <v>0.41666666666666663</v>
      </c>
      <c r="N1205" t="str">
        <f t="shared" si="403"/>
        <v>1 - 1</v>
      </c>
      <c r="O1205" t="str">
        <f t="shared" si="384"/>
        <v>Red</v>
      </c>
      <c r="P1205" t="str">
        <f t="shared" si="385"/>
        <v>Green</v>
      </c>
      <c r="Q1205" t="str">
        <f t="shared" si="386"/>
        <v>Red</v>
      </c>
      <c r="R1205" t="str">
        <f t="shared" si="387"/>
        <v>Green</v>
      </c>
      <c r="S1205" t="str">
        <f t="shared" si="388"/>
        <v>Green</v>
      </c>
      <c r="T1205" t="str">
        <f t="shared" si="389"/>
        <v>Red</v>
      </c>
      <c r="U1205" t="str">
        <f t="shared" si="390"/>
        <v>Red</v>
      </c>
      <c r="V1205" t="str">
        <f t="shared" si="391"/>
        <v>Green</v>
      </c>
      <c r="W1205" t="str">
        <f t="shared" si="392"/>
        <v>Red</v>
      </c>
      <c r="X1205" t="str">
        <f t="shared" si="393"/>
        <v>Green</v>
      </c>
      <c r="Y1205" t="str">
        <f t="shared" si="394"/>
        <v>Green</v>
      </c>
      <c r="Z1205" t="str">
        <f t="shared" si="395"/>
        <v>Red</v>
      </c>
      <c r="AA1205" t="str">
        <f t="shared" si="396"/>
        <v>Green</v>
      </c>
      <c r="AB1205" t="str">
        <f t="shared" si="397"/>
        <v>Green</v>
      </c>
      <c r="AC1205" t="str">
        <f t="shared" si="398"/>
        <v>Green</v>
      </c>
      <c r="AD1205" t="str">
        <f t="shared" si="399"/>
        <v>Red</v>
      </c>
    </row>
    <row r="1206" spans="1:30" x14ac:dyDescent="0.2">
      <c r="A1206" t="str">
        <f t="shared" si="400"/>
        <v>25/07/2026AZ AlkmaarOlympiacos</v>
      </c>
      <c r="D1206" s="2">
        <v>46228</v>
      </c>
      <c r="E1206" s="3">
        <v>0.54166666666666663</v>
      </c>
      <c r="F1206" t="s">
        <v>1733</v>
      </c>
      <c r="G1206" t="s">
        <v>2683</v>
      </c>
      <c r="H1206">
        <v>0</v>
      </c>
      <c r="I1206">
        <v>2</v>
      </c>
      <c r="J1206">
        <v>3</v>
      </c>
      <c r="K1206">
        <v>2</v>
      </c>
      <c r="L1206" s="22" t="str">
        <f t="shared" si="401"/>
        <v>25/07/2026</v>
      </c>
      <c r="M1206" s="23">
        <f t="shared" si="402"/>
        <v>0.41666666666666663</v>
      </c>
      <c r="N1206" t="str">
        <f t="shared" si="403"/>
        <v>3 - 2</v>
      </c>
      <c r="O1206" t="str">
        <f t="shared" si="384"/>
        <v>Green</v>
      </c>
      <c r="P1206" t="str">
        <f t="shared" si="385"/>
        <v>Red</v>
      </c>
      <c r="Q1206" t="str">
        <f t="shared" si="386"/>
        <v>Red</v>
      </c>
      <c r="R1206" t="str">
        <f t="shared" si="387"/>
        <v>Green</v>
      </c>
      <c r="S1206" t="str">
        <f t="shared" si="388"/>
        <v>Red</v>
      </c>
      <c r="T1206" t="str">
        <f t="shared" si="389"/>
        <v>Green</v>
      </c>
      <c r="U1206" t="str">
        <f t="shared" si="390"/>
        <v>Red</v>
      </c>
      <c r="V1206" t="str">
        <f t="shared" si="391"/>
        <v>Red</v>
      </c>
      <c r="W1206" t="str">
        <f t="shared" si="392"/>
        <v>Green</v>
      </c>
      <c r="X1206" t="str">
        <f t="shared" si="393"/>
        <v>Green</v>
      </c>
      <c r="Y1206" t="str">
        <f t="shared" si="394"/>
        <v>Green</v>
      </c>
      <c r="Z1206" t="str">
        <f t="shared" si="395"/>
        <v>Green</v>
      </c>
      <c r="AA1206" t="str">
        <f t="shared" si="396"/>
        <v>Red</v>
      </c>
      <c r="AB1206" t="str">
        <f t="shared" si="397"/>
        <v>Red</v>
      </c>
      <c r="AC1206" t="str">
        <f t="shared" si="398"/>
        <v>Green</v>
      </c>
      <c r="AD1206" t="str">
        <f t="shared" si="399"/>
        <v>Red</v>
      </c>
    </row>
    <row r="1207" spans="1:30" x14ac:dyDescent="0.2">
      <c r="A1207" t="str">
        <f t="shared" si="400"/>
        <v>25/07/2026Cleethorpes TownGrimsby Borough</v>
      </c>
      <c r="D1207" s="2">
        <v>46228</v>
      </c>
      <c r="E1207" s="3">
        <v>0.54166666666666663</v>
      </c>
      <c r="F1207" t="s">
        <v>3818</v>
      </c>
      <c r="G1207" t="s">
        <v>3819</v>
      </c>
      <c r="H1207">
        <v>1</v>
      </c>
      <c r="I1207">
        <v>1</v>
      </c>
      <c r="J1207">
        <v>2</v>
      </c>
      <c r="K1207">
        <v>2</v>
      </c>
      <c r="L1207" s="22" t="str">
        <f t="shared" si="401"/>
        <v>25/07/2026</v>
      </c>
      <c r="M1207" s="23">
        <f t="shared" si="402"/>
        <v>0.41666666666666663</v>
      </c>
      <c r="N1207" t="str">
        <f t="shared" si="403"/>
        <v>2 - 2</v>
      </c>
      <c r="O1207" t="str">
        <f t="shared" si="384"/>
        <v>Red</v>
      </c>
      <c r="P1207" t="str">
        <f t="shared" si="385"/>
        <v>Green</v>
      </c>
      <c r="Q1207" t="str">
        <f t="shared" si="386"/>
        <v>Red</v>
      </c>
      <c r="R1207" t="str">
        <f t="shared" si="387"/>
        <v>Green</v>
      </c>
      <c r="S1207" t="str">
        <f t="shared" si="388"/>
        <v>Green</v>
      </c>
      <c r="T1207" t="str">
        <f t="shared" si="389"/>
        <v>Red</v>
      </c>
      <c r="U1207" t="str">
        <f t="shared" si="390"/>
        <v>Red</v>
      </c>
      <c r="V1207" t="str">
        <f t="shared" si="391"/>
        <v>Green</v>
      </c>
      <c r="W1207" t="str">
        <f t="shared" si="392"/>
        <v>Red</v>
      </c>
      <c r="X1207" t="str">
        <f t="shared" si="393"/>
        <v>Green</v>
      </c>
      <c r="Y1207" t="str">
        <f t="shared" si="394"/>
        <v>Green</v>
      </c>
      <c r="Z1207" t="str">
        <f t="shared" si="395"/>
        <v>Green</v>
      </c>
      <c r="AA1207" t="str">
        <f t="shared" si="396"/>
        <v>Red</v>
      </c>
      <c r="AB1207" t="str">
        <f t="shared" si="397"/>
        <v>Red</v>
      </c>
      <c r="AC1207" t="str">
        <f t="shared" si="398"/>
        <v>Green</v>
      </c>
      <c r="AD1207" t="str">
        <f t="shared" si="399"/>
        <v>Red</v>
      </c>
    </row>
    <row r="1208" spans="1:30" x14ac:dyDescent="0.2">
      <c r="A1208" t="str">
        <f t="shared" si="400"/>
        <v>25/07/2026De GraafschapKifisias FC</v>
      </c>
      <c r="D1208" s="2">
        <v>46228</v>
      </c>
      <c r="E1208" s="3">
        <v>0.54166666666666663</v>
      </c>
      <c r="F1208" t="s">
        <v>3820</v>
      </c>
      <c r="G1208" t="s">
        <v>1718</v>
      </c>
      <c r="H1208">
        <v>2</v>
      </c>
      <c r="I1208">
        <v>0</v>
      </c>
      <c r="J1208">
        <v>4</v>
      </c>
      <c r="K1208">
        <v>2</v>
      </c>
      <c r="L1208" s="22" t="str">
        <f t="shared" si="401"/>
        <v>25/07/2026</v>
      </c>
      <c r="M1208" s="23">
        <f t="shared" si="402"/>
        <v>0.41666666666666663</v>
      </c>
      <c r="N1208" t="str">
        <f t="shared" si="403"/>
        <v>4 - 2</v>
      </c>
      <c r="O1208" t="str">
        <f t="shared" si="384"/>
        <v>Green</v>
      </c>
      <c r="P1208" t="str">
        <f t="shared" si="385"/>
        <v>Red</v>
      </c>
      <c r="Q1208" t="str">
        <f t="shared" si="386"/>
        <v>Red</v>
      </c>
      <c r="R1208" t="str">
        <f t="shared" si="387"/>
        <v>Green</v>
      </c>
      <c r="S1208" t="str">
        <f t="shared" si="388"/>
        <v>Red</v>
      </c>
      <c r="T1208" t="str">
        <f t="shared" si="389"/>
        <v>Green</v>
      </c>
      <c r="U1208" t="str">
        <f t="shared" si="390"/>
        <v>Green</v>
      </c>
      <c r="V1208" t="str">
        <f t="shared" si="391"/>
        <v>Red</v>
      </c>
      <c r="W1208" t="str">
        <f t="shared" si="392"/>
        <v>Red</v>
      </c>
      <c r="X1208" t="str">
        <f t="shared" si="393"/>
        <v>Green</v>
      </c>
      <c r="Y1208" t="str">
        <f t="shared" si="394"/>
        <v>Green</v>
      </c>
      <c r="Z1208" t="str">
        <f t="shared" si="395"/>
        <v>Green</v>
      </c>
      <c r="AA1208" t="str">
        <f t="shared" si="396"/>
        <v>Red</v>
      </c>
      <c r="AB1208" t="str">
        <f t="shared" si="397"/>
        <v>Red</v>
      </c>
      <c r="AC1208" t="str">
        <f t="shared" si="398"/>
        <v>Green</v>
      </c>
      <c r="AD1208" t="str">
        <f t="shared" si="399"/>
        <v>Red</v>
      </c>
    </row>
    <row r="1209" spans="1:30" x14ac:dyDescent="0.2">
      <c r="A1209" t="str">
        <f t="shared" si="400"/>
        <v>25/07/2026FSV HollenbachStuttgart</v>
      </c>
      <c r="D1209" s="2">
        <v>46228</v>
      </c>
      <c r="E1209" s="3">
        <v>0.54166666666666663</v>
      </c>
      <c r="F1209" t="s">
        <v>3821</v>
      </c>
      <c r="G1209" t="s">
        <v>1744</v>
      </c>
      <c r="H1209">
        <v>0</v>
      </c>
      <c r="I1209">
        <v>2</v>
      </c>
      <c r="J1209">
        <v>0</v>
      </c>
      <c r="K1209">
        <v>5</v>
      </c>
      <c r="L1209" s="22" t="str">
        <f t="shared" si="401"/>
        <v>25/07/2026</v>
      </c>
      <c r="M1209" s="23">
        <f t="shared" si="402"/>
        <v>0.41666666666666663</v>
      </c>
      <c r="N1209" t="str">
        <f t="shared" si="403"/>
        <v>0 - 5</v>
      </c>
      <c r="O1209" t="str">
        <f t="shared" si="384"/>
        <v>Red</v>
      </c>
      <c r="P1209" t="str">
        <f t="shared" si="385"/>
        <v>Red</v>
      </c>
      <c r="Q1209" t="str">
        <f t="shared" si="386"/>
        <v>Green</v>
      </c>
      <c r="R1209" t="str">
        <f t="shared" si="387"/>
        <v>Red</v>
      </c>
      <c r="S1209" t="str">
        <f t="shared" si="388"/>
        <v>Green</v>
      </c>
      <c r="T1209" t="str">
        <f t="shared" si="389"/>
        <v>Green</v>
      </c>
      <c r="U1209" t="str">
        <f t="shared" si="390"/>
        <v>Red</v>
      </c>
      <c r="V1209" t="str">
        <f t="shared" si="391"/>
        <v>Red</v>
      </c>
      <c r="W1209" t="str">
        <f t="shared" si="392"/>
        <v>Green</v>
      </c>
      <c r="X1209" t="str">
        <f t="shared" si="393"/>
        <v>Green</v>
      </c>
      <c r="Y1209" t="str">
        <f t="shared" si="394"/>
        <v>Green</v>
      </c>
      <c r="Z1209" t="str">
        <f t="shared" si="395"/>
        <v>Green</v>
      </c>
      <c r="AA1209" t="str">
        <f t="shared" si="396"/>
        <v>Red</v>
      </c>
      <c r="AB1209" t="str">
        <f t="shared" si="397"/>
        <v>Red</v>
      </c>
      <c r="AC1209" t="str">
        <f t="shared" si="398"/>
        <v>Red</v>
      </c>
      <c r="AD1209" t="str">
        <f t="shared" si="399"/>
        <v>Green</v>
      </c>
    </row>
    <row r="1210" spans="1:30" x14ac:dyDescent="0.2">
      <c r="A1210" t="str">
        <f t="shared" si="400"/>
        <v>25/07/2026Hereford UnitedSolihull Moors</v>
      </c>
      <c r="D1210" s="2">
        <v>46228</v>
      </c>
      <c r="E1210" s="3">
        <v>0.54166666666666663</v>
      </c>
      <c r="F1210" t="s">
        <v>3822</v>
      </c>
      <c r="G1210" t="s">
        <v>3823</v>
      </c>
      <c r="H1210">
        <v>0</v>
      </c>
      <c r="I1210">
        <v>0</v>
      </c>
      <c r="J1210">
        <v>0</v>
      </c>
      <c r="K1210">
        <v>3</v>
      </c>
      <c r="L1210" s="22" t="str">
        <f t="shared" si="401"/>
        <v>25/07/2026</v>
      </c>
      <c r="M1210" s="23">
        <f t="shared" si="402"/>
        <v>0.41666666666666663</v>
      </c>
      <c r="N1210" t="str">
        <f t="shared" si="403"/>
        <v>0 - 3</v>
      </c>
      <c r="O1210" t="str">
        <f t="shared" si="384"/>
        <v>Red</v>
      </c>
      <c r="P1210" t="str">
        <f t="shared" si="385"/>
        <v>Red</v>
      </c>
      <c r="Q1210" t="str">
        <f t="shared" si="386"/>
        <v>Green</v>
      </c>
      <c r="R1210" t="str">
        <f t="shared" si="387"/>
        <v>Red</v>
      </c>
      <c r="S1210" t="str">
        <f t="shared" si="388"/>
        <v>Green</v>
      </c>
      <c r="T1210" t="str">
        <f t="shared" si="389"/>
        <v>Green</v>
      </c>
      <c r="U1210" t="str">
        <f t="shared" si="390"/>
        <v>Red</v>
      </c>
      <c r="V1210" t="str">
        <f t="shared" si="391"/>
        <v>Green</v>
      </c>
      <c r="W1210" t="str">
        <f t="shared" si="392"/>
        <v>Red</v>
      </c>
      <c r="X1210" t="str">
        <f t="shared" si="393"/>
        <v>Red</v>
      </c>
      <c r="Y1210" t="str">
        <f t="shared" si="394"/>
        <v>Green</v>
      </c>
      <c r="Z1210" t="str">
        <f t="shared" si="395"/>
        <v>Green</v>
      </c>
      <c r="AA1210" t="str">
        <f t="shared" si="396"/>
        <v>Red</v>
      </c>
      <c r="AB1210" t="str">
        <f t="shared" si="397"/>
        <v>Green</v>
      </c>
      <c r="AC1210" t="str">
        <f t="shared" si="398"/>
        <v>Red</v>
      </c>
      <c r="AD1210" t="str">
        <f t="shared" si="399"/>
        <v>Green</v>
      </c>
    </row>
    <row r="1211" spans="1:30" x14ac:dyDescent="0.2">
      <c r="A1211" t="str">
        <f t="shared" si="400"/>
        <v>25/07/2026Kickers OffenbachBayer Leverkusen</v>
      </c>
      <c r="D1211" s="2">
        <v>46228</v>
      </c>
      <c r="E1211" s="3">
        <v>0.54166666666666663</v>
      </c>
      <c r="F1211" t="s">
        <v>3824</v>
      </c>
      <c r="G1211" t="s">
        <v>3825</v>
      </c>
      <c r="H1211">
        <v>1</v>
      </c>
      <c r="I1211">
        <v>1</v>
      </c>
      <c r="J1211">
        <v>1</v>
      </c>
      <c r="K1211">
        <v>3</v>
      </c>
      <c r="L1211" s="22" t="str">
        <f t="shared" si="401"/>
        <v>25/07/2026</v>
      </c>
      <c r="M1211" s="23">
        <f t="shared" si="402"/>
        <v>0.41666666666666663</v>
      </c>
      <c r="N1211" t="str">
        <f t="shared" si="403"/>
        <v>1 - 3</v>
      </c>
      <c r="O1211" t="str">
        <f t="shared" si="384"/>
        <v>Red</v>
      </c>
      <c r="P1211" t="str">
        <f t="shared" si="385"/>
        <v>Red</v>
      </c>
      <c r="Q1211" t="str">
        <f t="shared" si="386"/>
        <v>Green</v>
      </c>
      <c r="R1211" t="str">
        <f t="shared" si="387"/>
        <v>Red</v>
      </c>
      <c r="S1211" t="str">
        <f t="shared" si="388"/>
        <v>Green</v>
      </c>
      <c r="T1211" t="str">
        <f t="shared" si="389"/>
        <v>Green</v>
      </c>
      <c r="U1211" t="str">
        <f t="shared" si="390"/>
        <v>Red</v>
      </c>
      <c r="V1211" t="str">
        <f t="shared" si="391"/>
        <v>Green</v>
      </c>
      <c r="W1211" t="str">
        <f t="shared" si="392"/>
        <v>Red</v>
      </c>
      <c r="X1211" t="str">
        <f t="shared" si="393"/>
        <v>Green</v>
      </c>
      <c r="Y1211" t="str">
        <f t="shared" si="394"/>
        <v>Green</v>
      </c>
      <c r="Z1211" t="str">
        <f t="shared" si="395"/>
        <v>Green</v>
      </c>
      <c r="AA1211" t="str">
        <f t="shared" si="396"/>
        <v>Red</v>
      </c>
      <c r="AB1211" t="str">
        <f t="shared" si="397"/>
        <v>Red</v>
      </c>
      <c r="AC1211" t="str">
        <f t="shared" si="398"/>
        <v>Green</v>
      </c>
      <c r="AD1211" t="str">
        <f t="shared" si="399"/>
        <v>Red</v>
      </c>
    </row>
    <row r="1212" spans="1:30" x14ac:dyDescent="0.2">
      <c r="A1212" t="str">
        <f t="shared" si="400"/>
        <v>25/07/2026MainzHolstein Kiel</v>
      </c>
      <c r="D1212" s="2">
        <v>46228</v>
      </c>
      <c r="E1212" s="3">
        <v>0.54166666666666663</v>
      </c>
      <c r="F1212" t="s">
        <v>3826</v>
      </c>
      <c r="G1212" t="s">
        <v>3827</v>
      </c>
      <c r="H1212">
        <v>2</v>
      </c>
      <c r="I1212">
        <v>0</v>
      </c>
      <c r="J1212">
        <v>3</v>
      </c>
      <c r="K1212">
        <v>0</v>
      </c>
      <c r="L1212" s="22" t="str">
        <f t="shared" si="401"/>
        <v>25/07/2026</v>
      </c>
      <c r="M1212" s="23">
        <f t="shared" si="402"/>
        <v>0.41666666666666663</v>
      </c>
      <c r="N1212" t="str">
        <f t="shared" si="403"/>
        <v>3 - 0</v>
      </c>
      <c r="O1212" t="str">
        <f t="shared" si="384"/>
        <v>Green</v>
      </c>
      <c r="P1212" t="str">
        <f t="shared" si="385"/>
        <v>Red</v>
      </c>
      <c r="Q1212" t="str">
        <f t="shared" si="386"/>
        <v>Red</v>
      </c>
      <c r="R1212" t="str">
        <f t="shared" si="387"/>
        <v>Green</v>
      </c>
      <c r="S1212" t="str">
        <f t="shared" si="388"/>
        <v>Red</v>
      </c>
      <c r="T1212" t="str">
        <f t="shared" si="389"/>
        <v>Green</v>
      </c>
      <c r="U1212" t="str">
        <f t="shared" si="390"/>
        <v>Green</v>
      </c>
      <c r="V1212" t="str">
        <f t="shared" si="391"/>
        <v>Red</v>
      </c>
      <c r="W1212" t="str">
        <f t="shared" si="392"/>
        <v>Red</v>
      </c>
      <c r="X1212" t="str">
        <f t="shared" si="393"/>
        <v>Green</v>
      </c>
      <c r="Y1212" t="str">
        <f t="shared" si="394"/>
        <v>Green</v>
      </c>
      <c r="Z1212" t="str">
        <f t="shared" si="395"/>
        <v>Green</v>
      </c>
      <c r="AA1212" t="str">
        <f t="shared" si="396"/>
        <v>Red</v>
      </c>
      <c r="AB1212" t="str">
        <f t="shared" si="397"/>
        <v>Green</v>
      </c>
      <c r="AC1212" t="str">
        <f t="shared" si="398"/>
        <v>Red</v>
      </c>
      <c r="AD1212" t="str">
        <f t="shared" si="399"/>
        <v>Green</v>
      </c>
    </row>
    <row r="1213" spans="1:30" x14ac:dyDescent="0.2">
      <c r="A1213" t="str">
        <f t="shared" si="400"/>
        <v>25/07/2026MeppenSchalke 04 II</v>
      </c>
      <c r="D1213" s="2">
        <v>46228</v>
      </c>
      <c r="E1213" s="3">
        <v>0.54166666666666663</v>
      </c>
      <c r="F1213" t="s">
        <v>3828</v>
      </c>
      <c r="G1213" t="s">
        <v>3829</v>
      </c>
      <c r="H1213">
        <v>0</v>
      </c>
      <c r="I1213">
        <v>0</v>
      </c>
      <c r="J1213">
        <v>4</v>
      </c>
      <c r="K1213">
        <v>0</v>
      </c>
      <c r="L1213" s="22" t="str">
        <f t="shared" si="401"/>
        <v>25/07/2026</v>
      </c>
      <c r="M1213" s="23">
        <f t="shared" si="402"/>
        <v>0.41666666666666663</v>
      </c>
      <c r="N1213" t="str">
        <f t="shared" si="403"/>
        <v>4 - 0</v>
      </c>
      <c r="O1213" t="str">
        <f t="shared" si="384"/>
        <v>Green</v>
      </c>
      <c r="P1213" t="str">
        <f t="shared" si="385"/>
        <v>Red</v>
      </c>
      <c r="Q1213" t="str">
        <f t="shared" si="386"/>
        <v>Red</v>
      </c>
      <c r="R1213" t="str">
        <f t="shared" si="387"/>
        <v>Green</v>
      </c>
      <c r="S1213" t="str">
        <f t="shared" si="388"/>
        <v>Red</v>
      </c>
      <c r="T1213" t="str">
        <f t="shared" si="389"/>
        <v>Green</v>
      </c>
      <c r="U1213" t="str">
        <f t="shared" si="390"/>
        <v>Red</v>
      </c>
      <c r="V1213" t="str">
        <f t="shared" si="391"/>
        <v>Green</v>
      </c>
      <c r="W1213" t="str">
        <f t="shared" si="392"/>
        <v>Red</v>
      </c>
      <c r="X1213" t="str">
        <f t="shared" si="393"/>
        <v>Red</v>
      </c>
      <c r="Y1213" t="str">
        <f t="shared" si="394"/>
        <v>Green</v>
      </c>
      <c r="Z1213" t="str">
        <f t="shared" si="395"/>
        <v>Green</v>
      </c>
      <c r="AA1213" t="str">
        <f t="shared" si="396"/>
        <v>Red</v>
      </c>
      <c r="AB1213" t="str">
        <f t="shared" si="397"/>
        <v>Red</v>
      </c>
      <c r="AC1213" t="str">
        <f t="shared" si="398"/>
        <v>Red</v>
      </c>
      <c r="AD1213" t="str">
        <f t="shared" si="399"/>
        <v>Green</v>
      </c>
    </row>
    <row r="1214" spans="1:30" x14ac:dyDescent="0.2">
      <c r="A1214" t="str">
        <f t="shared" si="400"/>
        <v>25/07/2026Padova CalcioAC Ospitaletto</v>
      </c>
      <c r="D1214" s="2">
        <v>46228</v>
      </c>
      <c r="E1214" s="3">
        <v>0.54166666666666663</v>
      </c>
      <c r="F1214" t="s">
        <v>1644</v>
      </c>
      <c r="G1214" t="s">
        <v>3830</v>
      </c>
      <c r="H1214">
        <v>0</v>
      </c>
      <c r="I1214">
        <v>0</v>
      </c>
      <c r="J1214">
        <v>1</v>
      </c>
      <c r="K1214">
        <v>3</v>
      </c>
      <c r="L1214" s="22" t="str">
        <f t="shared" si="401"/>
        <v>25/07/2026</v>
      </c>
      <c r="M1214" s="23">
        <f t="shared" si="402"/>
        <v>0.41666666666666663</v>
      </c>
      <c r="N1214" t="str">
        <f t="shared" si="403"/>
        <v>1 - 3</v>
      </c>
      <c r="O1214" t="str">
        <f t="shared" si="384"/>
        <v>Red</v>
      </c>
      <c r="P1214" t="str">
        <f t="shared" si="385"/>
        <v>Red</v>
      </c>
      <c r="Q1214" t="str">
        <f t="shared" si="386"/>
        <v>Green</v>
      </c>
      <c r="R1214" t="str">
        <f t="shared" si="387"/>
        <v>Red</v>
      </c>
      <c r="S1214" t="str">
        <f t="shared" si="388"/>
        <v>Green</v>
      </c>
      <c r="T1214" t="str">
        <f t="shared" si="389"/>
        <v>Green</v>
      </c>
      <c r="U1214" t="str">
        <f t="shared" si="390"/>
        <v>Red</v>
      </c>
      <c r="V1214" t="str">
        <f t="shared" si="391"/>
        <v>Green</v>
      </c>
      <c r="W1214" t="str">
        <f t="shared" si="392"/>
        <v>Red</v>
      </c>
      <c r="X1214" t="str">
        <f t="shared" si="393"/>
        <v>Red</v>
      </c>
      <c r="Y1214" t="str">
        <f t="shared" si="394"/>
        <v>Green</v>
      </c>
      <c r="Z1214" t="str">
        <f t="shared" si="395"/>
        <v>Green</v>
      </c>
      <c r="AA1214" t="str">
        <f t="shared" si="396"/>
        <v>Red</v>
      </c>
      <c r="AB1214" t="str">
        <f t="shared" si="397"/>
        <v>Red</v>
      </c>
      <c r="AC1214" t="str">
        <f t="shared" si="398"/>
        <v>Green</v>
      </c>
      <c r="AD1214" t="str">
        <f t="shared" si="399"/>
        <v>Red</v>
      </c>
    </row>
    <row r="1215" spans="1:30" x14ac:dyDescent="0.2">
      <c r="A1215" t="str">
        <f t="shared" si="400"/>
        <v>25/07/2026Stuttgart IISSV Ulm 1846</v>
      </c>
      <c r="D1215" s="2">
        <v>46228</v>
      </c>
      <c r="E1215" s="3">
        <v>0.54166666666666663</v>
      </c>
      <c r="F1215" t="s">
        <v>3831</v>
      </c>
      <c r="G1215" t="s">
        <v>3832</v>
      </c>
      <c r="H1215">
        <v>3</v>
      </c>
      <c r="I1215">
        <v>0</v>
      </c>
      <c r="J1215">
        <v>4</v>
      </c>
      <c r="K1215">
        <v>0</v>
      </c>
      <c r="L1215" s="22" t="str">
        <f t="shared" si="401"/>
        <v>25/07/2026</v>
      </c>
      <c r="M1215" s="23">
        <f t="shared" si="402"/>
        <v>0.41666666666666663</v>
      </c>
      <c r="N1215" t="str">
        <f t="shared" si="403"/>
        <v>4 - 0</v>
      </c>
      <c r="O1215" t="str">
        <f t="shared" si="384"/>
        <v>Green</v>
      </c>
      <c r="P1215" t="str">
        <f t="shared" si="385"/>
        <v>Red</v>
      </c>
      <c r="Q1215" t="str">
        <f t="shared" si="386"/>
        <v>Red</v>
      </c>
      <c r="R1215" t="str">
        <f t="shared" si="387"/>
        <v>Green</v>
      </c>
      <c r="S1215" t="str">
        <f t="shared" si="388"/>
        <v>Red</v>
      </c>
      <c r="T1215" t="str">
        <f t="shared" si="389"/>
        <v>Green</v>
      </c>
      <c r="U1215" t="str">
        <f t="shared" si="390"/>
        <v>Green</v>
      </c>
      <c r="V1215" t="str">
        <f t="shared" si="391"/>
        <v>Red</v>
      </c>
      <c r="W1215" t="str">
        <f t="shared" si="392"/>
        <v>Red</v>
      </c>
      <c r="X1215" t="str">
        <f t="shared" si="393"/>
        <v>Green</v>
      </c>
      <c r="Y1215" t="str">
        <f t="shared" si="394"/>
        <v>Green</v>
      </c>
      <c r="Z1215" t="str">
        <f t="shared" si="395"/>
        <v>Green</v>
      </c>
      <c r="AA1215" t="str">
        <f t="shared" si="396"/>
        <v>Red</v>
      </c>
      <c r="AB1215" t="str">
        <f t="shared" si="397"/>
        <v>Red</v>
      </c>
      <c r="AC1215" t="str">
        <f t="shared" si="398"/>
        <v>Red</v>
      </c>
      <c r="AD1215" t="str">
        <f t="shared" si="399"/>
        <v>Green</v>
      </c>
    </row>
    <row r="1216" spans="1:30" x14ac:dyDescent="0.2">
      <c r="A1216" t="str">
        <f t="shared" si="400"/>
        <v>25/07/2026WatfordHansa Rostock</v>
      </c>
      <c r="D1216" s="2">
        <v>46228</v>
      </c>
      <c r="E1216" s="3">
        <v>0.54166666666666663</v>
      </c>
      <c r="F1216" t="s">
        <v>3833</v>
      </c>
      <c r="G1216" t="s">
        <v>3834</v>
      </c>
      <c r="H1216">
        <v>2</v>
      </c>
      <c r="I1216">
        <v>0</v>
      </c>
      <c r="J1216">
        <v>3</v>
      </c>
      <c r="K1216">
        <v>0</v>
      </c>
      <c r="L1216" s="22" t="str">
        <f t="shared" si="401"/>
        <v>25/07/2026</v>
      </c>
      <c r="M1216" s="23">
        <f t="shared" si="402"/>
        <v>0.41666666666666663</v>
      </c>
      <c r="N1216" t="str">
        <f t="shared" si="403"/>
        <v>3 - 0</v>
      </c>
      <c r="O1216" t="str">
        <f t="shared" si="384"/>
        <v>Green</v>
      </c>
      <c r="P1216" t="str">
        <f t="shared" si="385"/>
        <v>Red</v>
      </c>
      <c r="Q1216" t="str">
        <f t="shared" si="386"/>
        <v>Red</v>
      </c>
      <c r="R1216" t="str">
        <f t="shared" si="387"/>
        <v>Green</v>
      </c>
      <c r="S1216" t="str">
        <f t="shared" si="388"/>
        <v>Red</v>
      </c>
      <c r="T1216" t="str">
        <f t="shared" si="389"/>
        <v>Green</v>
      </c>
      <c r="U1216" t="str">
        <f t="shared" si="390"/>
        <v>Green</v>
      </c>
      <c r="V1216" t="str">
        <f t="shared" si="391"/>
        <v>Red</v>
      </c>
      <c r="W1216" t="str">
        <f t="shared" si="392"/>
        <v>Red</v>
      </c>
      <c r="X1216" t="str">
        <f t="shared" si="393"/>
        <v>Green</v>
      </c>
      <c r="Y1216" t="str">
        <f t="shared" si="394"/>
        <v>Green</v>
      </c>
      <c r="Z1216" t="str">
        <f t="shared" si="395"/>
        <v>Green</v>
      </c>
      <c r="AA1216" t="str">
        <f t="shared" si="396"/>
        <v>Red</v>
      </c>
      <c r="AB1216" t="str">
        <f t="shared" si="397"/>
        <v>Green</v>
      </c>
      <c r="AC1216" t="str">
        <f t="shared" si="398"/>
        <v>Red</v>
      </c>
      <c r="AD1216" t="str">
        <f t="shared" si="399"/>
        <v>Green</v>
      </c>
    </row>
    <row r="1217" spans="1:30" x14ac:dyDescent="0.2">
      <c r="A1217" t="str">
        <f t="shared" si="400"/>
        <v>25/07/2026Mwos FCFC Platinum</v>
      </c>
      <c r="D1217" s="2">
        <v>46228</v>
      </c>
      <c r="E1217" s="3">
        <v>0.54166666666666663</v>
      </c>
      <c r="F1217" t="s">
        <v>1615</v>
      </c>
      <c r="G1217" t="s">
        <v>1610</v>
      </c>
      <c r="H1217">
        <v>0</v>
      </c>
      <c r="I1217">
        <v>0</v>
      </c>
      <c r="J1217">
        <v>2</v>
      </c>
      <c r="K1217">
        <v>0</v>
      </c>
      <c r="L1217" s="22" t="str">
        <f t="shared" si="401"/>
        <v>25/07/2026</v>
      </c>
      <c r="M1217" s="23">
        <f t="shared" si="402"/>
        <v>0.41666666666666663</v>
      </c>
      <c r="N1217" t="str">
        <f t="shared" si="403"/>
        <v>2 - 0</v>
      </c>
      <c r="O1217" t="str">
        <f t="shared" si="384"/>
        <v>Green</v>
      </c>
      <c r="P1217" t="str">
        <f t="shared" si="385"/>
        <v>Red</v>
      </c>
      <c r="Q1217" t="str">
        <f t="shared" si="386"/>
        <v>Red</v>
      </c>
      <c r="R1217" t="str">
        <f t="shared" si="387"/>
        <v>Green</v>
      </c>
      <c r="S1217" t="str">
        <f t="shared" si="388"/>
        <v>Red</v>
      </c>
      <c r="T1217" t="str">
        <f t="shared" si="389"/>
        <v>Green</v>
      </c>
      <c r="U1217" t="str">
        <f t="shared" si="390"/>
        <v>Red</v>
      </c>
      <c r="V1217" t="str">
        <f t="shared" si="391"/>
        <v>Green</v>
      </c>
      <c r="W1217" t="str">
        <f t="shared" si="392"/>
        <v>Red</v>
      </c>
      <c r="X1217" t="str">
        <f t="shared" si="393"/>
        <v>Red</v>
      </c>
      <c r="Y1217" t="str">
        <f t="shared" si="394"/>
        <v>Green</v>
      </c>
      <c r="Z1217" t="str">
        <f t="shared" si="395"/>
        <v>Red</v>
      </c>
      <c r="AA1217" t="str">
        <f t="shared" si="396"/>
        <v>Green</v>
      </c>
      <c r="AB1217" t="str">
        <f t="shared" si="397"/>
        <v>Green</v>
      </c>
      <c r="AC1217" t="str">
        <f t="shared" si="398"/>
        <v>Red</v>
      </c>
      <c r="AD1217" t="str">
        <f t="shared" si="399"/>
        <v>Green</v>
      </c>
    </row>
    <row r="1218" spans="1:30" x14ac:dyDescent="0.2">
      <c r="A1218" t="str">
        <f t="shared" si="400"/>
        <v>25/07/2026SV Wals GrunauAustria Salzburg</v>
      </c>
      <c r="D1218" s="2">
        <v>46228</v>
      </c>
      <c r="E1218" s="3">
        <v>0.5625</v>
      </c>
      <c r="F1218" t="s">
        <v>3004</v>
      </c>
      <c r="G1218" t="s">
        <v>3005</v>
      </c>
      <c r="H1218">
        <v>0</v>
      </c>
      <c r="I1218">
        <v>2</v>
      </c>
      <c r="J1218">
        <v>1</v>
      </c>
      <c r="K1218">
        <v>5</v>
      </c>
      <c r="L1218" s="22" t="str">
        <f t="shared" si="401"/>
        <v>25/07/2026</v>
      </c>
      <c r="M1218" s="23">
        <f t="shared" si="402"/>
        <v>0.4375</v>
      </c>
      <c r="N1218" t="str">
        <f t="shared" si="403"/>
        <v>1 - 5</v>
      </c>
      <c r="O1218" t="str">
        <f t="shared" ref="O1218:O1281" si="404">IF($J1218&gt;$K1218,"Green","Red")</f>
        <v>Red</v>
      </c>
      <c r="P1218" t="str">
        <f t="shared" ref="P1218:P1281" si="405">IF($J1218=$K1218,"Green","Red")</f>
        <v>Red</v>
      </c>
      <c r="Q1218" t="str">
        <f t="shared" ref="Q1218:Q1281" si="406">IF($J1218&lt;$K1218,"Green","Red")</f>
        <v>Green</v>
      </c>
      <c r="R1218" t="str">
        <f t="shared" ref="R1218:R1281" si="407">IF($J1218&gt;=$K1218,"Green","Red")</f>
        <v>Red</v>
      </c>
      <c r="S1218" t="str">
        <f t="shared" ref="S1218:S1281" si="408">IF($J1218&lt;=$K1218,"Green","Red")</f>
        <v>Green</v>
      </c>
      <c r="T1218" t="str">
        <f t="shared" ref="T1218:T1281" si="409">IF(OR($J1218&gt;$K1218,$J1218&lt;$K1218),"Green","Red")</f>
        <v>Green</v>
      </c>
      <c r="U1218" t="str">
        <f t="shared" ref="U1218:U1281" si="410">IF($H1218&gt;$I1218,"Green","Red")</f>
        <v>Red</v>
      </c>
      <c r="V1218" t="str">
        <f t="shared" ref="V1218:V1281" si="411">IF($H1218=$I1218,"Green","Red")</f>
        <v>Red</v>
      </c>
      <c r="W1218" t="str">
        <f t="shared" ref="W1218:W1281" si="412">IF($H1218&lt;$I1218,"Green","Red")</f>
        <v>Green</v>
      </c>
      <c r="X1218" t="str">
        <f t="shared" ref="X1218:X1281" si="413">IF($H1218+$I1218&gt;0,"Green","Red")</f>
        <v>Green</v>
      </c>
      <c r="Y1218" t="str">
        <f t="shared" ref="Y1218:Y1281" si="414">IF($J1218+$K1218&gt;1.5,"Green","Red")</f>
        <v>Green</v>
      </c>
      <c r="Z1218" t="str">
        <f t="shared" ref="Z1218:Z1281" si="415">IF($J1218+$K1218&gt;2.5,"Green","Red")</f>
        <v>Green</v>
      </c>
      <c r="AA1218" t="str">
        <f t="shared" ref="AA1218:AA1281" si="416">IF($J1218+$K1218&lt;2.5,"Green","Red")</f>
        <v>Red</v>
      </c>
      <c r="AB1218" t="str">
        <f t="shared" ref="AB1218:AB1281" si="417">IF($J1218+$K1218&lt;3.5,"Green","Red")</f>
        <v>Red</v>
      </c>
      <c r="AC1218" t="str">
        <f t="shared" ref="AC1218:AC1281" si="418">IF(AND($J1218&gt;0,$K1218&gt;0),"Green","Red")</f>
        <v>Green</v>
      </c>
      <c r="AD1218" t="str">
        <f t="shared" ref="AD1218:AD1281" si="419">IF(OR($J1218=0,$K1218=0),"Green","Red")</f>
        <v>Red</v>
      </c>
    </row>
    <row r="1219" spans="1:30" x14ac:dyDescent="0.2">
      <c r="A1219" t="str">
        <f t="shared" si="400"/>
        <v>25/07/2026IFK MariehamnAC Oulu</v>
      </c>
      <c r="D1219" s="2">
        <v>46228</v>
      </c>
      <c r="E1219" s="3">
        <v>0.5625</v>
      </c>
      <c r="F1219" t="s">
        <v>250</v>
      </c>
      <c r="G1219" t="s">
        <v>601</v>
      </c>
      <c r="H1219">
        <v>1</v>
      </c>
      <c r="I1219">
        <v>0</v>
      </c>
      <c r="J1219">
        <v>1</v>
      </c>
      <c r="K1219">
        <v>1</v>
      </c>
      <c r="L1219" s="22" t="str">
        <f t="shared" si="401"/>
        <v>25/07/2026</v>
      </c>
      <c r="M1219" s="23">
        <f t="shared" si="402"/>
        <v>0.4375</v>
      </c>
      <c r="N1219" t="str">
        <f t="shared" si="403"/>
        <v>1 - 1</v>
      </c>
      <c r="O1219" t="str">
        <f t="shared" si="404"/>
        <v>Red</v>
      </c>
      <c r="P1219" t="str">
        <f t="shared" si="405"/>
        <v>Green</v>
      </c>
      <c r="Q1219" t="str">
        <f t="shared" si="406"/>
        <v>Red</v>
      </c>
      <c r="R1219" t="str">
        <f t="shared" si="407"/>
        <v>Green</v>
      </c>
      <c r="S1219" t="str">
        <f t="shared" si="408"/>
        <v>Green</v>
      </c>
      <c r="T1219" t="str">
        <f t="shared" si="409"/>
        <v>Red</v>
      </c>
      <c r="U1219" t="str">
        <f t="shared" si="410"/>
        <v>Green</v>
      </c>
      <c r="V1219" t="str">
        <f t="shared" si="411"/>
        <v>Red</v>
      </c>
      <c r="W1219" t="str">
        <f t="shared" si="412"/>
        <v>Red</v>
      </c>
      <c r="X1219" t="str">
        <f t="shared" si="413"/>
        <v>Green</v>
      </c>
      <c r="Y1219" t="str">
        <f t="shared" si="414"/>
        <v>Green</v>
      </c>
      <c r="Z1219" t="str">
        <f t="shared" si="415"/>
        <v>Red</v>
      </c>
      <c r="AA1219" t="str">
        <f t="shared" si="416"/>
        <v>Green</v>
      </c>
      <c r="AB1219" t="str">
        <f t="shared" si="417"/>
        <v>Green</v>
      </c>
      <c r="AC1219" t="str">
        <f t="shared" si="418"/>
        <v>Green</v>
      </c>
      <c r="AD1219" t="str">
        <f t="shared" si="419"/>
        <v>Red</v>
      </c>
    </row>
    <row r="1220" spans="1:30" x14ac:dyDescent="0.2">
      <c r="A1220" t="str">
        <f t="shared" si="400"/>
        <v>25/07/2026FC Kolkheti PotiAragvi Dusheti</v>
      </c>
      <c r="D1220" s="2">
        <v>46228</v>
      </c>
      <c r="E1220" s="3">
        <v>0.5625</v>
      </c>
      <c r="F1220" t="s">
        <v>3265</v>
      </c>
      <c r="G1220" t="s">
        <v>3266</v>
      </c>
      <c r="H1220">
        <v>0</v>
      </c>
      <c r="I1220">
        <v>0</v>
      </c>
      <c r="J1220">
        <v>0</v>
      </c>
      <c r="K1220">
        <v>0</v>
      </c>
      <c r="L1220" s="22" t="str">
        <f t="shared" si="401"/>
        <v>25/07/2026</v>
      </c>
      <c r="M1220" s="23">
        <f t="shared" si="402"/>
        <v>0.4375</v>
      </c>
      <c r="N1220" t="str">
        <f t="shared" si="403"/>
        <v>0 - 0</v>
      </c>
      <c r="O1220" t="str">
        <f t="shared" si="404"/>
        <v>Red</v>
      </c>
      <c r="P1220" t="str">
        <f t="shared" si="405"/>
        <v>Green</v>
      </c>
      <c r="Q1220" t="str">
        <f t="shared" si="406"/>
        <v>Red</v>
      </c>
      <c r="R1220" t="str">
        <f t="shared" si="407"/>
        <v>Green</v>
      </c>
      <c r="S1220" t="str">
        <f t="shared" si="408"/>
        <v>Green</v>
      </c>
      <c r="T1220" t="str">
        <f t="shared" si="409"/>
        <v>Red</v>
      </c>
      <c r="U1220" t="str">
        <f t="shared" si="410"/>
        <v>Red</v>
      </c>
      <c r="V1220" t="str">
        <f t="shared" si="411"/>
        <v>Green</v>
      </c>
      <c r="W1220" t="str">
        <f t="shared" si="412"/>
        <v>Red</v>
      </c>
      <c r="X1220" t="str">
        <f t="shared" si="413"/>
        <v>Red</v>
      </c>
      <c r="Y1220" t="str">
        <f t="shared" si="414"/>
        <v>Red</v>
      </c>
      <c r="Z1220" t="str">
        <f t="shared" si="415"/>
        <v>Red</v>
      </c>
      <c r="AA1220" t="str">
        <f t="shared" si="416"/>
        <v>Green</v>
      </c>
      <c r="AB1220" t="str">
        <f t="shared" si="417"/>
        <v>Green</v>
      </c>
      <c r="AC1220" t="str">
        <f t="shared" si="418"/>
        <v>Red</v>
      </c>
      <c r="AD1220" t="str">
        <f t="shared" si="419"/>
        <v>Green</v>
      </c>
    </row>
    <row r="1221" spans="1:30" x14ac:dyDescent="0.2">
      <c r="A1221" t="str">
        <f t="shared" si="400"/>
        <v>25/07/2026NotoddenSotra S–ö</v>
      </c>
      <c r="D1221" s="2">
        <v>46228</v>
      </c>
      <c r="E1221" s="3">
        <v>0.5625</v>
      </c>
      <c r="F1221" t="s">
        <v>3453</v>
      </c>
      <c r="G1221" t="s">
        <v>3454</v>
      </c>
      <c r="H1221">
        <v>1</v>
      </c>
      <c r="I1221">
        <v>0</v>
      </c>
      <c r="J1221">
        <v>1</v>
      </c>
      <c r="K1221">
        <v>0</v>
      </c>
      <c r="L1221" s="22" t="str">
        <f t="shared" si="401"/>
        <v>25/07/2026</v>
      </c>
      <c r="M1221" s="23">
        <f t="shared" si="402"/>
        <v>0.4375</v>
      </c>
      <c r="N1221" t="str">
        <f t="shared" si="403"/>
        <v>1 - 0</v>
      </c>
      <c r="O1221" t="str">
        <f t="shared" si="404"/>
        <v>Green</v>
      </c>
      <c r="P1221" t="str">
        <f t="shared" si="405"/>
        <v>Red</v>
      </c>
      <c r="Q1221" t="str">
        <f t="shared" si="406"/>
        <v>Red</v>
      </c>
      <c r="R1221" t="str">
        <f t="shared" si="407"/>
        <v>Green</v>
      </c>
      <c r="S1221" t="str">
        <f t="shared" si="408"/>
        <v>Red</v>
      </c>
      <c r="T1221" t="str">
        <f t="shared" si="409"/>
        <v>Green</v>
      </c>
      <c r="U1221" t="str">
        <f t="shared" si="410"/>
        <v>Green</v>
      </c>
      <c r="V1221" t="str">
        <f t="shared" si="411"/>
        <v>Red</v>
      </c>
      <c r="W1221" t="str">
        <f t="shared" si="412"/>
        <v>Red</v>
      </c>
      <c r="X1221" t="str">
        <f t="shared" si="413"/>
        <v>Green</v>
      </c>
      <c r="Y1221" t="str">
        <f t="shared" si="414"/>
        <v>Red</v>
      </c>
      <c r="Z1221" t="str">
        <f t="shared" si="415"/>
        <v>Red</v>
      </c>
      <c r="AA1221" t="str">
        <f t="shared" si="416"/>
        <v>Green</v>
      </c>
      <c r="AB1221" t="str">
        <f t="shared" si="417"/>
        <v>Green</v>
      </c>
      <c r="AC1221" t="str">
        <f t="shared" si="418"/>
        <v>Red</v>
      </c>
      <c r="AD1221" t="str">
        <f t="shared" si="419"/>
        <v>Green</v>
      </c>
    </row>
    <row r="1222" spans="1:30" x14ac:dyDescent="0.2">
      <c r="A1222" t="str">
        <f t="shared" si="400"/>
        <v>25/07/2026MelhusHerd</v>
      </c>
      <c r="D1222" s="2">
        <v>46228</v>
      </c>
      <c r="E1222" s="3">
        <v>0.5625</v>
      </c>
      <c r="F1222" t="s">
        <v>3479</v>
      </c>
      <c r="G1222" t="s">
        <v>3480</v>
      </c>
      <c r="H1222">
        <v>1</v>
      </c>
      <c r="I1222">
        <v>0</v>
      </c>
      <c r="J1222">
        <v>2</v>
      </c>
      <c r="K1222">
        <v>0</v>
      </c>
      <c r="L1222" s="22" t="str">
        <f t="shared" si="401"/>
        <v>25/07/2026</v>
      </c>
      <c r="M1222" s="23">
        <f t="shared" si="402"/>
        <v>0.4375</v>
      </c>
      <c r="N1222" t="str">
        <f t="shared" si="403"/>
        <v>2 - 0</v>
      </c>
      <c r="O1222" t="str">
        <f t="shared" si="404"/>
        <v>Green</v>
      </c>
      <c r="P1222" t="str">
        <f t="shared" si="405"/>
        <v>Red</v>
      </c>
      <c r="Q1222" t="str">
        <f t="shared" si="406"/>
        <v>Red</v>
      </c>
      <c r="R1222" t="str">
        <f t="shared" si="407"/>
        <v>Green</v>
      </c>
      <c r="S1222" t="str">
        <f t="shared" si="408"/>
        <v>Red</v>
      </c>
      <c r="T1222" t="str">
        <f t="shared" si="409"/>
        <v>Green</v>
      </c>
      <c r="U1222" t="str">
        <f t="shared" si="410"/>
        <v>Green</v>
      </c>
      <c r="V1222" t="str">
        <f t="shared" si="411"/>
        <v>Red</v>
      </c>
      <c r="W1222" t="str">
        <f t="shared" si="412"/>
        <v>Red</v>
      </c>
      <c r="X1222" t="str">
        <f t="shared" si="413"/>
        <v>Green</v>
      </c>
      <c r="Y1222" t="str">
        <f t="shared" si="414"/>
        <v>Green</v>
      </c>
      <c r="Z1222" t="str">
        <f t="shared" si="415"/>
        <v>Red</v>
      </c>
      <c r="AA1222" t="str">
        <f t="shared" si="416"/>
        <v>Green</v>
      </c>
      <c r="AB1222" t="str">
        <f t="shared" si="417"/>
        <v>Green</v>
      </c>
      <c r="AC1222" t="str">
        <f t="shared" si="418"/>
        <v>Red</v>
      </c>
      <c r="AD1222" t="str">
        <f t="shared" si="419"/>
        <v>Green</v>
      </c>
    </row>
    <row r="1223" spans="1:30" x14ac:dyDescent="0.2">
      <c r="A1223" t="str">
        <f t="shared" si="400"/>
        <v>25/07/2026Lechia GdanskPogon Grodzisk Mazowiecki</v>
      </c>
      <c r="D1223" s="2">
        <v>46228</v>
      </c>
      <c r="E1223" s="3">
        <v>0.5625</v>
      </c>
      <c r="F1223" t="s">
        <v>3536</v>
      </c>
      <c r="G1223" t="s">
        <v>3537</v>
      </c>
      <c r="H1223">
        <v>0</v>
      </c>
      <c r="I1223">
        <v>1</v>
      </c>
      <c r="J1223">
        <v>0</v>
      </c>
      <c r="K1223">
        <v>3</v>
      </c>
      <c r="L1223" s="22" t="str">
        <f t="shared" si="401"/>
        <v>25/07/2026</v>
      </c>
      <c r="M1223" s="23">
        <f t="shared" si="402"/>
        <v>0.4375</v>
      </c>
      <c r="N1223" t="str">
        <f t="shared" si="403"/>
        <v>0 - 3</v>
      </c>
      <c r="O1223" t="str">
        <f t="shared" si="404"/>
        <v>Red</v>
      </c>
      <c r="P1223" t="str">
        <f t="shared" si="405"/>
        <v>Red</v>
      </c>
      <c r="Q1223" t="str">
        <f t="shared" si="406"/>
        <v>Green</v>
      </c>
      <c r="R1223" t="str">
        <f t="shared" si="407"/>
        <v>Red</v>
      </c>
      <c r="S1223" t="str">
        <f t="shared" si="408"/>
        <v>Green</v>
      </c>
      <c r="T1223" t="str">
        <f t="shared" si="409"/>
        <v>Green</v>
      </c>
      <c r="U1223" t="str">
        <f t="shared" si="410"/>
        <v>Red</v>
      </c>
      <c r="V1223" t="str">
        <f t="shared" si="411"/>
        <v>Red</v>
      </c>
      <c r="W1223" t="str">
        <f t="shared" si="412"/>
        <v>Green</v>
      </c>
      <c r="X1223" t="str">
        <f t="shared" si="413"/>
        <v>Green</v>
      </c>
      <c r="Y1223" t="str">
        <f t="shared" si="414"/>
        <v>Green</v>
      </c>
      <c r="Z1223" t="str">
        <f t="shared" si="415"/>
        <v>Green</v>
      </c>
      <c r="AA1223" t="str">
        <f t="shared" si="416"/>
        <v>Red</v>
      </c>
      <c r="AB1223" t="str">
        <f t="shared" si="417"/>
        <v>Green</v>
      </c>
      <c r="AC1223" t="str">
        <f t="shared" si="418"/>
        <v>Red</v>
      </c>
      <c r="AD1223" t="str">
        <f t="shared" si="419"/>
        <v>Green</v>
      </c>
    </row>
    <row r="1224" spans="1:30" x14ac:dyDescent="0.2">
      <c r="A1224" t="str">
        <f t="shared" si="400"/>
        <v>25/07/2026Pogon SiedlceLKS Lodz</v>
      </c>
      <c r="D1224" s="2">
        <v>46228</v>
      </c>
      <c r="E1224" s="3">
        <v>0.5625</v>
      </c>
      <c r="F1224" t="s">
        <v>3538</v>
      </c>
      <c r="G1224" t="s">
        <v>3539</v>
      </c>
      <c r="H1224">
        <v>1</v>
      </c>
      <c r="I1224">
        <v>0</v>
      </c>
      <c r="J1224">
        <v>1</v>
      </c>
      <c r="K1224">
        <v>1</v>
      </c>
      <c r="L1224" s="22" t="str">
        <f t="shared" si="401"/>
        <v>25/07/2026</v>
      </c>
      <c r="M1224" s="23">
        <f t="shared" si="402"/>
        <v>0.4375</v>
      </c>
      <c r="N1224" t="str">
        <f t="shared" si="403"/>
        <v>1 - 1</v>
      </c>
      <c r="O1224" t="str">
        <f t="shared" si="404"/>
        <v>Red</v>
      </c>
      <c r="P1224" t="str">
        <f t="shared" si="405"/>
        <v>Green</v>
      </c>
      <c r="Q1224" t="str">
        <f t="shared" si="406"/>
        <v>Red</v>
      </c>
      <c r="R1224" t="str">
        <f t="shared" si="407"/>
        <v>Green</v>
      </c>
      <c r="S1224" t="str">
        <f t="shared" si="408"/>
        <v>Green</v>
      </c>
      <c r="T1224" t="str">
        <f t="shared" si="409"/>
        <v>Red</v>
      </c>
      <c r="U1224" t="str">
        <f t="shared" si="410"/>
        <v>Green</v>
      </c>
      <c r="V1224" t="str">
        <f t="shared" si="411"/>
        <v>Red</v>
      </c>
      <c r="W1224" t="str">
        <f t="shared" si="412"/>
        <v>Red</v>
      </c>
      <c r="X1224" t="str">
        <f t="shared" si="413"/>
        <v>Green</v>
      </c>
      <c r="Y1224" t="str">
        <f t="shared" si="414"/>
        <v>Green</v>
      </c>
      <c r="Z1224" t="str">
        <f t="shared" si="415"/>
        <v>Red</v>
      </c>
      <c r="AA1224" t="str">
        <f t="shared" si="416"/>
        <v>Green</v>
      </c>
      <c r="AB1224" t="str">
        <f t="shared" si="417"/>
        <v>Green</v>
      </c>
      <c r="AC1224" t="str">
        <f t="shared" si="418"/>
        <v>Green</v>
      </c>
      <c r="AD1224" t="str">
        <f t="shared" si="419"/>
        <v>Red</v>
      </c>
    </row>
    <row r="1225" spans="1:30" x14ac:dyDescent="0.2">
      <c r="A1225" t="str">
        <f t="shared" si="400"/>
        <v>25/07/2026Stal RzeszowChrobry Glogow</v>
      </c>
      <c r="D1225" s="2">
        <v>46228</v>
      </c>
      <c r="E1225" s="3">
        <v>0.5625</v>
      </c>
      <c r="F1225" t="s">
        <v>3540</v>
      </c>
      <c r="G1225" t="s">
        <v>3541</v>
      </c>
      <c r="H1225">
        <v>0</v>
      </c>
      <c r="I1225">
        <v>1</v>
      </c>
      <c r="J1225">
        <v>1</v>
      </c>
      <c r="K1225">
        <v>5</v>
      </c>
      <c r="L1225" s="22" t="str">
        <f t="shared" si="401"/>
        <v>25/07/2026</v>
      </c>
      <c r="M1225" s="23">
        <f t="shared" si="402"/>
        <v>0.4375</v>
      </c>
      <c r="N1225" t="str">
        <f t="shared" si="403"/>
        <v>1 - 5</v>
      </c>
      <c r="O1225" t="str">
        <f t="shared" si="404"/>
        <v>Red</v>
      </c>
      <c r="P1225" t="str">
        <f t="shared" si="405"/>
        <v>Red</v>
      </c>
      <c r="Q1225" t="str">
        <f t="shared" si="406"/>
        <v>Green</v>
      </c>
      <c r="R1225" t="str">
        <f t="shared" si="407"/>
        <v>Red</v>
      </c>
      <c r="S1225" t="str">
        <f t="shared" si="408"/>
        <v>Green</v>
      </c>
      <c r="T1225" t="str">
        <f t="shared" si="409"/>
        <v>Green</v>
      </c>
      <c r="U1225" t="str">
        <f t="shared" si="410"/>
        <v>Red</v>
      </c>
      <c r="V1225" t="str">
        <f t="shared" si="411"/>
        <v>Red</v>
      </c>
      <c r="W1225" t="str">
        <f t="shared" si="412"/>
        <v>Green</v>
      </c>
      <c r="X1225" t="str">
        <f t="shared" si="413"/>
        <v>Green</v>
      </c>
      <c r="Y1225" t="str">
        <f t="shared" si="414"/>
        <v>Green</v>
      </c>
      <c r="Z1225" t="str">
        <f t="shared" si="415"/>
        <v>Green</v>
      </c>
      <c r="AA1225" t="str">
        <f t="shared" si="416"/>
        <v>Red</v>
      </c>
      <c r="AB1225" t="str">
        <f t="shared" si="417"/>
        <v>Red</v>
      </c>
      <c r="AC1225" t="str">
        <f t="shared" si="418"/>
        <v>Green</v>
      </c>
      <c r="AD1225" t="str">
        <f t="shared" si="419"/>
        <v>Red</v>
      </c>
    </row>
    <row r="1226" spans="1:30" x14ac:dyDescent="0.2">
      <c r="A1226" t="str">
        <f t="shared" si="400"/>
        <v>25/07/2026Angusht NazranKyzyltash</v>
      </c>
      <c r="D1226" s="2">
        <v>46228</v>
      </c>
      <c r="E1226" s="3">
        <v>0.5625</v>
      </c>
      <c r="F1226" t="s">
        <v>3570</v>
      </c>
      <c r="G1226" t="s">
        <v>3571</v>
      </c>
      <c r="H1226">
        <v>0</v>
      </c>
      <c r="I1226">
        <v>0</v>
      </c>
      <c r="J1226">
        <v>0</v>
      </c>
      <c r="K1226">
        <v>0</v>
      </c>
      <c r="L1226" s="22" t="str">
        <f t="shared" si="401"/>
        <v>25/07/2026</v>
      </c>
      <c r="M1226" s="23">
        <f t="shared" si="402"/>
        <v>0.4375</v>
      </c>
      <c r="N1226" t="str">
        <f t="shared" si="403"/>
        <v>0 - 0</v>
      </c>
      <c r="O1226" t="str">
        <f t="shared" si="404"/>
        <v>Red</v>
      </c>
      <c r="P1226" t="str">
        <f t="shared" si="405"/>
        <v>Green</v>
      </c>
      <c r="Q1226" t="str">
        <f t="shared" si="406"/>
        <v>Red</v>
      </c>
      <c r="R1226" t="str">
        <f t="shared" si="407"/>
        <v>Green</v>
      </c>
      <c r="S1226" t="str">
        <f t="shared" si="408"/>
        <v>Green</v>
      </c>
      <c r="T1226" t="str">
        <f t="shared" si="409"/>
        <v>Red</v>
      </c>
      <c r="U1226" t="str">
        <f t="shared" si="410"/>
        <v>Red</v>
      </c>
      <c r="V1226" t="str">
        <f t="shared" si="411"/>
        <v>Green</v>
      </c>
      <c r="W1226" t="str">
        <f t="shared" si="412"/>
        <v>Red</v>
      </c>
      <c r="X1226" t="str">
        <f t="shared" si="413"/>
        <v>Red</v>
      </c>
      <c r="Y1226" t="str">
        <f t="shared" si="414"/>
        <v>Red</v>
      </c>
      <c r="Z1226" t="str">
        <f t="shared" si="415"/>
        <v>Red</v>
      </c>
      <c r="AA1226" t="str">
        <f t="shared" si="416"/>
        <v>Green</v>
      </c>
      <c r="AB1226" t="str">
        <f t="shared" si="417"/>
        <v>Green</v>
      </c>
      <c r="AC1226" t="str">
        <f t="shared" si="418"/>
        <v>Red</v>
      </c>
      <c r="AD1226" t="str">
        <f t="shared" si="419"/>
        <v>Green</v>
      </c>
    </row>
    <row r="1227" spans="1:30" x14ac:dyDescent="0.2">
      <c r="A1227" t="str">
        <f t="shared" si="400"/>
        <v>25/07/2026Greuther FurthHoffenheim</v>
      </c>
      <c r="D1227" s="2">
        <v>46228</v>
      </c>
      <c r="E1227" s="3">
        <v>0.5625</v>
      </c>
      <c r="F1227" t="s">
        <v>3835</v>
      </c>
      <c r="G1227" t="s">
        <v>3836</v>
      </c>
      <c r="H1227">
        <v>0</v>
      </c>
      <c r="I1227">
        <v>1</v>
      </c>
      <c r="J1227">
        <v>1</v>
      </c>
      <c r="K1227">
        <v>4</v>
      </c>
      <c r="L1227" s="22" t="str">
        <f t="shared" si="401"/>
        <v>25/07/2026</v>
      </c>
      <c r="M1227" s="23">
        <f t="shared" si="402"/>
        <v>0.4375</v>
      </c>
      <c r="N1227" t="str">
        <f t="shared" si="403"/>
        <v>1 - 4</v>
      </c>
      <c r="O1227" t="str">
        <f t="shared" si="404"/>
        <v>Red</v>
      </c>
      <c r="P1227" t="str">
        <f t="shared" si="405"/>
        <v>Red</v>
      </c>
      <c r="Q1227" t="str">
        <f t="shared" si="406"/>
        <v>Green</v>
      </c>
      <c r="R1227" t="str">
        <f t="shared" si="407"/>
        <v>Red</v>
      </c>
      <c r="S1227" t="str">
        <f t="shared" si="408"/>
        <v>Green</v>
      </c>
      <c r="T1227" t="str">
        <f t="shared" si="409"/>
        <v>Green</v>
      </c>
      <c r="U1227" t="str">
        <f t="shared" si="410"/>
        <v>Red</v>
      </c>
      <c r="V1227" t="str">
        <f t="shared" si="411"/>
        <v>Red</v>
      </c>
      <c r="W1227" t="str">
        <f t="shared" si="412"/>
        <v>Green</v>
      </c>
      <c r="X1227" t="str">
        <f t="shared" si="413"/>
        <v>Green</v>
      </c>
      <c r="Y1227" t="str">
        <f t="shared" si="414"/>
        <v>Green</v>
      </c>
      <c r="Z1227" t="str">
        <f t="shared" si="415"/>
        <v>Green</v>
      </c>
      <c r="AA1227" t="str">
        <f t="shared" si="416"/>
        <v>Red</v>
      </c>
      <c r="AB1227" t="str">
        <f t="shared" si="417"/>
        <v>Red</v>
      </c>
      <c r="AC1227" t="str">
        <f t="shared" si="418"/>
        <v>Green</v>
      </c>
      <c r="AD1227" t="str">
        <f t="shared" si="419"/>
        <v>Red</v>
      </c>
    </row>
    <row r="1228" spans="1:30" x14ac:dyDescent="0.2">
      <c r="A1228" t="str">
        <f t="shared" si="400"/>
        <v>25/07/2026Haverfordwest CountyLlanelli</v>
      </c>
      <c r="D1228" s="2">
        <v>46228</v>
      </c>
      <c r="E1228" s="3">
        <v>0.5625</v>
      </c>
      <c r="F1228" t="s">
        <v>3837</v>
      </c>
      <c r="G1228" t="s">
        <v>3838</v>
      </c>
      <c r="H1228">
        <v>6</v>
      </c>
      <c r="I1228">
        <v>0</v>
      </c>
      <c r="J1228">
        <v>8</v>
      </c>
      <c r="K1228">
        <v>0</v>
      </c>
      <c r="L1228" s="22" t="str">
        <f t="shared" si="401"/>
        <v>25/07/2026</v>
      </c>
      <c r="M1228" s="23">
        <f t="shared" si="402"/>
        <v>0.4375</v>
      </c>
      <c r="N1228" t="str">
        <f t="shared" si="403"/>
        <v>8 - 0</v>
      </c>
      <c r="O1228" t="str">
        <f t="shared" si="404"/>
        <v>Green</v>
      </c>
      <c r="P1228" t="str">
        <f t="shared" si="405"/>
        <v>Red</v>
      </c>
      <c r="Q1228" t="str">
        <f t="shared" si="406"/>
        <v>Red</v>
      </c>
      <c r="R1228" t="str">
        <f t="shared" si="407"/>
        <v>Green</v>
      </c>
      <c r="S1228" t="str">
        <f t="shared" si="408"/>
        <v>Red</v>
      </c>
      <c r="T1228" t="str">
        <f t="shared" si="409"/>
        <v>Green</v>
      </c>
      <c r="U1228" t="str">
        <f t="shared" si="410"/>
        <v>Green</v>
      </c>
      <c r="V1228" t="str">
        <f t="shared" si="411"/>
        <v>Red</v>
      </c>
      <c r="W1228" t="str">
        <f t="shared" si="412"/>
        <v>Red</v>
      </c>
      <c r="X1228" t="str">
        <f t="shared" si="413"/>
        <v>Green</v>
      </c>
      <c r="Y1228" t="str">
        <f t="shared" si="414"/>
        <v>Green</v>
      </c>
      <c r="Z1228" t="str">
        <f t="shared" si="415"/>
        <v>Green</v>
      </c>
      <c r="AA1228" t="str">
        <f t="shared" si="416"/>
        <v>Red</v>
      </c>
      <c r="AB1228" t="str">
        <f t="shared" si="417"/>
        <v>Red</v>
      </c>
      <c r="AC1228" t="str">
        <f t="shared" si="418"/>
        <v>Red</v>
      </c>
      <c r="AD1228" t="str">
        <f t="shared" si="419"/>
        <v>Green</v>
      </c>
    </row>
    <row r="1229" spans="1:30" x14ac:dyDescent="0.2">
      <c r="A1229" t="str">
        <f t="shared" si="400"/>
        <v>25/07/2026Wehen WiesbadenBayern Munich</v>
      </c>
      <c r="D1229" s="2">
        <v>46228</v>
      </c>
      <c r="E1229" s="3">
        <v>0.5625</v>
      </c>
      <c r="F1229" t="s">
        <v>3839</v>
      </c>
      <c r="G1229" t="s">
        <v>3840</v>
      </c>
      <c r="H1229">
        <v>1</v>
      </c>
      <c r="I1229">
        <v>0</v>
      </c>
      <c r="J1229">
        <v>2</v>
      </c>
      <c r="K1229">
        <v>1</v>
      </c>
      <c r="L1229" s="22" t="str">
        <f t="shared" si="401"/>
        <v>25/07/2026</v>
      </c>
      <c r="M1229" s="23">
        <f t="shared" si="402"/>
        <v>0.4375</v>
      </c>
      <c r="N1229" t="str">
        <f t="shared" si="403"/>
        <v>2 - 1</v>
      </c>
      <c r="O1229" t="str">
        <f t="shared" si="404"/>
        <v>Green</v>
      </c>
      <c r="P1229" t="str">
        <f t="shared" si="405"/>
        <v>Red</v>
      </c>
      <c r="Q1229" t="str">
        <f t="shared" si="406"/>
        <v>Red</v>
      </c>
      <c r="R1229" t="str">
        <f t="shared" si="407"/>
        <v>Green</v>
      </c>
      <c r="S1229" t="str">
        <f t="shared" si="408"/>
        <v>Red</v>
      </c>
      <c r="T1229" t="str">
        <f t="shared" si="409"/>
        <v>Green</v>
      </c>
      <c r="U1229" t="str">
        <f t="shared" si="410"/>
        <v>Green</v>
      </c>
      <c r="V1229" t="str">
        <f t="shared" si="411"/>
        <v>Red</v>
      </c>
      <c r="W1229" t="str">
        <f t="shared" si="412"/>
        <v>Red</v>
      </c>
      <c r="X1229" t="str">
        <f t="shared" si="413"/>
        <v>Green</v>
      </c>
      <c r="Y1229" t="str">
        <f t="shared" si="414"/>
        <v>Green</v>
      </c>
      <c r="Z1229" t="str">
        <f t="shared" si="415"/>
        <v>Green</v>
      </c>
      <c r="AA1229" t="str">
        <f t="shared" si="416"/>
        <v>Red</v>
      </c>
      <c r="AB1229" t="str">
        <f t="shared" si="417"/>
        <v>Green</v>
      </c>
      <c r="AC1229" t="str">
        <f t="shared" si="418"/>
        <v>Green</v>
      </c>
      <c r="AD1229" t="str">
        <f t="shared" si="419"/>
        <v>Red</v>
      </c>
    </row>
    <row r="1230" spans="1:30" x14ac:dyDescent="0.2">
      <c r="A1230" t="str">
        <f t="shared" si="400"/>
        <v>25/07/2026CA Independiente WomenBanfield Women</v>
      </c>
      <c r="B1230" t="s">
        <v>806</v>
      </c>
      <c r="C1230" t="s">
        <v>879</v>
      </c>
      <c r="D1230" s="2">
        <v>46228</v>
      </c>
      <c r="E1230" s="3">
        <v>0.58333333333333337</v>
      </c>
      <c r="F1230" t="s">
        <v>2788</v>
      </c>
      <c r="G1230" t="s">
        <v>885</v>
      </c>
      <c r="H1230">
        <v>0</v>
      </c>
      <c r="I1230">
        <v>0</v>
      </c>
      <c r="J1230">
        <v>0</v>
      </c>
      <c r="K1230">
        <v>3</v>
      </c>
      <c r="L1230" s="22" t="str">
        <f t="shared" si="401"/>
        <v>25/07/2026</v>
      </c>
      <c r="M1230" s="23">
        <f t="shared" si="402"/>
        <v>0.45833333333333337</v>
      </c>
      <c r="N1230" t="str">
        <f t="shared" si="403"/>
        <v>0 - 3</v>
      </c>
      <c r="O1230" t="str">
        <f t="shared" si="404"/>
        <v>Red</v>
      </c>
      <c r="P1230" t="str">
        <f t="shared" si="405"/>
        <v>Red</v>
      </c>
      <c r="Q1230" t="str">
        <f t="shared" si="406"/>
        <v>Green</v>
      </c>
      <c r="R1230" t="str">
        <f t="shared" si="407"/>
        <v>Red</v>
      </c>
      <c r="S1230" t="str">
        <f t="shared" si="408"/>
        <v>Green</v>
      </c>
      <c r="T1230" t="str">
        <f t="shared" si="409"/>
        <v>Green</v>
      </c>
      <c r="U1230" t="str">
        <f t="shared" si="410"/>
        <v>Red</v>
      </c>
      <c r="V1230" t="str">
        <f t="shared" si="411"/>
        <v>Green</v>
      </c>
      <c r="W1230" t="str">
        <f t="shared" si="412"/>
        <v>Red</v>
      </c>
      <c r="X1230" t="str">
        <f t="shared" si="413"/>
        <v>Red</v>
      </c>
      <c r="Y1230" t="str">
        <f t="shared" si="414"/>
        <v>Green</v>
      </c>
      <c r="Z1230" t="str">
        <f t="shared" si="415"/>
        <v>Green</v>
      </c>
      <c r="AA1230" t="str">
        <f t="shared" si="416"/>
        <v>Red</v>
      </c>
      <c r="AB1230" t="str">
        <f t="shared" si="417"/>
        <v>Green</v>
      </c>
      <c r="AC1230" t="str">
        <f t="shared" si="418"/>
        <v>Red</v>
      </c>
      <c r="AD1230" t="str">
        <f t="shared" si="419"/>
        <v>Green</v>
      </c>
    </row>
    <row r="1231" spans="1:30" x14ac:dyDescent="0.2">
      <c r="A1231" t="str">
        <f t="shared" si="400"/>
        <v>25/07/2026SoligorskFC Slutsk</v>
      </c>
      <c r="D1231" s="2">
        <v>46228</v>
      </c>
      <c r="E1231" s="3">
        <v>0.58333333333333337</v>
      </c>
      <c r="F1231" t="s">
        <v>3034</v>
      </c>
      <c r="G1231" t="s">
        <v>3035</v>
      </c>
      <c r="H1231">
        <v>1</v>
      </c>
      <c r="I1231">
        <v>0</v>
      </c>
      <c r="J1231">
        <v>2</v>
      </c>
      <c r="K1231">
        <v>2</v>
      </c>
      <c r="L1231" s="22" t="str">
        <f t="shared" si="401"/>
        <v>25/07/2026</v>
      </c>
      <c r="M1231" s="23">
        <f t="shared" si="402"/>
        <v>0.45833333333333337</v>
      </c>
      <c r="N1231" t="str">
        <f t="shared" si="403"/>
        <v>2 - 2</v>
      </c>
      <c r="O1231" t="str">
        <f t="shared" si="404"/>
        <v>Red</v>
      </c>
      <c r="P1231" t="str">
        <f t="shared" si="405"/>
        <v>Green</v>
      </c>
      <c r="Q1231" t="str">
        <f t="shared" si="406"/>
        <v>Red</v>
      </c>
      <c r="R1231" t="str">
        <f t="shared" si="407"/>
        <v>Green</v>
      </c>
      <c r="S1231" t="str">
        <f t="shared" si="408"/>
        <v>Green</v>
      </c>
      <c r="T1231" t="str">
        <f t="shared" si="409"/>
        <v>Red</v>
      </c>
      <c r="U1231" t="str">
        <f t="shared" si="410"/>
        <v>Green</v>
      </c>
      <c r="V1231" t="str">
        <f t="shared" si="411"/>
        <v>Red</v>
      </c>
      <c r="W1231" t="str">
        <f t="shared" si="412"/>
        <v>Red</v>
      </c>
      <c r="X1231" t="str">
        <f t="shared" si="413"/>
        <v>Green</v>
      </c>
      <c r="Y1231" t="str">
        <f t="shared" si="414"/>
        <v>Green</v>
      </c>
      <c r="Z1231" t="str">
        <f t="shared" si="415"/>
        <v>Green</v>
      </c>
      <c r="AA1231" t="str">
        <f t="shared" si="416"/>
        <v>Red</v>
      </c>
      <c r="AB1231" t="str">
        <f t="shared" si="417"/>
        <v>Red</v>
      </c>
      <c r="AC1231" t="str">
        <f t="shared" si="418"/>
        <v>Green</v>
      </c>
      <c r="AD1231" t="str">
        <f t="shared" si="419"/>
        <v>Red</v>
      </c>
    </row>
    <row r="1232" spans="1:30" x14ac:dyDescent="0.2">
      <c r="A1232" t="str">
        <f t="shared" si="400"/>
        <v>25/07/2026FredericiaHB Koge</v>
      </c>
      <c r="D1232" s="2">
        <v>46228</v>
      </c>
      <c r="E1232" s="3">
        <v>0.58333333333333337</v>
      </c>
      <c r="F1232" t="s">
        <v>3185</v>
      </c>
      <c r="G1232" t="s">
        <v>3186</v>
      </c>
      <c r="H1232">
        <v>0</v>
      </c>
      <c r="I1232">
        <v>0</v>
      </c>
      <c r="J1232">
        <v>3</v>
      </c>
      <c r="K1232">
        <v>0</v>
      </c>
      <c r="L1232" s="22" t="str">
        <f t="shared" si="401"/>
        <v>25/07/2026</v>
      </c>
      <c r="M1232" s="23">
        <f t="shared" si="402"/>
        <v>0.45833333333333337</v>
      </c>
      <c r="N1232" t="str">
        <f t="shared" si="403"/>
        <v>3 - 0</v>
      </c>
      <c r="O1232" t="str">
        <f t="shared" si="404"/>
        <v>Green</v>
      </c>
      <c r="P1232" t="str">
        <f t="shared" si="405"/>
        <v>Red</v>
      </c>
      <c r="Q1232" t="str">
        <f t="shared" si="406"/>
        <v>Red</v>
      </c>
      <c r="R1232" t="str">
        <f t="shared" si="407"/>
        <v>Green</v>
      </c>
      <c r="S1232" t="str">
        <f t="shared" si="408"/>
        <v>Red</v>
      </c>
      <c r="T1232" t="str">
        <f t="shared" si="409"/>
        <v>Green</v>
      </c>
      <c r="U1232" t="str">
        <f t="shared" si="410"/>
        <v>Red</v>
      </c>
      <c r="V1232" t="str">
        <f t="shared" si="411"/>
        <v>Green</v>
      </c>
      <c r="W1232" t="str">
        <f t="shared" si="412"/>
        <v>Red</v>
      </c>
      <c r="X1232" t="str">
        <f t="shared" si="413"/>
        <v>Red</v>
      </c>
      <c r="Y1232" t="str">
        <f t="shared" si="414"/>
        <v>Green</v>
      </c>
      <c r="Z1232" t="str">
        <f t="shared" si="415"/>
        <v>Green</v>
      </c>
      <c r="AA1232" t="str">
        <f t="shared" si="416"/>
        <v>Red</v>
      </c>
      <c r="AB1232" t="str">
        <f t="shared" si="417"/>
        <v>Green</v>
      </c>
      <c r="AC1232" t="str">
        <f t="shared" si="418"/>
        <v>Red</v>
      </c>
      <c r="AD1232" t="str">
        <f t="shared" si="419"/>
        <v>Green</v>
      </c>
    </row>
    <row r="1233" spans="1:30" x14ac:dyDescent="0.2">
      <c r="A1233" t="str">
        <f t="shared" si="400"/>
        <v>25/07/2026Kuopio PSVaasa PS</v>
      </c>
      <c r="D1233" s="2">
        <v>46228</v>
      </c>
      <c r="E1233" s="3">
        <v>0.58333333333333337</v>
      </c>
      <c r="F1233" t="s">
        <v>357</v>
      </c>
      <c r="G1233" t="s">
        <v>3212</v>
      </c>
      <c r="H1233">
        <v>3</v>
      </c>
      <c r="I1233">
        <v>0</v>
      </c>
      <c r="J1233">
        <v>3</v>
      </c>
      <c r="K1233">
        <v>1</v>
      </c>
      <c r="L1233" s="22" t="str">
        <f t="shared" si="401"/>
        <v>25/07/2026</v>
      </c>
      <c r="M1233" s="23">
        <f t="shared" si="402"/>
        <v>0.45833333333333337</v>
      </c>
      <c r="N1233" t="str">
        <f t="shared" si="403"/>
        <v>3 - 1</v>
      </c>
      <c r="O1233" t="str">
        <f t="shared" si="404"/>
        <v>Green</v>
      </c>
      <c r="P1233" t="str">
        <f t="shared" si="405"/>
        <v>Red</v>
      </c>
      <c r="Q1233" t="str">
        <f t="shared" si="406"/>
        <v>Red</v>
      </c>
      <c r="R1233" t="str">
        <f t="shared" si="407"/>
        <v>Green</v>
      </c>
      <c r="S1233" t="str">
        <f t="shared" si="408"/>
        <v>Red</v>
      </c>
      <c r="T1233" t="str">
        <f t="shared" si="409"/>
        <v>Green</v>
      </c>
      <c r="U1233" t="str">
        <f t="shared" si="410"/>
        <v>Green</v>
      </c>
      <c r="V1233" t="str">
        <f t="shared" si="411"/>
        <v>Red</v>
      </c>
      <c r="W1233" t="str">
        <f t="shared" si="412"/>
        <v>Red</v>
      </c>
      <c r="X1233" t="str">
        <f t="shared" si="413"/>
        <v>Green</v>
      </c>
      <c r="Y1233" t="str">
        <f t="shared" si="414"/>
        <v>Green</v>
      </c>
      <c r="Z1233" t="str">
        <f t="shared" si="415"/>
        <v>Green</v>
      </c>
      <c r="AA1233" t="str">
        <f t="shared" si="416"/>
        <v>Red</v>
      </c>
      <c r="AB1233" t="str">
        <f t="shared" si="417"/>
        <v>Red</v>
      </c>
      <c r="AC1233" t="str">
        <f t="shared" si="418"/>
        <v>Green</v>
      </c>
      <c r="AD1233" t="str">
        <f t="shared" si="419"/>
        <v>Red</v>
      </c>
    </row>
    <row r="1234" spans="1:30" x14ac:dyDescent="0.2">
      <c r="A1234" t="str">
        <f t="shared" si="400"/>
        <v>25/07/2026Jakobstads BKVaasa PS II</v>
      </c>
      <c r="D1234" s="2">
        <v>46228</v>
      </c>
      <c r="E1234" s="3">
        <v>0.58333333333333337</v>
      </c>
      <c r="F1234" t="s">
        <v>3228</v>
      </c>
      <c r="G1234" t="s">
        <v>3229</v>
      </c>
      <c r="H1234">
        <v>1</v>
      </c>
      <c r="I1234">
        <v>0</v>
      </c>
      <c r="J1234">
        <v>2</v>
      </c>
      <c r="K1234">
        <v>0</v>
      </c>
      <c r="L1234" s="22" t="str">
        <f t="shared" si="401"/>
        <v>25/07/2026</v>
      </c>
      <c r="M1234" s="23">
        <f t="shared" si="402"/>
        <v>0.45833333333333337</v>
      </c>
      <c r="N1234" t="str">
        <f t="shared" si="403"/>
        <v>2 - 0</v>
      </c>
      <c r="O1234" t="str">
        <f t="shared" si="404"/>
        <v>Green</v>
      </c>
      <c r="P1234" t="str">
        <f t="shared" si="405"/>
        <v>Red</v>
      </c>
      <c r="Q1234" t="str">
        <f t="shared" si="406"/>
        <v>Red</v>
      </c>
      <c r="R1234" t="str">
        <f t="shared" si="407"/>
        <v>Green</v>
      </c>
      <c r="S1234" t="str">
        <f t="shared" si="408"/>
        <v>Red</v>
      </c>
      <c r="T1234" t="str">
        <f t="shared" si="409"/>
        <v>Green</v>
      </c>
      <c r="U1234" t="str">
        <f t="shared" si="410"/>
        <v>Green</v>
      </c>
      <c r="V1234" t="str">
        <f t="shared" si="411"/>
        <v>Red</v>
      </c>
      <c r="W1234" t="str">
        <f t="shared" si="412"/>
        <v>Red</v>
      </c>
      <c r="X1234" t="str">
        <f t="shared" si="413"/>
        <v>Green</v>
      </c>
      <c r="Y1234" t="str">
        <f t="shared" si="414"/>
        <v>Green</v>
      </c>
      <c r="Z1234" t="str">
        <f t="shared" si="415"/>
        <v>Red</v>
      </c>
      <c r="AA1234" t="str">
        <f t="shared" si="416"/>
        <v>Green</v>
      </c>
      <c r="AB1234" t="str">
        <f t="shared" si="417"/>
        <v>Green</v>
      </c>
      <c r="AC1234" t="str">
        <f t="shared" si="418"/>
        <v>Red</v>
      </c>
      <c r="AD1234" t="str">
        <f t="shared" si="419"/>
        <v>Green</v>
      </c>
    </row>
    <row r="1235" spans="1:30" x14ac:dyDescent="0.2">
      <c r="A1235" t="str">
        <f t="shared" si="400"/>
        <v>25/07/2026Bayern HofDJK Don Bosco Bamberg</v>
      </c>
      <c r="D1235" s="2">
        <v>46228</v>
      </c>
      <c r="E1235" s="3">
        <v>0.58333333333333337</v>
      </c>
      <c r="F1235" t="s">
        <v>3287</v>
      </c>
      <c r="G1235" t="s">
        <v>1347</v>
      </c>
      <c r="H1235">
        <v>0</v>
      </c>
      <c r="I1235">
        <v>0</v>
      </c>
      <c r="J1235">
        <v>2</v>
      </c>
      <c r="K1235">
        <v>0</v>
      </c>
      <c r="L1235" s="22" t="str">
        <f t="shared" si="401"/>
        <v>25/07/2026</v>
      </c>
      <c r="M1235" s="23">
        <f t="shared" si="402"/>
        <v>0.45833333333333337</v>
      </c>
      <c r="N1235" t="str">
        <f t="shared" si="403"/>
        <v>2 - 0</v>
      </c>
      <c r="O1235" t="str">
        <f t="shared" si="404"/>
        <v>Green</v>
      </c>
      <c r="P1235" t="str">
        <f t="shared" si="405"/>
        <v>Red</v>
      </c>
      <c r="Q1235" t="str">
        <f t="shared" si="406"/>
        <v>Red</v>
      </c>
      <c r="R1235" t="str">
        <f t="shared" si="407"/>
        <v>Green</v>
      </c>
      <c r="S1235" t="str">
        <f t="shared" si="408"/>
        <v>Red</v>
      </c>
      <c r="T1235" t="str">
        <f t="shared" si="409"/>
        <v>Green</v>
      </c>
      <c r="U1235" t="str">
        <f t="shared" si="410"/>
        <v>Red</v>
      </c>
      <c r="V1235" t="str">
        <f t="shared" si="411"/>
        <v>Green</v>
      </c>
      <c r="W1235" t="str">
        <f t="shared" si="412"/>
        <v>Red</v>
      </c>
      <c r="X1235" t="str">
        <f t="shared" si="413"/>
        <v>Red</v>
      </c>
      <c r="Y1235" t="str">
        <f t="shared" si="414"/>
        <v>Green</v>
      </c>
      <c r="Z1235" t="str">
        <f t="shared" si="415"/>
        <v>Red</v>
      </c>
      <c r="AA1235" t="str">
        <f t="shared" si="416"/>
        <v>Green</v>
      </c>
      <c r="AB1235" t="str">
        <f t="shared" si="417"/>
        <v>Green</v>
      </c>
      <c r="AC1235" t="str">
        <f t="shared" si="418"/>
        <v>Red</v>
      </c>
      <c r="AD1235" t="str">
        <f t="shared" si="419"/>
        <v>Green</v>
      </c>
    </row>
    <row r="1236" spans="1:30" x14ac:dyDescent="0.2">
      <c r="A1236" t="str">
        <f t="shared" si="400"/>
        <v>25/07/2026Jahn Regensburg IITSV Nordlingen</v>
      </c>
      <c r="D1236" s="2">
        <v>46228</v>
      </c>
      <c r="E1236" s="3">
        <v>0.58333333333333337</v>
      </c>
      <c r="F1236" t="s">
        <v>3288</v>
      </c>
      <c r="G1236" t="s">
        <v>3289</v>
      </c>
      <c r="H1236">
        <v>1</v>
      </c>
      <c r="I1236">
        <v>0</v>
      </c>
      <c r="J1236">
        <v>1</v>
      </c>
      <c r="K1236">
        <v>1</v>
      </c>
      <c r="L1236" s="22" t="str">
        <f t="shared" si="401"/>
        <v>25/07/2026</v>
      </c>
      <c r="M1236" s="23">
        <f t="shared" si="402"/>
        <v>0.45833333333333337</v>
      </c>
      <c r="N1236" t="str">
        <f t="shared" si="403"/>
        <v>1 - 1</v>
      </c>
      <c r="O1236" t="str">
        <f t="shared" si="404"/>
        <v>Red</v>
      </c>
      <c r="P1236" t="str">
        <f t="shared" si="405"/>
        <v>Green</v>
      </c>
      <c r="Q1236" t="str">
        <f t="shared" si="406"/>
        <v>Red</v>
      </c>
      <c r="R1236" t="str">
        <f t="shared" si="407"/>
        <v>Green</v>
      </c>
      <c r="S1236" t="str">
        <f t="shared" si="408"/>
        <v>Green</v>
      </c>
      <c r="T1236" t="str">
        <f t="shared" si="409"/>
        <v>Red</v>
      </c>
      <c r="U1236" t="str">
        <f t="shared" si="410"/>
        <v>Green</v>
      </c>
      <c r="V1236" t="str">
        <f t="shared" si="411"/>
        <v>Red</v>
      </c>
      <c r="W1236" t="str">
        <f t="shared" si="412"/>
        <v>Red</v>
      </c>
      <c r="X1236" t="str">
        <f t="shared" si="413"/>
        <v>Green</v>
      </c>
      <c r="Y1236" t="str">
        <f t="shared" si="414"/>
        <v>Green</v>
      </c>
      <c r="Z1236" t="str">
        <f t="shared" si="415"/>
        <v>Red</v>
      </c>
      <c r="AA1236" t="str">
        <f t="shared" si="416"/>
        <v>Green</v>
      </c>
      <c r="AB1236" t="str">
        <f t="shared" si="417"/>
        <v>Green</v>
      </c>
      <c r="AC1236" t="str">
        <f t="shared" si="418"/>
        <v>Green</v>
      </c>
      <c r="AD1236" t="str">
        <f t="shared" si="419"/>
        <v>Red</v>
      </c>
    </row>
    <row r="1237" spans="1:30" x14ac:dyDescent="0.2">
      <c r="A1237" t="str">
        <f t="shared" si="400"/>
        <v>25/07/2026Szegedi VSEVasas SC II</v>
      </c>
      <c r="D1237" s="2">
        <v>46228</v>
      </c>
      <c r="E1237" s="3">
        <v>0.58333333333333337</v>
      </c>
      <c r="F1237" t="s">
        <v>3319</v>
      </c>
      <c r="G1237" t="s">
        <v>3320</v>
      </c>
      <c r="H1237">
        <v>0</v>
      </c>
      <c r="I1237">
        <v>1</v>
      </c>
      <c r="J1237">
        <v>1</v>
      </c>
      <c r="K1237">
        <v>1</v>
      </c>
      <c r="L1237" s="22" t="str">
        <f t="shared" si="401"/>
        <v>25/07/2026</v>
      </c>
      <c r="M1237" s="23">
        <f t="shared" si="402"/>
        <v>0.45833333333333337</v>
      </c>
      <c r="N1237" t="str">
        <f t="shared" si="403"/>
        <v>1 - 1</v>
      </c>
      <c r="O1237" t="str">
        <f t="shared" si="404"/>
        <v>Red</v>
      </c>
      <c r="P1237" t="str">
        <f t="shared" si="405"/>
        <v>Green</v>
      </c>
      <c r="Q1237" t="str">
        <f t="shared" si="406"/>
        <v>Red</v>
      </c>
      <c r="R1237" t="str">
        <f t="shared" si="407"/>
        <v>Green</v>
      </c>
      <c r="S1237" t="str">
        <f t="shared" si="408"/>
        <v>Green</v>
      </c>
      <c r="T1237" t="str">
        <f t="shared" si="409"/>
        <v>Red</v>
      </c>
      <c r="U1237" t="str">
        <f t="shared" si="410"/>
        <v>Red</v>
      </c>
      <c r="V1237" t="str">
        <f t="shared" si="411"/>
        <v>Red</v>
      </c>
      <c r="W1237" t="str">
        <f t="shared" si="412"/>
        <v>Green</v>
      </c>
      <c r="X1237" t="str">
        <f t="shared" si="413"/>
        <v>Green</v>
      </c>
      <c r="Y1237" t="str">
        <f t="shared" si="414"/>
        <v>Green</v>
      </c>
      <c r="Z1237" t="str">
        <f t="shared" si="415"/>
        <v>Red</v>
      </c>
      <c r="AA1237" t="str">
        <f t="shared" si="416"/>
        <v>Green</v>
      </c>
      <c r="AB1237" t="str">
        <f t="shared" si="417"/>
        <v>Green</v>
      </c>
      <c r="AC1237" t="str">
        <f t="shared" si="418"/>
        <v>Green</v>
      </c>
      <c r="AD1237" t="str">
        <f t="shared" si="419"/>
        <v>Red</v>
      </c>
    </row>
    <row r="1238" spans="1:30" x14ac:dyDescent="0.2">
      <c r="A1238" t="str">
        <f t="shared" si="400"/>
        <v>25/07/2026Zalaegerszegi TE IIVeszprem FC</v>
      </c>
      <c r="D1238" s="2">
        <v>46228</v>
      </c>
      <c r="E1238" s="3">
        <v>0.58333333333333337</v>
      </c>
      <c r="F1238" t="s">
        <v>3321</v>
      </c>
      <c r="G1238" t="s">
        <v>3322</v>
      </c>
      <c r="H1238">
        <v>0</v>
      </c>
      <c r="I1238">
        <v>1</v>
      </c>
      <c r="J1238">
        <v>1</v>
      </c>
      <c r="K1238">
        <v>3</v>
      </c>
      <c r="L1238" s="22" t="str">
        <f t="shared" si="401"/>
        <v>25/07/2026</v>
      </c>
      <c r="M1238" s="23">
        <f t="shared" si="402"/>
        <v>0.45833333333333337</v>
      </c>
      <c r="N1238" t="str">
        <f t="shared" si="403"/>
        <v>1 - 3</v>
      </c>
      <c r="O1238" t="str">
        <f t="shared" si="404"/>
        <v>Red</v>
      </c>
      <c r="P1238" t="str">
        <f t="shared" si="405"/>
        <v>Red</v>
      </c>
      <c r="Q1238" t="str">
        <f t="shared" si="406"/>
        <v>Green</v>
      </c>
      <c r="R1238" t="str">
        <f t="shared" si="407"/>
        <v>Red</v>
      </c>
      <c r="S1238" t="str">
        <f t="shared" si="408"/>
        <v>Green</v>
      </c>
      <c r="T1238" t="str">
        <f t="shared" si="409"/>
        <v>Green</v>
      </c>
      <c r="U1238" t="str">
        <f t="shared" si="410"/>
        <v>Red</v>
      </c>
      <c r="V1238" t="str">
        <f t="shared" si="411"/>
        <v>Red</v>
      </c>
      <c r="W1238" t="str">
        <f t="shared" si="412"/>
        <v>Green</v>
      </c>
      <c r="X1238" t="str">
        <f t="shared" si="413"/>
        <v>Green</v>
      </c>
      <c r="Y1238" t="str">
        <f t="shared" si="414"/>
        <v>Green</v>
      </c>
      <c r="Z1238" t="str">
        <f t="shared" si="415"/>
        <v>Green</v>
      </c>
      <c r="AA1238" t="str">
        <f t="shared" si="416"/>
        <v>Red</v>
      </c>
      <c r="AB1238" t="str">
        <f t="shared" si="417"/>
        <v>Red</v>
      </c>
      <c r="AC1238" t="str">
        <f t="shared" si="418"/>
        <v>Green</v>
      </c>
      <c r="AD1238" t="str">
        <f t="shared" si="419"/>
        <v>Red</v>
      </c>
    </row>
    <row r="1239" spans="1:30" x14ac:dyDescent="0.2">
      <c r="A1239" t="str">
        <f t="shared" si="400"/>
        <v>25/07/2026AftureldingGrotta Seltjarnarnes</v>
      </c>
      <c r="D1239" s="2">
        <v>46228</v>
      </c>
      <c r="E1239" s="3">
        <v>0.58333333333333337</v>
      </c>
      <c r="F1239" t="s">
        <v>604</v>
      </c>
      <c r="G1239" t="s">
        <v>605</v>
      </c>
      <c r="L1239" s="22" t="str">
        <f t="shared" si="401"/>
        <v>25/07/2026</v>
      </c>
      <c r="M1239" s="23">
        <f t="shared" si="402"/>
        <v>0.45833333333333337</v>
      </c>
      <c r="N1239" t="str">
        <f t="shared" si="403"/>
        <v xml:space="preserve"> - </v>
      </c>
      <c r="O1239" t="str">
        <f t="shared" si="404"/>
        <v>Red</v>
      </c>
      <c r="P1239" t="str">
        <f t="shared" si="405"/>
        <v>Green</v>
      </c>
      <c r="Q1239" t="str">
        <f t="shared" si="406"/>
        <v>Red</v>
      </c>
      <c r="R1239" t="str">
        <f t="shared" si="407"/>
        <v>Green</v>
      </c>
      <c r="S1239" t="str">
        <f t="shared" si="408"/>
        <v>Green</v>
      </c>
      <c r="T1239" t="str">
        <f t="shared" si="409"/>
        <v>Red</v>
      </c>
      <c r="U1239" t="str">
        <f t="shared" si="410"/>
        <v>Red</v>
      </c>
      <c r="V1239" t="str">
        <f t="shared" si="411"/>
        <v>Green</v>
      </c>
      <c r="W1239" t="str">
        <f t="shared" si="412"/>
        <v>Red</v>
      </c>
      <c r="X1239" t="str">
        <f t="shared" si="413"/>
        <v>Red</v>
      </c>
      <c r="Y1239" t="str">
        <f t="shared" si="414"/>
        <v>Red</v>
      </c>
      <c r="Z1239" t="str">
        <f t="shared" si="415"/>
        <v>Red</v>
      </c>
      <c r="AA1239" t="str">
        <f t="shared" si="416"/>
        <v>Green</v>
      </c>
      <c r="AB1239" t="str">
        <f t="shared" si="417"/>
        <v>Green</v>
      </c>
      <c r="AC1239" t="str">
        <f t="shared" si="418"/>
        <v>Red</v>
      </c>
      <c r="AD1239" t="str">
        <f t="shared" si="419"/>
        <v>Green</v>
      </c>
    </row>
    <row r="1240" spans="1:30" x14ac:dyDescent="0.2">
      <c r="A1240" t="str">
        <f t="shared" si="400"/>
        <v>25/07/2026IR ReykjavikFylkir</v>
      </c>
      <c r="D1240" s="2">
        <v>46228</v>
      </c>
      <c r="E1240" s="3">
        <v>0.58333333333333337</v>
      </c>
      <c r="F1240" t="s">
        <v>606</v>
      </c>
      <c r="G1240" t="s">
        <v>1361</v>
      </c>
      <c r="H1240">
        <v>1</v>
      </c>
      <c r="I1240">
        <v>0</v>
      </c>
      <c r="J1240">
        <v>2</v>
      </c>
      <c r="K1240">
        <v>0</v>
      </c>
      <c r="L1240" s="22" t="str">
        <f t="shared" si="401"/>
        <v>25/07/2026</v>
      </c>
      <c r="M1240" s="23">
        <f t="shared" si="402"/>
        <v>0.45833333333333337</v>
      </c>
      <c r="N1240" t="str">
        <f t="shared" si="403"/>
        <v>2 - 0</v>
      </c>
      <c r="O1240" t="str">
        <f t="shared" si="404"/>
        <v>Green</v>
      </c>
      <c r="P1240" t="str">
        <f t="shared" si="405"/>
        <v>Red</v>
      </c>
      <c r="Q1240" t="str">
        <f t="shared" si="406"/>
        <v>Red</v>
      </c>
      <c r="R1240" t="str">
        <f t="shared" si="407"/>
        <v>Green</v>
      </c>
      <c r="S1240" t="str">
        <f t="shared" si="408"/>
        <v>Red</v>
      </c>
      <c r="T1240" t="str">
        <f t="shared" si="409"/>
        <v>Green</v>
      </c>
      <c r="U1240" t="str">
        <f t="shared" si="410"/>
        <v>Green</v>
      </c>
      <c r="V1240" t="str">
        <f t="shared" si="411"/>
        <v>Red</v>
      </c>
      <c r="W1240" t="str">
        <f t="shared" si="412"/>
        <v>Red</v>
      </c>
      <c r="X1240" t="str">
        <f t="shared" si="413"/>
        <v>Green</v>
      </c>
      <c r="Y1240" t="str">
        <f t="shared" si="414"/>
        <v>Green</v>
      </c>
      <c r="Z1240" t="str">
        <f t="shared" si="415"/>
        <v>Red</v>
      </c>
      <c r="AA1240" t="str">
        <f t="shared" si="416"/>
        <v>Green</v>
      </c>
      <c r="AB1240" t="str">
        <f t="shared" si="417"/>
        <v>Green</v>
      </c>
      <c r="AC1240" t="str">
        <f t="shared" si="418"/>
        <v>Red</v>
      </c>
      <c r="AD1240" t="str">
        <f t="shared" si="419"/>
        <v>Green</v>
      </c>
    </row>
    <row r="1241" spans="1:30" x14ac:dyDescent="0.2">
      <c r="A1241" t="str">
        <f t="shared" si="400"/>
        <v>25/07/2026Huginn/Hottur/LeiknirKV Vesturbaer</v>
      </c>
      <c r="D1241" s="2">
        <v>46228</v>
      </c>
      <c r="E1241" s="3">
        <v>0.58333333333333337</v>
      </c>
      <c r="F1241" t="s">
        <v>3353</v>
      </c>
      <c r="G1241" t="s">
        <v>3354</v>
      </c>
      <c r="H1241">
        <v>1</v>
      </c>
      <c r="I1241">
        <v>0</v>
      </c>
      <c r="J1241">
        <v>1</v>
      </c>
      <c r="K1241">
        <v>1</v>
      </c>
      <c r="L1241" s="22" t="str">
        <f t="shared" si="401"/>
        <v>25/07/2026</v>
      </c>
      <c r="M1241" s="23">
        <f t="shared" si="402"/>
        <v>0.45833333333333337</v>
      </c>
      <c r="N1241" t="str">
        <f t="shared" si="403"/>
        <v>1 - 1</v>
      </c>
      <c r="O1241" t="str">
        <f t="shared" si="404"/>
        <v>Red</v>
      </c>
      <c r="P1241" t="str">
        <f t="shared" si="405"/>
        <v>Green</v>
      </c>
      <c r="Q1241" t="str">
        <f t="shared" si="406"/>
        <v>Red</v>
      </c>
      <c r="R1241" t="str">
        <f t="shared" si="407"/>
        <v>Green</v>
      </c>
      <c r="S1241" t="str">
        <f t="shared" si="408"/>
        <v>Green</v>
      </c>
      <c r="T1241" t="str">
        <f t="shared" si="409"/>
        <v>Red</v>
      </c>
      <c r="U1241" t="str">
        <f t="shared" si="410"/>
        <v>Green</v>
      </c>
      <c r="V1241" t="str">
        <f t="shared" si="411"/>
        <v>Red</v>
      </c>
      <c r="W1241" t="str">
        <f t="shared" si="412"/>
        <v>Red</v>
      </c>
      <c r="X1241" t="str">
        <f t="shared" si="413"/>
        <v>Green</v>
      </c>
      <c r="Y1241" t="str">
        <f t="shared" si="414"/>
        <v>Green</v>
      </c>
      <c r="Z1241" t="str">
        <f t="shared" si="415"/>
        <v>Red</v>
      </c>
      <c r="AA1241" t="str">
        <f t="shared" si="416"/>
        <v>Green</v>
      </c>
      <c r="AB1241" t="str">
        <f t="shared" si="417"/>
        <v>Green</v>
      </c>
      <c r="AC1241" t="str">
        <f t="shared" si="418"/>
        <v>Green</v>
      </c>
      <c r="AD1241" t="str">
        <f t="shared" si="419"/>
        <v>Red</v>
      </c>
    </row>
    <row r="1242" spans="1:30" x14ac:dyDescent="0.2">
      <c r="A1242" t="str">
        <f t="shared" si="400"/>
        <v>25/07/2026Vidir GardurSindri</v>
      </c>
      <c r="D1242" s="2">
        <v>46228</v>
      </c>
      <c r="E1242" s="3">
        <v>0.58333333333333337</v>
      </c>
      <c r="F1242" t="s">
        <v>3355</v>
      </c>
      <c r="G1242" t="s">
        <v>3356</v>
      </c>
      <c r="H1242">
        <v>0</v>
      </c>
      <c r="I1242">
        <v>1</v>
      </c>
      <c r="J1242">
        <v>0</v>
      </c>
      <c r="K1242">
        <v>1</v>
      </c>
      <c r="L1242" s="22" t="str">
        <f t="shared" si="401"/>
        <v>25/07/2026</v>
      </c>
      <c r="M1242" s="23">
        <f t="shared" si="402"/>
        <v>0.45833333333333337</v>
      </c>
      <c r="N1242" t="str">
        <f t="shared" si="403"/>
        <v>0 - 1</v>
      </c>
      <c r="O1242" t="str">
        <f t="shared" si="404"/>
        <v>Red</v>
      </c>
      <c r="P1242" t="str">
        <f t="shared" si="405"/>
        <v>Red</v>
      </c>
      <c r="Q1242" t="str">
        <f t="shared" si="406"/>
        <v>Green</v>
      </c>
      <c r="R1242" t="str">
        <f t="shared" si="407"/>
        <v>Red</v>
      </c>
      <c r="S1242" t="str">
        <f t="shared" si="408"/>
        <v>Green</v>
      </c>
      <c r="T1242" t="str">
        <f t="shared" si="409"/>
        <v>Green</v>
      </c>
      <c r="U1242" t="str">
        <f t="shared" si="410"/>
        <v>Red</v>
      </c>
      <c r="V1242" t="str">
        <f t="shared" si="411"/>
        <v>Red</v>
      </c>
      <c r="W1242" t="str">
        <f t="shared" si="412"/>
        <v>Green</v>
      </c>
      <c r="X1242" t="str">
        <f t="shared" si="413"/>
        <v>Green</v>
      </c>
      <c r="Y1242" t="str">
        <f t="shared" si="414"/>
        <v>Red</v>
      </c>
      <c r="Z1242" t="str">
        <f t="shared" si="415"/>
        <v>Red</v>
      </c>
      <c r="AA1242" t="str">
        <f t="shared" si="416"/>
        <v>Green</v>
      </c>
      <c r="AB1242" t="str">
        <f t="shared" si="417"/>
        <v>Green</v>
      </c>
      <c r="AC1242" t="str">
        <f t="shared" si="418"/>
        <v>Red</v>
      </c>
      <c r="AD1242" t="str">
        <f t="shared" si="419"/>
        <v>Green</v>
      </c>
    </row>
    <row r="1243" spans="1:30" x14ac:dyDescent="0.2">
      <c r="A1243" t="str">
        <f t="shared" si="400"/>
        <v>25/07/2026Bohemian WomenSligo Rovers Women</v>
      </c>
      <c r="D1243" s="2">
        <v>46228</v>
      </c>
      <c r="E1243" s="3">
        <v>0.58333333333333337</v>
      </c>
      <c r="F1243" t="s">
        <v>3368</v>
      </c>
      <c r="G1243" t="s">
        <v>3369</v>
      </c>
      <c r="H1243">
        <v>0</v>
      </c>
      <c r="I1243">
        <v>3</v>
      </c>
      <c r="J1243">
        <v>2</v>
      </c>
      <c r="K1243">
        <v>3</v>
      </c>
      <c r="L1243" s="22" t="str">
        <f t="shared" si="401"/>
        <v>25/07/2026</v>
      </c>
      <c r="M1243" s="23">
        <f t="shared" si="402"/>
        <v>0.45833333333333337</v>
      </c>
      <c r="N1243" t="str">
        <f t="shared" si="403"/>
        <v>2 - 3</v>
      </c>
      <c r="O1243" t="str">
        <f t="shared" si="404"/>
        <v>Red</v>
      </c>
      <c r="P1243" t="str">
        <f t="shared" si="405"/>
        <v>Red</v>
      </c>
      <c r="Q1243" t="str">
        <f t="shared" si="406"/>
        <v>Green</v>
      </c>
      <c r="R1243" t="str">
        <f t="shared" si="407"/>
        <v>Red</v>
      </c>
      <c r="S1243" t="str">
        <f t="shared" si="408"/>
        <v>Green</v>
      </c>
      <c r="T1243" t="str">
        <f t="shared" si="409"/>
        <v>Green</v>
      </c>
      <c r="U1243" t="str">
        <f t="shared" si="410"/>
        <v>Red</v>
      </c>
      <c r="V1243" t="str">
        <f t="shared" si="411"/>
        <v>Red</v>
      </c>
      <c r="W1243" t="str">
        <f t="shared" si="412"/>
        <v>Green</v>
      </c>
      <c r="X1243" t="str">
        <f t="shared" si="413"/>
        <v>Green</v>
      </c>
      <c r="Y1243" t="str">
        <f t="shared" si="414"/>
        <v>Green</v>
      </c>
      <c r="Z1243" t="str">
        <f t="shared" si="415"/>
        <v>Green</v>
      </c>
      <c r="AA1243" t="str">
        <f t="shared" si="416"/>
        <v>Red</v>
      </c>
      <c r="AB1243" t="str">
        <f t="shared" si="417"/>
        <v>Red</v>
      </c>
      <c r="AC1243" t="str">
        <f t="shared" si="418"/>
        <v>Green</v>
      </c>
      <c r="AD1243" t="str">
        <f t="shared" si="419"/>
        <v>Red</v>
      </c>
    </row>
    <row r="1244" spans="1:30" x14ac:dyDescent="0.2">
      <c r="A1244" t="str">
        <f t="shared" si="400"/>
        <v>25/07/2026Shamrock Rovers WomenWaterford Women</v>
      </c>
      <c r="D1244" s="2">
        <v>46228</v>
      </c>
      <c r="E1244" s="3">
        <v>0.58333333333333337</v>
      </c>
      <c r="F1244" t="s">
        <v>3370</v>
      </c>
      <c r="G1244" t="s">
        <v>3371</v>
      </c>
      <c r="H1244">
        <v>0</v>
      </c>
      <c r="I1244">
        <v>0</v>
      </c>
      <c r="J1244">
        <v>1</v>
      </c>
      <c r="K1244">
        <v>1</v>
      </c>
      <c r="L1244" s="22" t="str">
        <f t="shared" si="401"/>
        <v>25/07/2026</v>
      </c>
      <c r="M1244" s="23">
        <f t="shared" si="402"/>
        <v>0.45833333333333337</v>
      </c>
      <c r="N1244" t="str">
        <f t="shared" si="403"/>
        <v>1 - 1</v>
      </c>
      <c r="O1244" t="str">
        <f t="shared" si="404"/>
        <v>Red</v>
      </c>
      <c r="P1244" t="str">
        <f t="shared" si="405"/>
        <v>Green</v>
      </c>
      <c r="Q1244" t="str">
        <f t="shared" si="406"/>
        <v>Red</v>
      </c>
      <c r="R1244" t="str">
        <f t="shared" si="407"/>
        <v>Green</v>
      </c>
      <c r="S1244" t="str">
        <f t="shared" si="408"/>
        <v>Green</v>
      </c>
      <c r="T1244" t="str">
        <f t="shared" si="409"/>
        <v>Red</v>
      </c>
      <c r="U1244" t="str">
        <f t="shared" si="410"/>
        <v>Red</v>
      </c>
      <c r="V1244" t="str">
        <f t="shared" si="411"/>
        <v>Green</v>
      </c>
      <c r="W1244" t="str">
        <f t="shared" si="412"/>
        <v>Red</v>
      </c>
      <c r="X1244" t="str">
        <f t="shared" si="413"/>
        <v>Red</v>
      </c>
      <c r="Y1244" t="str">
        <f t="shared" si="414"/>
        <v>Green</v>
      </c>
      <c r="Z1244" t="str">
        <f t="shared" si="415"/>
        <v>Red</v>
      </c>
      <c r="AA1244" t="str">
        <f t="shared" si="416"/>
        <v>Green</v>
      </c>
      <c r="AB1244" t="str">
        <f t="shared" si="417"/>
        <v>Green</v>
      </c>
      <c r="AC1244" t="str">
        <f t="shared" si="418"/>
        <v>Green</v>
      </c>
      <c r="AD1244" t="str">
        <f t="shared" si="419"/>
        <v>Red</v>
      </c>
    </row>
    <row r="1245" spans="1:30" x14ac:dyDescent="0.2">
      <c r="A1245" t="str">
        <f t="shared" si="400"/>
        <v>25/07/2026Treaty United WomenShelbourne Women</v>
      </c>
      <c r="D1245" s="2">
        <v>46228</v>
      </c>
      <c r="E1245" s="3">
        <v>0.58333333333333337</v>
      </c>
      <c r="F1245" t="s">
        <v>3372</v>
      </c>
      <c r="G1245" t="s">
        <v>3373</v>
      </c>
      <c r="H1245">
        <v>1</v>
      </c>
      <c r="I1245">
        <v>1</v>
      </c>
      <c r="J1245">
        <v>1</v>
      </c>
      <c r="K1245">
        <v>1</v>
      </c>
      <c r="L1245" s="22" t="str">
        <f t="shared" si="401"/>
        <v>25/07/2026</v>
      </c>
      <c r="M1245" s="23">
        <f t="shared" si="402"/>
        <v>0.45833333333333337</v>
      </c>
      <c r="N1245" t="str">
        <f t="shared" si="403"/>
        <v>1 - 1</v>
      </c>
      <c r="O1245" t="str">
        <f t="shared" si="404"/>
        <v>Red</v>
      </c>
      <c r="P1245" t="str">
        <f t="shared" si="405"/>
        <v>Green</v>
      </c>
      <c r="Q1245" t="str">
        <f t="shared" si="406"/>
        <v>Red</v>
      </c>
      <c r="R1245" t="str">
        <f t="shared" si="407"/>
        <v>Green</v>
      </c>
      <c r="S1245" t="str">
        <f t="shared" si="408"/>
        <v>Green</v>
      </c>
      <c r="T1245" t="str">
        <f t="shared" si="409"/>
        <v>Red</v>
      </c>
      <c r="U1245" t="str">
        <f t="shared" si="410"/>
        <v>Red</v>
      </c>
      <c r="V1245" t="str">
        <f t="shared" si="411"/>
        <v>Green</v>
      </c>
      <c r="W1245" t="str">
        <f t="shared" si="412"/>
        <v>Red</v>
      </c>
      <c r="X1245" t="str">
        <f t="shared" si="413"/>
        <v>Green</v>
      </c>
      <c r="Y1245" t="str">
        <f t="shared" si="414"/>
        <v>Green</v>
      </c>
      <c r="Z1245" t="str">
        <f t="shared" si="415"/>
        <v>Red</v>
      </c>
      <c r="AA1245" t="str">
        <f t="shared" si="416"/>
        <v>Green</v>
      </c>
      <c r="AB1245" t="str">
        <f t="shared" si="417"/>
        <v>Green</v>
      </c>
      <c r="AC1245" t="str">
        <f t="shared" si="418"/>
        <v>Green</v>
      </c>
      <c r="AD1245" t="str">
        <f t="shared" si="419"/>
        <v>Red</v>
      </c>
    </row>
    <row r="1246" spans="1:30" x14ac:dyDescent="0.2">
      <c r="A1246" t="str">
        <f t="shared" si="400"/>
        <v>25/07/2026Beitar Riga MarinersVentspils</v>
      </c>
      <c r="D1246" s="2">
        <v>46228</v>
      </c>
      <c r="E1246" s="3">
        <v>0.58333333333333337</v>
      </c>
      <c r="F1246" t="s">
        <v>3390</v>
      </c>
      <c r="G1246" t="s">
        <v>3391</v>
      </c>
      <c r="H1246">
        <v>0</v>
      </c>
      <c r="I1246">
        <v>1</v>
      </c>
      <c r="J1246">
        <v>1</v>
      </c>
      <c r="K1246">
        <v>1</v>
      </c>
      <c r="L1246" s="22" t="str">
        <f t="shared" si="401"/>
        <v>25/07/2026</v>
      </c>
      <c r="M1246" s="23">
        <f t="shared" si="402"/>
        <v>0.45833333333333337</v>
      </c>
      <c r="N1246" t="str">
        <f t="shared" si="403"/>
        <v>1 - 1</v>
      </c>
      <c r="O1246" t="str">
        <f t="shared" si="404"/>
        <v>Red</v>
      </c>
      <c r="P1246" t="str">
        <f t="shared" si="405"/>
        <v>Green</v>
      </c>
      <c r="Q1246" t="str">
        <f t="shared" si="406"/>
        <v>Red</v>
      </c>
      <c r="R1246" t="str">
        <f t="shared" si="407"/>
        <v>Green</v>
      </c>
      <c r="S1246" t="str">
        <f t="shared" si="408"/>
        <v>Green</v>
      </c>
      <c r="T1246" t="str">
        <f t="shared" si="409"/>
        <v>Red</v>
      </c>
      <c r="U1246" t="str">
        <f t="shared" si="410"/>
        <v>Red</v>
      </c>
      <c r="V1246" t="str">
        <f t="shared" si="411"/>
        <v>Red</v>
      </c>
      <c r="W1246" t="str">
        <f t="shared" si="412"/>
        <v>Green</v>
      </c>
      <c r="X1246" t="str">
        <f t="shared" si="413"/>
        <v>Green</v>
      </c>
      <c r="Y1246" t="str">
        <f t="shared" si="414"/>
        <v>Green</v>
      </c>
      <c r="Z1246" t="str">
        <f t="shared" si="415"/>
        <v>Red</v>
      </c>
      <c r="AA1246" t="str">
        <f t="shared" si="416"/>
        <v>Green</v>
      </c>
      <c r="AB1246" t="str">
        <f t="shared" si="417"/>
        <v>Green</v>
      </c>
      <c r="AC1246" t="str">
        <f t="shared" si="418"/>
        <v>Green</v>
      </c>
      <c r="AD1246" t="str">
        <f t="shared" si="419"/>
        <v>Red</v>
      </c>
    </row>
    <row r="1247" spans="1:30" x14ac:dyDescent="0.2">
      <c r="A1247" t="str">
        <f t="shared" si="400"/>
        <v>25/07/2026Neptunas KlaipedaFC Siauliai II</v>
      </c>
      <c r="D1247" s="2">
        <v>46228</v>
      </c>
      <c r="E1247" s="3">
        <v>0.58333333333333337</v>
      </c>
      <c r="F1247" t="s">
        <v>282</v>
      </c>
      <c r="G1247" t="s">
        <v>3396</v>
      </c>
      <c r="H1247">
        <v>1</v>
      </c>
      <c r="I1247">
        <v>1</v>
      </c>
      <c r="J1247">
        <v>2</v>
      </c>
      <c r="K1247">
        <v>1</v>
      </c>
      <c r="L1247" s="22" t="str">
        <f t="shared" si="401"/>
        <v>25/07/2026</v>
      </c>
      <c r="M1247" s="23">
        <f t="shared" si="402"/>
        <v>0.45833333333333337</v>
      </c>
      <c r="N1247" t="str">
        <f t="shared" si="403"/>
        <v>2 - 1</v>
      </c>
      <c r="O1247" t="str">
        <f t="shared" si="404"/>
        <v>Green</v>
      </c>
      <c r="P1247" t="str">
        <f t="shared" si="405"/>
        <v>Red</v>
      </c>
      <c r="Q1247" t="str">
        <f t="shared" si="406"/>
        <v>Red</v>
      </c>
      <c r="R1247" t="str">
        <f t="shared" si="407"/>
        <v>Green</v>
      </c>
      <c r="S1247" t="str">
        <f t="shared" si="408"/>
        <v>Red</v>
      </c>
      <c r="T1247" t="str">
        <f t="shared" si="409"/>
        <v>Green</v>
      </c>
      <c r="U1247" t="str">
        <f t="shared" si="410"/>
        <v>Red</v>
      </c>
      <c r="V1247" t="str">
        <f t="shared" si="411"/>
        <v>Green</v>
      </c>
      <c r="W1247" t="str">
        <f t="shared" si="412"/>
        <v>Red</v>
      </c>
      <c r="X1247" t="str">
        <f t="shared" si="413"/>
        <v>Green</v>
      </c>
      <c r="Y1247" t="str">
        <f t="shared" si="414"/>
        <v>Green</v>
      </c>
      <c r="Z1247" t="str">
        <f t="shared" si="415"/>
        <v>Green</v>
      </c>
      <c r="AA1247" t="str">
        <f t="shared" si="416"/>
        <v>Red</v>
      </c>
      <c r="AB1247" t="str">
        <f t="shared" si="417"/>
        <v>Green</v>
      </c>
      <c r="AC1247" t="str">
        <f t="shared" si="418"/>
        <v>Green</v>
      </c>
      <c r="AD1247" t="str">
        <f t="shared" si="419"/>
        <v>Red</v>
      </c>
    </row>
    <row r="1248" spans="1:30" x14ac:dyDescent="0.2">
      <c r="A1248" t="str">
        <f t="shared" si="400"/>
        <v>25/07/2026Kristiansund BKIK Start</v>
      </c>
      <c r="D1248" s="2">
        <v>46228</v>
      </c>
      <c r="E1248" s="3">
        <v>0.58333333333333337</v>
      </c>
      <c r="F1248" t="s">
        <v>613</v>
      </c>
      <c r="G1248" t="s">
        <v>614</v>
      </c>
      <c r="H1248">
        <v>1</v>
      </c>
      <c r="I1248">
        <v>1</v>
      </c>
      <c r="J1248">
        <v>1</v>
      </c>
      <c r="K1248">
        <v>2</v>
      </c>
      <c r="L1248" s="22" t="str">
        <f t="shared" si="401"/>
        <v>25/07/2026</v>
      </c>
      <c r="M1248" s="23">
        <f t="shared" si="402"/>
        <v>0.45833333333333337</v>
      </c>
      <c r="N1248" t="str">
        <f t="shared" si="403"/>
        <v>1 - 2</v>
      </c>
      <c r="O1248" t="str">
        <f t="shared" si="404"/>
        <v>Red</v>
      </c>
      <c r="P1248" t="str">
        <f t="shared" si="405"/>
        <v>Red</v>
      </c>
      <c r="Q1248" t="str">
        <f t="shared" si="406"/>
        <v>Green</v>
      </c>
      <c r="R1248" t="str">
        <f t="shared" si="407"/>
        <v>Red</v>
      </c>
      <c r="S1248" t="str">
        <f t="shared" si="408"/>
        <v>Green</v>
      </c>
      <c r="T1248" t="str">
        <f t="shared" si="409"/>
        <v>Green</v>
      </c>
      <c r="U1248" t="str">
        <f t="shared" si="410"/>
        <v>Red</v>
      </c>
      <c r="V1248" t="str">
        <f t="shared" si="411"/>
        <v>Green</v>
      </c>
      <c r="W1248" t="str">
        <f t="shared" si="412"/>
        <v>Red</v>
      </c>
      <c r="X1248" t="str">
        <f t="shared" si="413"/>
        <v>Green</v>
      </c>
      <c r="Y1248" t="str">
        <f t="shared" si="414"/>
        <v>Green</v>
      </c>
      <c r="Z1248" t="str">
        <f t="shared" si="415"/>
        <v>Green</v>
      </c>
      <c r="AA1248" t="str">
        <f t="shared" si="416"/>
        <v>Red</v>
      </c>
      <c r="AB1248" t="str">
        <f t="shared" si="417"/>
        <v>Green</v>
      </c>
      <c r="AC1248" t="str">
        <f t="shared" si="418"/>
        <v>Green</v>
      </c>
      <c r="AD1248" t="str">
        <f t="shared" si="419"/>
        <v>Red</v>
      </c>
    </row>
    <row r="1249" spans="1:30" x14ac:dyDescent="0.2">
      <c r="A1249" t="str">
        <f t="shared" si="400"/>
        <v>25/07/2026Stabaek IIViking II</v>
      </c>
      <c r="D1249" s="2">
        <v>46228</v>
      </c>
      <c r="E1249" s="3">
        <v>0.58333333333333337</v>
      </c>
      <c r="F1249" t="s">
        <v>3493</v>
      </c>
      <c r="G1249" t="s">
        <v>3494</v>
      </c>
      <c r="H1249">
        <v>0</v>
      </c>
      <c r="I1249">
        <v>0</v>
      </c>
      <c r="J1249">
        <v>1</v>
      </c>
      <c r="K1249">
        <v>1</v>
      </c>
      <c r="L1249" s="22" t="str">
        <f t="shared" si="401"/>
        <v>25/07/2026</v>
      </c>
      <c r="M1249" s="23">
        <f t="shared" si="402"/>
        <v>0.45833333333333337</v>
      </c>
      <c r="N1249" t="str">
        <f t="shared" si="403"/>
        <v>1 - 1</v>
      </c>
      <c r="O1249" t="str">
        <f t="shared" si="404"/>
        <v>Red</v>
      </c>
      <c r="P1249" t="str">
        <f t="shared" si="405"/>
        <v>Green</v>
      </c>
      <c r="Q1249" t="str">
        <f t="shared" si="406"/>
        <v>Red</v>
      </c>
      <c r="R1249" t="str">
        <f t="shared" si="407"/>
        <v>Green</v>
      </c>
      <c r="S1249" t="str">
        <f t="shared" si="408"/>
        <v>Green</v>
      </c>
      <c r="T1249" t="str">
        <f t="shared" si="409"/>
        <v>Red</v>
      </c>
      <c r="U1249" t="str">
        <f t="shared" si="410"/>
        <v>Red</v>
      </c>
      <c r="V1249" t="str">
        <f t="shared" si="411"/>
        <v>Green</v>
      </c>
      <c r="W1249" t="str">
        <f t="shared" si="412"/>
        <v>Red</v>
      </c>
      <c r="X1249" t="str">
        <f t="shared" si="413"/>
        <v>Red</v>
      </c>
      <c r="Y1249" t="str">
        <f t="shared" si="414"/>
        <v>Green</v>
      </c>
      <c r="Z1249" t="str">
        <f t="shared" si="415"/>
        <v>Red</v>
      </c>
      <c r="AA1249" t="str">
        <f t="shared" si="416"/>
        <v>Green</v>
      </c>
      <c r="AB1249" t="str">
        <f t="shared" si="417"/>
        <v>Green</v>
      </c>
      <c r="AC1249" t="str">
        <f t="shared" si="418"/>
        <v>Green</v>
      </c>
      <c r="AD1249" t="str">
        <f t="shared" si="419"/>
        <v>Red</v>
      </c>
    </row>
    <row r="1250" spans="1:30" x14ac:dyDescent="0.2">
      <c r="A1250" t="str">
        <f t="shared" si="400"/>
        <v>25/07/2026ChelyabinskPari Nizhny Novgorod</v>
      </c>
      <c r="D1250" s="2">
        <v>46228</v>
      </c>
      <c r="E1250" s="3">
        <v>0.58333333333333337</v>
      </c>
      <c r="F1250" t="s">
        <v>3558</v>
      </c>
      <c r="G1250" t="s">
        <v>3559</v>
      </c>
      <c r="H1250">
        <v>1</v>
      </c>
      <c r="I1250">
        <v>2</v>
      </c>
      <c r="J1250">
        <v>1</v>
      </c>
      <c r="K1250">
        <v>2</v>
      </c>
      <c r="L1250" s="22" t="str">
        <f t="shared" si="401"/>
        <v>25/07/2026</v>
      </c>
      <c r="M1250" s="23">
        <f t="shared" si="402"/>
        <v>0.45833333333333337</v>
      </c>
      <c r="N1250" t="str">
        <f t="shared" si="403"/>
        <v>1 - 2</v>
      </c>
      <c r="O1250" t="str">
        <f t="shared" si="404"/>
        <v>Red</v>
      </c>
      <c r="P1250" t="str">
        <f t="shared" si="405"/>
        <v>Red</v>
      </c>
      <c r="Q1250" t="str">
        <f t="shared" si="406"/>
        <v>Green</v>
      </c>
      <c r="R1250" t="str">
        <f t="shared" si="407"/>
        <v>Red</v>
      </c>
      <c r="S1250" t="str">
        <f t="shared" si="408"/>
        <v>Green</v>
      </c>
      <c r="T1250" t="str">
        <f t="shared" si="409"/>
        <v>Green</v>
      </c>
      <c r="U1250" t="str">
        <f t="shared" si="410"/>
        <v>Red</v>
      </c>
      <c r="V1250" t="str">
        <f t="shared" si="411"/>
        <v>Red</v>
      </c>
      <c r="W1250" t="str">
        <f t="shared" si="412"/>
        <v>Green</v>
      </c>
      <c r="X1250" t="str">
        <f t="shared" si="413"/>
        <v>Green</v>
      </c>
      <c r="Y1250" t="str">
        <f t="shared" si="414"/>
        <v>Green</v>
      </c>
      <c r="Z1250" t="str">
        <f t="shared" si="415"/>
        <v>Green</v>
      </c>
      <c r="AA1250" t="str">
        <f t="shared" si="416"/>
        <v>Red</v>
      </c>
      <c r="AB1250" t="str">
        <f t="shared" si="417"/>
        <v>Green</v>
      </c>
      <c r="AC1250" t="str">
        <f t="shared" si="418"/>
        <v>Green</v>
      </c>
      <c r="AD1250" t="str">
        <f t="shared" si="419"/>
        <v>Red</v>
      </c>
    </row>
    <row r="1251" spans="1:30" x14ac:dyDescent="0.2">
      <c r="A1251" t="str">
        <f t="shared" si="400"/>
        <v>25/07/2026Dynamo StavropolIrtysh Omsk</v>
      </c>
      <c r="D1251" s="2">
        <v>46228</v>
      </c>
      <c r="E1251" s="3">
        <v>0.58333333333333337</v>
      </c>
      <c r="F1251" t="s">
        <v>3564</v>
      </c>
      <c r="G1251" t="s">
        <v>3565</v>
      </c>
      <c r="H1251">
        <v>1</v>
      </c>
      <c r="I1251">
        <v>0</v>
      </c>
      <c r="J1251">
        <v>1</v>
      </c>
      <c r="K1251">
        <v>1</v>
      </c>
      <c r="L1251" s="22" t="str">
        <f t="shared" si="401"/>
        <v>25/07/2026</v>
      </c>
      <c r="M1251" s="23">
        <f t="shared" si="402"/>
        <v>0.45833333333333337</v>
      </c>
      <c r="N1251" t="str">
        <f t="shared" si="403"/>
        <v>1 - 1</v>
      </c>
      <c r="O1251" t="str">
        <f t="shared" si="404"/>
        <v>Red</v>
      </c>
      <c r="P1251" t="str">
        <f t="shared" si="405"/>
        <v>Green</v>
      </c>
      <c r="Q1251" t="str">
        <f t="shared" si="406"/>
        <v>Red</v>
      </c>
      <c r="R1251" t="str">
        <f t="shared" si="407"/>
        <v>Green</v>
      </c>
      <c r="S1251" t="str">
        <f t="shared" si="408"/>
        <v>Green</v>
      </c>
      <c r="T1251" t="str">
        <f t="shared" si="409"/>
        <v>Red</v>
      </c>
      <c r="U1251" t="str">
        <f t="shared" si="410"/>
        <v>Green</v>
      </c>
      <c r="V1251" t="str">
        <f t="shared" si="411"/>
        <v>Red</v>
      </c>
      <c r="W1251" t="str">
        <f t="shared" si="412"/>
        <v>Red</v>
      </c>
      <c r="X1251" t="str">
        <f t="shared" si="413"/>
        <v>Green</v>
      </c>
      <c r="Y1251" t="str">
        <f t="shared" si="414"/>
        <v>Green</v>
      </c>
      <c r="Z1251" t="str">
        <f t="shared" si="415"/>
        <v>Red</v>
      </c>
      <c r="AA1251" t="str">
        <f t="shared" si="416"/>
        <v>Green</v>
      </c>
      <c r="AB1251" t="str">
        <f t="shared" si="417"/>
        <v>Green</v>
      </c>
      <c r="AC1251" t="str">
        <f t="shared" si="418"/>
        <v>Green</v>
      </c>
      <c r="AD1251" t="str">
        <f t="shared" si="419"/>
        <v>Red</v>
      </c>
    </row>
    <row r="1252" spans="1:30" x14ac:dyDescent="0.2">
      <c r="A1252" t="str">
        <f t="shared" si="400"/>
        <v>25/07/2026AstrakhanChayka Peschanokopskoye II</v>
      </c>
      <c r="D1252" s="2">
        <v>46228</v>
      </c>
      <c r="E1252" s="3">
        <v>0.58333333333333337</v>
      </c>
      <c r="F1252" t="s">
        <v>3572</v>
      </c>
      <c r="G1252" t="s">
        <v>3573</v>
      </c>
      <c r="H1252">
        <v>0</v>
      </c>
      <c r="I1252">
        <v>0</v>
      </c>
      <c r="J1252">
        <v>3</v>
      </c>
      <c r="K1252">
        <v>0</v>
      </c>
      <c r="L1252" s="22" t="str">
        <f t="shared" si="401"/>
        <v>25/07/2026</v>
      </c>
      <c r="M1252" s="23">
        <f t="shared" si="402"/>
        <v>0.45833333333333337</v>
      </c>
      <c r="N1252" t="str">
        <f t="shared" si="403"/>
        <v>3 - 0</v>
      </c>
      <c r="O1252" t="str">
        <f t="shared" si="404"/>
        <v>Green</v>
      </c>
      <c r="P1252" t="str">
        <f t="shared" si="405"/>
        <v>Red</v>
      </c>
      <c r="Q1252" t="str">
        <f t="shared" si="406"/>
        <v>Red</v>
      </c>
      <c r="R1252" t="str">
        <f t="shared" si="407"/>
        <v>Green</v>
      </c>
      <c r="S1252" t="str">
        <f t="shared" si="408"/>
        <v>Red</v>
      </c>
      <c r="T1252" t="str">
        <f t="shared" si="409"/>
        <v>Green</v>
      </c>
      <c r="U1252" t="str">
        <f t="shared" si="410"/>
        <v>Red</v>
      </c>
      <c r="V1252" t="str">
        <f t="shared" si="411"/>
        <v>Green</v>
      </c>
      <c r="W1252" t="str">
        <f t="shared" si="412"/>
        <v>Red</v>
      </c>
      <c r="X1252" t="str">
        <f t="shared" si="413"/>
        <v>Red</v>
      </c>
      <c r="Y1252" t="str">
        <f t="shared" si="414"/>
        <v>Green</v>
      </c>
      <c r="Z1252" t="str">
        <f t="shared" si="415"/>
        <v>Green</v>
      </c>
      <c r="AA1252" t="str">
        <f t="shared" si="416"/>
        <v>Red</v>
      </c>
      <c r="AB1252" t="str">
        <f t="shared" si="417"/>
        <v>Green</v>
      </c>
      <c r="AC1252" t="str">
        <f t="shared" si="418"/>
        <v>Red</v>
      </c>
      <c r="AD1252" t="str">
        <f t="shared" si="419"/>
        <v>Green</v>
      </c>
    </row>
    <row r="1253" spans="1:30" x14ac:dyDescent="0.2">
      <c r="A1253" t="str">
        <f t="shared" si="400"/>
        <v>25/07/2026Pobeda KhasavyurtShakhtar Taganrog</v>
      </c>
      <c r="D1253" s="2">
        <v>46228</v>
      </c>
      <c r="E1253" s="3">
        <v>0.58333333333333337</v>
      </c>
      <c r="F1253" t="s">
        <v>3574</v>
      </c>
      <c r="G1253" t="s">
        <v>3575</v>
      </c>
      <c r="H1253">
        <v>0</v>
      </c>
      <c r="I1253">
        <v>0</v>
      </c>
      <c r="J1253">
        <v>4</v>
      </c>
      <c r="K1253">
        <v>3</v>
      </c>
      <c r="L1253" s="22" t="str">
        <f t="shared" si="401"/>
        <v>25/07/2026</v>
      </c>
      <c r="M1253" s="23">
        <f t="shared" si="402"/>
        <v>0.45833333333333337</v>
      </c>
      <c r="N1253" t="str">
        <f t="shared" si="403"/>
        <v>4 - 3</v>
      </c>
      <c r="O1253" t="str">
        <f t="shared" si="404"/>
        <v>Green</v>
      </c>
      <c r="P1253" t="str">
        <f t="shared" si="405"/>
        <v>Red</v>
      </c>
      <c r="Q1253" t="str">
        <f t="shared" si="406"/>
        <v>Red</v>
      </c>
      <c r="R1253" t="str">
        <f t="shared" si="407"/>
        <v>Green</v>
      </c>
      <c r="S1253" t="str">
        <f t="shared" si="408"/>
        <v>Red</v>
      </c>
      <c r="T1253" t="str">
        <f t="shared" si="409"/>
        <v>Green</v>
      </c>
      <c r="U1253" t="str">
        <f t="shared" si="410"/>
        <v>Red</v>
      </c>
      <c r="V1253" t="str">
        <f t="shared" si="411"/>
        <v>Green</v>
      </c>
      <c r="W1253" t="str">
        <f t="shared" si="412"/>
        <v>Red</v>
      </c>
      <c r="X1253" t="str">
        <f t="shared" si="413"/>
        <v>Red</v>
      </c>
      <c r="Y1253" t="str">
        <f t="shared" si="414"/>
        <v>Green</v>
      </c>
      <c r="Z1253" t="str">
        <f t="shared" si="415"/>
        <v>Green</v>
      </c>
      <c r="AA1253" t="str">
        <f t="shared" si="416"/>
        <v>Red</v>
      </c>
      <c r="AB1253" t="str">
        <f t="shared" si="417"/>
        <v>Red</v>
      </c>
      <c r="AC1253" t="str">
        <f t="shared" si="418"/>
        <v>Green</v>
      </c>
      <c r="AD1253" t="str">
        <f t="shared" si="419"/>
        <v>Red</v>
      </c>
    </row>
    <row r="1254" spans="1:30" x14ac:dyDescent="0.2">
      <c r="A1254" t="str">
        <f t="shared" si="400"/>
        <v>25/07/2026Spartak NalchikRubin Yalta</v>
      </c>
      <c r="D1254" s="2">
        <v>46228</v>
      </c>
      <c r="E1254" s="3">
        <v>0.58333333333333337</v>
      </c>
      <c r="F1254" t="s">
        <v>3576</v>
      </c>
      <c r="G1254" t="s">
        <v>3577</v>
      </c>
      <c r="H1254">
        <v>0</v>
      </c>
      <c r="I1254">
        <v>0</v>
      </c>
      <c r="J1254">
        <v>1</v>
      </c>
      <c r="K1254">
        <v>1</v>
      </c>
      <c r="L1254" s="22" t="str">
        <f t="shared" si="401"/>
        <v>25/07/2026</v>
      </c>
      <c r="M1254" s="23">
        <f t="shared" si="402"/>
        <v>0.45833333333333337</v>
      </c>
      <c r="N1254" t="str">
        <f t="shared" si="403"/>
        <v>1 - 1</v>
      </c>
      <c r="O1254" t="str">
        <f t="shared" si="404"/>
        <v>Red</v>
      </c>
      <c r="P1254" t="str">
        <f t="shared" si="405"/>
        <v>Green</v>
      </c>
      <c r="Q1254" t="str">
        <f t="shared" si="406"/>
        <v>Red</v>
      </c>
      <c r="R1254" t="str">
        <f t="shared" si="407"/>
        <v>Green</v>
      </c>
      <c r="S1254" t="str">
        <f t="shared" si="408"/>
        <v>Green</v>
      </c>
      <c r="T1254" t="str">
        <f t="shared" si="409"/>
        <v>Red</v>
      </c>
      <c r="U1254" t="str">
        <f t="shared" si="410"/>
        <v>Red</v>
      </c>
      <c r="V1254" t="str">
        <f t="shared" si="411"/>
        <v>Green</v>
      </c>
      <c r="W1254" t="str">
        <f t="shared" si="412"/>
        <v>Red</v>
      </c>
      <c r="X1254" t="str">
        <f t="shared" si="413"/>
        <v>Red</v>
      </c>
      <c r="Y1254" t="str">
        <f t="shared" si="414"/>
        <v>Green</v>
      </c>
      <c r="Z1254" t="str">
        <f t="shared" si="415"/>
        <v>Red</v>
      </c>
      <c r="AA1254" t="str">
        <f t="shared" si="416"/>
        <v>Green</v>
      </c>
      <c r="AB1254" t="str">
        <f t="shared" si="417"/>
        <v>Green</v>
      </c>
      <c r="AC1254" t="str">
        <f t="shared" si="418"/>
        <v>Green</v>
      </c>
      <c r="AD1254" t="str">
        <f t="shared" si="419"/>
        <v>Red</v>
      </c>
    </row>
    <row r="1255" spans="1:30" x14ac:dyDescent="0.2">
      <c r="A1255" t="str">
        <f t="shared" si="400"/>
        <v>25/07/2026Shumbrat SaranskSpartak Tambov</v>
      </c>
      <c r="D1255" s="2">
        <v>46228</v>
      </c>
      <c r="E1255" s="3">
        <v>0.58333333333333337</v>
      </c>
      <c r="F1255" t="s">
        <v>3590</v>
      </c>
      <c r="G1255" t="s">
        <v>3591</v>
      </c>
      <c r="H1255">
        <v>0</v>
      </c>
      <c r="I1255">
        <v>0</v>
      </c>
      <c r="J1255">
        <v>1</v>
      </c>
      <c r="K1255">
        <v>2</v>
      </c>
      <c r="L1255" s="22" t="str">
        <f t="shared" si="401"/>
        <v>25/07/2026</v>
      </c>
      <c r="M1255" s="23">
        <f t="shared" si="402"/>
        <v>0.45833333333333337</v>
      </c>
      <c r="N1255" t="str">
        <f t="shared" si="403"/>
        <v>1 - 2</v>
      </c>
      <c r="O1255" t="str">
        <f t="shared" si="404"/>
        <v>Red</v>
      </c>
      <c r="P1255" t="str">
        <f t="shared" si="405"/>
        <v>Red</v>
      </c>
      <c r="Q1255" t="str">
        <f t="shared" si="406"/>
        <v>Green</v>
      </c>
      <c r="R1255" t="str">
        <f t="shared" si="407"/>
        <v>Red</v>
      </c>
      <c r="S1255" t="str">
        <f t="shared" si="408"/>
        <v>Green</v>
      </c>
      <c r="T1255" t="str">
        <f t="shared" si="409"/>
        <v>Green</v>
      </c>
      <c r="U1255" t="str">
        <f t="shared" si="410"/>
        <v>Red</v>
      </c>
      <c r="V1255" t="str">
        <f t="shared" si="411"/>
        <v>Green</v>
      </c>
      <c r="W1255" t="str">
        <f t="shared" si="412"/>
        <v>Red</v>
      </c>
      <c r="X1255" t="str">
        <f t="shared" si="413"/>
        <v>Red</v>
      </c>
      <c r="Y1255" t="str">
        <f t="shared" si="414"/>
        <v>Green</v>
      </c>
      <c r="Z1255" t="str">
        <f t="shared" si="415"/>
        <v>Green</v>
      </c>
      <c r="AA1255" t="str">
        <f t="shared" si="416"/>
        <v>Red</v>
      </c>
      <c r="AB1255" t="str">
        <f t="shared" si="417"/>
        <v>Green</v>
      </c>
      <c r="AC1255" t="str">
        <f t="shared" si="418"/>
        <v>Green</v>
      </c>
      <c r="AD1255" t="str">
        <f t="shared" si="419"/>
        <v>Red</v>
      </c>
    </row>
    <row r="1256" spans="1:30" x14ac:dyDescent="0.2">
      <c r="A1256" t="str">
        <f t="shared" si="400"/>
        <v>25/07/2026Zenit St Petersburg WomenZvezda 2005 Perm Women</v>
      </c>
      <c r="D1256" s="2">
        <v>46228</v>
      </c>
      <c r="E1256" s="3">
        <v>0.58333333333333337</v>
      </c>
      <c r="F1256" t="s">
        <v>3600</v>
      </c>
      <c r="G1256" t="s">
        <v>3601</v>
      </c>
      <c r="H1256">
        <v>0</v>
      </c>
      <c r="I1256">
        <v>0</v>
      </c>
      <c r="J1256">
        <v>9</v>
      </c>
      <c r="K1256">
        <v>0</v>
      </c>
      <c r="L1256" s="22" t="str">
        <f t="shared" si="401"/>
        <v>25/07/2026</v>
      </c>
      <c r="M1256" s="23">
        <f t="shared" si="402"/>
        <v>0.45833333333333337</v>
      </c>
      <c r="N1256" t="str">
        <f t="shared" si="403"/>
        <v>9 - 0</v>
      </c>
      <c r="O1256" t="str">
        <f t="shared" si="404"/>
        <v>Green</v>
      </c>
      <c r="P1256" t="str">
        <f t="shared" si="405"/>
        <v>Red</v>
      </c>
      <c r="Q1256" t="str">
        <f t="shared" si="406"/>
        <v>Red</v>
      </c>
      <c r="R1256" t="str">
        <f t="shared" si="407"/>
        <v>Green</v>
      </c>
      <c r="S1256" t="str">
        <f t="shared" si="408"/>
        <v>Red</v>
      </c>
      <c r="T1256" t="str">
        <f t="shared" si="409"/>
        <v>Green</v>
      </c>
      <c r="U1256" t="str">
        <f t="shared" si="410"/>
        <v>Red</v>
      </c>
      <c r="V1256" t="str">
        <f t="shared" si="411"/>
        <v>Green</v>
      </c>
      <c r="W1256" t="str">
        <f t="shared" si="412"/>
        <v>Red</v>
      </c>
      <c r="X1256" t="str">
        <f t="shared" si="413"/>
        <v>Red</v>
      </c>
      <c r="Y1256" t="str">
        <f t="shared" si="414"/>
        <v>Green</v>
      </c>
      <c r="Z1256" t="str">
        <f t="shared" si="415"/>
        <v>Green</v>
      </c>
      <c r="AA1256" t="str">
        <f t="shared" si="416"/>
        <v>Red</v>
      </c>
      <c r="AB1256" t="str">
        <f t="shared" si="417"/>
        <v>Red</v>
      </c>
      <c r="AC1256" t="str">
        <f t="shared" si="418"/>
        <v>Red</v>
      </c>
      <c r="AD1256" t="str">
        <f t="shared" si="419"/>
        <v>Green</v>
      </c>
    </row>
    <row r="1257" spans="1:30" x14ac:dyDescent="0.2">
      <c r="A1257" t="str">
        <f t="shared" si="400"/>
        <v>25/07/2026AberdeenKelty Hearts</v>
      </c>
      <c r="D1257" s="2">
        <v>46228</v>
      </c>
      <c r="E1257" s="3">
        <v>0.58333333333333337</v>
      </c>
      <c r="F1257" t="s">
        <v>1825</v>
      </c>
      <c r="G1257" t="s">
        <v>1397</v>
      </c>
      <c r="H1257">
        <v>2</v>
      </c>
      <c r="I1257">
        <v>0</v>
      </c>
      <c r="J1257">
        <v>3</v>
      </c>
      <c r="K1257">
        <v>0</v>
      </c>
      <c r="L1257" s="22" t="str">
        <f t="shared" si="401"/>
        <v>25/07/2026</v>
      </c>
      <c r="M1257" s="23">
        <f t="shared" si="402"/>
        <v>0.45833333333333337</v>
      </c>
      <c r="N1257" t="str">
        <f t="shared" si="403"/>
        <v>3 - 0</v>
      </c>
      <c r="O1257" t="str">
        <f t="shared" si="404"/>
        <v>Green</v>
      </c>
      <c r="P1257" t="str">
        <f t="shared" si="405"/>
        <v>Red</v>
      </c>
      <c r="Q1257" t="str">
        <f t="shared" si="406"/>
        <v>Red</v>
      </c>
      <c r="R1257" t="str">
        <f t="shared" si="407"/>
        <v>Green</v>
      </c>
      <c r="S1257" t="str">
        <f t="shared" si="408"/>
        <v>Red</v>
      </c>
      <c r="T1257" t="str">
        <f t="shared" si="409"/>
        <v>Green</v>
      </c>
      <c r="U1257" t="str">
        <f t="shared" si="410"/>
        <v>Green</v>
      </c>
      <c r="V1257" t="str">
        <f t="shared" si="411"/>
        <v>Red</v>
      </c>
      <c r="W1257" t="str">
        <f t="shared" si="412"/>
        <v>Red</v>
      </c>
      <c r="X1257" t="str">
        <f t="shared" si="413"/>
        <v>Green</v>
      </c>
      <c r="Y1257" t="str">
        <f t="shared" si="414"/>
        <v>Green</v>
      </c>
      <c r="Z1257" t="str">
        <f t="shared" si="415"/>
        <v>Green</v>
      </c>
      <c r="AA1257" t="str">
        <f t="shared" si="416"/>
        <v>Red</v>
      </c>
      <c r="AB1257" t="str">
        <f t="shared" si="417"/>
        <v>Green</v>
      </c>
      <c r="AC1257" t="str">
        <f t="shared" si="418"/>
        <v>Red</v>
      </c>
      <c r="AD1257" t="str">
        <f t="shared" si="419"/>
        <v>Green</v>
      </c>
    </row>
    <row r="1258" spans="1:30" x14ac:dyDescent="0.2">
      <c r="A1258" t="str">
        <f t="shared" si="400"/>
        <v>25/07/2026AirdrieoniansRoss County</v>
      </c>
      <c r="D1258" s="2">
        <v>46228</v>
      </c>
      <c r="E1258" s="3">
        <v>0.58333333333333337</v>
      </c>
      <c r="F1258" t="s">
        <v>3604</v>
      </c>
      <c r="G1258" t="s">
        <v>1407</v>
      </c>
      <c r="H1258">
        <v>0</v>
      </c>
      <c r="I1258">
        <v>1</v>
      </c>
      <c r="J1258">
        <v>0</v>
      </c>
      <c r="K1258">
        <v>3</v>
      </c>
      <c r="L1258" s="22" t="str">
        <f t="shared" si="401"/>
        <v>25/07/2026</v>
      </c>
      <c r="M1258" s="23">
        <f t="shared" si="402"/>
        <v>0.45833333333333337</v>
      </c>
      <c r="N1258" t="str">
        <f t="shared" si="403"/>
        <v>0 - 3</v>
      </c>
      <c r="O1258" t="str">
        <f t="shared" si="404"/>
        <v>Red</v>
      </c>
      <c r="P1258" t="str">
        <f t="shared" si="405"/>
        <v>Red</v>
      </c>
      <c r="Q1258" t="str">
        <f t="shared" si="406"/>
        <v>Green</v>
      </c>
      <c r="R1258" t="str">
        <f t="shared" si="407"/>
        <v>Red</v>
      </c>
      <c r="S1258" t="str">
        <f t="shared" si="408"/>
        <v>Green</v>
      </c>
      <c r="T1258" t="str">
        <f t="shared" si="409"/>
        <v>Green</v>
      </c>
      <c r="U1258" t="str">
        <f t="shared" si="410"/>
        <v>Red</v>
      </c>
      <c r="V1258" t="str">
        <f t="shared" si="411"/>
        <v>Red</v>
      </c>
      <c r="W1258" t="str">
        <f t="shared" si="412"/>
        <v>Green</v>
      </c>
      <c r="X1258" t="str">
        <f t="shared" si="413"/>
        <v>Green</v>
      </c>
      <c r="Y1258" t="str">
        <f t="shared" si="414"/>
        <v>Green</v>
      </c>
      <c r="Z1258" t="str">
        <f t="shared" si="415"/>
        <v>Green</v>
      </c>
      <c r="AA1258" t="str">
        <f t="shared" si="416"/>
        <v>Red</v>
      </c>
      <c r="AB1258" t="str">
        <f t="shared" si="417"/>
        <v>Green</v>
      </c>
      <c r="AC1258" t="str">
        <f t="shared" si="418"/>
        <v>Red</v>
      </c>
      <c r="AD1258" t="str">
        <f t="shared" si="419"/>
        <v>Green</v>
      </c>
    </row>
    <row r="1259" spans="1:30" x14ac:dyDescent="0.2">
      <c r="A1259" t="str">
        <f t="shared" si="400"/>
        <v>25/07/2026ArbroathStirling Albion</v>
      </c>
      <c r="D1259" s="2">
        <v>46228</v>
      </c>
      <c r="E1259" s="3">
        <v>0.58333333333333337</v>
      </c>
      <c r="F1259" t="s">
        <v>1386</v>
      </c>
      <c r="G1259" t="s">
        <v>3605</v>
      </c>
      <c r="H1259">
        <v>0</v>
      </c>
      <c r="I1259">
        <v>0</v>
      </c>
      <c r="J1259">
        <v>1</v>
      </c>
      <c r="K1259">
        <v>0</v>
      </c>
      <c r="L1259" s="22" t="str">
        <f t="shared" si="401"/>
        <v>25/07/2026</v>
      </c>
      <c r="M1259" s="23">
        <f t="shared" si="402"/>
        <v>0.45833333333333337</v>
      </c>
      <c r="N1259" t="str">
        <f t="shared" si="403"/>
        <v>1 - 0</v>
      </c>
      <c r="O1259" t="str">
        <f t="shared" si="404"/>
        <v>Green</v>
      </c>
      <c r="P1259" t="str">
        <f t="shared" si="405"/>
        <v>Red</v>
      </c>
      <c r="Q1259" t="str">
        <f t="shared" si="406"/>
        <v>Red</v>
      </c>
      <c r="R1259" t="str">
        <f t="shared" si="407"/>
        <v>Green</v>
      </c>
      <c r="S1259" t="str">
        <f t="shared" si="408"/>
        <v>Red</v>
      </c>
      <c r="T1259" t="str">
        <f t="shared" si="409"/>
        <v>Green</v>
      </c>
      <c r="U1259" t="str">
        <f t="shared" si="410"/>
        <v>Red</v>
      </c>
      <c r="V1259" t="str">
        <f t="shared" si="411"/>
        <v>Green</v>
      </c>
      <c r="W1259" t="str">
        <f t="shared" si="412"/>
        <v>Red</v>
      </c>
      <c r="X1259" t="str">
        <f t="shared" si="413"/>
        <v>Red</v>
      </c>
      <c r="Y1259" t="str">
        <f t="shared" si="414"/>
        <v>Red</v>
      </c>
      <c r="Z1259" t="str">
        <f t="shared" si="415"/>
        <v>Red</v>
      </c>
      <c r="AA1259" t="str">
        <f t="shared" si="416"/>
        <v>Green</v>
      </c>
      <c r="AB1259" t="str">
        <f t="shared" si="417"/>
        <v>Green</v>
      </c>
      <c r="AC1259" t="str">
        <f t="shared" si="418"/>
        <v>Red</v>
      </c>
      <c r="AD1259" t="str">
        <f t="shared" si="419"/>
        <v>Green</v>
      </c>
    </row>
    <row r="1260" spans="1:30" x14ac:dyDescent="0.2">
      <c r="A1260" t="str">
        <f t="shared" si="400"/>
        <v>25/07/2026Ayr UnitedAlloa Athletic</v>
      </c>
      <c r="D1260" s="2">
        <v>46228</v>
      </c>
      <c r="E1260" s="3">
        <v>0.58333333333333337</v>
      </c>
      <c r="F1260" t="s">
        <v>3606</v>
      </c>
      <c r="G1260" t="s">
        <v>1384</v>
      </c>
      <c r="H1260">
        <v>3</v>
      </c>
      <c r="I1260">
        <v>0</v>
      </c>
      <c r="J1260">
        <v>4</v>
      </c>
      <c r="K1260">
        <v>1</v>
      </c>
      <c r="L1260" s="22" t="str">
        <f t="shared" si="401"/>
        <v>25/07/2026</v>
      </c>
      <c r="M1260" s="23">
        <f t="shared" si="402"/>
        <v>0.45833333333333337</v>
      </c>
      <c r="N1260" t="str">
        <f t="shared" si="403"/>
        <v>4 - 1</v>
      </c>
      <c r="O1260" t="str">
        <f t="shared" si="404"/>
        <v>Green</v>
      </c>
      <c r="P1260" t="str">
        <f t="shared" si="405"/>
        <v>Red</v>
      </c>
      <c r="Q1260" t="str">
        <f t="shared" si="406"/>
        <v>Red</v>
      </c>
      <c r="R1260" t="str">
        <f t="shared" si="407"/>
        <v>Green</v>
      </c>
      <c r="S1260" t="str">
        <f t="shared" si="408"/>
        <v>Red</v>
      </c>
      <c r="T1260" t="str">
        <f t="shared" si="409"/>
        <v>Green</v>
      </c>
      <c r="U1260" t="str">
        <f t="shared" si="410"/>
        <v>Green</v>
      </c>
      <c r="V1260" t="str">
        <f t="shared" si="411"/>
        <v>Red</v>
      </c>
      <c r="W1260" t="str">
        <f t="shared" si="412"/>
        <v>Red</v>
      </c>
      <c r="X1260" t="str">
        <f t="shared" si="413"/>
        <v>Green</v>
      </c>
      <c r="Y1260" t="str">
        <f t="shared" si="414"/>
        <v>Green</v>
      </c>
      <c r="Z1260" t="str">
        <f t="shared" si="415"/>
        <v>Green</v>
      </c>
      <c r="AA1260" t="str">
        <f t="shared" si="416"/>
        <v>Red</v>
      </c>
      <c r="AB1260" t="str">
        <f t="shared" si="417"/>
        <v>Red</v>
      </c>
      <c r="AC1260" t="str">
        <f t="shared" si="418"/>
        <v>Green</v>
      </c>
      <c r="AD1260" t="str">
        <f t="shared" si="419"/>
        <v>Red</v>
      </c>
    </row>
    <row r="1261" spans="1:30" x14ac:dyDescent="0.2">
      <c r="A1261" t="str">
        <f t="shared" si="400"/>
        <v>25/07/2026DumbartonCove Rangers</v>
      </c>
      <c r="D1261" s="2">
        <v>46228</v>
      </c>
      <c r="E1261" s="3">
        <v>0.58333333333333337</v>
      </c>
      <c r="F1261" t="s">
        <v>3607</v>
      </c>
      <c r="G1261" t="s">
        <v>1392</v>
      </c>
      <c r="H1261">
        <v>1</v>
      </c>
      <c r="I1261">
        <v>0</v>
      </c>
      <c r="J1261">
        <v>2</v>
      </c>
      <c r="K1261">
        <v>0</v>
      </c>
      <c r="L1261" s="22" t="str">
        <f t="shared" si="401"/>
        <v>25/07/2026</v>
      </c>
      <c r="M1261" s="23">
        <f t="shared" si="402"/>
        <v>0.45833333333333337</v>
      </c>
      <c r="N1261" t="str">
        <f t="shared" si="403"/>
        <v>2 - 0</v>
      </c>
      <c r="O1261" t="str">
        <f t="shared" si="404"/>
        <v>Green</v>
      </c>
      <c r="P1261" t="str">
        <f t="shared" si="405"/>
        <v>Red</v>
      </c>
      <c r="Q1261" t="str">
        <f t="shared" si="406"/>
        <v>Red</v>
      </c>
      <c r="R1261" t="str">
        <f t="shared" si="407"/>
        <v>Green</v>
      </c>
      <c r="S1261" t="str">
        <f t="shared" si="408"/>
        <v>Red</v>
      </c>
      <c r="T1261" t="str">
        <f t="shared" si="409"/>
        <v>Green</v>
      </c>
      <c r="U1261" t="str">
        <f t="shared" si="410"/>
        <v>Green</v>
      </c>
      <c r="V1261" t="str">
        <f t="shared" si="411"/>
        <v>Red</v>
      </c>
      <c r="W1261" t="str">
        <f t="shared" si="412"/>
        <v>Red</v>
      </c>
      <c r="X1261" t="str">
        <f t="shared" si="413"/>
        <v>Green</v>
      </c>
      <c r="Y1261" t="str">
        <f t="shared" si="414"/>
        <v>Green</v>
      </c>
      <c r="Z1261" t="str">
        <f t="shared" si="415"/>
        <v>Red</v>
      </c>
      <c r="AA1261" t="str">
        <f t="shared" si="416"/>
        <v>Green</v>
      </c>
      <c r="AB1261" t="str">
        <f t="shared" si="417"/>
        <v>Green</v>
      </c>
      <c r="AC1261" t="str">
        <f t="shared" si="418"/>
        <v>Red</v>
      </c>
      <c r="AD1261" t="str">
        <f t="shared" si="419"/>
        <v>Green</v>
      </c>
    </row>
    <row r="1262" spans="1:30" x14ac:dyDescent="0.2">
      <c r="A1262" t="str">
        <f t="shared" si="400"/>
        <v>25/07/2026DundeeClyde</v>
      </c>
      <c r="D1262" s="2">
        <v>46228</v>
      </c>
      <c r="E1262" s="3">
        <v>0.58333333333333337</v>
      </c>
      <c r="F1262" t="s">
        <v>1408</v>
      </c>
      <c r="G1262" t="s">
        <v>1388</v>
      </c>
      <c r="H1262">
        <v>0</v>
      </c>
      <c r="I1262">
        <v>0</v>
      </c>
      <c r="J1262">
        <v>4</v>
      </c>
      <c r="K1262">
        <v>0</v>
      </c>
      <c r="L1262" s="22" t="str">
        <f t="shared" si="401"/>
        <v>25/07/2026</v>
      </c>
      <c r="M1262" s="23">
        <f t="shared" si="402"/>
        <v>0.45833333333333337</v>
      </c>
      <c r="N1262" t="str">
        <f t="shared" si="403"/>
        <v>4 - 0</v>
      </c>
      <c r="O1262" t="str">
        <f t="shared" si="404"/>
        <v>Green</v>
      </c>
      <c r="P1262" t="str">
        <f t="shared" si="405"/>
        <v>Red</v>
      </c>
      <c r="Q1262" t="str">
        <f t="shared" si="406"/>
        <v>Red</v>
      </c>
      <c r="R1262" t="str">
        <f t="shared" si="407"/>
        <v>Green</v>
      </c>
      <c r="S1262" t="str">
        <f t="shared" si="408"/>
        <v>Red</v>
      </c>
      <c r="T1262" t="str">
        <f t="shared" si="409"/>
        <v>Green</v>
      </c>
      <c r="U1262" t="str">
        <f t="shared" si="410"/>
        <v>Red</v>
      </c>
      <c r="V1262" t="str">
        <f t="shared" si="411"/>
        <v>Green</v>
      </c>
      <c r="W1262" t="str">
        <f t="shared" si="412"/>
        <v>Red</v>
      </c>
      <c r="X1262" t="str">
        <f t="shared" si="413"/>
        <v>Red</v>
      </c>
      <c r="Y1262" t="str">
        <f t="shared" si="414"/>
        <v>Green</v>
      </c>
      <c r="Z1262" t="str">
        <f t="shared" si="415"/>
        <v>Green</v>
      </c>
      <c r="AA1262" t="str">
        <f t="shared" si="416"/>
        <v>Red</v>
      </c>
      <c r="AB1262" t="str">
        <f t="shared" si="417"/>
        <v>Red</v>
      </c>
      <c r="AC1262" t="str">
        <f t="shared" si="418"/>
        <v>Red</v>
      </c>
      <c r="AD1262" t="str">
        <f t="shared" si="419"/>
        <v>Green</v>
      </c>
    </row>
    <row r="1263" spans="1:30" x14ac:dyDescent="0.2">
      <c r="A1263" t="str">
        <f t="shared" ref="A1263:A1326" si="420">L1262&amp;F1263&amp;G1263</f>
        <v>25/07/2026FalkirkStranraer</v>
      </c>
      <c r="D1263" s="2">
        <v>46228</v>
      </c>
      <c r="E1263" s="3">
        <v>0.58333333333333337</v>
      </c>
      <c r="F1263" t="s">
        <v>1385</v>
      </c>
      <c r="G1263" t="s">
        <v>1411</v>
      </c>
      <c r="H1263">
        <v>2</v>
      </c>
      <c r="I1263">
        <v>0</v>
      </c>
      <c r="J1263">
        <v>3</v>
      </c>
      <c r="K1263">
        <v>0</v>
      </c>
      <c r="L1263" s="22" t="str">
        <f t="shared" ref="L1263:L1326" si="421">DAY(D1263)&amp;"/"&amp;"07"&amp;"/"&amp;YEAR(D1263)</f>
        <v>25/07/2026</v>
      </c>
      <c r="M1263" s="23">
        <f t="shared" ref="M1263:M1326" si="422">E1263-TIME(3,0,0)</f>
        <v>0.45833333333333337</v>
      </c>
      <c r="N1263" t="str">
        <f t="shared" ref="N1263:N1326" si="423">J1263&amp;" - "&amp;K1263</f>
        <v>3 - 0</v>
      </c>
      <c r="O1263" t="str">
        <f t="shared" si="404"/>
        <v>Green</v>
      </c>
      <c r="P1263" t="str">
        <f t="shared" si="405"/>
        <v>Red</v>
      </c>
      <c r="Q1263" t="str">
        <f t="shared" si="406"/>
        <v>Red</v>
      </c>
      <c r="R1263" t="str">
        <f t="shared" si="407"/>
        <v>Green</v>
      </c>
      <c r="S1263" t="str">
        <f t="shared" si="408"/>
        <v>Red</v>
      </c>
      <c r="T1263" t="str">
        <f t="shared" si="409"/>
        <v>Green</v>
      </c>
      <c r="U1263" t="str">
        <f t="shared" si="410"/>
        <v>Green</v>
      </c>
      <c r="V1263" t="str">
        <f t="shared" si="411"/>
        <v>Red</v>
      </c>
      <c r="W1263" t="str">
        <f t="shared" si="412"/>
        <v>Red</v>
      </c>
      <c r="X1263" t="str">
        <f t="shared" si="413"/>
        <v>Green</v>
      </c>
      <c r="Y1263" t="str">
        <f t="shared" si="414"/>
        <v>Green</v>
      </c>
      <c r="Z1263" t="str">
        <f t="shared" si="415"/>
        <v>Green</v>
      </c>
      <c r="AA1263" t="str">
        <f t="shared" si="416"/>
        <v>Red</v>
      </c>
      <c r="AB1263" t="str">
        <f t="shared" si="417"/>
        <v>Green</v>
      </c>
      <c r="AC1263" t="str">
        <f t="shared" si="418"/>
        <v>Red</v>
      </c>
      <c r="AD1263" t="str">
        <f t="shared" si="419"/>
        <v>Green</v>
      </c>
    </row>
    <row r="1264" spans="1:30" x14ac:dyDescent="0.2">
      <c r="A1264" t="str">
        <f t="shared" si="420"/>
        <v>25/07/2026Forfar AthleticBrechin City</v>
      </c>
      <c r="D1264" s="2">
        <v>46228</v>
      </c>
      <c r="E1264" s="3">
        <v>0.58333333333333337</v>
      </c>
      <c r="F1264" t="s">
        <v>1402</v>
      </c>
      <c r="G1264" t="s">
        <v>3608</v>
      </c>
      <c r="H1264">
        <v>2</v>
      </c>
      <c r="I1264">
        <v>0</v>
      </c>
      <c r="J1264">
        <v>3</v>
      </c>
      <c r="K1264">
        <v>1</v>
      </c>
      <c r="L1264" s="22" t="str">
        <f t="shared" si="421"/>
        <v>25/07/2026</v>
      </c>
      <c r="M1264" s="23">
        <f t="shared" si="422"/>
        <v>0.45833333333333337</v>
      </c>
      <c r="N1264" t="str">
        <f t="shared" si="423"/>
        <v>3 - 1</v>
      </c>
      <c r="O1264" t="str">
        <f t="shared" si="404"/>
        <v>Green</v>
      </c>
      <c r="P1264" t="str">
        <f t="shared" si="405"/>
        <v>Red</v>
      </c>
      <c r="Q1264" t="str">
        <f t="shared" si="406"/>
        <v>Red</v>
      </c>
      <c r="R1264" t="str">
        <f t="shared" si="407"/>
        <v>Green</v>
      </c>
      <c r="S1264" t="str">
        <f t="shared" si="408"/>
        <v>Red</v>
      </c>
      <c r="T1264" t="str">
        <f t="shared" si="409"/>
        <v>Green</v>
      </c>
      <c r="U1264" t="str">
        <f t="shared" si="410"/>
        <v>Green</v>
      </c>
      <c r="V1264" t="str">
        <f t="shared" si="411"/>
        <v>Red</v>
      </c>
      <c r="W1264" t="str">
        <f t="shared" si="412"/>
        <v>Red</v>
      </c>
      <c r="X1264" t="str">
        <f t="shared" si="413"/>
        <v>Green</v>
      </c>
      <c r="Y1264" t="str">
        <f t="shared" si="414"/>
        <v>Green</v>
      </c>
      <c r="Z1264" t="str">
        <f t="shared" si="415"/>
        <v>Green</v>
      </c>
      <c r="AA1264" t="str">
        <f t="shared" si="416"/>
        <v>Red</v>
      </c>
      <c r="AB1264" t="str">
        <f t="shared" si="417"/>
        <v>Red</v>
      </c>
      <c r="AC1264" t="str">
        <f t="shared" si="418"/>
        <v>Green</v>
      </c>
      <c r="AD1264" t="str">
        <f t="shared" si="419"/>
        <v>Red</v>
      </c>
    </row>
    <row r="1265" spans="1:30" x14ac:dyDescent="0.2">
      <c r="A1265" t="str">
        <f t="shared" si="420"/>
        <v>25/07/2026Greenock MortonInverness CT</v>
      </c>
      <c r="D1265" s="2">
        <v>46228</v>
      </c>
      <c r="E1265" s="3">
        <v>0.58333333333333337</v>
      </c>
      <c r="F1265" t="s">
        <v>3609</v>
      </c>
      <c r="G1265" t="s">
        <v>1395</v>
      </c>
      <c r="H1265">
        <v>0</v>
      </c>
      <c r="I1265">
        <v>1</v>
      </c>
      <c r="J1265">
        <v>0</v>
      </c>
      <c r="K1265">
        <v>1</v>
      </c>
      <c r="L1265" s="22" t="str">
        <f t="shared" si="421"/>
        <v>25/07/2026</v>
      </c>
      <c r="M1265" s="23">
        <f t="shared" si="422"/>
        <v>0.45833333333333337</v>
      </c>
      <c r="N1265" t="str">
        <f t="shared" si="423"/>
        <v>0 - 1</v>
      </c>
      <c r="O1265" t="str">
        <f t="shared" si="404"/>
        <v>Red</v>
      </c>
      <c r="P1265" t="str">
        <f t="shared" si="405"/>
        <v>Red</v>
      </c>
      <c r="Q1265" t="str">
        <f t="shared" si="406"/>
        <v>Green</v>
      </c>
      <c r="R1265" t="str">
        <f t="shared" si="407"/>
        <v>Red</v>
      </c>
      <c r="S1265" t="str">
        <f t="shared" si="408"/>
        <v>Green</v>
      </c>
      <c r="T1265" t="str">
        <f t="shared" si="409"/>
        <v>Green</v>
      </c>
      <c r="U1265" t="str">
        <f t="shared" si="410"/>
        <v>Red</v>
      </c>
      <c r="V1265" t="str">
        <f t="shared" si="411"/>
        <v>Red</v>
      </c>
      <c r="W1265" t="str">
        <f t="shared" si="412"/>
        <v>Green</v>
      </c>
      <c r="X1265" t="str">
        <f t="shared" si="413"/>
        <v>Green</v>
      </c>
      <c r="Y1265" t="str">
        <f t="shared" si="414"/>
        <v>Red</v>
      </c>
      <c r="Z1265" t="str">
        <f t="shared" si="415"/>
        <v>Red</v>
      </c>
      <c r="AA1265" t="str">
        <f t="shared" si="416"/>
        <v>Green</v>
      </c>
      <c r="AB1265" t="str">
        <f t="shared" si="417"/>
        <v>Green</v>
      </c>
      <c r="AC1265" t="str">
        <f t="shared" si="418"/>
        <v>Red</v>
      </c>
      <c r="AD1265" t="str">
        <f t="shared" si="419"/>
        <v>Green</v>
      </c>
    </row>
    <row r="1266" spans="1:30" x14ac:dyDescent="0.2">
      <c r="A1266" t="str">
        <f t="shared" si="420"/>
        <v>25/07/2026Hamilton AcademicalElgin City</v>
      </c>
      <c r="D1266" s="2">
        <v>46228</v>
      </c>
      <c r="E1266" s="3">
        <v>0.58333333333333337</v>
      </c>
      <c r="F1266" t="s">
        <v>1400</v>
      </c>
      <c r="G1266" t="s">
        <v>3610</v>
      </c>
      <c r="H1266">
        <v>2</v>
      </c>
      <c r="I1266">
        <v>0</v>
      </c>
      <c r="J1266">
        <v>5</v>
      </c>
      <c r="K1266">
        <v>0</v>
      </c>
      <c r="L1266" s="22" t="str">
        <f t="shared" si="421"/>
        <v>25/07/2026</v>
      </c>
      <c r="M1266" s="23">
        <f t="shared" si="422"/>
        <v>0.45833333333333337</v>
      </c>
      <c r="N1266" t="str">
        <f t="shared" si="423"/>
        <v>5 - 0</v>
      </c>
      <c r="O1266" t="str">
        <f t="shared" si="404"/>
        <v>Green</v>
      </c>
      <c r="P1266" t="str">
        <f t="shared" si="405"/>
        <v>Red</v>
      </c>
      <c r="Q1266" t="str">
        <f t="shared" si="406"/>
        <v>Red</v>
      </c>
      <c r="R1266" t="str">
        <f t="shared" si="407"/>
        <v>Green</v>
      </c>
      <c r="S1266" t="str">
        <f t="shared" si="408"/>
        <v>Red</v>
      </c>
      <c r="T1266" t="str">
        <f t="shared" si="409"/>
        <v>Green</v>
      </c>
      <c r="U1266" t="str">
        <f t="shared" si="410"/>
        <v>Green</v>
      </c>
      <c r="V1266" t="str">
        <f t="shared" si="411"/>
        <v>Red</v>
      </c>
      <c r="W1266" t="str">
        <f t="shared" si="412"/>
        <v>Red</v>
      </c>
      <c r="X1266" t="str">
        <f t="shared" si="413"/>
        <v>Green</v>
      </c>
      <c r="Y1266" t="str">
        <f t="shared" si="414"/>
        <v>Green</v>
      </c>
      <c r="Z1266" t="str">
        <f t="shared" si="415"/>
        <v>Green</v>
      </c>
      <c r="AA1266" t="str">
        <f t="shared" si="416"/>
        <v>Red</v>
      </c>
      <c r="AB1266" t="str">
        <f t="shared" si="417"/>
        <v>Red</v>
      </c>
      <c r="AC1266" t="str">
        <f t="shared" si="418"/>
        <v>Red</v>
      </c>
      <c r="AD1266" t="str">
        <f t="shared" si="419"/>
        <v>Green</v>
      </c>
    </row>
    <row r="1267" spans="1:30" x14ac:dyDescent="0.2">
      <c r="A1267" t="str">
        <f t="shared" si="420"/>
        <v>25/07/2026MontroseSpartans</v>
      </c>
      <c r="D1267" s="2">
        <v>46228</v>
      </c>
      <c r="E1267" s="3">
        <v>0.58333333333333337</v>
      </c>
      <c r="F1267" t="s">
        <v>1387</v>
      </c>
      <c r="G1267" t="s">
        <v>1391</v>
      </c>
      <c r="H1267">
        <v>0</v>
      </c>
      <c r="I1267">
        <v>1</v>
      </c>
      <c r="J1267">
        <v>0</v>
      </c>
      <c r="K1267">
        <v>2</v>
      </c>
      <c r="L1267" s="22" t="str">
        <f t="shared" si="421"/>
        <v>25/07/2026</v>
      </c>
      <c r="M1267" s="23">
        <f t="shared" si="422"/>
        <v>0.45833333333333337</v>
      </c>
      <c r="N1267" t="str">
        <f t="shared" si="423"/>
        <v>0 - 2</v>
      </c>
      <c r="O1267" t="str">
        <f t="shared" si="404"/>
        <v>Red</v>
      </c>
      <c r="P1267" t="str">
        <f t="shared" si="405"/>
        <v>Red</v>
      </c>
      <c r="Q1267" t="str">
        <f t="shared" si="406"/>
        <v>Green</v>
      </c>
      <c r="R1267" t="str">
        <f t="shared" si="407"/>
        <v>Red</v>
      </c>
      <c r="S1267" t="str">
        <f t="shared" si="408"/>
        <v>Green</v>
      </c>
      <c r="T1267" t="str">
        <f t="shared" si="409"/>
        <v>Green</v>
      </c>
      <c r="U1267" t="str">
        <f t="shared" si="410"/>
        <v>Red</v>
      </c>
      <c r="V1267" t="str">
        <f t="shared" si="411"/>
        <v>Red</v>
      </c>
      <c r="W1267" t="str">
        <f t="shared" si="412"/>
        <v>Green</v>
      </c>
      <c r="X1267" t="str">
        <f t="shared" si="413"/>
        <v>Green</v>
      </c>
      <c r="Y1267" t="str">
        <f t="shared" si="414"/>
        <v>Green</v>
      </c>
      <c r="Z1267" t="str">
        <f t="shared" si="415"/>
        <v>Red</v>
      </c>
      <c r="AA1267" t="str">
        <f t="shared" si="416"/>
        <v>Green</v>
      </c>
      <c r="AB1267" t="str">
        <f t="shared" si="417"/>
        <v>Green</v>
      </c>
      <c r="AC1267" t="str">
        <f t="shared" si="418"/>
        <v>Red</v>
      </c>
      <c r="AD1267" t="str">
        <f t="shared" si="419"/>
        <v>Green</v>
      </c>
    </row>
    <row r="1268" spans="1:30" x14ac:dyDescent="0.2">
      <c r="A1268" t="str">
        <f t="shared" si="420"/>
        <v>25/07/2026PeterheadKilmarnock</v>
      </c>
      <c r="D1268" s="2">
        <v>46228</v>
      </c>
      <c r="E1268" s="3">
        <v>0.58333333333333337</v>
      </c>
      <c r="F1268" t="s">
        <v>1406</v>
      </c>
      <c r="G1268" t="s">
        <v>1399</v>
      </c>
      <c r="H1268">
        <v>0</v>
      </c>
      <c r="I1268">
        <v>0</v>
      </c>
      <c r="J1268">
        <v>0</v>
      </c>
      <c r="K1268">
        <v>0</v>
      </c>
      <c r="L1268" s="22" t="str">
        <f t="shared" si="421"/>
        <v>25/07/2026</v>
      </c>
      <c r="M1268" s="23">
        <f t="shared" si="422"/>
        <v>0.45833333333333337</v>
      </c>
      <c r="N1268" t="str">
        <f t="shared" si="423"/>
        <v>0 - 0</v>
      </c>
      <c r="O1268" t="str">
        <f t="shared" si="404"/>
        <v>Red</v>
      </c>
      <c r="P1268" t="str">
        <f t="shared" si="405"/>
        <v>Green</v>
      </c>
      <c r="Q1268" t="str">
        <f t="shared" si="406"/>
        <v>Red</v>
      </c>
      <c r="R1268" t="str">
        <f t="shared" si="407"/>
        <v>Green</v>
      </c>
      <c r="S1268" t="str">
        <f t="shared" si="408"/>
        <v>Green</v>
      </c>
      <c r="T1268" t="str">
        <f t="shared" si="409"/>
        <v>Red</v>
      </c>
      <c r="U1268" t="str">
        <f t="shared" si="410"/>
        <v>Red</v>
      </c>
      <c r="V1268" t="str">
        <f t="shared" si="411"/>
        <v>Green</v>
      </c>
      <c r="W1268" t="str">
        <f t="shared" si="412"/>
        <v>Red</v>
      </c>
      <c r="X1268" t="str">
        <f t="shared" si="413"/>
        <v>Red</v>
      </c>
      <c r="Y1268" t="str">
        <f t="shared" si="414"/>
        <v>Red</v>
      </c>
      <c r="Z1268" t="str">
        <f t="shared" si="415"/>
        <v>Red</v>
      </c>
      <c r="AA1268" t="str">
        <f t="shared" si="416"/>
        <v>Green</v>
      </c>
      <c r="AB1268" t="str">
        <f t="shared" si="417"/>
        <v>Green</v>
      </c>
      <c r="AC1268" t="str">
        <f t="shared" si="418"/>
        <v>Red</v>
      </c>
      <c r="AD1268" t="str">
        <f t="shared" si="419"/>
        <v>Green</v>
      </c>
    </row>
    <row r="1269" spans="1:30" x14ac:dyDescent="0.2">
      <c r="A1269" t="str">
        <f t="shared" si="420"/>
        <v>25/07/2026Queen's ParkQueen of the South</v>
      </c>
      <c r="D1269" s="2">
        <v>46228</v>
      </c>
      <c r="E1269" s="3">
        <v>0.58333333333333337</v>
      </c>
      <c r="F1269" t="s">
        <v>3611</v>
      </c>
      <c r="G1269" t="s">
        <v>1824</v>
      </c>
      <c r="H1269">
        <v>2</v>
      </c>
      <c r="I1269">
        <v>1</v>
      </c>
      <c r="J1269">
        <v>3</v>
      </c>
      <c r="K1269">
        <v>1</v>
      </c>
      <c r="L1269" s="22" t="str">
        <f t="shared" si="421"/>
        <v>25/07/2026</v>
      </c>
      <c r="M1269" s="23">
        <f t="shared" si="422"/>
        <v>0.45833333333333337</v>
      </c>
      <c r="N1269" t="str">
        <f t="shared" si="423"/>
        <v>3 - 1</v>
      </c>
      <c r="O1269" t="str">
        <f t="shared" si="404"/>
        <v>Green</v>
      </c>
      <c r="P1269" t="str">
        <f t="shared" si="405"/>
        <v>Red</v>
      </c>
      <c r="Q1269" t="str">
        <f t="shared" si="406"/>
        <v>Red</v>
      </c>
      <c r="R1269" t="str">
        <f t="shared" si="407"/>
        <v>Green</v>
      </c>
      <c r="S1269" t="str">
        <f t="shared" si="408"/>
        <v>Red</v>
      </c>
      <c r="T1269" t="str">
        <f t="shared" si="409"/>
        <v>Green</v>
      </c>
      <c r="U1269" t="str">
        <f t="shared" si="410"/>
        <v>Green</v>
      </c>
      <c r="V1269" t="str">
        <f t="shared" si="411"/>
        <v>Red</v>
      </c>
      <c r="W1269" t="str">
        <f t="shared" si="412"/>
        <v>Red</v>
      </c>
      <c r="X1269" t="str">
        <f t="shared" si="413"/>
        <v>Green</v>
      </c>
      <c r="Y1269" t="str">
        <f t="shared" si="414"/>
        <v>Green</v>
      </c>
      <c r="Z1269" t="str">
        <f t="shared" si="415"/>
        <v>Green</v>
      </c>
      <c r="AA1269" t="str">
        <f t="shared" si="416"/>
        <v>Red</v>
      </c>
      <c r="AB1269" t="str">
        <f t="shared" si="417"/>
        <v>Red</v>
      </c>
      <c r="AC1269" t="str">
        <f t="shared" si="418"/>
        <v>Green</v>
      </c>
      <c r="AD1269" t="str">
        <f t="shared" si="419"/>
        <v>Red</v>
      </c>
    </row>
    <row r="1270" spans="1:30" x14ac:dyDescent="0.2">
      <c r="A1270" t="str">
        <f t="shared" si="420"/>
        <v>25/07/2026St JohnstoneEast Fife</v>
      </c>
      <c r="D1270" s="2">
        <v>46228</v>
      </c>
      <c r="E1270" s="3">
        <v>0.58333333333333337</v>
      </c>
      <c r="F1270" t="s">
        <v>1396</v>
      </c>
      <c r="G1270" t="s">
        <v>1393</v>
      </c>
      <c r="H1270">
        <v>0</v>
      </c>
      <c r="I1270">
        <v>0</v>
      </c>
      <c r="J1270">
        <v>1</v>
      </c>
      <c r="K1270">
        <v>1</v>
      </c>
      <c r="L1270" s="22" t="str">
        <f t="shared" si="421"/>
        <v>25/07/2026</v>
      </c>
      <c r="M1270" s="23">
        <f t="shared" si="422"/>
        <v>0.45833333333333337</v>
      </c>
      <c r="N1270" t="str">
        <f t="shared" si="423"/>
        <v>1 - 1</v>
      </c>
      <c r="O1270" t="str">
        <f t="shared" si="404"/>
        <v>Red</v>
      </c>
      <c r="P1270" t="str">
        <f t="shared" si="405"/>
        <v>Green</v>
      </c>
      <c r="Q1270" t="str">
        <f t="shared" si="406"/>
        <v>Red</v>
      </c>
      <c r="R1270" t="str">
        <f t="shared" si="407"/>
        <v>Green</v>
      </c>
      <c r="S1270" t="str">
        <f t="shared" si="408"/>
        <v>Green</v>
      </c>
      <c r="T1270" t="str">
        <f t="shared" si="409"/>
        <v>Red</v>
      </c>
      <c r="U1270" t="str">
        <f t="shared" si="410"/>
        <v>Red</v>
      </c>
      <c r="V1270" t="str">
        <f t="shared" si="411"/>
        <v>Green</v>
      </c>
      <c r="W1270" t="str">
        <f t="shared" si="412"/>
        <v>Red</v>
      </c>
      <c r="X1270" t="str">
        <f t="shared" si="413"/>
        <v>Red</v>
      </c>
      <c r="Y1270" t="str">
        <f t="shared" si="414"/>
        <v>Green</v>
      </c>
      <c r="Z1270" t="str">
        <f t="shared" si="415"/>
        <v>Red</v>
      </c>
      <c r="AA1270" t="str">
        <f t="shared" si="416"/>
        <v>Green</v>
      </c>
      <c r="AB1270" t="str">
        <f t="shared" si="417"/>
        <v>Green</v>
      </c>
      <c r="AC1270" t="str">
        <f t="shared" si="418"/>
        <v>Green</v>
      </c>
      <c r="AD1270" t="str">
        <f t="shared" si="419"/>
        <v>Red</v>
      </c>
    </row>
    <row r="1271" spans="1:30" x14ac:dyDescent="0.2">
      <c r="A1271" t="str">
        <f t="shared" si="420"/>
        <v>25/07/2026StenhousemuirLivingston</v>
      </c>
      <c r="D1271" s="2">
        <v>46228</v>
      </c>
      <c r="E1271" s="3">
        <v>0.58333333333333337</v>
      </c>
      <c r="F1271" t="s">
        <v>1404</v>
      </c>
      <c r="G1271" t="s">
        <v>1401</v>
      </c>
      <c r="H1271">
        <v>0</v>
      </c>
      <c r="I1271">
        <v>0</v>
      </c>
      <c r="J1271">
        <v>0</v>
      </c>
      <c r="K1271">
        <v>0</v>
      </c>
      <c r="L1271" s="22" t="str">
        <f t="shared" si="421"/>
        <v>25/07/2026</v>
      </c>
      <c r="M1271" s="23">
        <f t="shared" si="422"/>
        <v>0.45833333333333337</v>
      </c>
      <c r="N1271" t="str">
        <f t="shared" si="423"/>
        <v>0 - 0</v>
      </c>
      <c r="O1271" t="str">
        <f t="shared" si="404"/>
        <v>Red</v>
      </c>
      <c r="P1271" t="str">
        <f t="shared" si="405"/>
        <v>Green</v>
      </c>
      <c r="Q1271" t="str">
        <f t="shared" si="406"/>
        <v>Red</v>
      </c>
      <c r="R1271" t="str">
        <f t="shared" si="407"/>
        <v>Green</v>
      </c>
      <c r="S1271" t="str">
        <f t="shared" si="408"/>
        <v>Green</v>
      </c>
      <c r="T1271" t="str">
        <f t="shared" si="409"/>
        <v>Red</v>
      </c>
      <c r="U1271" t="str">
        <f t="shared" si="410"/>
        <v>Red</v>
      </c>
      <c r="V1271" t="str">
        <f t="shared" si="411"/>
        <v>Green</v>
      </c>
      <c r="W1271" t="str">
        <f t="shared" si="412"/>
        <v>Red</v>
      </c>
      <c r="X1271" t="str">
        <f t="shared" si="413"/>
        <v>Red</v>
      </c>
      <c r="Y1271" t="str">
        <f t="shared" si="414"/>
        <v>Red</v>
      </c>
      <c r="Z1271" t="str">
        <f t="shared" si="415"/>
        <v>Red</v>
      </c>
      <c r="AA1271" t="str">
        <f t="shared" si="416"/>
        <v>Green</v>
      </c>
      <c r="AB1271" t="str">
        <f t="shared" si="417"/>
        <v>Green</v>
      </c>
      <c r="AC1271" t="str">
        <f t="shared" si="418"/>
        <v>Red</v>
      </c>
      <c r="AD1271" t="str">
        <f t="shared" si="419"/>
        <v>Green</v>
      </c>
    </row>
    <row r="1272" spans="1:30" x14ac:dyDescent="0.2">
      <c r="A1272" t="str">
        <f t="shared" si="420"/>
        <v>25/07/2026SK Futura HumenneFC Tatran Presov</v>
      </c>
      <c r="D1272" s="2">
        <v>46228</v>
      </c>
      <c r="E1272" s="3">
        <v>0.58333333333333337</v>
      </c>
      <c r="F1272" t="s">
        <v>3623</v>
      </c>
      <c r="G1272" t="s">
        <v>3624</v>
      </c>
      <c r="H1272">
        <v>0</v>
      </c>
      <c r="I1272">
        <v>0</v>
      </c>
      <c r="J1272">
        <v>1</v>
      </c>
      <c r="K1272">
        <v>2</v>
      </c>
      <c r="L1272" s="22" t="str">
        <f t="shared" si="421"/>
        <v>25/07/2026</v>
      </c>
      <c r="M1272" s="23">
        <f t="shared" si="422"/>
        <v>0.45833333333333337</v>
      </c>
      <c r="N1272" t="str">
        <f t="shared" si="423"/>
        <v>1 - 2</v>
      </c>
      <c r="O1272" t="str">
        <f t="shared" si="404"/>
        <v>Red</v>
      </c>
      <c r="P1272" t="str">
        <f t="shared" si="405"/>
        <v>Red</v>
      </c>
      <c r="Q1272" t="str">
        <f t="shared" si="406"/>
        <v>Green</v>
      </c>
      <c r="R1272" t="str">
        <f t="shared" si="407"/>
        <v>Red</v>
      </c>
      <c r="S1272" t="str">
        <f t="shared" si="408"/>
        <v>Green</v>
      </c>
      <c r="T1272" t="str">
        <f t="shared" si="409"/>
        <v>Green</v>
      </c>
      <c r="U1272" t="str">
        <f t="shared" si="410"/>
        <v>Red</v>
      </c>
      <c r="V1272" t="str">
        <f t="shared" si="411"/>
        <v>Green</v>
      </c>
      <c r="W1272" t="str">
        <f t="shared" si="412"/>
        <v>Red</v>
      </c>
      <c r="X1272" t="str">
        <f t="shared" si="413"/>
        <v>Red</v>
      </c>
      <c r="Y1272" t="str">
        <f t="shared" si="414"/>
        <v>Green</v>
      </c>
      <c r="Z1272" t="str">
        <f t="shared" si="415"/>
        <v>Green</v>
      </c>
      <c r="AA1272" t="str">
        <f t="shared" si="416"/>
        <v>Red</v>
      </c>
      <c r="AB1272" t="str">
        <f t="shared" si="417"/>
        <v>Green</v>
      </c>
      <c r="AC1272" t="str">
        <f t="shared" si="418"/>
        <v>Green</v>
      </c>
      <c r="AD1272" t="str">
        <f t="shared" si="419"/>
        <v>Red</v>
      </c>
    </row>
    <row r="1273" spans="1:30" x14ac:dyDescent="0.2">
      <c r="A1273" t="str">
        <f t="shared" si="420"/>
        <v>25/07/2026Norrkoping WomenHammarby Women</v>
      </c>
      <c r="B1273" t="s">
        <v>827</v>
      </c>
      <c r="D1273" s="2">
        <v>46228</v>
      </c>
      <c r="E1273" s="3">
        <v>0.58333333333333337</v>
      </c>
      <c r="F1273" t="s">
        <v>3657</v>
      </c>
      <c r="G1273" t="s">
        <v>3658</v>
      </c>
      <c r="H1273">
        <v>0</v>
      </c>
      <c r="I1273">
        <v>3</v>
      </c>
      <c r="J1273">
        <v>0</v>
      </c>
      <c r="K1273">
        <v>4</v>
      </c>
      <c r="L1273" s="22" t="str">
        <f t="shared" si="421"/>
        <v>25/07/2026</v>
      </c>
      <c r="M1273" s="23">
        <f t="shared" si="422"/>
        <v>0.45833333333333337</v>
      </c>
      <c r="N1273" t="str">
        <f t="shared" si="423"/>
        <v>0 - 4</v>
      </c>
      <c r="O1273" t="str">
        <f t="shared" si="404"/>
        <v>Red</v>
      </c>
      <c r="P1273" t="str">
        <f t="shared" si="405"/>
        <v>Red</v>
      </c>
      <c r="Q1273" t="str">
        <f t="shared" si="406"/>
        <v>Green</v>
      </c>
      <c r="R1273" t="str">
        <f t="shared" si="407"/>
        <v>Red</v>
      </c>
      <c r="S1273" t="str">
        <f t="shared" si="408"/>
        <v>Green</v>
      </c>
      <c r="T1273" t="str">
        <f t="shared" si="409"/>
        <v>Green</v>
      </c>
      <c r="U1273" t="str">
        <f t="shared" si="410"/>
        <v>Red</v>
      </c>
      <c r="V1273" t="str">
        <f t="shared" si="411"/>
        <v>Red</v>
      </c>
      <c r="W1273" t="str">
        <f t="shared" si="412"/>
        <v>Green</v>
      </c>
      <c r="X1273" t="str">
        <f t="shared" si="413"/>
        <v>Green</v>
      </c>
      <c r="Y1273" t="str">
        <f t="shared" si="414"/>
        <v>Green</v>
      </c>
      <c r="Z1273" t="str">
        <f t="shared" si="415"/>
        <v>Green</v>
      </c>
      <c r="AA1273" t="str">
        <f t="shared" si="416"/>
        <v>Red</v>
      </c>
      <c r="AB1273" t="str">
        <f t="shared" si="417"/>
        <v>Red</v>
      </c>
      <c r="AC1273" t="str">
        <f t="shared" si="418"/>
        <v>Red</v>
      </c>
      <c r="AD1273" t="str">
        <f t="shared" si="419"/>
        <v>Green</v>
      </c>
    </row>
    <row r="1274" spans="1:30" x14ac:dyDescent="0.2">
      <c r="A1274" t="str">
        <f t="shared" si="420"/>
        <v>25/07/2026Gamla Upsala SK WomenKIF Orebro Women</v>
      </c>
      <c r="B1274" t="s">
        <v>827</v>
      </c>
      <c r="D1274" s="2">
        <v>46228</v>
      </c>
      <c r="E1274" s="3">
        <v>0.58333333333333337</v>
      </c>
      <c r="F1274" t="s">
        <v>3669</v>
      </c>
      <c r="G1274" t="s">
        <v>3670</v>
      </c>
      <c r="H1274">
        <v>0</v>
      </c>
      <c r="I1274">
        <v>2</v>
      </c>
      <c r="J1274">
        <v>1</v>
      </c>
      <c r="K1274">
        <v>2</v>
      </c>
      <c r="L1274" s="22" t="str">
        <f t="shared" si="421"/>
        <v>25/07/2026</v>
      </c>
      <c r="M1274" s="23">
        <f t="shared" si="422"/>
        <v>0.45833333333333337</v>
      </c>
      <c r="N1274" t="str">
        <f t="shared" si="423"/>
        <v>1 - 2</v>
      </c>
      <c r="O1274" t="str">
        <f t="shared" si="404"/>
        <v>Red</v>
      </c>
      <c r="P1274" t="str">
        <f t="shared" si="405"/>
        <v>Red</v>
      </c>
      <c r="Q1274" t="str">
        <f t="shared" si="406"/>
        <v>Green</v>
      </c>
      <c r="R1274" t="str">
        <f t="shared" si="407"/>
        <v>Red</v>
      </c>
      <c r="S1274" t="str">
        <f t="shared" si="408"/>
        <v>Green</v>
      </c>
      <c r="T1274" t="str">
        <f t="shared" si="409"/>
        <v>Green</v>
      </c>
      <c r="U1274" t="str">
        <f t="shared" si="410"/>
        <v>Red</v>
      </c>
      <c r="V1274" t="str">
        <f t="shared" si="411"/>
        <v>Red</v>
      </c>
      <c r="W1274" t="str">
        <f t="shared" si="412"/>
        <v>Green</v>
      </c>
      <c r="X1274" t="str">
        <f t="shared" si="413"/>
        <v>Green</v>
      </c>
      <c r="Y1274" t="str">
        <f t="shared" si="414"/>
        <v>Green</v>
      </c>
      <c r="Z1274" t="str">
        <f t="shared" si="415"/>
        <v>Green</v>
      </c>
      <c r="AA1274" t="str">
        <f t="shared" si="416"/>
        <v>Red</v>
      </c>
      <c r="AB1274" t="str">
        <f t="shared" si="417"/>
        <v>Green</v>
      </c>
      <c r="AC1274" t="str">
        <f t="shared" si="418"/>
        <v>Green</v>
      </c>
      <c r="AD1274" t="str">
        <f t="shared" si="419"/>
        <v>Red</v>
      </c>
    </row>
    <row r="1275" spans="1:30" x14ac:dyDescent="0.2">
      <c r="A1275" t="str">
        <f t="shared" si="420"/>
        <v>25/07/2026Respublika FAFC Jayxun</v>
      </c>
      <c r="D1275" s="2">
        <v>46228</v>
      </c>
      <c r="E1275" s="3">
        <v>0.58333333333333337</v>
      </c>
      <c r="F1275" t="s">
        <v>3725</v>
      </c>
      <c r="G1275" t="s">
        <v>3726</v>
      </c>
      <c r="H1275">
        <v>0</v>
      </c>
      <c r="I1275">
        <v>0</v>
      </c>
      <c r="J1275">
        <v>1</v>
      </c>
      <c r="K1275">
        <v>2</v>
      </c>
      <c r="L1275" s="22" t="str">
        <f t="shared" si="421"/>
        <v>25/07/2026</v>
      </c>
      <c r="M1275" s="23">
        <f t="shared" si="422"/>
        <v>0.45833333333333337</v>
      </c>
      <c r="N1275" t="str">
        <f t="shared" si="423"/>
        <v>1 - 2</v>
      </c>
      <c r="O1275" t="str">
        <f t="shared" si="404"/>
        <v>Red</v>
      </c>
      <c r="P1275" t="str">
        <f t="shared" si="405"/>
        <v>Red</v>
      </c>
      <c r="Q1275" t="str">
        <f t="shared" si="406"/>
        <v>Green</v>
      </c>
      <c r="R1275" t="str">
        <f t="shared" si="407"/>
        <v>Red</v>
      </c>
      <c r="S1275" t="str">
        <f t="shared" si="408"/>
        <v>Green</v>
      </c>
      <c r="T1275" t="str">
        <f t="shared" si="409"/>
        <v>Green</v>
      </c>
      <c r="U1275" t="str">
        <f t="shared" si="410"/>
        <v>Red</v>
      </c>
      <c r="V1275" t="str">
        <f t="shared" si="411"/>
        <v>Green</v>
      </c>
      <c r="W1275" t="str">
        <f t="shared" si="412"/>
        <v>Red</v>
      </c>
      <c r="X1275" t="str">
        <f t="shared" si="413"/>
        <v>Red</v>
      </c>
      <c r="Y1275" t="str">
        <f t="shared" si="414"/>
        <v>Green</v>
      </c>
      <c r="Z1275" t="str">
        <f t="shared" si="415"/>
        <v>Green</v>
      </c>
      <c r="AA1275" t="str">
        <f t="shared" si="416"/>
        <v>Red</v>
      </c>
      <c r="AB1275" t="str">
        <f t="shared" si="417"/>
        <v>Green</v>
      </c>
      <c r="AC1275" t="str">
        <f t="shared" si="418"/>
        <v>Green</v>
      </c>
      <c r="AD1275" t="str">
        <f t="shared" si="419"/>
        <v>Red</v>
      </c>
    </row>
    <row r="1276" spans="1:30" x14ac:dyDescent="0.2">
      <c r="A1276" t="str">
        <f t="shared" si="420"/>
        <v>25/07/2026AFC FyldeWigan</v>
      </c>
      <c r="D1276" s="2">
        <v>46228</v>
      </c>
      <c r="E1276" s="3">
        <v>0.58333333333333337</v>
      </c>
      <c r="F1276" t="s">
        <v>3841</v>
      </c>
      <c r="G1276" t="s">
        <v>3842</v>
      </c>
      <c r="H1276">
        <v>0</v>
      </c>
      <c r="I1276">
        <v>2</v>
      </c>
      <c r="J1276">
        <v>0</v>
      </c>
      <c r="K1276">
        <v>2</v>
      </c>
      <c r="L1276" s="22" t="str">
        <f t="shared" si="421"/>
        <v>25/07/2026</v>
      </c>
      <c r="M1276" s="23">
        <f t="shared" si="422"/>
        <v>0.45833333333333337</v>
      </c>
      <c r="N1276" t="str">
        <f t="shared" si="423"/>
        <v>0 - 2</v>
      </c>
      <c r="O1276" t="str">
        <f t="shared" si="404"/>
        <v>Red</v>
      </c>
      <c r="P1276" t="str">
        <f t="shared" si="405"/>
        <v>Red</v>
      </c>
      <c r="Q1276" t="str">
        <f t="shared" si="406"/>
        <v>Green</v>
      </c>
      <c r="R1276" t="str">
        <f t="shared" si="407"/>
        <v>Red</v>
      </c>
      <c r="S1276" t="str">
        <f t="shared" si="408"/>
        <v>Green</v>
      </c>
      <c r="T1276" t="str">
        <f t="shared" si="409"/>
        <v>Green</v>
      </c>
      <c r="U1276" t="str">
        <f t="shared" si="410"/>
        <v>Red</v>
      </c>
      <c r="V1276" t="str">
        <f t="shared" si="411"/>
        <v>Red</v>
      </c>
      <c r="W1276" t="str">
        <f t="shared" si="412"/>
        <v>Green</v>
      </c>
      <c r="X1276" t="str">
        <f t="shared" si="413"/>
        <v>Green</v>
      </c>
      <c r="Y1276" t="str">
        <f t="shared" si="414"/>
        <v>Green</v>
      </c>
      <c r="Z1276" t="str">
        <f t="shared" si="415"/>
        <v>Red</v>
      </c>
      <c r="AA1276" t="str">
        <f t="shared" si="416"/>
        <v>Green</v>
      </c>
      <c r="AB1276" t="str">
        <f t="shared" si="417"/>
        <v>Green</v>
      </c>
      <c r="AC1276" t="str">
        <f t="shared" si="418"/>
        <v>Red</v>
      </c>
      <c r="AD1276" t="str">
        <f t="shared" si="419"/>
        <v>Green</v>
      </c>
    </row>
    <row r="1277" spans="1:30" x14ac:dyDescent="0.2">
      <c r="A1277" t="str">
        <f t="shared" si="420"/>
        <v>25/07/2026AFC WimbledonCharlton Athletic</v>
      </c>
      <c r="D1277" s="2">
        <v>46228</v>
      </c>
      <c r="E1277" s="3">
        <v>0.58333333333333337</v>
      </c>
      <c r="F1277" t="s">
        <v>1804</v>
      </c>
      <c r="G1277" t="s">
        <v>3843</v>
      </c>
      <c r="H1277">
        <v>1</v>
      </c>
      <c r="I1277">
        <v>0</v>
      </c>
      <c r="J1277">
        <v>2</v>
      </c>
      <c r="K1277">
        <v>0</v>
      </c>
      <c r="L1277" s="22" t="str">
        <f t="shared" si="421"/>
        <v>25/07/2026</v>
      </c>
      <c r="M1277" s="23">
        <f t="shared" si="422"/>
        <v>0.45833333333333337</v>
      </c>
      <c r="N1277" t="str">
        <f t="shared" si="423"/>
        <v>2 - 0</v>
      </c>
      <c r="O1277" t="str">
        <f t="shared" si="404"/>
        <v>Green</v>
      </c>
      <c r="P1277" t="str">
        <f t="shared" si="405"/>
        <v>Red</v>
      </c>
      <c r="Q1277" t="str">
        <f t="shared" si="406"/>
        <v>Red</v>
      </c>
      <c r="R1277" t="str">
        <f t="shared" si="407"/>
        <v>Green</v>
      </c>
      <c r="S1277" t="str">
        <f t="shared" si="408"/>
        <v>Red</v>
      </c>
      <c r="T1277" t="str">
        <f t="shared" si="409"/>
        <v>Green</v>
      </c>
      <c r="U1277" t="str">
        <f t="shared" si="410"/>
        <v>Green</v>
      </c>
      <c r="V1277" t="str">
        <f t="shared" si="411"/>
        <v>Red</v>
      </c>
      <c r="W1277" t="str">
        <f t="shared" si="412"/>
        <v>Red</v>
      </c>
      <c r="X1277" t="str">
        <f t="shared" si="413"/>
        <v>Green</v>
      </c>
      <c r="Y1277" t="str">
        <f t="shared" si="414"/>
        <v>Green</v>
      </c>
      <c r="Z1277" t="str">
        <f t="shared" si="415"/>
        <v>Red</v>
      </c>
      <c r="AA1277" t="str">
        <f t="shared" si="416"/>
        <v>Green</v>
      </c>
      <c r="AB1277" t="str">
        <f t="shared" si="417"/>
        <v>Green</v>
      </c>
      <c r="AC1277" t="str">
        <f t="shared" si="418"/>
        <v>Red</v>
      </c>
      <c r="AD1277" t="str">
        <f t="shared" si="419"/>
        <v>Green</v>
      </c>
    </row>
    <row r="1278" spans="1:30" x14ac:dyDescent="0.2">
      <c r="A1278" t="str">
        <f t="shared" si="420"/>
        <v>25/07/2026AltrinchamMacclesfield Town</v>
      </c>
      <c r="D1278" s="2">
        <v>46228</v>
      </c>
      <c r="E1278" s="3">
        <v>0.58333333333333337</v>
      </c>
      <c r="F1278" t="s">
        <v>1531</v>
      </c>
      <c r="G1278" t="s">
        <v>1579</v>
      </c>
      <c r="H1278">
        <v>2</v>
      </c>
      <c r="I1278">
        <v>3</v>
      </c>
      <c r="J1278">
        <v>2</v>
      </c>
      <c r="K1278">
        <v>5</v>
      </c>
      <c r="L1278" s="22" t="str">
        <f t="shared" si="421"/>
        <v>25/07/2026</v>
      </c>
      <c r="M1278" s="23">
        <f t="shared" si="422"/>
        <v>0.45833333333333337</v>
      </c>
      <c r="N1278" t="str">
        <f t="shared" si="423"/>
        <v>2 - 5</v>
      </c>
      <c r="O1278" t="str">
        <f t="shared" si="404"/>
        <v>Red</v>
      </c>
      <c r="P1278" t="str">
        <f t="shared" si="405"/>
        <v>Red</v>
      </c>
      <c r="Q1278" t="str">
        <f t="shared" si="406"/>
        <v>Green</v>
      </c>
      <c r="R1278" t="str">
        <f t="shared" si="407"/>
        <v>Red</v>
      </c>
      <c r="S1278" t="str">
        <f t="shared" si="408"/>
        <v>Green</v>
      </c>
      <c r="T1278" t="str">
        <f t="shared" si="409"/>
        <v>Green</v>
      </c>
      <c r="U1278" t="str">
        <f t="shared" si="410"/>
        <v>Red</v>
      </c>
      <c r="V1278" t="str">
        <f t="shared" si="411"/>
        <v>Red</v>
      </c>
      <c r="W1278" t="str">
        <f t="shared" si="412"/>
        <v>Green</v>
      </c>
      <c r="X1278" t="str">
        <f t="shared" si="413"/>
        <v>Green</v>
      </c>
      <c r="Y1278" t="str">
        <f t="shared" si="414"/>
        <v>Green</v>
      </c>
      <c r="Z1278" t="str">
        <f t="shared" si="415"/>
        <v>Green</v>
      </c>
      <c r="AA1278" t="str">
        <f t="shared" si="416"/>
        <v>Red</v>
      </c>
      <c r="AB1278" t="str">
        <f t="shared" si="417"/>
        <v>Red</v>
      </c>
      <c r="AC1278" t="str">
        <f t="shared" si="418"/>
        <v>Green</v>
      </c>
      <c r="AD1278" t="str">
        <f t="shared" si="419"/>
        <v>Red</v>
      </c>
    </row>
    <row r="1279" spans="1:30" x14ac:dyDescent="0.2">
      <c r="A1279" t="str">
        <f t="shared" si="420"/>
        <v>25/07/2026AmaZuluMidlands Wanderers</v>
      </c>
      <c r="D1279" s="2">
        <v>46228</v>
      </c>
      <c r="E1279" s="3">
        <v>0.58333333333333337</v>
      </c>
      <c r="F1279" t="s">
        <v>3844</v>
      </c>
      <c r="G1279" t="s">
        <v>3845</v>
      </c>
      <c r="H1279">
        <v>2</v>
      </c>
      <c r="I1279">
        <v>0</v>
      </c>
      <c r="J1279">
        <v>2</v>
      </c>
      <c r="K1279">
        <v>0</v>
      </c>
      <c r="L1279" s="22" t="str">
        <f t="shared" si="421"/>
        <v>25/07/2026</v>
      </c>
      <c r="M1279" s="23">
        <f t="shared" si="422"/>
        <v>0.45833333333333337</v>
      </c>
      <c r="N1279" t="str">
        <f t="shared" si="423"/>
        <v>2 - 0</v>
      </c>
      <c r="O1279" t="str">
        <f t="shared" si="404"/>
        <v>Green</v>
      </c>
      <c r="P1279" t="str">
        <f t="shared" si="405"/>
        <v>Red</v>
      </c>
      <c r="Q1279" t="str">
        <f t="shared" si="406"/>
        <v>Red</v>
      </c>
      <c r="R1279" t="str">
        <f t="shared" si="407"/>
        <v>Green</v>
      </c>
      <c r="S1279" t="str">
        <f t="shared" si="408"/>
        <v>Red</v>
      </c>
      <c r="T1279" t="str">
        <f t="shared" si="409"/>
        <v>Green</v>
      </c>
      <c r="U1279" t="str">
        <f t="shared" si="410"/>
        <v>Green</v>
      </c>
      <c r="V1279" t="str">
        <f t="shared" si="411"/>
        <v>Red</v>
      </c>
      <c r="W1279" t="str">
        <f t="shared" si="412"/>
        <v>Red</v>
      </c>
      <c r="X1279" t="str">
        <f t="shared" si="413"/>
        <v>Green</v>
      </c>
      <c r="Y1279" t="str">
        <f t="shared" si="414"/>
        <v>Green</v>
      </c>
      <c r="Z1279" t="str">
        <f t="shared" si="415"/>
        <v>Red</v>
      </c>
      <c r="AA1279" t="str">
        <f t="shared" si="416"/>
        <v>Green</v>
      </c>
      <c r="AB1279" t="str">
        <f t="shared" si="417"/>
        <v>Green</v>
      </c>
      <c r="AC1279" t="str">
        <f t="shared" si="418"/>
        <v>Red</v>
      </c>
      <c r="AD1279" t="str">
        <f t="shared" si="419"/>
        <v>Green</v>
      </c>
    </row>
    <row r="1280" spans="1:30" x14ac:dyDescent="0.2">
      <c r="A1280" t="str">
        <f t="shared" si="420"/>
        <v>25/07/2026BarnetOxford United</v>
      </c>
      <c r="D1280" s="2">
        <v>46228</v>
      </c>
      <c r="E1280" s="3">
        <v>0.58333333333333337</v>
      </c>
      <c r="F1280" t="s">
        <v>3846</v>
      </c>
      <c r="G1280" t="s">
        <v>1470</v>
      </c>
      <c r="H1280">
        <v>0</v>
      </c>
      <c r="I1280">
        <v>1</v>
      </c>
      <c r="J1280">
        <v>1</v>
      </c>
      <c r="K1280">
        <v>2</v>
      </c>
      <c r="L1280" s="22" t="str">
        <f t="shared" si="421"/>
        <v>25/07/2026</v>
      </c>
      <c r="M1280" s="23">
        <f t="shared" si="422"/>
        <v>0.45833333333333337</v>
      </c>
      <c r="N1280" t="str">
        <f t="shared" si="423"/>
        <v>1 - 2</v>
      </c>
      <c r="O1280" t="str">
        <f t="shared" si="404"/>
        <v>Red</v>
      </c>
      <c r="P1280" t="str">
        <f t="shared" si="405"/>
        <v>Red</v>
      </c>
      <c r="Q1280" t="str">
        <f t="shared" si="406"/>
        <v>Green</v>
      </c>
      <c r="R1280" t="str">
        <f t="shared" si="407"/>
        <v>Red</v>
      </c>
      <c r="S1280" t="str">
        <f t="shared" si="408"/>
        <v>Green</v>
      </c>
      <c r="T1280" t="str">
        <f t="shared" si="409"/>
        <v>Green</v>
      </c>
      <c r="U1280" t="str">
        <f t="shared" si="410"/>
        <v>Red</v>
      </c>
      <c r="V1280" t="str">
        <f t="shared" si="411"/>
        <v>Red</v>
      </c>
      <c r="W1280" t="str">
        <f t="shared" si="412"/>
        <v>Green</v>
      </c>
      <c r="X1280" t="str">
        <f t="shared" si="413"/>
        <v>Green</v>
      </c>
      <c r="Y1280" t="str">
        <f t="shared" si="414"/>
        <v>Green</v>
      </c>
      <c r="Z1280" t="str">
        <f t="shared" si="415"/>
        <v>Green</v>
      </c>
      <c r="AA1280" t="str">
        <f t="shared" si="416"/>
        <v>Red</v>
      </c>
      <c r="AB1280" t="str">
        <f t="shared" si="417"/>
        <v>Green</v>
      </c>
      <c r="AC1280" t="str">
        <f t="shared" si="418"/>
        <v>Green</v>
      </c>
      <c r="AD1280" t="str">
        <f t="shared" si="419"/>
        <v>Red</v>
      </c>
    </row>
    <row r="1281" spans="1:30" x14ac:dyDescent="0.2">
      <c r="A1281" t="str">
        <f t="shared" si="420"/>
        <v>25/07/2026Barrow AFCBlackpool</v>
      </c>
      <c r="D1281" s="2">
        <v>46228</v>
      </c>
      <c r="E1281" s="3">
        <v>0.58333333333333337</v>
      </c>
      <c r="F1281" t="s">
        <v>1509</v>
      </c>
      <c r="G1281" t="s">
        <v>3847</v>
      </c>
      <c r="H1281">
        <v>1</v>
      </c>
      <c r="I1281">
        <v>0</v>
      </c>
      <c r="J1281">
        <v>2</v>
      </c>
      <c r="K1281">
        <v>0</v>
      </c>
      <c r="L1281" s="22" t="str">
        <f t="shared" si="421"/>
        <v>25/07/2026</v>
      </c>
      <c r="M1281" s="23">
        <f t="shared" si="422"/>
        <v>0.45833333333333337</v>
      </c>
      <c r="N1281" t="str">
        <f t="shared" si="423"/>
        <v>2 - 0</v>
      </c>
      <c r="O1281" t="str">
        <f t="shared" si="404"/>
        <v>Green</v>
      </c>
      <c r="P1281" t="str">
        <f t="shared" si="405"/>
        <v>Red</v>
      </c>
      <c r="Q1281" t="str">
        <f t="shared" si="406"/>
        <v>Red</v>
      </c>
      <c r="R1281" t="str">
        <f t="shared" si="407"/>
        <v>Green</v>
      </c>
      <c r="S1281" t="str">
        <f t="shared" si="408"/>
        <v>Red</v>
      </c>
      <c r="T1281" t="str">
        <f t="shared" si="409"/>
        <v>Green</v>
      </c>
      <c r="U1281" t="str">
        <f t="shared" si="410"/>
        <v>Green</v>
      </c>
      <c r="V1281" t="str">
        <f t="shared" si="411"/>
        <v>Red</v>
      </c>
      <c r="W1281" t="str">
        <f t="shared" si="412"/>
        <v>Red</v>
      </c>
      <c r="X1281" t="str">
        <f t="shared" si="413"/>
        <v>Green</v>
      </c>
      <c r="Y1281" t="str">
        <f t="shared" si="414"/>
        <v>Green</v>
      </c>
      <c r="Z1281" t="str">
        <f t="shared" si="415"/>
        <v>Red</v>
      </c>
      <c r="AA1281" t="str">
        <f t="shared" si="416"/>
        <v>Green</v>
      </c>
      <c r="AB1281" t="str">
        <f t="shared" si="417"/>
        <v>Green</v>
      </c>
      <c r="AC1281" t="str">
        <f t="shared" si="418"/>
        <v>Red</v>
      </c>
      <c r="AD1281" t="str">
        <f t="shared" si="419"/>
        <v>Green</v>
      </c>
    </row>
    <row r="1282" spans="1:30" x14ac:dyDescent="0.2">
      <c r="A1282" t="str">
        <f t="shared" si="420"/>
        <v>25/07/2026Barry TownGloucester City</v>
      </c>
      <c r="D1282" s="2">
        <v>46228</v>
      </c>
      <c r="E1282" s="3">
        <v>0.58333333333333337</v>
      </c>
      <c r="F1282" t="s">
        <v>3848</v>
      </c>
      <c r="G1282" t="s">
        <v>3849</v>
      </c>
      <c r="H1282">
        <v>0</v>
      </c>
      <c r="I1282">
        <v>1</v>
      </c>
      <c r="J1282">
        <v>0</v>
      </c>
      <c r="K1282">
        <v>1</v>
      </c>
      <c r="L1282" s="22" t="str">
        <f t="shared" si="421"/>
        <v>25/07/2026</v>
      </c>
      <c r="M1282" s="23">
        <f t="shared" si="422"/>
        <v>0.45833333333333337</v>
      </c>
      <c r="N1282" t="str">
        <f t="shared" si="423"/>
        <v>0 - 1</v>
      </c>
      <c r="O1282" t="str">
        <f t="shared" ref="O1282:O1345" si="424">IF($J1282&gt;$K1282,"Green","Red")</f>
        <v>Red</v>
      </c>
      <c r="P1282" t="str">
        <f t="shared" ref="P1282:P1345" si="425">IF($J1282=$K1282,"Green","Red")</f>
        <v>Red</v>
      </c>
      <c r="Q1282" t="str">
        <f t="shared" ref="Q1282:Q1345" si="426">IF($J1282&lt;$K1282,"Green","Red")</f>
        <v>Green</v>
      </c>
      <c r="R1282" t="str">
        <f t="shared" ref="R1282:R1345" si="427">IF($J1282&gt;=$K1282,"Green","Red")</f>
        <v>Red</v>
      </c>
      <c r="S1282" t="str">
        <f t="shared" ref="S1282:S1345" si="428">IF($J1282&lt;=$K1282,"Green","Red")</f>
        <v>Green</v>
      </c>
      <c r="T1282" t="str">
        <f t="shared" ref="T1282:T1345" si="429">IF(OR($J1282&gt;$K1282,$J1282&lt;$K1282),"Green","Red")</f>
        <v>Green</v>
      </c>
      <c r="U1282" t="str">
        <f t="shared" ref="U1282:U1345" si="430">IF($H1282&gt;$I1282,"Green","Red")</f>
        <v>Red</v>
      </c>
      <c r="V1282" t="str">
        <f t="shared" ref="V1282:V1345" si="431">IF($H1282=$I1282,"Green","Red")</f>
        <v>Red</v>
      </c>
      <c r="W1282" t="str">
        <f t="shared" ref="W1282:W1345" si="432">IF($H1282&lt;$I1282,"Green","Red")</f>
        <v>Green</v>
      </c>
      <c r="X1282" t="str">
        <f t="shared" ref="X1282:X1345" si="433">IF($H1282+$I1282&gt;0,"Green","Red")</f>
        <v>Green</v>
      </c>
      <c r="Y1282" t="str">
        <f t="shared" ref="Y1282:Y1345" si="434">IF($J1282+$K1282&gt;1.5,"Green","Red")</f>
        <v>Red</v>
      </c>
      <c r="Z1282" t="str">
        <f t="shared" ref="Z1282:Z1345" si="435">IF($J1282+$K1282&gt;2.5,"Green","Red")</f>
        <v>Red</v>
      </c>
      <c r="AA1282" t="str">
        <f t="shared" ref="AA1282:AA1345" si="436">IF($J1282+$K1282&lt;2.5,"Green","Red")</f>
        <v>Green</v>
      </c>
      <c r="AB1282" t="str">
        <f t="shared" ref="AB1282:AB1345" si="437">IF($J1282+$K1282&lt;3.5,"Green","Red")</f>
        <v>Green</v>
      </c>
      <c r="AC1282" t="str">
        <f t="shared" ref="AC1282:AC1345" si="438">IF(AND($J1282&gt;0,$K1282&gt;0),"Green","Red")</f>
        <v>Red</v>
      </c>
      <c r="AD1282" t="str">
        <f t="shared" ref="AD1282:AD1345" si="439">IF(OR($J1282=0,$K1282=0),"Green","Red")</f>
        <v>Green</v>
      </c>
    </row>
    <row r="1283" spans="1:30" x14ac:dyDescent="0.2">
      <c r="A1283" t="str">
        <f t="shared" si="420"/>
        <v>25/07/2026Bishops CleeveChippenham Town</v>
      </c>
      <c r="D1283" s="2">
        <v>46228</v>
      </c>
      <c r="E1283" s="3">
        <v>0.58333333333333337</v>
      </c>
      <c r="F1283" t="s">
        <v>3850</v>
      </c>
      <c r="G1283" t="s">
        <v>3851</v>
      </c>
      <c r="H1283">
        <v>1</v>
      </c>
      <c r="I1283">
        <v>1</v>
      </c>
      <c r="J1283">
        <v>1</v>
      </c>
      <c r="K1283">
        <v>2</v>
      </c>
      <c r="L1283" s="22" t="str">
        <f t="shared" si="421"/>
        <v>25/07/2026</v>
      </c>
      <c r="M1283" s="23">
        <f t="shared" si="422"/>
        <v>0.45833333333333337</v>
      </c>
      <c r="N1283" t="str">
        <f t="shared" si="423"/>
        <v>1 - 2</v>
      </c>
      <c r="O1283" t="str">
        <f t="shared" si="424"/>
        <v>Red</v>
      </c>
      <c r="P1283" t="str">
        <f t="shared" si="425"/>
        <v>Red</v>
      </c>
      <c r="Q1283" t="str">
        <f t="shared" si="426"/>
        <v>Green</v>
      </c>
      <c r="R1283" t="str">
        <f t="shared" si="427"/>
        <v>Red</v>
      </c>
      <c r="S1283" t="str">
        <f t="shared" si="428"/>
        <v>Green</v>
      </c>
      <c r="T1283" t="str">
        <f t="shared" si="429"/>
        <v>Green</v>
      </c>
      <c r="U1283" t="str">
        <f t="shared" si="430"/>
        <v>Red</v>
      </c>
      <c r="V1283" t="str">
        <f t="shared" si="431"/>
        <v>Green</v>
      </c>
      <c r="W1283" t="str">
        <f t="shared" si="432"/>
        <v>Red</v>
      </c>
      <c r="X1283" t="str">
        <f t="shared" si="433"/>
        <v>Green</v>
      </c>
      <c r="Y1283" t="str">
        <f t="shared" si="434"/>
        <v>Green</v>
      </c>
      <c r="Z1283" t="str">
        <f t="shared" si="435"/>
        <v>Green</v>
      </c>
      <c r="AA1283" t="str">
        <f t="shared" si="436"/>
        <v>Red</v>
      </c>
      <c r="AB1283" t="str">
        <f t="shared" si="437"/>
        <v>Green</v>
      </c>
      <c r="AC1283" t="str">
        <f t="shared" si="438"/>
        <v>Green</v>
      </c>
      <c r="AD1283" t="str">
        <f t="shared" si="439"/>
        <v>Red</v>
      </c>
    </row>
    <row r="1284" spans="1:30" x14ac:dyDescent="0.2">
      <c r="A1284" t="str">
        <f t="shared" si="420"/>
        <v>25/07/2026Blyth SpartansStockton Town</v>
      </c>
      <c r="D1284" s="2">
        <v>46228</v>
      </c>
      <c r="E1284" s="3">
        <v>0.58333333333333337</v>
      </c>
      <c r="F1284" t="s">
        <v>3852</v>
      </c>
      <c r="G1284" t="s">
        <v>3853</v>
      </c>
      <c r="H1284">
        <v>1</v>
      </c>
      <c r="I1284">
        <v>0</v>
      </c>
      <c r="J1284">
        <v>3</v>
      </c>
      <c r="K1284">
        <v>0</v>
      </c>
      <c r="L1284" s="22" t="str">
        <f t="shared" si="421"/>
        <v>25/07/2026</v>
      </c>
      <c r="M1284" s="23">
        <f t="shared" si="422"/>
        <v>0.45833333333333337</v>
      </c>
      <c r="N1284" t="str">
        <f t="shared" si="423"/>
        <v>3 - 0</v>
      </c>
      <c r="O1284" t="str">
        <f t="shared" si="424"/>
        <v>Green</v>
      </c>
      <c r="P1284" t="str">
        <f t="shared" si="425"/>
        <v>Red</v>
      </c>
      <c r="Q1284" t="str">
        <f t="shared" si="426"/>
        <v>Red</v>
      </c>
      <c r="R1284" t="str">
        <f t="shared" si="427"/>
        <v>Green</v>
      </c>
      <c r="S1284" t="str">
        <f t="shared" si="428"/>
        <v>Red</v>
      </c>
      <c r="T1284" t="str">
        <f t="shared" si="429"/>
        <v>Green</v>
      </c>
      <c r="U1284" t="str">
        <f t="shared" si="430"/>
        <v>Green</v>
      </c>
      <c r="V1284" t="str">
        <f t="shared" si="431"/>
        <v>Red</v>
      </c>
      <c r="W1284" t="str">
        <f t="shared" si="432"/>
        <v>Red</v>
      </c>
      <c r="X1284" t="str">
        <f t="shared" si="433"/>
        <v>Green</v>
      </c>
      <c r="Y1284" t="str">
        <f t="shared" si="434"/>
        <v>Green</v>
      </c>
      <c r="Z1284" t="str">
        <f t="shared" si="435"/>
        <v>Green</v>
      </c>
      <c r="AA1284" t="str">
        <f t="shared" si="436"/>
        <v>Red</v>
      </c>
      <c r="AB1284" t="str">
        <f t="shared" si="437"/>
        <v>Green</v>
      </c>
      <c r="AC1284" t="str">
        <f t="shared" si="438"/>
        <v>Red</v>
      </c>
      <c r="AD1284" t="str">
        <f t="shared" si="439"/>
        <v>Green</v>
      </c>
    </row>
    <row r="1285" spans="1:30" x14ac:dyDescent="0.2">
      <c r="A1285" t="str">
        <f t="shared" si="420"/>
        <v>25/07/2026BolognaIraklis Thermaikou</v>
      </c>
      <c r="D1285" s="2">
        <v>46228</v>
      </c>
      <c r="E1285" s="3">
        <v>0.58333333333333337</v>
      </c>
      <c r="F1285" t="s">
        <v>1618</v>
      </c>
      <c r="G1285" t="s">
        <v>3854</v>
      </c>
      <c r="H1285">
        <v>1</v>
      </c>
      <c r="I1285">
        <v>0</v>
      </c>
      <c r="J1285">
        <v>2</v>
      </c>
      <c r="K1285">
        <v>0</v>
      </c>
      <c r="L1285" s="22" t="str">
        <f t="shared" si="421"/>
        <v>25/07/2026</v>
      </c>
      <c r="M1285" s="23">
        <f t="shared" si="422"/>
        <v>0.45833333333333337</v>
      </c>
      <c r="N1285" t="str">
        <f t="shared" si="423"/>
        <v>2 - 0</v>
      </c>
      <c r="O1285" t="str">
        <f t="shared" si="424"/>
        <v>Green</v>
      </c>
      <c r="P1285" t="str">
        <f t="shared" si="425"/>
        <v>Red</v>
      </c>
      <c r="Q1285" t="str">
        <f t="shared" si="426"/>
        <v>Red</v>
      </c>
      <c r="R1285" t="str">
        <f t="shared" si="427"/>
        <v>Green</v>
      </c>
      <c r="S1285" t="str">
        <f t="shared" si="428"/>
        <v>Red</v>
      </c>
      <c r="T1285" t="str">
        <f t="shared" si="429"/>
        <v>Green</v>
      </c>
      <c r="U1285" t="str">
        <f t="shared" si="430"/>
        <v>Green</v>
      </c>
      <c r="V1285" t="str">
        <f t="shared" si="431"/>
        <v>Red</v>
      </c>
      <c r="W1285" t="str">
        <f t="shared" si="432"/>
        <v>Red</v>
      </c>
      <c r="X1285" t="str">
        <f t="shared" si="433"/>
        <v>Green</v>
      </c>
      <c r="Y1285" t="str">
        <f t="shared" si="434"/>
        <v>Green</v>
      </c>
      <c r="Z1285" t="str">
        <f t="shared" si="435"/>
        <v>Red</v>
      </c>
      <c r="AA1285" t="str">
        <f t="shared" si="436"/>
        <v>Green</v>
      </c>
      <c r="AB1285" t="str">
        <f t="shared" si="437"/>
        <v>Green</v>
      </c>
      <c r="AC1285" t="str">
        <f t="shared" si="438"/>
        <v>Red</v>
      </c>
      <c r="AD1285" t="str">
        <f t="shared" si="439"/>
        <v>Green</v>
      </c>
    </row>
    <row r="1286" spans="1:30" x14ac:dyDescent="0.2">
      <c r="A1286" t="str">
        <f t="shared" si="420"/>
        <v>25/07/2026Bolton WanderersEverton</v>
      </c>
      <c r="D1286" s="2">
        <v>46228</v>
      </c>
      <c r="E1286" s="3">
        <v>0.58333333333333337</v>
      </c>
      <c r="F1286" t="s">
        <v>1484</v>
      </c>
      <c r="G1286" t="s">
        <v>3855</v>
      </c>
      <c r="H1286">
        <v>0</v>
      </c>
      <c r="I1286">
        <v>0</v>
      </c>
      <c r="J1286">
        <v>0</v>
      </c>
      <c r="K1286">
        <v>0</v>
      </c>
      <c r="L1286" s="22" t="str">
        <f t="shared" si="421"/>
        <v>25/07/2026</v>
      </c>
      <c r="M1286" s="23">
        <f t="shared" si="422"/>
        <v>0.45833333333333337</v>
      </c>
      <c r="N1286" t="str">
        <f t="shared" si="423"/>
        <v>0 - 0</v>
      </c>
      <c r="O1286" t="str">
        <f t="shared" si="424"/>
        <v>Red</v>
      </c>
      <c r="P1286" t="str">
        <f t="shared" si="425"/>
        <v>Green</v>
      </c>
      <c r="Q1286" t="str">
        <f t="shared" si="426"/>
        <v>Red</v>
      </c>
      <c r="R1286" t="str">
        <f t="shared" si="427"/>
        <v>Green</v>
      </c>
      <c r="S1286" t="str">
        <f t="shared" si="428"/>
        <v>Green</v>
      </c>
      <c r="T1286" t="str">
        <f t="shared" si="429"/>
        <v>Red</v>
      </c>
      <c r="U1286" t="str">
        <f t="shared" si="430"/>
        <v>Red</v>
      </c>
      <c r="V1286" t="str">
        <f t="shared" si="431"/>
        <v>Green</v>
      </c>
      <c r="W1286" t="str">
        <f t="shared" si="432"/>
        <v>Red</v>
      </c>
      <c r="X1286" t="str">
        <f t="shared" si="433"/>
        <v>Red</v>
      </c>
      <c r="Y1286" t="str">
        <f t="shared" si="434"/>
        <v>Red</v>
      </c>
      <c r="Z1286" t="str">
        <f t="shared" si="435"/>
        <v>Red</v>
      </c>
      <c r="AA1286" t="str">
        <f t="shared" si="436"/>
        <v>Green</v>
      </c>
      <c r="AB1286" t="str">
        <f t="shared" si="437"/>
        <v>Green</v>
      </c>
      <c r="AC1286" t="str">
        <f t="shared" si="438"/>
        <v>Red</v>
      </c>
      <c r="AD1286" t="str">
        <f t="shared" si="439"/>
        <v>Green</v>
      </c>
    </row>
    <row r="1287" spans="1:30" x14ac:dyDescent="0.2">
      <c r="A1287" t="str">
        <f t="shared" si="420"/>
        <v>25/07/2026Boston UnitedPeterborough United</v>
      </c>
      <c r="D1287" s="2">
        <v>46228</v>
      </c>
      <c r="E1287" s="3">
        <v>0.58333333333333337</v>
      </c>
      <c r="F1287" t="s">
        <v>3856</v>
      </c>
      <c r="G1287" t="s">
        <v>1535</v>
      </c>
      <c r="H1287">
        <v>0</v>
      </c>
      <c r="I1287">
        <v>0</v>
      </c>
      <c r="J1287">
        <v>1</v>
      </c>
      <c r="K1287">
        <v>0</v>
      </c>
      <c r="L1287" s="22" t="str">
        <f t="shared" si="421"/>
        <v>25/07/2026</v>
      </c>
      <c r="M1287" s="23">
        <f t="shared" si="422"/>
        <v>0.45833333333333337</v>
      </c>
      <c r="N1287" t="str">
        <f t="shared" si="423"/>
        <v>1 - 0</v>
      </c>
      <c r="O1287" t="str">
        <f t="shared" si="424"/>
        <v>Green</v>
      </c>
      <c r="P1287" t="str">
        <f t="shared" si="425"/>
        <v>Red</v>
      </c>
      <c r="Q1287" t="str">
        <f t="shared" si="426"/>
        <v>Red</v>
      </c>
      <c r="R1287" t="str">
        <f t="shared" si="427"/>
        <v>Green</v>
      </c>
      <c r="S1287" t="str">
        <f t="shared" si="428"/>
        <v>Red</v>
      </c>
      <c r="T1287" t="str">
        <f t="shared" si="429"/>
        <v>Green</v>
      </c>
      <c r="U1287" t="str">
        <f t="shared" si="430"/>
        <v>Red</v>
      </c>
      <c r="V1287" t="str">
        <f t="shared" si="431"/>
        <v>Green</v>
      </c>
      <c r="W1287" t="str">
        <f t="shared" si="432"/>
        <v>Red</v>
      </c>
      <c r="X1287" t="str">
        <f t="shared" si="433"/>
        <v>Red</v>
      </c>
      <c r="Y1287" t="str">
        <f t="shared" si="434"/>
        <v>Red</v>
      </c>
      <c r="Z1287" t="str">
        <f t="shared" si="435"/>
        <v>Red</v>
      </c>
      <c r="AA1287" t="str">
        <f t="shared" si="436"/>
        <v>Green</v>
      </c>
      <c r="AB1287" t="str">
        <f t="shared" si="437"/>
        <v>Green</v>
      </c>
      <c r="AC1287" t="str">
        <f t="shared" si="438"/>
        <v>Red</v>
      </c>
      <c r="AD1287" t="str">
        <f t="shared" si="439"/>
        <v>Green</v>
      </c>
    </row>
    <row r="1288" spans="1:30" x14ac:dyDescent="0.2">
      <c r="A1288" t="str">
        <f t="shared" si="420"/>
        <v>25/07/2026Bristol City U21Merthyr Town</v>
      </c>
      <c r="D1288" s="2">
        <v>46228</v>
      </c>
      <c r="E1288" s="3">
        <v>0.58333333333333337</v>
      </c>
      <c r="F1288" t="s">
        <v>3857</v>
      </c>
      <c r="G1288" t="s">
        <v>1502</v>
      </c>
      <c r="H1288">
        <v>1</v>
      </c>
      <c r="I1288">
        <v>1</v>
      </c>
      <c r="J1288">
        <v>1</v>
      </c>
      <c r="K1288">
        <v>1</v>
      </c>
      <c r="L1288" s="22" t="str">
        <f t="shared" si="421"/>
        <v>25/07/2026</v>
      </c>
      <c r="M1288" s="23">
        <f t="shared" si="422"/>
        <v>0.45833333333333337</v>
      </c>
      <c r="N1288" t="str">
        <f t="shared" si="423"/>
        <v>1 - 1</v>
      </c>
      <c r="O1288" t="str">
        <f t="shared" si="424"/>
        <v>Red</v>
      </c>
      <c r="P1288" t="str">
        <f t="shared" si="425"/>
        <v>Green</v>
      </c>
      <c r="Q1288" t="str">
        <f t="shared" si="426"/>
        <v>Red</v>
      </c>
      <c r="R1288" t="str">
        <f t="shared" si="427"/>
        <v>Green</v>
      </c>
      <c r="S1288" t="str">
        <f t="shared" si="428"/>
        <v>Green</v>
      </c>
      <c r="T1288" t="str">
        <f t="shared" si="429"/>
        <v>Red</v>
      </c>
      <c r="U1288" t="str">
        <f t="shared" si="430"/>
        <v>Red</v>
      </c>
      <c r="V1288" t="str">
        <f t="shared" si="431"/>
        <v>Green</v>
      </c>
      <c r="W1288" t="str">
        <f t="shared" si="432"/>
        <v>Red</v>
      </c>
      <c r="X1288" t="str">
        <f t="shared" si="433"/>
        <v>Green</v>
      </c>
      <c r="Y1288" t="str">
        <f t="shared" si="434"/>
        <v>Green</v>
      </c>
      <c r="Z1288" t="str">
        <f t="shared" si="435"/>
        <v>Red</v>
      </c>
      <c r="AA1288" t="str">
        <f t="shared" si="436"/>
        <v>Green</v>
      </c>
      <c r="AB1288" t="str">
        <f t="shared" si="437"/>
        <v>Green</v>
      </c>
      <c r="AC1288" t="str">
        <f t="shared" si="438"/>
        <v>Green</v>
      </c>
      <c r="AD1288" t="str">
        <f t="shared" si="439"/>
        <v>Red</v>
      </c>
    </row>
    <row r="1289" spans="1:30" x14ac:dyDescent="0.2">
      <c r="A1289" t="str">
        <f t="shared" si="420"/>
        <v>25/07/2026BromleyCrystal Palace</v>
      </c>
      <c r="D1289" s="2">
        <v>46228</v>
      </c>
      <c r="E1289" s="3">
        <v>0.58333333333333337</v>
      </c>
      <c r="F1289" t="s">
        <v>3858</v>
      </c>
      <c r="G1289" t="s">
        <v>3859</v>
      </c>
      <c r="H1289">
        <v>0</v>
      </c>
      <c r="I1289">
        <v>0</v>
      </c>
      <c r="J1289">
        <v>3</v>
      </c>
      <c r="K1289">
        <v>0</v>
      </c>
      <c r="L1289" s="22" t="str">
        <f t="shared" si="421"/>
        <v>25/07/2026</v>
      </c>
      <c r="M1289" s="23">
        <f t="shared" si="422"/>
        <v>0.45833333333333337</v>
      </c>
      <c r="N1289" t="str">
        <f t="shared" si="423"/>
        <v>3 - 0</v>
      </c>
      <c r="O1289" t="str">
        <f t="shared" si="424"/>
        <v>Green</v>
      </c>
      <c r="P1289" t="str">
        <f t="shared" si="425"/>
        <v>Red</v>
      </c>
      <c r="Q1289" t="str">
        <f t="shared" si="426"/>
        <v>Red</v>
      </c>
      <c r="R1289" t="str">
        <f t="shared" si="427"/>
        <v>Green</v>
      </c>
      <c r="S1289" t="str">
        <f t="shared" si="428"/>
        <v>Red</v>
      </c>
      <c r="T1289" t="str">
        <f t="shared" si="429"/>
        <v>Green</v>
      </c>
      <c r="U1289" t="str">
        <f t="shared" si="430"/>
        <v>Red</v>
      </c>
      <c r="V1289" t="str">
        <f t="shared" si="431"/>
        <v>Green</v>
      </c>
      <c r="W1289" t="str">
        <f t="shared" si="432"/>
        <v>Red</v>
      </c>
      <c r="X1289" t="str">
        <f t="shared" si="433"/>
        <v>Red</v>
      </c>
      <c r="Y1289" t="str">
        <f t="shared" si="434"/>
        <v>Green</v>
      </c>
      <c r="Z1289" t="str">
        <f t="shared" si="435"/>
        <v>Green</v>
      </c>
      <c r="AA1289" t="str">
        <f t="shared" si="436"/>
        <v>Red</v>
      </c>
      <c r="AB1289" t="str">
        <f t="shared" si="437"/>
        <v>Green</v>
      </c>
      <c r="AC1289" t="str">
        <f t="shared" si="438"/>
        <v>Red</v>
      </c>
      <c r="AD1289" t="str">
        <f t="shared" si="439"/>
        <v>Green</v>
      </c>
    </row>
    <row r="1290" spans="1:30" x14ac:dyDescent="0.2">
      <c r="A1290" t="str">
        <f t="shared" si="420"/>
        <v>25/07/2026Bromsgrove SportingTrefelin BGC</v>
      </c>
      <c r="D1290" s="2">
        <v>46228</v>
      </c>
      <c r="E1290" s="3">
        <v>0.58333333333333337</v>
      </c>
      <c r="F1290" t="s">
        <v>1525</v>
      </c>
      <c r="G1290" t="s">
        <v>3860</v>
      </c>
      <c r="H1290">
        <v>3</v>
      </c>
      <c r="I1290">
        <v>0</v>
      </c>
      <c r="J1290">
        <v>8</v>
      </c>
      <c r="K1290">
        <v>0</v>
      </c>
      <c r="L1290" s="22" t="str">
        <f t="shared" si="421"/>
        <v>25/07/2026</v>
      </c>
      <c r="M1290" s="23">
        <f t="shared" si="422"/>
        <v>0.45833333333333337</v>
      </c>
      <c r="N1290" t="str">
        <f t="shared" si="423"/>
        <v>8 - 0</v>
      </c>
      <c r="O1290" t="str">
        <f t="shared" si="424"/>
        <v>Green</v>
      </c>
      <c r="P1290" t="str">
        <f t="shared" si="425"/>
        <v>Red</v>
      </c>
      <c r="Q1290" t="str">
        <f t="shared" si="426"/>
        <v>Red</v>
      </c>
      <c r="R1290" t="str">
        <f t="shared" si="427"/>
        <v>Green</v>
      </c>
      <c r="S1290" t="str">
        <f t="shared" si="428"/>
        <v>Red</v>
      </c>
      <c r="T1290" t="str">
        <f t="shared" si="429"/>
        <v>Green</v>
      </c>
      <c r="U1290" t="str">
        <f t="shared" si="430"/>
        <v>Green</v>
      </c>
      <c r="V1290" t="str">
        <f t="shared" si="431"/>
        <v>Red</v>
      </c>
      <c r="W1290" t="str">
        <f t="shared" si="432"/>
        <v>Red</v>
      </c>
      <c r="X1290" t="str">
        <f t="shared" si="433"/>
        <v>Green</v>
      </c>
      <c r="Y1290" t="str">
        <f t="shared" si="434"/>
        <v>Green</v>
      </c>
      <c r="Z1290" t="str">
        <f t="shared" si="435"/>
        <v>Green</v>
      </c>
      <c r="AA1290" t="str">
        <f t="shared" si="436"/>
        <v>Red</v>
      </c>
      <c r="AB1290" t="str">
        <f t="shared" si="437"/>
        <v>Red</v>
      </c>
      <c r="AC1290" t="str">
        <f t="shared" si="438"/>
        <v>Red</v>
      </c>
      <c r="AD1290" t="str">
        <f t="shared" si="439"/>
        <v>Green</v>
      </c>
    </row>
    <row r="1291" spans="1:30" x14ac:dyDescent="0.2">
      <c r="A1291" t="str">
        <f t="shared" si="420"/>
        <v>25/07/2026Bury TownCambridge City</v>
      </c>
      <c r="D1291" s="2">
        <v>46228</v>
      </c>
      <c r="E1291" s="3">
        <v>0.58333333333333337</v>
      </c>
      <c r="F1291" t="s">
        <v>3861</v>
      </c>
      <c r="G1291" t="s">
        <v>3862</v>
      </c>
      <c r="H1291">
        <v>0</v>
      </c>
      <c r="I1291">
        <v>1</v>
      </c>
      <c r="J1291">
        <v>1</v>
      </c>
      <c r="K1291">
        <v>2</v>
      </c>
      <c r="L1291" s="22" t="str">
        <f t="shared" si="421"/>
        <v>25/07/2026</v>
      </c>
      <c r="M1291" s="23">
        <f t="shared" si="422"/>
        <v>0.45833333333333337</v>
      </c>
      <c r="N1291" t="str">
        <f t="shared" si="423"/>
        <v>1 - 2</v>
      </c>
      <c r="O1291" t="str">
        <f t="shared" si="424"/>
        <v>Red</v>
      </c>
      <c r="P1291" t="str">
        <f t="shared" si="425"/>
        <v>Red</v>
      </c>
      <c r="Q1291" t="str">
        <f t="shared" si="426"/>
        <v>Green</v>
      </c>
      <c r="R1291" t="str">
        <f t="shared" si="427"/>
        <v>Red</v>
      </c>
      <c r="S1291" t="str">
        <f t="shared" si="428"/>
        <v>Green</v>
      </c>
      <c r="T1291" t="str">
        <f t="shared" si="429"/>
        <v>Green</v>
      </c>
      <c r="U1291" t="str">
        <f t="shared" si="430"/>
        <v>Red</v>
      </c>
      <c r="V1291" t="str">
        <f t="shared" si="431"/>
        <v>Red</v>
      </c>
      <c r="W1291" t="str">
        <f t="shared" si="432"/>
        <v>Green</v>
      </c>
      <c r="X1291" t="str">
        <f t="shared" si="433"/>
        <v>Green</v>
      </c>
      <c r="Y1291" t="str">
        <f t="shared" si="434"/>
        <v>Green</v>
      </c>
      <c r="Z1291" t="str">
        <f t="shared" si="435"/>
        <v>Green</v>
      </c>
      <c r="AA1291" t="str">
        <f t="shared" si="436"/>
        <v>Red</v>
      </c>
      <c r="AB1291" t="str">
        <f t="shared" si="437"/>
        <v>Green</v>
      </c>
      <c r="AC1291" t="str">
        <f t="shared" si="438"/>
        <v>Green</v>
      </c>
      <c r="AD1291" t="str">
        <f t="shared" si="439"/>
        <v>Red</v>
      </c>
    </row>
    <row r="1292" spans="1:30" x14ac:dyDescent="0.2">
      <c r="A1292" t="str">
        <f t="shared" si="420"/>
        <v>25/07/2026Canvey IslandBrentwood Town</v>
      </c>
      <c r="D1292" s="2">
        <v>46228</v>
      </c>
      <c r="E1292" s="3">
        <v>0.58333333333333337</v>
      </c>
      <c r="F1292" t="s">
        <v>3863</v>
      </c>
      <c r="G1292" t="s">
        <v>1526</v>
      </c>
      <c r="H1292">
        <v>0</v>
      </c>
      <c r="I1292">
        <v>4</v>
      </c>
      <c r="J1292">
        <v>3</v>
      </c>
      <c r="K1292">
        <v>4</v>
      </c>
      <c r="L1292" s="22" t="str">
        <f t="shared" si="421"/>
        <v>25/07/2026</v>
      </c>
      <c r="M1292" s="23">
        <f t="shared" si="422"/>
        <v>0.45833333333333337</v>
      </c>
      <c r="N1292" t="str">
        <f t="shared" si="423"/>
        <v>3 - 4</v>
      </c>
      <c r="O1292" t="str">
        <f t="shared" si="424"/>
        <v>Red</v>
      </c>
      <c r="P1292" t="str">
        <f t="shared" si="425"/>
        <v>Red</v>
      </c>
      <c r="Q1292" t="str">
        <f t="shared" si="426"/>
        <v>Green</v>
      </c>
      <c r="R1292" t="str">
        <f t="shared" si="427"/>
        <v>Red</v>
      </c>
      <c r="S1292" t="str">
        <f t="shared" si="428"/>
        <v>Green</v>
      </c>
      <c r="T1292" t="str">
        <f t="shared" si="429"/>
        <v>Green</v>
      </c>
      <c r="U1292" t="str">
        <f t="shared" si="430"/>
        <v>Red</v>
      </c>
      <c r="V1292" t="str">
        <f t="shared" si="431"/>
        <v>Red</v>
      </c>
      <c r="W1292" t="str">
        <f t="shared" si="432"/>
        <v>Green</v>
      </c>
      <c r="X1292" t="str">
        <f t="shared" si="433"/>
        <v>Green</v>
      </c>
      <c r="Y1292" t="str">
        <f t="shared" si="434"/>
        <v>Green</v>
      </c>
      <c r="Z1292" t="str">
        <f t="shared" si="435"/>
        <v>Green</v>
      </c>
      <c r="AA1292" t="str">
        <f t="shared" si="436"/>
        <v>Red</v>
      </c>
      <c r="AB1292" t="str">
        <f t="shared" si="437"/>
        <v>Red</v>
      </c>
      <c r="AC1292" t="str">
        <f t="shared" si="438"/>
        <v>Green</v>
      </c>
      <c r="AD1292" t="str">
        <f t="shared" si="439"/>
        <v>Red</v>
      </c>
    </row>
    <row r="1293" spans="1:30" x14ac:dyDescent="0.2">
      <c r="A1293" t="str">
        <f t="shared" si="420"/>
        <v>25/07/2026CelticAC Milan</v>
      </c>
      <c r="D1293" s="2">
        <v>46228</v>
      </c>
      <c r="E1293" s="3">
        <v>0.58333333333333337</v>
      </c>
      <c r="F1293" t="s">
        <v>3864</v>
      </c>
      <c r="G1293" t="s">
        <v>3865</v>
      </c>
      <c r="H1293">
        <v>2</v>
      </c>
      <c r="I1293">
        <v>0</v>
      </c>
      <c r="J1293">
        <v>2</v>
      </c>
      <c r="K1293">
        <v>2</v>
      </c>
      <c r="L1293" s="22" t="str">
        <f t="shared" si="421"/>
        <v>25/07/2026</v>
      </c>
      <c r="M1293" s="23">
        <f t="shared" si="422"/>
        <v>0.45833333333333337</v>
      </c>
      <c r="N1293" t="str">
        <f t="shared" si="423"/>
        <v>2 - 2</v>
      </c>
      <c r="O1293" t="str">
        <f t="shared" si="424"/>
        <v>Red</v>
      </c>
      <c r="P1293" t="str">
        <f t="shared" si="425"/>
        <v>Green</v>
      </c>
      <c r="Q1293" t="str">
        <f t="shared" si="426"/>
        <v>Red</v>
      </c>
      <c r="R1293" t="str">
        <f t="shared" si="427"/>
        <v>Green</v>
      </c>
      <c r="S1293" t="str">
        <f t="shared" si="428"/>
        <v>Green</v>
      </c>
      <c r="T1293" t="str">
        <f t="shared" si="429"/>
        <v>Red</v>
      </c>
      <c r="U1293" t="str">
        <f t="shared" si="430"/>
        <v>Green</v>
      </c>
      <c r="V1293" t="str">
        <f t="shared" si="431"/>
        <v>Red</v>
      </c>
      <c r="W1293" t="str">
        <f t="shared" si="432"/>
        <v>Red</v>
      </c>
      <c r="X1293" t="str">
        <f t="shared" si="433"/>
        <v>Green</v>
      </c>
      <c r="Y1293" t="str">
        <f t="shared" si="434"/>
        <v>Green</v>
      </c>
      <c r="Z1293" t="str">
        <f t="shared" si="435"/>
        <v>Green</v>
      </c>
      <c r="AA1293" t="str">
        <f t="shared" si="436"/>
        <v>Red</v>
      </c>
      <c r="AB1293" t="str">
        <f t="shared" si="437"/>
        <v>Red</v>
      </c>
      <c r="AC1293" t="str">
        <f t="shared" si="438"/>
        <v>Green</v>
      </c>
      <c r="AD1293" t="str">
        <f t="shared" si="439"/>
        <v>Red</v>
      </c>
    </row>
    <row r="1294" spans="1:30" x14ac:dyDescent="0.2">
      <c r="A1294" t="str">
        <f t="shared" si="420"/>
        <v>25/07/2026Chelmsford CityWitham Town</v>
      </c>
      <c r="D1294" s="2">
        <v>46228</v>
      </c>
      <c r="E1294" s="3">
        <v>0.58333333333333337</v>
      </c>
      <c r="F1294" t="s">
        <v>3866</v>
      </c>
      <c r="G1294" t="s">
        <v>3867</v>
      </c>
      <c r="H1294">
        <v>0</v>
      </c>
      <c r="I1294">
        <v>1</v>
      </c>
      <c r="J1294">
        <v>1</v>
      </c>
      <c r="K1294">
        <v>2</v>
      </c>
      <c r="L1294" s="22" t="str">
        <f t="shared" si="421"/>
        <v>25/07/2026</v>
      </c>
      <c r="M1294" s="23">
        <f t="shared" si="422"/>
        <v>0.45833333333333337</v>
      </c>
      <c r="N1294" t="str">
        <f t="shared" si="423"/>
        <v>1 - 2</v>
      </c>
      <c r="O1294" t="str">
        <f t="shared" si="424"/>
        <v>Red</v>
      </c>
      <c r="P1294" t="str">
        <f t="shared" si="425"/>
        <v>Red</v>
      </c>
      <c r="Q1294" t="str">
        <f t="shared" si="426"/>
        <v>Green</v>
      </c>
      <c r="R1294" t="str">
        <f t="shared" si="427"/>
        <v>Red</v>
      </c>
      <c r="S1294" t="str">
        <f t="shared" si="428"/>
        <v>Green</v>
      </c>
      <c r="T1294" t="str">
        <f t="shared" si="429"/>
        <v>Green</v>
      </c>
      <c r="U1294" t="str">
        <f t="shared" si="430"/>
        <v>Red</v>
      </c>
      <c r="V1294" t="str">
        <f t="shared" si="431"/>
        <v>Red</v>
      </c>
      <c r="W1294" t="str">
        <f t="shared" si="432"/>
        <v>Green</v>
      </c>
      <c r="X1294" t="str">
        <f t="shared" si="433"/>
        <v>Green</v>
      </c>
      <c r="Y1294" t="str">
        <f t="shared" si="434"/>
        <v>Green</v>
      </c>
      <c r="Z1294" t="str">
        <f t="shared" si="435"/>
        <v>Green</v>
      </c>
      <c r="AA1294" t="str">
        <f t="shared" si="436"/>
        <v>Red</v>
      </c>
      <c r="AB1294" t="str">
        <f t="shared" si="437"/>
        <v>Green</v>
      </c>
      <c r="AC1294" t="str">
        <f t="shared" si="438"/>
        <v>Green</v>
      </c>
      <c r="AD1294" t="str">
        <f t="shared" si="439"/>
        <v>Red</v>
      </c>
    </row>
    <row r="1295" spans="1:30" x14ac:dyDescent="0.2">
      <c r="A1295" t="str">
        <f t="shared" si="420"/>
        <v>25/07/2026Chertsey TownHampton &amp; Richmond Borough</v>
      </c>
      <c r="D1295" s="2">
        <v>46228</v>
      </c>
      <c r="E1295" s="3">
        <v>0.58333333333333337</v>
      </c>
      <c r="F1295" t="s">
        <v>1493</v>
      </c>
      <c r="G1295" t="s">
        <v>1533</v>
      </c>
      <c r="H1295">
        <v>0</v>
      </c>
      <c r="I1295">
        <v>1</v>
      </c>
      <c r="J1295">
        <v>1</v>
      </c>
      <c r="K1295">
        <v>1</v>
      </c>
      <c r="L1295" s="22" t="str">
        <f t="shared" si="421"/>
        <v>25/07/2026</v>
      </c>
      <c r="M1295" s="23">
        <f t="shared" si="422"/>
        <v>0.45833333333333337</v>
      </c>
      <c r="N1295" t="str">
        <f t="shared" si="423"/>
        <v>1 - 1</v>
      </c>
      <c r="O1295" t="str">
        <f t="shared" si="424"/>
        <v>Red</v>
      </c>
      <c r="P1295" t="str">
        <f t="shared" si="425"/>
        <v>Green</v>
      </c>
      <c r="Q1295" t="str">
        <f t="shared" si="426"/>
        <v>Red</v>
      </c>
      <c r="R1295" t="str">
        <f t="shared" si="427"/>
        <v>Green</v>
      </c>
      <c r="S1295" t="str">
        <f t="shared" si="428"/>
        <v>Green</v>
      </c>
      <c r="T1295" t="str">
        <f t="shared" si="429"/>
        <v>Red</v>
      </c>
      <c r="U1295" t="str">
        <f t="shared" si="430"/>
        <v>Red</v>
      </c>
      <c r="V1295" t="str">
        <f t="shared" si="431"/>
        <v>Red</v>
      </c>
      <c r="W1295" t="str">
        <f t="shared" si="432"/>
        <v>Green</v>
      </c>
      <c r="X1295" t="str">
        <f t="shared" si="433"/>
        <v>Green</v>
      </c>
      <c r="Y1295" t="str">
        <f t="shared" si="434"/>
        <v>Green</v>
      </c>
      <c r="Z1295" t="str">
        <f t="shared" si="435"/>
        <v>Red</v>
      </c>
      <c r="AA1295" t="str">
        <f t="shared" si="436"/>
        <v>Green</v>
      </c>
      <c r="AB1295" t="str">
        <f t="shared" si="437"/>
        <v>Green</v>
      </c>
      <c r="AC1295" t="str">
        <f t="shared" si="438"/>
        <v>Green</v>
      </c>
      <c r="AD1295" t="str">
        <f t="shared" si="439"/>
        <v>Red</v>
      </c>
    </row>
    <row r="1296" spans="1:30" x14ac:dyDescent="0.2">
      <c r="A1296" t="str">
        <f t="shared" si="420"/>
        <v>25/07/2026CheshuntWaltham Abbey</v>
      </c>
      <c r="D1296" s="2">
        <v>46228</v>
      </c>
      <c r="E1296" s="3">
        <v>0.58333333333333337</v>
      </c>
      <c r="F1296" t="s">
        <v>1471</v>
      </c>
      <c r="G1296" t="s">
        <v>3868</v>
      </c>
      <c r="H1296">
        <v>0</v>
      </c>
      <c r="I1296">
        <v>1</v>
      </c>
      <c r="J1296">
        <v>1</v>
      </c>
      <c r="K1296">
        <v>2</v>
      </c>
      <c r="L1296" s="22" t="str">
        <f t="shared" si="421"/>
        <v>25/07/2026</v>
      </c>
      <c r="M1296" s="23">
        <f t="shared" si="422"/>
        <v>0.45833333333333337</v>
      </c>
      <c r="N1296" t="str">
        <f t="shared" si="423"/>
        <v>1 - 2</v>
      </c>
      <c r="O1296" t="str">
        <f t="shared" si="424"/>
        <v>Red</v>
      </c>
      <c r="P1296" t="str">
        <f t="shared" si="425"/>
        <v>Red</v>
      </c>
      <c r="Q1296" t="str">
        <f t="shared" si="426"/>
        <v>Green</v>
      </c>
      <c r="R1296" t="str">
        <f t="shared" si="427"/>
        <v>Red</v>
      </c>
      <c r="S1296" t="str">
        <f t="shared" si="428"/>
        <v>Green</v>
      </c>
      <c r="T1296" t="str">
        <f t="shared" si="429"/>
        <v>Green</v>
      </c>
      <c r="U1296" t="str">
        <f t="shared" si="430"/>
        <v>Red</v>
      </c>
      <c r="V1296" t="str">
        <f t="shared" si="431"/>
        <v>Red</v>
      </c>
      <c r="W1296" t="str">
        <f t="shared" si="432"/>
        <v>Green</v>
      </c>
      <c r="X1296" t="str">
        <f t="shared" si="433"/>
        <v>Green</v>
      </c>
      <c r="Y1296" t="str">
        <f t="shared" si="434"/>
        <v>Green</v>
      </c>
      <c r="Z1296" t="str">
        <f t="shared" si="435"/>
        <v>Green</v>
      </c>
      <c r="AA1296" t="str">
        <f t="shared" si="436"/>
        <v>Red</v>
      </c>
      <c r="AB1296" t="str">
        <f t="shared" si="437"/>
        <v>Green</v>
      </c>
      <c r="AC1296" t="str">
        <f t="shared" si="438"/>
        <v>Green</v>
      </c>
      <c r="AD1296" t="str">
        <f t="shared" si="439"/>
        <v>Red</v>
      </c>
    </row>
    <row r="1297" spans="1:30" x14ac:dyDescent="0.2">
      <c r="A1297" t="str">
        <f t="shared" si="420"/>
        <v>25/07/2026Chichester CityAylesbury United</v>
      </c>
      <c r="D1297" s="2">
        <v>46228</v>
      </c>
      <c r="E1297" s="3">
        <v>0.58333333333333337</v>
      </c>
      <c r="F1297" t="s">
        <v>3869</v>
      </c>
      <c r="G1297" t="s">
        <v>3870</v>
      </c>
      <c r="H1297">
        <v>1</v>
      </c>
      <c r="I1297">
        <v>1</v>
      </c>
      <c r="J1297">
        <v>2</v>
      </c>
      <c r="K1297">
        <v>1</v>
      </c>
      <c r="L1297" s="22" t="str">
        <f t="shared" si="421"/>
        <v>25/07/2026</v>
      </c>
      <c r="M1297" s="23">
        <f t="shared" si="422"/>
        <v>0.45833333333333337</v>
      </c>
      <c r="N1297" t="str">
        <f t="shared" si="423"/>
        <v>2 - 1</v>
      </c>
      <c r="O1297" t="str">
        <f t="shared" si="424"/>
        <v>Green</v>
      </c>
      <c r="P1297" t="str">
        <f t="shared" si="425"/>
        <v>Red</v>
      </c>
      <c r="Q1297" t="str">
        <f t="shared" si="426"/>
        <v>Red</v>
      </c>
      <c r="R1297" t="str">
        <f t="shared" si="427"/>
        <v>Green</v>
      </c>
      <c r="S1297" t="str">
        <f t="shared" si="428"/>
        <v>Red</v>
      </c>
      <c r="T1297" t="str">
        <f t="shared" si="429"/>
        <v>Green</v>
      </c>
      <c r="U1297" t="str">
        <f t="shared" si="430"/>
        <v>Red</v>
      </c>
      <c r="V1297" t="str">
        <f t="shared" si="431"/>
        <v>Green</v>
      </c>
      <c r="W1297" t="str">
        <f t="shared" si="432"/>
        <v>Red</v>
      </c>
      <c r="X1297" t="str">
        <f t="shared" si="433"/>
        <v>Green</v>
      </c>
      <c r="Y1297" t="str">
        <f t="shared" si="434"/>
        <v>Green</v>
      </c>
      <c r="Z1297" t="str">
        <f t="shared" si="435"/>
        <v>Green</v>
      </c>
      <c r="AA1297" t="str">
        <f t="shared" si="436"/>
        <v>Red</v>
      </c>
      <c r="AB1297" t="str">
        <f t="shared" si="437"/>
        <v>Green</v>
      </c>
      <c r="AC1297" t="str">
        <f t="shared" si="438"/>
        <v>Green</v>
      </c>
      <c r="AD1297" t="str">
        <f t="shared" si="439"/>
        <v>Red</v>
      </c>
    </row>
    <row r="1298" spans="1:30" x14ac:dyDescent="0.2">
      <c r="A1298" t="str">
        <f t="shared" si="420"/>
        <v>25/07/2026ChorleyAccrington Stanley</v>
      </c>
      <c r="D1298" s="2">
        <v>46228</v>
      </c>
      <c r="E1298" s="3">
        <v>0.58333333333333337</v>
      </c>
      <c r="F1298" t="s">
        <v>1530</v>
      </c>
      <c r="G1298" t="s">
        <v>3871</v>
      </c>
      <c r="H1298">
        <v>0</v>
      </c>
      <c r="I1298">
        <v>0</v>
      </c>
      <c r="J1298">
        <v>0</v>
      </c>
      <c r="K1298">
        <v>3</v>
      </c>
      <c r="L1298" s="22" t="str">
        <f t="shared" si="421"/>
        <v>25/07/2026</v>
      </c>
      <c r="M1298" s="23">
        <f t="shared" si="422"/>
        <v>0.45833333333333337</v>
      </c>
      <c r="N1298" t="str">
        <f t="shared" si="423"/>
        <v>0 - 3</v>
      </c>
      <c r="O1298" t="str">
        <f t="shared" si="424"/>
        <v>Red</v>
      </c>
      <c r="P1298" t="str">
        <f t="shared" si="425"/>
        <v>Red</v>
      </c>
      <c r="Q1298" t="str">
        <f t="shared" si="426"/>
        <v>Green</v>
      </c>
      <c r="R1298" t="str">
        <f t="shared" si="427"/>
        <v>Red</v>
      </c>
      <c r="S1298" t="str">
        <f t="shared" si="428"/>
        <v>Green</v>
      </c>
      <c r="T1298" t="str">
        <f t="shared" si="429"/>
        <v>Green</v>
      </c>
      <c r="U1298" t="str">
        <f t="shared" si="430"/>
        <v>Red</v>
      </c>
      <c r="V1298" t="str">
        <f t="shared" si="431"/>
        <v>Green</v>
      </c>
      <c r="W1298" t="str">
        <f t="shared" si="432"/>
        <v>Red</v>
      </c>
      <c r="X1298" t="str">
        <f t="shared" si="433"/>
        <v>Red</v>
      </c>
      <c r="Y1298" t="str">
        <f t="shared" si="434"/>
        <v>Green</v>
      </c>
      <c r="Z1298" t="str">
        <f t="shared" si="435"/>
        <v>Green</v>
      </c>
      <c r="AA1298" t="str">
        <f t="shared" si="436"/>
        <v>Red</v>
      </c>
      <c r="AB1298" t="str">
        <f t="shared" si="437"/>
        <v>Green</v>
      </c>
      <c r="AC1298" t="str">
        <f t="shared" si="438"/>
        <v>Red</v>
      </c>
      <c r="AD1298" t="str">
        <f t="shared" si="439"/>
        <v>Green</v>
      </c>
    </row>
    <row r="1299" spans="1:30" x14ac:dyDescent="0.2">
      <c r="A1299" t="str">
        <f t="shared" si="420"/>
        <v>25/07/2026Cray Valley Paper MillsWhyteleafe</v>
      </c>
      <c r="D1299" s="2">
        <v>46228</v>
      </c>
      <c r="E1299" s="3">
        <v>0.58333333333333337</v>
      </c>
      <c r="F1299" t="s">
        <v>1537</v>
      </c>
      <c r="G1299" t="s">
        <v>3872</v>
      </c>
      <c r="H1299">
        <v>0</v>
      </c>
      <c r="I1299">
        <v>1</v>
      </c>
      <c r="J1299">
        <v>0</v>
      </c>
      <c r="K1299">
        <v>1</v>
      </c>
      <c r="L1299" s="22" t="str">
        <f t="shared" si="421"/>
        <v>25/07/2026</v>
      </c>
      <c r="M1299" s="23">
        <f t="shared" si="422"/>
        <v>0.45833333333333337</v>
      </c>
      <c r="N1299" t="str">
        <f t="shared" si="423"/>
        <v>0 - 1</v>
      </c>
      <c r="O1299" t="str">
        <f t="shared" si="424"/>
        <v>Red</v>
      </c>
      <c r="P1299" t="str">
        <f t="shared" si="425"/>
        <v>Red</v>
      </c>
      <c r="Q1299" t="str">
        <f t="shared" si="426"/>
        <v>Green</v>
      </c>
      <c r="R1299" t="str">
        <f t="shared" si="427"/>
        <v>Red</v>
      </c>
      <c r="S1299" t="str">
        <f t="shared" si="428"/>
        <v>Green</v>
      </c>
      <c r="T1299" t="str">
        <f t="shared" si="429"/>
        <v>Green</v>
      </c>
      <c r="U1299" t="str">
        <f t="shared" si="430"/>
        <v>Red</v>
      </c>
      <c r="V1299" t="str">
        <f t="shared" si="431"/>
        <v>Red</v>
      </c>
      <c r="W1299" t="str">
        <f t="shared" si="432"/>
        <v>Green</v>
      </c>
      <c r="X1299" t="str">
        <f t="shared" si="433"/>
        <v>Green</v>
      </c>
      <c r="Y1299" t="str">
        <f t="shared" si="434"/>
        <v>Red</v>
      </c>
      <c r="Z1299" t="str">
        <f t="shared" si="435"/>
        <v>Red</v>
      </c>
      <c r="AA1299" t="str">
        <f t="shared" si="436"/>
        <v>Green</v>
      </c>
      <c r="AB1299" t="str">
        <f t="shared" si="437"/>
        <v>Green</v>
      </c>
      <c r="AC1299" t="str">
        <f t="shared" si="438"/>
        <v>Red</v>
      </c>
      <c r="AD1299" t="str">
        <f t="shared" si="439"/>
        <v>Green</v>
      </c>
    </row>
    <row r="1300" spans="1:30" x14ac:dyDescent="0.2">
      <c r="A1300" t="str">
        <f t="shared" si="420"/>
        <v>25/07/2026Crewe AlexandraBirmingham</v>
      </c>
      <c r="D1300" s="2">
        <v>46228</v>
      </c>
      <c r="E1300" s="3">
        <v>0.58333333333333337</v>
      </c>
      <c r="F1300" t="s">
        <v>1517</v>
      </c>
      <c r="G1300" t="s">
        <v>1815</v>
      </c>
      <c r="H1300">
        <v>1</v>
      </c>
      <c r="I1300">
        <v>1</v>
      </c>
      <c r="J1300">
        <v>1</v>
      </c>
      <c r="K1300">
        <v>2</v>
      </c>
      <c r="L1300" s="22" t="str">
        <f t="shared" si="421"/>
        <v>25/07/2026</v>
      </c>
      <c r="M1300" s="23">
        <f t="shared" si="422"/>
        <v>0.45833333333333337</v>
      </c>
      <c r="N1300" t="str">
        <f t="shared" si="423"/>
        <v>1 - 2</v>
      </c>
      <c r="O1300" t="str">
        <f t="shared" si="424"/>
        <v>Red</v>
      </c>
      <c r="P1300" t="str">
        <f t="shared" si="425"/>
        <v>Red</v>
      </c>
      <c r="Q1300" t="str">
        <f t="shared" si="426"/>
        <v>Green</v>
      </c>
      <c r="R1300" t="str">
        <f t="shared" si="427"/>
        <v>Red</v>
      </c>
      <c r="S1300" t="str">
        <f t="shared" si="428"/>
        <v>Green</v>
      </c>
      <c r="T1300" t="str">
        <f t="shared" si="429"/>
        <v>Green</v>
      </c>
      <c r="U1300" t="str">
        <f t="shared" si="430"/>
        <v>Red</v>
      </c>
      <c r="V1300" t="str">
        <f t="shared" si="431"/>
        <v>Green</v>
      </c>
      <c r="W1300" t="str">
        <f t="shared" si="432"/>
        <v>Red</v>
      </c>
      <c r="X1300" t="str">
        <f t="shared" si="433"/>
        <v>Green</v>
      </c>
      <c r="Y1300" t="str">
        <f t="shared" si="434"/>
        <v>Green</v>
      </c>
      <c r="Z1300" t="str">
        <f t="shared" si="435"/>
        <v>Green</v>
      </c>
      <c r="AA1300" t="str">
        <f t="shared" si="436"/>
        <v>Red</v>
      </c>
      <c r="AB1300" t="str">
        <f t="shared" si="437"/>
        <v>Green</v>
      </c>
      <c r="AC1300" t="str">
        <f t="shared" si="438"/>
        <v>Green</v>
      </c>
      <c r="AD1300" t="str">
        <f t="shared" si="439"/>
        <v>Red</v>
      </c>
    </row>
    <row r="1301" spans="1:30" x14ac:dyDescent="0.2">
      <c r="A1301" t="str">
        <f t="shared" si="420"/>
        <v>25/07/2026Curzon AshtonClitheroe</v>
      </c>
      <c r="D1301" s="2">
        <v>46228</v>
      </c>
      <c r="E1301" s="3">
        <v>0.58333333333333337</v>
      </c>
      <c r="F1301" t="s">
        <v>3873</v>
      </c>
      <c r="G1301" t="s">
        <v>3874</v>
      </c>
      <c r="H1301">
        <v>1</v>
      </c>
      <c r="I1301">
        <v>0</v>
      </c>
      <c r="J1301">
        <v>1</v>
      </c>
      <c r="K1301">
        <v>1</v>
      </c>
      <c r="L1301" s="22" t="str">
        <f t="shared" si="421"/>
        <v>25/07/2026</v>
      </c>
      <c r="M1301" s="23">
        <f t="shared" si="422"/>
        <v>0.45833333333333337</v>
      </c>
      <c r="N1301" t="str">
        <f t="shared" si="423"/>
        <v>1 - 1</v>
      </c>
      <c r="O1301" t="str">
        <f t="shared" si="424"/>
        <v>Red</v>
      </c>
      <c r="P1301" t="str">
        <f t="shared" si="425"/>
        <v>Green</v>
      </c>
      <c r="Q1301" t="str">
        <f t="shared" si="426"/>
        <v>Red</v>
      </c>
      <c r="R1301" t="str">
        <f t="shared" si="427"/>
        <v>Green</v>
      </c>
      <c r="S1301" t="str">
        <f t="shared" si="428"/>
        <v>Green</v>
      </c>
      <c r="T1301" t="str">
        <f t="shared" si="429"/>
        <v>Red</v>
      </c>
      <c r="U1301" t="str">
        <f t="shared" si="430"/>
        <v>Green</v>
      </c>
      <c r="V1301" t="str">
        <f t="shared" si="431"/>
        <v>Red</v>
      </c>
      <c r="W1301" t="str">
        <f t="shared" si="432"/>
        <v>Red</v>
      </c>
      <c r="X1301" t="str">
        <f t="shared" si="433"/>
        <v>Green</v>
      </c>
      <c r="Y1301" t="str">
        <f t="shared" si="434"/>
        <v>Green</v>
      </c>
      <c r="Z1301" t="str">
        <f t="shared" si="435"/>
        <v>Red</v>
      </c>
      <c r="AA1301" t="str">
        <f t="shared" si="436"/>
        <v>Green</v>
      </c>
      <c r="AB1301" t="str">
        <f t="shared" si="437"/>
        <v>Green</v>
      </c>
      <c r="AC1301" t="str">
        <f t="shared" si="438"/>
        <v>Green</v>
      </c>
      <c r="AD1301" t="str">
        <f t="shared" si="439"/>
        <v>Red</v>
      </c>
    </row>
    <row r="1302" spans="1:30" x14ac:dyDescent="0.2">
      <c r="A1302" t="str">
        <f t="shared" si="420"/>
        <v>25/07/2026Dagenham &amp; RedbridgeBuxton</v>
      </c>
      <c r="D1302" s="2">
        <v>46228</v>
      </c>
      <c r="E1302" s="3">
        <v>0.58333333333333337</v>
      </c>
      <c r="F1302" t="s">
        <v>1495</v>
      </c>
      <c r="G1302" t="s">
        <v>3875</v>
      </c>
      <c r="H1302">
        <v>0</v>
      </c>
      <c r="I1302">
        <v>0</v>
      </c>
      <c r="J1302">
        <v>0</v>
      </c>
      <c r="K1302">
        <v>0</v>
      </c>
      <c r="L1302" s="22" t="str">
        <f t="shared" si="421"/>
        <v>25/07/2026</v>
      </c>
      <c r="M1302" s="23">
        <f t="shared" si="422"/>
        <v>0.45833333333333337</v>
      </c>
      <c r="N1302" t="str">
        <f t="shared" si="423"/>
        <v>0 - 0</v>
      </c>
      <c r="O1302" t="str">
        <f t="shared" si="424"/>
        <v>Red</v>
      </c>
      <c r="P1302" t="str">
        <f t="shared" si="425"/>
        <v>Green</v>
      </c>
      <c r="Q1302" t="str">
        <f t="shared" si="426"/>
        <v>Red</v>
      </c>
      <c r="R1302" t="str">
        <f t="shared" si="427"/>
        <v>Green</v>
      </c>
      <c r="S1302" t="str">
        <f t="shared" si="428"/>
        <v>Green</v>
      </c>
      <c r="T1302" t="str">
        <f t="shared" si="429"/>
        <v>Red</v>
      </c>
      <c r="U1302" t="str">
        <f t="shared" si="430"/>
        <v>Red</v>
      </c>
      <c r="V1302" t="str">
        <f t="shared" si="431"/>
        <v>Green</v>
      </c>
      <c r="W1302" t="str">
        <f t="shared" si="432"/>
        <v>Red</v>
      </c>
      <c r="X1302" t="str">
        <f t="shared" si="433"/>
        <v>Red</v>
      </c>
      <c r="Y1302" t="str">
        <f t="shared" si="434"/>
        <v>Red</v>
      </c>
      <c r="Z1302" t="str">
        <f t="shared" si="435"/>
        <v>Red</v>
      </c>
      <c r="AA1302" t="str">
        <f t="shared" si="436"/>
        <v>Green</v>
      </c>
      <c r="AB1302" t="str">
        <f t="shared" si="437"/>
        <v>Green</v>
      </c>
      <c r="AC1302" t="str">
        <f t="shared" si="438"/>
        <v>Red</v>
      </c>
      <c r="AD1302" t="str">
        <f t="shared" si="439"/>
        <v>Green</v>
      </c>
    </row>
    <row r="1303" spans="1:30" x14ac:dyDescent="0.2">
      <c r="A1303" t="str">
        <f t="shared" si="420"/>
        <v>25/07/2026Dover AthleticBurgess Hill Town</v>
      </c>
      <c r="D1303" s="2">
        <v>46228</v>
      </c>
      <c r="E1303" s="3">
        <v>0.58333333333333337</v>
      </c>
      <c r="F1303" t="s">
        <v>1544</v>
      </c>
      <c r="G1303" t="s">
        <v>1529</v>
      </c>
      <c r="H1303">
        <v>0</v>
      </c>
      <c r="I1303">
        <v>0</v>
      </c>
      <c r="J1303">
        <v>1</v>
      </c>
      <c r="K1303">
        <v>0</v>
      </c>
      <c r="L1303" s="22" t="str">
        <f t="shared" si="421"/>
        <v>25/07/2026</v>
      </c>
      <c r="M1303" s="23">
        <f t="shared" si="422"/>
        <v>0.45833333333333337</v>
      </c>
      <c r="N1303" t="str">
        <f t="shared" si="423"/>
        <v>1 - 0</v>
      </c>
      <c r="O1303" t="str">
        <f t="shared" si="424"/>
        <v>Green</v>
      </c>
      <c r="P1303" t="str">
        <f t="shared" si="425"/>
        <v>Red</v>
      </c>
      <c r="Q1303" t="str">
        <f t="shared" si="426"/>
        <v>Red</v>
      </c>
      <c r="R1303" t="str">
        <f t="shared" si="427"/>
        <v>Green</v>
      </c>
      <c r="S1303" t="str">
        <f t="shared" si="428"/>
        <v>Red</v>
      </c>
      <c r="T1303" t="str">
        <f t="shared" si="429"/>
        <v>Green</v>
      </c>
      <c r="U1303" t="str">
        <f t="shared" si="430"/>
        <v>Red</v>
      </c>
      <c r="V1303" t="str">
        <f t="shared" si="431"/>
        <v>Green</v>
      </c>
      <c r="W1303" t="str">
        <f t="shared" si="432"/>
        <v>Red</v>
      </c>
      <c r="X1303" t="str">
        <f t="shared" si="433"/>
        <v>Red</v>
      </c>
      <c r="Y1303" t="str">
        <f t="shared" si="434"/>
        <v>Red</v>
      </c>
      <c r="Z1303" t="str">
        <f t="shared" si="435"/>
        <v>Red</v>
      </c>
      <c r="AA1303" t="str">
        <f t="shared" si="436"/>
        <v>Green</v>
      </c>
      <c r="AB1303" t="str">
        <f t="shared" si="437"/>
        <v>Green</v>
      </c>
      <c r="AC1303" t="str">
        <f t="shared" si="438"/>
        <v>Red</v>
      </c>
      <c r="AD1303" t="str">
        <f t="shared" si="439"/>
        <v>Green</v>
      </c>
    </row>
    <row r="1304" spans="1:30" x14ac:dyDescent="0.2">
      <c r="A1304" t="str">
        <f t="shared" si="420"/>
        <v>25/07/2026DundelaBangor FC</v>
      </c>
      <c r="D1304" s="2">
        <v>46228</v>
      </c>
      <c r="E1304" s="3">
        <v>0.58333333333333337</v>
      </c>
      <c r="F1304" t="s">
        <v>3876</v>
      </c>
      <c r="G1304" t="s">
        <v>3877</v>
      </c>
      <c r="H1304">
        <v>0</v>
      </c>
      <c r="I1304">
        <v>1</v>
      </c>
      <c r="J1304">
        <v>1</v>
      </c>
      <c r="K1304">
        <v>1</v>
      </c>
      <c r="L1304" s="22" t="str">
        <f t="shared" si="421"/>
        <v>25/07/2026</v>
      </c>
      <c r="M1304" s="23">
        <f t="shared" si="422"/>
        <v>0.45833333333333337</v>
      </c>
      <c r="N1304" t="str">
        <f t="shared" si="423"/>
        <v>1 - 1</v>
      </c>
      <c r="O1304" t="str">
        <f t="shared" si="424"/>
        <v>Red</v>
      </c>
      <c r="P1304" t="str">
        <f t="shared" si="425"/>
        <v>Green</v>
      </c>
      <c r="Q1304" t="str">
        <f t="shared" si="426"/>
        <v>Red</v>
      </c>
      <c r="R1304" t="str">
        <f t="shared" si="427"/>
        <v>Green</v>
      </c>
      <c r="S1304" t="str">
        <f t="shared" si="428"/>
        <v>Green</v>
      </c>
      <c r="T1304" t="str">
        <f t="shared" si="429"/>
        <v>Red</v>
      </c>
      <c r="U1304" t="str">
        <f t="shared" si="430"/>
        <v>Red</v>
      </c>
      <c r="V1304" t="str">
        <f t="shared" si="431"/>
        <v>Red</v>
      </c>
      <c r="W1304" t="str">
        <f t="shared" si="432"/>
        <v>Green</v>
      </c>
      <c r="X1304" t="str">
        <f t="shared" si="433"/>
        <v>Green</v>
      </c>
      <c r="Y1304" t="str">
        <f t="shared" si="434"/>
        <v>Green</v>
      </c>
      <c r="Z1304" t="str">
        <f t="shared" si="435"/>
        <v>Red</v>
      </c>
      <c r="AA1304" t="str">
        <f t="shared" si="436"/>
        <v>Green</v>
      </c>
      <c r="AB1304" t="str">
        <f t="shared" si="437"/>
        <v>Green</v>
      </c>
      <c r="AC1304" t="str">
        <f t="shared" si="438"/>
        <v>Green</v>
      </c>
      <c r="AD1304" t="str">
        <f t="shared" si="439"/>
        <v>Red</v>
      </c>
    </row>
    <row r="1305" spans="1:30" x14ac:dyDescent="0.2">
      <c r="A1305" t="str">
        <f t="shared" si="420"/>
        <v>25/07/2026Eastbourne BoroughEastbourne Town</v>
      </c>
      <c r="D1305" s="2">
        <v>46228</v>
      </c>
      <c r="E1305" s="3">
        <v>0.58333333333333337</v>
      </c>
      <c r="F1305" t="s">
        <v>3878</v>
      </c>
      <c r="G1305" t="s">
        <v>3879</v>
      </c>
      <c r="H1305">
        <v>0</v>
      </c>
      <c r="I1305">
        <v>0</v>
      </c>
      <c r="J1305">
        <v>3</v>
      </c>
      <c r="K1305">
        <v>1</v>
      </c>
      <c r="L1305" s="22" t="str">
        <f t="shared" si="421"/>
        <v>25/07/2026</v>
      </c>
      <c r="M1305" s="23">
        <f t="shared" si="422"/>
        <v>0.45833333333333337</v>
      </c>
      <c r="N1305" t="str">
        <f t="shared" si="423"/>
        <v>3 - 1</v>
      </c>
      <c r="O1305" t="str">
        <f t="shared" si="424"/>
        <v>Green</v>
      </c>
      <c r="P1305" t="str">
        <f t="shared" si="425"/>
        <v>Red</v>
      </c>
      <c r="Q1305" t="str">
        <f t="shared" si="426"/>
        <v>Red</v>
      </c>
      <c r="R1305" t="str">
        <f t="shared" si="427"/>
        <v>Green</v>
      </c>
      <c r="S1305" t="str">
        <f t="shared" si="428"/>
        <v>Red</v>
      </c>
      <c r="T1305" t="str">
        <f t="shared" si="429"/>
        <v>Green</v>
      </c>
      <c r="U1305" t="str">
        <f t="shared" si="430"/>
        <v>Red</v>
      </c>
      <c r="V1305" t="str">
        <f t="shared" si="431"/>
        <v>Green</v>
      </c>
      <c r="W1305" t="str">
        <f t="shared" si="432"/>
        <v>Red</v>
      </c>
      <c r="X1305" t="str">
        <f t="shared" si="433"/>
        <v>Red</v>
      </c>
      <c r="Y1305" t="str">
        <f t="shared" si="434"/>
        <v>Green</v>
      </c>
      <c r="Z1305" t="str">
        <f t="shared" si="435"/>
        <v>Green</v>
      </c>
      <c r="AA1305" t="str">
        <f t="shared" si="436"/>
        <v>Red</v>
      </c>
      <c r="AB1305" t="str">
        <f t="shared" si="437"/>
        <v>Red</v>
      </c>
      <c r="AC1305" t="str">
        <f t="shared" si="438"/>
        <v>Green</v>
      </c>
      <c r="AD1305" t="str">
        <f t="shared" si="439"/>
        <v>Red</v>
      </c>
    </row>
    <row r="1306" spans="1:30" x14ac:dyDescent="0.2">
      <c r="A1306" t="str">
        <f t="shared" si="420"/>
        <v>25/07/2026EastleighCrawley Town</v>
      </c>
      <c r="D1306" s="2">
        <v>46228</v>
      </c>
      <c r="E1306" s="3">
        <v>0.58333333333333337</v>
      </c>
      <c r="F1306" t="s">
        <v>1826</v>
      </c>
      <c r="G1306" t="s">
        <v>3880</v>
      </c>
      <c r="H1306">
        <v>0</v>
      </c>
      <c r="I1306">
        <v>1</v>
      </c>
      <c r="J1306">
        <v>0</v>
      </c>
      <c r="K1306">
        <v>1</v>
      </c>
      <c r="L1306" s="22" t="str">
        <f t="shared" si="421"/>
        <v>25/07/2026</v>
      </c>
      <c r="M1306" s="23">
        <f t="shared" si="422"/>
        <v>0.45833333333333337</v>
      </c>
      <c r="N1306" t="str">
        <f t="shared" si="423"/>
        <v>0 - 1</v>
      </c>
      <c r="O1306" t="str">
        <f t="shared" si="424"/>
        <v>Red</v>
      </c>
      <c r="P1306" t="str">
        <f t="shared" si="425"/>
        <v>Red</v>
      </c>
      <c r="Q1306" t="str">
        <f t="shared" si="426"/>
        <v>Green</v>
      </c>
      <c r="R1306" t="str">
        <f t="shared" si="427"/>
        <v>Red</v>
      </c>
      <c r="S1306" t="str">
        <f t="shared" si="428"/>
        <v>Green</v>
      </c>
      <c r="T1306" t="str">
        <f t="shared" si="429"/>
        <v>Green</v>
      </c>
      <c r="U1306" t="str">
        <f t="shared" si="430"/>
        <v>Red</v>
      </c>
      <c r="V1306" t="str">
        <f t="shared" si="431"/>
        <v>Red</v>
      </c>
      <c r="W1306" t="str">
        <f t="shared" si="432"/>
        <v>Green</v>
      </c>
      <c r="X1306" t="str">
        <f t="shared" si="433"/>
        <v>Green</v>
      </c>
      <c r="Y1306" t="str">
        <f t="shared" si="434"/>
        <v>Red</v>
      </c>
      <c r="Z1306" t="str">
        <f t="shared" si="435"/>
        <v>Red</v>
      </c>
      <c r="AA1306" t="str">
        <f t="shared" si="436"/>
        <v>Green</v>
      </c>
      <c r="AB1306" t="str">
        <f t="shared" si="437"/>
        <v>Green</v>
      </c>
      <c r="AC1306" t="str">
        <f t="shared" si="438"/>
        <v>Red</v>
      </c>
      <c r="AD1306" t="str">
        <f t="shared" si="439"/>
        <v>Green</v>
      </c>
    </row>
    <row r="1307" spans="1:30" x14ac:dyDescent="0.2">
      <c r="A1307" t="str">
        <f t="shared" si="420"/>
        <v>25/07/2026Faversham TownDartford</v>
      </c>
      <c r="D1307" s="2">
        <v>46228</v>
      </c>
      <c r="E1307" s="3">
        <v>0.58333333333333337</v>
      </c>
      <c r="F1307" t="s">
        <v>3881</v>
      </c>
      <c r="G1307" t="s">
        <v>1540</v>
      </c>
      <c r="H1307">
        <v>0</v>
      </c>
      <c r="I1307">
        <v>0</v>
      </c>
      <c r="J1307">
        <v>0</v>
      </c>
      <c r="K1307">
        <v>2</v>
      </c>
      <c r="L1307" s="22" t="str">
        <f t="shared" si="421"/>
        <v>25/07/2026</v>
      </c>
      <c r="M1307" s="23">
        <f t="shared" si="422"/>
        <v>0.45833333333333337</v>
      </c>
      <c r="N1307" t="str">
        <f t="shared" si="423"/>
        <v>0 - 2</v>
      </c>
      <c r="O1307" t="str">
        <f t="shared" si="424"/>
        <v>Red</v>
      </c>
      <c r="P1307" t="str">
        <f t="shared" si="425"/>
        <v>Red</v>
      </c>
      <c r="Q1307" t="str">
        <f t="shared" si="426"/>
        <v>Green</v>
      </c>
      <c r="R1307" t="str">
        <f t="shared" si="427"/>
        <v>Red</v>
      </c>
      <c r="S1307" t="str">
        <f t="shared" si="428"/>
        <v>Green</v>
      </c>
      <c r="T1307" t="str">
        <f t="shared" si="429"/>
        <v>Green</v>
      </c>
      <c r="U1307" t="str">
        <f t="shared" si="430"/>
        <v>Red</v>
      </c>
      <c r="V1307" t="str">
        <f t="shared" si="431"/>
        <v>Green</v>
      </c>
      <c r="W1307" t="str">
        <f t="shared" si="432"/>
        <v>Red</v>
      </c>
      <c r="X1307" t="str">
        <f t="shared" si="433"/>
        <v>Red</v>
      </c>
      <c r="Y1307" t="str">
        <f t="shared" si="434"/>
        <v>Green</v>
      </c>
      <c r="Z1307" t="str">
        <f t="shared" si="435"/>
        <v>Red</v>
      </c>
      <c r="AA1307" t="str">
        <f t="shared" si="436"/>
        <v>Green</v>
      </c>
      <c r="AB1307" t="str">
        <f t="shared" si="437"/>
        <v>Green</v>
      </c>
      <c r="AC1307" t="str">
        <f t="shared" si="438"/>
        <v>Red</v>
      </c>
      <c r="AD1307" t="str">
        <f t="shared" si="439"/>
        <v>Green</v>
      </c>
    </row>
    <row r="1308" spans="1:30" x14ac:dyDescent="0.2">
      <c r="A1308" t="str">
        <f t="shared" si="420"/>
        <v>25/07/2026Forest Green RoversCardiff City</v>
      </c>
      <c r="D1308" s="2">
        <v>46228</v>
      </c>
      <c r="E1308" s="3">
        <v>0.58333333333333337</v>
      </c>
      <c r="F1308" t="s">
        <v>1475</v>
      </c>
      <c r="G1308" t="s">
        <v>3882</v>
      </c>
      <c r="H1308">
        <v>0</v>
      </c>
      <c r="I1308">
        <v>5</v>
      </c>
      <c r="J1308">
        <v>1</v>
      </c>
      <c r="K1308">
        <v>5</v>
      </c>
      <c r="L1308" s="22" t="str">
        <f t="shared" si="421"/>
        <v>25/07/2026</v>
      </c>
      <c r="M1308" s="23">
        <f t="shared" si="422"/>
        <v>0.45833333333333337</v>
      </c>
      <c r="N1308" t="str">
        <f t="shared" si="423"/>
        <v>1 - 5</v>
      </c>
      <c r="O1308" t="str">
        <f t="shared" si="424"/>
        <v>Red</v>
      </c>
      <c r="P1308" t="str">
        <f t="shared" si="425"/>
        <v>Red</v>
      </c>
      <c r="Q1308" t="str">
        <f t="shared" si="426"/>
        <v>Green</v>
      </c>
      <c r="R1308" t="str">
        <f t="shared" si="427"/>
        <v>Red</v>
      </c>
      <c r="S1308" t="str">
        <f t="shared" si="428"/>
        <v>Green</v>
      </c>
      <c r="T1308" t="str">
        <f t="shared" si="429"/>
        <v>Green</v>
      </c>
      <c r="U1308" t="str">
        <f t="shared" si="430"/>
        <v>Red</v>
      </c>
      <c r="V1308" t="str">
        <f t="shared" si="431"/>
        <v>Red</v>
      </c>
      <c r="W1308" t="str">
        <f t="shared" si="432"/>
        <v>Green</v>
      </c>
      <c r="X1308" t="str">
        <f t="shared" si="433"/>
        <v>Green</v>
      </c>
      <c r="Y1308" t="str">
        <f t="shared" si="434"/>
        <v>Green</v>
      </c>
      <c r="Z1308" t="str">
        <f t="shared" si="435"/>
        <v>Green</v>
      </c>
      <c r="AA1308" t="str">
        <f t="shared" si="436"/>
        <v>Red</v>
      </c>
      <c r="AB1308" t="str">
        <f t="shared" si="437"/>
        <v>Red</v>
      </c>
      <c r="AC1308" t="str">
        <f t="shared" si="438"/>
        <v>Green</v>
      </c>
      <c r="AD1308" t="str">
        <f t="shared" si="439"/>
        <v>Red</v>
      </c>
    </row>
    <row r="1309" spans="1:30" x14ac:dyDescent="0.2">
      <c r="A1309" t="str">
        <f t="shared" si="420"/>
        <v>25/07/2026Frome TownSalisbury City</v>
      </c>
      <c r="D1309" s="2">
        <v>46228</v>
      </c>
      <c r="E1309" s="3">
        <v>0.58333333333333337</v>
      </c>
      <c r="F1309" t="s">
        <v>3883</v>
      </c>
      <c r="G1309" t="s">
        <v>3884</v>
      </c>
      <c r="H1309">
        <v>1</v>
      </c>
      <c r="I1309">
        <v>0</v>
      </c>
      <c r="J1309">
        <v>3</v>
      </c>
      <c r="K1309">
        <v>0</v>
      </c>
      <c r="L1309" s="22" t="str">
        <f t="shared" si="421"/>
        <v>25/07/2026</v>
      </c>
      <c r="M1309" s="23">
        <f t="shared" si="422"/>
        <v>0.45833333333333337</v>
      </c>
      <c r="N1309" t="str">
        <f t="shared" si="423"/>
        <v>3 - 0</v>
      </c>
      <c r="O1309" t="str">
        <f t="shared" si="424"/>
        <v>Green</v>
      </c>
      <c r="P1309" t="str">
        <f t="shared" si="425"/>
        <v>Red</v>
      </c>
      <c r="Q1309" t="str">
        <f t="shared" si="426"/>
        <v>Red</v>
      </c>
      <c r="R1309" t="str">
        <f t="shared" si="427"/>
        <v>Green</v>
      </c>
      <c r="S1309" t="str">
        <f t="shared" si="428"/>
        <v>Red</v>
      </c>
      <c r="T1309" t="str">
        <f t="shared" si="429"/>
        <v>Green</v>
      </c>
      <c r="U1309" t="str">
        <f t="shared" si="430"/>
        <v>Green</v>
      </c>
      <c r="V1309" t="str">
        <f t="shared" si="431"/>
        <v>Red</v>
      </c>
      <c r="W1309" t="str">
        <f t="shared" si="432"/>
        <v>Red</v>
      </c>
      <c r="X1309" t="str">
        <f t="shared" si="433"/>
        <v>Green</v>
      </c>
      <c r="Y1309" t="str">
        <f t="shared" si="434"/>
        <v>Green</v>
      </c>
      <c r="Z1309" t="str">
        <f t="shared" si="435"/>
        <v>Green</v>
      </c>
      <c r="AA1309" t="str">
        <f t="shared" si="436"/>
        <v>Red</v>
      </c>
      <c r="AB1309" t="str">
        <f t="shared" si="437"/>
        <v>Green</v>
      </c>
      <c r="AC1309" t="str">
        <f t="shared" si="438"/>
        <v>Red</v>
      </c>
      <c r="AD1309" t="str">
        <f t="shared" si="439"/>
        <v>Green</v>
      </c>
    </row>
    <row r="1310" spans="1:30" x14ac:dyDescent="0.2">
      <c r="A1310" t="str">
        <f t="shared" si="420"/>
        <v>25/07/2026Halesowen TownTamworth</v>
      </c>
      <c r="D1310" s="2">
        <v>46228</v>
      </c>
      <c r="E1310" s="3">
        <v>0.58333333333333337</v>
      </c>
      <c r="F1310" t="s">
        <v>3885</v>
      </c>
      <c r="G1310" t="s">
        <v>3886</v>
      </c>
      <c r="H1310">
        <v>1</v>
      </c>
      <c r="I1310">
        <v>0</v>
      </c>
      <c r="J1310">
        <v>2</v>
      </c>
      <c r="K1310">
        <v>2</v>
      </c>
      <c r="L1310" s="22" t="str">
        <f t="shared" si="421"/>
        <v>25/07/2026</v>
      </c>
      <c r="M1310" s="23">
        <f t="shared" si="422"/>
        <v>0.45833333333333337</v>
      </c>
      <c r="N1310" t="str">
        <f t="shared" si="423"/>
        <v>2 - 2</v>
      </c>
      <c r="O1310" t="str">
        <f t="shared" si="424"/>
        <v>Red</v>
      </c>
      <c r="P1310" t="str">
        <f t="shared" si="425"/>
        <v>Green</v>
      </c>
      <c r="Q1310" t="str">
        <f t="shared" si="426"/>
        <v>Red</v>
      </c>
      <c r="R1310" t="str">
        <f t="shared" si="427"/>
        <v>Green</v>
      </c>
      <c r="S1310" t="str">
        <f t="shared" si="428"/>
        <v>Green</v>
      </c>
      <c r="T1310" t="str">
        <f t="shared" si="429"/>
        <v>Red</v>
      </c>
      <c r="U1310" t="str">
        <f t="shared" si="430"/>
        <v>Green</v>
      </c>
      <c r="V1310" t="str">
        <f t="shared" si="431"/>
        <v>Red</v>
      </c>
      <c r="W1310" t="str">
        <f t="shared" si="432"/>
        <v>Red</v>
      </c>
      <c r="X1310" t="str">
        <f t="shared" si="433"/>
        <v>Green</v>
      </c>
      <c r="Y1310" t="str">
        <f t="shared" si="434"/>
        <v>Green</v>
      </c>
      <c r="Z1310" t="str">
        <f t="shared" si="435"/>
        <v>Green</v>
      </c>
      <c r="AA1310" t="str">
        <f t="shared" si="436"/>
        <v>Red</v>
      </c>
      <c r="AB1310" t="str">
        <f t="shared" si="437"/>
        <v>Red</v>
      </c>
      <c r="AC1310" t="str">
        <f t="shared" si="438"/>
        <v>Green</v>
      </c>
      <c r="AD1310" t="str">
        <f t="shared" si="439"/>
        <v>Red</v>
      </c>
    </row>
    <row r="1311" spans="1:30" x14ac:dyDescent="0.2">
      <c r="A1311" t="str">
        <f t="shared" si="420"/>
        <v>25/07/2026HartlepoolGrimsby Town</v>
      </c>
      <c r="D1311" s="2">
        <v>46228</v>
      </c>
      <c r="E1311" s="3">
        <v>0.58333333333333337</v>
      </c>
      <c r="F1311" t="s">
        <v>1480</v>
      </c>
      <c r="G1311" t="s">
        <v>3887</v>
      </c>
      <c r="H1311">
        <v>0</v>
      </c>
      <c r="I1311">
        <v>1</v>
      </c>
      <c r="J1311">
        <v>0</v>
      </c>
      <c r="K1311">
        <v>3</v>
      </c>
      <c r="L1311" s="22" t="str">
        <f t="shared" si="421"/>
        <v>25/07/2026</v>
      </c>
      <c r="M1311" s="23">
        <f t="shared" si="422"/>
        <v>0.45833333333333337</v>
      </c>
      <c r="N1311" t="str">
        <f t="shared" si="423"/>
        <v>0 - 3</v>
      </c>
      <c r="O1311" t="str">
        <f t="shared" si="424"/>
        <v>Red</v>
      </c>
      <c r="P1311" t="str">
        <f t="shared" si="425"/>
        <v>Red</v>
      </c>
      <c r="Q1311" t="str">
        <f t="shared" si="426"/>
        <v>Green</v>
      </c>
      <c r="R1311" t="str">
        <f t="shared" si="427"/>
        <v>Red</v>
      </c>
      <c r="S1311" t="str">
        <f t="shared" si="428"/>
        <v>Green</v>
      </c>
      <c r="T1311" t="str">
        <f t="shared" si="429"/>
        <v>Green</v>
      </c>
      <c r="U1311" t="str">
        <f t="shared" si="430"/>
        <v>Red</v>
      </c>
      <c r="V1311" t="str">
        <f t="shared" si="431"/>
        <v>Red</v>
      </c>
      <c r="W1311" t="str">
        <f t="shared" si="432"/>
        <v>Green</v>
      </c>
      <c r="X1311" t="str">
        <f t="shared" si="433"/>
        <v>Green</v>
      </c>
      <c r="Y1311" t="str">
        <f t="shared" si="434"/>
        <v>Green</v>
      </c>
      <c r="Z1311" t="str">
        <f t="shared" si="435"/>
        <v>Green</v>
      </c>
      <c r="AA1311" t="str">
        <f t="shared" si="436"/>
        <v>Red</v>
      </c>
      <c r="AB1311" t="str">
        <f t="shared" si="437"/>
        <v>Green</v>
      </c>
      <c r="AC1311" t="str">
        <f t="shared" si="438"/>
        <v>Red</v>
      </c>
      <c r="AD1311" t="str">
        <f t="shared" si="439"/>
        <v>Green</v>
      </c>
    </row>
    <row r="1312" spans="1:30" x14ac:dyDescent="0.2">
      <c r="A1312" t="str">
        <f t="shared" si="420"/>
        <v>25/07/2026Hebburn TownAnstey Nomads</v>
      </c>
      <c r="D1312" s="2">
        <v>46228</v>
      </c>
      <c r="E1312" s="3">
        <v>0.58333333333333337</v>
      </c>
      <c r="F1312" t="s">
        <v>1479</v>
      </c>
      <c r="G1312" t="s">
        <v>3888</v>
      </c>
      <c r="H1312">
        <v>0</v>
      </c>
      <c r="I1312">
        <v>0</v>
      </c>
      <c r="J1312">
        <v>0</v>
      </c>
      <c r="K1312">
        <v>1</v>
      </c>
      <c r="L1312" s="22" t="str">
        <f t="shared" si="421"/>
        <v>25/07/2026</v>
      </c>
      <c r="M1312" s="23">
        <f t="shared" si="422"/>
        <v>0.45833333333333337</v>
      </c>
      <c r="N1312" t="str">
        <f t="shared" si="423"/>
        <v>0 - 1</v>
      </c>
      <c r="O1312" t="str">
        <f t="shared" si="424"/>
        <v>Red</v>
      </c>
      <c r="P1312" t="str">
        <f t="shared" si="425"/>
        <v>Red</v>
      </c>
      <c r="Q1312" t="str">
        <f t="shared" si="426"/>
        <v>Green</v>
      </c>
      <c r="R1312" t="str">
        <f t="shared" si="427"/>
        <v>Red</v>
      </c>
      <c r="S1312" t="str">
        <f t="shared" si="428"/>
        <v>Green</v>
      </c>
      <c r="T1312" t="str">
        <f t="shared" si="429"/>
        <v>Green</v>
      </c>
      <c r="U1312" t="str">
        <f t="shared" si="430"/>
        <v>Red</v>
      </c>
      <c r="V1312" t="str">
        <f t="shared" si="431"/>
        <v>Green</v>
      </c>
      <c r="W1312" t="str">
        <f t="shared" si="432"/>
        <v>Red</v>
      </c>
      <c r="X1312" t="str">
        <f t="shared" si="433"/>
        <v>Red</v>
      </c>
      <c r="Y1312" t="str">
        <f t="shared" si="434"/>
        <v>Red</v>
      </c>
      <c r="Z1312" t="str">
        <f t="shared" si="435"/>
        <v>Red</v>
      </c>
      <c r="AA1312" t="str">
        <f t="shared" si="436"/>
        <v>Green</v>
      </c>
      <c r="AB1312" t="str">
        <f t="shared" si="437"/>
        <v>Green</v>
      </c>
      <c r="AC1312" t="str">
        <f t="shared" si="438"/>
        <v>Red</v>
      </c>
      <c r="AD1312" t="str">
        <f t="shared" si="439"/>
        <v>Green</v>
      </c>
    </row>
    <row r="1313" spans="1:30" x14ac:dyDescent="0.2">
      <c r="A1313" t="str">
        <f t="shared" si="420"/>
        <v>25/07/2026Kettering TownHemel Hempstead Town</v>
      </c>
      <c r="D1313" s="2">
        <v>46228</v>
      </c>
      <c r="E1313" s="3">
        <v>0.58333333333333337</v>
      </c>
      <c r="F1313" t="s">
        <v>3889</v>
      </c>
      <c r="G1313" t="s">
        <v>1550</v>
      </c>
      <c r="H1313">
        <v>1</v>
      </c>
      <c r="I1313">
        <v>1</v>
      </c>
      <c r="J1313">
        <v>1</v>
      </c>
      <c r="K1313">
        <v>3</v>
      </c>
      <c r="L1313" s="22" t="str">
        <f t="shared" si="421"/>
        <v>25/07/2026</v>
      </c>
      <c r="M1313" s="23">
        <f t="shared" si="422"/>
        <v>0.45833333333333337</v>
      </c>
      <c r="N1313" t="str">
        <f t="shared" si="423"/>
        <v>1 - 3</v>
      </c>
      <c r="O1313" t="str">
        <f t="shared" si="424"/>
        <v>Red</v>
      </c>
      <c r="P1313" t="str">
        <f t="shared" si="425"/>
        <v>Red</v>
      </c>
      <c r="Q1313" t="str">
        <f t="shared" si="426"/>
        <v>Green</v>
      </c>
      <c r="R1313" t="str">
        <f t="shared" si="427"/>
        <v>Red</v>
      </c>
      <c r="S1313" t="str">
        <f t="shared" si="428"/>
        <v>Green</v>
      </c>
      <c r="T1313" t="str">
        <f t="shared" si="429"/>
        <v>Green</v>
      </c>
      <c r="U1313" t="str">
        <f t="shared" si="430"/>
        <v>Red</v>
      </c>
      <c r="V1313" t="str">
        <f t="shared" si="431"/>
        <v>Green</v>
      </c>
      <c r="W1313" t="str">
        <f t="shared" si="432"/>
        <v>Red</v>
      </c>
      <c r="X1313" t="str">
        <f t="shared" si="433"/>
        <v>Green</v>
      </c>
      <c r="Y1313" t="str">
        <f t="shared" si="434"/>
        <v>Green</v>
      </c>
      <c r="Z1313" t="str">
        <f t="shared" si="435"/>
        <v>Green</v>
      </c>
      <c r="AA1313" t="str">
        <f t="shared" si="436"/>
        <v>Red</v>
      </c>
      <c r="AB1313" t="str">
        <f t="shared" si="437"/>
        <v>Red</v>
      </c>
      <c r="AC1313" t="str">
        <f t="shared" si="438"/>
        <v>Green</v>
      </c>
      <c r="AD1313" t="str">
        <f t="shared" si="439"/>
        <v>Red</v>
      </c>
    </row>
    <row r="1314" spans="1:30" x14ac:dyDescent="0.2">
      <c r="A1314" t="str">
        <f t="shared" si="420"/>
        <v>25/07/2026KV KortrijkAmiens</v>
      </c>
      <c r="D1314" s="2">
        <v>46228</v>
      </c>
      <c r="E1314" s="3">
        <v>0.58333333333333337</v>
      </c>
      <c r="F1314" t="s">
        <v>3757</v>
      </c>
      <c r="G1314" t="s">
        <v>1622</v>
      </c>
      <c r="H1314">
        <v>1</v>
      </c>
      <c r="I1314">
        <v>0</v>
      </c>
      <c r="J1314">
        <v>1</v>
      </c>
      <c r="K1314">
        <v>1</v>
      </c>
      <c r="L1314" s="22" t="str">
        <f t="shared" si="421"/>
        <v>25/07/2026</v>
      </c>
      <c r="M1314" s="23">
        <f t="shared" si="422"/>
        <v>0.45833333333333337</v>
      </c>
      <c r="N1314" t="str">
        <f t="shared" si="423"/>
        <v>1 - 1</v>
      </c>
      <c r="O1314" t="str">
        <f t="shared" si="424"/>
        <v>Red</v>
      </c>
      <c r="P1314" t="str">
        <f t="shared" si="425"/>
        <v>Green</v>
      </c>
      <c r="Q1314" t="str">
        <f t="shared" si="426"/>
        <v>Red</v>
      </c>
      <c r="R1314" t="str">
        <f t="shared" si="427"/>
        <v>Green</v>
      </c>
      <c r="S1314" t="str">
        <f t="shared" si="428"/>
        <v>Green</v>
      </c>
      <c r="T1314" t="str">
        <f t="shared" si="429"/>
        <v>Red</v>
      </c>
      <c r="U1314" t="str">
        <f t="shared" si="430"/>
        <v>Green</v>
      </c>
      <c r="V1314" t="str">
        <f t="shared" si="431"/>
        <v>Red</v>
      </c>
      <c r="W1314" t="str">
        <f t="shared" si="432"/>
        <v>Red</v>
      </c>
      <c r="X1314" t="str">
        <f t="shared" si="433"/>
        <v>Green</v>
      </c>
      <c r="Y1314" t="str">
        <f t="shared" si="434"/>
        <v>Green</v>
      </c>
      <c r="Z1314" t="str">
        <f t="shared" si="435"/>
        <v>Red</v>
      </c>
      <c r="AA1314" t="str">
        <f t="shared" si="436"/>
        <v>Green</v>
      </c>
      <c r="AB1314" t="str">
        <f t="shared" si="437"/>
        <v>Green</v>
      </c>
      <c r="AC1314" t="str">
        <f t="shared" si="438"/>
        <v>Green</v>
      </c>
      <c r="AD1314" t="str">
        <f t="shared" si="439"/>
        <v>Red</v>
      </c>
    </row>
    <row r="1315" spans="1:30" x14ac:dyDescent="0.2">
      <c r="A1315" t="str">
        <f t="shared" si="420"/>
        <v>25/07/2026LeatherheadAshford Town</v>
      </c>
      <c r="D1315" s="2">
        <v>46228</v>
      </c>
      <c r="E1315" s="3">
        <v>0.58333333333333337</v>
      </c>
      <c r="F1315" t="s">
        <v>1563</v>
      </c>
      <c r="G1315" t="s">
        <v>3890</v>
      </c>
      <c r="H1315">
        <v>0</v>
      </c>
      <c r="I1315">
        <v>1</v>
      </c>
      <c r="J1315">
        <v>1</v>
      </c>
      <c r="K1315">
        <v>1</v>
      </c>
      <c r="L1315" s="22" t="str">
        <f t="shared" si="421"/>
        <v>25/07/2026</v>
      </c>
      <c r="M1315" s="23">
        <f t="shared" si="422"/>
        <v>0.45833333333333337</v>
      </c>
      <c r="N1315" t="str">
        <f t="shared" si="423"/>
        <v>1 - 1</v>
      </c>
      <c r="O1315" t="str">
        <f t="shared" si="424"/>
        <v>Red</v>
      </c>
      <c r="P1315" t="str">
        <f t="shared" si="425"/>
        <v>Green</v>
      </c>
      <c r="Q1315" t="str">
        <f t="shared" si="426"/>
        <v>Red</v>
      </c>
      <c r="R1315" t="str">
        <f t="shared" si="427"/>
        <v>Green</v>
      </c>
      <c r="S1315" t="str">
        <f t="shared" si="428"/>
        <v>Green</v>
      </c>
      <c r="T1315" t="str">
        <f t="shared" si="429"/>
        <v>Red</v>
      </c>
      <c r="U1315" t="str">
        <f t="shared" si="430"/>
        <v>Red</v>
      </c>
      <c r="V1315" t="str">
        <f t="shared" si="431"/>
        <v>Red</v>
      </c>
      <c r="W1315" t="str">
        <f t="shared" si="432"/>
        <v>Green</v>
      </c>
      <c r="X1315" t="str">
        <f t="shared" si="433"/>
        <v>Green</v>
      </c>
      <c r="Y1315" t="str">
        <f t="shared" si="434"/>
        <v>Green</v>
      </c>
      <c r="Z1315" t="str">
        <f t="shared" si="435"/>
        <v>Red</v>
      </c>
      <c r="AA1315" t="str">
        <f t="shared" si="436"/>
        <v>Green</v>
      </c>
      <c r="AB1315" t="str">
        <f t="shared" si="437"/>
        <v>Green</v>
      </c>
      <c r="AC1315" t="str">
        <f t="shared" si="438"/>
        <v>Green</v>
      </c>
      <c r="AD1315" t="str">
        <f t="shared" si="439"/>
        <v>Red</v>
      </c>
    </row>
    <row r="1316" spans="1:30" x14ac:dyDescent="0.2">
      <c r="A1316" t="str">
        <f t="shared" si="420"/>
        <v>25/07/2026LecceNK Istra 1961</v>
      </c>
      <c r="D1316" s="2">
        <v>46228</v>
      </c>
      <c r="E1316" s="3">
        <v>0.58333333333333337</v>
      </c>
      <c r="F1316" t="s">
        <v>1653</v>
      </c>
      <c r="G1316" t="s">
        <v>1449</v>
      </c>
      <c r="H1316">
        <v>0</v>
      </c>
      <c r="I1316">
        <v>1</v>
      </c>
      <c r="J1316">
        <v>2</v>
      </c>
      <c r="K1316">
        <v>2</v>
      </c>
      <c r="L1316" s="22" t="str">
        <f t="shared" si="421"/>
        <v>25/07/2026</v>
      </c>
      <c r="M1316" s="23">
        <f t="shared" si="422"/>
        <v>0.45833333333333337</v>
      </c>
      <c r="N1316" t="str">
        <f t="shared" si="423"/>
        <v>2 - 2</v>
      </c>
      <c r="O1316" t="str">
        <f t="shared" si="424"/>
        <v>Red</v>
      </c>
      <c r="P1316" t="str">
        <f t="shared" si="425"/>
        <v>Green</v>
      </c>
      <c r="Q1316" t="str">
        <f t="shared" si="426"/>
        <v>Red</v>
      </c>
      <c r="R1316" t="str">
        <f t="shared" si="427"/>
        <v>Green</v>
      </c>
      <c r="S1316" t="str">
        <f t="shared" si="428"/>
        <v>Green</v>
      </c>
      <c r="T1316" t="str">
        <f t="shared" si="429"/>
        <v>Red</v>
      </c>
      <c r="U1316" t="str">
        <f t="shared" si="430"/>
        <v>Red</v>
      </c>
      <c r="V1316" t="str">
        <f t="shared" si="431"/>
        <v>Red</v>
      </c>
      <c r="W1316" t="str">
        <f t="shared" si="432"/>
        <v>Green</v>
      </c>
      <c r="X1316" t="str">
        <f t="shared" si="433"/>
        <v>Green</v>
      </c>
      <c r="Y1316" t="str">
        <f t="shared" si="434"/>
        <v>Green</v>
      </c>
      <c r="Z1316" t="str">
        <f t="shared" si="435"/>
        <v>Green</v>
      </c>
      <c r="AA1316" t="str">
        <f t="shared" si="436"/>
        <v>Red</v>
      </c>
      <c r="AB1316" t="str">
        <f t="shared" si="437"/>
        <v>Red</v>
      </c>
      <c r="AC1316" t="str">
        <f t="shared" si="438"/>
        <v>Green</v>
      </c>
      <c r="AD1316" t="str">
        <f t="shared" si="439"/>
        <v>Red</v>
      </c>
    </row>
    <row r="1317" spans="1:30" x14ac:dyDescent="0.2">
      <c r="A1317" t="str">
        <f t="shared" si="420"/>
        <v>25/07/2026LewesDorking Wanderers</v>
      </c>
      <c r="D1317" s="2">
        <v>46228</v>
      </c>
      <c r="E1317" s="3">
        <v>0.58333333333333337</v>
      </c>
      <c r="F1317" t="s">
        <v>3891</v>
      </c>
      <c r="G1317" t="s">
        <v>1542</v>
      </c>
      <c r="H1317">
        <v>0</v>
      </c>
      <c r="I1317">
        <v>0</v>
      </c>
      <c r="J1317">
        <v>1</v>
      </c>
      <c r="K1317">
        <v>2</v>
      </c>
      <c r="L1317" s="22" t="str">
        <f t="shared" si="421"/>
        <v>25/07/2026</v>
      </c>
      <c r="M1317" s="23">
        <f t="shared" si="422"/>
        <v>0.45833333333333337</v>
      </c>
      <c r="N1317" t="str">
        <f t="shared" si="423"/>
        <v>1 - 2</v>
      </c>
      <c r="O1317" t="str">
        <f t="shared" si="424"/>
        <v>Red</v>
      </c>
      <c r="P1317" t="str">
        <f t="shared" si="425"/>
        <v>Red</v>
      </c>
      <c r="Q1317" t="str">
        <f t="shared" si="426"/>
        <v>Green</v>
      </c>
      <c r="R1317" t="str">
        <f t="shared" si="427"/>
        <v>Red</v>
      </c>
      <c r="S1317" t="str">
        <f t="shared" si="428"/>
        <v>Green</v>
      </c>
      <c r="T1317" t="str">
        <f t="shared" si="429"/>
        <v>Green</v>
      </c>
      <c r="U1317" t="str">
        <f t="shared" si="430"/>
        <v>Red</v>
      </c>
      <c r="V1317" t="str">
        <f t="shared" si="431"/>
        <v>Green</v>
      </c>
      <c r="W1317" t="str">
        <f t="shared" si="432"/>
        <v>Red</v>
      </c>
      <c r="X1317" t="str">
        <f t="shared" si="433"/>
        <v>Red</v>
      </c>
      <c r="Y1317" t="str">
        <f t="shared" si="434"/>
        <v>Green</v>
      </c>
      <c r="Z1317" t="str">
        <f t="shared" si="435"/>
        <v>Green</v>
      </c>
      <c r="AA1317" t="str">
        <f t="shared" si="436"/>
        <v>Red</v>
      </c>
      <c r="AB1317" t="str">
        <f t="shared" si="437"/>
        <v>Green</v>
      </c>
      <c r="AC1317" t="str">
        <f t="shared" si="438"/>
        <v>Green</v>
      </c>
      <c r="AD1317" t="str">
        <f t="shared" si="439"/>
        <v>Red</v>
      </c>
    </row>
    <row r="1318" spans="1:30" x14ac:dyDescent="0.2">
      <c r="A1318" t="str">
        <f t="shared" si="420"/>
        <v>25/07/2026Lower BreckAvro FC</v>
      </c>
      <c r="D1318" s="2">
        <v>46228</v>
      </c>
      <c r="E1318" s="3">
        <v>0.58333333333333337</v>
      </c>
      <c r="F1318" t="s">
        <v>3892</v>
      </c>
      <c r="G1318" t="s">
        <v>3893</v>
      </c>
      <c r="H1318">
        <v>1</v>
      </c>
      <c r="I1318">
        <v>1</v>
      </c>
      <c r="J1318">
        <v>2</v>
      </c>
      <c r="K1318">
        <v>2</v>
      </c>
      <c r="L1318" s="22" t="str">
        <f t="shared" si="421"/>
        <v>25/07/2026</v>
      </c>
      <c r="M1318" s="23">
        <f t="shared" si="422"/>
        <v>0.45833333333333337</v>
      </c>
      <c r="N1318" t="str">
        <f t="shared" si="423"/>
        <v>2 - 2</v>
      </c>
      <c r="O1318" t="str">
        <f t="shared" si="424"/>
        <v>Red</v>
      </c>
      <c r="P1318" t="str">
        <f t="shared" si="425"/>
        <v>Green</v>
      </c>
      <c r="Q1318" t="str">
        <f t="shared" si="426"/>
        <v>Red</v>
      </c>
      <c r="R1318" t="str">
        <f t="shared" si="427"/>
        <v>Green</v>
      </c>
      <c r="S1318" t="str">
        <f t="shared" si="428"/>
        <v>Green</v>
      </c>
      <c r="T1318" t="str">
        <f t="shared" si="429"/>
        <v>Red</v>
      </c>
      <c r="U1318" t="str">
        <f t="shared" si="430"/>
        <v>Red</v>
      </c>
      <c r="V1318" t="str">
        <f t="shared" si="431"/>
        <v>Green</v>
      </c>
      <c r="W1318" t="str">
        <f t="shared" si="432"/>
        <v>Red</v>
      </c>
      <c r="X1318" t="str">
        <f t="shared" si="433"/>
        <v>Green</v>
      </c>
      <c r="Y1318" t="str">
        <f t="shared" si="434"/>
        <v>Green</v>
      </c>
      <c r="Z1318" t="str">
        <f t="shared" si="435"/>
        <v>Green</v>
      </c>
      <c r="AA1318" t="str">
        <f t="shared" si="436"/>
        <v>Red</v>
      </c>
      <c r="AB1318" t="str">
        <f t="shared" si="437"/>
        <v>Red</v>
      </c>
      <c r="AC1318" t="str">
        <f t="shared" si="438"/>
        <v>Green</v>
      </c>
      <c r="AD1318" t="str">
        <f t="shared" si="439"/>
        <v>Red</v>
      </c>
    </row>
    <row r="1319" spans="1:30" x14ac:dyDescent="0.2">
      <c r="A1319" t="str">
        <f t="shared" si="420"/>
        <v>25/07/2026Maidstone UnitedAshford United</v>
      </c>
      <c r="D1319" s="2">
        <v>46228</v>
      </c>
      <c r="E1319" s="3">
        <v>0.58333333333333337</v>
      </c>
      <c r="F1319" t="s">
        <v>3894</v>
      </c>
      <c r="G1319" t="s">
        <v>3895</v>
      </c>
      <c r="H1319">
        <v>3</v>
      </c>
      <c r="I1319">
        <v>0</v>
      </c>
      <c r="J1319">
        <v>4</v>
      </c>
      <c r="K1319">
        <v>0</v>
      </c>
      <c r="L1319" s="22" t="str">
        <f t="shared" si="421"/>
        <v>25/07/2026</v>
      </c>
      <c r="M1319" s="23">
        <f t="shared" si="422"/>
        <v>0.45833333333333337</v>
      </c>
      <c r="N1319" t="str">
        <f t="shared" si="423"/>
        <v>4 - 0</v>
      </c>
      <c r="O1319" t="str">
        <f t="shared" si="424"/>
        <v>Green</v>
      </c>
      <c r="P1319" t="str">
        <f t="shared" si="425"/>
        <v>Red</v>
      </c>
      <c r="Q1319" t="str">
        <f t="shared" si="426"/>
        <v>Red</v>
      </c>
      <c r="R1319" t="str">
        <f t="shared" si="427"/>
        <v>Green</v>
      </c>
      <c r="S1319" t="str">
        <f t="shared" si="428"/>
        <v>Red</v>
      </c>
      <c r="T1319" t="str">
        <f t="shared" si="429"/>
        <v>Green</v>
      </c>
      <c r="U1319" t="str">
        <f t="shared" si="430"/>
        <v>Green</v>
      </c>
      <c r="V1319" t="str">
        <f t="shared" si="431"/>
        <v>Red</v>
      </c>
      <c r="W1319" t="str">
        <f t="shared" si="432"/>
        <v>Red</v>
      </c>
      <c r="X1319" t="str">
        <f t="shared" si="433"/>
        <v>Green</v>
      </c>
      <c r="Y1319" t="str">
        <f t="shared" si="434"/>
        <v>Green</v>
      </c>
      <c r="Z1319" t="str">
        <f t="shared" si="435"/>
        <v>Green</v>
      </c>
      <c r="AA1319" t="str">
        <f t="shared" si="436"/>
        <v>Red</v>
      </c>
      <c r="AB1319" t="str">
        <f t="shared" si="437"/>
        <v>Red</v>
      </c>
      <c r="AC1319" t="str">
        <f t="shared" si="438"/>
        <v>Red</v>
      </c>
      <c r="AD1319" t="str">
        <f t="shared" si="439"/>
        <v>Green</v>
      </c>
    </row>
    <row r="1320" spans="1:30" x14ac:dyDescent="0.2">
      <c r="A1320" t="str">
        <f t="shared" si="420"/>
        <v>25/07/2026MorecambeBury</v>
      </c>
      <c r="D1320" s="2">
        <v>46228</v>
      </c>
      <c r="E1320" s="3">
        <v>0.58333333333333337</v>
      </c>
      <c r="F1320" t="s">
        <v>3896</v>
      </c>
      <c r="G1320" t="s">
        <v>3897</v>
      </c>
      <c r="L1320" s="22" t="str">
        <f t="shared" si="421"/>
        <v>25/07/2026</v>
      </c>
      <c r="M1320" s="23">
        <f t="shared" si="422"/>
        <v>0.45833333333333337</v>
      </c>
      <c r="N1320" t="str">
        <f t="shared" si="423"/>
        <v xml:space="preserve"> - </v>
      </c>
      <c r="O1320" t="str">
        <f t="shared" si="424"/>
        <v>Red</v>
      </c>
      <c r="P1320" t="str">
        <f t="shared" si="425"/>
        <v>Green</v>
      </c>
      <c r="Q1320" t="str">
        <f t="shared" si="426"/>
        <v>Red</v>
      </c>
      <c r="R1320" t="str">
        <f t="shared" si="427"/>
        <v>Green</v>
      </c>
      <c r="S1320" t="str">
        <f t="shared" si="428"/>
        <v>Green</v>
      </c>
      <c r="T1320" t="str">
        <f t="shared" si="429"/>
        <v>Red</v>
      </c>
      <c r="U1320" t="str">
        <f t="shared" si="430"/>
        <v>Red</v>
      </c>
      <c r="V1320" t="str">
        <f t="shared" si="431"/>
        <v>Green</v>
      </c>
      <c r="W1320" t="str">
        <f t="shared" si="432"/>
        <v>Red</v>
      </c>
      <c r="X1320" t="str">
        <f t="shared" si="433"/>
        <v>Red</v>
      </c>
      <c r="Y1320" t="str">
        <f t="shared" si="434"/>
        <v>Red</v>
      </c>
      <c r="Z1320" t="str">
        <f t="shared" si="435"/>
        <v>Red</v>
      </c>
      <c r="AA1320" t="str">
        <f t="shared" si="436"/>
        <v>Green</v>
      </c>
      <c r="AB1320" t="str">
        <f t="shared" si="437"/>
        <v>Green</v>
      </c>
      <c r="AC1320" t="str">
        <f t="shared" si="438"/>
        <v>Red</v>
      </c>
      <c r="AD1320" t="str">
        <f t="shared" si="439"/>
        <v>Green</v>
      </c>
    </row>
    <row r="1321" spans="1:30" x14ac:dyDescent="0.2">
      <c r="A1321" t="str">
        <f t="shared" si="420"/>
        <v>25/07/2026MossleyAFC Emley</v>
      </c>
      <c r="D1321" s="2">
        <v>46228</v>
      </c>
      <c r="E1321" s="3">
        <v>0.58333333333333337</v>
      </c>
      <c r="F1321" t="s">
        <v>3898</v>
      </c>
      <c r="G1321" t="s">
        <v>1556</v>
      </c>
      <c r="H1321">
        <v>0</v>
      </c>
      <c r="I1321">
        <v>0</v>
      </c>
      <c r="J1321">
        <v>1</v>
      </c>
      <c r="K1321">
        <v>0</v>
      </c>
      <c r="L1321" s="22" t="str">
        <f t="shared" si="421"/>
        <v>25/07/2026</v>
      </c>
      <c r="M1321" s="23">
        <f t="shared" si="422"/>
        <v>0.45833333333333337</v>
      </c>
      <c r="N1321" t="str">
        <f t="shared" si="423"/>
        <v>1 - 0</v>
      </c>
      <c r="O1321" t="str">
        <f t="shared" si="424"/>
        <v>Green</v>
      </c>
      <c r="P1321" t="str">
        <f t="shared" si="425"/>
        <v>Red</v>
      </c>
      <c r="Q1321" t="str">
        <f t="shared" si="426"/>
        <v>Red</v>
      </c>
      <c r="R1321" t="str">
        <f t="shared" si="427"/>
        <v>Green</v>
      </c>
      <c r="S1321" t="str">
        <f t="shared" si="428"/>
        <v>Red</v>
      </c>
      <c r="T1321" t="str">
        <f t="shared" si="429"/>
        <v>Green</v>
      </c>
      <c r="U1321" t="str">
        <f t="shared" si="430"/>
        <v>Red</v>
      </c>
      <c r="V1321" t="str">
        <f t="shared" si="431"/>
        <v>Green</v>
      </c>
      <c r="W1321" t="str">
        <f t="shared" si="432"/>
        <v>Red</v>
      </c>
      <c r="X1321" t="str">
        <f t="shared" si="433"/>
        <v>Red</v>
      </c>
      <c r="Y1321" t="str">
        <f t="shared" si="434"/>
        <v>Red</v>
      </c>
      <c r="Z1321" t="str">
        <f t="shared" si="435"/>
        <v>Red</v>
      </c>
      <c r="AA1321" t="str">
        <f t="shared" si="436"/>
        <v>Green</v>
      </c>
      <c r="AB1321" t="str">
        <f t="shared" si="437"/>
        <v>Green</v>
      </c>
      <c r="AC1321" t="str">
        <f t="shared" si="438"/>
        <v>Red</v>
      </c>
      <c r="AD1321" t="str">
        <f t="shared" si="439"/>
        <v>Green</v>
      </c>
    </row>
    <row r="1322" spans="1:30" x14ac:dyDescent="0.2">
      <c r="A1322" t="str">
        <f t="shared" si="420"/>
        <v>25/07/2026Newport Pagnell TownPeterborough Sports</v>
      </c>
      <c r="D1322" s="2">
        <v>46228</v>
      </c>
      <c r="E1322" s="3">
        <v>0.58333333333333337</v>
      </c>
      <c r="F1322" t="s">
        <v>3899</v>
      </c>
      <c r="G1322" t="s">
        <v>1828</v>
      </c>
      <c r="H1322">
        <v>0</v>
      </c>
      <c r="I1322">
        <v>0</v>
      </c>
      <c r="J1322">
        <v>1</v>
      </c>
      <c r="K1322">
        <v>0</v>
      </c>
      <c r="L1322" s="22" t="str">
        <f t="shared" si="421"/>
        <v>25/07/2026</v>
      </c>
      <c r="M1322" s="23">
        <f t="shared" si="422"/>
        <v>0.45833333333333337</v>
      </c>
      <c r="N1322" t="str">
        <f t="shared" si="423"/>
        <v>1 - 0</v>
      </c>
      <c r="O1322" t="str">
        <f t="shared" si="424"/>
        <v>Green</v>
      </c>
      <c r="P1322" t="str">
        <f t="shared" si="425"/>
        <v>Red</v>
      </c>
      <c r="Q1322" t="str">
        <f t="shared" si="426"/>
        <v>Red</v>
      </c>
      <c r="R1322" t="str">
        <f t="shared" si="427"/>
        <v>Green</v>
      </c>
      <c r="S1322" t="str">
        <f t="shared" si="428"/>
        <v>Red</v>
      </c>
      <c r="T1322" t="str">
        <f t="shared" si="429"/>
        <v>Green</v>
      </c>
      <c r="U1322" t="str">
        <f t="shared" si="430"/>
        <v>Red</v>
      </c>
      <c r="V1322" t="str">
        <f t="shared" si="431"/>
        <v>Green</v>
      </c>
      <c r="W1322" t="str">
        <f t="shared" si="432"/>
        <v>Red</v>
      </c>
      <c r="X1322" t="str">
        <f t="shared" si="433"/>
        <v>Red</v>
      </c>
      <c r="Y1322" t="str">
        <f t="shared" si="434"/>
        <v>Red</v>
      </c>
      <c r="Z1322" t="str">
        <f t="shared" si="435"/>
        <v>Red</v>
      </c>
      <c r="AA1322" t="str">
        <f t="shared" si="436"/>
        <v>Green</v>
      </c>
      <c r="AB1322" t="str">
        <f t="shared" si="437"/>
        <v>Green</v>
      </c>
      <c r="AC1322" t="str">
        <f t="shared" si="438"/>
        <v>Red</v>
      </c>
      <c r="AD1322" t="str">
        <f t="shared" si="439"/>
        <v>Green</v>
      </c>
    </row>
    <row r="1323" spans="1:30" x14ac:dyDescent="0.2">
      <c r="A1323" t="str">
        <f t="shared" si="420"/>
        <v>25/07/2026NorthamptonBirmingham</v>
      </c>
      <c r="D1323" s="2">
        <v>46228</v>
      </c>
      <c r="E1323" s="3">
        <v>0.58333333333333337</v>
      </c>
      <c r="F1323" t="s">
        <v>1821</v>
      </c>
      <c r="G1323" t="s">
        <v>1815</v>
      </c>
      <c r="H1323">
        <v>0</v>
      </c>
      <c r="I1323">
        <v>2</v>
      </c>
      <c r="J1323">
        <v>0</v>
      </c>
      <c r="K1323">
        <v>2</v>
      </c>
      <c r="L1323" s="22" t="str">
        <f t="shared" si="421"/>
        <v>25/07/2026</v>
      </c>
      <c r="M1323" s="23">
        <f t="shared" si="422"/>
        <v>0.45833333333333337</v>
      </c>
      <c r="N1323" t="str">
        <f t="shared" si="423"/>
        <v>0 - 2</v>
      </c>
      <c r="O1323" t="str">
        <f t="shared" si="424"/>
        <v>Red</v>
      </c>
      <c r="P1323" t="str">
        <f t="shared" si="425"/>
        <v>Red</v>
      </c>
      <c r="Q1323" t="str">
        <f t="shared" si="426"/>
        <v>Green</v>
      </c>
      <c r="R1323" t="str">
        <f t="shared" si="427"/>
        <v>Red</v>
      </c>
      <c r="S1323" t="str">
        <f t="shared" si="428"/>
        <v>Green</v>
      </c>
      <c r="T1323" t="str">
        <f t="shared" si="429"/>
        <v>Green</v>
      </c>
      <c r="U1323" t="str">
        <f t="shared" si="430"/>
        <v>Red</v>
      </c>
      <c r="V1323" t="str">
        <f t="shared" si="431"/>
        <v>Red</v>
      </c>
      <c r="W1323" t="str">
        <f t="shared" si="432"/>
        <v>Green</v>
      </c>
      <c r="X1323" t="str">
        <f t="shared" si="433"/>
        <v>Green</v>
      </c>
      <c r="Y1323" t="str">
        <f t="shared" si="434"/>
        <v>Green</v>
      </c>
      <c r="Z1323" t="str">
        <f t="shared" si="435"/>
        <v>Red</v>
      </c>
      <c r="AA1323" t="str">
        <f t="shared" si="436"/>
        <v>Green</v>
      </c>
      <c r="AB1323" t="str">
        <f t="shared" si="437"/>
        <v>Green</v>
      </c>
      <c r="AC1323" t="str">
        <f t="shared" si="438"/>
        <v>Red</v>
      </c>
      <c r="AD1323" t="str">
        <f t="shared" si="439"/>
        <v>Green</v>
      </c>
    </row>
    <row r="1324" spans="1:30" x14ac:dyDescent="0.2">
      <c r="A1324" t="str">
        <f t="shared" si="420"/>
        <v>25/07/2026Oxford CityWalton &amp; Hersham</v>
      </c>
      <c r="D1324" s="2">
        <v>46228</v>
      </c>
      <c r="E1324" s="3">
        <v>0.58333333333333337</v>
      </c>
      <c r="F1324" t="s">
        <v>3900</v>
      </c>
      <c r="G1324" t="s">
        <v>1571</v>
      </c>
      <c r="H1324">
        <v>1</v>
      </c>
      <c r="I1324">
        <v>0</v>
      </c>
      <c r="J1324">
        <v>1</v>
      </c>
      <c r="K1324">
        <v>2</v>
      </c>
      <c r="L1324" s="22" t="str">
        <f t="shared" si="421"/>
        <v>25/07/2026</v>
      </c>
      <c r="M1324" s="23">
        <f t="shared" si="422"/>
        <v>0.45833333333333337</v>
      </c>
      <c r="N1324" t="str">
        <f t="shared" si="423"/>
        <v>1 - 2</v>
      </c>
      <c r="O1324" t="str">
        <f t="shared" si="424"/>
        <v>Red</v>
      </c>
      <c r="P1324" t="str">
        <f t="shared" si="425"/>
        <v>Red</v>
      </c>
      <c r="Q1324" t="str">
        <f t="shared" si="426"/>
        <v>Green</v>
      </c>
      <c r="R1324" t="str">
        <f t="shared" si="427"/>
        <v>Red</v>
      </c>
      <c r="S1324" t="str">
        <f t="shared" si="428"/>
        <v>Green</v>
      </c>
      <c r="T1324" t="str">
        <f t="shared" si="429"/>
        <v>Green</v>
      </c>
      <c r="U1324" t="str">
        <f t="shared" si="430"/>
        <v>Green</v>
      </c>
      <c r="V1324" t="str">
        <f t="shared" si="431"/>
        <v>Red</v>
      </c>
      <c r="W1324" t="str">
        <f t="shared" si="432"/>
        <v>Red</v>
      </c>
      <c r="X1324" t="str">
        <f t="shared" si="433"/>
        <v>Green</v>
      </c>
      <c r="Y1324" t="str">
        <f t="shared" si="434"/>
        <v>Green</v>
      </c>
      <c r="Z1324" t="str">
        <f t="shared" si="435"/>
        <v>Green</v>
      </c>
      <c r="AA1324" t="str">
        <f t="shared" si="436"/>
        <v>Red</v>
      </c>
      <c r="AB1324" t="str">
        <f t="shared" si="437"/>
        <v>Green</v>
      </c>
      <c r="AC1324" t="str">
        <f t="shared" si="438"/>
        <v>Green</v>
      </c>
      <c r="AD1324" t="str">
        <f t="shared" si="439"/>
        <v>Red</v>
      </c>
    </row>
    <row r="1325" spans="1:30" x14ac:dyDescent="0.2">
      <c r="A1325" t="str">
        <f t="shared" si="420"/>
        <v>25/07/2026PalermoNurnberg</v>
      </c>
      <c r="D1325" s="2">
        <v>46228</v>
      </c>
      <c r="E1325" s="3">
        <v>0.58333333333333337</v>
      </c>
      <c r="F1325" t="s">
        <v>1641</v>
      </c>
      <c r="G1325" t="s">
        <v>3901</v>
      </c>
      <c r="H1325">
        <v>0</v>
      </c>
      <c r="I1325">
        <v>1</v>
      </c>
      <c r="J1325">
        <v>2</v>
      </c>
      <c r="K1325">
        <v>2</v>
      </c>
      <c r="L1325" s="22" t="str">
        <f t="shared" si="421"/>
        <v>25/07/2026</v>
      </c>
      <c r="M1325" s="23">
        <f t="shared" si="422"/>
        <v>0.45833333333333337</v>
      </c>
      <c r="N1325" t="str">
        <f t="shared" si="423"/>
        <v>2 - 2</v>
      </c>
      <c r="O1325" t="str">
        <f t="shared" si="424"/>
        <v>Red</v>
      </c>
      <c r="P1325" t="str">
        <f t="shared" si="425"/>
        <v>Green</v>
      </c>
      <c r="Q1325" t="str">
        <f t="shared" si="426"/>
        <v>Red</v>
      </c>
      <c r="R1325" t="str">
        <f t="shared" si="427"/>
        <v>Green</v>
      </c>
      <c r="S1325" t="str">
        <f t="shared" si="428"/>
        <v>Green</v>
      </c>
      <c r="T1325" t="str">
        <f t="shared" si="429"/>
        <v>Red</v>
      </c>
      <c r="U1325" t="str">
        <f t="shared" si="430"/>
        <v>Red</v>
      </c>
      <c r="V1325" t="str">
        <f t="shared" si="431"/>
        <v>Red</v>
      </c>
      <c r="W1325" t="str">
        <f t="shared" si="432"/>
        <v>Green</v>
      </c>
      <c r="X1325" t="str">
        <f t="shared" si="433"/>
        <v>Green</v>
      </c>
      <c r="Y1325" t="str">
        <f t="shared" si="434"/>
        <v>Green</v>
      </c>
      <c r="Z1325" t="str">
        <f t="shared" si="435"/>
        <v>Green</v>
      </c>
      <c r="AA1325" t="str">
        <f t="shared" si="436"/>
        <v>Red</v>
      </c>
      <c r="AB1325" t="str">
        <f t="shared" si="437"/>
        <v>Red</v>
      </c>
      <c r="AC1325" t="str">
        <f t="shared" si="438"/>
        <v>Green</v>
      </c>
      <c r="AD1325" t="str">
        <f t="shared" si="439"/>
        <v>Red</v>
      </c>
    </row>
    <row r="1326" spans="1:30" x14ac:dyDescent="0.2">
      <c r="A1326" t="str">
        <f t="shared" si="420"/>
        <v>25/07/2026Queens Park RangersFiorentina</v>
      </c>
      <c r="D1326" s="2">
        <v>46228</v>
      </c>
      <c r="E1326" s="3">
        <v>0.58333333333333337</v>
      </c>
      <c r="F1326" t="s">
        <v>1427</v>
      </c>
      <c r="G1326" t="s">
        <v>1761</v>
      </c>
      <c r="H1326">
        <v>2</v>
      </c>
      <c r="I1326">
        <v>1</v>
      </c>
      <c r="J1326">
        <v>3</v>
      </c>
      <c r="K1326">
        <v>2</v>
      </c>
      <c r="L1326" s="22" t="str">
        <f t="shared" si="421"/>
        <v>25/07/2026</v>
      </c>
      <c r="M1326" s="23">
        <f t="shared" si="422"/>
        <v>0.45833333333333337</v>
      </c>
      <c r="N1326" t="str">
        <f t="shared" si="423"/>
        <v>3 - 2</v>
      </c>
      <c r="O1326" t="str">
        <f t="shared" si="424"/>
        <v>Green</v>
      </c>
      <c r="P1326" t="str">
        <f t="shared" si="425"/>
        <v>Red</v>
      </c>
      <c r="Q1326" t="str">
        <f t="shared" si="426"/>
        <v>Red</v>
      </c>
      <c r="R1326" t="str">
        <f t="shared" si="427"/>
        <v>Green</v>
      </c>
      <c r="S1326" t="str">
        <f t="shared" si="428"/>
        <v>Red</v>
      </c>
      <c r="T1326" t="str">
        <f t="shared" si="429"/>
        <v>Green</v>
      </c>
      <c r="U1326" t="str">
        <f t="shared" si="430"/>
        <v>Green</v>
      </c>
      <c r="V1326" t="str">
        <f t="shared" si="431"/>
        <v>Red</v>
      </c>
      <c r="W1326" t="str">
        <f t="shared" si="432"/>
        <v>Red</v>
      </c>
      <c r="X1326" t="str">
        <f t="shared" si="433"/>
        <v>Green</v>
      </c>
      <c r="Y1326" t="str">
        <f t="shared" si="434"/>
        <v>Green</v>
      </c>
      <c r="Z1326" t="str">
        <f t="shared" si="435"/>
        <v>Green</v>
      </c>
      <c r="AA1326" t="str">
        <f t="shared" si="436"/>
        <v>Red</v>
      </c>
      <c r="AB1326" t="str">
        <f t="shared" si="437"/>
        <v>Red</v>
      </c>
      <c r="AC1326" t="str">
        <f t="shared" si="438"/>
        <v>Green</v>
      </c>
      <c r="AD1326" t="str">
        <f t="shared" si="439"/>
        <v>Red</v>
      </c>
    </row>
    <row r="1327" spans="1:30" x14ac:dyDescent="0.2">
      <c r="A1327" t="str">
        <f t="shared" ref="A1327:A1390" si="440">L1326&amp;F1327&amp;G1327</f>
        <v>25/07/2026Redditch UnitedLoughborough University</v>
      </c>
      <c r="D1327" s="2">
        <v>46228</v>
      </c>
      <c r="E1327" s="3">
        <v>0.58333333333333337</v>
      </c>
      <c r="F1327" t="s">
        <v>3902</v>
      </c>
      <c r="G1327" t="s">
        <v>3903</v>
      </c>
      <c r="H1327">
        <v>2</v>
      </c>
      <c r="I1327">
        <v>0</v>
      </c>
      <c r="J1327">
        <v>2</v>
      </c>
      <c r="K1327">
        <v>2</v>
      </c>
      <c r="L1327" s="22" t="str">
        <f t="shared" ref="L1327:L1390" si="441">DAY(D1327)&amp;"/"&amp;"07"&amp;"/"&amp;YEAR(D1327)</f>
        <v>25/07/2026</v>
      </c>
      <c r="M1327" s="23">
        <f t="shared" ref="M1327:M1390" si="442">E1327-TIME(3,0,0)</f>
        <v>0.45833333333333337</v>
      </c>
      <c r="N1327" t="str">
        <f t="shared" ref="N1327:N1390" si="443">J1327&amp;" - "&amp;K1327</f>
        <v>2 - 2</v>
      </c>
      <c r="O1327" t="str">
        <f t="shared" si="424"/>
        <v>Red</v>
      </c>
      <c r="P1327" t="str">
        <f t="shared" si="425"/>
        <v>Green</v>
      </c>
      <c r="Q1327" t="str">
        <f t="shared" si="426"/>
        <v>Red</v>
      </c>
      <c r="R1327" t="str">
        <f t="shared" si="427"/>
        <v>Green</v>
      </c>
      <c r="S1327" t="str">
        <f t="shared" si="428"/>
        <v>Green</v>
      </c>
      <c r="T1327" t="str">
        <f t="shared" si="429"/>
        <v>Red</v>
      </c>
      <c r="U1327" t="str">
        <f t="shared" si="430"/>
        <v>Green</v>
      </c>
      <c r="V1327" t="str">
        <f t="shared" si="431"/>
        <v>Red</v>
      </c>
      <c r="W1327" t="str">
        <f t="shared" si="432"/>
        <v>Red</v>
      </c>
      <c r="X1327" t="str">
        <f t="shared" si="433"/>
        <v>Green</v>
      </c>
      <c r="Y1327" t="str">
        <f t="shared" si="434"/>
        <v>Green</v>
      </c>
      <c r="Z1327" t="str">
        <f t="shared" si="435"/>
        <v>Green</v>
      </c>
      <c r="AA1327" t="str">
        <f t="shared" si="436"/>
        <v>Red</v>
      </c>
      <c r="AB1327" t="str">
        <f t="shared" si="437"/>
        <v>Red</v>
      </c>
      <c r="AC1327" t="str">
        <f t="shared" si="438"/>
        <v>Green</v>
      </c>
      <c r="AD1327" t="str">
        <f t="shared" si="439"/>
        <v>Red</v>
      </c>
    </row>
    <row r="1328" spans="1:30" x14ac:dyDescent="0.2">
      <c r="A1328" t="str">
        <f t="shared" si="440"/>
        <v>25/07/2026Rochdale AFC Farnham</v>
      </c>
      <c r="D1328" s="2">
        <v>46228</v>
      </c>
      <c r="E1328" s="3">
        <v>0.58333333333333337</v>
      </c>
      <c r="F1328" t="s">
        <v>3904</v>
      </c>
      <c r="G1328" t="s">
        <v>1546</v>
      </c>
      <c r="H1328">
        <v>1</v>
      </c>
      <c r="I1328">
        <v>1</v>
      </c>
      <c r="J1328">
        <v>2</v>
      </c>
      <c r="K1328">
        <v>2</v>
      </c>
      <c r="L1328" s="22" t="str">
        <f t="shared" si="441"/>
        <v>25/07/2026</v>
      </c>
      <c r="M1328" s="23">
        <f t="shared" si="442"/>
        <v>0.45833333333333337</v>
      </c>
      <c r="N1328" t="str">
        <f t="shared" si="443"/>
        <v>2 - 2</v>
      </c>
      <c r="O1328" t="str">
        <f t="shared" si="424"/>
        <v>Red</v>
      </c>
      <c r="P1328" t="str">
        <f t="shared" si="425"/>
        <v>Green</v>
      </c>
      <c r="Q1328" t="str">
        <f t="shared" si="426"/>
        <v>Red</v>
      </c>
      <c r="R1328" t="str">
        <f t="shared" si="427"/>
        <v>Green</v>
      </c>
      <c r="S1328" t="str">
        <f t="shared" si="428"/>
        <v>Green</v>
      </c>
      <c r="T1328" t="str">
        <f t="shared" si="429"/>
        <v>Red</v>
      </c>
      <c r="U1328" t="str">
        <f t="shared" si="430"/>
        <v>Red</v>
      </c>
      <c r="V1328" t="str">
        <f t="shared" si="431"/>
        <v>Green</v>
      </c>
      <c r="W1328" t="str">
        <f t="shared" si="432"/>
        <v>Red</v>
      </c>
      <c r="X1328" t="str">
        <f t="shared" si="433"/>
        <v>Green</v>
      </c>
      <c r="Y1328" t="str">
        <f t="shared" si="434"/>
        <v>Green</v>
      </c>
      <c r="Z1328" t="str">
        <f t="shared" si="435"/>
        <v>Green</v>
      </c>
      <c r="AA1328" t="str">
        <f t="shared" si="436"/>
        <v>Red</v>
      </c>
      <c r="AB1328" t="str">
        <f t="shared" si="437"/>
        <v>Red</v>
      </c>
      <c r="AC1328" t="str">
        <f t="shared" si="438"/>
        <v>Green</v>
      </c>
      <c r="AD1328" t="str">
        <f t="shared" si="439"/>
        <v>Red</v>
      </c>
    </row>
    <row r="1329" spans="1:30" x14ac:dyDescent="0.2">
      <c r="A1329" t="str">
        <f t="shared" si="440"/>
        <v>25/07/2026Rotherham UnitedSheffield United</v>
      </c>
      <c r="D1329" s="2">
        <v>46228</v>
      </c>
      <c r="E1329" s="3">
        <v>0.58333333333333337</v>
      </c>
      <c r="F1329" t="s">
        <v>1490</v>
      </c>
      <c r="G1329" t="s">
        <v>1425</v>
      </c>
      <c r="H1329">
        <v>0</v>
      </c>
      <c r="I1329">
        <v>1</v>
      </c>
      <c r="J1329">
        <v>0</v>
      </c>
      <c r="K1329">
        <v>2</v>
      </c>
      <c r="L1329" s="22" t="str">
        <f t="shared" si="441"/>
        <v>25/07/2026</v>
      </c>
      <c r="M1329" s="23">
        <f t="shared" si="442"/>
        <v>0.45833333333333337</v>
      </c>
      <c r="N1329" t="str">
        <f t="shared" si="443"/>
        <v>0 - 2</v>
      </c>
      <c r="O1329" t="str">
        <f t="shared" si="424"/>
        <v>Red</v>
      </c>
      <c r="P1329" t="str">
        <f t="shared" si="425"/>
        <v>Red</v>
      </c>
      <c r="Q1329" t="str">
        <f t="shared" si="426"/>
        <v>Green</v>
      </c>
      <c r="R1329" t="str">
        <f t="shared" si="427"/>
        <v>Red</v>
      </c>
      <c r="S1329" t="str">
        <f t="shared" si="428"/>
        <v>Green</v>
      </c>
      <c r="T1329" t="str">
        <f t="shared" si="429"/>
        <v>Green</v>
      </c>
      <c r="U1329" t="str">
        <f t="shared" si="430"/>
        <v>Red</v>
      </c>
      <c r="V1329" t="str">
        <f t="shared" si="431"/>
        <v>Red</v>
      </c>
      <c r="W1329" t="str">
        <f t="shared" si="432"/>
        <v>Green</v>
      </c>
      <c r="X1329" t="str">
        <f t="shared" si="433"/>
        <v>Green</v>
      </c>
      <c r="Y1329" t="str">
        <f t="shared" si="434"/>
        <v>Green</v>
      </c>
      <c r="Z1329" t="str">
        <f t="shared" si="435"/>
        <v>Red</v>
      </c>
      <c r="AA1329" t="str">
        <f t="shared" si="436"/>
        <v>Green</v>
      </c>
      <c r="AB1329" t="str">
        <f t="shared" si="437"/>
        <v>Green</v>
      </c>
      <c r="AC1329" t="str">
        <f t="shared" si="438"/>
        <v>Red</v>
      </c>
      <c r="AD1329" t="str">
        <f t="shared" si="439"/>
        <v>Green</v>
      </c>
    </row>
    <row r="1330" spans="1:30" x14ac:dyDescent="0.2">
      <c r="A1330" t="str">
        <f t="shared" si="440"/>
        <v>25/07/2026Royston TownBillericay Town</v>
      </c>
      <c r="D1330" s="2">
        <v>46228</v>
      </c>
      <c r="E1330" s="3">
        <v>0.58333333333333337</v>
      </c>
      <c r="F1330" t="s">
        <v>3905</v>
      </c>
      <c r="G1330" t="s">
        <v>1541</v>
      </c>
      <c r="H1330">
        <v>0</v>
      </c>
      <c r="I1330">
        <v>3</v>
      </c>
      <c r="J1330">
        <v>0</v>
      </c>
      <c r="K1330">
        <v>3</v>
      </c>
      <c r="L1330" s="22" t="str">
        <f t="shared" si="441"/>
        <v>25/07/2026</v>
      </c>
      <c r="M1330" s="23">
        <f t="shared" si="442"/>
        <v>0.45833333333333337</v>
      </c>
      <c r="N1330" t="str">
        <f t="shared" si="443"/>
        <v>0 - 3</v>
      </c>
      <c r="O1330" t="str">
        <f t="shared" si="424"/>
        <v>Red</v>
      </c>
      <c r="P1330" t="str">
        <f t="shared" si="425"/>
        <v>Red</v>
      </c>
      <c r="Q1330" t="str">
        <f t="shared" si="426"/>
        <v>Green</v>
      </c>
      <c r="R1330" t="str">
        <f t="shared" si="427"/>
        <v>Red</v>
      </c>
      <c r="S1330" t="str">
        <f t="shared" si="428"/>
        <v>Green</v>
      </c>
      <c r="T1330" t="str">
        <f t="shared" si="429"/>
        <v>Green</v>
      </c>
      <c r="U1330" t="str">
        <f t="shared" si="430"/>
        <v>Red</v>
      </c>
      <c r="V1330" t="str">
        <f t="shared" si="431"/>
        <v>Red</v>
      </c>
      <c r="W1330" t="str">
        <f t="shared" si="432"/>
        <v>Green</v>
      </c>
      <c r="X1330" t="str">
        <f t="shared" si="433"/>
        <v>Green</v>
      </c>
      <c r="Y1330" t="str">
        <f t="shared" si="434"/>
        <v>Green</v>
      </c>
      <c r="Z1330" t="str">
        <f t="shared" si="435"/>
        <v>Green</v>
      </c>
      <c r="AA1330" t="str">
        <f t="shared" si="436"/>
        <v>Red</v>
      </c>
      <c r="AB1330" t="str">
        <f t="shared" si="437"/>
        <v>Green</v>
      </c>
      <c r="AC1330" t="str">
        <f t="shared" si="438"/>
        <v>Red</v>
      </c>
      <c r="AD1330" t="str">
        <f t="shared" si="439"/>
        <v>Green</v>
      </c>
    </row>
    <row r="1331" spans="1:30" x14ac:dyDescent="0.2">
      <c r="A1331" t="str">
        <f t="shared" si="440"/>
        <v>25/07/2026Runcorn LinnetsAshton United</v>
      </c>
      <c r="D1331" s="2">
        <v>46228</v>
      </c>
      <c r="E1331" s="3">
        <v>0.58333333333333337</v>
      </c>
      <c r="F1331" t="s">
        <v>3906</v>
      </c>
      <c r="G1331" t="s">
        <v>3907</v>
      </c>
      <c r="H1331">
        <v>2</v>
      </c>
      <c r="I1331">
        <v>2</v>
      </c>
      <c r="J1331">
        <v>2</v>
      </c>
      <c r="K1331">
        <v>4</v>
      </c>
      <c r="L1331" s="22" t="str">
        <f t="shared" si="441"/>
        <v>25/07/2026</v>
      </c>
      <c r="M1331" s="23">
        <f t="shared" si="442"/>
        <v>0.45833333333333337</v>
      </c>
      <c r="N1331" t="str">
        <f t="shared" si="443"/>
        <v>2 - 4</v>
      </c>
      <c r="O1331" t="str">
        <f t="shared" si="424"/>
        <v>Red</v>
      </c>
      <c r="P1331" t="str">
        <f t="shared" si="425"/>
        <v>Red</v>
      </c>
      <c r="Q1331" t="str">
        <f t="shared" si="426"/>
        <v>Green</v>
      </c>
      <c r="R1331" t="str">
        <f t="shared" si="427"/>
        <v>Red</v>
      </c>
      <c r="S1331" t="str">
        <f t="shared" si="428"/>
        <v>Green</v>
      </c>
      <c r="T1331" t="str">
        <f t="shared" si="429"/>
        <v>Green</v>
      </c>
      <c r="U1331" t="str">
        <f t="shared" si="430"/>
        <v>Red</v>
      </c>
      <c r="V1331" t="str">
        <f t="shared" si="431"/>
        <v>Green</v>
      </c>
      <c r="W1331" t="str">
        <f t="shared" si="432"/>
        <v>Red</v>
      </c>
      <c r="X1331" t="str">
        <f t="shared" si="433"/>
        <v>Green</v>
      </c>
      <c r="Y1331" t="str">
        <f t="shared" si="434"/>
        <v>Green</v>
      </c>
      <c r="Z1331" t="str">
        <f t="shared" si="435"/>
        <v>Green</v>
      </c>
      <c r="AA1331" t="str">
        <f t="shared" si="436"/>
        <v>Red</v>
      </c>
      <c r="AB1331" t="str">
        <f t="shared" si="437"/>
        <v>Red</v>
      </c>
      <c r="AC1331" t="str">
        <f t="shared" si="438"/>
        <v>Green</v>
      </c>
      <c r="AD1331" t="str">
        <f t="shared" si="439"/>
        <v>Red</v>
      </c>
    </row>
    <row r="1332" spans="1:30" x14ac:dyDescent="0.2">
      <c r="A1332" t="str">
        <f t="shared" si="440"/>
        <v>25/07/2026Salford CityDundee United</v>
      </c>
      <c r="D1332" s="2">
        <v>46228</v>
      </c>
      <c r="E1332" s="3">
        <v>0.58333333333333337</v>
      </c>
      <c r="F1332" t="s">
        <v>3908</v>
      </c>
      <c r="G1332" t="s">
        <v>1390</v>
      </c>
      <c r="H1332">
        <v>2</v>
      </c>
      <c r="I1332">
        <v>0</v>
      </c>
      <c r="J1332">
        <v>3</v>
      </c>
      <c r="K1332">
        <v>2</v>
      </c>
      <c r="L1332" s="22" t="str">
        <f t="shared" si="441"/>
        <v>25/07/2026</v>
      </c>
      <c r="M1332" s="23">
        <f t="shared" si="442"/>
        <v>0.45833333333333337</v>
      </c>
      <c r="N1332" t="str">
        <f t="shared" si="443"/>
        <v>3 - 2</v>
      </c>
      <c r="O1332" t="str">
        <f t="shared" si="424"/>
        <v>Green</v>
      </c>
      <c r="P1332" t="str">
        <f t="shared" si="425"/>
        <v>Red</v>
      </c>
      <c r="Q1332" t="str">
        <f t="shared" si="426"/>
        <v>Red</v>
      </c>
      <c r="R1332" t="str">
        <f t="shared" si="427"/>
        <v>Green</v>
      </c>
      <c r="S1332" t="str">
        <f t="shared" si="428"/>
        <v>Red</v>
      </c>
      <c r="T1332" t="str">
        <f t="shared" si="429"/>
        <v>Green</v>
      </c>
      <c r="U1332" t="str">
        <f t="shared" si="430"/>
        <v>Green</v>
      </c>
      <c r="V1332" t="str">
        <f t="shared" si="431"/>
        <v>Red</v>
      </c>
      <c r="W1332" t="str">
        <f t="shared" si="432"/>
        <v>Red</v>
      </c>
      <c r="X1332" t="str">
        <f t="shared" si="433"/>
        <v>Green</v>
      </c>
      <c r="Y1332" t="str">
        <f t="shared" si="434"/>
        <v>Green</v>
      </c>
      <c r="Z1332" t="str">
        <f t="shared" si="435"/>
        <v>Green</v>
      </c>
      <c r="AA1332" t="str">
        <f t="shared" si="436"/>
        <v>Red</v>
      </c>
      <c r="AB1332" t="str">
        <f t="shared" si="437"/>
        <v>Red</v>
      </c>
      <c r="AC1332" t="str">
        <f t="shared" si="438"/>
        <v>Green</v>
      </c>
      <c r="AD1332" t="str">
        <f t="shared" si="439"/>
        <v>Red</v>
      </c>
    </row>
    <row r="1333" spans="1:30" x14ac:dyDescent="0.2">
      <c r="A1333" t="str">
        <f t="shared" si="440"/>
        <v>25/07/2026Schalke 04Fagiano Okayama</v>
      </c>
      <c r="D1333" s="2">
        <v>46228</v>
      </c>
      <c r="E1333" s="3">
        <v>0.58333333333333337</v>
      </c>
      <c r="F1333" t="s">
        <v>1620</v>
      </c>
      <c r="G1333" t="s">
        <v>1443</v>
      </c>
      <c r="H1333">
        <v>2</v>
      </c>
      <c r="I1333">
        <v>1</v>
      </c>
      <c r="J1333">
        <v>3</v>
      </c>
      <c r="K1333">
        <v>1</v>
      </c>
      <c r="L1333" s="22" t="str">
        <f t="shared" si="441"/>
        <v>25/07/2026</v>
      </c>
      <c r="M1333" s="23">
        <f t="shared" si="442"/>
        <v>0.45833333333333337</v>
      </c>
      <c r="N1333" t="str">
        <f t="shared" si="443"/>
        <v>3 - 1</v>
      </c>
      <c r="O1333" t="str">
        <f t="shared" si="424"/>
        <v>Green</v>
      </c>
      <c r="P1333" t="str">
        <f t="shared" si="425"/>
        <v>Red</v>
      </c>
      <c r="Q1333" t="str">
        <f t="shared" si="426"/>
        <v>Red</v>
      </c>
      <c r="R1333" t="str">
        <f t="shared" si="427"/>
        <v>Green</v>
      </c>
      <c r="S1333" t="str">
        <f t="shared" si="428"/>
        <v>Red</v>
      </c>
      <c r="T1333" t="str">
        <f t="shared" si="429"/>
        <v>Green</v>
      </c>
      <c r="U1333" t="str">
        <f t="shared" si="430"/>
        <v>Green</v>
      </c>
      <c r="V1333" t="str">
        <f t="shared" si="431"/>
        <v>Red</v>
      </c>
      <c r="W1333" t="str">
        <f t="shared" si="432"/>
        <v>Red</v>
      </c>
      <c r="X1333" t="str">
        <f t="shared" si="433"/>
        <v>Green</v>
      </c>
      <c r="Y1333" t="str">
        <f t="shared" si="434"/>
        <v>Green</v>
      </c>
      <c r="Z1333" t="str">
        <f t="shared" si="435"/>
        <v>Green</v>
      </c>
      <c r="AA1333" t="str">
        <f t="shared" si="436"/>
        <v>Red</v>
      </c>
      <c r="AB1333" t="str">
        <f t="shared" si="437"/>
        <v>Red</v>
      </c>
      <c r="AC1333" t="str">
        <f t="shared" si="438"/>
        <v>Green</v>
      </c>
      <c r="AD1333" t="str">
        <f t="shared" si="439"/>
        <v>Red</v>
      </c>
    </row>
    <row r="1334" spans="1:30" x14ac:dyDescent="0.2">
      <c r="A1334" t="str">
        <f t="shared" si="440"/>
        <v>25/07/2026Shifnal TownRushall Olympic</v>
      </c>
      <c r="D1334" s="2">
        <v>46228</v>
      </c>
      <c r="E1334" s="3">
        <v>0.58333333333333337</v>
      </c>
      <c r="F1334" t="s">
        <v>3909</v>
      </c>
      <c r="G1334" t="s">
        <v>3910</v>
      </c>
      <c r="H1334">
        <v>1</v>
      </c>
      <c r="I1334">
        <v>0</v>
      </c>
      <c r="J1334">
        <v>1</v>
      </c>
      <c r="K1334">
        <v>2</v>
      </c>
      <c r="L1334" s="22" t="str">
        <f t="shared" si="441"/>
        <v>25/07/2026</v>
      </c>
      <c r="M1334" s="23">
        <f t="shared" si="442"/>
        <v>0.45833333333333337</v>
      </c>
      <c r="N1334" t="str">
        <f t="shared" si="443"/>
        <v>1 - 2</v>
      </c>
      <c r="O1334" t="str">
        <f t="shared" si="424"/>
        <v>Red</v>
      </c>
      <c r="P1334" t="str">
        <f t="shared" si="425"/>
        <v>Red</v>
      </c>
      <c r="Q1334" t="str">
        <f t="shared" si="426"/>
        <v>Green</v>
      </c>
      <c r="R1334" t="str">
        <f t="shared" si="427"/>
        <v>Red</v>
      </c>
      <c r="S1334" t="str">
        <f t="shared" si="428"/>
        <v>Green</v>
      </c>
      <c r="T1334" t="str">
        <f t="shared" si="429"/>
        <v>Green</v>
      </c>
      <c r="U1334" t="str">
        <f t="shared" si="430"/>
        <v>Green</v>
      </c>
      <c r="V1334" t="str">
        <f t="shared" si="431"/>
        <v>Red</v>
      </c>
      <c r="W1334" t="str">
        <f t="shared" si="432"/>
        <v>Red</v>
      </c>
      <c r="X1334" t="str">
        <f t="shared" si="433"/>
        <v>Green</v>
      </c>
      <c r="Y1334" t="str">
        <f t="shared" si="434"/>
        <v>Green</v>
      </c>
      <c r="Z1334" t="str">
        <f t="shared" si="435"/>
        <v>Green</v>
      </c>
      <c r="AA1334" t="str">
        <f t="shared" si="436"/>
        <v>Red</v>
      </c>
      <c r="AB1334" t="str">
        <f t="shared" si="437"/>
        <v>Green</v>
      </c>
      <c r="AC1334" t="str">
        <f t="shared" si="438"/>
        <v>Green</v>
      </c>
      <c r="AD1334" t="str">
        <f t="shared" si="439"/>
        <v>Red</v>
      </c>
    </row>
    <row r="1335" spans="1:30" x14ac:dyDescent="0.2">
      <c r="A1335" t="str">
        <f t="shared" si="440"/>
        <v>25/07/2026SholingFolkestone Invicta</v>
      </c>
      <c r="D1335" s="2">
        <v>46228</v>
      </c>
      <c r="E1335" s="3">
        <v>0.58333333333333337</v>
      </c>
      <c r="F1335" t="s">
        <v>3911</v>
      </c>
      <c r="G1335" t="s">
        <v>3912</v>
      </c>
      <c r="H1335">
        <v>1</v>
      </c>
      <c r="I1335">
        <v>0</v>
      </c>
      <c r="J1335">
        <v>1</v>
      </c>
      <c r="K1335">
        <v>0</v>
      </c>
      <c r="L1335" s="22" t="str">
        <f t="shared" si="441"/>
        <v>25/07/2026</v>
      </c>
      <c r="M1335" s="23">
        <f t="shared" si="442"/>
        <v>0.45833333333333337</v>
      </c>
      <c r="N1335" t="str">
        <f t="shared" si="443"/>
        <v>1 - 0</v>
      </c>
      <c r="O1335" t="str">
        <f t="shared" si="424"/>
        <v>Green</v>
      </c>
      <c r="P1335" t="str">
        <f t="shared" si="425"/>
        <v>Red</v>
      </c>
      <c r="Q1335" t="str">
        <f t="shared" si="426"/>
        <v>Red</v>
      </c>
      <c r="R1335" t="str">
        <f t="shared" si="427"/>
        <v>Green</v>
      </c>
      <c r="S1335" t="str">
        <f t="shared" si="428"/>
        <v>Red</v>
      </c>
      <c r="T1335" t="str">
        <f t="shared" si="429"/>
        <v>Green</v>
      </c>
      <c r="U1335" t="str">
        <f t="shared" si="430"/>
        <v>Green</v>
      </c>
      <c r="V1335" t="str">
        <f t="shared" si="431"/>
        <v>Red</v>
      </c>
      <c r="W1335" t="str">
        <f t="shared" si="432"/>
        <v>Red</v>
      </c>
      <c r="X1335" t="str">
        <f t="shared" si="433"/>
        <v>Green</v>
      </c>
      <c r="Y1335" t="str">
        <f t="shared" si="434"/>
        <v>Red</v>
      </c>
      <c r="Z1335" t="str">
        <f t="shared" si="435"/>
        <v>Red</v>
      </c>
      <c r="AA1335" t="str">
        <f t="shared" si="436"/>
        <v>Green</v>
      </c>
      <c r="AB1335" t="str">
        <f t="shared" si="437"/>
        <v>Green</v>
      </c>
      <c r="AC1335" t="str">
        <f t="shared" si="438"/>
        <v>Red</v>
      </c>
      <c r="AD1335" t="str">
        <f t="shared" si="439"/>
        <v>Green</v>
      </c>
    </row>
    <row r="1336" spans="1:30" x14ac:dyDescent="0.2">
      <c r="A1336" t="str">
        <f t="shared" si="440"/>
        <v>25/07/2026Shrewsbury TownWest Bromwich Albion</v>
      </c>
      <c r="D1336" s="2">
        <v>46228</v>
      </c>
      <c r="E1336" s="3">
        <v>0.58333333333333337</v>
      </c>
      <c r="F1336" t="s">
        <v>1510</v>
      </c>
      <c r="G1336" t="s">
        <v>3913</v>
      </c>
      <c r="H1336">
        <v>1</v>
      </c>
      <c r="I1336">
        <v>3</v>
      </c>
      <c r="J1336">
        <v>1</v>
      </c>
      <c r="K1336">
        <v>4</v>
      </c>
      <c r="L1336" s="22" t="str">
        <f t="shared" si="441"/>
        <v>25/07/2026</v>
      </c>
      <c r="M1336" s="23">
        <f t="shared" si="442"/>
        <v>0.45833333333333337</v>
      </c>
      <c r="N1336" t="str">
        <f t="shared" si="443"/>
        <v>1 - 4</v>
      </c>
      <c r="O1336" t="str">
        <f t="shared" si="424"/>
        <v>Red</v>
      </c>
      <c r="P1336" t="str">
        <f t="shared" si="425"/>
        <v>Red</v>
      </c>
      <c r="Q1336" t="str">
        <f t="shared" si="426"/>
        <v>Green</v>
      </c>
      <c r="R1336" t="str">
        <f t="shared" si="427"/>
        <v>Red</v>
      </c>
      <c r="S1336" t="str">
        <f t="shared" si="428"/>
        <v>Green</v>
      </c>
      <c r="T1336" t="str">
        <f t="shared" si="429"/>
        <v>Green</v>
      </c>
      <c r="U1336" t="str">
        <f t="shared" si="430"/>
        <v>Red</v>
      </c>
      <c r="V1336" t="str">
        <f t="shared" si="431"/>
        <v>Red</v>
      </c>
      <c r="W1336" t="str">
        <f t="shared" si="432"/>
        <v>Green</v>
      </c>
      <c r="X1336" t="str">
        <f t="shared" si="433"/>
        <v>Green</v>
      </c>
      <c r="Y1336" t="str">
        <f t="shared" si="434"/>
        <v>Green</v>
      </c>
      <c r="Z1336" t="str">
        <f t="shared" si="435"/>
        <v>Green</v>
      </c>
      <c r="AA1336" t="str">
        <f t="shared" si="436"/>
        <v>Red</v>
      </c>
      <c r="AB1336" t="str">
        <f t="shared" si="437"/>
        <v>Red</v>
      </c>
      <c r="AC1336" t="str">
        <f t="shared" si="438"/>
        <v>Green</v>
      </c>
      <c r="AD1336" t="str">
        <f t="shared" si="439"/>
        <v>Red</v>
      </c>
    </row>
    <row r="1337" spans="1:30" x14ac:dyDescent="0.2">
      <c r="A1337" t="str">
        <f t="shared" si="440"/>
        <v>25/07/2026Sollentuna FFIFK Stocksund</v>
      </c>
      <c r="D1337" s="2">
        <v>46228</v>
      </c>
      <c r="E1337" s="3">
        <v>0.58333333333333337</v>
      </c>
      <c r="F1337" t="s">
        <v>1457</v>
      </c>
      <c r="G1337" t="s">
        <v>3914</v>
      </c>
      <c r="H1337">
        <v>0</v>
      </c>
      <c r="I1337">
        <v>0</v>
      </c>
      <c r="J1337">
        <v>1</v>
      </c>
      <c r="K1337">
        <v>1</v>
      </c>
      <c r="L1337" s="22" t="str">
        <f t="shared" si="441"/>
        <v>25/07/2026</v>
      </c>
      <c r="M1337" s="23">
        <f t="shared" si="442"/>
        <v>0.45833333333333337</v>
      </c>
      <c r="N1337" t="str">
        <f t="shared" si="443"/>
        <v>1 - 1</v>
      </c>
      <c r="O1337" t="str">
        <f t="shared" si="424"/>
        <v>Red</v>
      </c>
      <c r="P1337" t="str">
        <f t="shared" si="425"/>
        <v>Green</v>
      </c>
      <c r="Q1337" t="str">
        <f t="shared" si="426"/>
        <v>Red</v>
      </c>
      <c r="R1337" t="str">
        <f t="shared" si="427"/>
        <v>Green</v>
      </c>
      <c r="S1337" t="str">
        <f t="shared" si="428"/>
        <v>Green</v>
      </c>
      <c r="T1337" t="str">
        <f t="shared" si="429"/>
        <v>Red</v>
      </c>
      <c r="U1337" t="str">
        <f t="shared" si="430"/>
        <v>Red</v>
      </c>
      <c r="V1337" t="str">
        <f t="shared" si="431"/>
        <v>Green</v>
      </c>
      <c r="W1337" t="str">
        <f t="shared" si="432"/>
        <v>Red</v>
      </c>
      <c r="X1337" t="str">
        <f t="shared" si="433"/>
        <v>Red</v>
      </c>
      <c r="Y1337" t="str">
        <f t="shared" si="434"/>
        <v>Green</v>
      </c>
      <c r="Z1337" t="str">
        <f t="shared" si="435"/>
        <v>Red</v>
      </c>
      <c r="AA1337" t="str">
        <f t="shared" si="436"/>
        <v>Green</v>
      </c>
      <c r="AB1337" t="str">
        <f t="shared" si="437"/>
        <v>Green</v>
      </c>
      <c r="AC1337" t="str">
        <f t="shared" si="438"/>
        <v>Green</v>
      </c>
      <c r="AD1337" t="str">
        <f t="shared" si="439"/>
        <v>Red</v>
      </c>
    </row>
    <row r="1338" spans="1:30" x14ac:dyDescent="0.2">
      <c r="A1338" t="str">
        <f t="shared" si="440"/>
        <v>25/07/2026Southend UnitedLeyton Orient</v>
      </c>
      <c r="D1338" s="2">
        <v>46228</v>
      </c>
      <c r="E1338" s="3">
        <v>0.58333333333333337</v>
      </c>
      <c r="F1338" t="s">
        <v>1820</v>
      </c>
      <c r="G1338" t="s">
        <v>1472</v>
      </c>
      <c r="H1338">
        <v>0</v>
      </c>
      <c r="I1338">
        <v>0</v>
      </c>
      <c r="J1338">
        <v>1</v>
      </c>
      <c r="K1338">
        <v>1</v>
      </c>
      <c r="L1338" s="22" t="str">
        <f t="shared" si="441"/>
        <v>25/07/2026</v>
      </c>
      <c r="M1338" s="23">
        <f t="shared" si="442"/>
        <v>0.45833333333333337</v>
      </c>
      <c r="N1338" t="str">
        <f t="shared" si="443"/>
        <v>1 - 1</v>
      </c>
      <c r="O1338" t="str">
        <f t="shared" si="424"/>
        <v>Red</v>
      </c>
      <c r="P1338" t="str">
        <f t="shared" si="425"/>
        <v>Green</v>
      </c>
      <c r="Q1338" t="str">
        <f t="shared" si="426"/>
        <v>Red</v>
      </c>
      <c r="R1338" t="str">
        <f t="shared" si="427"/>
        <v>Green</v>
      </c>
      <c r="S1338" t="str">
        <f t="shared" si="428"/>
        <v>Green</v>
      </c>
      <c r="T1338" t="str">
        <f t="shared" si="429"/>
        <v>Red</v>
      </c>
      <c r="U1338" t="str">
        <f t="shared" si="430"/>
        <v>Red</v>
      </c>
      <c r="V1338" t="str">
        <f t="shared" si="431"/>
        <v>Green</v>
      </c>
      <c r="W1338" t="str">
        <f t="shared" si="432"/>
        <v>Red</v>
      </c>
      <c r="X1338" t="str">
        <f t="shared" si="433"/>
        <v>Red</v>
      </c>
      <c r="Y1338" t="str">
        <f t="shared" si="434"/>
        <v>Green</v>
      </c>
      <c r="Z1338" t="str">
        <f t="shared" si="435"/>
        <v>Red</v>
      </c>
      <c r="AA1338" t="str">
        <f t="shared" si="436"/>
        <v>Green</v>
      </c>
      <c r="AB1338" t="str">
        <f t="shared" si="437"/>
        <v>Green</v>
      </c>
      <c r="AC1338" t="str">
        <f t="shared" si="438"/>
        <v>Green</v>
      </c>
      <c r="AD1338" t="str">
        <f t="shared" si="439"/>
        <v>Red</v>
      </c>
    </row>
    <row r="1339" spans="1:30" x14ac:dyDescent="0.2">
      <c r="A1339" t="str">
        <f t="shared" si="440"/>
        <v>25/07/2026Spalding UnitedBishop's Stortford</v>
      </c>
      <c r="D1339" s="2">
        <v>46228</v>
      </c>
      <c r="E1339" s="3">
        <v>0.58333333333333337</v>
      </c>
      <c r="F1339" t="s">
        <v>3915</v>
      </c>
      <c r="G1339" t="s">
        <v>3916</v>
      </c>
      <c r="H1339">
        <v>5</v>
      </c>
      <c r="I1339">
        <v>0</v>
      </c>
      <c r="J1339">
        <v>5</v>
      </c>
      <c r="K1339">
        <v>0</v>
      </c>
      <c r="L1339" s="22" t="str">
        <f t="shared" si="441"/>
        <v>25/07/2026</v>
      </c>
      <c r="M1339" s="23">
        <f t="shared" si="442"/>
        <v>0.45833333333333337</v>
      </c>
      <c r="N1339" t="str">
        <f t="shared" si="443"/>
        <v>5 - 0</v>
      </c>
      <c r="O1339" t="str">
        <f t="shared" si="424"/>
        <v>Green</v>
      </c>
      <c r="P1339" t="str">
        <f t="shared" si="425"/>
        <v>Red</v>
      </c>
      <c r="Q1339" t="str">
        <f t="shared" si="426"/>
        <v>Red</v>
      </c>
      <c r="R1339" t="str">
        <f t="shared" si="427"/>
        <v>Green</v>
      </c>
      <c r="S1339" t="str">
        <f t="shared" si="428"/>
        <v>Red</v>
      </c>
      <c r="T1339" t="str">
        <f t="shared" si="429"/>
        <v>Green</v>
      </c>
      <c r="U1339" t="str">
        <f t="shared" si="430"/>
        <v>Green</v>
      </c>
      <c r="V1339" t="str">
        <f t="shared" si="431"/>
        <v>Red</v>
      </c>
      <c r="W1339" t="str">
        <f t="shared" si="432"/>
        <v>Red</v>
      </c>
      <c r="X1339" t="str">
        <f t="shared" si="433"/>
        <v>Green</v>
      </c>
      <c r="Y1339" t="str">
        <f t="shared" si="434"/>
        <v>Green</v>
      </c>
      <c r="Z1339" t="str">
        <f t="shared" si="435"/>
        <v>Green</v>
      </c>
      <c r="AA1339" t="str">
        <f t="shared" si="436"/>
        <v>Red</v>
      </c>
      <c r="AB1339" t="str">
        <f t="shared" si="437"/>
        <v>Red</v>
      </c>
      <c r="AC1339" t="str">
        <f t="shared" si="438"/>
        <v>Red</v>
      </c>
      <c r="AD1339" t="str">
        <f t="shared" si="439"/>
        <v>Green</v>
      </c>
    </row>
    <row r="1340" spans="1:30" x14ac:dyDescent="0.2">
      <c r="A1340" t="str">
        <f t="shared" si="440"/>
        <v>25/07/2026Spennymoor TownHalifax Town</v>
      </c>
      <c r="D1340" s="2">
        <v>46228</v>
      </c>
      <c r="E1340" s="3">
        <v>0.58333333333333337</v>
      </c>
      <c r="F1340" t="s">
        <v>1492</v>
      </c>
      <c r="G1340" t="s">
        <v>1548</v>
      </c>
      <c r="H1340">
        <v>0</v>
      </c>
      <c r="I1340">
        <v>1</v>
      </c>
      <c r="J1340">
        <v>1</v>
      </c>
      <c r="K1340">
        <v>3</v>
      </c>
      <c r="L1340" s="22" t="str">
        <f t="shared" si="441"/>
        <v>25/07/2026</v>
      </c>
      <c r="M1340" s="23">
        <f t="shared" si="442"/>
        <v>0.45833333333333337</v>
      </c>
      <c r="N1340" t="str">
        <f t="shared" si="443"/>
        <v>1 - 3</v>
      </c>
      <c r="O1340" t="str">
        <f t="shared" si="424"/>
        <v>Red</v>
      </c>
      <c r="P1340" t="str">
        <f t="shared" si="425"/>
        <v>Red</v>
      </c>
      <c r="Q1340" t="str">
        <f t="shared" si="426"/>
        <v>Green</v>
      </c>
      <c r="R1340" t="str">
        <f t="shared" si="427"/>
        <v>Red</v>
      </c>
      <c r="S1340" t="str">
        <f t="shared" si="428"/>
        <v>Green</v>
      </c>
      <c r="T1340" t="str">
        <f t="shared" si="429"/>
        <v>Green</v>
      </c>
      <c r="U1340" t="str">
        <f t="shared" si="430"/>
        <v>Red</v>
      </c>
      <c r="V1340" t="str">
        <f t="shared" si="431"/>
        <v>Red</v>
      </c>
      <c r="W1340" t="str">
        <f t="shared" si="432"/>
        <v>Green</v>
      </c>
      <c r="X1340" t="str">
        <f t="shared" si="433"/>
        <v>Green</v>
      </c>
      <c r="Y1340" t="str">
        <f t="shared" si="434"/>
        <v>Green</v>
      </c>
      <c r="Z1340" t="str">
        <f t="shared" si="435"/>
        <v>Green</v>
      </c>
      <c r="AA1340" t="str">
        <f t="shared" si="436"/>
        <v>Red</v>
      </c>
      <c r="AB1340" t="str">
        <f t="shared" si="437"/>
        <v>Red</v>
      </c>
      <c r="AC1340" t="str">
        <f t="shared" si="438"/>
        <v>Green</v>
      </c>
      <c r="AD1340" t="str">
        <f t="shared" si="439"/>
        <v>Red</v>
      </c>
    </row>
    <row r="1341" spans="1:30" x14ac:dyDescent="0.2">
      <c r="A1341" t="str">
        <f t="shared" si="440"/>
        <v>25/07/2026Stalybridge CelticLeek Town</v>
      </c>
      <c r="D1341" s="2">
        <v>46228</v>
      </c>
      <c r="E1341" s="3">
        <v>0.58333333333333337</v>
      </c>
      <c r="F1341" t="s">
        <v>3917</v>
      </c>
      <c r="G1341" t="s">
        <v>1501</v>
      </c>
      <c r="H1341">
        <v>0</v>
      </c>
      <c r="I1341">
        <v>1</v>
      </c>
      <c r="J1341">
        <v>1</v>
      </c>
      <c r="K1341">
        <v>1</v>
      </c>
      <c r="L1341" s="22" t="str">
        <f t="shared" si="441"/>
        <v>25/07/2026</v>
      </c>
      <c r="M1341" s="23">
        <f t="shared" si="442"/>
        <v>0.45833333333333337</v>
      </c>
      <c r="N1341" t="str">
        <f t="shared" si="443"/>
        <v>1 - 1</v>
      </c>
      <c r="O1341" t="str">
        <f t="shared" si="424"/>
        <v>Red</v>
      </c>
      <c r="P1341" t="str">
        <f t="shared" si="425"/>
        <v>Green</v>
      </c>
      <c r="Q1341" t="str">
        <f t="shared" si="426"/>
        <v>Red</v>
      </c>
      <c r="R1341" t="str">
        <f t="shared" si="427"/>
        <v>Green</v>
      </c>
      <c r="S1341" t="str">
        <f t="shared" si="428"/>
        <v>Green</v>
      </c>
      <c r="T1341" t="str">
        <f t="shared" si="429"/>
        <v>Red</v>
      </c>
      <c r="U1341" t="str">
        <f t="shared" si="430"/>
        <v>Red</v>
      </c>
      <c r="V1341" t="str">
        <f t="shared" si="431"/>
        <v>Red</v>
      </c>
      <c r="W1341" t="str">
        <f t="shared" si="432"/>
        <v>Green</v>
      </c>
      <c r="X1341" t="str">
        <f t="shared" si="433"/>
        <v>Green</v>
      </c>
      <c r="Y1341" t="str">
        <f t="shared" si="434"/>
        <v>Green</v>
      </c>
      <c r="Z1341" t="str">
        <f t="shared" si="435"/>
        <v>Red</v>
      </c>
      <c r="AA1341" t="str">
        <f t="shared" si="436"/>
        <v>Green</v>
      </c>
      <c r="AB1341" t="str">
        <f t="shared" si="437"/>
        <v>Green</v>
      </c>
      <c r="AC1341" t="str">
        <f t="shared" si="438"/>
        <v>Green</v>
      </c>
      <c r="AD1341" t="str">
        <f t="shared" si="439"/>
        <v>Red</v>
      </c>
    </row>
    <row r="1342" spans="1:30" x14ac:dyDescent="0.2">
      <c r="A1342" t="str">
        <f t="shared" si="440"/>
        <v>25/07/2026StamfordBourne Town</v>
      </c>
      <c r="D1342" s="2">
        <v>46228</v>
      </c>
      <c r="E1342" s="3">
        <v>0.58333333333333337</v>
      </c>
      <c r="F1342" t="s">
        <v>1566</v>
      </c>
      <c r="G1342" t="s">
        <v>3918</v>
      </c>
      <c r="H1342">
        <v>0</v>
      </c>
      <c r="I1342">
        <v>2</v>
      </c>
      <c r="J1342">
        <v>0</v>
      </c>
      <c r="K1342">
        <v>5</v>
      </c>
      <c r="L1342" s="22" t="str">
        <f t="shared" si="441"/>
        <v>25/07/2026</v>
      </c>
      <c r="M1342" s="23">
        <f t="shared" si="442"/>
        <v>0.45833333333333337</v>
      </c>
      <c r="N1342" t="str">
        <f t="shared" si="443"/>
        <v>0 - 5</v>
      </c>
      <c r="O1342" t="str">
        <f t="shared" si="424"/>
        <v>Red</v>
      </c>
      <c r="P1342" t="str">
        <f t="shared" si="425"/>
        <v>Red</v>
      </c>
      <c r="Q1342" t="str">
        <f t="shared" si="426"/>
        <v>Green</v>
      </c>
      <c r="R1342" t="str">
        <f t="shared" si="427"/>
        <v>Red</v>
      </c>
      <c r="S1342" t="str">
        <f t="shared" si="428"/>
        <v>Green</v>
      </c>
      <c r="T1342" t="str">
        <f t="shared" si="429"/>
        <v>Green</v>
      </c>
      <c r="U1342" t="str">
        <f t="shared" si="430"/>
        <v>Red</v>
      </c>
      <c r="V1342" t="str">
        <f t="shared" si="431"/>
        <v>Red</v>
      </c>
      <c r="W1342" t="str">
        <f t="shared" si="432"/>
        <v>Green</v>
      </c>
      <c r="X1342" t="str">
        <f t="shared" si="433"/>
        <v>Green</v>
      </c>
      <c r="Y1342" t="str">
        <f t="shared" si="434"/>
        <v>Green</v>
      </c>
      <c r="Z1342" t="str">
        <f t="shared" si="435"/>
        <v>Green</v>
      </c>
      <c r="AA1342" t="str">
        <f t="shared" si="436"/>
        <v>Red</v>
      </c>
      <c r="AB1342" t="str">
        <f t="shared" si="437"/>
        <v>Red</v>
      </c>
      <c r="AC1342" t="str">
        <f t="shared" si="438"/>
        <v>Red</v>
      </c>
      <c r="AD1342" t="str">
        <f t="shared" si="439"/>
        <v>Green</v>
      </c>
    </row>
    <row r="1343" spans="1:30" x14ac:dyDescent="0.2">
      <c r="A1343" t="str">
        <f t="shared" si="440"/>
        <v>25/07/2026StevenageMillwall</v>
      </c>
      <c r="D1343" s="2">
        <v>46228</v>
      </c>
      <c r="E1343" s="3">
        <v>0.58333333333333337</v>
      </c>
      <c r="F1343" t="s">
        <v>1831</v>
      </c>
      <c r="G1343" t="s">
        <v>1478</v>
      </c>
      <c r="H1343">
        <v>0</v>
      </c>
      <c r="I1343">
        <v>0</v>
      </c>
      <c r="J1343">
        <v>1</v>
      </c>
      <c r="K1343">
        <v>0</v>
      </c>
      <c r="L1343" s="22" t="str">
        <f t="shared" si="441"/>
        <v>25/07/2026</v>
      </c>
      <c r="M1343" s="23">
        <f t="shared" si="442"/>
        <v>0.45833333333333337</v>
      </c>
      <c r="N1343" t="str">
        <f t="shared" si="443"/>
        <v>1 - 0</v>
      </c>
      <c r="O1343" t="str">
        <f t="shared" si="424"/>
        <v>Green</v>
      </c>
      <c r="P1343" t="str">
        <f t="shared" si="425"/>
        <v>Red</v>
      </c>
      <c r="Q1343" t="str">
        <f t="shared" si="426"/>
        <v>Red</v>
      </c>
      <c r="R1343" t="str">
        <f t="shared" si="427"/>
        <v>Green</v>
      </c>
      <c r="S1343" t="str">
        <f t="shared" si="428"/>
        <v>Red</v>
      </c>
      <c r="T1343" t="str">
        <f t="shared" si="429"/>
        <v>Green</v>
      </c>
      <c r="U1343" t="str">
        <f t="shared" si="430"/>
        <v>Red</v>
      </c>
      <c r="V1343" t="str">
        <f t="shared" si="431"/>
        <v>Green</v>
      </c>
      <c r="W1343" t="str">
        <f t="shared" si="432"/>
        <v>Red</v>
      </c>
      <c r="X1343" t="str">
        <f t="shared" si="433"/>
        <v>Red</v>
      </c>
      <c r="Y1343" t="str">
        <f t="shared" si="434"/>
        <v>Red</v>
      </c>
      <c r="Z1343" t="str">
        <f t="shared" si="435"/>
        <v>Red</v>
      </c>
      <c r="AA1343" t="str">
        <f t="shared" si="436"/>
        <v>Green</v>
      </c>
      <c r="AB1343" t="str">
        <f t="shared" si="437"/>
        <v>Green</v>
      </c>
      <c r="AC1343" t="str">
        <f t="shared" si="438"/>
        <v>Red</v>
      </c>
      <c r="AD1343" t="str">
        <f t="shared" si="439"/>
        <v>Green</v>
      </c>
    </row>
    <row r="1344" spans="1:30" x14ac:dyDescent="0.2">
      <c r="A1344" t="str">
        <f t="shared" si="440"/>
        <v>25/07/2026Steyning TownWhitehawk</v>
      </c>
      <c r="D1344" s="2">
        <v>46228</v>
      </c>
      <c r="E1344" s="3">
        <v>0.58333333333333337</v>
      </c>
      <c r="F1344" t="s">
        <v>3919</v>
      </c>
      <c r="G1344" t="s">
        <v>3920</v>
      </c>
      <c r="H1344">
        <v>0</v>
      </c>
      <c r="I1344">
        <v>0</v>
      </c>
      <c r="J1344">
        <v>1</v>
      </c>
      <c r="K1344">
        <v>3</v>
      </c>
      <c r="L1344" s="22" t="str">
        <f t="shared" si="441"/>
        <v>25/07/2026</v>
      </c>
      <c r="M1344" s="23">
        <f t="shared" si="442"/>
        <v>0.45833333333333337</v>
      </c>
      <c r="N1344" t="str">
        <f t="shared" si="443"/>
        <v>1 - 3</v>
      </c>
      <c r="O1344" t="str">
        <f t="shared" si="424"/>
        <v>Red</v>
      </c>
      <c r="P1344" t="str">
        <f t="shared" si="425"/>
        <v>Red</v>
      </c>
      <c r="Q1344" t="str">
        <f t="shared" si="426"/>
        <v>Green</v>
      </c>
      <c r="R1344" t="str">
        <f t="shared" si="427"/>
        <v>Red</v>
      </c>
      <c r="S1344" t="str">
        <f t="shared" si="428"/>
        <v>Green</v>
      </c>
      <c r="T1344" t="str">
        <f t="shared" si="429"/>
        <v>Green</v>
      </c>
      <c r="U1344" t="str">
        <f t="shared" si="430"/>
        <v>Red</v>
      </c>
      <c r="V1344" t="str">
        <f t="shared" si="431"/>
        <v>Green</v>
      </c>
      <c r="W1344" t="str">
        <f t="shared" si="432"/>
        <v>Red</v>
      </c>
      <c r="X1344" t="str">
        <f t="shared" si="433"/>
        <v>Red</v>
      </c>
      <c r="Y1344" t="str">
        <f t="shared" si="434"/>
        <v>Green</v>
      </c>
      <c r="Z1344" t="str">
        <f t="shared" si="435"/>
        <v>Green</v>
      </c>
      <c r="AA1344" t="str">
        <f t="shared" si="436"/>
        <v>Red</v>
      </c>
      <c r="AB1344" t="str">
        <f t="shared" si="437"/>
        <v>Red</v>
      </c>
      <c r="AC1344" t="str">
        <f t="shared" si="438"/>
        <v>Green</v>
      </c>
      <c r="AD1344" t="str">
        <f t="shared" si="439"/>
        <v>Red</v>
      </c>
    </row>
    <row r="1345" spans="1:30" x14ac:dyDescent="0.2">
      <c r="A1345" t="str">
        <f t="shared" si="440"/>
        <v>25/07/2026StourbridgeMalvern Town</v>
      </c>
      <c r="D1345" s="2">
        <v>46228</v>
      </c>
      <c r="E1345" s="3">
        <v>0.58333333333333337</v>
      </c>
      <c r="F1345" t="s">
        <v>3921</v>
      </c>
      <c r="G1345" t="s">
        <v>3922</v>
      </c>
      <c r="H1345">
        <v>0</v>
      </c>
      <c r="I1345">
        <v>1</v>
      </c>
      <c r="J1345">
        <v>1</v>
      </c>
      <c r="K1345">
        <v>2</v>
      </c>
      <c r="L1345" s="22" t="str">
        <f t="shared" si="441"/>
        <v>25/07/2026</v>
      </c>
      <c r="M1345" s="23">
        <f t="shared" si="442"/>
        <v>0.45833333333333337</v>
      </c>
      <c r="N1345" t="str">
        <f t="shared" si="443"/>
        <v>1 - 2</v>
      </c>
      <c r="O1345" t="str">
        <f t="shared" si="424"/>
        <v>Red</v>
      </c>
      <c r="P1345" t="str">
        <f t="shared" si="425"/>
        <v>Red</v>
      </c>
      <c r="Q1345" t="str">
        <f t="shared" si="426"/>
        <v>Green</v>
      </c>
      <c r="R1345" t="str">
        <f t="shared" si="427"/>
        <v>Red</v>
      </c>
      <c r="S1345" t="str">
        <f t="shared" si="428"/>
        <v>Green</v>
      </c>
      <c r="T1345" t="str">
        <f t="shared" si="429"/>
        <v>Green</v>
      </c>
      <c r="U1345" t="str">
        <f t="shared" si="430"/>
        <v>Red</v>
      </c>
      <c r="V1345" t="str">
        <f t="shared" si="431"/>
        <v>Red</v>
      </c>
      <c r="W1345" t="str">
        <f t="shared" si="432"/>
        <v>Green</v>
      </c>
      <c r="X1345" t="str">
        <f t="shared" si="433"/>
        <v>Green</v>
      </c>
      <c r="Y1345" t="str">
        <f t="shared" si="434"/>
        <v>Green</v>
      </c>
      <c r="Z1345" t="str">
        <f t="shared" si="435"/>
        <v>Green</v>
      </c>
      <c r="AA1345" t="str">
        <f t="shared" si="436"/>
        <v>Red</v>
      </c>
      <c r="AB1345" t="str">
        <f t="shared" si="437"/>
        <v>Green</v>
      </c>
      <c r="AC1345" t="str">
        <f t="shared" si="438"/>
        <v>Green</v>
      </c>
      <c r="AD1345" t="str">
        <f t="shared" si="439"/>
        <v>Red</v>
      </c>
    </row>
    <row r="1346" spans="1:30" x14ac:dyDescent="0.2">
      <c r="A1346" t="str">
        <f t="shared" si="440"/>
        <v>25/07/2026Sutton UnitedHorsham</v>
      </c>
      <c r="D1346" s="2">
        <v>46228</v>
      </c>
      <c r="E1346" s="3">
        <v>0.58333333333333337</v>
      </c>
      <c r="F1346" t="s">
        <v>1570</v>
      </c>
      <c r="G1346" t="s">
        <v>1553</v>
      </c>
      <c r="H1346">
        <v>2</v>
      </c>
      <c r="I1346">
        <v>0</v>
      </c>
      <c r="J1346">
        <v>2</v>
      </c>
      <c r="K1346">
        <v>0</v>
      </c>
      <c r="L1346" s="22" t="str">
        <f t="shared" si="441"/>
        <v>25/07/2026</v>
      </c>
      <c r="M1346" s="23">
        <f t="shared" si="442"/>
        <v>0.45833333333333337</v>
      </c>
      <c r="N1346" t="str">
        <f t="shared" si="443"/>
        <v>2 - 0</v>
      </c>
      <c r="O1346" t="str">
        <f t="shared" ref="O1346:O1409" si="444">IF($J1346&gt;$K1346,"Green","Red")</f>
        <v>Green</v>
      </c>
      <c r="P1346" t="str">
        <f t="shared" ref="P1346:P1409" si="445">IF($J1346=$K1346,"Green","Red")</f>
        <v>Red</v>
      </c>
      <c r="Q1346" t="str">
        <f t="shared" ref="Q1346:Q1409" si="446">IF($J1346&lt;$K1346,"Green","Red")</f>
        <v>Red</v>
      </c>
      <c r="R1346" t="str">
        <f t="shared" ref="R1346:R1409" si="447">IF($J1346&gt;=$K1346,"Green","Red")</f>
        <v>Green</v>
      </c>
      <c r="S1346" t="str">
        <f t="shared" ref="S1346:S1409" si="448">IF($J1346&lt;=$K1346,"Green","Red")</f>
        <v>Red</v>
      </c>
      <c r="T1346" t="str">
        <f t="shared" ref="T1346:T1409" si="449">IF(OR($J1346&gt;$K1346,$J1346&lt;$K1346),"Green","Red")</f>
        <v>Green</v>
      </c>
      <c r="U1346" t="str">
        <f t="shared" ref="U1346:U1409" si="450">IF($H1346&gt;$I1346,"Green","Red")</f>
        <v>Green</v>
      </c>
      <c r="V1346" t="str">
        <f t="shared" ref="V1346:V1409" si="451">IF($H1346=$I1346,"Green","Red")</f>
        <v>Red</v>
      </c>
      <c r="W1346" t="str">
        <f t="shared" ref="W1346:W1409" si="452">IF($H1346&lt;$I1346,"Green","Red")</f>
        <v>Red</v>
      </c>
      <c r="X1346" t="str">
        <f t="shared" ref="X1346:X1409" si="453">IF($H1346+$I1346&gt;0,"Green","Red")</f>
        <v>Green</v>
      </c>
      <c r="Y1346" t="str">
        <f t="shared" ref="Y1346:Y1409" si="454">IF($J1346+$K1346&gt;1.5,"Green","Red")</f>
        <v>Green</v>
      </c>
      <c r="Z1346" t="str">
        <f t="shared" ref="Z1346:Z1409" si="455">IF($J1346+$K1346&gt;2.5,"Green","Red")</f>
        <v>Red</v>
      </c>
      <c r="AA1346" t="str">
        <f t="shared" ref="AA1346:AA1409" si="456">IF($J1346+$K1346&lt;2.5,"Green","Red")</f>
        <v>Green</v>
      </c>
      <c r="AB1346" t="str">
        <f t="shared" ref="AB1346:AB1409" si="457">IF($J1346+$K1346&lt;3.5,"Green","Red")</f>
        <v>Green</v>
      </c>
      <c r="AC1346" t="str">
        <f t="shared" ref="AC1346:AC1409" si="458">IF(AND($J1346&gt;0,$K1346&gt;0),"Green","Red")</f>
        <v>Red</v>
      </c>
      <c r="AD1346" t="str">
        <f t="shared" ref="AD1346:AD1409" si="459">IF(OR($J1346=0,$K1346=0),"Green","Red")</f>
        <v>Green</v>
      </c>
    </row>
    <row r="1347" spans="1:30" x14ac:dyDescent="0.2">
      <c r="A1347" t="str">
        <f t="shared" si="440"/>
        <v>25/07/2026Telford UnitedWalsall</v>
      </c>
      <c r="D1347" s="2">
        <v>46228</v>
      </c>
      <c r="E1347" s="3">
        <v>0.58333333333333337</v>
      </c>
      <c r="F1347" t="s">
        <v>1516</v>
      </c>
      <c r="G1347" t="s">
        <v>1482</v>
      </c>
      <c r="H1347">
        <v>1</v>
      </c>
      <c r="I1347">
        <v>0</v>
      </c>
      <c r="J1347">
        <v>1</v>
      </c>
      <c r="K1347">
        <v>0</v>
      </c>
      <c r="L1347" s="22" t="str">
        <f t="shared" si="441"/>
        <v>25/07/2026</v>
      </c>
      <c r="M1347" s="23">
        <f t="shared" si="442"/>
        <v>0.45833333333333337</v>
      </c>
      <c r="N1347" t="str">
        <f t="shared" si="443"/>
        <v>1 - 0</v>
      </c>
      <c r="O1347" t="str">
        <f t="shared" si="444"/>
        <v>Green</v>
      </c>
      <c r="P1347" t="str">
        <f t="shared" si="445"/>
        <v>Red</v>
      </c>
      <c r="Q1347" t="str">
        <f t="shared" si="446"/>
        <v>Red</v>
      </c>
      <c r="R1347" t="str">
        <f t="shared" si="447"/>
        <v>Green</v>
      </c>
      <c r="S1347" t="str">
        <f t="shared" si="448"/>
        <v>Red</v>
      </c>
      <c r="T1347" t="str">
        <f t="shared" si="449"/>
        <v>Green</v>
      </c>
      <c r="U1347" t="str">
        <f t="shared" si="450"/>
        <v>Green</v>
      </c>
      <c r="V1347" t="str">
        <f t="shared" si="451"/>
        <v>Red</v>
      </c>
      <c r="W1347" t="str">
        <f t="shared" si="452"/>
        <v>Red</v>
      </c>
      <c r="X1347" t="str">
        <f t="shared" si="453"/>
        <v>Green</v>
      </c>
      <c r="Y1347" t="str">
        <f t="shared" si="454"/>
        <v>Red</v>
      </c>
      <c r="Z1347" t="str">
        <f t="shared" si="455"/>
        <v>Red</v>
      </c>
      <c r="AA1347" t="str">
        <f t="shared" si="456"/>
        <v>Green</v>
      </c>
      <c r="AB1347" t="str">
        <f t="shared" si="457"/>
        <v>Green</v>
      </c>
      <c r="AC1347" t="str">
        <f t="shared" si="458"/>
        <v>Red</v>
      </c>
      <c r="AD1347" t="str">
        <f t="shared" si="459"/>
        <v>Green</v>
      </c>
    </row>
    <row r="1348" spans="1:30" x14ac:dyDescent="0.2">
      <c r="A1348" t="str">
        <f t="shared" si="440"/>
        <v>25/07/2026Tonbridge AngelsDulwich Hamlet</v>
      </c>
      <c r="D1348" s="2">
        <v>46228</v>
      </c>
      <c r="E1348" s="3">
        <v>0.58333333333333337</v>
      </c>
      <c r="F1348" t="s">
        <v>1574</v>
      </c>
      <c r="G1348" t="s">
        <v>1554</v>
      </c>
      <c r="H1348">
        <v>0</v>
      </c>
      <c r="I1348">
        <v>1</v>
      </c>
      <c r="J1348">
        <v>3</v>
      </c>
      <c r="K1348">
        <v>1</v>
      </c>
      <c r="L1348" s="22" t="str">
        <f t="shared" si="441"/>
        <v>25/07/2026</v>
      </c>
      <c r="M1348" s="23">
        <f t="shared" si="442"/>
        <v>0.45833333333333337</v>
      </c>
      <c r="N1348" t="str">
        <f t="shared" si="443"/>
        <v>3 - 1</v>
      </c>
      <c r="O1348" t="str">
        <f t="shared" si="444"/>
        <v>Green</v>
      </c>
      <c r="P1348" t="str">
        <f t="shared" si="445"/>
        <v>Red</v>
      </c>
      <c r="Q1348" t="str">
        <f t="shared" si="446"/>
        <v>Red</v>
      </c>
      <c r="R1348" t="str">
        <f t="shared" si="447"/>
        <v>Green</v>
      </c>
      <c r="S1348" t="str">
        <f t="shared" si="448"/>
        <v>Red</v>
      </c>
      <c r="T1348" t="str">
        <f t="shared" si="449"/>
        <v>Green</v>
      </c>
      <c r="U1348" t="str">
        <f t="shared" si="450"/>
        <v>Red</v>
      </c>
      <c r="V1348" t="str">
        <f t="shared" si="451"/>
        <v>Red</v>
      </c>
      <c r="W1348" t="str">
        <f t="shared" si="452"/>
        <v>Green</v>
      </c>
      <c r="X1348" t="str">
        <f t="shared" si="453"/>
        <v>Green</v>
      </c>
      <c r="Y1348" t="str">
        <f t="shared" si="454"/>
        <v>Green</v>
      </c>
      <c r="Z1348" t="str">
        <f t="shared" si="455"/>
        <v>Green</v>
      </c>
      <c r="AA1348" t="str">
        <f t="shared" si="456"/>
        <v>Red</v>
      </c>
      <c r="AB1348" t="str">
        <f t="shared" si="457"/>
        <v>Red</v>
      </c>
      <c r="AC1348" t="str">
        <f t="shared" si="458"/>
        <v>Green</v>
      </c>
      <c r="AD1348" t="str">
        <f t="shared" si="459"/>
        <v>Red</v>
      </c>
    </row>
    <row r="1349" spans="1:30" x14ac:dyDescent="0.2">
      <c r="A1349" t="str">
        <f t="shared" si="440"/>
        <v>25/07/2026TroyesGrenoble</v>
      </c>
      <c r="D1349" s="2">
        <v>46228</v>
      </c>
      <c r="E1349" s="3">
        <v>0.58333333333333337</v>
      </c>
      <c r="F1349" t="s">
        <v>3923</v>
      </c>
      <c r="G1349" t="s">
        <v>3924</v>
      </c>
      <c r="H1349">
        <v>3</v>
      </c>
      <c r="I1349">
        <v>0</v>
      </c>
      <c r="J1349">
        <v>3</v>
      </c>
      <c r="K1349">
        <v>0</v>
      </c>
      <c r="L1349" s="22" t="str">
        <f t="shared" si="441"/>
        <v>25/07/2026</v>
      </c>
      <c r="M1349" s="23">
        <f t="shared" si="442"/>
        <v>0.45833333333333337</v>
      </c>
      <c r="N1349" t="str">
        <f t="shared" si="443"/>
        <v>3 - 0</v>
      </c>
      <c r="O1349" t="str">
        <f t="shared" si="444"/>
        <v>Green</v>
      </c>
      <c r="P1349" t="str">
        <f t="shared" si="445"/>
        <v>Red</v>
      </c>
      <c r="Q1349" t="str">
        <f t="shared" si="446"/>
        <v>Red</v>
      </c>
      <c r="R1349" t="str">
        <f t="shared" si="447"/>
        <v>Green</v>
      </c>
      <c r="S1349" t="str">
        <f t="shared" si="448"/>
        <v>Red</v>
      </c>
      <c r="T1349" t="str">
        <f t="shared" si="449"/>
        <v>Green</v>
      </c>
      <c r="U1349" t="str">
        <f t="shared" si="450"/>
        <v>Green</v>
      </c>
      <c r="V1349" t="str">
        <f t="shared" si="451"/>
        <v>Red</v>
      </c>
      <c r="W1349" t="str">
        <f t="shared" si="452"/>
        <v>Red</v>
      </c>
      <c r="X1349" t="str">
        <f t="shared" si="453"/>
        <v>Green</v>
      </c>
      <c r="Y1349" t="str">
        <f t="shared" si="454"/>
        <v>Green</v>
      </c>
      <c r="Z1349" t="str">
        <f t="shared" si="455"/>
        <v>Green</v>
      </c>
      <c r="AA1349" t="str">
        <f t="shared" si="456"/>
        <v>Red</v>
      </c>
      <c r="AB1349" t="str">
        <f t="shared" si="457"/>
        <v>Green</v>
      </c>
      <c r="AC1349" t="str">
        <f t="shared" si="458"/>
        <v>Red</v>
      </c>
      <c r="AD1349" t="str">
        <f t="shared" si="459"/>
        <v>Green</v>
      </c>
    </row>
    <row r="1350" spans="1:30" x14ac:dyDescent="0.2">
      <c r="A1350" t="str">
        <f t="shared" si="440"/>
        <v>25/07/2026Truro CityPlymouth Argyle</v>
      </c>
      <c r="D1350" s="2">
        <v>46228</v>
      </c>
      <c r="E1350" s="3">
        <v>0.58333333333333337</v>
      </c>
      <c r="F1350" t="s">
        <v>3925</v>
      </c>
      <c r="G1350" t="s">
        <v>1519</v>
      </c>
      <c r="H1350">
        <v>0</v>
      </c>
      <c r="I1350">
        <v>0</v>
      </c>
      <c r="J1350">
        <v>0</v>
      </c>
      <c r="K1350">
        <v>1</v>
      </c>
      <c r="L1350" s="22" t="str">
        <f t="shared" si="441"/>
        <v>25/07/2026</v>
      </c>
      <c r="M1350" s="23">
        <f t="shared" si="442"/>
        <v>0.45833333333333337</v>
      </c>
      <c r="N1350" t="str">
        <f t="shared" si="443"/>
        <v>0 - 1</v>
      </c>
      <c r="O1350" t="str">
        <f t="shared" si="444"/>
        <v>Red</v>
      </c>
      <c r="P1350" t="str">
        <f t="shared" si="445"/>
        <v>Red</v>
      </c>
      <c r="Q1350" t="str">
        <f t="shared" si="446"/>
        <v>Green</v>
      </c>
      <c r="R1350" t="str">
        <f t="shared" si="447"/>
        <v>Red</v>
      </c>
      <c r="S1350" t="str">
        <f t="shared" si="448"/>
        <v>Green</v>
      </c>
      <c r="T1350" t="str">
        <f t="shared" si="449"/>
        <v>Green</v>
      </c>
      <c r="U1350" t="str">
        <f t="shared" si="450"/>
        <v>Red</v>
      </c>
      <c r="V1350" t="str">
        <f t="shared" si="451"/>
        <v>Green</v>
      </c>
      <c r="W1350" t="str">
        <f t="shared" si="452"/>
        <v>Red</v>
      </c>
      <c r="X1350" t="str">
        <f t="shared" si="453"/>
        <v>Red</v>
      </c>
      <c r="Y1350" t="str">
        <f t="shared" si="454"/>
        <v>Red</v>
      </c>
      <c r="Z1350" t="str">
        <f t="shared" si="455"/>
        <v>Red</v>
      </c>
      <c r="AA1350" t="str">
        <f t="shared" si="456"/>
        <v>Green</v>
      </c>
      <c r="AB1350" t="str">
        <f t="shared" si="457"/>
        <v>Green</v>
      </c>
      <c r="AC1350" t="str">
        <f t="shared" si="458"/>
        <v>Red</v>
      </c>
      <c r="AD1350" t="str">
        <f t="shared" si="459"/>
        <v>Green</v>
      </c>
    </row>
    <row r="1351" spans="1:30" x14ac:dyDescent="0.2">
      <c r="A1351" t="str">
        <f t="shared" si="440"/>
        <v>25/07/2026Warrington TownSouthport</v>
      </c>
      <c r="D1351" s="2">
        <v>46228</v>
      </c>
      <c r="E1351" s="3">
        <v>0.58333333333333337</v>
      </c>
      <c r="F1351" t="s">
        <v>1578</v>
      </c>
      <c r="G1351" t="s">
        <v>2715</v>
      </c>
      <c r="H1351">
        <v>1</v>
      </c>
      <c r="I1351">
        <v>3</v>
      </c>
      <c r="J1351">
        <v>2</v>
      </c>
      <c r="K1351">
        <v>3</v>
      </c>
      <c r="L1351" s="22" t="str">
        <f t="shared" si="441"/>
        <v>25/07/2026</v>
      </c>
      <c r="M1351" s="23">
        <f t="shared" si="442"/>
        <v>0.45833333333333337</v>
      </c>
      <c r="N1351" t="str">
        <f t="shared" si="443"/>
        <v>2 - 3</v>
      </c>
      <c r="O1351" t="str">
        <f t="shared" si="444"/>
        <v>Red</v>
      </c>
      <c r="P1351" t="str">
        <f t="shared" si="445"/>
        <v>Red</v>
      </c>
      <c r="Q1351" t="str">
        <f t="shared" si="446"/>
        <v>Green</v>
      </c>
      <c r="R1351" t="str">
        <f t="shared" si="447"/>
        <v>Red</v>
      </c>
      <c r="S1351" t="str">
        <f t="shared" si="448"/>
        <v>Green</v>
      </c>
      <c r="T1351" t="str">
        <f t="shared" si="449"/>
        <v>Green</v>
      </c>
      <c r="U1351" t="str">
        <f t="shared" si="450"/>
        <v>Red</v>
      </c>
      <c r="V1351" t="str">
        <f t="shared" si="451"/>
        <v>Red</v>
      </c>
      <c r="W1351" t="str">
        <f t="shared" si="452"/>
        <v>Green</v>
      </c>
      <c r="X1351" t="str">
        <f t="shared" si="453"/>
        <v>Green</v>
      </c>
      <c r="Y1351" t="str">
        <f t="shared" si="454"/>
        <v>Green</v>
      </c>
      <c r="Z1351" t="str">
        <f t="shared" si="455"/>
        <v>Green</v>
      </c>
      <c r="AA1351" t="str">
        <f t="shared" si="456"/>
        <v>Red</v>
      </c>
      <c r="AB1351" t="str">
        <f t="shared" si="457"/>
        <v>Red</v>
      </c>
      <c r="AC1351" t="str">
        <f t="shared" si="458"/>
        <v>Green</v>
      </c>
      <c r="AD1351" t="str">
        <f t="shared" si="459"/>
        <v>Red</v>
      </c>
    </row>
    <row r="1352" spans="1:30" x14ac:dyDescent="0.2">
      <c r="A1352" t="str">
        <f t="shared" si="440"/>
        <v>25/07/2026WealdstoneMK Dons</v>
      </c>
      <c r="D1352" s="2">
        <v>46228</v>
      </c>
      <c r="E1352" s="3">
        <v>0.58333333333333337</v>
      </c>
      <c r="F1352" t="s">
        <v>1494</v>
      </c>
      <c r="G1352" t="s">
        <v>1726</v>
      </c>
      <c r="H1352">
        <v>1</v>
      </c>
      <c r="I1352">
        <v>0</v>
      </c>
      <c r="J1352">
        <v>2</v>
      </c>
      <c r="K1352">
        <v>0</v>
      </c>
      <c r="L1352" s="22" t="str">
        <f t="shared" si="441"/>
        <v>25/07/2026</v>
      </c>
      <c r="M1352" s="23">
        <f t="shared" si="442"/>
        <v>0.45833333333333337</v>
      </c>
      <c r="N1352" t="str">
        <f t="shared" si="443"/>
        <v>2 - 0</v>
      </c>
      <c r="O1352" t="str">
        <f t="shared" si="444"/>
        <v>Green</v>
      </c>
      <c r="P1352" t="str">
        <f t="shared" si="445"/>
        <v>Red</v>
      </c>
      <c r="Q1352" t="str">
        <f t="shared" si="446"/>
        <v>Red</v>
      </c>
      <c r="R1352" t="str">
        <f t="shared" si="447"/>
        <v>Green</v>
      </c>
      <c r="S1352" t="str">
        <f t="shared" si="448"/>
        <v>Red</v>
      </c>
      <c r="T1352" t="str">
        <f t="shared" si="449"/>
        <v>Green</v>
      </c>
      <c r="U1352" t="str">
        <f t="shared" si="450"/>
        <v>Green</v>
      </c>
      <c r="V1352" t="str">
        <f t="shared" si="451"/>
        <v>Red</v>
      </c>
      <c r="W1352" t="str">
        <f t="shared" si="452"/>
        <v>Red</v>
      </c>
      <c r="X1352" t="str">
        <f t="shared" si="453"/>
        <v>Green</v>
      </c>
      <c r="Y1352" t="str">
        <f t="shared" si="454"/>
        <v>Green</v>
      </c>
      <c r="Z1352" t="str">
        <f t="shared" si="455"/>
        <v>Red</v>
      </c>
      <c r="AA1352" t="str">
        <f t="shared" si="456"/>
        <v>Green</v>
      </c>
      <c r="AB1352" t="str">
        <f t="shared" si="457"/>
        <v>Green</v>
      </c>
      <c r="AC1352" t="str">
        <f t="shared" si="458"/>
        <v>Red</v>
      </c>
      <c r="AD1352" t="str">
        <f t="shared" si="459"/>
        <v>Green</v>
      </c>
    </row>
    <row r="1353" spans="1:30" x14ac:dyDescent="0.2">
      <c r="A1353" t="str">
        <f t="shared" si="440"/>
        <v>25/07/2026Weston Super MareExeter</v>
      </c>
      <c r="D1353" s="2">
        <v>46228</v>
      </c>
      <c r="E1353" s="3">
        <v>0.58333333333333337</v>
      </c>
      <c r="F1353" t="s">
        <v>1515</v>
      </c>
      <c r="G1353" t="s">
        <v>3926</v>
      </c>
      <c r="H1353">
        <v>0</v>
      </c>
      <c r="I1353">
        <v>1</v>
      </c>
      <c r="J1353">
        <v>0</v>
      </c>
      <c r="K1353">
        <v>2</v>
      </c>
      <c r="L1353" s="22" t="str">
        <f t="shared" si="441"/>
        <v>25/07/2026</v>
      </c>
      <c r="M1353" s="23">
        <f t="shared" si="442"/>
        <v>0.45833333333333337</v>
      </c>
      <c r="N1353" t="str">
        <f t="shared" si="443"/>
        <v>0 - 2</v>
      </c>
      <c r="O1353" t="str">
        <f t="shared" si="444"/>
        <v>Red</v>
      </c>
      <c r="P1353" t="str">
        <f t="shared" si="445"/>
        <v>Red</v>
      </c>
      <c r="Q1353" t="str">
        <f t="shared" si="446"/>
        <v>Green</v>
      </c>
      <c r="R1353" t="str">
        <f t="shared" si="447"/>
        <v>Red</v>
      </c>
      <c r="S1353" t="str">
        <f t="shared" si="448"/>
        <v>Green</v>
      </c>
      <c r="T1353" t="str">
        <f t="shared" si="449"/>
        <v>Green</v>
      </c>
      <c r="U1353" t="str">
        <f t="shared" si="450"/>
        <v>Red</v>
      </c>
      <c r="V1353" t="str">
        <f t="shared" si="451"/>
        <v>Red</v>
      </c>
      <c r="W1353" t="str">
        <f t="shared" si="452"/>
        <v>Green</v>
      </c>
      <c r="X1353" t="str">
        <f t="shared" si="453"/>
        <v>Green</v>
      </c>
      <c r="Y1353" t="str">
        <f t="shared" si="454"/>
        <v>Green</v>
      </c>
      <c r="Z1353" t="str">
        <f t="shared" si="455"/>
        <v>Red</v>
      </c>
      <c r="AA1353" t="str">
        <f t="shared" si="456"/>
        <v>Green</v>
      </c>
      <c r="AB1353" t="str">
        <f t="shared" si="457"/>
        <v>Green</v>
      </c>
      <c r="AC1353" t="str">
        <f t="shared" si="458"/>
        <v>Red</v>
      </c>
      <c r="AD1353" t="str">
        <f t="shared" si="459"/>
        <v>Green</v>
      </c>
    </row>
    <row r="1354" spans="1:30" x14ac:dyDescent="0.2">
      <c r="A1354" t="str">
        <f t="shared" si="440"/>
        <v>25/07/2026Wimborne TownMaidenhead United</v>
      </c>
      <c r="D1354" s="2">
        <v>46228</v>
      </c>
      <c r="E1354" s="3">
        <v>0.58333333333333337</v>
      </c>
      <c r="F1354" t="s">
        <v>3927</v>
      </c>
      <c r="G1354" t="s">
        <v>1816</v>
      </c>
      <c r="H1354">
        <v>1</v>
      </c>
      <c r="I1354">
        <v>1</v>
      </c>
      <c r="J1354">
        <v>1</v>
      </c>
      <c r="K1354">
        <v>1</v>
      </c>
      <c r="L1354" s="22" t="str">
        <f t="shared" si="441"/>
        <v>25/07/2026</v>
      </c>
      <c r="M1354" s="23">
        <f t="shared" si="442"/>
        <v>0.45833333333333337</v>
      </c>
      <c r="N1354" t="str">
        <f t="shared" si="443"/>
        <v>1 - 1</v>
      </c>
      <c r="O1354" t="str">
        <f t="shared" si="444"/>
        <v>Red</v>
      </c>
      <c r="P1354" t="str">
        <f t="shared" si="445"/>
        <v>Green</v>
      </c>
      <c r="Q1354" t="str">
        <f t="shared" si="446"/>
        <v>Red</v>
      </c>
      <c r="R1354" t="str">
        <f t="shared" si="447"/>
        <v>Green</v>
      </c>
      <c r="S1354" t="str">
        <f t="shared" si="448"/>
        <v>Green</v>
      </c>
      <c r="T1354" t="str">
        <f t="shared" si="449"/>
        <v>Red</v>
      </c>
      <c r="U1354" t="str">
        <f t="shared" si="450"/>
        <v>Red</v>
      </c>
      <c r="V1354" t="str">
        <f t="shared" si="451"/>
        <v>Green</v>
      </c>
      <c r="W1354" t="str">
        <f t="shared" si="452"/>
        <v>Red</v>
      </c>
      <c r="X1354" t="str">
        <f t="shared" si="453"/>
        <v>Green</v>
      </c>
      <c r="Y1354" t="str">
        <f t="shared" si="454"/>
        <v>Green</v>
      </c>
      <c r="Z1354" t="str">
        <f t="shared" si="455"/>
        <v>Red</v>
      </c>
      <c r="AA1354" t="str">
        <f t="shared" si="456"/>
        <v>Green</v>
      </c>
      <c r="AB1354" t="str">
        <f t="shared" si="457"/>
        <v>Green</v>
      </c>
      <c r="AC1354" t="str">
        <f t="shared" si="458"/>
        <v>Green</v>
      </c>
      <c r="AD1354" t="str">
        <f t="shared" si="459"/>
        <v>Red</v>
      </c>
    </row>
    <row r="1355" spans="1:30" x14ac:dyDescent="0.2">
      <c r="A1355" t="str">
        <f t="shared" si="440"/>
        <v>25/07/2026Wingate &amp; FinchleyChesham United</v>
      </c>
      <c r="D1355" s="2">
        <v>46228</v>
      </c>
      <c r="E1355" s="3">
        <v>0.58333333333333337</v>
      </c>
      <c r="F1355" t="s">
        <v>3928</v>
      </c>
      <c r="G1355" t="s">
        <v>1523</v>
      </c>
      <c r="H1355">
        <v>0</v>
      </c>
      <c r="I1355">
        <v>1</v>
      </c>
      <c r="J1355">
        <v>1</v>
      </c>
      <c r="K1355">
        <v>2</v>
      </c>
      <c r="L1355" s="22" t="str">
        <f t="shared" si="441"/>
        <v>25/07/2026</v>
      </c>
      <c r="M1355" s="23">
        <f t="shared" si="442"/>
        <v>0.45833333333333337</v>
      </c>
      <c r="N1355" t="str">
        <f t="shared" si="443"/>
        <v>1 - 2</v>
      </c>
      <c r="O1355" t="str">
        <f t="shared" si="444"/>
        <v>Red</v>
      </c>
      <c r="P1355" t="str">
        <f t="shared" si="445"/>
        <v>Red</v>
      </c>
      <c r="Q1355" t="str">
        <f t="shared" si="446"/>
        <v>Green</v>
      </c>
      <c r="R1355" t="str">
        <f t="shared" si="447"/>
        <v>Red</v>
      </c>
      <c r="S1355" t="str">
        <f t="shared" si="448"/>
        <v>Green</v>
      </c>
      <c r="T1355" t="str">
        <f t="shared" si="449"/>
        <v>Green</v>
      </c>
      <c r="U1355" t="str">
        <f t="shared" si="450"/>
        <v>Red</v>
      </c>
      <c r="V1355" t="str">
        <f t="shared" si="451"/>
        <v>Red</v>
      </c>
      <c r="W1355" t="str">
        <f t="shared" si="452"/>
        <v>Green</v>
      </c>
      <c r="X1355" t="str">
        <f t="shared" si="453"/>
        <v>Green</v>
      </c>
      <c r="Y1355" t="str">
        <f t="shared" si="454"/>
        <v>Green</v>
      </c>
      <c r="Z1355" t="str">
        <f t="shared" si="455"/>
        <v>Green</v>
      </c>
      <c r="AA1355" t="str">
        <f t="shared" si="456"/>
        <v>Red</v>
      </c>
      <c r="AB1355" t="str">
        <f t="shared" si="457"/>
        <v>Green</v>
      </c>
      <c r="AC1355" t="str">
        <f t="shared" si="458"/>
        <v>Green</v>
      </c>
      <c r="AD1355" t="str">
        <f t="shared" si="459"/>
        <v>Red</v>
      </c>
    </row>
    <row r="1356" spans="1:30" x14ac:dyDescent="0.2">
      <c r="A1356" t="str">
        <f t="shared" si="440"/>
        <v>25/07/2026WokingReading</v>
      </c>
      <c r="D1356" s="2">
        <v>46228</v>
      </c>
      <c r="E1356" s="3">
        <v>0.58333333333333337</v>
      </c>
      <c r="F1356" t="s">
        <v>1485</v>
      </c>
      <c r="G1356" t="s">
        <v>3929</v>
      </c>
      <c r="H1356">
        <v>0</v>
      </c>
      <c r="I1356">
        <v>0</v>
      </c>
      <c r="J1356">
        <v>0</v>
      </c>
      <c r="K1356">
        <v>2</v>
      </c>
      <c r="L1356" s="22" t="str">
        <f t="shared" si="441"/>
        <v>25/07/2026</v>
      </c>
      <c r="M1356" s="23">
        <f t="shared" si="442"/>
        <v>0.45833333333333337</v>
      </c>
      <c r="N1356" t="str">
        <f t="shared" si="443"/>
        <v>0 - 2</v>
      </c>
      <c r="O1356" t="str">
        <f t="shared" si="444"/>
        <v>Red</v>
      </c>
      <c r="P1356" t="str">
        <f t="shared" si="445"/>
        <v>Red</v>
      </c>
      <c r="Q1356" t="str">
        <f t="shared" si="446"/>
        <v>Green</v>
      </c>
      <c r="R1356" t="str">
        <f t="shared" si="447"/>
        <v>Red</v>
      </c>
      <c r="S1356" t="str">
        <f t="shared" si="448"/>
        <v>Green</v>
      </c>
      <c r="T1356" t="str">
        <f t="shared" si="449"/>
        <v>Green</v>
      </c>
      <c r="U1356" t="str">
        <f t="shared" si="450"/>
        <v>Red</v>
      </c>
      <c r="V1356" t="str">
        <f t="shared" si="451"/>
        <v>Green</v>
      </c>
      <c r="W1356" t="str">
        <f t="shared" si="452"/>
        <v>Red</v>
      </c>
      <c r="X1356" t="str">
        <f t="shared" si="453"/>
        <v>Red</v>
      </c>
      <c r="Y1356" t="str">
        <f t="shared" si="454"/>
        <v>Green</v>
      </c>
      <c r="Z1356" t="str">
        <f t="shared" si="455"/>
        <v>Red</v>
      </c>
      <c r="AA1356" t="str">
        <f t="shared" si="456"/>
        <v>Green</v>
      </c>
      <c r="AB1356" t="str">
        <f t="shared" si="457"/>
        <v>Green</v>
      </c>
      <c r="AC1356" t="str">
        <f t="shared" si="458"/>
        <v>Red</v>
      </c>
      <c r="AD1356" t="str">
        <f t="shared" si="459"/>
        <v>Green</v>
      </c>
    </row>
    <row r="1357" spans="1:30" x14ac:dyDescent="0.2">
      <c r="A1357" t="str">
        <f t="shared" si="440"/>
        <v>25/07/2026Worksop TownGarforth Town AFC</v>
      </c>
      <c r="D1357" s="2">
        <v>46228</v>
      </c>
      <c r="E1357" s="3">
        <v>0.58333333333333337</v>
      </c>
      <c r="F1357" t="s">
        <v>3930</v>
      </c>
      <c r="G1357" t="s">
        <v>1498</v>
      </c>
      <c r="H1357">
        <v>1</v>
      </c>
      <c r="I1357">
        <v>0</v>
      </c>
      <c r="J1357">
        <v>4</v>
      </c>
      <c r="K1357">
        <v>0</v>
      </c>
      <c r="L1357" s="22" t="str">
        <f t="shared" si="441"/>
        <v>25/07/2026</v>
      </c>
      <c r="M1357" s="23">
        <f t="shared" si="442"/>
        <v>0.45833333333333337</v>
      </c>
      <c r="N1357" t="str">
        <f t="shared" si="443"/>
        <v>4 - 0</v>
      </c>
      <c r="O1357" t="str">
        <f t="shared" si="444"/>
        <v>Green</v>
      </c>
      <c r="P1357" t="str">
        <f t="shared" si="445"/>
        <v>Red</v>
      </c>
      <c r="Q1357" t="str">
        <f t="shared" si="446"/>
        <v>Red</v>
      </c>
      <c r="R1357" t="str">
        <f t="shared" si="447"/>
        <v>Green</v>
      </c>
      <c r="S1357" t="str">
        <f t="shared" si="448"/>
        <v>Red</v>
      </c>
      <c r="T1357" t="str">
        <f t="shared" si="449"/>
        <v>Green</v>
      </c>
      <c r="U1357" t="str">
        <f t="shared" si="450"/>
        <v>Green</v>
      </c>
      <c r="V1357" t="str">
        <f t="shared" si="451"/>
        <v>Red</v>
      </c>
      <c r="W1357" t="str">
        <f t="shared" si="452"/>
        <v>Red</v>
      </c>
      <c r="X1357" t="str">
        <f t="shared" si="453"/>
        <v>Green</v>
      </c>
      <c r="Y1357" t="str">
        <f t="shared" si="454"/>
        <v>Green</v>
      </c>
      <c r="Z1357" t="str">
        <f t="shared" si="455"/>
        <v>Green</v>
      </c>
      <c r="AA1357" t="str">
        <f t="shared" si="456"/>
        <v>Red</v>
      </c>
      <c r="AB1357" t="str">
        <f t="shared" si="457"/>
        <v>Red</v>
      </c>
      <c r="AC1357" t="str">
        <f t="shared" si="458"/>
        <v>Red</v>
      </c>
      <c r="AD1357" t="str">
        <f t="shared" si="459"/>
        <v>Green</v>
      </c>
    </row>
    <row r="1358" spans="1:30" x14ac:dyDescent="0.2">
      <c r="A1358" t="str">
        <f t="shared" si="440"/>
        <v>25/07/2026KI Klaksvik WomenZimbru Chisinau Women</v>
      </c>
      <c r="D1358" s="2">
        <v>46228</v>
      </c>
      <c r="E1358" s="3">
        <v>0.60416666666666663</v>
      </c>
      <c r="F1358" t="s">
        <v>1625</v>
      </c>
      <c r="G1358" t="s">
        <v>1624</v>
      </c>
      <c r="H1358">
        <v>0</v>
      </c>
      <c r="I1358">
        <v>1</v>
      </c>
      <c r="J1358">
        <v>4</v>
      </c>
      <c r="K1358">
        <v>1</v>
      </c>
      <c r="L1358" s="22" t="str">
        <f t="shared" si="441"/>
        <v>25/07/2026</v>
      </c>
      <c r="M1358" s="23">
        <f t="shared" si="442"/>
        <v>0.47916666666666663</v>
      </c>
      <c r="N1358" t="str">
        <f t="shared" si="443"/>
        <v>4 - 1</v>
      </c>
      <c r="O1358" t="str">
        <f t="shared" si="444"/>
        <v>Green</v>
      </c>
      <c r="P1358" t="str">
        <f t="shared" si="445"/>
        <v>Red</v>
      </c>
      <c r="Q1358" t="str">
        <f t="shared" si="446"/>
        <v>Red</v>
      </c>
      <c r="R1358" t="str">
        <f t="shared" si="447"/>
        <v>Green</v>
      </c>
      <c r="S1358" t="str">
        <f t="shared" si="448"/>
        <v>Red</v>
      </c>
      <c r="T1358" t="str">
        <f t="shared" si="449"/>
        <v>Green</v>
      </c>
      <c r="U1358" t="str">
        <f t="shared" si="450"/>
        <v>Red</v>
      </c>
      <c r="V1358" t="str">
        <f t="shared" si="451"/>
        <v>Red</v>
      </c>
      <c r="W1358" t="str">
        <f t="shared" si="452"/>
        <v>Green</v>
      </c>
      <c r="X1358" t="str">
        <f t="shared" si="453"/>
        <v>Green</v>
      </c>
      <c r="Y1358" t="str">
        <f t="shared" si="454"/>
        <v>Green</v>
      </c>
      <c r="Z1358" t="str">
        <f t="shared" si="455"/>
        <v>Green</v>
      </c>
      <c r="AA1358" t="str">
        <f t="shared" si="456"/>
        <v>Red</v>
      </c>
      <c r="AB1358" t="str">
        <f t="shared" si="457"/>
        <v>Red</v>
      </c>
      <c r="AC1358" t="str">
        <f t="shared" si="458"/>
        <v>Green</v>
      </c>
      <c r="AD1358" t="str">
        <f t="shared" si="459"/>
        <v>Red</v>
      </c>
    </row>
    <row r="1359" spans="1:30" x14ac:dyDescent="0.2">
      <c r="A1359" t="str">
        <f t="shared" si="440"/>
        <v>25/07/2026FloyaLillestrom II</v>
      </c>
      <c r="D1359" s="2">
        <v>46228</v>
      </c>
      <c r="E1359" s="3">
        <v>0.60416666666666663</v>
      </c>
      <c r="F1359" t="s">
        <v>3503</v>
      </c>
      <c r="G1359" t="s">
        <v>3504</v>
      </c>
      <c r="H1359">
        <v>0</v>
      </c>
      <c r="I1359">
        <v>1</v>
      </c>
      <c r="J1359">
        <v>3</v>
      </c>
      <c r="K1359">
        <v>2</v>
      </c>
      <c r="L1359" s="22" t="str">
        <f t="shared" si="441"/>
        <v>25/07/2026</v>
      </c>
      <c r="M1359" s="23">
        <f t="shared" si="442"/>
        <v>0.47916666666666663</v>
      </c>
      <c r="N1359" t="str">
        <f t="shared" si="443"/>
        <v>3 - 2</v>
      </c>
      <c r="O1359" t="str">
        <f t="shared" si="444"/>
        <v>Green</v>
      </c>
      <c r="P1359" t="str">
        <f t="shared" si="445"/>
        <v>Red</v>
      </c>
      <c r="Q1359" t="str">
        <f t="shared" si="446"/>
        <v>Red</v>
      </c>
      <c r="R1359" t="str">
        <f t="shared" si="447"/>
        <v>Green</v>
      </c>
      <c r="S1359" t="str">
        <f t="shared" si="448"/>
        <v>Red</v>
      </c>
      <c r="T1359" t="str">
        <f t="shared" si="449"/>
        <v>Green</v>
      </c>
      <c r="U1359" t="str">
        <f t="shared" si="450"/>
        <v>Red</v>
      </c>
      <c r="V1359" t="str">
        <f t="shared" si="451"/>
        <v>Red</v>
      </c>
      <c r="W1359" t="str">
        <f t="shared" si="452"/>
        <v>Green</v>
      </c>
      <c r="X1359" t="str">
        <f t="shared" si="453"/>
        <v>Green</v>
      </c>
      <c r="Y1359" t="str">
        <f t="shared" si="454"/>
        <v>Green</v>
      </c>
      <c r="Z1359" t="str">
        <f t="shared" si="455"/>
        <v>Green</v>
      </c>
      <c r="AA1359" t="str">
        <f t="shared" si="456"/>
        <v>Red</v>
      </c>
      <c r="AB1359" t="str">
        <f t="shared" si="457"/>
        <v>Red</v>
      </c>
      <c r="AC1359" t="str">
        <f t="shared" si="458"/>
        <v>Green</v>
      </c>
      <c r="AD1359" t="str">
        <f t="shared" si="459"/>
        <v>Red</v>
      </c>
    </row>
    <row r="1360" spans="1:30" x14ac:dyDescent="0.2">
      <c r="A1360" t="str">
        <f t="shared" si="440"/>
        <v>25/07/2026Farul ConstantaHunedoara</v>
      </c>
      <c r="D1360" s="2">
        <v>46228</v>
      </c>
      <c r="E1360" s="3">
        <v>0.60416666666666663</v>
      </c>
      <c r="F1360" t="s">
        <v>3554</v>
      </c>
      <c r="G1360" t="s">
        <v>275</v>
      </c>
      <c r="H1360">
        <v>0</v>
      </c>
      <c r="I1360">
        <v>0</v>
      </c>
      <c r="J1360">
        <v>2</v>
      </c>
      <c r="K1360">
        <v>0</v>
      </c>
      <c r="L1360" s="22" t="str">
        <f t="shared" si="441"/>
        <v>25/07/2026</v>
      </c>
      <c r="M1360" s="23">
        <f t="shared" si="442"/>
        <v>0.47916666666666663</v>
      </c>
      <c r="N1360" t="str">
        <f t="shared" si="443"/>
        <v>2 - 0</v>
      </c>
      <c r="O1360" t="str">
        <f t="shared" si="444"/>
        <v>Green</v>
      </c>
      <c r="P1360" t="str">
        <f t="shared" si="445"/>
        <v>Red</v>
      </c>
      <c r="Q1360" t="str">
        <f t="shared" si="446"/>
        <v>Red</v>
      </c>
      <c r="R1360" t="str">
        <f t="shared" si="447"/>
        <v>Green</v>
      </c>
      <c r="S1360" t="str">
        <f t="shared" si="448"/>
        <v>Red</v>
      </c>
      <c r="T1360" t="str">
        <f t="shared" si="449"/>
        <v>Green</v>
      </c>
      <c r="U1360" t="str">
        <f t="shared" si="450"/>
        <v>Red</v>
      </c>
      <c r="V1360" t="str">
        <f t="shared" si="451"/>
        <v>Green</v>
      </c>
      <c r="W1360" t="str">
        <f t="shared" si="452"/>
        <v>Red</v>
      </c>
      <c r="X1360" t="str">
        <f t="shared" si="453"/>
        <v>Red</v>
      </c>
      <c r="Y1360" t="str">
        <f t="shared" si="454"/>
        <v>Green</v>
      </c>
      <c r="Z1360" t="str">
        <f t="shared" si="455"/>
        <v>Red</v>
      </c>
      <c r="AA1360" t="str">
        <f t="shared" si="456"/>
        <v>Green</v>
      </c>
      <c r="AB1360" t="str">
        <f t="shared" si="457"/>
        <v>Green</v>
      </c>
      <c r="AC1360" t="str">
        <f t="shared" si="458"/>
        <v>Red</v>
      </c>
      <c r="AD1360" t="str">
        <f t="shared" si="459"/>
        <v>Green</v>
      </c>
    </row>
    <row r="1361" spans="1:30" x14ac:dyDescent="0.2">
      <c r="A1361" t="str">
        <f t="shared" si="440"/>
        <v>25/07/2026FC LustenauFC Kitzbuhel</v>
      </c>
      <c r="D1361" s="2">
        <v>46228</v>
      </c>
      <c r="E1361" s="3">
        <v>0.625</v>
      </c>
      <c r="F1361" t="s">
        <v>3006</v>
      </c>
      <c r="G1361" t="s">
        <v>3007</v>
      </c>
      <c r="H1361">
        <v>0</v>
      </c>
      <c r="I1361">
        <v>3</v>
      </c>
      <c r="J1361">
        <v>1</v>
      </c>
      <c r="K1361">
        <v>4</v>
      </c>
      <c r="L1361" s="22" t="str">
        <f t="shared" si="441"/>
        <v>25/07/2026</v>
      </c>
      <c r="M1361" s="23">
        <f t="shared" si="442"/>
        <v>0.5</v>
      </c>
      <c r="N1361" t="str">
        <f t="shared" si="443"/>
        <v>1 - 4</v>
      </c>
      <c r="O1361" t="str">
        <f t="shared" si="444"/>
        <v>Red</v>
      </c>
      <c r="P1361" t="str">
        <f t="shared" si="445"/>
        <v>Red</v>
      </c>
      <c r="Q1361" t="str">
        <f t="shared" si="446"/>
        <v>Green</v>
      </c>
      <c r="R1361" t="str">
        <f t="shared" si="447"/>
        <v>Red</v>
      </c>
      <c r="S1361" t="str">
        <f t="shared" si="448"/>
        <v>Green</v>
      </c>
      <c r="T1361" t="str">
        <f t="shared" si="449"/>
        <v>Green</v>
      </c>
      <c r="U1361" t="str">
        <f t="shared" si="450"/>
        <v>Red</v>
      </c>
      <c r="V1361" t="str">
        <f t="shared" si="451"/>
        <v>Red</v>
      </c>
      <c r="W1361" t="str">
        <f t="shared" si="452"/>
        <v>Green</v>
      </c>
      <c r="X1361" t="str">
        <f t="shared" si="453"/>
        <v>Green</v>
      </c>
      <c r="Y1361" t="str">
        <f t="shared" si="454"/>
        <v>Green</v>
      </c>
      <c r="Z1361" t="str">
        <f t="shared" si="455"/>
        <v>Green</v>
      </c>
      <c r="AA1361" t="str">
        <f t="shared" si="456"/>
        <v>Red</v>
      </c>
      <c r="AB1361" t="str">
        <f t="shared" si="457"/>
        <v>Red</v>
      </c>
      <c r="AC1361" t="str">
        <f t="shared" si="458"/>
        <v>Green</v>
      </c>
      <c r="AD1361" t="str">
        <f t="shared" si="459"/>
        <v>Red</v>
      </c>
    </row>
    <row r="1362" spans="1:30" x14ac:dyDescent="0.2">
      <c r="A1362" t="str">
        <f t="shared" si="440"/>
        <v>25/07/2026SR DonaufeldGrazer AK</v>
      </c>
      <c r="D1362" s="2">
        <v>46228</v>
      </c>
      <c r="E1362" s="3">
        <v>0.625</v>
      </c>
      <c r="F1362" t="s">
        <v>3008</v>
      </c>
      <c r="G1362" t="s">
        <v>3009</v>
      </c>
      <c r="H1362">
        <v>0</v>
      </c>
      <c r="I1362">
        <v>1</v>
      </c>
      <c r="J1362">
        <v>0</v>
      </c>
      <c r="K1362">
        <v>4</v>
      </c>
      <c r="L1362" s="22" t="str">
        <f t="shared" si="441"/>
        <v>25/07/2026</v>
      </c>
      <c r="M1362" s="23">
        <f t="shared" si="442"/>
        <v>0.5</v>
      </c>
      <c r="N1362" t="str">
        <f t="shared" si="443"/>
        <v>0 - 4</v>
      </c>
      <c r="O1362" t="str">
        <f t="shared" si="444"/>
        <v>Red</v>
      </c>
      <c r="P1362" t="str">
        <f t="shared" si="445"/>
        <v>Red</v>
      </c>
      <c r="Q1362" t="str">
        <f t="shared" si="446"/>
        <v>Green</v>
      </c>
      <c r="R1362" t="str">
        <f t="shared" si="447"/>
        <v>Red</v>
      </c>
      <c r="S1362" t="str">
        <f t="shared" si="448"/>
        <v>Green</v>
      </c>
      <c r="T1362" t="str">
        <f t="shared" si="449"/>
        <v>Green</v>
      </c>
      <c r="U1362" t="str">
        <f t="shared" si="450"/>
        <v>Red</v>
      </c>
      <c r="V1362" t="str">
        <f t="shared" si="451"/>
        <v>Red</v>
      </c>
      <c r="W1362" t="str">
        <f t="shared" si="452"/>
        <v>Green</v>
      </c>
      <c r="X1362" t="str">
        <f t="shared" si="453"/>
        <v>Green</v>
      </c>
      <c r="Y1362" t="str">
        <f t="shared" si="454"/>
        <v>Green</v>
      </c>
      <c r="Z1362" t="str">
        <f t="shared" si="455"/>
        <v>Green</v>
      </c>
      <c r="AA1362" t="str">
        <f t="shared" si="456"/>
        <v>Red</v>
      </c>
      <c r="AB1362" t="str">
        <f t="shared" si="457"/>
        <v>Red</v>
      </c>
      <c r="AC1362" t="str">
        <f t="shared" si="458"/>
        <v>Red</v>
      </c>
      <c r="AD1362" t="str">
        <f t="shared" si="459"/>
        <v>Green</v>
      </c>
    </row>
    <row r="1363" spans="1:30" x14ac:dyDescent="0.2">
      <c r="A1363" t="str">
        <f t="shared" si="440"/>
        <v>25/07/2026FC GomelFC Vitebsk</v>
      </c>
      <c r="D1363" s="2">
        <v>46228</v>
      </c>
      <c r="E1363" s="3">
        <v>0.625</v>
      </c>
      <c r="F1363" t="s">
        <v>3040</v>
      </c>
      <c r="G1363" t="s">
        <v>3041</v>
      </c>
      <c r="H1363">
        <v>0</v>
      </c>
      <c r="I1363">
        <v>1</v>
      </c>
      <c r="J1363">
        <v>1</v>
      </c>
      <c r="K1363">
        <v>2</v>
      </c>
      <c r="L1363" s="22" t="str">
        <f t="shared" si="441"/>
        <v>25/07/2026</v>
      </c>
      <c r="M1363" s="23">
        <f t="shared" si="442"/>
        <v>0.5</v>
      </c>
      <c r="N1363" t="str">
        <f t="shared" si="443"/>
        <v>1 - 2</v>
      </c>
      <c r="O1363" t="str">
        <f t="shared" si="444"/>
        <v>Red</v>
      </c>
      <c r="P1363" t="str">
        <f t="shared" si="445"/>
        <v>Red</v>
      </c>
      <c r="Q1363" t="str">
        <f t="shared" si="446"/>
        <v>Green</v>
      </c>
      <c r="R1363" t="str">
        <f t="shared" si="447"/>
        <v>Red</v>
      </c>
      <c r="S1363" t="str">
        <f t="shared" si="448"/>
        <v>Green</v>
      </c>
      <c r="T1363" t="str">
        <f t="shared" si="449"/>
        <v>Green</v>
      </c>
      <c r="U1363" t="str">
        <f t="shared" si="450"/>
        <v>Red</v>
      </c>
      <c r="V1363" t="str">
        <f t="shared" si="451"/>
        <v>Red</v>
      </c>
      <c r="W1363" t="str">
        <f t="shared" si="452"/>
        <v>Green</v>
      </c>
      <c r="X1363" t="str">
        <f t="shared" si="453"/>
        <v>Green</v>
      </c>
      <c r="Y1363" t="str">
        <f t="shared" si="454"/>
        <v>Green</v>
      </c>
      <c r="Z1363" t="str">
        <f t="shared" si="455"/>
        <v>Green</v>
      </c>
      <c r="AA1363" t="str">
        <f t="shared" si="456"/>
        <v>Red</v>
      </c>
      <c r="AB1363" t="str">
        <f t="shared" si="457"/>
        <v>Green</v>
      </c>
      <c r="AC1363" t="str">
        <f t="shared" si="458"/>
        <v>Green</v>
      </c>
      <c r="AD1363" t="str">
        <f t="shared" si="459"/>
        <v>Red</v>
      </c>
    </row>
    <row r="1364" spans="1:30" x14ac:dyDescent="0.2">
      <c r="A1364" t="str">
        <f t="shared" si="440"/>
        <v>25/07/2026CSKABotev Plovdiv</v>
      </c>
      <c r="D1364" s="2">
        <v>46228</v>
      </c>
      <c r="E1364" s="3">
        <v>0.625</v>
      </c>
      <c r="F1364" t="s">
        <v>303</v>
      </c>
      <c r="G1364" t="s">
        <v>302</v>
      </c>
      <c r="L1364" s="22" t="str">
        <f t="shared" si="441"/>
        <v>25/07/2026</v>
      </c>
      <c r="M1364" s="23">
        <f t="shared" si="442"/>
        <v>0.5</v>
      </c>
      <c r="N1364" t="str">
        <f t="shared" si="443"/>
        <v xml:space="preserve"> - </v>
      </c>
      <c r="O1364" t="str">
        <f t="shared" si="444"/>
        <v>Red</v>
      </c>
      <c r="P1364" t="str">
        <f t="shared" si="445"/>
        <v>Green</v>
      </c>
      <c r="Q1364" t="str">
        <f t="shared" si="446"/>
        <v>Red</v>
      </c>
      <c r="R1364" t="str">
        <f t="shared" si="447"/>
        <v>Green</v>
      </c>
      <c r="S1364" t="str">
        <f t="shared" si="448"/>
        <v>Green</v>
      </c>
      <c r="T1364" t="str">
        <f t="shared" si="449"/>
        <v>Red</v>
      </c>
      <c r="U1364" t="str">
        <f t="shared" si="450"/>
        <v>Red</v>
      </c>
      <c r="V1364" t="str">
        <f t="shared" si="451"/>
        <v>Green</v>
      </c>
      <c r="W1364" t="str">
        <f t="shared" si="452"/>
        <v>Red</v>
      </c>
      <c r="X1364" t="str">
        <f t="shared" si="453"/>
        <v>Red</v>
      </c>
      <c r="Y1364" t="str">
        <f t="shared" si="454"/>
        <v>Red</v>
      </c>
      <c r="Z1364" t="str">
        <f t="shared" si="455"/>
        <v>Red</v>
      </c>
      <c r="AA1364" t="str">
        <f t="shared" si="456"/>
        <v>Green</v>
      </c>
      <c r="AB1364" t="str">
        <f t="shared" si="457"/>
        <v>Green</v>
      </c>
      <c r="AC1364" t="str">
        <f t="shared" si="458"/>
        <v>Red</v>
      </c>
      <c r="AD1364" t="str">
        <f t="shared" si="459"/>
        <v>Green</v>
      </c>
    </row>
    <row r="1365" spans="1:30" x14ac:dyDescent="0.2">
      <c r="A1365" t="str">
        <f t="shared" si="440"/>
        <v>25/07/2026Fastav ZlinBanik Ostrava</v>
      </c>
      <c r="D1365" s="2">
        <v>46228</v>
      </c>
      <c r="E1365" s="3">
        <v>0.625</v>
      </c>
      <c r="F1365" t="s">
        <v>3150</v>
      </c>
      <c r="G1365" t="s">
        <v>3151</v>
      </c>
      <c r="H1365">
        <v>0</v>
      </c>
      <c r="I1365">
        <v>0</v>
      </c>
      <c r="J1365">
        <v>0</v>
      </c>
      <c r="K1365">
        <v>1</v>
      </c>
      <c r="L1365" s="22" t="str">
        <f t="shared" si="441"/>
        <v>25/07/2026</v>
      </c>
      <c r="M1365" s="23">
        <f t="shared" si="442"/>
        <v>0.5</v>
      </c>
      <c r="N1365" t="str">
        <f t="shared" si="443"/>
        <v>0 - 1</v>
      </c>
      <c r="O1365" t="str">
        <f t="shared" si="444"/>
        <v>Red</v>
      </c>
      <c r="P1365" t="str">
        <f t="shared" si="445"/>
        <v>Red</v>
      </c>
      <c r="Q1365" t="str">
        <f t="shared" si="446"/>
        <v>Green</v>
      </c>
      <c r="R1365" t="str">
        <f t="shared" si="447"/>
        <v>Red</v>
      </c>
      <c r="S1365" t="str">
        <f t="shared" si="448"/>
        <v>Green</v>
      </c>
      <c r="T1365" t="str">
        <f t="shared" si="449"/>
        <v>Green</v>
      </c>
      <c r="U1365" t="str">
        <f t="shared" si="450"/>
        <v>Red</v>
      </c>
      <c r="V1365" t="str">
        <f t="shared" si="451"/>
        <v>Green</v>
      </c>
      <c r="W1365" t="str">
        <f t="shared" si="452"/>
        <v>Red</v>
      </c>
      <c r="X1365" t="str">
        <f t="shared" si="453"/>
        <v>Red</v>
      </c>
      <c r="Y1365" t="str">
        <f t="shared" si="454"/>
        <v>Red</v>
      </c>
      <c r="Z1365" t="str">
        <f t="shared" si="455"/>
        <v>Red</v>
      </c>
      <c r="AA1365" t="str">
        <f t="shared" si="456"/>
        <v>Green</v>
      </c>
      <c r="AB1365" t="str">
        <f t="shared" si="457"/>
        <v>Green</v>
      </c>
      <c r="AC1365" t="str">
        <f t="shared" si="458"/>
        <v>Red</v>
      </c>
      <c r="AD1365" t="str">
        <f t="shared" si="459"/>
        <v>Green</v>
      </c>
    </row>
    <row r="1366" spans="1:30" x14ac:dyDescent="0.2">
      <c r="A1366" t="str">
        <f t="shared" si="440"/>
        <v>25/07/2026TepliceBohemians 1905</v>
      </c>
      <c r="D1366" s="2">
        <v>46228</v>
      </c>
      <c r="E1366" s="3">
        <v>0.625</v>
      </c>
      <c r="F1366" t="s">
        <v>3152</v>
      </c>
      <c r="G1366" t="s">
        <v>3153</v>
      </c>
      <c r="H1366">
        <v>1</v>
      </c>
      <c r="I1366">
        <v>0</v>
      </c>
      <c r="J1366">
        <v>3</v>
      </c>
      <c r="K1366">
        <v>1</v>
      </c>
      <c r="L1366" s="22" t="str">
        <f t="shared" si="441"/>
        <v>25/07/2026</v>
      </c>
      <c r="M1366" s="23">
        <f t="shared" si="442"/>
        <v>0.5</v>
      </c>
      <c r="N1366" t="str">
        <f t="shared" si="443"/>
        <v>3 - 1</v>
      </c>
      <c r="O1366" t="str">
        <f t="shared" si="444"/>
        <v>Green</v>
      </c>
      <c r="P1366" t="str">
        <f t="shared" si="445"/>
        <v>Red</v>
      </c>
      <c r="Q1366" t="str">
        <f t="shared" si="446"/>
        <v>Red</v>
      </c>
      <c r="R1366" t="str">
        <f t="shared" si="447"/>
        <v>Green</v>
      </c>
      <c r="S1366" t="str">
        <f t="shared" si="448"/>
        <v>Red</v>
      </c>
      <c r="T1366" t="str">
        <f t="shared" si="449"/>
        <v>Green</v>
      </c>
      <c r="U1366" t="str">
        <f t="shared" si="450"/>
        <v>Green</v>
      </c>
      <c r="V1366" t="str">
        <f t="shared" si="451"/>
        <v>Red</v>
      </c>
      <c r="W1366" t="str">
        <f t="shared" si="452"/>
        <v>Red</v>
      </c>
      <c r="X1366" t="str">
        <f t="shared" si="453"/>
        <v>Green</v>
      </c>
      <c r="Y1366" t="str">
        <f t="shared" si="454"/>
        <v>Green</v>
      </c>
      <c r="Z1366" t="str">
        <f t="shared" si="455"/>
        <v>Green</v>
      </c>
      <c r="AA1366" t="str">
        <f t="shared" si="456"/>
        <v>Red</v>
      </c>
      <c r="AB1366" t="str">
        <f t="shared" si="457"/>
        <v>Red</v>
      </c>
      <c r="AC1366" t="str">
        <f t="shared" si="458"/>
        <v>Green</v>
      </c>
      <c r="AD1366" t="str">
        <f t="shared" si="459"/>
        <v>Red</v>
      </c>
    </row>
    <row r="1367" spans="1:30" x14ac:dyDescent="0.2">
      <c r="A1367" t="str">
        <f t="shared" si="440"/>
        <v>25/07/2026Viktoria PlzenSlovan Liberec</v>
      </c>
      <c r="D1367" s="2">
        <v>46228</v>
      </c>
      <c r="E1367" s="3">
        <v>0.625</v>
      </c>
      <c r="F1367" t="s">
        <v>1891</v>
      </c>
      <c r="G1367" t="s">
        <v>3154</v>
      </c>
      <c r="H1367">
        <v>0</v>
      </c>
      <c r="I1367">
        <v>1</v>
      </c>
      <c r="J1367">
        <v>1</v>
      </c>
      <c r="K1367">
        <v>3</v>
      </c>
      <c r="L1367" s="22" t="str">
        <f t="shared" si="441"/>
        <v>25/07/2026</v>
      </c>
      <c r="M1367" s="23">
        <f t="shared" si="442"/>
        <v>0.5</v>
      </c>
      <c r="N1367" t="str">
        <f t="shared" si="443"/>
        <v>1 - 3</v>
      </c>
      <c r="O1367" t="str">
        <f t="shared" si="444"/>
        <v>Red</v>
      </c>
      <c r="P1367" t="str">
        <f t="shared" si="445"/>
        <v>Red</v>
      </c>
      <c r="Q1367" t="str">
        <f t="shared" si="446"/>
        <v>Green</v>
      </c>
      <c r="R1367" t="str">
        <f t="shared" si="447"/>
        <v>Red</v>
      </c>
      <c r="S1367" t="str">
        <f t="shared" si="448"/>
        <v>Green</v>
      </c>
      <c r="T1367" t="str">
        <f t="shared" si="449"/>
        <v>Green</v>
      </c>
      <c r="U1367" t="str">
        <f t="shared" si="450"/>
        <v>Red</v>
      </c>
      <c r="V1367" t="str">
        <f t="shared" si="451"/>
        <v>Red</v>
      </c>
      <c r="W1367" t="str">
        <f t="shared" si="452"/>
        <v>Green</v>
      </c>
      <c r="X1367" t="str">
        <f t="shared" si="453"/>
        <v>Green</v>
      </c>
      <c r="Y1367" t="str">
        <f t="shared" si="454"/>
        <v>Green</v>
      </c>
      <c r="Z1367" t="str">
        <f t="shared" si="455"/>
        <v>Green</v>
      </c>
      <c r="AA1367" t="str">
        <f t="shared" si="456"/>
        <v>Red</v>
      </c>
      <c r="AB1367" t="str">
        <f t="shared" si="457"/>
        <v>Red</v>
      </c>
      <c r="AC1367" t="str">
        <f t="shared" si="458"/>
        <v>Green</v>
      </c>
      <c r="AD1367" t="str">
        <f t="shared" si="459"/>
        <v>Red</v>
      </c>
    </row>
    <row r="1368" spans="1:30" x14ac:dyDescent="0.2">
      <c r="A1368" t="str">
        <f t="shared" si="440"/>
        <v>25/07/2026OpavaSK Lisen</v>
      </c>
      <c r="D1368" s="2">
        <v>46228</v>
      </c>
      <c r="E1368" s="3">
        <v>0.625</v>
      </c>
      <c r="F1368" t="s">
        <v>3159</v>
      </c>
      <c r="G1368" t="s">
        <v>3160</v>
      </c>
      <c r="L1368" s="22" t="str">
        <f t="shared" si="441"/>
        <v>25/07/2026</v>
      </c>
      <c r="M1368" s="23">
        <f t="shared" si="442"/>
        <v>0.5</v>
      </c>
      <c r="N1368" t="str">
        <f t="shared" si="443"/>
        <v xml:space="preserve"> - </v>
      </c>
      <c r="O1368" t="str">
        <f t="shared" si="444"/>
        <v>Red</v>
      </c>
      <c r="P1368" t="str">
        <f t="shared" si="445"/>
        <v>Green</v>
      </c>
      <c r="Q1368" t="str">
        <f t="shared" si="446"/>
        <v>Red</v>
      </c>
      <c r="R1368" t="str">
        <f t="shared" si="447"/>
        <v>Green</v>
      </c>
      <c r="S1368" t="str">
        <f t="shared" si="448"/>
        <v>Green</v>
      </c>
      <c r="T1368" t="str">
        <f t="shared" si="449"/>
        <v>Red</v>
      </c>
      <c r="U1368" t="str">
        <f t="shared" si="450"/>
        <v>Red</v>
      </c>
      <c r="V1368" t="str">
        <f t="shared" si="451"/>
        <v>Green</v>
      </c>
      <c r="W1368" t="str">
        <f t="shared" si="452"/>
        <v>Red</v>
      </c>
      <c r="X1368" t="str">
        <f t="shared" si="453"/>
        <v>Red</v>
      </c>
      <c r="Y1368" t="str">
        <f t="shared" si="454"/>
        <v>Red</v>
      </c>
      <c r="Z1368" t="str">
        <f t="shared" si="455"/>
        <v>Red</v>
      </c>
      <c r="AA1368" t="str">
        <f t="shared" si="456"/>
        <v>Green</v>
      </c>
      <c r="AB1368" t="str">
        <f t="shared" si="457"/>
        <v>Green</v>
      </c>
      <c r="AC1368" t="str">
        <f t="shared" si="458"/>
        <v>Red</v>
      </c>
      <c r="AD1368" t="str">
        <f t="shared" si="459"/>
        <v>Green</v>
      </c>
    </row>
    <row r="1369" spans="1:30" x14ac:dyDescent="0.2">
      <c r="A1369" t="str">
        <f t="shared" si="440"/>
        <v>25/07/2026HlukBrumov</v>
      </c>
      <c r="D1369" s="2">
        <v>46228</v>
      </c>
      <c r="E1369" s="3">
        <v>0.625</v>
      </c>
      <c r="F1369" t="s">
        <v>3170</v>
      </c>
      <c r="G1369" t="s">
        <v>3171</v>
      </c>
      <c r="H1369">
        <v>0</v>
      </c>
      <c r="I1369">
        <v>0</v>
      </c>
      <c r="J1369">
        <v>2</v>
      </c>
      <c r="K1369">
        <v>3</v>
      </c>
      <c r="L1369" s="22" t="str">
        <f t="shared" si="441"/>
        <v>25/07/2026</v>
      </c>
      <c r="M1369" s="23">
        <f t="shared" si="442"/>
        <v>0.5</v>
      </c>
      <c r="N1369" t="str">
        <f t="shared" si="443"/>
        <v>2 - 3</v>
      </c>
      <c r="O1369" t="str">
        <f t="shared" si="444"/>
        <v>Red</v>
      </c>
      <c r="P1369" t="str">
        <f t="shared" si="445"/>
        <v>Red</v>
      </c>
      <c r="Q1369" t="str">
        <f t="shared" si="446"/>
        <v>Green</v>
      </c>
      <c r="R1369" t="str">
        <f t="shared" si="447"/>
        <v>Red</v>
      </c>
      <c r="S1369" t="str">
        <f t="shared" si="448"/>
        <v>Green</v>
      </c>
      <c r="T1369" t="str">
        <f t="shared" si="449"/>
        <v>Green</v>
      </c>
      <c r="U1369" t="str">
        <f t="shared" si="450"/>
        <v>Red</v>
      </c>
      <c r="V1369" t="str">
        <f t="shared" si="451"/>
        <v>Green</v>
      </c>
      <c r="W1369" t="str">
        <f t="shared" si="452"/>
        <v>Red</v>
      </c>
      <c r="X1369" t="str">
        <f t="shared" si="453"/>
        <v>Red</v>
      </c>
      <c r="Y1369" t="str">
        <f t="shared" si="454"/>
        <v>Green</v>
      </c>
      <c r="Z1369" t="str">
        <f t="shared" si="455"/>
        <v>Green</v>
      </c>
      <c r="AA1369" t="str">
        <f t="shared" si="456"/>
        <v>Red</v>
      </c>
      <c r="AB1369" t="str">
        <f t="shared" si="457"/>
        <v>Red</v>
      </c>
      <c r="AC1369" t="str">
        <f t="shared" si="458"/>
        <v>Green</v>
      </c>
      <c r="AD1369" t="str">
        <f t="shared" si="459"/>
        <v>Red</v>
      </c>
    </row>
    <row r="1370" spans="1:30" x14ac:dyDescent="0.2">
      <c r="A1370" t="str">
        <f t="shared" si="440"/>
        <v>25/07/2026HolesovSlavicin</v>
      </c>
      <c r="D1370" s="2">
        <v>46228</v>
      </c>
      <c r="E1370" s="3">
        <v>0.625</v>
      </c>
      <c r="F1370" t="s">
        <v>3172</v>
      </c>
      <c r="G1370" t="s">
        <v>3173</v>
      </c>
      <c r="H1370">
        <v>0</v>
      </c>
      <c r="I1370">
        <v>0</v>
      </c>
      <c r="J1370">
        <v>1</v>
      </c>
      <c r="K1370">
        <v>3</v>
      </c>
      <c r="L1370" s="22" t="str">
        <f t="shared" si="441"/>
        <v>25/07/2026</v>
      </c>
      <c r="M1370" s="23">
        <f t="shared" si="442"/>
        <v>0.5</v>
      </c>
      <c r="N1370" t="str">
        <f t="shared" si="443"/>
        <v>1 - 3</v>
      </c>
      <c r="O1370" t="str">
        <f t="shared" si="444"/>
        <v>Red</v>
      </c>
      <c r="P1370" t="str">
        <f t="shared" si="445"/>
        <v>Red</v>
      </c>
      <c r="Q1370" t="str">
        <f t="shared" si="446"/>
        <v>Green</v>
      </c>
      <c r="R1370" t="str">
        <f t="shared" si="447"/>
        <v>Red</v>
      </c>
      <c r="S1370" t="str">
        <f t="shared" si="448"/>
        <v>Green</v>
      </c>
      <c r="T1370" t="str">
        <f t="shared" si="449"/>
        <v>Green</v>
      </c>
      <c r="U1370" t="str">
        <f t="shared" si="450"/>
        <v>Red</v>
      </c>
      <c r="V1370" t="str">
        <f t="shared" si="451"/>
        <v>Green</v>
      </c>
      <c r="W1370" t="str">
        <f t="shared" si="452"/>
        <v>Red</v>
      </c>
      <c r="X1370" t="str">
        <f t="shared" si="453"/>
        <v>Red</v>
      </c>
      <c r="Y1370" t="str">
        <f t="shared" si="454"/>
        <v>Green</v>
      </c>
      <c r="Z1370" t="str">
        <f t="shared" si="455"/>
        <v>Green</v>
      </c>
      <c r="AA1370" t="str">
        <f t="shared" si="456"/>
        <v>Red</v>
      </c>
      <c r="AB1370" t="str">
        <f t="shared" si="457"/>
        <v>Red</v>
      </c>
      <c r="AC1370" t="str">
        <f t="shared" si="458"/>
        <v>Green</v>
      </c>
      <c r="AD1370" t="str">
        <f t="shared" si="459"/>
        <v>Red</v>
      </c>
    </row>
    <row r="1371" spans="1:30" x14ac:dyDescent="0.2">
      <c r="A1371" t="str">
        <f t="shared" si="440"/>
        <v>25/07/2026SK StonavaPolanka</v>
      </c>
      <c r="D1371" s="2">
        <v>46228</v>
      </c>
      <c r="E1371" s="3">
        <v>0.625</v>
      </c>
      <c r="F1371" t="s">
        <v>3174</v>
      </c>
      <c r="G1371" t="s">
        <v>3175</v>
      </c>
      <c r="H1371">
        <v>0</v>
      </c>
      <c r="I1371">
        <v>0</v>
      </c>
      <c r="J1371">
        <v>1</v>
      </c>
      <c r="K1371">
        <v>1</v>
      </c>
      <c r="L1371" s="22" t="str">
        <f t="shared" si="441"/>
        <v>25/07/2026</v>
      </c>
      <c r="M1371" s="23">
        <f t="shared" si="442"/>
        <v>0.5</v>
      </c>
      <c r="N1371" t="str">
        <f t="shared" si="443"/>
        <v>1 - 1</v>
      </c>
      <c r="O1371" t="str">
        <f t="shared" si="444"/>
        <v>Red</v>
      </c>
      <c r="P1371" t="str">
        <f t="shared" si="445"/>
        <v>Green</v>
      </c>
      <c r="Q1371" t="str">
        <f t="shared" si="446"/>
        <v>Red</v>
      </c>
      <c r="R1371" t="str">
        <f t="shared" si="447"/>
        <v>Green</v>
      </c>
      <c r="S1371" t="str">
        <f t="shared" si="448"/>
        <v>Green</v>
      </c>
      <c r="T1371" t="str">
        <f t="shared" si="449"/>
        <v>Red</v>
      </c>
      <c r="U1371" t="str">
        <f t="shared" si="450"/>
        <v>Red</v>
      </c>
      <c r="V1371" t="str">
        <f t="shared" si="451"/>
        <v>Green</v>
      </c>
      <c r="W1371" t="str">
        <f t="shared" si="452"/>
        <v>Red</v>
      </c>
      <c r="X1371" t="str">
        <f t="shared" si="453"/>
        <v>Red</v>
      </c>
      <c r="Y1371" t="str">
        <f t="shared" si="454"/>
        <v>Green</v>
      </c>
      <c r="Z1371" t="str">
        <f t="shared" si="455"/>
        <v>Red</v>
      </c>
      <c r="AA1371" t="str">
        <f t="shared" si="456"/>
        <v>Green</v>
      </c>
      <c r="AB1371" t="str">
        <f t="shared" si="457"/>
        <v>Green</v>
      </c>
      <c r="AC1371" t="str">
        <f t="shared" si="458"/>
        <v>Green</v>
      </c>
      <c r="AD1371" t="str">
        <f t="shared" si="459"/>
        <v>Red</v>
      </c>
    </row>
    <row r="1372" spans="1:30" x14ac:dyDescent="0.2">
      <c r="A1372" t="str">
        <f t="shared" si="440"/>
        <v>25/07/2026Sokol LanzhotDosta Bystrc</v>
      </c>
      <c r="D1372" s="2">
        <v>46228</v>
      </c>
      <c r="E1372" s="3">
        <v>0.625</v>
      </c>
      <c r="F1372" t="s">
        <v>3176</v>
      </c>
      <c r="G1372" t="s">
        <v>3177</v>
      </c>
      <c r="H1372">
        <v>0</v>
      </c>
      <c r="I1372">
        <v>0</v>
      </c>
      <c r="J1372">
        <v>1</v>
      </c>
      <c r="K1372">
        <v>0</v>
      </c>
      <c r="L1372" s="22" t="str">
        <f t="shared" si="441"/>
        <v>25/07/2026</v>
      </c>
      <c r="M1372" s="23">
        <f t="shared" si="442"/>
        <v>0.5</v>
      </c>
      <c r="N1372" t="str">
        <f t="shared" si="443"/>
        <v>1 - 0</v>
      </c>
      <c r="O1372" t="str">
        <f t="shared" si="444"/>
        <v>Green</v>
      </c>
      <c r="P1372" t="str">
        <f t="shared" si="445"/>
        <v>Red</v>
      </c>
      <c r="Q1372" t="str">
        <f t="shared" si="446"/>
        <v>Red</v>
      </c>
      <c r="R1372" t="str">
        <f t="shared" si="447"/>
        <v>Green</v>
      </c>
      <c r="S1372" t="str">
        <f t="shared" si="448"/>
        <v>Red</v>
      </c>
      <c r="T1372" t="str">
        <f t="shared" si="449"/>
        <v>Green</v>
      </c>
      <c r="U1372" t="str">
        <f t="shared" si="450"/>
        <v>Red</v>
      </c>
      <c r="V1372" t="str">
        <f t="shared" si="451"/>
        <v>Green</v>
      </c>
      <c r="W1372" t="str">
        <f t="shared" si="452"/>
        <v>Red</v>
      </c>
      <c r="X1372" t="str">
        <f t="shared" si="453"/>
        <v>Red</v>
      </c>
      <c r="Y1372" t="str">
        <f t="shared" si="454"/>
        <v>Red</v>
      </c>
      <c r="Z1372" t="str">
        <f t="shared" si="455"/>
        <v>Red</v>
      </c>
      <c r="AA1372" t="str">
        <f t="shared" si="456"/>
        <v>Green</v>
      </c>
      <c r="AB1372" t="str">
        <f t="shared" si="457"/>
        <v>Green</v>
      </c>
      <c r="AC1372" t="str">
        <f t="shared" si="458"/>
        <v>Red</v>
      </c>
      <c r="AD1372" t="str">
        <f t="shared" si="459"/>
        <v>Green</v>
      </c>
    </row>
    <row r="1373" spans="1:30" x14ac:dyDescent="0.2">
      <c r="A1373" t="str">
        <f t="shared" si="440"/>
        <v>25/07/2026SternberkJiskra Rymarov</v>
      </c>
      <c r="D1373" s="2">
        <v>46228</v>
      </c>
      <c r="E1373" s="3">
        <v>0.625</v>
      </c>
      <c r="F1373" t="s">
        <v>3178</v>
      </c>
      <c r="G1373" t="s">
        <v>3179</v>
      </c>
      <c r="H1373">
        <v>0</v>
      </c>
      <c r="I1373">
        <v>0</v>
      </c>
      <c r="J1373">
        <v>1</v>
      </c>
      <c r="K1373">
        <v>1</v>
      </c>
      <c r="L1373" s="22" t="str">
        <f t="shared" si="441"/>
        <v>25/07/2026</v>
      </c>
      <c r="M1373" s="23">
        <f t="shared" si="442"/>
        <v>0.5</v>
      </c>
      <c r="N1373" t="str">
        <f t="shared" si="443"/>
        <v>1 - 1</v>
      </c>
      <c r="O1373" t="str">
        <f t="shared" si="444"/>
        <v>Red</v>
      </c>
      <c r="P1373" t="str">
        <f t="shared" si="445"/>
        <v>Green</v>
      </c>
      <c r="Q1373" t="str">
        <f t="shared" si="446"/>
        <v>Red</v>
      </c>
      <c r="R1373" t="str">
        <f t="shared" si="447"/>
        <v>Green</v>
      </c>
      <c r="S1373" t="str">
        <f t="shared" si="448"/>
        <v>Green</v>
      </c>
      <c r="T1373" t="str">
        <f t="shared" si="449"/>
        <v>Red</v>
      </c>
      <c r="U1373" t="str">
        <f t="shared" si="450"/>
        <v>Red</v>
      </c>
      <c r="V1373" t="str">
        <f t="shared" si="451"/>
        <v>Green</v>
      </c>
      <c r="W1373" t="str">
        <f t="shared" si="452"/>
        <v>Red</v>
      </c>
      <c r="X1373" t="str">
        <f t="shared" si="453"/>
        <v>Red</v>
      </c>
      <c r="Y1373" t="str">
        <f t="shared" si="454"/>
        <v>Green</v>
      </c>
      <c r="Z1373" t="str">
        <f t="shared" si="455"/>
        <v>Red</v>
      </c>
      <c r="AA1373" t="str">
        <f t="shared" si="456"/>
        <v>Green</v>
      </c>
      <c r="AB1373" t="str">
        <f t="shared" si="457"/>
        <v>Green</v>
      </c>
      <c r="AC1373" t="str">
        <f t="shared" si="458"/>
        <v>Green</v>
      </c>
      <c r="AD1373" t="str">
        <f t="shared" si="459"/>
        <v>Red</v>
      </c>
    </row>
    <row r="1374" spans="1:30" x14ac:dyDescent="0.2">
      <c r="A1374" t="str">
        <f t="shared" si="440"/>
        <v>25/07/2026Deportivo Ibarra WomenCSD Macara Women</v>
      </c>
      <c r="D1374" s="2">
        <v>46228</v>
      </c>
      <c r="E1374" s="3">
        <v>0.625</v>
      </c>
      <c r="F1374" t="s">
        <v>3192</v>
      </c>
      <c r="G1374" t="s">
        <v>3193</v>
      </c>
      <c r="H1374">
        <v>0</v>
      </c>
      <c r="I1374">
        <v>0</v>
      </c>
      <c r="J1374">
        <v>2</v>
      </c>
      <c r="K1374">
        <v>3</v>
      </c>
      <c r="L1374" s="22" t="str">
        <f t="shared" si="441"/>
        <v>25/07/2026</v>
      </c>
      <c r="M1374" s="23">
        <f t="shared" si="442"/>
        <v>0.5</v>
      </c>
      <c r="N1374" t="str">
        <f t="shared" si="443"/>
        <v>2 - 3</v>
      </c>
      <c r="O1374" t="str">
        <f t="shared" si="444"/>
        <v>Red</v>
      </c>
      <c r="P1374" t="str">
        <f t="shared" si="445"/>
        <v>Red</v>
      </c>
      <c r="Q1374" t="str">
        <f t="shared" si="446"/>
        <v>Green</v>
      </c>
      <c r="R1374" t="str">
        <f t="shared" si="447"/>
        <v>Red</v>
      </c>
      <c r="S1374" t="str">
        <f t="shared" si="448"/>
        <v>Green</v>
      </c>
      <c r="T1374" t="str">
        <f t="shared" si="449"/>
        <v>Green</v>
      </c>
      <c r="U1374" t="str">
        <f t="shared" si="450"/>
        <v>Red</v>
      </c>
      <c r="V1374" t="str">
        <f t="shared" si="451"/>
        <v>Green</v>
      </c>
      <c r="W1374" t="str">
        <f t="shared" si="452"/>
        <v>Red</v>
      </c>
      <c r="X1374" t="str">
        <f t="shared" si="453"/>
        <v>Red</v>
      </c>
      <c r="Y1374" t="str">
        <f t="shared" si="454"/>
        <v>Green</v>
      </c>
      <c r="Z1374" t="str">
        <f t="shared" si="455"/>
        <v>Green</v>
      </c>
      <c r="AA1374" t="str">
        <f t="shared" si="456"/>
        <v>Red</v>
      </c>
      <c r="AB1374" t="str">
        <f t="shared" si="457"/>
        <v>Red</v>
      </c>
      <c r="AC1374" t="str">
        <f t="shared" si="458"/>
        <v>Green</v>
      </c>
      <c r="AD1374" t="str">
        <f t="shared" si="459"/>
        <v>Red</v>
      </c>
    </row>
    <row r="1375" spans="1:30" x14ac:dyDescent="0.2">
      <c r="A1375" t="str">
        <f t="shared" si="440"/>
        <v>25/07/2026PK-35 VJSJippo</v>
      </c>
      <c r="D1375" s="2">
        <v>46228</v>
      </c>
      <c r="E1375" s="3">
        <v>0.625</v>
      </c>
      <c r="F1375" t="s">
        <v>3217</v>
      </c>
      <c r="G1375" t="s">
        <v>618</v>
      </c>
      <c r="H1375">
        <v>0</v>
      </c>
      <c r="I1375">
        <v>1</v>
      </c>
      <c r="J1375">
        <v>1</v>
      </c>
      <c r="K1375">
        <v>1</v>
      </c>
      <c r="L1375" s="22" t="str">
        <f t="shared" si="441"/>
        <v>25/07/2026</v>
      </c>
      <c r="M1375" s="23">
        <f t="shared" si="442"/>
        <v>0.5</v>
      </c>
      <c r="N1375" t="str">
        <f t="shared" si="443"/>
        <v>1 - 1</v>
      </c>
      <c r="O1375" t="str">
        <f t="shared" si="444"/>
        <v>Red</v>
      </c>
      <c r="P1375" t="str">
        <f t="shared" si="445"/>
        <v>Green</v>
      </c>
      <c r="Q1375" t="str">
        <f t="shared" si="446"/>
        <v>Red</v>
      </c>
      <c r="R1375" t="str">
        <f t="shared" si="447"/>
        <v>Green</v>
      </c>
      <c r="S1375" t="str">
        <f t="shared" si="448"/>
        <v>Green</v>
      </c>
      <c r="T1375" t="str">
        <f t="shared" si="449"/>
        <v>Red</v>
      </c>
      <c r="U1375" t="str">
        <f t="shared" si="450"/>
        <v>Red</v>
      </c>
      <c r="V1375" t="str">
        <f t="shared" si="451"/>
        <v>Red</v>
      </c>
      <c r="W1375" t="str">
        <f t="shared" si="452"/>
        <v>Green</v>
      </c>
      <c r="X1375" t="str">
        <f t="shared" si="453"/>
        <v>Green</v>
      </c>
      <c r="Y1375" t="str">
        <f t="shared" si="454"/>
        <v>Green</v>
      </c>
      <c r="Z1375" t="str">
        <f t="shared" si="455"/>
        <v>Red</v>
      </c>
      <c r="AA1375" t="str">
        <f t="shared" si="456"/>
        <v>Green</v>
      </c>
      <c r="AB1375" t="str">
        <f t="shared" si="457"/>
        <v>Green</v>
      </c>
      <c r="AC1375" t="str">
        <f t="shared" si="458"/>
        <v>Green</v>
      </c>
      <c r="AD1375" t="str">
        <f t="shared" si="459"/>
        <v>Red</v>
      </c>
    </row>
    <row r="1376" spans="1:30" x14ac:dyDescent="0.2">
      <c r="A1376" t="str">
        <f t="shared" si="440"/>
        <v>25/07/2026FC IraoDinamo Batumi</v>
      </c>
      <c r="D1376" s="2">
        <v>46228</v>
      </c>
      <c r="E1376" s="3">
        <v>0.625</v>
      </c>
      <c r="F1376" t="s">
        <v>3267</v>
      </c>
      <c r="G1376" t="s">
        <v>3268</v>
      </c>
      <c r="H1376">
        <v>0</v>
      </c>
      <c r="I1376">
        <v>0</v>
      </c>
      <c r="J1376">
        <v>1</v>
      </c>
      <c r="K1376">
        <v>4</v>
      </c>
      <c r="L1376" s="22" t="str">
        <f t="shared" si="441"/>
        <v>25/07/2026</v>
      </c>
      <c r="M1376" s="23">
        <f t="shared" si="442"/>
        <v>0.5</v>
      </c>
      <c r="N1376" t="str">
        <f t="shared" si="443"/>
        <v>1 - 4</v>
      </c>
      <c r="O1376" t="str">
        <f t="shared" si="444"/>
        <v>Red</v>
      </c>
      <c r="P1376" t="str">
        <f t="shared" si="445"/>
        <v>Red</v>
      </c>
      <c r="Q1376" t="str">
        <f t="shared" si="446"/>
        <v>Green</v>
      </c>
      <c r="R1376" t="str">
        <f t="shared" si="447"/>
        <v>Red</v>
      </c>
      <c r="S1376" t="str">
        <f t="shared" si="448"/>
        <v>Green</v>
      </c>
      <c r="T1376" t="str">
        <f t="shared" si="449"/>
        <v>Green</v>
      </c>
      <c r="U1376" t="str">
        <f t="shared" si="450"/>
        <v>Red</v>
      </c>
      <c r="V1376" t="str">
        <f t="shared" si="451"/>
        <v>Green</v>
      </c>
      <c r="W1376" t="str">
        <f t="shared" si="452"/>
        <v>Red</v>
      </c>
      <c r="X1376" t="str">
        <f t="shared" si="453"/>
        <v>Red</v>
      </c>
      <c r="Y1376" t="str">
        <f t="shared" si="454"/>
        <v>Green</v>
      </c>
      <c r="Z1376" t="str">
        <f t="shared" si="455"/>
        <v>Green</v>
      </c>
      <c r="AA1376" t="str">
        <f t="shared" si="456"/>
        <v>Red</v>
      </c>
      <c r="AB1376" t="str">
        <f t="shared" si="457"/>
        <v>Red</v>
      </c>
      <c r="AC1376" t="str">
        <f t="shared" si="458"/>
        <v>Green</v>
      </c>
      <c r="AD1376" t="str">
        <f t="shared" si="459"/>
        <v>Red</v>
      </c>
    </row>
    <row r="1377" spans="1:30" x14ac:dyDescent="0.2">
      <c r="A1377" t="str">
        <f t="shared" si="440"/>
        <v>25/07/2026Schalding HeiningTSV Kottern</v>
      </c>
      <c r="D1377" s="2">
        <v>46228</v>
      </c>
      <c r="E1377" s="3">
        <v>0.625</v>
      </c>
      <c r="F1377" t="s">
        <v>1358</v>
      </c>
      <c r="G1377" t="s">
        <v>1359</v>
      </c>
      <c r="H1377">
        <v>0</v>
      </c>
      <c r="I1377">
        <v>2</v>
      </c>
      <c r="J1377">
        <v>4</v>
      </c>
      <c r="K1377">
        <v>2</v>
      </c>
      <c r="L1377" s="22" t="str">
        <f t="shared" si="441"/>
        <v>25/07/2026</v>
      </c>
      <c r="M1377" s="23">
        <f t="shared" si="442"/>
        <v>0.5</v>
      </c>
      <c r="N1377" t="str">
        <f t="shared" si="443"/>
        <v>4 - 2</v>
      </c>
      <c r="O1377" t="str">
        <f t="shared" si="444"/>
        <v>Green</v>
      </c>
      <c r="P1377" t="str">
        <f t="shared" si="445"/>
        <v>Red</v>
      </c>
      <c r="Q1377" t="str">
        <f t="shared" si="446"/>
        <v>Red</v>
      </c>
      <c r="R1377" t="str">
        <f t="shared" si="447"/>
        <v>Green</v>
      </c>
      <c r="S1377" t="str">
        <f t="shared" si="448"/>
        <v>Red</v>
      </c>
      <c r="T1377" t="str">
        <f t="shared" si="449"/>
        <v>Green</v>
      </c>
      <c r="U1377" t="str">
        <f t="shared" si="450"/>
        <v>Red</v>
      </c>
      <c r="V1377" t="str">
        <f t="shared" si="451"/>
        <v>Red</v>
      </c>
      <c r="W1377" t="str">
        <f t="shared" si="452"/>
        <v>Green</v>
      </c>
      <c r="X1377" t="str">
        <f t="shared" si="453"/>
        <v>Green</v>
      </c>
      <c r="Y1377" t="str">
        <f t="shared" si="454"/>
        <v>Green</v>
      </c>
      <c r="Z1377" t="str">
        <f t="shared" si="455"/>
        <v>Green</v>
      </c>
      <c r="AA1377" t="str">
        <f t="shared" si="456"/>
        <v>Red</v>
      </c>
      <c r="AB1377" t="str">
        <f t="shared" si="457"/>
        <v>Red</v>
      </c>
      <c r="AC1377" t="str">
        <f t="shared" si="458"/>
        <v>Green</v>
      </c>
      <c r="AD1377" t="str">
        <f t="shared" si="459"/>
        <v>Red</v>
      </c>
    </row>
    <row r="1378" spans="1:30" x14ac:dyDescent="0.2">
      <c r="A1378" t="str">
        <f t="shared" si="440"/>
        <v>25/07/2026KFA AustfjardaThrottur Vogar</v>
      </c>
      <c r="D1378" s="2">
        <v>46228</v>
      </c>
      <c r="E1378" s="3">
        <v>0.625</v>
      </c>
      <c r="F1378" t="s">
        <v>3349</v>
      </c>
      <c r="G1378" t="s">
        <v>3350</v>
      </c>
      <c r="H1378">
        <v>1</v>
      </c>
      <c r="I1378">
        <v>2</v>
      </c>
      <c r="J1378">
        <v>4</v>
      </c>
      <c r="K1378">
        <v>2</v>
      </c>
      <c r="L1378" s="22" t="str">
        <f t="shared" si="441"/>
        <v>25/07/2026</v>
      </c>
      <c r="M1378" s="23">
        <f t="shared" si="442"/>
        <v>0.5</v>
      </c>
      <c r="N1378" t="str">
        <f t="shared" si="443"/>
        <v>4 - 2</v>
      </c>
      <c r="O1378" t="str">
        <f t="shared" si="444"/>
        <v>Green</v>
      </c>
      <c r="P1378" t="str">
        <f t="shared" si="445"/>
        <v>Red</v>
      </c>
      <c r="Q1378" t="str">
        <f t="shared" si="446"/>
        <v>Red</v>
      </c>
      <c r="R1378" t="str">
        <f t="shared" si="447"/>
        <v>Green</v>
      </c>
      <c r="S1378" t="str">
        <f t="shared" si="448"/>
        <v>Red</v>
      </c>
      <c r="T1378" t="str">
        <f t="shared" si="449"/>
        <v>Green</v>
      </c>
      <c r="U1378" t="str">
        <f t="shared" si="450"/>
        <v>Red</v>
      </c>
      <c r="V1378" t="str">
        <f t="shared" si="451"/>
        <v>Red</v>
      </c>
      <c r="W1378" t="str">
        <f t="shared" si="452"/>
        <v>Green</v>
      </c>
      <c r="X1378" t="str">
        <f t="shared" si="453"/>
        <v>Green</v>
      </c>
      <c r="Y1378" t="str">
        <f t="shared" si="454"/>
        <v>Green</v>
      </c>
      <c r="Z1378" t="str">
        <f t="shared" si="455"/>
        <v>Green</v>
      </c>
      <c r="AA1378" t="str">
        <f t="shared" si="456"/>
        <v>Red</v>
      </c>
      <c r="AB1378" t="str">
        <f t="shared" si="457"/>
        <v>Red</v>
      </c>
      <c r="AC1378" t="str">
        <f t="shared" si="458"/>
        <v>Green</v>
      </c>
      <c r="AD1378" t="str">
        <f t="shared" si="459"/>
        <v>Red</v>
      </c>
    </row>
    <row r="1379" spans="1:30" x14ac:dyDescent="0.2">
      <c r="A1379" t="str">
        <f t="shared" si="440"/>
        <v>25/07/2026AktobeOkzhetpes</v>
      </c>
      <c r="D1379" s="2">
        <v>46228</v>
      </c>
      <c r="E1379" s="3">
        <v>0.625</v>
      </c>
      <c r="F1379" t="s">
        <v>3386</v>
      </c>
      <c r="G1379" t="s">
        <v>3387</v>
      </c>
      <c r="H1379">
        <v>2</v>
      </c>
      <c r="I1379">
        <v>1</v>
      </c>
      <c r="J1379">
        <v>2</v>
      </c>
      <c r="K1379">
        <v>1</v>
      </c>
      <c r="L1379" s="22" t="str">
        <f t="shared" si="441"/>
        <v>25/07/2026</v>
      </c>
      <c r="M1379" s="23">
        <f t="shared" si="442"/>
        <v>0.5</v>
      </c>
      <c r="N1379" t="str">
        <f t="shared" si="443"/>
        <v>2 - 1</v>
      </c>
      <c r="O1379" t="str">
        <f t="shared" si="444"/>
        <v>Green</v>
      </c>
      <c r="P1379" t="str">
        <f t="shared" si="445"/>
        <v>Red</v>
      </c>
      <c r="Q1379" t="str">
        <f t="shared" si="446"/>
        <v>Red</v>
      </c>
      <c r="R1379" t="str">
        <f t="shared" si="447"/>
        <v>Green</v>
      </c>
      <c r="S1379" t="str">
        <f t="shared" si="448"/>
        <v>Red</v>
      </c>
      <c r="T1379" t="str">
        <f t="shared" si="449"/>
        <v>Green</v>
      </c>
      <c r="U1379" t="str">
        <f t="shared" si="450"/>
        <v>Green</v>
      </c>
      <c r="V1379" t="str">
        <f t="shared" si="451"/>
        <v>Red</v>
      </c>
      <c r="W1379" t="str">
        <f t="shared" si="452"/>
        <v>Red</v>
      </c>
      <c r="X1379" t="str">
        <f t="shared" si="453"/>
        <v>Green</v>
      </c>
      <c r="Y1379" t="str">
        <f t="shared" si="454"/>
        <v>Green</v>
      </c>
      <c r="Z1379" t="str">
        <f t="shared" si="455"/>
        <v>Green</v>
      </c>
      <c r="AA1379" t="str">
        <f t="shared" si="456"/>
        <v>Red</v>
      </c>
      <c r="AB1379" t="str">
        <f t="shared" si="457"/>
        <v>Green</v>
      </c>
      <c r="AC1379" t="str">
        <f t="shared" si="458"/>
        <v>Green</v>
      </c>
      <c r="AD1379" t="str">
        <f t="shared" si="459"/>
        <v>Red</v>
      </c>
    </row>
    <row r="1380" spans="1:30" x14ac:dyDescent="0.2">
      <c r="A1380" t="str">
        <f t="shared" si="440"/>
        <v>25/07/2026Rezeknes BJSSMarupes SC</v>
      </c>
      <c r="D1380" s="2">
        <v>46228</v>
      </c>
      <c r="E1380" s="3">
        <v>0.625</v>
      </c>
      <c r="F1380" t="s">
        <v>3392</v>
      </c>
      <c r="G1380" t="s">
        <v>620</v>
      </c>
      <c r="H1380">
        <v>0</v>
      </c>
      <c r="I1380">
        <v>0</v>
      </c>
      <c r="J1380">
        <v>1</v>
      </c>
      <c r="K1380">
        <v>2</v>
      </c>
      <c r="L1380" s="22" t="str">
        <f t="shared" si="441"/>
        <v>25/07/2026</v>
      </c>
      <c r="M1380" s="23">
        <f t="shared" si="442"/>
        <v>0.5</v>
      </c>
      <c r="N1380" t="str">
        <f t="shared" si="443"/>
        <v>1 - 2</v>
      </c>
      <c r="O1380" t="str">
        <f t="shared" si="444"/>
        <v>Red</v>
      </c>
      <c r="P1380" t="str">
        <f t="shared" si="445"/>
        <v>Red</v>
      </c>
      <c r="Q1380" t="str">
        <f t="shared" si="446"/>
        <v>Green</v>
      </c>
      <c r="R1380" t="str">
        <f t="shared" si="447"/>
        <v>Red</v>
      </c>
      <c r="S1380" t="str">
        <f t="shared" si="448"/>
        <v>Green</v>
      </c>
      <c r="T1380" t="str">
        <f t="shared" si="449"/>
        <v>Green</v>
      </c>
      <c r="U1380" t="str">
        <f t="shared" si="450"/>
        <v>Red</v>
      </c>
      <c r="V1380" t="str">
        <f t="shared" si="451"/>
        <v>Green</v>
      </c>
      <c r="W1380" t="str">
        <f t="shared" si="452"/>
        <v>Red</v>
      </c>
      <c r="X1380" t="str">
        <f t="shared" si="453"/>
        <v>Red</v>
      </c>
      <c r="Y1380" t="str">
        <f t="shared" si="454"/>
        <v>Green</v>
      </c>
      <c r="Z1380" t="str">
        <f t="shared" si="455"/>
        <v>Green</v>
      </c>
      <c r="AA1380" t="str">
        <f t="shared" si="456"/>
        <v>Red</v>
      </c>
      <c r="AB1380" t="str">
        <f t="shared" si="457"/>
        <v>Green</v>
      </c>
      <c r="AC1380" t="str">
        <f t="shared" si="458"/>
        <v>Green</v>
      </c>
      <c r="AD1380" t="str">
        <f t="shared" si="459"/>
        <v>Red</v>
      </c>
    </row>
    <row r="1381" spans="1:30" x14ac:dyDescent="0.2">
      <c r="A1381" t="str">
        <f t="shared" si="440"/>
        <v>25/07/2026FK BabrungasEkranas</v>
      </c>
      <c r="D1381" s="2">
        <v>46228</v>
      </c>
      <c r="E1381" s="3">
        <v>0.625</v>
      </c>
      <c r="F1381" t="s">
        <v>621</v>
      </c>
      <c r="G1381" t="s">
        <v>3397</v>
      </c>
      <c r="H1381">
        <v>1</v>
      </c>
      <c r="I1381">
        <v>0</v>
      </c>
      <c r="J1381">
        <v>2</v>
      </c>
      <c r="K1381">
        <v>0</v>
      </c>
      <c r="L1381" s="22" t="str">
        <f t="shared" si="441"/>
        <v>25/07/2026</v>
      </c>
      <c r="M1381" s="23">
        <f t="shared" si="442"/>
        <v>0.5</v>
      </c>
      <c r="N1381" t="str">
        <f t="shared" si="443"/>
        <v>2 - 0</v>
      </c>
      <c r="O1381" t="str">
        <f t="shared" si="444"/>
        <v>Green</v>
      </c>
      <c r="P1381" t="str">
        <f t="shared" si="445"/>
        <v>Red</v>
      </c>
      <c r="Q1381" t="str">
        <f t="shared" si="446"/>
        <v>Red</v>
      </c>
      <c r="R1381" t="str">
        <f t="shared" si="447"/>
        <v>Green</v>
      </c>
      <c r="S1381" t="str">
        <f t="shared" si="448"/>
        <v>Red</v>
      </c>
      <c r="T1381" t="str">
        <f t="shared" si="449"/>
        <v>Green</v>
      </c>
      <c r="U1381" t="str">
        <f t="shared" si="450"/>
        <v>Green</v>
      </c>
      <c r="V1381" t="str">
        <f t="shared" si="451"/>
        <v>Red</v>
      </c>
      <c r="W1381" t="str">
        <f t="shared" si="452"/>
        <v>Red</v>
      </c>
      <c r="X1381" t="str">
        <f t="shared" si="453"/>
        <v>Green</v>
      </c>
      <c r="Y1381" t="str">
        <f t="shared" si="454"/>
        <v>Green</v>
      </c>
      <c r="Z1381" t="str">
        <f t="shared" si="455"/>
        <v>Red</v>
      </c>
      <c r="AA1381" t="str">
        <f t="shared" si="456"/>
        <v>Green</v>
      </c>
      <c r="AB1381" t="str">
        <f t="shared" si="457"/>
        <v>Green</v>
      </c>
      <c r="AC1381" t="str">
        <f t="shared" si="458"/>
        <v>Red</v>
      </c>
      <c r="AD1381" t="str">
        <f t="shared" si="459"/>
        <v>Green</v>
      </c>
    </row>
    <row r="1382" spans="1:30" x14ac:dyDescent="0.2">
      <c r="A1382" t="str">
        <f t="shared" si="440"/>
        <v>25/07/2026Guadalajara U21FC Juarez U21</v>
      </c>
      <c r="D1382" s="2">
        <v>46228</v>
      </c>
      <c r="E1382" s="3">
        <v>0.625</v>
      </c>
      <c r="F1382" t="s">
        <v>3421</v>
      </c>
      <c r="G1382" t="s">
        <v>3422</v>
      </c>
      <c r="L1382" s="22" t="str">
        <f t="shared" si="441"/>
        <v>25/07/2026</v>
      </c>
      <c r="M1382" s="23">
        <f t="shared" si="442"/>
        <v>0.5</v>
      </c>
      <c r="N1382" t="str">
        <f t="shared" si="443"/>
        <v xml:space="preserve"> - </v>
      </c>
      <c r="O1382" t="str">
        <f t="shared" si="444"/>
        <v>Red</v>
      </c>
      <c r="P1382" t="str">
        <f t="shared" si="445"/>
        <v>Green</v>
      </c>
      <c r="Q1382" t="str">
        <f t="shared" si="446"/>
        <v>Red</v>
      </c>
      <c r="R1382" t="str">
        <f t="shared" si="447"/>
        <v>Green</v>
      </c>
      <c r="S1382" t="str">
        <f t="shared" si="448"/>
        <v>Green</v>
      </c>
      <c r="T1382" t="str">
        <f t="shared" si="449"/>
        <v>Red</v>
      </c>
      <c r="U1382" t="str">
        <f t="shared" si="450"/>
        <v>Red</v>
      </c>
      <c r="V1382" t="str">
        <f t="shared" si="451"/>
        <v>Green</v>
      </c>
      <c r="W1382" t="str">
        <f t="shared" si="452"/>
        <v>Red</v>
      </c>
      <c r="X1382" t="str">
        <f t="shared" si="453"/>
        <v>Red</v>
      </c>
      <c r="Y1382" t="str">
        <f t="shared" si="454"/>
        <v>Red</v>
      </c>
      <c r="Z1382" t="str">
        <f t="shared" si="455"/>
        <v>Red</v>
      </c>
      <c r="AA1382" t="str">
        <f t="shared" si="456"/>
        <v>Green</v>
      </c>
      <c r="AB1382" t="str">
        <f t="shared" si="457"/>
        <v>Green</v>
      </c>
      <c r="AC1382" t="str">
        <f t="shared" si="458"/>
        <v>Red</v>
      </c>
      <c r="AD1382" t="str">
        <f t="shared" si="459"/>
        <v>Green</v>
      </c>
    </row>
    <row r="1383" spans="1:30" x14ac:dyDescent="0.2">
      <c r="A1383" t="str">
        <f t="shared" si="440"/>
        <v>25/07/2026Tigres UANL U21Atletico San Luis U21</v>
      </c>
      <c r="D1383" s="2">
        <v>46228</v>
      </c>
      <c r="E1383" s="3">
        <v>0.625</v>
      </c>
      <c r="F1383" t="s">
        <v>3423</v>
      </c>
      <c r="G1383" t="s">
        <v>3424</v>
      </c>
      <c r="H1383">
        <v>0</v>
      </c>
      <c r="I1383">
        <v>0</v>
      </c>
      <c r="J1383">
        <v>3</v>
      </c>
      <c r="K1383">
        <v>2</v>
      </c>
      <c r="L1383" s="22" t="str">
        <f t="shared" si="441"/>
        <v>25/07/2026</v>
      </c>
      <c r="M1383" s="23">
        <f t="shared" si="442"/>
        <v>0.5</v>
      </c>
      <c r="N1383" t="str">
        <f t="shared" si="443"/>
        <v>3 - 2</v>
      </c>
      <c r="O1383" t="str">
        <f t="shared" si="444"/>
        <v>Green</v>
      </c>
      <c r="P1383" t="str">
        <f t="shared" si="445"/>
        <v>Red</v>
      </c>
      <c r="Q1383" t="str">
        <f t="shared" si="446"/>
        <v>Red</v>
      </c>
      <c r="R1383" t="str">
        <f t="shared" si="447"/>
        <v>Green</v>
      </c>
      <c r="S1383" t="str">
        <f t="shared" si="448"/>
        <v>Red</v>
      </c>
      <c r="T1383" t="str">
        <f t="shared" si="449"/>
        <v>Green</v>
      </c>
      <c r="U1383" t="str">
        <f t="shared" si="450"/>
        <v>Red</v>
      </c>
      <c r="V1383" t="str">
        <f t="shared" si="451"/>
        <v>Green</v>
      </c>
      <c r="W1383" t="str">
        <f t="shared" si="452"/>
        <v>Red</v>
      </c>
      <c r="X1383" t="str">
        <f t="shared" si="453"/>
        <v>Red</v>
      </c>
      <c r="Y1383" t="str">
        <f t="shared" si="454"/>
        <v>Green</v>
      </c>
      <c r="Z1383" t="str">
        <f t="shared" si="455"/>
        <v>Green</v>
      </c>
      <c r="AA1383" t="str">
        <f t="shared" si="456"/>
        <v>Red</v>
      </c>
      <c r="AB1383" t="str">
        <f t="shared" si="457"/>
        <v>Red</v>
      </c>
      <c r="AC1383" t="str">
        <f t="shared" si="458"/>
        <v>Green</v>
      </c>
      <c r="AD1383" t="str">
        <f t="shared" si="459"/>
        <v>Red</v>
      </c>
    </row>
    <row r="1384" spans="1:30" x14ac:dyDescent="0.2">
      <c r="A1384" t="str">
        <f t="shared" si="440"/>
        <v>25/07/2026FC Struga Trim LumShkendija Haracine</v>
      </c>
      <c r="D1384" s="2">
        <v>46228</v>
      </c>
      <c r="E1384" s="3">
        <v>0.625</v>
      </c>
      <c r="F1384" t="s">
        <v>3441</v>
      </c>
      <c r="G1384" t="s">
        <v>3442</v>
      </c>
      <c r="H1384">
        <v>2</v>
      </c>
      <c r="I1384">
        <v>0</v>
      </c>
      <c r="J1384">
        <v>3</v>
      </c>
      <c r="K1384">
        <v>0</v>
      </c>
      <c r="L1384" s="22" t="str">
        <f t="shared" si="441"/>
        <v>25/07/2026</v>
      </c>
      <c r="M1384" s="23">
        <f t="shared" si="442"/>
        <v>0.5</v>
      </c>
      <c r="N1384" t="str">
        <f t="shared" si="443"/>
        <v>3 - 0</v>
      </c>
      <c r="O1384" t="str">
        <f t="shared" si="444"/>
        <v>Green</v>
      </c>
      <c r="P1384" t="str">
        <f t="shared" si="445"/>
        <v>Red</v>
      </c>
      <c r="Q1384" t="str">
        <f t="shared" si="446"/>
        <v>Red</v>
      </c>
      <c r="R1384" t="str">
        <f t="shared" si="447"/>
        <v>Green</v>
      </c>
      <c r="S1384" t="str">
        <f t="shared" si="448"/>
        <v>Red</v>
      </c>
      <c r="T1384" t="str">
        <f t="shared" si="449"/>
        <v>Green</v>
      </c>
      <c r="U1384" t="str">
        <f t="shared" si="450"/>
        <v>Green</v>
      </c>
      <c r="V1384" t="str">
        <f t="shared" si="451"/>
        <v>Red</v>
      </c>
      <c r="W1384" t="str">
        <f t="shared" si="452"/>
        <v>Red</v>
      </c>
      <c r="X1384" t="str">
        <f t="shared" si="453"/>
        <v>Green</v>
      </c>
      <c r="Y1384" t="str">
        <f t="shared" si="454"/>
        <v>Green</v>
      </c>
      <c r="Z1384" t="str">
        <f t="shared" si="455"/>
        <v>Green</v>
      </c>
      <c r="AA1384" t="str">
        <f t="shared" si="456"/>
        <v>Red</v>
      </c>
      <c r="AB1384" t="str">
        <f t="shared" si="457"/>
        <v>Green</v>
      </c>
      <c r="AC1384" t="str">
        <f t="shared" si="458"/>
        <v>Red</v>
      </c>
      <c r="AD1384" t="str">
        <f t="shared" si="459"/>
        <v>Green</v>
      </c>
    </row>
    <row r="1385" spans="1:30" x14ac:dyDescent="0.2">
      <c r="A1385" t="str">
        <f t="shared" si="440"/>
        <v>25/07/2026FK Vardar SkopjeBregalnica Stip</v>
      </c>
      <c r="D1385" s="2">
        <v>46228</v>
      </c>
      <c r="E1385" s="3">
        <v>0.625</v>
      </c>
      <c r="F1385" t="s">
        <v>352</v>
      </c>
      <c r="G1385" t="s">
        <v>3443</v>
      </c>
      <c r="H1385">
        <v>1</v>
      </c>
      <c r="I1385">
        <v>0</v>
      </c>
      <c r="J1385">
        <v>2</v>
      </c>
      <c r="K1385">
        <v>0</v>
      </c>
      <c r="L1385" s="22" t="str">
        <f t="shared" si="441"/>
        <v>25/07/2026</v>
      </c>
      <c r="M1385" s="23">
        <f t="shared" si="442"/>
        <v>0.5</v>
      </c>
      <c r="N1385" t="str">
        <f t="shared" si="443"/>
        <v>2 - 0</v>
      </c>
      <c r="O1385" t="str">
        <f t="shared" si="444"/>
        <v>Green</v>
      </c>
      <c r="P1385" t="str">
        <f t="shared" si="445"/>
        <v>Red</v>
      </c>
      <c r="Q1385" t="str">
        <f t="shared" si="446"/>
        <v>Red</v>
      </c>
      <c r="R1385" t="str">
        <f t="shared" si="447"/>
        <v>Green</v>
      </c>
      <c r="S1385" t="str">
        <f t="shared" si="448"/>
        <v>Red</v>
      </c>
      <c r="T1385" t="str">
        <f t="shared" si="449"/>
        <v>Green</v>
      </c>
      <c r="U1385" t="str">
        <f t="shared" si="450"/>
        <v>Green</v>
      </c>
      <c r="V1385" t="str">
        <f t="shared" si="451"/>
        <v>Red</v>
      </c>
      <c r="W1385" t="str">
        <f t="shared" si="452"/>
        <v>Red</v>
      </c>
      <c r="X1385" t="str">
        <f t="shared" si="453"/>
        <v>Green</v>
      </c>
      <c r="Y1385" t="str">
        <f t="shared" si="454"/>
        <v>Green</v>
      </c>
      <c r="Z1385" t="str">
        <f t="shared" si="455"/>
        <v>Red</v>
      </c>
      <c r="AA1385" t="str">
        <f t="shared" si="456"/>
        <v>Green</v>
      </c>
      <c r="AB1385" t="str">
        <f t="shared" si="457"/>
        <v>Green</v>
      </c>
      <c r="AC1385" t="str">
        <f t="shared" si="458"/>
        <v>Red</v>
      </c>
      <c r="AD1385" t="str">
        <f t="shared" si="459"/>
        <v>Green</v>
      </c>
    </row>
    <row r="1386" spans="1:30" x14ac:dyDescent="0.2">
      <c r="A1386" t="str">
        <f t="shared" si="440"/>
        <v>25/07/2026TromsdalenFollo</v>
      </c>
      <c r="D1386" s="2">
        <v>46228</v>
      </c>
      <c r="E1386" s="3">
        <v>0.625</v>
      </c>
      <c r="F1386" t="s">
        <v>3463</v>
      </c>
      <c r="G1386" t="s">
        <v>3464</v>
      </c>
      <c r="H1386">
        <v>0</v>
      </c>
      <c r="I1386">
        <v>0</v>
      </c>
      <c r="J1386">
        <v>0</v>
      </c>
      <c r="K1386">
        <v>0</v>
      </c>
      <c r="L1386" s="22" t="str">
        <f t="shared" si="441"/>
        <v>25/07/2026</v>
      </c>
      <c r="M1386" s="23">
        <f t="shared" si="442"/>
        <v>0.5</v>
      </c>
      <c r="N1386" t="str">
        <f t="shared" si="443"/>
        <v>0 - 0</v>
      </c>
      <c r="O1386" t="str">
        <f t="shared" si="444"/>
        <v>Red</v>
      </c>
      <c r="P1386" t="str">
        <f t="shared" si="445"/>
        <v>Green</v>
      </c>
      <c r="Q1386" t="str">
        <f t="shared" si="446"/>
        <v>Red</v>
      </c>
      <c r="R1386" t="str">
        <f t="shared" si="447"/>
        <v>Green</v>
      </c>
      <c r="S1386" t="str">
        <f t="shared" si="448"/>
        <v>Green</v>
      </c>
      <c r="T1386" t="str">
        <f t="shared" si="449"/>
        <v>Red</v>
      </c>
      <c r="U1386" t="str">
        <f t="shared" si="450"/>
        <v>Red</v>
      </c>
      <c r="V1386" t="str">
        <f t="shared" si="451"/>
        <v>Green</v>
      </c>
      <c r="W1386" t="str">
        <f t="shared" si="452"/>
        <v>Red</v>
      </c>
      <c r="X1386" t="str">
        <f t="shared" si="453"/>
        <v>Red</v>
      </c>
      <c r="Y1386" t="str">
        <f t="shared" si="454"/>
        <v>Red</v>
      </c>
      <c r="Z1386" t="str">
        <f t="shared" si="455"/>
        <v>Red</v>
      </c>
      <c r="AA1386" t="str">
        <f t="shared" si="456"/>
        <v>Green</v>
      </c>
      <c r="AB1386" t="str">
        <f t="shared" si="457"/>
        <v>Green</v>
      </c>
      <c r="AC1386" t="str">
        <f t="shared" si="458"/>
        <v>Red</v>
      </c>
      <c r="AD1386" t="str">
        <f t="shared" si="459"/>
        <v>Green</v>
      </c>
    </row>
    <row r="1387" spans="1:30" x14ac:dyDescent="0.2">
      <c r="A1387" t="str">
        <f t="shared" si="440"/>
        <v>25/07/2026Killas WomenAlianza Lima Women</v>
      </c>
      <c r="D1387" s="2">
        <v>46228</v>
      </c>
      <c r="E1387" s="3">
        <v>0.625</v>
      </c>
      <c r="F1387" t="s">
        <v>3528</v>
      </c>
      <c r="G1387" t="s">
        <v>3529</v>
      </c>
      <c r="H1387">
        <v>0</v>
      </c>
      <c r="I1387">
        <v>0</v>
      </c>
      <c r="J1387">
        <v>0</v>
      </c>
      <c r="K1387">
        <v>3</v>
      </c>
      <c r="L1387" s="22" t="str">
        <f t="shared" si="441"/>
        <v>25/07/2026</v>
      </c>
      <c r="M1387" s="23">
        <f t="shared" si="442"/>
        <v>0.5</v>
      </c>
      <c r="N1387" t="str">
        <f t="shared" si="443"/>
        <v>0 - 3</v>
      </c>
      <c r="O1387" t="str">
        <f t="shared" si="444"/>
        <v>Red</v>
      </c>
      <c r="P1387" t="str">
        <f t="shared" si="445"/>
        <v>Red</v>
      </c>
      <c r="Q1387" t="str">
        <f t="shared" si="446"/>
        <v>Green</v>
      </c>
      <c r="R1387" t="str">
        <f t="shared" si="447"/>
        <v>Red</v>
      </c>
      <c r="S1387" t="str">
        <f t="shared" si="448"/>
        <v>Green</v>
      </c>
      <c r="T1387" t="str">
        <f t="shared" si="449"/>
        <v>Green</v>
      </c>
      <c r="U1387" t="str">
        <f t="shared" si="450"/>
        <v>Red</v>
      </c>
      <c r="V1387" t="str">
        <f t="shared" si="451"/>
        <v>Green</v>
      </c>
      <c r="W1387" t="str">
        <f t="shared" si="452"/>
        <v>Red</v>
      </c>
      <c r="X1387" t="str">
        <f t="shared" si="453"/>
        <v>Red</v>
      </c>
      <c r="Y1387" t="str">
        <f t="shared" si="454"/>
        <v>Green</v>
      </c>
      <c r="Z1387" t="str">
        <f t="shared" si="455"/>
        <v>Green</v>
      </c>
      <c r="AA1387" t="str">
        <f t="shared" si="456"/>
        <v>Red</v>
      </c>
      <c r="AB1387" t="str">
        <f t="shared" si="457"/>
        <v>Green</v>
      </c>
      <c r="AC1387" t="str">
        <f t="shared" si="458"/>
        <v>Red</v>
      </c>
      <c r="AD1387" t="str">
        <f t="shared" si="459"/>
        <v>Green</v>
      </c>
    </row>
    <row r="1388" spans="1:30" x14ac:dyDescent="0.2">
      <c r="A1388" t="str">
        <f t="shared" si="440"/>
        <v>25/07/2026Druzhba MaikopFC Sevastopol</v>
      </c>
      <c r="D1388" s="2">
        <v>46228</v>
      </c>
      <c r="E1388" s="3">
        <v>0.625</v>
      </c>
      <c r="F1388" t="s">
        <v>3578</v>
      </c>
      <c r="G1388" t="s">
        <v>3579</v>
      </c>
      <c r="H1388">
        <v>0</v>
      </c>
      <c r="I1388">
        <v>0</v>
      </c>
      <c r="J1388">
        <v>1</v>
      </c>
      <c r="K1388">
        <v>3</v>
      </c>
      <c r="L1388" s="22" t="str">
        <f t="shared" si="441"/>
        <v>25/07/2026</v>
      </c>
      <c r="M1388" s="23">
        <f t="shared" si="442"/>
        <v>0.5</v>
      </c>
      <c r="N1388" t="str">
        <f t="shared" si="443"/>
        <v>1 - 3</v>
      </c>
      <c r="O1388" t="str">
        <f t="shared" si="444"/>
        <v>Red</v>
      </c>
      <c r="P1388" t="str">
        <f t="shared" si="445"/>
        <v>Red</v>
      </c>
      <c r="Q1388" t="str">
        <f t="shared" si="446"/>
        <v>Green</v>
      </c>
      <c r="R1388" t="str">
        <f t="shared" si="447"/>
        <v>Red</v>
      </c>
      <c r="S1388" t="str">
        <f t="shared" si="448"/>
        <v>Green</v>
      </c>
      <c r="T1388" t="str">
        <f t="shared" si="449"/>
        <v>Green</v>
      </c>
      <c r="U1388" t="str">
        <f t="shared" si="450"/>
        <v>Red</v>
      </c>
      <c r="V1388" t="str">
        <f t="shared" si="451"/>
        <v>Green</v>
      </c>
      <c r="W1388" t="str">
        <f t="shared" si="452"/>
        <v>Red</v>
      </c>
      <c r="X1388" t="str">
        <f t="shared" si="453"/>
        <v>Red</v>
      </c>
      <c r="Y1388" t="str">
        <f t="shared" si="454"/>
        <v>Green</v>
      </c>
      <c r="Z1388" t="str">
        <f t="shared" si="455"/>
        <v>Green</v>
      </c>
      <c r="AA1388" t="str">
        <f t="shared" si="456"/>
        <v>Red</v>
      </c>
      <c r="AB1388" t="str">
        <f t="shared" si="457"/>
        <v>Red</v>
      </c>
      <c r="AC1388" t="str">
        <f t="shared" si="458"/>
        <v>Green</v>
      </c>
      <c r="AD1388" t="str">
        <f t="shared" si="459"/>
        <v>Red</v>
      </c>
    </row>
    <row r="1389" spans="1:30" x14ac:dyDescent="0.2">
      <c r="A1389" t="str">
        <f t="shared" si="440"/>
        <v>25/07/2026FC Nart CherkesskPSK Dinskaya</v>
      </c>
      <c r="D1389" s="2">
        <v>46228</v>
      </c>
      <c r="E1389" s="3">
        <v>0.625</v>
      </c>
      <c r="F1389" t="s">
        <v>3580</v>
      </c>
      <c r="G1389" t="s">
        <v>3581</v>
      </c>
      <c r="L1389" s="22" t="str">
        <f t="shared" si="441"/>
        <v>25/07/2026</v>
      </c>
      <c r="M1389" s="23">
        <f t="shared" si="442"/>
        <v>0.5</v>
      </c>
      <c r="N1389" t="str">
        <f t="shared" si="443"/>
        <v xml:space="preserve"> - </v>
      </c>
      <c r="O1389" t="str">
        <f t="shared" si="444"/>
        <v>Red</v>
      </c>
      <c r="P1389" t="str">
        <f t="shared" si="445"/>
        <v>Green</v>
      </c>
      <c r="Q1389" t="str">
        <f t="shared" si="446"/>
        <v>Red</v>
      </c>
      <c r="R1389" t="str">
        <f t="shared" si="447"/>
        <v>Green</v>
      </c>
      <c r="S1389" t="str">
        <f t="shared" si="448"/>
        <v>Green</v>
      </c>
      <c r="T1389" t="str">
        <f t="shared" si="449"/>
        <v>Red</v>
      </c>
      <c r="U1389" t="str">
        <f t="shared" si="450"/>
        <v>Red</v>
      </c>
      <c r="V1389" t="str">
        <f t="shared" si="451"/>
        <v>Green</v>
      </c>
      <c r="W1389" t="str">
        <f t="shared" si="452"/>
        <v>Red</v>
      </c>
      <c r="X1389" t="str">
        <f t="shared" si="453"/>
        <v>Red</v>
      </c>
      <c r="Y1389" t="str">
        <f t="shared" si="454"/>
        <v>Red</v>
      </c>
      <c r="Z1389" t="str">
        <f t="shared" si="455"/>
        <v>Red</v>
      </c>
      <c r="AA1389" t="str">
        <f t="shared" si="456"/>
        <v>Green</v>
      </c>
      <c r="AB1389" t="str">
        <f t="shared" si="457"/>
        <v>Green</v>
      </c>
      <c r="AC1389" t="str">
        <f t="shared" si="458"/>
        <v>Red</v>
      </c>
      <c r="AD1389" t="str">
        <f t="shared" si="459"/>
        <v>Green</v>
      </c>
    </row>
    <row r="1390" spans="1:30" x14ac:dyDescent="0.2">
      <c r="A1390" t="str">
        <f t="shared" si="440"/>
        <v>25/07/2026OrelSaturn Ramenskoye</v>
      </c>
      <c r="D1390" s="2">
        <v>46228</v>
      </c>
      <c r="E1390" s="3">
        <v>0.625</v>
      </c>
      <c r="F1390" t="s">
        <v>3592</v>
      </c>
      <c r="G1390" t="s">
        <v>3593</v>
      </c>
      <c r="H1390">
        <v>0</v>
      </c>
      <c r="I1390">
        <v>0</v>
      </c>
      <c r="J1390">
        <v>0</v>
      </c>
      <c r="K1390">
        <v>4</v>
      </c>
      <c r="L1390" s="22" t="str">
        <f t="shared" si="441"/>
        <v>25/07/2026</v>
      </c>
      <c r="M1390" s="23">
        <f t="shared" si="442"/>
        <v>0.5</v>
      </c>
      <c r="N1390" t="str">
        <f t="shared" si="443"/>
        <v>0 - 4</v>
      </c>
      <c r="O1390" t="str">
        <f t="shared" si="444"/>
        <v>Red</v>
      </c>
      <c r="P1390" t="str">
        <f t="shared" si="445"/>
        <v>Red</v>
      </c>
      <c r="Q1390" t="str">
        <f t="shared" si="446"/>
        <v>Green</v>
      </c>
      <c r="R1390" t="str">
        <f t="shared" si="447"/>
        <v>Red</v>
      </c>
      <c r="S1390" t="str">
        <f t="shared" si="448"/>
        <v>Green</v>
      </c>
      <c r="T1390" t="str">
        <f t="shared" si="449"/>
        <v>Green</v>
      </c>
      <c r="U1390" t="str">
        <f t="shared" si="450"/>
        <v>Red</v>
      </c>
      <c r="V1390" t="str">
        <f t="shared" si="451"/>
        <v>Green</v>
      </c>
      <c r="W1390" t="str">
        <f t="shared" si="452"/>
        <v>Red</v>
      </c>
      <c r="X1390" t="str">
        <f t="shared" si="453"/>
        <v>Red</v>
      </c>
      <c r="Y1390" t="str">
        <f t="shared" si="454"/>
        <v>Green</v>
      </c>
      <c r="Z1390" t="str">
        <f t="shared" si="455"/>
        <v>Green</v>
      </c>
      <c r="AA1390" t="str">
        <f t="shared" si="456"/>
        <v>Red</v>
      </c>
      <c r="AB1390" t="str">
        <f t="shared" si="457"/>
        <v>Red</v>
      </c>
      <c r="AC1390" t="str">
        <f t="shared" si="458"/>
        <v>Red</v>
      </c>
      <c r="AD1390" t="str">
        <f t="shared" si="459"/>
        <v>Green</v>
      </c>
    </row>
    <row r="1391" spans="1:30" x14ac:dyDescent="0.2">
      <c r="A1391" t="str">
        <f t="shared" ref="A1391:A1454" si="460">L1390&amp;F1391&amp;G1391</f>
        <v>25/07/2026StroginoVolna Kovernino</v>
      </c>
      <c r="D1391" s="2">
        <v>46228</v>
      </c>
      <c r="E1391" s="3">
        <v>0.625</v>
      </c>
      <c r="F1391" t="s">
        <v>3594</v>
      </c>
      <c r="G1391" t="s">
        <v>3595</v>
      </c>
      <c r="H1391">
        <v>0</v>
      </c>
      <c r="I1391">
        <v>0</v>
      </c>
      <c r="J1391">
        <v>2</v>
      </c>
      <c r="K1391">
        <v>0</v>
      </c>
      <c r="L1391" s="22" t="str">
        <f t="shared" ref="L1391:L1454" si="461">DAY(D1391)&amp;"/"&amp;"07"&amp;"/"&amp;YEAR(D1391)</f>
        <v>25/07/2026</v>
      </c>
      <c r="M1391" s="23">
        <f t="shared" ref="M1391:M1454" si="462">E1391-TIME(3,0,0)</f>
        <v>0.5</v>
      </c>
      <c r="N1391" t="str">
        <f t="shared" ref="N1391:N1454" si="463">J1391&amp;" - "&amp;K1391</f>
        <v>2 - 0</v>
      </c>
      <c r="O1391" t="str">
        <f t="shared" si="444"/>
        <v>Green</v>
      </c>
      <c r="P1391" t="str">
        <f t="shared" si="445"/>
        <v>Red</v>
      </c>
      <c r="Q1391" t="str">
        <f t="shared" si="446"/>
        <v>Red</v>
      </c>
      <c r="R1391" t="str">
        <f t="shared" si="447"/>
        <v>Green</v>
      </c>
      <c r="S1391" t="str">
        <f t="shared" si="448"/>
        <v>Red</v>
      </c>
      <c r="T1391" t="str">
        <f t="shared" si="449"/>
        <v>Green</v>
      </c>
      <c r="U1391" t="str">
        <f t="shared" si="450"/>
        <v>Red</v>
      </c>
      <c r="V1391" t="str">
        <f t="shared" si="451"/>
        <v>Green</v>
      </c>
      <c r="W1391" t="str">
        <f t="shared" si="452"/>
        <v>Red</v>
      </c>
      <c r="X1391" t="str">
        <f t="shared" si="453"/>
        <v>Red</v>
      </c>
      <c r="Y1391" t="str">
        <f t="shared" si="454"/>
        <v>Green</v>
      </c>
      <c r="Z1391" t="str">
        <f t="shared" si="455"/>
        <v>Red</v>
      </c>
      <c r="AA1391" t="str">
        <f t="shared" si="456"/>
        <v>Green</v>
      </c>
      <c r="AB1391" t="str">
        <f t="shared" si="457"/>
        <v>Green</v>
      </c>
      <c r="AC1391" t="str">
        <f t="shared" si="458"/>
        <v>Red</v>
      </c>
      <c r="AD1391" t="str">
        <f t="shared" si="459"/>
        <v>Green</v>
      </c>
    </row>
    <row r="1392" spans="1:30" x14ac:dyDescent="0.2">
      <c r="A1392" t="str">
        <f t="shared" si="460"/>
        <v>25/07/2026Kubanochka Krasnodar WomenLokomotiv Moscow Women</v>
      </c>
      <c r="D1392" s="2">
        <v>46228</v>
      </c>
      <c r="E1392" s="3">
        <v>0.625</v>
      </c>
      <c r="F1392" t="s">
        <v>3602</v>
      </c>
      <c r="G1392" t="s">
        <v>3603</v>
      </c>
      <c r="H1392">
        <v>0</v>
      </c>
      <c r="I1392">
        <v>0</v>
      </c>
      <c r="J1392">
        <v>2</v>
      </c>
      <c r="K1392">
        <v>2</v>
      </c>
      <c r="L1392" s="22" t="str">
        <f t="shared" si="461"/>
        <v>25/07/2026</v>
      </c>
      <c r="M1392" s="23">
        <f t="shared" si="462"/>
        <v>0.5</v>
      </c>
      <c r="N1392" t="str">
        <f t="shared" si="463"/>
        <v>2 - 2</v>
      </c>
      <c r="O1392" t="str">
        <f t="shared" si="444"/>
        <v>Red</v>
      </c>
      <c r="P1392" t="str">
        <f t="shared" si="445"/>
        <v>Green</v>
      </c>
      <c r="Q1392" t="str">
        <f t="shared" si="446"/>
        <v>Red</v>
      </c>
      <c r="R1392" t="str">
        <f t="shared" si="447"/>
        <v>Green</v>
      </c>
      <c r="S1392" t="str">
        <f t="shared" si="448"/>
        <v>Green</v>
      </c>
      <c r="T1392" t="str">
        <f t="shared" si="449"/>
        <v>Red</v>
      </c>
      <c r="U1392" t="str">
        <f t="shared" si="450"/>
        <v>Red</v>
      </c>
      <c r="V1392" t="str">
        <f t="shared" si="451"/>
        <v>Green</v>
      </c>
      <c r="W1392" t="str">
        <f t="shared" si="452"/>
        <v>Red</v>
      </c>
      <c r="X1392" t="str">
        <f t="shared" si="453"/>
        <v>Red</v>
      </c>
      <c r="Y1392" t="str">
        <f t="shared" si="454"/>
        <v>Green</v>
      </c>
      <c r="Z1392" t="str">
        <f t="shared" si="455"/>
        <v>Green</v>
      </c>
      <c r="AA1392" t="str">
        <f t="shared" si="456"/>
        <v>Red</v>
      </c>
      <c r="AB1392" t="str">
        <f t="shared" si="457"/>
        <v>Red</v>
      </c>
      <c r="AC1392" t="str">
        <f t="shared" si="458"/>
        <v>Green</v>
      </c>
      <c r="AD1392" t="str">
        <f t="shared" si="459"/>
        <v>Red</v>
      </c>
    </row>
    <row r="1393" spans="1:30" x14ac:dyDescent="0.2">
      <c r="A1393" t="str">
        <f t="shared" si="460"/>
        <v>25/07/2026FO BytcaTatran Liptovsky Mikulas</v>
      </c>
      <c r="D1393" s="2">
        <v>46228</v>
      </c>
      <c r="E1393" s="3">
        <v>0.625</v>
      </c>
      <c r="F1393" t="s">
        <v>3625</v>
      </c>
      <c r="G1393" t="s">
        <v>3626</v>
      </c>
      <c r="H1393">
        <v>0</v>
      </c>
      <c r="I1393">
        <v>2</v>
      </c>
      <c r="J1393">
        <v>0</v>
      </c>
      <c r="K1393">
        <v>5</v>
      </c>
      <c r="L1393" s="22" t="str">
        <f t="shared" si="461"/>
        <v>25/07/2026</v>
      </c>
      <c r="M1393" s="23">
        <f t="shared" si="462"/>
        <v>0.5</v>
      </c>
      <c r="N1393" t="str">
        <f t="shared" si="463"/>
        <v>0 - 5</v>
      </c>
      <c r="O1393" t="str">
        <f t="shared" si="444"/>
        <v>Red</v>
      </c>
      <c r="P1393" t="str">
        <f t="shared" si="445"/>
        <v>Red</v>
      </c>
      <c r="Q1393" t="str">
        <f t="shared" si="446"/>
        <v>Green</v>
      </c>
      <c r="R1393" t="str">
        <f t="shared" si="447"/>
        <v>Red</v>
      </c>
      <c r="S1393" t="str">
        <f t="shared" si="448"/>
        <v>Green</v>
      </c>
      <c r="T1393" t="str">
        <f t="shared" si="449"/>
        <v>Green</v>
      </c>
      <c r="U1393" t="str">
        <f t="shared" si="450"/>
        <v>Red</v>
      </c>
      <c r="V1393" t="str">
        <f t="shared" si="451"/>
        <v>Red</v>
      </c>
      <c r="W1393" t="str">
        <f t="shared" si="452"/>
        <v>Green</v>
      </c>
      <c r="X1393" t="str">
        <f t="shared" si="453"/>
        <v>Green</v>
      </c>
      <c r="Y1393" t="str">
        <f t="shared" si="454"/>
        <v>Green</v>
      </c>
      <c r="Z1393" t="str">
        <f t="shared" si="455"/>
        <v>Green</v>
      </c>
      <c r="AA1393" t="str">
        <f t="shared" si="456"/>
        <v>Red</v>
      </c>
      <c r="AB1393" t="str">
        <f t="shared" si="457"/>
        <v>Red</v>
      </c>
      <c r="AC1393" t="str">
        <f t="shared" si="458"/>
        <v>Red</v>
      </c>
      <c r="AD1393" t="str">
        <f t="shared" si="459"/>
        <v>Green</v>
      </c>
    </row>
    <row r="1394" spans="1:30" x14ac:dyDescent="0.2">
      <c r="A1394" t="str">
        <f t="shared" si="460"/>
        <v>25/07/2026OFK Banik LehotaFK Pohronie</v>
      </c>
      <c r="D1394" s="2">
        <v>46228</v>
      </c>
      <c r="E1394" s="3">
        <v>0.625</v>
      </c>
      <c r="F1394" t="s">
        <v>3627</v>
      </c>
      <c r="G1394" t="s">
        <v>3628</v>
      </c>
      <c r="H1394">
        <v>1</v>
      </c>
      <c r="I1394">
        <v>1</v>
      </c>
      <c r="J1394">
        <v>3</v>
      </c>
      <c r="K1394">
        <v>3</v>
      </c>
      <c r="L1394" s="22" t="str">
        <f t="shared" si="461"/>
        <v>25/07/2026</v>
      </c>
      <c r="M1394" s="23">
        <f t="shared" si="462"/>
        <v>0.5</v>
      </c>
      <c r="N1394" t="str">
        <f t="shared" si="463"/>
        <v>3 - 3</v>
      </c>
      <c r="O1394" t="str">
        <f t="shared" si="444"/>
        <v>Red</v>
      </c>
      <c r="P1394" t="str">
        <f t="shared" si="445"/>
        <v>Green</v>
      </c>
      <c r="Q1394" t="str">
        <f t="shared" si="446"/>
        <v>Red</v>
      </c>
      <c r="R1394" t="str">
        <f t="shared" si="447"/>
        <v>Green</v>
      </c>
      <c r="S1394" t="str">
        <f t="shared" si="448"/>
        <v>Green</v>
      </c>
      <c r="T1394" t="str">
        <f t="shared" si="449"/>
        <v>Red</v>
      </c>
      <c r="U1394" t="str">
        <f t="shared" si="450"/>
        <v>Red</v>
      </c>
      <c r="V1394" t="str">
        <f t="shared" si="451"/>
        <v>Green</v>
      </c>
      <c r="W1394" t="str">
        <f t="shared" si="452"/>
        <v>Red</v>
      </c>
      <c r="X1394" t="str">
        <f t="shared" si="453"/>
        <v>Green</v>
      </c>
      <c r="Y1394" t="str">
        <f t="shared" si="454"/>
        <v>Green</v>
      </c>
      <c r="Z1394" t="str">
        <f t="shared" si="455"/>
        <v>Green</v>
      </c>
      <c r="AA1394" t="str">
        <f t="shared" si="456"/>
        <v>Red</v>
      </c>
      <c r="AB1394" t="str">
        <f t="shared" si="457"/>
        <v>Red</v>
      </c>
      <c r="AC1394" t="str">
        <f t="shared" si="458"/>
        <v>Green</v>
      </c>
      <c r="AD1394" t="str">
        <f t="shared" si="459"/>
        <v>Red</v>
      </c>
    </row>
    <row r="1395" spans="1:30" x14ac:dyDescent="0.2">
      <c r="A1395" t="str">
        <f t="shared" si="460"/>
        <v>25/07/2026Povazska BystricaInter Bratislava</v>
      </c>
      <c r="D1395" s="2">
        <v>46228</v>
      </c>
      <c r="E1395" s="3">
        <v>0.625</v>
      </c>
      <c r="F1395" t="s">
        <v>3629</v>
      </c>
      <c r="G1395" t="s">
        <v>3630</v>
      </c>
      <c r="H1395">
        <v>3</v>
      </c>
      <c r="I1395">
        <v>0</v>
      </c>
      <c r="J1395">
        <v>3</v>
      </c>
      <c r="K1395">
        <v>1</v>
      </c>
      <c r="L1395" s="22" t="str">
        <f t="shared" si="461"/>
        <v>25/07/2026</v>
      </c>
      <c r="M1395" s="23">
        <f t="shared" si="462"/>
        <v>0.5</v>
      </c>
      <c r="N1395" t="str">
        <f t="shared" si="463"/>
        <v>3 - 1</v>
      </c>
      <c r="O1395" t="str">
        <f t="shared" si="444"/>
        <v>Green</v>
      </c>
      <c r="P1395" t="str">
        <f t="shared" si="445"/>
        <v>Red</v>
      </c>
      <c r="Q1395" t="str">
        <f t="shared" si="446"/>
        <v>Red</v>
      </c>
      <c r="R1395" t="str">
        <f t="shared" si="447"/>
        <v>Green</v>
      </c>
      <c r="S1395" t="str">
        <f t="shared" si="448"/>
        <v>Red</v>
      </c>
      <c r="T1395" t="str">
        <f t="shared" si="449"/>
        <v>Green</v>
      </c>
      <c r="U1395" t="str">
        <f t="shared" si="450"/>
        <v>Green</v>
      </c>
      <c r="V1395" t="str">
        <f t="shared" si="451"/>
        <v>Red</v>
      </c>
      <c r="W1395" t="str">
        <f t="shared" si="452"/>
        <v>Red</v>
      </c>
      <c r="X1395" t="str">
        <f t="shared" si="453"/>
        <v>Green</v>
      </c>
      <c r="Y1395" t="str">
        <f t="shared" si="454"/>
        <v>Green</v>
      </c>
      <c r="Z1395" t="str">
        <f t="shared" si="455"/>
        <v>Green</v>
      </c>
      <c r="AA1395" t="str">
        <f t="shared" si="456"/>
        <v>Red</v>
      </c>
      <c r="AB1395" t="str">
        <f t="shared" si="457"/>
        <v>Red</v>
      </c>
      <c r="AC1395" t="str">
        <f t="shared" si="458"/>
        <v>Green</v>
      </c>
      <c r="AD1395" t="str">
        <f t="shared" si="459"/>
        <v>Red</v>
      </c>
    </row>
    <row r="1396" spans="1:30" x14ac:dyDescent="0.2">
      <c r="A1396" t="str">
        <f t="shared" si="460"/>
        <v>25/07/2026Slovan GalantaLokomotiva Zvolen</v>
      </c>
      <c r="D1396" s="2">
        <v>46228</v>
      </c>
      <c r="E1396" s="3">
        <v>0.625</v>
      </c>
      <c r="F1396" t="s">
        <v>3631</v>
      </c>
      <c r="G1396" t="s">
        <v>3632</v>
      </c>
      <c r="H1396">
        <v>0</v>
      </c>
      <c r="I1396">
        <v>1</v>
      </c>
      <c r="J1396">
        <v>1</v>
      </c>
      <c r="K1396">
        <v>1</v>
      </c>
      <c r="L1396" s="22" t="str">
        <f t="shared" si="461"/>
        <v>25/07/2026</v>
      </c>
      <c r="M1396" s="23">
        <f t="shared" si="462"/>
        <v>0.5</v>
      </c>
      <c r="N1396" t="str">
        <f t="shared" si="463"/>
        <v>1 - 1</v>
      </c>
      <c r="O1396" t="str">
        <f t="shared" si="444"/>
        <v>Red</v>
      </c>
      <c r="P1396" t="str">
        <f t="shared" si="445"/>
        <v>Green</v>
      </c>
      <c r="Q1396" t="str">
        <f t="shared" si="446"/>
        <v>Red</v>
      </c>
      <c r="R1396" t="str">
        <f t="shared" si="447"/>
        <v>Green</v>
      </c>
      <c r="S1396" t="str">
        <f t="shared" si="448"/>
        <v>Green</v>
      </c>
      <c r="T1396" t="str">
        <f t="shared" si="449"/>
        <v>Red</v>
      </c>
      <c r="U1396" t="str">
        <f t="shared" si="450"/>
        <v>Red</v>
      </c>
      <c r="V1396" t="str">
        <f t="shared" si="451"/>
        <v>Red</v>
      </c>
      <c r="W1396" t="str">
        <f t="shared" si="452"/>
        <v>Green</v>
      </c>
      <c r="X1396" t="str">
        <f t="shared" si="453"/>
        <v>Green</v>
      </c>
      <c r="Y1396" t="str">
        <f t="shared" si="454"/>
        <v>Green</v>
      </c>
      <c r="Z1396" t="str">
        <f t="shared" si="455"/>
        <v>Red</v>
      </c>
      <c r="AA1396" t="str">
        <f t="shared" si="456"/>
        <v>Green</v>
      </c>
      <c r="AB1396" t="str">
        <f t="shared" si="457"/>
        <v>Green</v>
      </c>
      <c r="AC1396" t="str">
        <f t="shared" si="458"/>
        <v>Green</v>
      </c>
      <c r="AD1396" t="str">
        <f t="shared" si="459"/>
        <v>Red</v>
      </c>
    </row>
    <row r="1397" spans="1:30" x14ac:dyDescent="0.2">
      <c r="A1397" t="str">
        <f t="shared" si="460"/>
        <v>25/07/2026NK AluminijNK Celje</v>
      </c>
      <c r="D1397" s="2">
        <v>46228</v>
      </c>
      <c r="E1397" s="3">
        <v>0.625</v>
      </c>
      <c r="F1397" t="s">
        <v>1943</v>
      </c>
      <c r="G1397" t="s">
        <v>874</v>
      </c>
      <c r="L1397" s="22" t="str">
        <f t="shared" si="461"/>
        <v>25/07/2026</v>
      </c>
      <c r="M1397" s="23">
        <f t="shared" si="462"/>
        <v>0.5</v>
      </c>
      <c r="N1397" t="str">
        <f t="shared" si="463"/>
        <v xml:space="preserve"> - </v>
      </c>
      <c r="O1397" t="str">
        <f t="shared" si="444"/>
        <v>Red</v>
      </c>
      <c r="P1397" t="str">
        <f t="shared" si="445"/>
        <v>Green</v>
      </c>
      <c r="Q1397" t="str">
        <f t="shared" si="446"/>
        <v>Red</v>
      </c>
      <c r="R1397" t="str">
        <f t="shared" si="447"/>
        <v>Green</v>
      </c>
      <c r="S1397" t="str">
        <f t="shared" si="448"/>
        <v>Green</v>
      </c>
      <c r="T1397" t="str">
        <f t="shared" si="449"/>
        <v>Red</v>
      </c>
      <c r="U1397" t="str">
        <f t="shared" si="450"/>
        <v>Red</v>
      </c>
      <c r="V1397" t="str">
        <f t="shared" si="451"/>
        <v>Green</v>
      </c>
      <c r="W1397" t="str">
        <f t="shared" si="452"/>
        <v>Red</v>
      </c>
      <c r="X1397" t="str">
        <f t="shared" si="453"/>
        <v>Red</v>
      </c>
      <c r="Y1397" t="str">
        <f t="shared" si="454"/>
        <v>Red</v>
      </c>
      <c r="Z1397" t="str">
        <f t="shared" si="455"/>
        <v>Red</v>
      </c>
      <c r="AA1397" t="str">
        <f t="shared" si="456"/>
        <v>Green</v>
      </c>
      <c r="AB1397" t="str">
        <f t="shared" si="457"/>
        <v>Green</v>
      </c>
      <c r="AC1397" t="str">
        <f t="shared" si="458"/>
        <v>Red</v>
      </c>
      <c r="AD1397" t="str">
        <f t="shared" si="459"/>
        <v>Green</v>
      </c>
    </row>
    <row r="1398" spans="1:30" x14ac:dyDescent="0.2">
      <c r="A1398" t="str">
        <f t="shared" si="460"/>
        <v>25/07/2026La LuzCA Rentistas</v>
      </c>
      <c r="D1398" s="2">
        <v>46228</v>
      </c>
      <c r="E1398" s="3">
        <v>0.625</v>
      </c>
      <c r="F1398" t="s">
        <v>1205</v>
      </c>
      <c r="G1398" t="s">
        <v>3690</v>
      </c>
      <c r="L1398" s="22" t="str">
        <f t="shared" si="461"/>
        <v>25/07/2026</v>
      </c>
      <c r="M1398" s="23">
        <f t="shared" si="462"/>
        <v>0.5</v>
      </c>
      <c r="N1398" t="str">
        <f t="shared" si="463"/>
        <v xml:space="preserve"> - </v>
      </c>
      <c r="O1398" t="str">
        <f t="shared" si="444"/>
        <v>Red</v>
      </c>
      <c r="P1398" t="str">
        <f t="shared" si="445"/>
        <v>Green</v>
      </c>
      <c r="Q1398" t="str">
        <f t="shared" si="446"/>
        <v>Red</v>
      </c>
      <c r="R1398" t="str">
        <f t="shared" si="447"/>
        <v>Green</v>
      </c>
      <c r="S1398" t="str">
        <f t="shared" si="448"/>
        <v>Green</v>
      </c>
      <c r="T1398" t="str">
        <f t="shared" si="449"/>
        <v>Red</v>
      </c>
      <c r="U1398" t="str">
        <f t="shared" si="450"/>
        <v>Red</v>
      </c>
      <c r="V1398" t="str">
        <f t="shared" si="451"/>
        <v>Green</v>
      </c>
      <c r="W1398" t="str">
        <f t="shared" si="452"/>
        <v>Red</v>
      </c>
      <c r="X1398" t="str">
        <f t="shared" si="453"/>
        <v>Red</v>
      </c>
      <c r="Y1398" t="str">
        <f t="shared" si="454"/>
        <v>Red</v>
      </c>
      <c r="Z1398" t="str">
        <f t="shared" si="455"/>
        <v>Red</v>
      </c>
      <c r="AA1398" t="str">
        <f t="shared" si="456"/>
        <v>Green</v>
      </c>
      <c r="AB1398" t="str">
        <f t="shared" si="457"/>
        <v>Green</v>
      </c>
      <c r="AC1398" t="str">
        <f t="shared" si="458"/>
        <v>Red</v>
      </c>
      <c r="AD1398" t="str">
        <f t="shared" si="459"/>
        <v>Green</v>
      </c>
    </row>
    <row r="1399" spans="1:30" x14ac:dyDescent="0.2">
      <c r="A1399" t="str">
        <f t="shared" si="460"/>
        <v>25/07/2026KattaqorgonTuron Yaypan</v>
      </c>
      <c r="D1399" s="2">
        <v>46228</v>
      </c>
      <c r="E1399" s="3">
        <v>0.625</v>
      </c>
      <c r="F1399" t="s">
        <v>3727</v>
      </c>
      <c r="G1399" t="s">
        <v>3728</v>
      </c>
      <c r="H1399">
        <v>0</v>
      </c>
      <c r="I1399">
        <v>0</v>
      </c>
      <c r="J1399">
        <v>2</v>
      </c>
      <c r="K1399">
        <v>1</v>
      </c>
      <c r="L1399" s="22" t="str">
        <f t="shared" si="461"/>
        <v>25/07/2026</v>
      </c>
      <c r="M1399" s="23">
        <f t="shared" si="462"/>
        <v>0.5</v>
      </c>
      <c r="N1399" t="str">
        <f t="shared" si="463"/>
        <v>2 - 1</v>
      </c>
      <c r="O1399" t="str">
        <f t="shared" si="444"/>
        <v>Green</v>
      </c>
      <c r="P1399" t="str">
        <f t="shared" si="445"/>
        <v>Red</v>
      </c>
      <c r="Q1399" t="str">
        <f t="shared" si="446"/>
        <v>Red</v>
      </c>
      <c r="R1399" t="str">
        <f t="shared" si="447"/>
        <v>Green</v>
      </c>
      <c r="S1399" t="str">
        <f t="shared" si="448"/>
        <v>Red</v>
      </c>
      <c r="T1399" t="str">
        <f t="shared" si="449"/>
        <v>Green</v>
      </c>
      <c r="U1399" t="str">
        <f t="shared" si="450"/>
        <v>Red</v>
      </c>
      <c r="V1399" t="str">
        <f t="shared" si="451"/>
        <v>Green</v>
      </c>
      <c r="W1399" t="str">
        <f t="shared" si="452"/>
        <v>Red</v>
      </c>
      <c r="X1399" t="str">
        <f t="shared" si="453"/>
        <v>Red</v>
      </c>
      <c r="Y1399" t="str">
        <f t="shared" si="454"/>
        <v>Green</v>
      </c>
      <c r="Z1399" t="str">
        <f t="shared" si="455"/>
        <v>Green</v>
      </c>
      <c r="AA1399" t="str">
        <f t="shared" si="456"/>
        <v>Red</v>
      </c>
      <c r="AB1399" t="str">
        <f t="shared" si="457"/>
        <v>Green</v>
      </c>
      <c r="AC1399" t="str">
        <f t="shared" si="458"/>
        <v>Green</v>
      </c>
      <c r="AD1399" t="str">
        <f t="shared" si="459"/>
        <v>Red</v>
      </c>
    </row>
    <row r="1400" spans="1:30" x14ac:dyDescent="0.2">
      <c r="A1400" t="str">
        <f t="shared" si="460"/>
        <v>25/07/2026AC CesenaCarpi FC</v>
      </c>
      <c r="D1400" s="2">
        <v>46228</v>
      </c>
      <c r="E1400" s="3">
        <v>0.625</v>
      </c>
      <c r="F1400" t="s">
        <v>3931</v>
      </c>
      <c r="G1400" t="s">
        <v>3932</v>
      </c>
      <c r="H1400">
        <v>0</v>
      </c>
      <c r="I1400">
        <v>0</v>
      </c>
      <c r="J1400">
        <v>1</v>
      </c>
      <c r="K1400">
        <v>0</v>
      </c>
      <c r="L1400" s="22" t="str">
        <f t="shared" si="461"/>
        <v>25/07/2026</v>
      </c>
      <c r="M1400" s="23">
        <f t="shared" si="462"/>
        <v>0.5</v>
      </c>
      <c r="N1400" t="str">
        <f t="shared" si="463"/>
        <v>1 - 0</v>
      </c>
      <c r="O1400" t="str">
        <f t="shared" si="444"/>
        <v>Green</v>
      </c>
      <c r="P1400" t="str">
        <f t="shared" si="445"/>
        <v>Red</v>
      </c>
      <c r="Q1400" t="str">
        <f t="shared" si="446"/>
        <v>Red</v>
      </c>
      <c r="R1400" t="str">
        <f t="shared" si="447"/>
        <v>Green</v>
      </c>
      <c r="S1400" t="str">
        <f t="shared" si="448"/>
        <v>Red</v>
      </c>
      <c r="T1400" t="str">
        <f t="shared" si="449"/>
        <v>Green</v>
      </c>
      <c r="U1400" t="str">
        <f t="shared" si="450"/>
        <v>Red</v>
      </c>
      <c r="V1400" t="str">
        <f t="shared" si="451"/>
        <v>Green</v>
      </c>
      <c r="W1400" t="str">
        <f t="shared" si="452"/>
        <v>Red</v>
      </c>
      <c r="X1400" t="str">
        <f t="shared" si="453"/>
        <v>Red</v>
      </c>
      <c r="Y1400" t="str">
        <f t="shared" si="454"/>
        <v>Red</v>
      </c>
      <c r="Z1400" t="str">
        <f t="shared" si="455"/>
        <v>Red</v>
      </c>
      <c r="AA1400" t="str">
        <f t="shared" si="456"/>
        <v>Green</v>
      </c>
      <c r="AB1400" t="str">
        <f t="shared" si="457"/>
        <v>Green</v>
      </c>
      <c r="AC1400" t="str">
        <f t="shared" si="458"/>
        <v>Red</v>
      </c>
      <c r="AD1400" t="str">
        <f t="shared" si="459"/>
        <v>Green</v>
      </c>
    </row>
    <row r="1401" spans="1:30" x14ac:dyDescent="0.2">
      <c r="A1401" t="str">
        <f t="shared" si="460"/>
        <v>25/07/2026Borac CacakFK Graficar Beograd</v>
      </c>
      <c r="D1401" s="2">
        <v>46228</v>
      </c>
      <c r="E1401" s="3">
        <v>0.625</v>
      </c>
      <c r="F1401" t="s">
        <v>3933</v>
      </c>
      <c r="G1401" t="s">
        <v>3934</v>
      </c>
      <c r="H1401">
        <v>2</v>
      </c>
      <c r="I1401">
        <v>0</v>
      </c>
      <c r="J1401">
        <v>3</v>
      </c>
      <c r="K1401">
        <v>0</v>
      </c>
      <c r="L1401" s="22" t="str">
        <f t="shared" si="461"/>
        <v>25/07/2026</v>
      </c>
      <c r="M1401" s="23">
        <f t="shared" si="462"/>
        <v>0.5</v>
      </c>
      <c r="N1401" t="str">
        <f t="shared" si="463"/>
        <v>3 - 0</v>
      </c>
      <c r="O1401" t="str">
        <f t="shared" si="444"/>
        <v>Green</v>
      </c>
      <c r="P1401" t="str">
        <f t="shared" si="445"/>
        <v>Red</v>
      </c>
      <c r="Q1401" t="str">
        <f t="shared" si="446"/>
        <v>Red</v>
      </c>
      <c r="R1401" t="str">
        <f t="shared" si="447"/>
        <v>Green</v>
      </c>
      <c r="S1401" t="str">
        <f t="shared" si="448"/>
        <v>Red</v>
      </c>
      <c r="T1401" t="str">
        <f t="shared" si="449"/>
        <v>Green</v>
      </c>
      <c r="U1401" t="str">
        <f t="shared" si="450"/>
        <v>Green</v>
      </c>
      <c r="V1401" t="str">
        <f t="shared" si="451"/>
        <v>Red</v>
      </c>
      <c r="W1401" t="str">
        <f t="shared" si="452"/>
        <v>Red</v>
      </c>
      <c r="X1401" t="str">
        <f t="shared" si="453"/>
        <v>Green</v>
      </c>
      <c r="Y1401" t="str">
        <f t="shared" si="454"/>
        <v>Green</v>
      </c>
      <c r="Z1401" t="str">
        <f t="shared" si="455"/>
        <v>Green</v>
      </c>
      <c r="AA1401" t="str">
        <f t="shared" si="456"/>
        <v>Red</v>
      </c>
      <c r="AB1401" t="str">
        <f t="shared" si="457"/>
        <v>Green</v>
      </c>
      <c r="AC1401" t="str">
        <f t="shared" si="458"/>
        <v>Red</v>
      </c>
      <c r="AD1401" t="str">
        <f t="shared" si="459"/>
        <v>Green</v>
      </c>
    </row>
    <row r="1402" spans="1:30" x14ac:dyDescent="0.2">
      <c r="A1402" t="str">
        <f t="shared" si="460"/>
        <v>25/07/2026BoulogneFC Rouen 1899</v>
      </c>
      <c r="D1402" s="2">
        <v>46228</v>
      </c>
      <c r="E1402" s="3">
        <v>0.625</v>
      </c>
      <c r="F1402" t="s">
        <v>2639</v>
      </c>
      <c r="G1402" t="s">
        <v>3935</v>
      </c>
      <c r="H1402">
        <v>0</v>
      </c>
      <c r="I1402">
        <v>0</v>
      </c>
      <c r="J1402">
        <v>0</v>
      </c>
      <c r="K1402">
        <v>1</v>
      </c>
      <c r="L1402" s="22" t="str">
        <f t="shared" si="461"/>
        <v>25/07/2026</v>
      </c>
      <c r="M1402" s="23">
        <f t="shared" si="462"/>
        <v>0.5</v>
      </c>
      <c r="N1402" t="str">
        <f t="shared" si="463"/>
        <v>0 - 1</v>
      </c>
      <c r="O1402" t="str">
        <f t="shared" si="444"/>
        <v>Red</v>
      </c>
      <c r="P1402" t="str">
        <f t="shared" si="445"/>
        <v>Red</v>
      </c>
      <c r="Q1402" t="str">
        <f t="shared" si="446"/>
        <v>Green</v>
      </c>
      <c r="R1402" t="str">
        <f t="shared" si="447"/>
        <v>Red</v>
      </c>
      <c r="S1402" t="str">
        <f t="shared" si="448"/>
        <v>Green</v>
      </c>
      <c r="T1402" t="str">
        <f t="shared" si="449"/>
        <v>Green</v>
      </c>
      <c r="U1402" t="str">
        <f t="shared" si="450"/>
        <v>Red</v>
      </c>
      <c r="V1402" t="str">
        <f t="shared" si="451"/>
        <v>Green</v>
      </c>
      <c r="W1402" t="str">
        <f t="shared" si="452"/>
        <v>Red</v>
      </c>
      <c r="X1402" t="str">
        <f t="shared" si="453"/>
        <v>Red</v>
      </c>
      <c r="Y1402" t="str">
        <f t="shared" si="454"/>
        <v>Red</v>
      </c>
      <c r="Z1402" t="str">
        <f t="shared" si="455"/>
        <v>Red</v>
      </c>
      <c r="AA1402" t="str">
        <f t="shared" si="456"/>
        <v>Green</v>
      </c>
      <c r="AB1402" t="str">
        <f t="shared" si="457"/>
        <v>Green</v>
      </c>
      <c r="AC1402" t="str">
        <f t="shared" si="458"/>
        <v>Red</v>
      </c>
      <c r="AD1402" t="str">
        <f t="shared" si="459"/>
        <v>Green</v>
      </c>
    </row>
    <row r="1403" spans="1:30" x14ac:dyDescent="0.2">
      <c r="A1403" t="str">
        <f t="shared" si="460"/>
        <v>25/07/2026CaenAl Wakrah</v>
      </c>
      <c r="D1403" s="2">
        <v>46228</v>
      </c>
      <c r="E1403" s="3">
        <v>0.625</v>
      </c>
      <c r="F1403" t="s">
        <v>3936</v>
      </c>
      <c r="G1403" t="s">
        <v>1692</v>
      </c>
      <c r="H1403">
        <v>1</v>
      </c>
      <c r="I1403">
        <v>0</v>
      </c>
      <c r="J1403">
        <v>4</v>
      </c>
      <c r="K1403">
        <v>1</v>
      </c>
      <c r="L1403" s="22" t="str">
        <f t="shared" si="461"/>
        <v>25/07/2026</v>
      </c>
      <c r="M1403" s="23">
        <f t="shared" si="462"/>
        <v>0.5</v>
      </c>
      <c r="N1403" t="str">
        <f t="shared" si="463"/>
        <v>4 - 1</v>
      </c>
      <c r="O1403" t="str">
        <f t="shared" si="444"/>
        <v>Green</v>
      </c>
      <c r="P1403" t="str">
        <f t="shared" si="445"/>
        <v>Red</v>
      </c>
      <c r="Q1403" t="str">
        <f t="shared" si="446"/>
        <v>Red</v>
      </c>
      <c r="R1403" t="str">
        <f t="shared" si="447"/>
        <v>Green</v>
      </c>
      <c r="S1403" t="str">
        <f t="shared" si="448"/>
        <v>Red</v>
      </c>
      <c r="T1403" t="str">
        <f t="shared" si="449"/>
        <v>Green</v>
      </c>
      <c r="U1403" t="str">
        <f t="shared" si="450"/>
        <v>Green</v>
      </c>
      <c r="V1403" t="str">
        <f t="shared" si="451"/>
        <v>Red</v>
      </c>
      <c r="W1403" t="str">
        <f t="shared" si="452"/>
        <v>Red</v>
      </c>
      <c r="X1403" t="str">
        <f t="shared" si="453"/>
        <v>Green</v>
      </c>
      <c r="Y1403" t="str">
        <f t="shared" si="454"/>
        <v>Green</v>
      </c>
      <c r="Z1403" t="str">
        <f t="shared" si="455"/>
        <v>Green</v>
      </c>
      <c r="AA1403" t="str">
        <f t="shared" si="456"/>
        <v>Red</v>
      </c>
      <c r="AB1403" t="str">
        <f t="shared" si="457"/>
        <v>Red</v>
      </c>
      <c r="AC1403" t="str">
        <f t="shared" si="458"/>
        <v>Green</v>
      </c>
      <c r="AD1403" t="str">
        <f t="shared" si="459"/>
        <v>Red</v>
      </c>
    </row>
    <row r="1404" spans="1:30" x14ac:dyDescent="0.2">
      <c r="A1404" t="str">
        <f t="shared" si="460"/>
        <v>25/07/2026FK Bor 1919OFK Brzi Brod</v>
      </c>
      <c r="D1404" s="2">
        <v>46228</v>
      </c>
      <c r="E1404" s="3">
        <v>0.625</v>
      </c>
      <c r="F1404" t="s">
        <v>3937</v>
      </c>
      <c r="G1404" t="s">
        <v>1715</v>
      </c>
      <c r="H1404">
        <v>1</v>
      </c>
      <c r="I1404">
        <v>0</v>
      </c>
      <c r="J1404">
        <v>1</v>
      </c>
      <c r="K1404">
        <v>1</v>
      </c>
      <c r="L1404" s="22" t="str">
        <f t="shared" si="461"/>
        <v>25/07/2026</v>
      </c>
      <c r="M1404" s="23">
        <f t="shared" si="462"/>
        <v>0.5</v>
      </c>
      <c r="N1404" t="str">
        <f t="shared" si="463"/>
        <v>1 - 1</v>
      </c>
      <c r="O1404" t="str">
        <f t="shared" si="444"/>
        <v>Red</v>
      </c>
      <c r="P1404" t="str">
        <f t="shared" si="445"/>
        <v>Green</v>
      </c>
      <c r="Q1404" t="str">
        <f t="shared" si="446"/>
        <v>Red</v>
      </c>
      <c r="R1404" t="str">
        <f t="shared" si="447"/>
        <v>Green</v>
      </c>
      <c r="S1404" t="str">
        <f t="shared" si="448"/>
        <v>Green</v>
      </c>
      <c r="T1404" t="str">
        <f t="shared" si="449"/>
        <v>Red</v>
      </c>
      <c r="U1404" t="str">
        <f t="shared" si="450"/>
        <v>Green</v>
      </c>
      <c r="V1404" t="str">
        <f t="shared" si="451"/>
        <v>Red</v>
      </c>
      <c r="W1404" t="str">
        <f t="shared" si="452"/>
        <v>Red</v>
      </c>
      <c r="X1404" t="str">
        <f t="shared" si="453"/>
        <v>Green</v>
      </c>
      <c r="Y1404" t="str">
        <f t="shared" si="454"/>
        <v>Green</v>
      </c>
      <c r="Z1404" t="str">
        <f t="shared" si="455"/>
        <v>Red</v>
      </c>
      <c r="AA1404" t="str">
        <f t="shared" si="456"/>
        <v>Green</v>
      </c>
      <c r="AB1404" t="str">
        <f t="shared" si="457"/>
        <v>Green</v>
      </c>
      <c r="AC1404" t="str">
        <f t="shared" si="458"/>
        <v>Green</v>
      </c>
      <c r="AD1404" t="str">
        <f t="shared" si="459"/>
        <v>Red</v>
      </c>
    </row>
    <row r="1405" spans="1:30" x14ac:dyDescent="0.2">
      <c r="A1405" t="str">
        <f t="shared" si="460"/>
        <v>25/07/2026Gainsborough TrinityDoncaster Rovers</v>
      </c>
      <c r="D1405" s="2">
        <v>46228</v>
      </c>
      <c r="E1405" s="3">
        <v>0.625</v>
      </c>
      <c r="F1405" t="s">
        <v>1547</v>
      </c>
      <c r="G1405" t="s">
        <v>3777</v>
      </c>
      <c r="H1405">
        <v>0</v>
      </c>
      <c r="I1405">
        <v>0</v>
      </c>
      <c r="J1405">
        <v>0</v>
      </c>
      <c r="K1405">
        <v>0</v>
      </c>
      <c r="L1405" s="22" t="str">
        <f t="shared" si="461"/>
        <v>25/07/2026</v>
      </c>
      <c r="M1405" s="23">
        <f t="shared" si="462"/>
        <v>0.5</v>
      </c>
      <c r="N1405" t="str">
        <f t="shared" si="463"/>
        <v>0 - 0</v>
      </c>
      <c r="O1405" t="str">
        <f t="shared" si="444"/>
        <v>Red</v>
      </c>
      <c r="P1405" t="str">
        <f t="shared" si="445"/>
        <v>Green</v>
      </c>
      <c r="Q1405" t="str">
        <f t="shared" si="446"/>
        <v>Red</v>
      </c>
      <c r="R1405" t="str">
        <f t="shared" si="447"/>
        <v>Green</v>
      </c>
      <c r="S1405" t="str">
        <f t="shared" si="448"/>
        <v>Green</v>
      </c>
      <c r="T1405" t="str">
        <f t="shared" si="449"/>
        <v>Red</v>
      </c>
      <c r="U1405" t="str">
        <f t="shared" si="450"/>
        <v>Red</v>
      </c>
      <c r="V1405" t="str">
        <f t="shared" si="451"/>
        <v>Green</v>
      </c>
      <c r="W1405" t="str">
        <f t="shared" si="452"/>
        <v>Red</v>
      </c>
      <c r="X1405" t="str">
        <f t="shared" si="453"/>
        <v>Red</v>
      </c>
      <c r="Y1405" t="str">
        <f t="shared" si="454"/>
        <v>Red</v>
      </c>
      <c r="Z1405" t="str">
        <f t="shared" si="455"/>
        <v>Red</v>
      </c>
      <c r="AA1405" t="str">
        <f t="shared" si="456"/>
        <v>Green</v>
      </c>
      <c r="AB1405" t="str">
        <f t="shared" si="457"/>
        <v>Green</v>
      </c>
      <c r="AC1405" t="str">
        <f t="shared" si="458"/>
        <v>Red</v>
      </c>
      <c r="AD1405" t="str">
        <f t="shared" si="459"/>
        <v>Green</v>
      </c>
    </row>
    <row r="1406" spans="1:30" x14ac:dyDescent="0.2">
      <c r="A1406" t="str">
        <f t="shared" si="460"/>
        <v>25/07/2026GenoaVicenza Calcio</v>
      </c>
      <c r="D1406" s="2">
        <v>46228</v>
      </c>
      <c r="E1406" s="3">
        <v>0.625</v>
      </c>
      <c r="F1406" t="s">
        <v>3938</v>
      </c>
      <c r="G1406" t="s">
        <v>3939</v>
      </c>
      <c r="H1406">
        <v>1</v>
      </c>
      <c r="I1406">
        <v>0</v>
      </c>
      <c r="J1406">
        <v>2</v>
      </c>
      <c r="K1406">
        <v>2</v>
      </c>
      <c r="L1406" s="22" t="str">
        <f t="shared" si="461"/>
        <v>25/07/2026</v>
      </c>
      <c r="M1406" s="23">
        <f t="shared" si="462"/>
        <v>0.5</v>
      </c>
      <c r="N1406" t="str">
        <f t="shared" si="463"/>
        <v>2 - 2</v>
      </c>
      <c r="O1406" t="str">
        <f t="shared" si="444"/>
        <v>Red</v>
      </c>
      <c r="P1406" t="str">
        <f t="shared" si="445"/>
        <v>Green</v>
      </c>
      <c r="Q1406" t="str">
        <f t="shared" si="446"/>
        <v>Red</v>
      </c>
      <c r="R1406" t="str">
        <f t="shared" si="447"/>
        <v>Green</v>
      </c>
      <c r="S1406" t="str">
        <f t="shared" si="448"/>
        <v>Green</v>
      </c>
      <c r="T1406" t="str">
        <f t="shared" si="449"/>
        <v>Red</v>
      </c>
      <c r="U1406" t="str">
        <f t="shared" si="450"/>
        <v>Green</v>
      </c>
      <c r="V1406" t="str">
        <f t="shared" si="451"/>
        <v>Red</v>
      </c>
      <c r="W1406" t="str">
        <f t="shared" si="452"/>
        <v>Red</v>
      </c>
      <c r="X1406" t="str">
        <f t="shared" si="453"/>
        <v>Green</v>
      </c>
      <c r="Y1406" t="str">
        <f t="shared" si="454"/>
        <v>Green</v>
      </c>
      <c r="Z1406" t="str">
        <f t="shared" si="455"/>
        <v>Green</v>
      </c>
      <c r="AA1406" t="str">
        <f t="shared" si="456"/>
        <v>Red</v>
      </c>
      <c r="AB1406" t="str">
        <f t="shared" si="457"/>
        <v>Red</v>
      </c>
      <c r="AC1406" t="str">
        <f t="shared" si="458"/>
        <v>Green</v>
      </c>
      <c r="AD1406" t="str">
        <f t="shared" si="459"/>
        <v>Red</v>
      </c>
    </row>
    <row r="1407" spans="1:30" x14ac:dyDescent="0.2">
      <c r="A1407" t="str">
        <f t="shared" si="460"/>
        <v>25/07/2026GuingampLorient</v>
      </c>
      <c r="D1407" s="2">
        <v>46228</v>
      </c>
      <c r="E1407" s="3">
        <v>0.625</v>
      </c>
      <c r="F1407" t="s">
        <v>1651</v>
      </c>
      <c r="G1407" t="s">
        <v>3940</v>
      </c>
      <c r="H1407">
        <v>0</v>
      </c>
      <c r="I1407">
        <v>1</v>
      </c>
      <c r="J1407">
        <v>0</v>
      </c>
      <c r="K1407">
        <v>2</v>
      </c>
      <c r="L1407" s="22" t="str">
        <f t="shared" si="461"/>
        <v>25/07/2026</v>
      </c>
      <c r="M1407" s="23">
        <f t="shared" si="462"/>
        <v>0.5</v>
      </c>
      <c r="N1407" t="str">
        <f t="shared" si="463"/>
        <v>0 - 2</v>
      </c>
      <c r="O1407" t="str">
        <f t="shared" si="444"/>
        <v>Red</v>
      </c>
      <c r="P1407" t="str">
        <f t="shared" si="445"/>
        <v>Red</v>
      </c>
      <c r="Q1407" t="str">
        <f t="shared" si="446"/>
        <v>Green</v>
      </c>
      <c r="R1407" t="str">
        <f t="shared" si="447"/>
        <v>Red</v>
      </c>
      <c r="S1407" t="str">
        <f t="shared" si="448"/>
        <v>Green</v>
      </c>
      <c r="T1407" t="str">
        <f t="shared" si="449"/>
        <v>Green</v>
      </c>
      <c r="U1407" t="str">
        <f t="shared" si="450"/>
        <v>Red</v>
      </c>
      <c r="V1407" t="str">
        <f t="shared" si="451"/>
        <v>Red</v>
      </c>
      <c r="W1407" t="str">
        <f t="shared" si="452"/>
        <v>Green</v>
      </c>
      <c r="X1407" t="str">
        <f t="shared" si="453"/>
        <v>Green</v>
      </c>
      <c r="Y1407" t="str">
        <f t="shared" si="454"/>
        <v>Green</v>
      </c>
      <c r="Z1407" t="str">
        <f t="shared" si="455"/>
        <v>Red</v>
      </c>
      <c r="AA1407" t="str">
        <f t="shared" si="456"/>
        <v>Green</v>
      </c>
      <c r="AB1407" t="str">
        <f t="shared" si="457"/>
        <v>Green</v>
      </c>
      <c r="AC1407" t="str">
        <f t="shared" si="458"/>
        <v>Red</v>
      </c>
      <c r="AD1407" t="str">
        <f t="shared" si="459"/>
        <v>Green</v>
      </c>
    </row>
    <row r="1408" spans="1:30" x14ac:dyDescent="0.2">
      <c r="A1408" t="str">
        <f t="shared" si="460"/>
        <v>25/07/2026Le MansNantes</v>
      </c>
      <c r="D1408" s="2">
        <v>46228</v>
      </c>
      <c r="E1408" s="3">
        <v>0.625</v>
      </c>
      <c r="F1408" t="s">
        <v>1705</v>
      </c>
      <c r="G1408" t="s">
        <v>1656</v>
      </c>
      <c r="H1408">
        <v>0</v>
      </c>
      <c r="I1408">
        <v>0</v>
      </c>
      <c r="J1408">
        <v>1</v>
      </c>
      <c r="K1408">
        <v>0</v>
      </c>
      <c r="L1408" s="22" t="str">
        <f t="shared" si="461"/>
        <v>25/07/2026</v>
      </c>
      <c r="M1408" s="23">
        <f t="shared" si="462"/>
        <v>0.5</v>
      </c>
      <c r="N1408" t="str">
        <f t="shared" si="463"/>
        <v>1 - 0</v>
      </c>
      <c r="O1408" t="str">
        <f t="shared" si="444"/>
        <v>Green</v>
      </c>
      <c r="P1408" t="str">
        <f t="shared" si="445"/>
        <v>Red</v>
      </c>
      <c r="Q1408" t="str">
        <f t="shared" si="446"/>
        <v>Red</v>
      </c>
      <c r="R1408" t="str">
        <f t="shared" si="447"/>
        <v>Green</v>
      </c>
      <c r="S1408" t="str">
        <f t="shared" si="448"/>
        <v>Red</v>
      </c>
      <c r="T1408" t="str">
        <f t="shared" si="449"/>
        <v>Green</v>
      </c>
      <c r="U1408" t="str">
        <f t="shared" si="450"/>
        <v>Red</v>
      </c>
      <c r="V1408" t="str">
        <f t="shared" si="451"/>
        <v>Green</v>
      </c>
      <c r="W1408" t="str">
        <f t="shared" si="452"/>
        <v>Red</v>
      </c>
      <c r="X1408" t="str">
        <f t="shared" si="453"/>
        <v>Red</v>
      </c>
      <c r="Y1408" t="str">
        <f t="shared" si="454"/>
        <v>Red</v>
      </c>
      <c r="Z1408" t="str">
        <f t="shared" si="455"/>
        <v>Red</v>
      </c>
      <c r="AA1408" t="str">
        <f t="shared" si="456"/>
        <v>Green</v>
      </c>
      <c r="AB1408" t="str">
        <f t="shared" si="457"/>
        <v>Green</v>
      </c>
      <c r="AC1408" t="str">
        <f t="shared" si="458"/>
        <v>Red</v>
      </c>
      <c r="AD1408" t="str">
        <f t="shared" si="459"/>
        <v>Green</v>
      </c>
    </row>
    <row r="1409" spans="1:30" x14ac:dyDescent="0.2">
      <c r="A1409" t="str">
        <f t="shared" si="460"/>
        <v>25/07/2026Royal Union Saint-GilloiseLille</v>
      </c>
      <c r="D1409" s="2">
        <v>46228</v>
      </c>
      <c r="E1409" s="3">
        <v>0.625</v>
      </c>
      <c r="F1409" t="s">
        <v>3941</v>
      </c>
      <c r="G1409" t="s">
        <v>3942</v>
      </c>
      <c r="H1409">
        <v>1</v>
      </c>
      <c r="I1409">
        <v>0</v>
      </c>
      <c r="J1409">
        <v>2</v>
      </c>
      <c r="K1409">
        <v>1</v>
      </c>
      <c r="L1409" s="22" t="str">
        <f t="shared" si="461"/>
        <v>25/07/2026</v>
      </c>
      <c r="M1409" s="23">
        <f t="shared" si="462"/>
        <v>0.5</v>
      </c>
      <c r="N1409" t="str">
        <f t="shared" si="463"/>
        <v>2 - 1</v>
      </c>
      <c r="O1409" t="str">
        <f t="shared" si="444"/>
        <v>Green</v>
      </c>
      <c r="P1409" t="str">
        <f t="shared" si="445"/>
        <v>Red</v>
      </c>
      <c r="Q1409" t="str">
        <f t="shared" si="446"/>
        <v>Red</v>
      </c>
      <c r="R1409" t="str">
        <f t="shared" si="447"/>
        <v>Green</v>
      </c>
      <c r="S1409" t="str">
        <f t="shared" si="448"/>
        <v>Red</v>
      </c>
      <c r="T1409" t="str">
        <f t="shared" si="449"/>
        <v>Green</v>
      </c>
      <c r="U1409" t="str">
        <f t="shared" si="450"/>
        <v>Green</v>
      </c>
      <c r="V1409" t="str">
        <f t="shared" si="451"/>
        <v>Red</v>
      </c>
      <c r="W1409" t="str">
        <f t="shared" si="452"/>
        <v>Red</v>
      </c>
      <c r="X1409" t="str">
        <f t="shared" si="453"/>
        <v>Green</v>
      </c>
      <c r="Y1409" t="str">
        <f t="shared" si="454"/>
        <v>Green</v>
      </c>
      <c r="Z1409" t="str">
        <f t="shared" si="455"/>
        <v>Green</v>
      </c>
      <c r="AA1409" t="str">
        <f t="shared" si="456"/>
        <v>Red</v>
      </c>
      <c r="AB1409" t="str">
        <f t="shared" si="457"/>
        <v>Green</v>
      </c>
      <c r="AC1409" t="str">
        <f t="shared" si="458"/>
        <v>Green</v>
      </c>
      <c r="AD1409" t="str">
        <f t="shared" si="459"/>
        <v>Red</v>
      </c>
    </row>
    <row r="1410" spans="1:30" x14ac:dyDescent="0.2">
      <c r="A1410" t="str">
        <f t="shared" si="460"/>
        <v>25/07/2026TorinoCittadella</v>
      </c>
      <c r="D1410" s="2">
        <v>46228</v>
      </c>
      <c r="E1410" s="3">
        <v>0.625</v>
      </c>
      <c r="F1410" t="s">
        <v>1662</v>
      </c>
      <c r="G1410" t="s">
        <v>3943</v>
      </c>
      <c r="H1410">
        <v>0</v>
      </c>
      <c r="I1410">
        <v>0</v>
      </c>
      <c r="J1410">
        <v>0</v>
      </c>
      <c r="K1410">
        <v>1</v>
      </c>
      <c r="L1410" s="22" t="str">
        <f t="shared" si="461"/>
        <v>25/07/2026</v>
      </c>
      <c r="M1410" s="23">
        <f t="shared" si="462"/>
        <v>0.5</v>
      </c>
      <c r="N1410" t="str">
        <f t="shared" si="463"/>
        <v>0 - 1</v>
      </c>
      <c r="O1410" t="str">
        <f t="shared" ref="O1410:O1473" si="464">IF($J1410&gt;$K1410,"Green","Red")</f>
        <v>Red</v>
      </c>
      <c r="P1410" t="str">
        <f t="shared" ref="P1410:P1473" si="465">IF($J1410=$K1410,"Green","Red")</f>
        <v>Red</v>
      </c>
      <c r="Q1410" t="str">
        <f t="shared" ref="Q1410:Q1473" si="466">IF($J1410&lt;$K1410,"Green","Red")</f>
        <v>Green</v>
      </c>
      <c r="R1410" t="str">
        <f t="shared" ref="R1410:R1473" si="467">IF($J1410&gt;=$K1410,"Green","Red")</f>
        <v>Red</v>
      </c>
      <c r="S1410" t="str">
        <f t="shared" ref="S1410:S1473" si="468">IF($J1410&lt;=$K1410,"Green","Red")</f>
        <v>Green</v>
      </c>
      <c r="T1410" t="str">
        <f t="shared" ref="T1410:T1473" si="469">IF(OR($J1410&gt;$K1410,$J1410&lt;$K1410),"Green","Red")</f>
        <v>Green</v>
      </c>
      <c r="U1410" t="str">
        <f t="shared" ref="U1410:U1473" si="470">IF($H1410&gt;$I1410,"Green","Red")</f>
        <v>Red</v>
      </c>
      <c r="V1410" t="str">
        <f t="shared" ref="V1410:V1473" si="471">IF($H1410=$I1410,"Green","Red")</f>
        <v>Green</v>
      </c>
      <c r="W1410" t="str">
        <f t="shared" ref="W1410:W1473" si="472">IF($H1410&lt;$I1410,"Green","Red")</f>
        <v>Red</v>
      </c>
      <c r="X1410" t="str">
        <f t="shared" ref="X1410:X1473" si="473">IF($H1410+$I1410&gt;0,"Green","Red")</f>
        <v>Red</v>
      </c>
      <c r="Y1410" t="str">
        <f t="shared" ref="Y1410:Y1473" si="474">IF($J1410+$K1410&gt;1.5,"Green","Red")</f>
        <v>Red</v>
      </c>
      <c r="Z1410" t="str">
        <f t="shared" ref="Z1410:Z1473" si="475">IF($J1410+$K1410&gt;2.5,"Green","Red")</f>
        <v>Red</v>
      </c>
      <c r="AA1410" t="str">
        <f t="shared" ref="AA1410:AA1473" si="476">IF($J1410+$K1410&lt;2.5,"Green","Red")</f>
        <v>Green</v>
      </c>
      <c r="AB1410" t="str">
        <f t="shared" ref="AB1410:AB1473" si="477">IF($J1410+$K1410&lt;3.5,"Green","Red")</f>
        <v>Green</v>
      </c>
      <c r="AC1410" t="str">
        <f t="shared" ref="AC1410:AC1473" si="478">IF(AND($J1410&gt;0,$K1410&gt;0),"Green","Red")</f>
        <v>Red</v>
      </c>
      <c r="AD1410" t="str">
        <f t="shared" ref="AD1410:AD1473" si="479">IF(OR($J1410=0,$K1410=0),"Green","Red")</f>
        <v>Green</v>
      </c>
    </row>
    <row r="1411" spans="1:30" x14ac:dyDescent="0.2">
      <c r="A1411" t="str">
        <f t="shared" si="460"/>
        <v>25/07/2026Wycombe WanderersPortsmouth</v>
      </c>
      <c r="D1411" s="2">
        <v>46228</v>
      </c>
      <c r="E1411" s="3">
        <v>0.625</v>
      </c>
      <c r="F1411" t="s">
        <v>1428</v>
      </c>
      <c r="G1411" t="s">
        <v>3944</v>
      </c>
      <c r="H1411">
        <v>1</v>
      </c>
      <c r="I1411">
        <v>0</v>
      </c>
      <c r="J1411">
        <v>3</v>
      </c>
      <c r="K1411">
        <v>1</v>
      </c>
      <c r="L1411" s="22" t="str">
        <f t="shared" si="461"/>
        <v>25/07/2026</v>
      </c>
      <c r="M1411" s="23">
        <f t="shared" si="462"/>
        <v>0.5</v>
      </c>
      <c r="N1411" t="str">
        <f t="shared" si="463"/>
        <v>3 - 1</v>
      </c>
      <c r="O1411" t="str">
        <f t="shared" si="464"/>
        <v>Green</v>
      </c>
      <c r="P1411" t="str">
        <f t="shared" si="465"/>
        <v>Red</v>
      </c>
      <c r="Q1411" t="str">
        <f t="shared" si="466"/>
        <v>Red</v>
      </c>
      <c r="R1411" t="str">
        <f t="shared" si="467"/>
        <v>Green</v>
      </c>
      <c r="S1411" t="str">
        <f t="shared" si="468"/>
        <v>Red</v>
      </c>
      <c r="T1411" t="str">
        <f t="shared" si="469"/>
        <v>Green</v>
      </c>
      <c r="U1411" t="str">
        <f t="shared" si="470"/>
        <v>Green</v>
      </c>
      <c r="V1411" t="str">
        <f t="shared" si="471"/>
        <v>Red</v>
      </c>
      <c r="W1411" t="str">
        <f t="shared" si="472"/>
        <v>Red</v>
      </c>
      <c r="X1411" t="str">
        <f t="shared" si="473"/>
        <v>Green</v>
      </c>
      <c r="Y1411" t="str">
        <f t="shared" si="474"/>
        <v>Green</v>
      </c>
      <c r="Z1411" t="str">
        <f t="shared" si="475"/>
        <v>Green</v>
      </c>
      <c r="AA1411" t="str">
        <f t="shared" si="476"/>
        <v>Red</v>
      </c>
      <c r="AB1411" t="str">
        <f t="shared" si="477"/>
        <v>Red</v>
      </c>
      <c r="AC1411" t="str">
        <f t="shared" si="478"/>
        <v>Green</v>
      </c>
      <c r="AD1411" t="str">
        <f t="shared" si="479"/>
        <v>Red</v>
      </c>
    </row>
    <row r="1412" spans="1:30" x14ac:dyDescent="0.2">
      <c r="A1412" t="str">
        <f t="shared" si="460"/>
        <v>25/07/2026KalmarMjallby</v>
      </c>
      <c r="B1412" t="s">
        <v>827</v>
      </c>
      <c r="C1412" t="s">
        <v>828</v>
      </c>
      <c r="D1412" s="2">
        <v>46228</v>
      </c>
      <c r="E1412" s="3">
        <v>0.64583333333333337</v>
      </c>
      <c r="F1412" t="s">
        <v>341</v>
      </c>
      <c r="G1412" t="s">
        <v>355</v>
      </c>
      <c r="H1412">
        <v>1</v>
      </c>
      <c r="I1412">
        <v>1</v>
      </c>
      <c r="J1412">
        <v>2</v>
      </c>
      <c r="K1412">
        <v>1</v>
      </c>
      <c r="L1412" s="22" t="str">
        <f t="shared" si="461"/>
        <v>25/07/2026</v>
      </c>
      <c r="M1412" s="23">
        <f t="shared" si="462"/>
        <v>0.52083333333333337</v>
      </c>
      <c r="N1412" t="str">
        <f t="shared" si="463"/>
        <v>2 - 1</v>
      </c>
      <c r="O1412" t="str">
        <f t="shared" si="464"/>
        <v>Green</v>
      </c>
      <c r="P1412" t="str">
        <f t="shared" si="465"/>
        <v>Red</v>
      </c>
      <c r="Q1412" t="str">
        <f t="shared" si="466"/>
        <v>Red</v>
      </c>
      <c r="R1412" t="str">
        <f t="shared" si="467"/>
        <v>Green</v>
      </c>
      <c r="S1412" t="str">
        <f t="shared" si="468"/>
        <v>Red</v>
      </c>
      <c r="T1412" t="str">
        <f t="shared" si="469"/>
        <v>Green</v>
      </c>
      <c r="U1412" t="str">
        <f t="shared" si="470"/>
        <v>Red</v>
      </c>
      <c r="V1412" t="str">
        <f t="shared" si="471"/>
        <v>Green</v>
      </c>
      <c r="W1412" t="str">
        <f t="shared" si="472"/>
        <v>Red</v>
      </c>
      <c r="X1412" t="str">
        <f t="shared" si="473"/>
        <v>Green</v>
      </c>
      <c r="Y1412" t="str">
        <f t="shared" si="474"/>
        <v>Green</v>
      </c>
      <c r="Z1412" t="str">
        <f t="shared" si="475"/>
        <v>Green</v>
      </c>
      <c r="AA1412" t="str">
        <f t="shared" si="476"/>
        <v>Red</v>
      </c>
      <c r="AB1412" t="str">
        <f t="shared" si="477"/>
        <v>Green</v>
      </c>
      <c r="AC1412" t="str">
        <f t="shared" si="478"/>
        <v>Green</v>
      </c>
      <c r="AD1412" t="str">
        <f t="shared" si="479"/>
        <v>Red</v>
      </c>
    </row>
    <row r="1413" spans="1:30" x14ac:dyDescent="0.2">
      <c r="A1413" t="str">
        <f t="shared" si="460"/>
        <v>25/07/2026Union DietachSK Bischofshofen</v>
      </c>
      <c r="D1413" s="2">
        <v>46228</v>
      </c>
      <c r="E1413" s="3">
        <v>0.64583333333333337</v>
      </c>
      <c r="F1413" t="s">
        <v>3010</v>
      </c>
      <c r="G1413" t="s">
        <v>3011</v>
      </c>
      <c r="H1413">
        <v>0</v>
      </c>
      <c r="I1413">
        <v>0</v>
      </c>
      <c r="J1413">
        <v>3</v>
      </c>
      <c r="K1413">
        <v>3</v>
      </c>
      <c r="L1413" s="22" t="str">
        <f t="shared" si="461"/>
        <v>25/07/2026</v>
      </c>
      <c r="M1413" s="23">
        <f t="shared" si="462"/>
        <v>0.52083333333333337</v>
      </c>
      <c r="N1413" t="str">
        <f t="shared" si="463"/>
        <v>3 - 3</v>
      </c>
      <c r="O1413" t="str">
        <f t="shared" si="464"/>
        <v>Red</v>
      </c>
      <c r="P1413" t="str">
        <f t="shared" si="465"/>
        <v>Green</v>
      </c>
      <c r="Q1413" t="str">
        <f t="shared" si="466"/>
        <v>Red</v>
      </c>
      <c r="R1413" t="str">
        <f t="shared" si="467"/>
        <v>Green</v>
      </c>
      <c r="S1413" t="str">
        <f t="shared" si="468"/>
        <v>Green</v>
      </c>
      <c r="T1413" t="str">
        <f t="shared" si="469"/>
        <v>Red</v>
      </c>
      <c r="U1413" t="str">
        <f t="shared" si="470"/>
        <v>Red</v>
      </c>
      <c r="V1413" t="str">
        <f t="shared" si="471"/>
        <v>Green</v>
      </c>
      <c r="W1413" t="str">
        <f t="shared" si="472"/>
        <v>Red</v>
      </c>
      <c r="X1413" t="str">
        <f t="shared" si="473"/>
        <v>Red</v>
      </c>
      <c r="Y1413" t="str">
        <f t="shared" si="474"/>
        <v>Green</v>
      </c>
      <c r="Z1413" t="str">
        <f t="shared" si="475"/>
        <v>Green</v>
      </c>
      <c r="AA1413" t="str">
        <f t="shared" si="476"/>
        <v>Red</v>
      </c>
      <c r="AB1413" t="str">
        <f t="shared" si="477"/>
        <v>Red</v>
      </c>
      <c r="AC1413" t="str">
        <f t="shared" si="478"/>
        <v>Green</v>
      </c>
      <c r="AD1413" t="str">
        <f t="shared" si="479"/>
        <v>Red</v>
      </c>
    </row>
    <row r="1414" spans="1:30" x14ac:dyDescent="0.2">
      <c r="A1414" t="str">
        <f t="shared" si="460"/>
        <v>25/07/2026NesebarEtar 1924</v>
      </c>
      <c r="D1414" s="2">
        <v>46228</v>
      </c>
      <c r="E1414" s="3">
        <v>0.64583333333333337</v>
      </c>
      <c r="F1414" t="s">
        <v>3104</v>
      </c>
      <c r="G1414" t="s">
        <v>3105</v>
      </c>
      <c r="H1414">
        <v>1</v>
      </c>
      <c r="I1414">
        <v>3</v>
      </c>
      <c r="J1414">
        <v>1</v>
      </c>
      <c r="K1414">
        <v>5</v>
      </c>
      <c r="L1414" s="22" t="str">
        <f t="shared" si="461"/>
        <v>25/07/2026</v>
      </c>
      <c r="M1414" s="23">
        <f t="shared" si="462"/>
        <v>0.52083333333333337</v>
      </c>
      <c r="N1414" t="str">
        <f t="shared" si="463"/>
        <v>1 - 5</v>
      </c>
      <c r="O1414" t="str">
        <f t="shared" si="464"/>
        <v>Red</v>
      </c>
      <c r="P1414" t="str">
        <f t="shared" si="465"/>
        <v>Red</v>
      </c>
      <c r="Q1414" t="str">
        <f t="shared" si="466"/>
        <v>Green</v>
      </c>
      <c r="R1414" t="str">
        <f t="shared" si="467"/>
        <v>Red</v>
      </c>
      <c r="S1414" t="str">
        <f t="shared" si="468"/>
        <v>Green</v>
      </c>
      <c r="T1414" t="str">
        <f t="shared" si="469"/>
        <v>Green</v>
      </c>
      <c r="U1414" t="str">
        <f t="shared" si="470"/>
        <v>Red</v>
      </c>
      <c r="V1414" t="str">
        <f t="shared" si="471"/>
        <v>Red</v>
      </c>
      <c r="W1414" t="str">
        <f t="shared" si="472"/>
        <v>Green</v>
      </c>
      <c r="X1414" t="str">
        <f t="shared" si="473"/>
        <v>Green</v>
      </c>
      <c r="Y1414" t="str">
        <f t="shared" si="474"/>
        <v>Green</v>
      </c>
      <c r="Z1414" t="str">
        <f t="shared" si="475"/>
        <v>Green</v>
      </c>
      <c r="AA1414" t="str">
        <f t="shared" si="476"/>
        <v>Red</v>
      </c>
      <c r="AB1414" t="str">
        <f t="shared" si="477"/>
        <v>Red</v>
      </c>
      <c r="AC1414" t="str">
        <f t="shared" si="478"/>
        <v>Green</v>
      </c>
      <c r="AD1414" t="str">
        <f t="shared" si="479"/>
        <v>Red</v>
      </c>
    </row>
    <row r="1415" spans="1:30" x14ac:dyDescent="0.2">
      <c r="A1415" t="str">
        <f t="shared" si="460"/>
        <v>25/07/2026Sportist SvogeMontana</v>
      </c>
      <c r="D1415" s="2">
        <v>46228</v>
      </c>
      <c r="E1415" s="3">
        <v>0.64583333333333337</v>
      </c>
      <c r="F1415" t="s">
        <v>3106</v>
      </c>
      <c r="G1415" t="s">
        <v>3107</v>
      </c>
      <c r="H1415">
        <v>1</v>
      </c>
      <c r="I1415">
        <v>1</v>
      </c>
      <c r="J1415">
        <v>2</v>
      </c>
      <c r="K1415">
        <v>2</v>
      </c>
      <c r="L1415" s="22" t="str">
        <f t="shared" si="461"/>
        <v>25/07/2026</v>
      </c>
      <c r="M1415" s="23">
        <f t="shared" si="462"/>
        <v>0.52083333333333337</v>
      </c>
      <c r="N1415" t="str">
        <f t="shared" si="463"/>
        <v>2 - 2</v>
      </c>
      <c r="O1415" t="str">
        <f t="shared" si="464"/>
        <v>Red</v>
      </c>
      <c r="P1415" t="str">
        <f t="shared" si="465"/>
        <v>Green</v>
      </c>
      <c r="Q1415" t="str">
        <f t="shared" si="466"/>
        <v>Red</v>
      </c>
      <c r="R1415" t="str">
        <f t="shared" si="467"/>
        <v>Green</v>
      </c>
      <c r="S1415" t="str">
        <f t="shared" si="468"/>
        <v>Green</v>
      </c>
      <c r="T1415" t="str">
        <f t="shared" si="469"/>
        <v>Red</v>
      </c>
      <c r="U1415" t="str">
        <f t="shared" si="470"/>
        <v>Red</v>
      </c>
      <c r="V1415" t="str">
        <f t="shared" si="471"/>
        <v>Green</v>
      </c>
      <c r="W1415" t="str">
        <f t="shared" si="472"/>
        <v>Red</v>
      </c>
      <c r="X1415" t="str">
        <f t="shared" si="473"/>
        <v>Green</v>
      </c>
      <c r="Y1415" t="str">
        <f t="shared" si="474"/>
        <v>Green</v>
      </c>
      <c r="Z1415" t="str">
        <f t="shared" si="475"/>
        <v>Green</v>
      </c>
      <c r="AA1415" t="str">
        <f t="shared" si="476"/>
        <v>Red</v>
      </c>
      <c r="AB1415" t="str">
        <f t="shared" si="477"/>
        <v>Red</v>
      </c>
      <c r="AC1415" t="str">
        <f t="shared" si="478"/>
        <v>Green</v>
      </c>
      <c r="AD1415" t="str">
        <f t="shared" si="479"/>
        <v>Red</v>
      </c>
    </row>
    <row r="1416" spans="1:30" x14ac:dyDescent="0.2">
      <c r="A1416" t="str">
        <f t="shared" si="460"/>
        <v>25/07/2026PAOK FC WomenFK Neftchi Baku Women</v>
      </c>
      <c r="D1416" s="2">
        <v>46228</v>
      </c>
      <c r="E1416" s="3">
        <v>0.64583333333333337</v>
      </c>
      <c r="F1416" t="s">
        <v>1645</v>
      </c>
      <c r="G1416" t="s">
        <v>1584</v>
      </c>
      <c r="H1416">
        <v>2</v>
      </c>
      <c r="I1416">
        <v>0</v>
      </c>
      <c r="J1416">
        <v>3</v>
      </c>
      <c r="K1416">
        <v>0</v>
      </c>
      <c r="L1416" s="22" t="str">
        <f t="shared" si="461"/>
        <v>25/07/2026</v>
      </c>
      <c r="M1416" s="23">
        <f t="shared" si="462"/>
        <v>0.52083333333333337</v>
      </c>
      <c r="N1416" t="str">
        <f t="shared" si="463"/>
        <v>3 - 0</v>
      </c>
      <c r="O1416" t="str">
        <f t="shared" si="464"/>
        <v>Green</v>
      </c>
      <c r="P1416" t="str">
        <f t="shared" si="465"/>
        <v>Red</v>
      </c>
      <c r="Q1416" t="str">
        <f t="shared" si="466"/>
        <v>Red</v>
      </c>
      <c r="R1416" t="str">
        <f t="shared" si="467"/>
        <v>Green</v>
      </c>
      <c r="S1416" t="str">
        <f t="shared" si="468"/>
        <v>Red</v>
      </c>
      <c r="T1416" t="str">
        <f t="shared" si="469"/>
        <v>Green</v>
      </c>
      <c r="U1416" t="str">
        <f t="shared" si="470"/>
        <v>Green</v>
      </c>
      <c r="V1416" t="str">
        <f t="shared" si="471"/>
        <v>Red</v>
      </c>
      <c r="W1416" t="str">
        <f t="shared" si="472"/>
        <v>Red</v>
      </c>
      <c r="X1416" t="str">
        <f t="shared" si="473"/>
        <v>Green</v>
      </c>
      <c r="Y1416" t="str">
        <f t="shared" si="474"/>
        <v>Green</v>
      </c>
      <c r="Z1416" t="str">
        <f t="shared" si="475"/>
        <v>Green</v>
      </c>
      <c r="AA1416" t="str">
        <f t="shared" si="476"/>
        <v>Red</v>
      </c>
      <c r="AB1416" t="str">
        <f t="shared" si="477"/>
        <v>Green</v>
      </c>
      <c r="AC1416" t="str">
        <f t="shared" si="478"/>
        <v>Red</v>
      </c>
      <c r="AD1416" t="str">
        <f t="shared" si="479"/>
        <v>Green</v>
      </c>
    </row>
    <row r="1417" spans="1:30" x14ac:dyDescent="0.2">
      <c r="A1417" t="str">
        <f t="shared" si="460"/>
        <v>25/07/2026UFC NagykanizsaDiosgyor VTK</v>
      </c>
      <c r="D1417" s="2">
        <v>46228</v>
      </c>
      <c r="E1417" s="3">
        <v>0.64583333333333337</v>
      </c>
      <c r="F1417" t="s">
        <v>3307</v>
      </c>
      <c r="G1417" t="s">
        <v>3308</v>
      </c>
      <c r="H1417">
        <v>1</v>
      </c>
      <c r="I1417">
        <v>1</v>
      </c>
      <c r="J1417">
        <v>2</v>
      </c>
      <c r="K1417">
        <v>3</v>
      </c>
      <c r="L1417" s="22" t="str">
        <f t="shared" si="461"/>
        <v>25/07/2026</v>
      </c>
      <c r="M1417" s="23">
        <f t="shared" si="462"/>
        <v>0.52083333333333337</v>
      </c>
      <c r="N1417" t="str">
        <f t="shared" si="463"/>
        <v>2 - 3</v>
      </c>
      <c r="O1417" t="str">
        <f t="shared" si="464"/>
        <v>Red</v>
      </c>
      <c r="P1417" t="str">
        <f t="shared" si="465"/>
        <v>Red</v>
      </c>
      <c r="Q1417" t="str">
        <f t="shared" si="466"/>
        <v>Green</v>
      </c>
      <c r="R1417" t="str">
        <f t="shared" si="467"/>
        <v>Red</v>
      </c>
      <c r="S1417" t="str">
        <f t="shared" si="468"/>
        <v>Green</v>
      </c>
      <c r="T1417" t="str">
        <f t="shared" si="469"/>
        <v>Green</v>
      </c>
      <c r="U1417" t="str">
        <f t="shared" si="470"/>
        <v>Red</v>
      </c>
      <c r="V1417" t="str">
        <f t="shared" si="471"/>
        <v>Green</v>
      </c>
      <c r="W1417" t="str">
        <f t="shared" si="472"/>
        <v>Red</v>
      </c>
      <c r="X1417" t="str">
        <f t="shared" si="473"/>
        <v>Green</v>
      </c>
      <c r="Y1417" t="str">
        <f t="shared" si="474"/>
        <v>Green</v>
      </c>
      <c r="Z1417" t="str">
        <f t="shared" si="475"/>
        <v>Green</v>
      </c>
      <c r="AA1417" t="str">
        <f t="shared" si="476"/>
        <v>Red</v>
      </c>
      <c r="AB1417" t="str">
        <f t="shared" si="477"/>
        <v>Red</v>
      </c>
      <c r="AC1417" t="str">
        <f t="shared" si="478"/>
        <v>Green</v>
      </c>
      <c r="AD1417" t="str">
        <f t="shared" si="479"/>
        <v>Red</v>
      </c>
    </row>
    <row r="1418" spans="1:30" x14ac:dyDescent="0.2">
      <c r="A1418" t="str">
        <f t="shared" si="460"/>
        <v>25/07/2026Bicskei TCPuskas Academy II</v>
      </c>
      <c r="D1418" s="2">
        <v>46228</v>
      </c>
      <c r="E1418" s="3">
        <v>0.64583333333333337</v>
      </c>
      <c r="F1418" t="s">
        <v>3323</v>
      </c>
      <c r="G1418" t="s">
        <v>3324</v>
      </c>
      <c r="H1418">
        <v>2</v>
      </c>
      <c r="I1418">
        <v>1</v>
      </c>
      <c r="J1418">
        <v>2</v>
      </c>
      <c r="K1418">
        <v>1</v>
      </c>
      <c r="L1418" s="22" t="str">
        <f t="shared" si="461"/>
        <v>25/07/2026</v>
      </c>
      <c r="M1418" s="23">
        <f t="shared" si="462"/>
        <v>0.52083333333333337</v>
      </c>
      <c r="N1418" t="str">
        <f t="shared" si="463"/>
        <v>2 - 1</v>
      </c>
      <c r="O1418" t="str">
        <f t="shared" si="464"/>
        <v>Green</v>
      </c>
      <c r="P1418" t="str">
        <f t="shared" si="465"/>
        <v>Red</v>
      </c>
      <c r="Q1418" t="str">
        <f t="shared" si="466"/>
        <v>Red</v>
      </c>
      <c r="R1418" t="str">
        <f t="shared" si="467"/>
        <v>Green</v>
      </c>
      <c r="S1418" t="str">
        <f t="shared" si="468"/>
        <v>Red</v>
      </c>
      <c r="T1418" t="str">
        <f t="shared" si="469"/>
        <v>Green</v>
      </c>
      <c r="U1418" t="str">
        <f t="shared" si="470"/>
        <v>Green</v>
      </c>
      <c r="V1418" t="str">
        <f t="shared" si="471"/>
        <v>Red</v>
      </c>
      <c r="W1418" t="str">
        <f t="shared" si="472"/>
        <v>Red</v>
      </c>
      <c r="X1418" t="str">
        <f t="shared" si="473"/>
        <v>Green</v>
      </c>
      <c r="Y1418" t="str">
        <f t="shared" si="474"/>
        <v>Green</v>
      </c>
      <c r="Z1418" t="str">
        <f t="shared" si="475"/>
        <v>Green</v>
      </c>
      <c r="AA1418" t="str">
        <f t="shared" si="476"/>
        <v>Red</v>
      </c>
      <c r="AB1418" t="str">
        <f t="shared" si="477"/>
        <v>Green</v>
      </c>
      <c r="AC1418" t="str">
        <f t="shared" si="478"/>
        <v>Green</v>
      </c>
      <c r="AD1418" t="str">
        <f t="shared" si="479"/>
        <v>Red</v>
      </c>
    </row>
    <row r="1419" spans="1:30" x14ac:dyDescent="0.2">
      <c r="A1419" t="str">
        <f t="shared" si="460"/>
        <v>25/07/2026Debreceni IIHajdunanas</v>
      </c>
      <c r="D1419" s="2">
        <v>46228</v>
      </c>
      <c r="E1419" s="3">
        <v>0.64583333333333337</v>
      </c>
      <c r="F1419" t="s">
        <v>3325</v>
      </c>
      <c r="G1419" t="s">
        <v>3326</v>
      </c>
      <c r="H1419">
        <v>2</v>
      </c>
      <c r="I1419">
        <v>1</v>
      </c>
      <c r="J1419">
        <v>5</v>
      </c>
      <c r="K1419">
        <v>2</v>
      </c>
      <c r="L1419" s="22" t="str">
        <f t="shared" si="461"/>
        <v>25/07/2026</v>
      </c>
      <c r="M1419" s="23">
        <f t="shared" si="462"/>
        <v>0.52083333333333337</v>
      </c>
      <c r="N1419" t="str">
        <f t="shared" si="463"/>
        <v>5 - 2</v>
      </c>
      <c r="O1419" t="str">
        <f t="shared" si="464"/>
        <v>Green</v>
      </c>
      <c r="P1419" t="str">
        <f t="shared" si="465"/>
        <v>Red</v>
      </c>
      <c r="Q1419" t="str">
        <f t="shared" si="466"/>
        <v>Red</v>
      </c>
      <c r="R1419" t="str">
        <f t="shared" si="467"/>
        <v>Green</v>
      </c>
      <c r="S1419" t="str">
        <f t="shared" si="468"/>
        <v>Red</v>
      </c>
      <c r="T1419" t="str">
        <f t="shared" si="469"/>
        <v>Green</v>
      </c>
      <c r="U1419" t="str">
        <f t="shared" si="470"/>
        <v>Green</v>
      </c>
      <c r="V1419" t="str">
        <f t="shared" si="471"/>
        <v>Red</v>
      </c>
      <c r="W1419" t="str">
        <f t="shared" si="472"/>
        <v>Red</v>
      </c>
      <c r="X1419" t="str">
        <f t="shared" si="473"/>
        <v>Green</v>
      </c>
      <c r="Y1419" t="str">
        <f t="shared" si="474"/>
        <v>Green</v>
      </c>
      <c r="Z1419" t="str">
        <f t="shared" si="475"/>
        <v>Green</v>
      </c>
      <c r="AA1419" t="str">
        <f t="shared" si="476"/>
        <v>Red</v>
      </c>
      <c r="AB1419" t="str">
        <f t="shared" si="477"/>
        <v>Red</v>
      </c>
      <c r="AC1419" t="str">
        <f t="shared" si="478"/>
        <v>Green</v>
      </c>
      <c r="AD1419" t="str">
        <f t="shared" si="479"/>
        <v>Red</v>
      </c>
    </row>
    <row r="1420" spans="1:30" x14ac:dyDescent="0.2">
      <c r="A1420" t="str">
        <f t="shared" si="460"/>
        <v>25/07/2026Erdi VSEBudaorsi SC</v>
      </c>
      <c r="D1420" s="2">
        <v>46228</v>
      </c>
      <c r="E1420" s="3">
        <v>0.64583333333333337</v>
      </c>
      <c r="F1420" t="s">
        <v>3327</v>
      </c>
      <c r="G1420" t="s">
        <v>3328</v>
      </c>
      <c r="H1420">
        <v>1</v>
      </c>
      <c r="I1420">
        <v>1</v>
      </c>
      <c r="J1420">
        <v>3</v>
      </c>
      <c r="K1420">
        <v>3</v>
      </c>
      <c r="L1420" s="22" t="str">
        <f t="shared" si="461"/>
        <v>25/07/2026</v>
      </c>
      <c r="M1420" s="23">
        <f t="shared" si="462"/>
        <v>0.52083333333333337</v>
      </c>
      <c r="N1420" t="str">
        <f t="shared" si="463"/>
        <v>3 - 3</v>
      </c>
      <c r="O1420" t="str">
        <f t="shared" si="464"/>
        <v>Red</v>
      </c>
      <c r="P1420" t="str">
        <f t="shared" si="465"/>
        <v>Green</v>
      </c>
      <c r="Q1420" t="str">
        <f t="shared" si="466"/>
        <v>Red</v>
      </c>
      <c r="R1420" t="str">
        <f t="shared" si="467"/>
        <v>Green</v>
      </c>
      <c r="S1420" t="str">
        <f t="shared" si="468"/>
        <v>Green</v>
      </c>
      <c r="T1420" t="str">
        <f t="shared" si="469"/>
        <v>Red</v>
      </c>
      <c r="U1420" t="str">
        <f t="shared" si="470"/>
        <v>Red</v>
      </c>
      <c r="V1420" t="str">
        <f t="shared" si="471"/>
        <v>Green</v>
      </c>
      <c r="W1420" t="str">
        <f t="shared" si="472"/>
        <v>Red</v>
      </c>
      <c r="X1420" t="str">
        <f t="shared" si="473"/>
        <v>Green</v>
      </c>
      <c r="Y1420" t="str">
        <f t="shared" si="474"/>
        <v>Green</v>
      </c>
      <c r="Z1420" t="str">
        <f t="shared" si="475"/>
        <v>Green</v>
      </c>
      <c r="AA1420" t="str">
        <f t="shared" si="476"/>
        <v>Red</v>
      </c>
      <c r="AB1420" t="str">
        <f t="shared" si="477"/>
        <v>Red</v>
      </c>
      <c r="AC1420" t="str">
        <f t="shared" si="478"/>
        <v>Green</v>
      </c>
      <c r="AD1420" t="str">
        <f t="shared" si="479"/>
        <v>Red</v>
      </c>
    </row>
    <row r="1421" spans="1:30" x14ac:dyDescent="0.2">
      <c r="A1421" t="str">
        <f t="shared" si="460"/>
        <v>25/07/2026Ferencvarosi TC IIDunaujvaros PASE</v>
      </c>
      <c r="D1421" s="2">
        <v>46228</v>
      </c>
      <c r="E1421" s="3">
        <v>0.64583333333333337</v>
      </c>
      <c r="F1421" t="s">
        <v>3329</v>
      </c>
      <c r="G1421" t="s">
        <v>3330</v>
      </c>
      <c r="H1421">
        <v>0</v>
      </c>
      <c r="I1421">
        <v>0</v>
      </c>
      <c r="J1421">
        <v>0</v>
      </c>
      <c r="K1421">
        <v>0</v>
      </c>
      <c r="L1421" s="22" t="str">
        <f t="shared" si="461"/>
        <v>25/07/2026</v>
      </c>
      <c r="M1421" s="23">
        <f t="shared" si="462"/>
        <v>0.52083333333333337</v>
      </c>
      <c r="N1421" t="str">
        <f t="shared" si="463"/>
        <v>0 - 0</v>
      </c>
      <c r="O1421" t="str">
        <f t="shared" si="464"/>
        <v>Red</v>
      </c>
      <c r="P1421" t="str">
        <f t="shared" si="465"/>
        <v>Green</v>
      </c>
      <c r="Q1421" t="str">
        <f t="shared" si="466"/>
        <v>Red</v>
      </c>
      <c r="R1421" t="str">
        <f t="shared" si="467"/>
        <v>Green</v>
      </c>
      <c r="S1421" t="str">
        <f t="shared" si="468"/>
        <v>Green</v>
      </c>
      <c r="T1421" t="str">
        <f t="shared" si="469"/>
        <v>Red</v>
      </c>
      <c r="U1421" t="str">
        <f t="shared" si="470"/>
        <v>Red</v>
      </c>
      <c r="V1421" t="str">
        <f t="shared" si="471"/>
        <v>Green</v>
      </c>
      <c r="W1421" t="str">
        <f t="shared" si="472"/>
        <v>Red</v>
      </c>
      <c r="X1421" t="str">
        <f t="shared" si="473"/>
        <v>Red</v>
      </c>
      <c r="Y1421" t="str">
        <f t="shared" si="474"/>
        <v>Red</v>
      </c>
      <c r="Z1421" t="str">
        <f t="shared" si="475"/>
        <v>Red</v>
      </c>
      <c r="AA1421" t="str">
        <f t="shared" si="476"/>
        <v>Green</v>
      </c>
      <c r="AB1421" t="str">
        <f t="shared" si="477"/>
        <v>Green</v>
      </c>
      <c r="AC1421" t="str">
        <f t="shared" si="478"/>
        <v>Red</v>
      </c>
      <c r="AD1421" t="str">
        <f t="shared" si="479"/>
        <v>Green</v>
      </c>
    </row>
    <row r="1422" spans="1:30" x14ac:dyDescent="0.2">
      <c r="A1422" t="str">
        <f t="shared" si="460"/>
        <v>25/07/2026Godolloi SKSalgotarjani BTC</v>
      </c>
      <c r="D1422" s="2">
        <v>46228</v>
      </c>
      <c r="E1422" s="3">
        <v>0.64583333333333337</v>
      </c>
      <c r="F1422" t="s">
        <v>3331</v>
      </c>
      <c r="G1422" t="s">
        <v>3332</v>
      </c>
      <c r="H1422">
        <v>2</v>
      </c>
      <c r="I1422">
        <v>0</v>
      </c>
      <c r="J1422">
        <v>3</v>
      </c>
      <c r="K1422">
        <v>1</v>
      </c>
      <c r="L1422" s="22" t="str">
        <f t="shared" si="461"/>
        <v>25/07/2026</v>
      </c>
      <c r="M1422" s="23">
        <f t="shared" si="462"/>
        <v>0.52083333333333337</v>
      </c>
      <c r="N1422" t="str">
        <f t="shared" si="463"/>
        <v>3 - 1</v>
      </c>
      <c r="O1422" t="str">
        <f t="shared" si="464"/>
        <v>Green</v>
      </c>
      <c r="P1422" t="str">
        <f t="shared" si="465"/>
        <v>Red</v>
      </c>
      <c r="Q1422" t="str">
        <f t="shared" si="466"/>
        <v>Red</v>
      </c>
      <c r="R1422" t="str">
        <f t="shared" si="467"/>
        <v>Green</v>
      </c>
      <c r="S1422" t="str">
        <f t="shared" si="468"/>
        <v>Red</v>
      </c>
      <c r="T1422" t="str">
        <f t="shared" si="469"/>
        <v>Green</v>
      </c>
      <c r="U1422" t="str">
        <f t="shared" si="470"/>
        <v>Green</v>
      </c>
      <c r="V1422" t="str">
        <f t="shared" si="471"/>
        <v>Red</v>
      </c>
      <c r="W1422" t="str">
        <f t="shared" si="472"/>
        <v>Red</v>
      </c>
      <c r="X1422" t="str">
        <f t="shared" si="473"/>
        <v>Green</v>
      </c>
      <c r="Y1422" t="str">
        <f t="shared" si="474"/>
        <v>Green</v>
      </c>
      <c r="Z1422" t="str">
        <f t="shared" si="475"/>
        <v>Green</v>
      </c>
      <c r="AA1422" t="str">
        <f t="shared" si="476"/>
        <v>Red</v>
      </c>
      <c r="AB1422" t="str">
        <f t="shared" si="477"/>
        <v>Red</v>
      </c>
      <c r="AC1422" t="str">
        <f t="shared" si="478"/>
        <v>Green</v>
      </c>
      <c r="AD1422" t="str">
        <f t="shared" si="479"/>
        <v>Red</v>
      </c>
    </row>
    <row r="1423" spans="1:30" x14ac:dyDescent="0.2">
      <c r="A1423" t="str">
        <f t="shared" si="460"/>
        <v>25/07/2026Gyulai TermalHodmezovasarhelyi</v>
      </c>
      <c r="D1423" s="2">
        <v>46228</v>
      </c>
      <c r="E1423" s="3">
        <v>0.64583333333333337</v>
      </c>
      <c r="F1423" t="s">
        <v>3333</v>
      </c>
      <c r="G1423" t="s">
        <v>3334</v>
      </c>
      <c r="H1423">
        <v>2</v>
      </c>
      <c r="I1423">
        <v>0</v>
      </c>
      <c r="J1423">
        <v>3</v>
      </c>
      <c r="K1423">
        <v>0</v>
      </c>
      <c r="L1423" s="22" t="str">
        <f t="shared" si="461"/>
        <v>25/07/2026</v>
      </c>
      <c r="M1423" s="23">
        <f t="shared" si="462"/>
        <v>0.52083333333333337</v>
      </c>
      <c r="N1423" t="str">
        <f t="shared" si="463"/>
        <v>3 - 0</v>
      </c>
      <c r="O1423" t="str">
        <f t="shared" si="464"/>
        <v>Green</v>
      </c>
      <c r="P1423" t="str">
        <f t="shared" si="465"/>
        <v>Red</v>
      </c>
      <c r="Q1423" t="str">
        <f t="shared" si="466"/>
        <v>Red</v>
      </c>
      <c r="R1423" t="str">
        <f t="shared" si="467"/>
        <v>Green</v>
      </c>
      <c r="S1423" t="str">
        <f t="shared" si="468"/>
        <v>Red</v>
      </c>
      <c r="T1423" t="str">
        <f t="shared" si="469"/>
        <v>Green</v>
      </c>
      <c r="U1423" t="str">
        <f t="shared" si="470"/>
        <v>Green</v>
      </c>
      <c r="V1423" t="str">
        <f t="shared" si="471"/>
        <v>Red</v>
      </c>
      <c r="W1423" t="str">
        <f t="shared" si="472"/>
        <v>Red</v>
      </c>
      <c r="X1423" t="str">
        <f t="shared" si="473"/>
        <v>Green</v>
      </c>
      <c r="Y1423" t="str">
        <f t="shared" si="474"/>
        <v>Green</v>
      </c>
      <c r="Z1423" t="str">
        <f t="shared" si="475"/>
        <v>Green</v>
      </c>
      <c r="AA1423" t="str">
        <f t="shared" si="476"/>
        <v>Red</v>
      </c>
      <c r="AB1423" t="str">
        <f t="shared" si="477"/>
        <v>Green</v>
      </c>
      <c r="AC1423" t="str">
        <f t="shared" si="478"/>
        <v>Red</v>
      </c>
      <c r="AD1423" t="str">
        <f t="shared" si="479"/>
        <v>Green</v>
      </c>
    </row>
    <row r="1424" spans="1:30" x14ac:dyDescent="0.2">
      <c r="A1424" t="str">
        <f t="shared" si="460"/>
        <v>25/07/2026III Keruleti TVECsepel</v>
      </c>
      <c r="D1424" s="2">
        <v>46228</v>
      </c>
      <c r="E1424" s="3">
        <v>0.64583333333333337</v>
      </c>
      <c r="F1424" t="s">
        <v>3335</v>
      </c>
      <c r="G1424" t="s">
        <v>3336</v>
      </c>
      <c r="H1424">
        <v>0</v>
      </c>
      <c r="I1424">
        <v>0</v>
      </c>
      <c r="J1424">
        <v>2</v>
      </c>
      <c r="K1424">
        <v>0</v>
      </c>
      <c r="L1424" s="22" t="str">
        <f t="shared" si="461"/>
        <v>25/07/2026</v>
      </c>
      <c r="M1424" s="23">
        <f t="shared" si="462"/>
        <v>0.52083333333333337</v>
      </c>
      <c r="N1424" t="str">
        <f t="shared" si="463"/>
        <v>2 - 0</v>
      </c>
      <c r="O1424" t="str">
        <f t="shared" si="464"/>
        <v>Green</v>
      </c>
      <c r="P1424" t="str">
        <f t="shared" si="465"/>
        <v>Red</v>
      </c>
      <c r="Q1424" t="str">
        <f t="shared" si="466"/>
        <v>Red</v>
      </c>
      <c r="R1424" t="str">
        <f t="shared" si="467"/>
        <v>Green</v>
      </c>
      <c r="S1424" t="str">
        <f t="shared" si="468"/>
        <v>Red</v>
      </c>
      <c r="T1424" t="str">
        <f t="shared" si="469"/>
        <v>Green</v>
      </c>
      <c r="U1424" t="str">
        <f t="shared" si="470"/>
        <v>Red</v>
      </c>
      <c r="V1424" t="str">
        <f t="shared" si="471"/>
        <v>Green</v>
      </c>
      <c r="W1424" t="str">
        <f t="shared" si="472"/>
        <v>Red</v>
      </c>
      <c r="X1424" t="str">
        <f t="shared" si="473"/>
        <v>Red</v>
      </c>
      <c r="Y1424" t="str">
        <f t="shared" si="474"/>
        <v>Green</v>
      </c>
      <c r="Z1424" t="str">
        <f t="shared" si="475"/>
        <v>Red</v>
      </c>
      <c r="AA1424" t="str">
        <f t="shared" si="476"/>
        <v>Green</v>
      </c>
      <c r="AB1424" t="str">
        <f t="shared" si="477"/>
        <v>Green</v>
      </c>
      <c r="AC1424" t="str">
        <f t="shared" si="478"/>
        <v>Red</v>
      </c>
      <c r="AD1424" t="str">
        <f t="shared" si="479"/>
        <v>Green</v>
      </c>
    </row>
    <row r="1425" spans="1:30" x14ac:dyDescent="0.2">
      <c r="A1425" t="str">
        <f t="shared" si="460"/>
        <v>25/07/2026IvancsaSzekszardi</v>
      </c>
      <c r="D1425" s="2">
        <v>46228</v>
      </c>
      <c r="E1425" s="3">
        <v>0.64583333333333337</v>
      </c>
      <c r="F1425" t="s">
        <v>3337</v>
      </c>
      <c r="G1425" t="s">
        <v>3338</v>
      </c>
      <c r="H1425">
        <v>2</v>
      </c>
      <c r="I1425">
        <v>0</v>
      </c>
      <c r="J1425">
        <v>4</v>
      </c>
      <c r="K1425">
        <v>0</v>
      </c>
      <c r="L1425" s="22" t="str">
        <f t="shared" si="461"/>
        <v>25/07/2026</v>
      </c>
      <c r="M1425" s="23">
        <f t="shared" si="462"/>
        <v>0.52083333333333337</v>
      </c>
      <c r="N1425" t="str">
        <f t="shared" si="463"/>
        <v>4 - 0</v>
      </c>
      <c r="O1425" t="str">
        <f t="shared" si="464"/>
        <v>Green</v>
      </c>
      <c r="P1425" t="str">
        <f t="shared" si="465"/>
        <v>Red</v>
      </c>
      <c r="Q1425" t="str">
        <f t="shared" si="466"/>
        <v>Red</v>
      </c>
      <c r="R1425" t="str">
        <f t="shared" si="467"/>
        <v>Green</v>
      </c>
      <c r="S1425" t="str">
        <f t="shared" si="468"/>
        <v>Red</v>
      </c>
      <c r="T1425" t="str">
        <f t="shared" si="469"/>
        <v>Green</v>
      </c>
      <c r="U1425" t="str">
        <f t="shared" si="470"/>
        <v>Green</v>
      </c>
      <c r="V1425" t="str">
        <f t="shared" si="471"/>
        <v>Red</v>
      </c>
      <c r="W1425" t="str">
        <f t="shared" si="472"/>
        <v>Red</v>
      </c>
      <c r="X1425" t="str">
        <f t="shared" si="473"/>
        <v>Green</v>
      </c>
      <c r="Y1425" t="str">
        <f t="shared" si="474"/>
        <v>Green</v>
      </c>
      <c r="Z1425" t="str">
        <f t="shared" si="475"/>
        <v>Green</v>
      </c>
      <c r="AA1425" t="str">
        <f t="shared" si="476"/>
        <v>Red</v>
      </c>
      <c r="AB1425" t="str">
        <f t="shared" si="477"/>
        <v>Red</v>
      </c>
      <c r="AC1425" t="str">
        <f t="shared" si="478"/>
        <v>Red</v>
      </c>
      <c r="AD1425" t="str">
        <f t="shared" si="479"/>
        <v>Green</v>
      </c>
    </row>
    <row r="1426" spans="1:30" x14ac:dyDescent="0.2">
      <c r="A1426" t="str">
        <f t="shared" si="460"/>
        <v>25/07/2026Kaposvari RakocziBFC Siofok</v>
      </c>
      <c r="D1426" s="2">
        <v>46228</v>
      </c>
      <c r="E1426" s="3">
        <v>0.64583333333333337</v>
      </c>
      <c r="F1426" t="s">
        <v>3339</v>
      </c>
      <c r="G1426" t="s">
        <v>3340</v>
      </c>
      <c r="H1426">
        <v>2</v>
      </c>
      <c r="I1426">
        <v>0</v>
      </c>
      <c r="J1426">
        <v>2</v>
      </c>
      <c r="K1426">
        <v>1</v>
      </c>
      <c r="L1426" s="22" t="str">
        <f t="shared" si="461"/>
        <v>25/07/2026</v>
      </c>
      <c r="M1426" s="23">
        <f t="shared" si="462"/>
        <v>0.52083333333333337</v>
      </c>
      <c r="N1426" t="str">
        <f t="shared" si="463"/>
        <v>2 - 1</v>
      </c>
      <c r="O1426" t="str">
        <f t="shared" si="464"/>
        <v>Green</v>
      </c>
      <c r="P1426" t="str">
        <f t="shared" si="465"/>
        <v>Red</v>
      </c>
      <c r="Q1426" t="str">
        <f t="shared" si="466"/>
        <v>Red</v>
      </c>
      <c r="R1426" t="str">
        <f t="shared" si="467"/>
        <v>Green</v>
      </c>
      <c r="S1426" t="str">
        <f t="shared" si="468"/>
        <v>Red</v>
      </c>
      <c r="T1426" t="str">
        <f t="shared" si="469"/>
        <v>Green</v>
      </c>
      <c r="U1426" t="str">
        <f t="shared" si="470"/>
        <v>Green</v>
      </c>
      <c r="V1426" t="str">
        <f t="shared" si="471"/>
        <v>Red</v>
      </c>
      <c r="W1426" t="str">
        <f t="shared" si="472"/>
        <v>Red</v>
      </c>
      <c r="X1426" t="str">
        <f t="shared" si="473"/>
        <v>Green</v>
      </c>
      <c r="Y1426" t="str">
        <f t="shared" si="474"/>
        <v>Green</v>
      </c>
      <c r="Z1426" t="str">
        <f t="shared" si="475"/>
        <v>Green</v>
      </c>
      <c r="AA1426" t="str">
        <f t="shared" si="476"/>
        <v>Red</v>
      </c>
      <c r="AB1426" t="str">
        <f t="shared" si="477"/>
        <v>Green</v>
      </c>
      <c r="AC1426" t="str">
        <f t="shared" si="478"/>
        <v>Green</v>
      </c>
      <c r="AD1426" t="str">
        <f t="shared" si="479"/>
        <v>Red</v>
      </c>
    </row>
    <row r="1427" spans="1:30" x14ac:dyDescent="0.2">
      <c r="A1427" t="str">
        <f t="shared" si="460"/>
        <v>25/07/2026Komarom VSE1908 Szac Budapest</v>
      </c>
      <c r="D1427" s="2">
        <v>46228</v>
      </c>
      <c r="E1427" s="3">
        <v>0.64583333333333337</v>
      </c>
      <c r="F1427" t="s">
        <v>3341</v>
      </c>
      <c r="G1427" t="s">
        <v>3342</v>
      </c>
      <c r="H1427">
        <v>0</v>
      </c>
      <c r="I1427">
        <v>0</v>
      </c>
      <c r="J1427">
        <v>1</v>
      </c>
      <c r="K1427">
        <v>1</v>
      </c>
      <c r="L1427" s="22" t="str">
        <f t="shared" si="461"/>
        <v>25/07/2026</v>
      </c>
      <c r="M1427" s="23">
        <f t="shared" si="462"/>
        <v>0.52083333333333337</v>
      </c>
      <c r="N1427" t="str">
        <f t="shared" si="463"/>
        <v>1 - 1</v>
      </c>
      <c r="O1427" t="str">
        <f t="shared" si="464"/>
        <v>Red</v>
      </c>
      <c r="P1427" t="str">
        <f t="shared" si="465"/>
        <v>Green</v>
      </c>
      <c r="Q1427" t="str">
        <f t="shared" si="466"/>
        <v>Red</v>
      </c>
      <c r="R1427" t="str">
        <f t="shared" si="467"/>
        <v>Green</v>
      </c>
      <c r="S1427" t="str">
        <f t="shared" si="468"/>
        <v>Green</v>
      </c>
      <c r="T1427" t="str">
        <f t="shared" si="469"/>
        <v>Red</v>
      </c>
      <c r="U1427" t="str">
        <f t="shared" si="470"/>
        <v>Red</v>
      </c>
      <c r="V1427" t="str">
        <f t="shared" si="471"/>
        <v>Green</v>
      </c>
      <c r="W1427" t="str">
        <f t="shared" si="472"/>
        <v>Red</v>
      </c>
      <c r="X1427" t="str">
        <f t="shared" si="473"/>
        <v>Red</v>
      </c>
      <c r="Y1427" t="str">
        <f t="shared" si="474"/>
        <v>Green</v>
      </c>
      <c r="Z1427" t="str">
        <f t="shared" si="475"/>
        <v>Red</v>
      </c>
      <c r="AA1427" t="str">
        <f t="shared" si="476"/>
        <v>Green</v>
      </c>
      <c r="AB1427" t="str">
        <f t="shared" si="477"/>
        <v>Green</v>
      </c>
      <c r="AC1427" t="str">
        <f t="shared" si="478"/>
        <v>Green</v>
      </c>
      <c r="AD1427" t="str">
        <f t="shared" si="479"/>
        <v>Red</v>
      </c>
    </row>
    <row r="1428" spans="1:30" x14ac:dyDescent="0.2">
      <c r="A1428" t="str">
        <f t="shared" si="460"/>
        <v>25/07/2026Papai PerutzKiraly SZE</v>
      </c>
      <c r="D1428" s="2">
        <v>46228</v>
      </c>
      <c r="E1428" s="3">
        <v>0.64583333333333337</v>
      </c>
      <c r="F1428" t="s">
        <v>3343</v>
      </c>
      <c r="G1428" t="s">
        <v>3344</v>
      </c>
      <c r="H1428">
        <v>0</v>
      </c>
      <c r="I1428">
        <v>0</v>
      </c>
      <c r="J1428">
        <v>0</v>
      </c>
      <c r="K1428">
        <v>1</v>
      </c>
      <c r="L1428" s="22" t="str">
        <f t="shared" si="461"/>
        <v>25/07/2026</v>
      </c>
      <c r="M1428" s="23">
        <f t="shared" si="462"/>
        <v>0.52083333333333337</v>
      </c>
      <c r="N1428" t="str">
        <f t="shared" si="463"/>
        <v>0 - 1</v>
      </c>
      <c r="O1428" t="str">
        <f t="shared" si="464"/>
        <v>Red</v>
      </c>
      <c r="P1428" t="str">
        <f t="shared" si="465"/>
        <v>Red</v>
      </c>
      <c r="Q1428" t="str">
        <f t="shared" si="466"/>
        <v>Green</v>
      </c>
      <c r="R1428" t="str">
        <f t="shared" si="467"/>
        <v>Red</v>
      </c>
      <c r="S1428" t="str">
        <f t="shared" si="468"/>
        <v>Green</v>
      </c>
      <c r="T1428" t="str">
        <f t="shared" si="469"/>
        <v>Green</v>
      </c>
      <c r="U1428" t="str">
        <f t="shared" si="470"/>
        <v>Red</v>
      </c>
      <c r="V1428" t="str">
        <f t="shared" si="471"/>
        <v>Green</v>
      </c>
      <c r="W1428" t="str">
        <f t="shared" si="472"/>
        <v>Red</v>
      </c>
      <c r="X1428" t="str">
        <f t="shared" si="473"/>
        <v>Red</v>
      </c>
      <c r="Y1428" t="str">
        <f t="shared" si="474"/>
        <v>Red</v>
      </c>
      <c r="Z1428" t="str">
        <f t="shared" si="475"/>
        <v>Red</v>
      </c>
      <c r="AA1428" t="str">
        <f t="shared" si="476"/>
        <v>Green</v>
      </c>
      <c r="AB1428" t="str">
        <f t="shared" si="477"/>
        <v>Green</v>
      </c>
      <c r="AC1428" t="str">
        <f t="shared" si="478"/>
        <v>Red</v>
      </c>
      <c r="AD1428" t="str">
        <f t="shared" si="479"/>
        <v>Green</v>
      </c>
    </row>
    <row r="1429" spans="1:30" x14ac:dyDescent="0.2">
      <c r="A1429" t="str">
        <f t="shared" si="460"/>
        <v>25/07/2026TiszaujvarosOzd-Sajovolgye</v>
      </c>
      <c r="D1429" s="2">
        <v>46228</v>
      </c>
      <c r="E1429" s="3">
        <v>0.64583333333333337</v>
      </c>
      <c r="F1429" t="s">
        <v>3345</v>
      </c>
      <c r="G1429" t="s">
        <v>3346</v>
      </c>
      <c r="H1429">
        <v>0</v>
      </c>
      <c r="I1429">
        <v>0</v>
      </c>
      <c r="J1429">
        <v>0</v>
      </c>
      <c r="K1429">
        <v>1</v>
      </c>
      <c r="L1429" s="22" t="str">
        <f t="shared" si="461"/>
        <v>25/07/2026</v>
      </c>
      <c r="M1429" s="23">
        <f t="shared" si="462"/>
        <v>0.52083333333333337</v>
      </c>
      <c r="N1429" t="str">
        <f t="shared" si="463"/>
        <v>0 - 1</v>
      </c>
      <c r="O1429" t="str">
        <f t="shared" si="464"/>
        <v>Red</v>
      </c>
      <c r="P1429" t="str">
        <f t="shared" si="465"/>
        <v>Red</v>
      </c>
      <c r="Q1429" t="str">
        <f t="shared" si="466"/>
        <v>Green</v>
      </c>
      <c r="R1429" t="str">
        <f t="shared" si="467"/>
        <v>Red</v>
      </c>
      <c r="S1429" t="str">
        <f t="shared" si="468"/>
        <v>Green</v>
      </c>
      <c r="T1429" t="str">
        <f t="shared" si="469"/>
        <v>Green</v>
      </c>
      <c r="U1429" t="str">
        <f t="shared" si="470"/>
        <v>Red</v>
      </c>
      <c r="V1429" t="str">
        <f t="shared" si="471"/>
        <v>Green</v>
      </c>
      <c r="W1429" t="str">
        <f t="shared" si="472"/>
        <v>Red</v>
      </c>
      <c r="X1429" t="str">
        <f t="shared" si="473"/>
        <v>Red</v>
      </c>
      <c r="Y1429" t="str">
        <f t="shared" si="474"/>
        <v>Red</v>
      </c>
      <c r="Z1429" t="str">
        <f t="shared" si="475"/>
        <v>Red</v>
      </c>
      <c r="AA1429" t="str">
        <f t="shared" si="476"/>
        <v>Green</v>
      </c>
      <c r="AB1429" t="str">
        <f t="shared" si="477"/>
        <v>Green</v>
      </c>
      <c r="AC1429" t="str">
        <f t="shared" si="478"/>
        <v>Red</v>
      </c>
      <c r="AD1429" t="str">
        <f t="shared" si="479"/>
        <v>Green</v>
      </c>
    </row>
    <row r="1430" spans="1:30" x14ac:dyDescent="0.2">
      <c r="A1430" t="str">
        <f t="shared" si="460"/>
        <v>25/07/2026Leevon PPKSkanstes SK</v>
      </c>
      <c r="D1430" s="2">
        <v>46228</v>
      </c>
      <c r="E1430" s="3">
        <v>0.64583333333333337</v>
      </c>
      <c r="F1430" t="s">
        <v>3393</v>
      </c>
      <c r="G1430" t="s">
        <v>3394</v>
      </c>
      <c r="H1430">
        <v>1</v>
      </c>
      <c r="I1430">
        <v>1</v>
      </c>
      <c r="J1430">
        <v>2</v>
      </c>
      <c r="K1430">
        <v>1</v>
      </c>
      <c r="L1430" s="22" t="str">
        <f t="shared" si="461"/>
        <v>25/07/2026</v>
      </c>
      <c r="M1430" s="23">
        <f t="shared" si="462"/>
        <v>0.52083333333333337</v>
      </c>
      <c r="N1430" t="str">
        <f t="shared" si="463"/>
        <v>2 - 1</v>
      </c>
      <c r="O1430" t="str">
        <f t="shared" si="464"/>
        <v>Green</v>
      </c>
      <c r="P1430" t="str">
        <f t="shared" si="465"/>
        <v>Red</v>
      </c>
      <c r="Q1430" t="str">
        <f t="shared" si="466"/>
        <v>Red</v>
      </c>
      <c r="R1430" t="str">
        <f t="shared" si="467"/>
        <v>Green</v>
      </c>
      <c r="S1430" t="str">
        <f t="shared" si="468"/>
        <v>Red</v>
      </c>
      <c r="T1430" t="str">
        <f t="shared" si="469"/>
        <v>Green</v>
      </c>
      <c r="U1430" t="str">
        <f t="shared" si="470"/>
        <v>Red</v>
      </c>
      <c r="V1430" t="str">
        <f t="shared" si="471"/>
        <v>Green</v>
      </c>
      <c r="W1430" t="str">
        <f t="shared" si="472"/>
        <v>Red</v>
      </c>
      <c r="X1430" t="str">
        <f t="shared" si="473"/>
        <v>Green</v>
      </c>
      <c r="Y1430" t="str">
        <f t="shared" si="474"/>
        <v>Green</v>
      </c>
      <c r="Z1430" t="str">
        <f t="shared" si="475"/>
        <v>Green</v>
      </c>
      <c r="AA1430" t="str">
        <f t="shared" si="476"/>
        <v>Red</v>
      </c>
      <c r="AB1430" t="str">
        <f t="shared" si="477"/>
        <v>Green</v>
      </c>
      <c r="AC1430" t="str">
        <f t="shared" si="478"/>
        <v>Green</v>
      </c>
      <c r="AD1430" t="str">
        <f t="shared" si="479"/>
        <v>Red</v>
      </c>
    </row>
    <row r="1431" spans="1:30" x14ac:dyDescent="0.2">
      <c r="A1431" t="str">
        <f t="shared" si="460"/>
        <v>25/07/2026Sport BoysAD Tarma</v>
      </c>
      <c r="D1431" s="2">
        <v>46228</v>
      </c>
      <c r="E1431" s="3">
        <v>0.64583333333333337</v>
      </c>
      <c r="F1431" t="s">
        <v>756</v>
      </c>
      <c r="G1431" t="s">
        <v>757</v>
      </c>
      <c r="H1431">
        <v>0</v>
      </c>
      <c r="I1431">
        <v>0</v>
      </c>
      <c r="J1431">
        <v>2</v>
      </c>
      <c r="K1431">
        <v>0</v>
      </c>
      <c r="L1431" s="22" t="str">
        <f t="shared" si="461"/>
        <v>25/07/2026</v>
      </c>
      <c r="M1431" s="23">
        <f t="shared" si="462"/>
        <v>0.52083333333333337</v>
      </c>
      <c r="N1431" t="str">
        <f t="shared" si="463"/>
        <v>2 - 0</v>
      </c>
      <c r="O1431" t="str">
        <f t="shared" si="464"/>
        <v>Green</v>
      </c>
      <c r="P1431" t="str">
        <f t="shared" si="465"/>
        <v>Red</v>
      </c>
      <c r="Q1431" t="str">
        <f t="shared" si="466"/>
        <v>Red</v>
      </c>
      <c r="R1431" t="str">
        <f t="shared" si="467"/>
        <v>Green</v>
      </c>
      <c r="S1431" t="str">
        <f t="shared" si="468"/>
        <v>Red</v>
      </c>
      <c r="T1431" t="str">
        <f t="shared" si="469"/>
        <v>Green</v>
      </c>
      <c r="U1431" t="str">
        <f t="shared" si="470"/>
        <v>Red</v>
      </c>
      <c r="V1431" t="str">
        <f t="shared" si="471"/>
        <v>Green</v>
      </c>
      <c r="W1431" t="str">
        <f t="shared" si="472"/>
        <v>Red</v>
      </c>
      <c r="X1431" t="str">
        <f t="shared" si="473"/>
        <v>Red</v>
      </c>
      <c r="Y1431" t="str">
        <f t="shared" si="474"/>
        <v>Green</v>
      </c>
      <c r="Z1431" t="str">
        <f t="shared" si="475"/>
        <v>Red</v>
      </c>
      <c r="AA1431" t="str">
        <f t="shared" si="476"/>
        <v>Green</v>
      </c>
      <c r="AB1431" t="str">
        <f t="shared" si="477"/>
        <v>Green</v>
      </c>
      <c r="AC1431" t="str">
        <f t="shared" si="478"/>
        <v>Red</v>
      </c>
      <c r="AD1431" t="str">
        <f t="shared" si="479"/>
        <v>Green</v>
      </c>
    </row>
    <row r="1432" spans="1:30" x14ac:dyDescent="0.2">
      <c r="A1432" t="str">
        <f t="shared" si="460"/>
        <v>25/07/2026Gornik ZabrzeSlask Wroclaw</v>
      </c>
      <c r="D1432" s="2">
        <v>46228</v>
      </c>
      <c r="E1432" s="3">
        <v>0.64583333333333337</v>
      </c>
      <c r="F1432" t="s">
        <v>365</v>
      </c>
      <c r="G1432" t="s">
        <v>3534</v>
      </c>
      <c r="H1432">
        <v>0</v>
      </c>
      <c r="I1432">
        <v>1</v>
      </c>
      <c r="J1432">
        <v>2</v>
      </c>
      <c r="K1432">
        <v>1</v>
      </c>
      <c r="L1432" s="22" t="str">
        <f t="shared" si="461"/>
        <v>25/07/2026</v>
      </c>
      <c r="M1432" s="23">
        <f t="shared" si="462"/>
        <v>0.52083333333333337</v>
      </c>
      <c r="N1432" t="str">
        <f t="shared" si="463"/>
        <v>2 - 1</v>
      </c>
      <c r="O1432" t="str">
        <f t="shared" si="464"/>
        <v>Green</v>
      </c>
      <c r="P1432" t="str">
        <f t="shared" si="465"/>
        <v>Red</v>
      </c>
      <c r="Q1432" t="str">
        <f t="shared" si="466"/>
        <v>Red</v>
      </c>
      <c r="R1432" t="str">
        <f t="shared" si="467"/>
        <v>Green</v>
      </c>
      <c r="S1432" t="str">
        <f t="shared" si="468"/>
        <v>Red</v>
      </c>
      <c r="T1432" t="str">
        <f t="shared" si="469"/>
        <v>Green</v>
      </c>
      <c r="U1432" t="str">
        <f t="shared" si="470"/>
        <v>Red</v>
      </c>
      <c r="V1432" t="str">
        <f t="shared" si="471"/>
        <v>Red</v>
      </c>
      <c r="W1432" t="str">
        <f t="shared" si="472"/>
        <v>Green</v>
      </c>
      <c r="X1432" t="str">
        <f t="shared" si="473"/>
        <v>Green</v>
      </c>
      <c r="Y1432" t="str">
        <f t="shared" si="474"/>
        <v>Green</v>
      </c>
      <c r="Z1432" t="str">
        <f t="shared" si="475"/>
        <v>Green</v>
      </c>
      <c r="AA1432" t="str">
        <f t="shared" si="476"/>
        <v>Red</v>
      </c>
      <c r="AB1432" t="str">
        <f t="shared" si="477"/>
        <v>Green</v>
      </c>
      <c r="AC1432" t="str">
        <f t="shared" si="478"/>
        <v>Green</v>
      </c>
      <c r="AD1432" t="str">
        <f t="shared" si="479"/>
        <v>Red</v>
      </c>
    </row>
    <row r="1433" spans="1:30" x14ac:dyDescent="0.2">
      <c r="A1433" t="str">
        <f t="shared" si="460"/>
        <v>25/07/2026Radnicki NisCukaricki</v>
      </c>
      <c r="D1433" s="2">
        <v>46228</v>
      </c>
      <c r="E1433" s="3">
        <v>0.64583333333333337</v>
      </c>
      <c r="F1433" t="s">
        <v>3612</v>
      </c>
      <c r="G1433" t="s">
        <v>3613</v>
      </c>
      <c r="H1433">
        <v>0</v>
      </c>
      <c r="I1433">
        <v>2</v>
      </c>
      <c r="J1433">
        <v>0</v>
      </c>
      <c r="K1433">
        <v>2</v>
      </c>
      <c r="L1433" s="22" t="str">
        <f t="shared" si="461"/>
        <v>25/07/2026</v>
      </c>
      <c r="M1433" s="23">
        <f t="shared" si="462"/>
        <v>0.52083333333333337</v>
      </c>
      <c r="N1433" t="str">
        <f t="shared" si="463"/>
        <v>0 - 2</v>
      </c>
      <c r="O1433" t="str">
        <f t="shared" si="464"/>
        <v>Red</v>
      </c>
      <c r="P1433" t="str">
        <f t="shared" si="465"/>
        <v>Red</v>
      </c>
      <c r="Q1433" t="str">
        <f t="shared" si="466"/>
        <v>Green</v>
      </c>
      <c r="R1433" t="str">
        <f t="shared" si="467"/>
        <v>Red</v>
      </c>
      <c r="S1433" t="str">
        <f t="shared" si="468"/>
        <v>Green</v>
      </c>
      <c r="T1433" t="str">
        <f t="shared" si="469"/>
        <v>Green</v>
      </c>
      <c r="U1433" t="str">
        <f t="shared" si="470"/>
        <v>Red</v>
      </c>
      <c r="V1433" t="str">
        <f t="shared" si="471"/>
        <v>Red</v>
      </c>
      <c r="W1433" t="str">
        <f t="shared" si="472"/>
        <v>Green</v>
      </c>
      <c r="X1433" t="str">
        <f t="shared" si="473"/>
        <v>Green</v>
      </c>
      <c r="Y1433" t="str">
        <f t="shared" si="474"/>
        <v>Green</v>
      </c>
      <c r="Z1433" t="str">
        <f t="shared" si="475"/>
        <v>Red</v>
      </c>
      <c r="AA1433" t="str">
        <f t="shared" si="476"/>
        <v>Green</v>
      </c>
      <c r="AB1433" t="str">
        <f t="shared" si="477"/>
        <v>Green</v>
      </c>
      <c r="AC1433" t="str">
        <f t="shared" si="478"/>
        <v>Red</v>
      </c>
      <c r="AD1433" t="str">
        <f t="shared" si="479"/>
        <v>Green</v>
      </c>
    </row>
    <row r="1434" spans="1:30" x14ac:dyDescent="0.2">
      <c r="A1434" t="str">
        <f t="shared" si="460"/>
        <v>25/07/20261922 KonyasporHull City</v>
      </c>
      <c r="D1434" s="2">
        <v>46228</v>
      </c>
      <c r="E1434" s="3">
        <v>0.64583333333333337</v>
      </c>
      <c r="F1434" t="s">
        <v>3945</v>
      </c>
      <c r="G1434" t="s">
        <v>3946</v>
      </c>
      <c r="H1434">
        <v>0</v>
      </c>
      <c r="I1434">
        <v>1</v>
      </c>
      <c r="J1434">
        <v>0</v>
      </c>
      <c r="K1434">
        <v>3</v>
      </c>
      <c r="L1434" s="22" t="str">
        <f t="shared" si="461"/>
        <v>25/07/2026</v>
      </c>
      <c r="M1434" s="23">
        <f t="shared" si="462"/>
        <v>0.52083333333333337</v>
      </c>
      <c r="N1434" t="str">
        <f t="shared" si="463"/>
        <v>0 - 3</v>
      </c>
      <c r="O1434" t="str">
        <f t="shared" si="464"/>
        <v>Red</v>
      </c>
      <c r="P1434" t="str">
        <f t="shared" si="465"/>
        <v>Red</v>
      </c>
      <c r="Q1434" t="str">
        <f t="shared" si="466"/>
        <v>Green</v>
      </c>
      <c r="R1434" t="str">
        <f t="shared" si="467"/>
        <v>Red</v>
      </c>
      <c r="S1434" t="str">
        <f t="shared" si="468"/>
        <v>Green</v>
      </c>
      <c r="T1434" t="str">
        <f t="shared" si="469"/>
        <v>Green</v>
      </c>
      <c r="U1434" t="str">
        <f t="shared" si="470"/>
        <v>Red</v>
      </c>
      <c r="V1434" t="str">
        <f t="shared" si="471"/>
        <v>Red</v>
      </c>
      <c r="W1434" t="str">
        <f t="shared" si="472"/>
        <v>Green</v>
      </c>
      <c r="X1434" t="str">
        <f t="shared" si="473"/>
        <v>Green</v>
      </c>
      <c r="Y1434" t="str">
        <f t="shared" si="474"/>
        <v>Green</v>
      </c>
      <c r="Z1434" t="str">
        <f t="shared" si="475"/>
        <v>Green</v>
      </c>
      <c r="AA1434" t="str">
        <f t="shared" si="476"/>
        <v>Red</v>
      </c>
      <c r="AB1434" t="str">
        <f t="shared" si="477"/>
        <v>Green</v>
      </c>
      <c r="AC1434" t="str">
        <f t="shared" si="478"/>
        <v>Red</v>
      </c>
      <c r="AD1434" t="str">
        <f t="shared" si="479"/>
        <v>Green</v>
      </c>
    </row>
    <row r="1435" spans="1:30" x14ac:dyDescent="0.2">
      <c r="A1435" t="str">
        <f t="shared" si="460"/>
        <v>25/07/2026Torku KonyasporHull City</v>
      </c>
      <c r="D1435" s="2">
        <v>46228</v>
      </c>
      <c r="E1435" s="3">
        <v>0.64583333333333337</v>
      </c>
      <c r="F1435" t="s">
        <v>3947</v>
      </c>
      <c r="G1435" t="s">
        <v>3946</v>
      </c>
      <c r="H1435">
        <v>0</v>
      </c>
      <c r="I1435">
        <v>1</v>
      </c>
      <c r="J1435">
        <v>0</v>
      </c>
      <c r="K1435">
        <v>3</v>
      </c>
      <c r="L1435" s="22" t="str">
        <f t="shared" si="461"/>
        <v>25/07/2026</v>
      </c>
      <c r="M1435" s="23">
        <f t="shared" si="462"/>
        <v>0.52083333333333337</v>
      </c>
      <c r="N1435" t="str">
        <f t="shared" si="463"/>
        <v>0 - 3</v>
      </c>
      <c r="O1435" t="str">
        <f t="shared" si="464"/>
        <v>Red</v>
      </c>
      <c r="P1435" t="str">
        <f t="shared" si="465"/>
        <v>Red</v>
      </c>
      <c r="Q1435" t="str">
        <f t="shared" si="466"/>
        <v>Green</v>
      </c>
      <c r="R1435" t="str">
        <f t="shared" si="467"/>
        <v>Red</v>
      </c>
      <c r="S1435" t="str">
        <f t="shared" si="468"/>
        <v>Green</v>
      </c>
      <c r="T1435" t="str">
        <f t="shared" si="469"/>
        <v>Green</v>
      </c>
      <c r="U1435" t="str">
        <f t="shared" si="470"/>
        <v>Red</v>
      </c>
      <c r="V1435" t="str">
        <f t="shared" si="471"/>
        <v>Red</v>
      </c>
      <c r="W1435" t="str">
        <f t="shared" si="472"/>
        <v>Green</v>
      </c>
      <c r="X1435" t="str">
        <f t="shared" si="473"/>
        <v>Green</v>
      </c>
      <c r="Y1435" t="str">
        <f t="shared" si="474"/>
        <v>Green</v>
      </c>
      <c r="Z1435" t="str">
        <f t="shared" si="475"/>
        <v>Green</v>
      </c>
      <c r="AA1435" t="str">
        <f t="shared" si="476"/>
        <v>Red</v>
      </c>
      <c r="AB1435" t="str">
        <f t="shared" si="477"/>
        <v>Green</v>
      </c>
      <c r="AC1435" t="str">
        <f t="shared" si="478"/>
        <v>Red</v>
      </c>
      <c r="AD1435" t="str">
        <f t="shared" si="479"/>
        <v>Green</v>
      </c>
    </row>
    <row r="1436" spans="1:30" x14ac:dyDescent="0.2">
      <c r="A1436" t="str">
        <f t="shared" si="460"/>
        <v>25/07/2026US ArezzoFolgore Caratese</v>
      </c>
      <c r="D1436" s="2">
        <v>46228</v>
      </c>
      <c r="E1436" s="3">
        <v>0.64583333333333337</v>
      </c>
      <c r="F1436" t="s">
        <v>1712</v>
      </c>
      <c r="G1436" t="s">
        <v>3948</v>
      </c>
      <c r="H1436">
        <v>0</v>
      </c>
      <c r="I1436">
        <v>0</v>
      </c>
      <c r="J1436">
        <v>1</v>
      </c>
      <c r="K1436">
        <v>1</v>
      </c>
      <c r="L1436" s="22" t="str">
        <f t="shared" si="461"/>
        <v>25/07/2026</v>
      </c>
      <c r="M1436" s="23">
        <f t="shared" si="462"/>
        <v>0.52083333333333337</v>
      </c>
      <c r="N1436" t="str">
        <f t="shared" si="463"/>
        <v>1 - 1</v>
      </c>
      <c r="O1436" t="str">
        <f t="shared" si="464"/>
        <v>Red</v>
      </c>
      <c r="P1436" t="str">
        <f t="shared" si="465"/>
        <v>Green</v>
      </c>
      <c r="Q1436" t="str">
        <f t="shared" si="466"/>
        <v>Red</v>
      </c>
      <c r="R1436" t="str">
        <f t="shared" si="467"/>
        <v>Green</v>
      </c>
      <c r="S1436" t="str">
        <f t="shared" si="468"/>
        <v>Green</v>
      </c>
      <c r="T1436" t="str">
        <f t="shared" si="469"/>
        <v>Red</v>
      </c>
      <c r="U1436" t="str">
        <f t="shared" si="470"/>
        <v>Red</v>
      </c>
      <c r="V1436" t="str">
        <f t="shared" si="471"/>
        <v>Green</v>
      </c>
      <c r="W1436" t="str">
        <f t="shared" si="472"/>
        <v>Red</v>
      </c>
      <c r="X1436" t="str">
        <f t="shared" si="473"/>
        <v>Red</v>
      </c>
      <c r="Y1436" t="str">
        <f t="shared" si="474"/>
        <v>Green</v>
      </c>
      <c r="Z1436" t="str">
        <f t="shared" si="475"/>
        <v>Red</v>
      </c>
      <c r="AA1436" t="str">
        <f t="shared" si="476"/>
        <v>Green</v>
      </c>
      <c r="AB1436" t="str">
        <f t="shared" si="477"/>
        <v>Green</v>
      </c>
      <c r="AC1436" t="str">
        <f t="shared" si="478"/>
        <v>Green</v>
      </c>
      <c r="AD1436" t="str">
        <f t="shared" si="479"/>
        <v>Red</v>
      </c>
    </row>
    <row r="1437" spans="1:30" x14ac:dyDescent="0.2">
      <c r="A1437" t="str">
        <f t="shared" si="460"/>
        <v>25/07/2026VeronaDolomiti Bellunesi</v>
      </c>
      <c r="D1437" s="2">
        <v>46228</v>
      </c>
      <c r="E1437" s="3">
        <v>0.64583333333333337</v>
      </c>
      <c r="F1437" t="s">
        <v>1664</v>
      </c>
      <c r="G1437" t="s">
        <v>3949</v>
      </c>
      <c r="H1437">
        <v>1</v>
      </c>
      <c r="I1437">
        <v>0</v>
      </c>
      <c r="J1437">
        <v>1</v>
      </c>
      <c r="K1437">
        <v>0</v>
      </c>
      <c r="L1437" s="22" t="str">
        <f t="shared" si="461"/>
        <v>25/07/2026</v>
      </c>
      <c r="M1437" s="23">
        <f t="shared" si="462"/>
        <v>0.52083333333333337</v>
      </c>
      <c r="N1437" t="str">
        <f t="shared" si="463"/>
        <v>1 - 0</v>
      </c>
      <c r="O1437" t="str">
        <f t="shared" si="464"/>
        <v>Green</v>
      </c>
      <c r="P1437" t="str">
        <f t="shared" si="465"/>
        <v>Red</v>
      </c>
      <c r="Q1437" t="str">
        <f t="shared" si="466"/>
        <v>Red</v>
      </c>
      <c r="R1437" t="str">
        <f t="shared" si="467"/>
        <v>Green</v>
      </c>
      <c r="S1437" t="str">
        <f t="shared" si="468"/>
        <v>Red</v>
      </c>
      <c r="T1437" t="str">
        <f t="shared" si="469"/>
        <v>Green</v>
      </c>
      <c r="U1437" t="str">
        <f t="shared" si="470"/>
        <v>Green</v>
      </c>
      <c r="V1437" t="str">
        <f t="shared" si="471"/>
        <v>Red</v>
      </c>
      <c r="W1437" t="str">
        <f t="shared" si="472"/>
        <v>Red</v>
      </c>
      <c r="X1437" t="str">
        <f t="shared" si="473"/>
        <v>Green</v>
      </c>
      <c r="Y1437" t="str">
        <f t="shared" si="474"/>
        <v>Red</v>
      </c>
      <c r="Z1437" t="str">
        <f t="shared" si="475"/>
        <v>Red</v>
      </c>
      <c r="AA1437" t="str">
        <f t="shared" si="476"/>
        <v>Green</v>
      </c>
      <c r="AB1437" t="str">
        <f t="shared" si="477"/>
        <v>Green</v>
      </c>
      <c r="AC1437" t="str">
        <f t="shared" si="478"/>
        <v>Red</v>
      </c>
      <c r="AD1437" t="str">
        <f t="shared" si="479"/>
        <v>Green</v>
      </c>
    </row>
    <row r="1438" spans="1:30" x14ac:dyDescent="0.2">
      <c r="A1438" t="str">
        <f t="shared" si="460"/>
        <v>25/07/2026Sportivo Dock SudCSD Liniers</v>
      </c>
      <c r="B1438" t="s">
        <v>806</v>
      </c>
      <c r="C1438" t="s">
        <v>2766</v>
      </c>
      <c r="D1438" s="2">
        <v>46228</v>
      </c>
      <c r="E1438" s="3">
        <v>0.66666666666666663</v>
      </c>
      <c r="F1438" t="s">
        <v>2767</v>
      </c>
      <c r="G1438" t="s">
        <v>2768</v>
      </c>
      <c r="H1438">
        <v>0</v>
      </c>
      <c r="I1438">
        <v>1</v>
      </c>
      <c r="J1438">
        <v>1</v>
      </c>
      <c r="K1438">
        <v>1</v>
      </c>
      <c r="L1438" s="22" t="str">
        <f t="shared" si="461"/>
        <v>25/07/2026</v>
      </c>
      <c r="M1438" s="23">
        <f t="shared" si="462"/>
        <v>0.54166666666666663</v>
      </c>
      <c r="N1438" t="str">
        <f t="shared" si="463"/>
        <v>1 - 1</v>
      </c>
      <c r="O1438" t="str">
        <f t="shared" si="464"/>
        <v>Red</v>
      </c>
      <c r="P1438" t="str">
        <f t="shared" si="465"/>
        <v>Green</v>
      </c>
      <c r="Q1438" t="str">
        <f t="shared" si="466"/>
        <v>Red</v>
      </c>
      <c r="R1438" t="str">
        <f t="shared" si="467"/>
        <v>Green</v>
      </c>
      <c r="S1438" t="str">
        <f t="shared" si="468"/>
        <v>Green</v>
      </c>
      <c r="T1438" t="str">
        <f t="shared" si="469"/>
        <v>Red</v>
      </c>
      <c r="U1438" t="str">
        <f t="shared" si="470"/>
        <v>Red</v>
      </c>
      <c r="V1438" t="str">
        <f t="shared" si="471"/>
        <v>Red</v>
      </c>
      <c r="W1438" t="str">
        <f t="shared" si="472"/>
        <v>Green</v>
      </c>
      <c r="X1438" t="str">
        <f t="shared" si="473"/>
        <v>Green</v>
      </c>
      <c r="Y1438" t="str">
        <f t="shared" si="474"/>
        <v>Green</v>
      </c>
      <c r="Z1438" t="str">
        <f t="shared" si="475"/>
        <v>Red</v>
      </c>
      <c r="AA1438" t="str">
        <f t="shared" si="476"/>
        <v>Green</v>
      </c>
      <c r="AB1438" t="str">
        <f t="shared" si="477"/>
        <v>Green</v>
      </c>
      <c r="AC1438" t="str">
        <f t="shared" si="478"/>
        <v>Green</v>
      </c>
      <c r="AD1438" t="str">
        <f t="shared" si="479"/>
        <v>Red</v>
      </c>
    </row>
    <row r="1439" spans="1:30" x14ac:dyDescent="0.2">
      <c r="A1439" t="str">
        <f t="shared" si="460"/>
        <v>25/07/2026BerazateguiClub Mercedes</v>
      </c>
      <c r="B1439" t="s">
        <v>806</v>
      </c>
      <c r="C1439" t="s">
        <v>808</v>
      </c>
      <c r="D1439" s="2">
        <v>46228</v>
      </c>
      <c r="E1439" s="3">
        <v>0.66666666666666663</v>
      </c>
      <c r="F1439" t="s">
        <v>321</v>
      </c>
      <c r="G1439" t="s">
        <v>657</v>
      </c>
      <c r="H1439">
        <v>0</v>
      </c>
      <c r="I1439">
        <v>1</v>
      </c>
      <c r="J1439">
        <v>0</v>
      </c>
      <c r="K1439">
        <v>1</v>
      </c>
      <c r="L1439" s="22" t="str">
        <f t="shared" si="461"/>
        <v>25/07/2026</v>
      </c>
      <c r="M1439" s="23">
        <f t="shared" si="462"/>
        <v>0.54166666666666663</v>
      </c>
      <c r="N1439" t="str">
        <f t="shared" si="463"/>
        <v>0 - 1</v>
      </c>
      <c r="O1439" t="str">
        <f t="shared" si="464"/>
        <v>Red</v>
      </c>
      <c r="P1439" t="str">
        <f t="shared" si="465"/>
        <v>Red</v>
      </c>
      <c r="Q1439" t="str">
        <f t="shared" si="466"/>
        <v>Green</v>
      </c>
      <c r="R1439" t="str">
        <f t="shared" si="467"/>
        <v>Red</v>
      </c>
      <c r="S1439" t="str">
        <f t="shared" si="468"/>
        <v>Green</v>
      </c>
      <c r="T1439" t="str">
        <f t="shared" si="469"/>
        <v>Green</v>
      </c>
      <c r="U1439" t="str">
        <f t="shared" si="470"/>
        <v>Red</v>
      </c>
      <c r="V1439" t="str">
        <f t="shared" si="471"/>
        <v>Red</v>
      </c>
      <c r="W1439" t="str">
        <f t="shared" si="472"/>
        <v>Green</v>
      </c>
      <c r="X1439" t="str">
        <f t="shared" si="473"/>
        <v>Green</v>
      </c>
      <c r="Y1439" t="str">
        <f t="shared" si="474"/>
        <v>Red</v>
      </c>
      <c r="Z1439" t="str">
        <f t="shared" si="475"/>
        <v>Red</v>
      </c>
      <c r="AA1439" t="str">
        <f t="shared" si="476"/>
        <v>Green</v>
      </c>
      <c r="AB1439" t="str">
        <f t="shared" si="477"/>
        <v>Green</v>
      </c>
      <c r="AC1439" t="str">
        <f t="shared" si="478"/>
        <v>Red</v>
      </c>
      <c r="AD1439" t="str">
        <f t="shared" si="479"/>
        <v>Green</v>
      </c>
    </row>
    <row r="1440" spans="1:30" x14ac:dyDescent="0.2">
      <c r="A1440" t="str">
        <f t="shared" si="460"/>
        <v>25/07/2026OberwartRed Bull Salzburg</v>
      </c>
      <c r="D1440" s="2">
        <v>46228</v>
      </c>
      <c r="E1440" s="3">
        <v>0.66666666666666663</v>
      </c>
      <c r="F1440" t="s">
        <v>3012</v>
      </c>
      <c r="G1440" t="s">
        <v>3013</v>
      </c>
      <c r="H1440">
        <v>1</v>
      </c>
      <c r="I1440">
        <v>3</v>
      </c>
      <c r="J1440">
        <v>1</v>
      </c>
      <c r="K1440">
        <v>7</v>
      </c>
      <c r="L1440" s="22" t="str">
        <f t="shared" si="461"/>
        <v>25/07/2026</v>
      </c>
      <c r="M1440" s="23">
        <f t="shared" si="462"/>
        <v>0.54166666666666663</v>
      </c>
      <c r="N1440" t="str">
        <f t="shared" si="463"/>
        <v>1 - 7</v>
      </c>
      <c r="O1440" t="str">
        <f t="shared" si="464"/>
        <v>Red</v>
      </c>
      <c r="P1440" t="str">
        <f t="shared" si="465"/>
        <v>Red</v>
      </c>
      <c r="Q1440" t="str">
        <f t="shared" si="466"/>
        <v>Green</v>
      </c>
      <c r="R1440" t="str">
        <f t="shared" si="467"/>
        <v>Red</v>
      </c>
      <c r="S1440" t="str">
        <f t="shared" si="468"/>
        <v>Green</v>
      </c>
      <c r="T1440" t="str">
        <f t="shared" si="469"/>
        <v>Green</v>
      </c>
      <c r="U1440" t="str">
        <f t="shared" si="470"/>
        <v>Red</v>
      </c>
      <c r="V1440" t="str">
        <f t="shared" si="471"/>
        <v>Red</v>
      </c>
      <c r="W1440" t="str">
        <f t="shared" si="472"/>
        <v>Green</v>
      </c>
      <c r="X1440" t="str">
        <f t="shared" si="473"/>
        <v>Green</v>
      </c>
      <c r="Y1440" t="str">
        <f t="shared" si="474"/>
        <v>Green</v>
      </c>
      <c r="Z1440" t="str">
        <f t="shared" si="475"/>
        <v>Green</v>
      </c>
      <c r="AA1440" t="str">
        <f t="shared" si="476"/>
        <v>Red</v>
      </c>
      <c r="AB1440" t="str">
        <f t="shared" si="477"/>
        <v>Red</v>
      </c>
      <c r="AC1440" t="str">
        <f t="shared" si="478"/>
        <v>Green</v>
      </c>
      <c r="AD1440" t="str">
        <f t="shared" si="479"/>
        <v>Red</v>
      </c>
    </row>
    <row r="1441" spans="1:30" x14ac:dyDescent="0.2">
      <c r="A1441" t="str">
        <f t="shared" si="460"/>
        <v>25/07/2026SC KalsdorfLASK Linz</v>
      </c>
      <c r="D1441" s="2">
        <v>46228</v>
      </c>
      <c r="E1441" s="3">
        <v>0.66666666666666663</v>
      </c>
      <c r="F1441" t="s">
        <v>3014</v>
      </c>
      <c r="G1441" t="s">
        <v>3015</v>
      </c>
      <c r="H1441">
        <v>0</v>
      </c>
      <c r="I1441">
        <v>1</v>
      </c>
      <c r="J1441">
        <v>0</v>
      </c>
      <c r="K1441">
        <v>7</v>
      </c>
      <c r="L1441" s="22" t="str">
        <f t="shared" si="461"/>
        <v>25/07/2026</v>
      </c>
      <c r="M1441" s="23">
        <f t="shared" si="462"/>
        <v>0.54166666666666663</v>
      </c>
      <c r="N1441" t="str">
        <f t="shared" si="463"/>
        <v>0 - 7</v>
      </c>
      <c r="O1441" t="str">
        <f t="shared" si="464"/>
        <v>Red</v>
      </c>
      <c r="P1441" t="str">
        <f t="shared" si="465"/>
        <v>Red</v>
      </c>
      <c r="Q1441" t="str">
        <f t="shared" si="466"/>
        <v>Green</v>
      </c>
      <c r="R1441" t="str">
        <f t="shared" si="467"/>
        <v>Red</v>
      </c>
      <c r="S1441" t="str">
        <f t="shared" si="468"/>
        <v>Green</v>
      </c>
      <c r="T1441" t="str">
        <f t="shared" si="469"/>
        <v>Green</v>
      </c>
      <c r="U1441" t="str">
        <f t="shared" si="470"/>
        <v>Red</v>
      </c>
      <c r="V1441" t="str">
        <f t="shared" si="471"/>
        <v>Red</v>
      </c>
      <c r="W1441" t="str">
        <f t="shared" si="472"/>
        <v>Green</v>
      </c>
      <c r="X1441" t="str">
        <f t="shared" si="473"/>
        <v>Green</v>
      </c>
      <c r="Y1441" t="str">
        <f t="shared" si="474"/>
        <v>Green</v>
      </c>
      <c r="Z1441" t="str">
        <f t="shared" si="475"/>
        <v>Green</v>
      </c>
      <c r="AA1441" t="str">
        <f t="shared" si="476"/>
        <v>Red</v>
      </c>
      <c r="AB1441" t="str">
        <f t="shared" si="477"/>
        <v>Red</v>
      </c>
      <c r="AC1441" t="str">
        <f t="shared" si="478"/>
        <v>Red</v>
      </c>
      <c r="AD1441" t="str">
        <f t="shared" si="479"/>
        <v>Green</v>
      </c>
    </row>
    <row r="1442" spans="1:30" x14ac:dyDescent="0.2">
      <c r="A1442" t="str">
        <f t="shared" si="460"/>
        <v>25/07/2026VFB HohenemsWSC Hertha Wels</v>
      </c>
      <c r="D1442" s="2">
        <v>46228</v>
      </c>
      <c r="E1442" s="3">
        <v>0.66666666666666663</v>
      </c>
      <c r="F1442" t="s">
        <v>3016</v>
      </c>
      <c r="G1442" t="s">
        <v>3017</v>
      </c>
      <c r="H1442">
        <v>1</v>
      </c>
      <c r="I1442">
        <v>2</v>
      </c>
      <c r="J1442">
        <v>1</v>
      </c>
      <c r="K1442">
        <v>2</v>
      </c>
      <c r="L1442" s="22" t="str">
        <f t="shared" si="461"/>
        <v>25/07/2026</v>
      </c>
      <c r="M1442" s="23">
        <f t="shared" si="462"/>
        <v>0.54166666666666663</v>
      </c>
      <c r="N1442" t="str">
        <f t="shared" si="463"/>
        <v>1 - 2</v>
      </c>
      <c r="O1442" t="str">
        <f t="shared" si="464"/>
        <v>Red</v>
      </c>
      <c r="P1442" t="str">
        <f t="shared" si="465"/>
        <v>Red</v>
      </c>
      <c r="Q1442" t="str">
        <f t="shared" si="466"/>
        <v>Green</v>
      </c>
      <c r="R1442" t="str">
        <f t="shared" si="467"/>
        <v>Red</v>
      </c>
      <c r="S1442" t="str">
        <f t="shared" si="468"/>
        <v>Green</v>
      </c>
      <c r="T1442" t="str">
        <f t="shared" si="469"/>
        <v>Green</v>
      </c>
      <c r="U1442" t="str">
        <f t="shared" si="470"/>
        <v>Red</v>
      </c>
      <c r="V1442" t="str">
        <f t="shared" si="471"/>
        <v>Red</v>
      </c>
      <c r="W1442" t="str">
        <f t="shared" si="472"/>
        <v>Green</v>
      </c>
      <c r="X1442" t="str">
        <f t="shared" si="473"/>
        <v>Green</v>
      </c>
      <c r="Y1442" t="str">
        <f t="shared" si="474"/>
        <v>Green</v>
      </c>
      <c r="Z1442" t="str">
        <f t="shared" si="475"/>
        <v>Green</v>
      </c>
      <c r="AA1442" t="str">
        <f t="shared" si="476"/>
        <v>Red</v>
      </c>
      <c r="AB1442" t="str">
        <f t="shared" si="477"/>
        <v>Green</v>
      </c>
      <c r="AC1442" t="str">
        <f t="shared" si="478"/>
        <v>Green</v>
      </c>
      <c r="AD1442" t="str">
        <f t="shared" si="479"/>
        <v>Red</v>
      </c>
    </row>
    <row r="1443" spans="1:30" x14ac:dyDescent="0.2">
      <c r="A1443" t="str">
        <f t="shared" si="460"/>
        <v>25/07/2026Vortuna Bad LeonfeldenBregenz</v>
      </c>
      <c r="D1443" s="2">
        <v>46228</v>
      </c>
      <c r="E1443" s="3">
        <v>0.66666666666666663</v>
      </c>
      <c r="F1443" t="s">
        <v>3018</v>
      </c>
      <c r="G1443" t="s">
        <v>3019</v>
      </c>
      <c r="H1443">
        <v>0</v>
      </c>
      <c r="I1443">
        <v>3</v>
      </c>
      <c r="J1443">
        <v>0</v>
      </c>
      <c r="K1443">
        <v>5</v>
      </c>
      <c r="L1443" s="22" t="str">
        <f t="shared" si="461"/>
        <v>25/07/2026</v>
      </c>
      <c r="M1443" s="23">
        <f t="shared" si="462"/>
        <v>0.54166666666666663</v>
      </c>
      <c r="N1443" t="str">
        <f t="shared" si="463"/>
        <v>0 - 5</v>
      </c>
      <c r="O1443" t="str">
        <f t="shared" si="464"/>
        <v>Red</v>
      </c>
      <c r="P1443" t="str">
        <f t="shared" si="465"/>
        <v>Red</v>
      </c>
      <c r="Q1443" t="str">
        <f t="shared" si="466"/>
        <v>Green</v>
      </c>
      <c r="R1443" t="str">
        <f t="shared" si="467"/>
        <v>Red</v>
      </c>
      <c r="S1443" t="str">
        <f t="shared" si="468"/>
        <v>Green</v>
      </c>
      <c r="T1443" t="str">
        <f t="shared" si="469"/>
        <v>Green</v>
      </c>
      <c r="U1443" t="str">
        <f t="shared" si="470"/>
        <v>Red</v>
      </c>
      <c r="V1443" t="str">
        <f t="shared" si="471"/>
        <v>Red</v>
      </c>
      <c r="W1443" t="str">
        <f t="shared" si="472"/>
        <v>Green</v>
      </c>
      <c r="X1443" t="str">
        <f t="shared" si="473"/>
        <v>Green</v>
      </c>
      <c r="Y1443" t="str">
        <f t="shared" si="474"/>
        <v>Green</v>
      </c>
      <c r="Z1443" t="str">
        <f t="shared" si="475"/>
        <v>Green</v>
      </c>
      <c r="AA1443" t="str">
        <f t="shared" si="476"/>
        <v>Red</v>
      </c>
      <c r="AB1443" t="str">
        <f t="shared" si="477"/>
        <v>Red</v>
      </c>
      <c r="AC1443" t="str">
        <f t="shared" si="478"/>
        <v>Red</v>
      </c>
      <c r="AD1443" t="str">
        <f t="shared" si="479"/>
        <v>Green</v>
      </c>
    </row>
    <row r="1444" spans="1:30" x14ac:dyDescent="0.2">
      <c r="A1444" t="str">
        <f t="shared" si="460"/>
        <v>25/07/2026Wacker InnsbruckReichenau</v>
      </c>
      <c r="D1444" s="2">
        <v>46228</v>
      </c>
      <c r="E1444" s="3">
        <v>0.66666666666666663</v>
      </c>
      <c r="F1444" t="s">
        <v>2352</v>
      </c>
      <c r="G1444" t="s">
        <v>2351</v>
      </c>
      <c r="H1444">
        <v>2</v>
      </c>
      <c r="I1444">
        <v>0</v>
      </c>
      <c r="J1444">
        <v>3</v>
      </c>
      <c r="K1444">
        <v>0</v>
      </c>
      <c r="L1444" s="22" t="str">
        <f t="shared" si="461"/>
        <v>25/07/2026</v>
      </c>
      <c r="M1444" s="23">
        <f t="shared" si="462"/>
        <v>0.54166666666666663</v>
      </c>
      <c r="N1444" t="str">
        <f t="shared" si="463"/>
        <v>3 - 0</v>
      </c>
      <c r="O1444" t="str">
        <f t="shared" si="464"/>
        <v>Green</v>
      </c>
      <c r="P1444" t="str">
        <f t="shared" si="465"/>
        <v>Red</v>
      </c>
      <c r="Q1444" t="str">
        <f t="shared" si="466"/>
        <v>Red</v>
      </c>
      <c r="R1444" t="str">
        <f t="shared" si="467"/>
        <v>Green</v>
      </c>
      <c r="S1444" t="str">
        <f t="shared" si="468"/>
        <v>Red</v>
      </c>
      <c r="T1444" t="str">
        <f t="shared" si="469"/>
        <v>Green</v>
      </c>
      <c r="U1444" t="str">
        <f t="shared" si="470"/>
        <v>Green</v>
      </c>
      <c r="V1444" t="str">
        <f t="shared" si="471"/>
        <v>Red</v>
      </c>
      <c r="W1444" t="str">
        <f t="shared" si="472"/>
        <v>Red</v>
      </c>
      <c r="X1444" t="str">
        <f t="shared" si="473"/>
        <v>Green</v>
      </c>
      <c r="Y1444" t="str">
        <f t="shared" si="474"/>
        <v>Green</v>
      </c>
      <c r="Z1444" t="str">
        <f t="shared" si="475"/>
        <v>Green</v>
      </c>
      <c r="AA1444" t="str">
        <f t="shared" si="476"/>
        <v>Red</v>
      </c>
      <c r="AB1444" t="str">
        <f t="shared" si="477"/>
        <v>Green</v>
      </c>
      <c r="AC1444" t="str">
        <f t="shared" si="478"/>
        <v>Red</v>
      </c>
      <c r="AD1444" t="str">
        <f t="shared" si="479"/>
        <v>Green</v>
      </c>
    </row>
    <row r="1445" spans="1:30" x14ac:dyDescent="0.2">
      <c r="A1445" t="str">
        <f t="shared" si="460"/>
        <v>25/07/2026Wiener ViktoriaParndorf</v>
      </c>
      <c r="D1445" s="2">
        <v>46228</v>
      </c>
      <c r="E1445" s="3">
        <v>0.66666666666666663</v>
      </c>
      <c r="F1445" t="s">
        <v>1742</v>
      </c>
      <c r="G1445" t="s">
        <v>3020</v>
      </c>
      <c r="H1445">
        <v>1</v>
      </c>
      <c r="I1445">
        <v>1</v>
      </c>
      <c r="J1445">
        <v>1</v>
      </c>
      <c r="K1445">
        <v>3</v>
      </c>
      <c r="L1445" s="22" t="str">
        <f t="shared" si="461"/>
        <v>25/07/2026</v>
      </c>
      <c r="M1445" s="23">
        <f t="shared" si="462"/>
        <v>0.54166666666666663</v>
      </c>
      <c r="N1445" t="str">
        <f t="shared" si="463"/>
        <v>1 - 3</v>
      </c>
      <c r="O1445" t="str">
        <f t="shared" si="464"/>
        <v>Red</v>
      </c>
      <c r="P1445" t="str">
        <f t="shared" si="465"/>
        <v>Red</v>
      </c>
      <c r="Q1445" t="str">
        <f t="shared" si="466"/>
        <v>Green</v>
      </c>
      <c r="R1445" t="str">
        <f t="shared" si="467"/>
        <v>Red</v>
      </c>
      <c r="S1445" t="str">
        <f t="shared" si="468"/>
        <v>Green</v>
      </c>
      <c r="T1445" t="str">
        <f t="shared" si="469"/>
        <v>Green</v>
      </c>
      <c r="U1445" t="str">
        <f t="shared" si="470"/>
        <v>Red</v>
      </c>
      <c r="V1445" t="str">
        <f t="shared" si="471"/>
        <v>Green</v>
      </c>
      <c r="W1445" t="str">
        <f t="shared" si="472"/>
        <v>Red</v>
      </c>
      <c r="X1445" t="str">
        <f t="shared" si="473"/>
        <v>Green</v>
      </c>
      <c r="Y1445" t="str">
        <f t="shared" si="474"/>
        <v>Green</v>
      </c>
      <c r="Z1445" t="str">
        <f t="shared" si="475"/>
        <v>Green</v>
      </c>
      <c r="AA1445" t="str">
        <f t="shared" si="476"/>
        <v>Red</v>
      </c>
      <c r="AB1445" t="str">
        <f t="shared" si="477"/>
        <v>Red</v>
      </c>
      <c r="AC1445" t="str">
        <f t="shared" si="478"/>
        <v>Green</v>
      </c>
      <c r="AD1445" t="str">
        <f t="shared" si="479"/>
        <v>Red</v>
      </c>
    </row>
    <row r="1446" spans="1:30" x14ac:dyDescent="0.2">
      <c r="A1446" t="str">
        <f t="shared" si="460"/>
        <v>25/07/2026CSKA 1948Botev Vratsa</v>
      </c>
      <c r="D1446" s="2">
        <v>46228</v>
      </c>
      <c r="E1446" s="3">
        <v>0.66666666666666663</v>
      </c>
      <c r="F1446" t="s">
        <v>1811</v>
      </c>
      <c r="G1446" t="s">
        <v>3103</v>
      </c>
      <c r="H1446">
        <v>1</v>
      </c>
      <c r="I1446">
        <v>0</v>
      </c>
      <c r="J1446">
        <v>2</v>
      </c>
      <c r="K1446">
        <v>1</v>
      </c>
      <c r="L1446" s="22" t="str">
        <f t="shared" si="461"/>
        <v>25/07/2026</v>
      </c>
      <c r="M1446" s="23">
        <f t="shared" si="462"/>
        <v>0.54166666666666663</v>
      </c>
      <c r="N1446" t="str">
        <f t="shared" si="463"/>
        <v>2 - 1</v>
      </c>
      <c r="O1446" t="str">
        <f t="shared" si="464"/>
        <v>Green</v>
      </c>
      <c r="P1446" t="str">
        <f t="shared" si="465"/>
        <v>Red</v>
      </c>
      <c r="Q1446" t="str">
        <f t="shared" si="466"/>
        <v>Red</v>
      </c>
      <c r="R1446" t="str">
        <f t="shared" si="467"/>
        <v>Green</v>
      </c>
      <c r="S1446" t="str">
        <f t="shared" si="468"/>
        <v>Red</v>
      </c>
      <c r="T1446" t="str">
        <f t="shared" si="469"/>
        <v>Green</v>
      </c>
      <c r="U1446" t="str">
        <f t="shared" si="470"/>
        <v>Green</v>
      </c>
      <c r="V1446" t="str">
        <f t="shared" si="471"/>
        <v>Red</v>
      </c>
      <c r="W1446" t="str">
        <f t="shared" si="472"/>
        <v>Red</v>
      </c>
      <c r="X1446" t="str">
        <f t="shared" si="473"/>
        <v>Green</v>
      </c>
      <c r="Y1446" t="str">
        <f t="shared" si="474"/>
        <v>Green</v>
      </c>
      <c r="Z1446" t="str">
        <f t="shared" si="475"/>
        <v>Green</v>
      </c>
      <c r="AA1446" t="str">
        <f t="shared" si="476"/>
        <v>Red</v>
      </c>
      <c r="AB1446" t="str">
        <f t="shared" si="477"/>
        <v>Green</v>
      </c>
      <c r="AC1446" t="str">
        <f t="shared" si="478"/>
        <v>Green</v>
      </c>
      <c r="AD1446" t="str">
        <f t="shared" si="479"/>
        <v>Red</v>
      </c>
    </row>
    <row r="1447" spans="1:30" x14ac:dyDescent="0.2">
      <c r="A1447" t="str">
        <f t="shared" si="460"/>
        <v>25/07/2026AGF AarhusBrondby</v>
      </c>
      <c r="D1447" s="2">
        <v>46228</v>
      </c>
      <c r="E1447" s="3">
        <v>0.66666666666666663</v>
      </c>
      <c r="F1447" t="s">
        <v>360</v>
      </c>
      <c r="G1447" t="s">
        <v>3180</v>
      </c>
      <c r="H1447">
        <v>0</v>
      </c>
      <c r="I1447">
        <v>0</v>
      </c>
      <c r="J1447">
        <v>1</v>
      </c>
      <c r="K1447">
        <v>1</v>
      </c>
      <c r="L1447" s="22" t="str">
        <f t="shared" si="461"/>
        <v>25/07/2026</v>
      </c>
      <c r="M1447" s="23">
        <f t="shared" si="462"/>
        <v>0.54166666666666663</v>
      </c>
      <c r="N1447" t="str">
        <f t="shared" si="463"/>
        <v>1 - 1</v>
      </c>
      <c r="O1447" t="str">
        <f t="shared" si="464"/>
        <v>Red</v>
      </c>
      <c r="P1447" t="str">
        <f t="shared" si="465"/>
        <v>Green</v>
      </c>
      <c r="Q1447" t="str">
        <f t="shared" si="466"/>
        <v>Red</v>
      </c>
      <c r="R1447" t="str">
        <f t="shared" si="467"/>
        <v>Green</v>
      </c>
      <c r="S1447" t="str">
        <f t="shared" si="468"/>
        <v>Green</v>
      </c>
      <c r="T1447" t="str">
        <f t="shared" si="469"/>
        <v>Red</v>
      </c>
      <c r="U1447" t="str">
        <f t="shared" si="470"/>
        <v>Red</v>
      </c>
      <c r="V1447" t="str">
        <f t="shared" si="471"/>
        <v>Green</v>
      </c>
      <c r="W1447" t="str">
        <f t="shared" si="472"/>
        <v>Red</v>
      </c>
      <c r="X1447" t="str">
        <f t="shared" si="473"/>
        <v>Red</v>
      </c>
      <c r="Y1447" t="str">
        <f t="shared" si="474"/>
        <v>Green</v>
      </c>
      <c r="Z1447" t="str">
        <f t="shared" si="475"/>
        <v>Red</v>
      </c>
      <c r="AA1447" t="str">
        <f t="shared" si="476"/>
        <v>Green</v>
      </c>
      <c r="AB1447" t="str">
        <f t="shared" si="477"/>
        <v>Green</v>
      </c>
      <c r="AC1447" t="str">
        <f t="shared" si="478"/>
        <v>Green</v>
      </c>
      <c r="AD1447" t="str">
        <f t="shared" si="479"/>
        <v>Red</v>
      </c>
    </row>
    <row r="1448" spans="1:30" x14ac:dyDescent="0.2">
      <c r="A1448" t="str">
        <f t="shared" si="460"/>
        <v>25/07/2026El Nacional WomenIndependiente del Valle Women</v>
      </c>
      <c r="D1448" s="2">
        <v>46228</v>
      </c>
      <c r="E1448" s="3">
        <v>0.66666666666666663</v>
      </c>
      <c r="F1448" t="s">
        <v>3194</v>
      </c>
      <c r="G1448" t="s">
        <v>3195</v>
      </c>
      <c r="H1448">
        <v>0</v>
      </c>
      <c r="I1448">
        <v>0</v>
      </c>
      <c r="J1448">
        <v>0</v>
      </c>
      <c r="K1448">
        <v>2</v>
      </c>
      <c r="L1448" s="22" t="str">
        <f t="shared" si="461"/>
        <v>25/07/2026</v>
      </c>
      <c r="M1448" s="23">
        <f t="shared" si="462"/>
        <v>0.54166666666666663</v>
      </c>
      <c r="N1448" t="str">
        <f t="shared" si="463"/>
        <v>0 - 2</v>
      </c>
      <c r="O1448" t="str">
        <f t="shared" si="464"/>
        <v>Red</v>
      </c>
      <c r="P1448" t="str">
        <f t="shared" si="465"/>
        <v>Red</v>
      </c>
      <c r="Q1448" t="str">
        <f t="shared" si="466"/>
        <v>Green</v>
      </c>
      <c r="R1448" t="str">
        <f t="shared" si="467"/>
        <v>Red</v>
      </c>
      <c r="S1448" t="str">
        <f t="shared" si="468"/>
        <v>Green</v>
      </c>
      <c r="T1448" t="str">
        <f t="shared" si="469"/>
        <v>Green</v>
      </c>
      <c r="U1448" t="str">
        <f t="shared" si="470"/>
        <v>Red</v>
      </c>
      <c r="V1448" t="str">
        <f t="shared" si="471"/>
        <v>Green</v>
      </c>
      <c r="W1448" t="str">
        <f t="shared" si="472"/>
        <v>Red</v>
      </c>
      <c r="X1448" t="str">
        <f t="shared" si="473"/>
        <v>Red</v>
      </c>
      <c r="Y1448" t="str">
        <f t="shared" si="474"/>
        <v>Green</v>
      </c>
      <c r="Z1448" t="str">
        <f t="shared" si="475"/>
        <v>Red</v>
      </c>
      <c r="AA1448" t="str">
        <f t="shared" si="476"/>
        <v>Green</v>
      </c>
      <c r="AB1448" t="str">
        <f t="shared" si="477"/>
        <v>Green</v>
      </c>
      <c r="AC1448" t="str">
        <f t="shared" si="478"/>
        <v>Red</v>
      </c>
      <c r="AD1448" t="str">
        <f t="shared" si="479"/>
        <v>Green</v>
      </c>
    </row>
    <row r="1449" spans="1:30" x14ac:dyDescent="0.2">
      <c r="A1449" t="str">
        <f t="shared" si="460"/>
        <v>25/07/2026LDU Quito WomenBarcelona SC Women</v>
      </c>
      <c r="D1449" s="2">
        <v>46228</v>
      </c>
      <c r="E1449" s="3">
        <v>0.66666666666666663</v>
      </c>
      <c r="F1449" t="s">
        <v>3196</v>
      </c>
      <c r="G1449" t="s">
        <v>3197</v>
      </c>
      <c r="H1449">
        <v>0</v>
      </c>
      <c r="I1449">
        <v>0</v>
      </c>
      <c r="J1449">
        <v>2</v>
      </c>
      <c r="K1449">
        <v>0</v>
      </c>
      <c r="L1449" s="22" t="str">
        <f t="shared" si="461"/>
        <v>25/07/2026</v>
      </c>
      <c r="M1449" s="23">
        <f t="shared" si="462"/>
        <v>0.54166666666666663</v>
      </c>
      <c r="N1449" t="str">
        <f t="shared" si="463"/>
        <v>2 - 0</v>
      </c>
      <c r="O1449" t="str">
        <f t="shared" si="464"/>
        <v>Green</v>
      </c>
      <c r="P1449" t="str">
        <f t="shared" si="465"/>
        <v>Red</v>
      </c>
      <c r="Q1449" t="str">
        <f t="shared" si="466"/>
        <v>Red</v>
      </c>
      <c r="R1449" t="str">
        <f t="shared" si="467"/>
        <v>Green</v>
      </c>
      <c r="S1449" t="str">
        <f t="shared" si="468"/>
        <v>Red</v>
      </c>
      <c r="T1449" t="str">
        <f t="shared" si="469"/>
        <v>Green</v>
      </c>
      <c r="U1449" t="str">
        <f t="shared" si="470"/>
        <v>Red</v>
      </c>
      <c r="V1449" t="str">
        <f t="shared" si="471"/>
        <v>Green</v>
      </c>
      <c r="W1449" t="str">
        <f t="shared" si="472"/>
        <v>Red</v>
      </c>
      <c r="X1449" t="str">
        <f t="shared" si="473"/>
        <v>Red</v>
      </c>
      <c r="Y1449" t="str">
        <f t="shared" si="474"/>
        <v>Green</v>
      </c>
      <c r="Z1449" t="str">
        <f t="shared" si="475"/>
        <v>Red</v>
      </c>
      <c r="AA1449" t="str">
        <f t="shared" si="476"/>
        <v>Green</v>
      </c>
      <c r="AB1449" t="str">
        <f t="shared" si="477"/>
        <v>Green</v>
      </c>
      <c r="AC1449" t="str">
        <f t="shared" si="478"/>
        <v>Red</v>
      </c>
      <c r="AD1449" t="str">
        <f t="shared" si="479"/>
        <v>Green</v>
      </c>
    </row>
    <row r="1450" spans="1:30" x14ac:dyDescent="0.2">
      <c r="A1450" t="str">
        <f t="shared" si="460"/>
        <v>25/07/2026Quito FC WomenEspuce Women</v>
      </c>
      <c r="D1450" s="2">
        <v>46228</v>
      </c>
      <c r="E1450" s="3">
        <v>0.66666666666666663</v>
      </c>
      <c r="F1450" t="s">
        <v>3198</v>
      </c>
      <c r="G1450" t="s">
        <v>3199</v>
      </c>
      <c r="H1450">
        <v>0</v>
      </c>
      <c r="I1450">
        <v>0</v>
      </c>
      <c r="J1450">
        <v>1</v>
      </c>
      <c r="K1450">
        <v>2</v>
      </c>
      <c r="L1450" s="22" t="str">
        <f t="shared" si="461"/>
        <v>25/07/2026</v>
      </c>
      <c r="M1450" s="23">
        <f t="shared" si="462"/>
        <v>0.54166666666666663</v>
      </c>
      <c r="N1450" t="str">
        <f t="shared" si="463"/>
        <v>1 - 2</v>
      </c>
      <c r="O1450" t="str">
        <f t="shared" si="464"/>
        <v>Red</v>
      </c>
      <c r="P1450" t="str">
        <f t="shared" si="465"/>
        <v>Red</v>
      </c>
      <c r="Q1450" t="str">
        <f t="shared" si="466"/>
        <v>Green</v>
      </c>
      <c r="R1450" t="str">
        <f t="shared" si="467"/>
        <v>Red</v>
      </c>
      <c r="S1450" t="str">
        <f t="shared" si="468"/>
        <v>Green</v>
      </c>
      <c r="T1450" t="str">
        <f t="shared" si="469"/>
        <v>Green</v>
      </c>
      <c r="U1450" t="str">
        <f t="shared" si="470"/>
        <v>Red</v>
      </c>
      <c r="V1450" t="str">
        <f t="shared" si="471"/>
        <v>Green</v>
      </c>
      <c r="W1450" t="str">
        <f t="shared" si="472"/>
        <v>Red</v>
      </c>
      <c r="X1450" t="str">
        <f t="shared" si="473"/>
        <v>Red</v>
      </c>
      <c r="Y1450" t="str">
        <f t="shared" si="474"/>
        <v>Green</v>
      </c>
      <c r="Z1450" t="str">
        <f t="shared" si="475"/>
        <v>Green</v>
      </c>
      <c r="AA1450" t="str">
        <f t="shared" si="476"/>
        <v>Red</v>
      </c>
      <c r="AB1450" t="str">
        <f t="shared" si="477"/>
        <v>Green</v>
      </c>
      <c r="AC1450" t="str">
        <f t="shared" si="478"/>
        <v>Green</v>
      </c>
      <c r="AD1450" t="str">
        <f t="shared" si="479"/>
        <v>Red</v>
      </c>
    </row>
    <row r="1451" spans="1:30" x14ac:dyDescent="0.2">
      <c r="A1451" t="str">
        <f t="shared" si="460"/>
        <v>25/07/2026Nomme Kalju IIFlora Tallinn II</v>
      </c>
      <c r="D1451" s="2">
        <v>46228</v>
      </c>
      <c r="E1451" s="3">
        <v>0.66666666666666663</v>
      </c>
      <c r="F1451" t="s">
        <v>3208</v>
      </c>
      <c r="G1451" t="s">
        <v>1672</v>
      </c>
      <c r="H1451">
        <v>0</v>
      </c>
      <c r="I1451">
        <v>2</v>
      </c>
      <c r="J1451">
        <v>0</v>
      </c>
      <c r="K1451">
        <v>5</v>
      </c>
      <c r="L1451" s="22" t="str">
        <f t="shared" si="461"/>
        <v>25/07/2026</v>
      </c>
      <c r="M1451" s="23">
        <f t="shared" si="462"/>
        <v>0.54166666666666663</v>
      </c>
      <c r="N1451" t="str">
        <f t="shared" si="463"/>
        <v>0 - 5</v>
      </c>
      <c r="O1451" t="str">
        <f t="shared" si="464"/>
        <v>Red</v>
      </c>
      <c r="P1451" t="str">
        <f t="shared" si="465"/>
        <v>Red</v>
      </c>
      <c r="Q1451" t="str">
        <f t="shared" si="466"/>
        <v>Green</v>
      </c>
      <c r="R1451" t="str">
        <f t="shared" si="467"/>
        <v>Red</v>
      </c>
      <c r="S1451" t="str">
        <f t="shared" si="468"/>
        <v>Green</v>
      </c>
      <c r="T1451" t="str">
        <f t="shared" si="469"/>
        <v>Green</v>
      </c>
      <c r="U1451" t="str">
        <f t="shared" si="470"/>
        <v>Red</v>
      </c>
      <c r="V1451" t="str">
        <f t="shared" si="471"/>
        <v>Red</v>
      </c>
      <c r="W1451" t="str">
        <f t="shared" si="472"/>
        <v>Green</v>
      </c>
      <c r="X1451" t="str">
        <f t="shared" si="473"/>
        <v>Green</v>
      </c>
      <c r="Y1451" t="str">
        <f t="shared" si="474"/>
        <v>Green</v>
      </c>
      <c r="Z1451" t="str">
        <f t="shared" si="475"/>
        <v>Green</v>
      </c>
      <c r="AA1451" t="str">
        <f t="shared" si="476"/>
        <v>Red</v>
      </c>
      <c r="AB1451" t="str">
        <f t="shared" si="477"/>
        <v>Red</v>
      </c>
      <c r="AC1451" t="str">
        <f t="shared" si="478"/>
        <v>Red</v>
      </c>
      <c r="AD1451" t="str">
        <f t="shared" si="479"/>
        <v>Green</v>
      </c>
    </row>
    <row r="1452" spans="1:30" x14ac:dyDescent="0.2">
      <c r="A1452" t="str">
        <f t="shared" si="460"/>
        <v>25/07/2026Athlone Town WomenCzarni Sosnowiec Women</v>
      </c>
      <c r="D1452" s="2">
        <v>46228</v>
      </c>
      <c r="E1452" s="3">
        <v>0.66666666666666663</v>
      </c>
      <c r="F1452" t="s">
        <v>1588</v>
      </c>
      <c r="G1452" t="s">
        <v>1677</v>
      </c>
      <c r="H1452">
        <v>0</v>
      </c>
      <c r="I1452">
        <v>1</v>
      </c>
      <c r="J1452">
        <v>1</v>
      </c>
      <c r="K1452">
        <v>3</v>
      </c>
      <c r="L1452" s="22" t="str">
        <f t="shared" si="461"/>
        <v>25/07/2026</v>
      </c>
      <c r="M1452" s="23">
        <f t="shared" si="462"/>
        <v>0.54166666666666663</v>
      </c>
      <c r="N1452" t="str">
        <f t="shared" si="463"/>
        <v>1 - 3</v>
      </c>
      <c r="O1452" t="str">
        <f t="shared" si="464"/>
        <v>Red</v>
      </c>
      <c r="P1452" t="str">
        <f t="shared" si="465"/>
        <v>Red</v>
      </c>
      <c r="Q1452" t="str">
        <f t="shared" si="466"/>
        <v>Green</v>
      </c>
      <c r="R1452" t="str">
        <f t="shared" si="467"/>
        <v>Red</v>
      </c>
      <c r="S1452" t="str">
        <f t="shared" si="468"/>
        <v>Green</v>
      </c>
      <c r="T1452" t="str">
        <f t="shared" si="469"/>
        <v>Green</v>
      </c>
      <c r="U1452" t="str">
        <f t="shared" si="470"/>
        <v>Red</v>
      </c>
      <c r="V1452" t="str">
        <f t="shared" si="471"/>
        <v>Red</v>
      </c>
      <c r="W1452" t="str">
        <f t="shared" si="472"/>
        <v>Green</v>
      </c>
      <c r="X1452" t="str">
        <f t="shared" si="473"/>
        <v>Green</v>
      </c>
      <c r="Y1452" t="str">
        <f t="shared" si="474"/>
        <v>Green</v>
      </c>
      <c r="Z1452" t="str">
        <f t="shared" si="475"/>
        <v>Green</v>
      </c>
      <c r="AA1452" t="str">
        <f t="shared" si="476"/>
        <v>Red</v>
      </c>
      <c r="AB1452" t="str">
        <f t="shared" si="477"/>
        <v>Red</v>
      </c>
      <c r="AC1452" t="str">
        <f t="shared" si="478"/>
        <v>Green</v>
      </c>
      <c r="AD1452" t="str">
        <f t="shared" si="479"/>
        <v>Red</v>
      </c>
    </row>
    <row r="1453" spans="1:30" x14ac:dyDescent="0.2">
      <c r="A1453" t="str">
        <f t="shared" si="460"/>
        <v>25/07/2026Reipas LahtiMyllykosken</v>
      </c>
      <c r="D1453" s="2">
        <v>46228</v>
      </c>
      <c r="E1453" s="3">
        <v>0.66666666666666663</v>
      </c>
      <c r="F1453" t="s">
        <v>3230</v>
      </c>
      <c r="G1453" t="s">
        <v>3231</v>
      </c>
      <c r="H1453">
        <v>1</v>
      </c>
      <c r="I1453">
        <v>0</v>
      </c>
      <c r="J1453">
        <v>4</v>
      </c>
      <c r="K1453">
        <v>2</v>
      </c>
      <c r="L1453" s="22" t="str">
        <f t="shared" si="461"/>
        <v>25/07/2026</v>
      </c>
      <c r="M1453" s="23">
        <f t="shared" si="462"/>
        <v>0.54166666666666663</v>
      </c>
      <c r="N1453" t="str">
        <f t="shared" si="463"/>
        <v>4 - 2</v>
      </c>
      <c r="O1453" t="str">
        <f t="shared" si="464"/>
        <v>Green</v>
      </c>
      <c r="P1453" t="str">
        <f t="shared" si="465"/>
        <v>Red</v>
      </c>
      <c r="Q1453" t="str">
        <f t="shared" si="466"/>
        <v>Red</v>
      </c>
      <c r="R1453" t="str">
        <f t="shared" si="467"/>
        <v>Green</v>
      </c>
      <c r="S1453" t="str">
        <f t="shared" si="468"/>
        <v>Red</v>
      </c>
      <c r="T1453" t="str">
        <f t="shared" si="469"/>
        <v>Green</v>
      </c>
      <c r="U1453" t="str">
        <f t="shared" si="470"/>
        <v>Green</v>
      </c>
      <c r="V1453" t="str">
        <f t="shared" si="471"/>
        <v>Red</v>
      </c>
      <c r="W1453" t="str">
        <f t="shared" si="472"/>
        <v>Red</v>
      </c>
      <c r="X1453" t="str">
        <f t="shared" si="473"/>
        <v>Green</v>
      </c>
      <c r="Y1453" t="str">
        <f t="shared" si="474"/>
        <v>Green</v>
      </c>
      <c r="Z1453" t="str">
        <f t="shared" si="475"/>
        <v>Green</v>
      </c>
      <c r="AA1453" t="str">
        <f t="shared" si="476"/>
        <v>Red</v>
      </c>
      <c r="AB1453" t="str">
        <f t="shared" si="477"/>
        <v>Red</v>
      </c>
      <c r="AC1453" t="str">
        <f t="shared" si="478"/>
        <v>Green</v>
      </c>
      <c r="AD1453" t="str">
        <f t="shared" si="479"/>
        <v>Red</v>
      </c>
    </row>
    <row r="1454" spans="1:30" x14ac:dyDescent="0.2">
      <c r="A1454" t="str">
        <f t="shared" si="460"/>
        <v>25/07/2026IFK Mariehamn IIPiPS</v>
      </c>
      <c r="D1454" s="2">
        <v>46228</v>
      </c>
      <c r="E1454" s="3">
        <v>0.66666666666666663</v>
      </c>
      <c r="F1454" t="s">
        <v>3248</v>
      </c>
      <c r="G1454" t="s">
        <v>3249</v>
      </c>
      <c r="H1454">
        <v>0</v>
      </c>
      <c r="I1454">
        <v>0</v>
      </c>
      <c r="J1454">
        <v>3</v>
      </c>
      <c r="K1454">
        <v>1</v>
      </c>
      <c r="L1454" s="22" t="str">
        <f t="shared" si="461"/>
        <v>25/07/2026</v>
      </c>
      <c r="M1454" s="23">
        <f t="shared" si="462"/>
        <v>0.54166666666666663</v>
      </c>
      <c r="N1454" t="str">
        <f t="shared" si="463"/>
        <v>3 - 1</v>
      </c>
      <c r="O1454" t="str">
        <f t="shared" si="464"/>
        <v>Green</v>
      </c>
      <c r="P1454" t="str">
        <f t="shared" si="465"/>
        <v>Red</v>
      </c>
      <c r="Q1454" t="str">
        <f t="shared" si="466"/>
        <v>Red</v>
      </c>
      <c r="R1454" t="str">
        <f t="shared" si="467"/>
        <v>Green</v>
      </c>
      <c r="S1454" t="str">
        <f t="shared" si="468"/>
        <v>Red</v>
      </c>
      <c r="T1454" t="str">
        <f t="shared" si="469"/>
        <v>Green</v>
      </c>
      <c r="U1454" t="str">
        <f t="shared" si="470"/>
        <v>Red</v>
      </c>
      <c r="V1454" t="str">
        <f t="shared" si="471"/>
        <v>Green</v>
      </c>
      <c r="W1454" t="str">
        <f t="shared" si="472"/>
        <v>Red</v>
      </c>
      <c r="X1454" t="str">
        <f t="shared" si="473"/>
        <v>Red</v>
      </c>
      <c r="Y1454" t="str">
        <f t="shared" si="474"/>
        <v>Green</v>
      </c>
      <c r="Z1454" t="str">
        <f t="shared" si="475"/>
        <v>Green</v>
      </c>
      <c r="AA1454" t="str">
        <f t="shared" si="476"/>
        <v>Red</v>
      </c>
      <c r="AB1454" t="str">
        <f t="shared" si="477"/>
        <v>Red</v>
      </c>
      <c r="AC1454" t="str">
        <f t="shared" si="478"/>
        <v>Green</v>
      </c>
      <c r="AD1454" t="str">
        <f t="shared" si="479"/>
        <v>Red</v>
      </c>
    </row>
    <row r="1455" spans="1:30" x14ac:dyDescent="0.2">
      <c r="A1455" t="str">
        <f t="shared" ref="A1455:A1518" si="480">L1454&amp;F1455&amp;G1455</f>
        <v>25/07/2026FC GoriFC Sioni Bolnisi</v>
      </c>
      <c r="D1455" s="2">
        <v>46228</v>
      </c>
      <c r="E1455" s="3">
        <v>0.66666666666666663</v>
      </c>
      <c r="F1455" t="s">
        <v>3269</v>
      </c>
      <c r="G1455" t="s">
        <v>3270</v>
      </c>
      <c r="H1455">
        <v>0</v>
      </c>
      <c r="I1455">
        <v>0</v>
      </c>
      <c r="J1455">
        <v>1</v>
      </c>
      <c r="K1455">
        <v>0</v>
      </c>
      <c r="L1455" s="22" t="str">
        <f t="shared" ref="L1455:L1518" si="481">DAY(D1455)&amp;"/"&amp;"07"&amp;"/"&amp;YEAR(D1455)</f>
        <v>25/07/2026</v>
      </c>
      <c r="M1455" s="23">
        <f t="shared" ref="M1455:M1518" si="482">E1455-TIME(3,0,0)</f>
        <v>0.54166666666666663</v>
      </c>
      <c r="N1455" t="str">
        <f t="shared" ref="N1455:N1518" si="483">J1455&amp;" - "&amp;K1455</f>
        <v>1 - 0</v>
      </c>
      <c r="O1455" t="str">
        <f t="shared" si="464"/>
        <v>Green</v>
      </c>
      <c r="P1455" t="str">
        <f t="shared" si="465"/>
        <v>Red</v>
      </c>
      <c r="Q1455" t="str">
        <f t="shared" si="466"/>
        <v>Red</v>
      </c>
      <c r="R1455" t="str">
        <f t="shared" si="467"/>
        <v>Green</v>
      </c>
      <c r="S1455" t="str">
        <f t="shared" si="468"/>
        <v>Red</v>
      </c>
      <c r="T1455" t="str">
        <f t="shared" si="469"/>
        <v>Green</v>
      </c>
      <c r="U1455" t="str">
        <f t="shared" si="470"/>
        <v>Red</v>
      </c>
      <c r="V1455" t="str">
        <f t="shared" si="471"/>
        <v>Green</v>
      </c>
      <c r="W1455" t="str">
        <f t="shared" si="472"/>
        <v>Red</v>
      </c>
      <c r="X1455" t="str">
        <f t="shared" si="473"/>
        <v>Red</v>
      </c>
      <c r="Y1455" t="str">
        <f t="shared" si="474"/>
        <v>Red</v>
      </c>
      <c r="Z1455" t="str">
        <f t="shared" si="475"/>
        <v>Red</v>
      </c>
      <c r="AA1455" t="str">
        <f t="shared" si="476"/>
        <v>Green</v>
      </c>
      <c r="AB1455" t="str">
        <f t="shared" si="477"/>
        <v>Green</v>
      </c>
      <c r="AC1455" t="str">
        <f t="shared" si="478"/>
        <v>Red</v>
      </c>
      <c r="AD1455" t="str">
        <f t="shared" si="479"/>
        <v>Green</v>
      </c>
    </row>
    <row r="1456" spans="1:30" x14ac:dyDescent="0.2">
      <c r="A1456" t="str">
        <f t="shared" si="480"/>
        <v>25/07/2026FC SuderelbeAltona 93</v>
      </c>
      <c r="D1456" s="2">
        <v>46228</v>
      </c>
      <c r="E1456" s="3">
        <v>0.66666666666666663</v>
      </c>
      <c r="F1456" t="s">
        <v>3283</v>
      </c>
      <c r="G1456" t="s">
        <v>3284</v>
      </c>
      <c r="H1456">
        <v>1</v>
      </c>
      <c r="I1456">
        <v>1</v>
      </c>
      <c r="J1456">
        <v>1</v>
      </c>
      <c r="K1456">
        <v>2</v>
      </c>
      <c r="L1456" s="22" t="str">
        <f t="shared" si="481"/>
        <v>25/07/2026</v>
      </c>
      <c r="M1456" s="23">
        <f t="shared" si="482"/>
        <v>0.54166666666666663</v>
      </c>
      <c r="N1456" t="str">
        <f t="shared" si="483"/>
        <v>1 - 2</v>
      </c>
      <c r="O1456" t="str">
        <f t="shared" si="464"/>
        <v>Red</v>
      </c>
      <c r="P1456" t="str">
        <f t="shared" si="465"/>
        <v>Red</v>
      </c>
      <c r="Q1456" t="str">
        <f t="shared" si="466"/>
        <v>Green</v>
      </c>
      <c r="R1456" t="str">
        <f t="shared" si="467"/>
        <v>Red</v>
      </c>
      <c r="S1456" t="str">
        <f t="shared" si="468"/>
        <v>Green</v>
      </c>
      <c r="T1456" t="str">
        <f t="shared" si="469"/>
        <v>Green</v>
      </c>
      <c r="U1456" t="str">
        <f t="shared" si="470"/>
        <v>Red</v>
      </c>
      <c r="V1456" t="str">
        <f t="shared" si="471"/>
        <v>Green</v>
      </c>
      <c r="W1456" t="str">
        <f t="shared" si="472"/>
        <v>Red</v>
      </c>
      <c r="X1456" t="str">
        <f t="shared" si="473"/>
        <v>Green</v>
      </c>
      <c r="Y1456" t="str">
        <f t="shared" si="474"/>
        <v>Green</v>
      </c>
      <c r="Z1456" t="str">
        <f t="shared" si="475"/>
        <v>Green</v>
      </c>
      <c r="AA1456" t="str">
        <f t="shared" si="476"/>
        <v>Red</v>
      </c>
      <c r="AB1456" t="str">
        <f t="shared" si="477"/>
        <v>Green</v>
      </c>
      <c r="AC1456" t="str">
        <f t="shared" si="478"/>
        <v>Green</v>
      </c>
      <c r="AD1456" t="str">
        <f t="shared" si="479"/>
        <v>Red</v>
      </c>
    </row>
    <row r="1457" spans="1:30" x14ac:dyDescent="0.2">
      <c r="A1457" t="str">
        <f t="shared" si="480"/>
        <v>25/07/2026Dalvik/ReynirVikingur Olafsvik</v>
      </c>
      <c r="D1457" s="2">
        <v>46228</v>
      </c>
      <c r="E1457" s="3">
        <v>0.66666666666666663</v>
      </c>
      <c r="F1457" t="s">
        <v>631</v>
      </c>
      <c r="G1457" t="s">
        <v>632</v>
      </c>
      <c r="H1457">
        <v>0</v>
      </c>
      <c r="I1457">
        <v>0</v>
      </c>
      <c r="J1457">
        <v>0</v>
      </c>
      <c r="K1457">
        <v>1</v>
      </c>
      <c r="L1457" s="22" t="str">
        <f t="shared" si="481"/>
        <v>25/07/2026</v>
      </c>
      <c r="M1457" s="23">
        <f t="shared" si="482"/>
        <v>0.54166666666666663</v>
      </c>
      <c r="N1457" t="str">
        <f t="shared" si="483"/>
        <v>0 - 1</v>
      </c>
      <c r="O1457" t="str">
        <f t="shared" si="464"/>
        <v>Red</v>
      </c>
      <c r="P1457" t="str">
        <f t="shared" si="465"/>
        <v>Red</v>
      </c>
      <c r="Q1457" t="str">
        <f t="shared" si="466"/>
        <v>Green</v>
      </c>
      <c r="R1457" t="str">
        <f t="shared" si="467"/>
        <v>Red</v>
      </c>
      <c r="S1457" t="str">
        <f t="shared" si="468"/>
        <v>Green</v>
      </c>
      <c r="T1457" t="str">
        <f t="shared" si="469"/>
        <v>Green</v>
      </c>
      <c r="U1457" t="str">
        <f t="shared" si="470"/>
        <v>Red</v>
      </c>
      <c r="V1457" t="str">
        <f t="shared" si="471"/>
        <v>Green</v>
      </c>
      <c r="W1457" t="str">
        <f t="shared" si="472"/>
        <v>Red</v>
      </c>
      <c r="X1457" t="str">
        <f t="shared" si="473"/>
        <v>Red</v>
      </c>
      <c r="Y1457" t="str">
        <f t="shared" si="474"/>
        <v>Red</v>
      </c>
      <c r="Z1457" t="str">
        <f t="shared" si="475"/>
        <v>Red</v>
      </c>
      <c r="AA1457" t="str">
        <f t="shared" si="476"/>
        <v>Green</v>
      </c>
      <c r="AB1457" t="str">
        <f t="shared" si="477"/>
        <v>Green</v>
      </c>
      <c r="AC1457" t="str">
        <f t="shared" si="478"/>
        <v>Red</v>
      </c>
      <c r="AD1457" t="str">
        <f t="shared" si="479"/>
        <v>Green</v>
      </c>
    </row>
    <row r="1458" spans="1:30" x14ac:dyDescent="0.2">
      <c r="A1458" t="str">
        <f t="shared" si="480"/>
        <v>25/07/2026MagniKFG Gardabaer</v>
      </c>
      <c r="D1458" s="2">
        <v>46228</v>
      </c>
      <c r="E1458" s="3">
        <v>0.66666666666666663</v>
      </c>
      <c r="F1458" t="s">
        <v>3352</v>
      </c>
      <c r="G1458" t="s">
        <v>634</v>
      </c>
      <c r="H1458">
        <v>0</v>
      </c>
      <c r="I1458">
        <v>0</v>
      </c>
      <c r="J1458">
        <v>1</v>
      </c>
      <c r="K1458">
        <v>1</v>
      </c>
      <c r="L1458" s="22" t="str">
        <f t="shared" si="481"/>
        <v>25/07/2026</v>
      </c>
      <c r="M1458" s="23">
        <f t="shared" si="482"/>
        <v>0.54166666666666663</v>
      </c>
      <c r="N1458" t="str">
        <f t="shared" si="483"/>
        <v>1 - 1</v>
      </c>
      <c r="O1458" t="str">
        <f t="shared" si="464"/>
        <v>Red</v>
      </c>
      <c r="P1458" t="str">
        <f t="shared" si="465"/>
        <v>Green</v>
      </c>
      <c r="Q1458" t="str">
        <f t="shared" si="466"/>
        <v>Red</v>
      </c>
      <c r="R1458" t="str">
        <f t="shared" si="467"/>
        <v>Green</v>
      </c>
      <c r="S1458" t="str">
        <f t="shared" si="468"/>
        <v>Green</v>
      </c>
      <c r="T1458" t="str">
        <f t="shared" si="469"/>
        <v>Red</v>
      </c>
      <c r="U1458" t="str">
        <f t="shared" si="470"/>
        <v>Red</v>
      </c>
      <c r="V1458" t="str">
        <f t="shared" si="471"/>
        <v>Green</v>
      </c>
      <c r="W1458" t="str">
        <f t="shared" si="472"/>
        <v>Red</v>
      </c>
      <c r="X1458" t="str">
        <f t="shared" si="473"/>
        <v>Red</v>
      </c>
      <c r="Y1458" t="str">
        <f t="shared" si="474"/>
        <v>Green</v>
      </c>
      <c r="Z1458" t="str">
        <f t="shared" si="475"/>
        <v>Red</v>
      </c>
      <c r="AA1458" t="str">
        <f t="shared" si="476"/>
        <v>Green</v>
      </c>
      <c r="AB1458" t="str">
        <f t="shared" si="477"/>
        <v>Green</v>
      </c>
      <c r="AC1458" t="str">
        <f t="shared" si="478"/>
        <v>Green</v>
      </c>
      <c r="AD1458" t="str">
        <f t="shared" si="479"/>
        <v>Red</v>
      </c>
    </row>
    <row r="1459" spans="1:30" x14ac:dyDescent="0.2">
      <c r="A1459" t="str">
        <f t="shared" si="480"/>
        <v>25/07/2026ArbaerUMF Tindastoll</v>
      </c>
      <c r="D1459" s="2">
        <v>46228</v>
      </c>
      <c r="E1459" s="3">
        <v>0.66666666666666663</v>
      </c>
      <c r="F1459" t="s">
        <v>3357</v>
      </c>
      <c r="G1459" t="s">
        <v>3358</v>
      </c>
      <c r="H1459">
        <v>0</v>
      </c>
      <c r="I1459">
        <v>1</v>
      </c>
      <c r="J1459">
        <v>0</v>
      </c>
      <c r="K1459">
        <v>4</v>
      </c>
      <c r="L1459" s="22" t="str">
        <f t="shared" si="481"/>
        <v>25/07/2026</v>
      </c>
      <c r="M1459" s="23">
        <f t="shared" si="482"/>
        <v>0.54166666666666663</v>
      </c>
      <c r="N1459" t="str">
        <f t="shared" si="483"/>
        <v>0 - 4</v>
      </c>
      <c r="O1459" t="str">
        <f t="shared" si="464"/>
        <v>Red</v>
      </c>
      <c r="P1459" t="str">
        <f t="shared" si="465"/>
        <v>Red</v>
      </c>
      <c r="Q1459" t="str">
        <f t="shared" si="466"/>
        <v>Green</v>
      </c>
      <c r="R1459" t="str">
        <f t="shared" si="467"/>
        <v>Red</v>
      </c>
      <c r="S1459" t="str">
        <f t="shared" si="468"/>
        <v>Green</v>
      </c>
      <c r="T1459" t="str">
        <f t="shared" si="469"/>
        <v>Green</v>
      </c>
      <c r="U1459" t="str">
        <f t="shared" si="470"/>
        <v>Red</v>
      </c>
      <c r="V1459" t="str">
        <f t="shared" si="471"/>
        <v>Red</v>
      </c>
      <c r="W1459" t="str">
        <f t="shared" si="472"/>
        <v>Green</v>
      </c>
      <c r="X1459" t="str">
        <f t="shared" si="473"/>
        <v>Green</v>
      </c>
      <c r="Y1459" t="str">
        <f t="shared" si="474"/>
        <v>Green</v>
      </c>
      <c r="Z1459" t="str">
        <f t="shared" si="475"/>
        <v>Green</v>
      </c>
      <c r="AA1459" t="str">
        <f t="shared" si="476"/>
        <v>Red</v>
      </c>
      <c r="AB1459" t="str">
        <f t="shared" si="477"/>
        <v>Red</v>
      </c>
      <c r="AC1459" t="str">
        <f t="shared" si="478"/>
        <v>Red</v>
      </c>
      <c r="AD1459" t="str">
        <f t="shared" si="479"/>
        <v>Green</v>
      </c>
    </row>
    <row r="1460" spans="1:30" x14ac:dyDescent="0.2">
      <c r="A1460" t="str">
        <f t="shared" si="480"/>
        <v>25/07/2026KF FjallabyggdReynir Sandgerdi</v>
      </c>
      <c r="D1460" s="2">
        <v>46228</v>
      </c>
      <c r="E1460" s="3">
        <v>0.66666666666666663</v>
      </c>
      <c r="F1460" t="s">
        <v>3359</v>
      </c>
      <c r="G1460" t="s">
        <v>3360</v>
      </c>
      <c r="H1460">
        <v>0</v>
      </c>
      <c r="I1460">
        <v>2</v>
      </c>
      <c r="J1460">
        <v>0</v>
      </c>
      <c r="K1460">
        <v>3</v>
      </c>
      <c r="L1460" s="22" t="str">
        <f t="shared" si="481"/>
        <v>25/07/2026</v>
      </c>
      <c r="M1460" s="23">
        <f t="shared" si="482"/>
        <v>0.54166666666666663</v>
      </c>
      <c r="N1460" t="str">
        <f t="shared" si="483"/>
        <v>0 - 3</v>
      </c>
      <c r="O1460" t="str">
        <f t="shared" si="464"/>
        <v>Red</v>
      </c>
      <c r="P1460" t="str">
        <f t="shared" si="465"/>
        <v>Red</v>
      </c>
      <c r="Q1460" t="str">
        <f t="shared" si="466"/>
        <v>Green</v>
      </c>
      <c r="R1460" t="str">
        <f t="shared" si="467"/>
        <v>Red</v>
      </c>
      <c r="S1460" t="str">
        <f t="shared" si="468"/>
        <v>Green</v>
      </c>
      <c r="T1460" t="str">
        <f t="shared" si="469"/>
        <v>Green</v>
      </c>
      <c r="U1460" t="str">
        <f t="shared" si="470"/>
        <v>Red</v>
      </c>
      <c r="V1460" t="str">
        <f t="shared" si="471"/>
        <v>Red</v>
      </c>
      <c r="W1460" t="str">
        <f t="shared" si="472"/>
        <v>Green</v>
      </c>
      <c r="X1460" t="str">
        <f t="shared" si="473"/>
        <v>Green</v>
      </c>
      <c r="Y1460" t="str">
        <f t="shared" si="474"/>
        <v>Green</v>
      </c>
      <c r="Z1460" t="str">
        <f t="shared" si="475"/>
        <v>Green</v>
      </c>
      <c r="AA1460" t="str">
        <f t="shared" si="476"/>
        <v>Red</v>
      </c>
      <c r="AB1460" t="str">
        <f t="shared" si="477"/>
        <v>Green</v>
      </c>
      <c r="AC1460" t="str">
        <f t="shared" si="478"/>
        <v>Red</v>
      </c>
      <c r="AD1460" t="str">
        <f t="shared" si="479"/>
        <v>Green</v>
      </c>
    </row>
    <row r="1461" spans="1:30" x14ac:dyDescent="0.2">
      <c r="A1461" t="str">
        <f t="shared" si="480"/>
        <v>25/07/2026Galway FCWaterford United</v>
      </c>
      <c r="D1461" s="2">
        <v>46228</v>
      </c>
      <c r="E1461" s="3">
        <v>0.66666666666666663</v>
      </c>
      <c r="F1461" t="s">
        <v>3364</v>
      </c>
      <c r="G1461" t="s">
        <v>3365</v>
      </c>
      <c r="H1461">
        <v>0</v>
      </c>
      <c r="I1461">
        <v>0</v>
      </c>
      <c r="J1461">
        <v>0</v>
      </c>
      <c r="K1461">
        <v>0</v>
      </c>
      <c r="L1461" s="22" t="str">
        <f t="shared" si="481"/>
        <v>25/07/2026</v>
      </c>
      <c r="M1461" s="23">
        <f t="shared" si="482"/>
        <v>0.54166666666666663</v>
      </c>
      <c r="N1461" t="str">
        <f t="shared" si="483"/>
        <v>0 - 0</v>
      </c>
      <c r="O1461" t="str">
        <f t="shared" si="464"/>
        <v>Red</v>
      </c>
      <c r="P1461" t="str">
        <f t="shared" si="465"/>
        <v>Green</v>
      </c>
      <c r="Q1461" t="str">
        <f t="shared" si="466"/>
        <v>Red</v>
      </c>
      <c r="R1461" t="str">
        <f t="shared" si="467"/>
        <v>Green</v>
      </c>
      <c r="S1461" t="str">
        <f t="shared" si="468"/>
        <v>Green</v>
      </c>
      <c r="T1461" t="str">
        <f t="shared" si="469"/>
        <v>Red</v>
      </c>
      <c r="U1461" t="str">
        <f t="shared" si="470"/>
        <v>Red</v>
      </c>
      <c r="V1461" t="str">
        <f t="shared" si="471"/>
        <v>Green</v>
      </c>
      <c r="W1461" t="str">
        <f t="shared" si="472"/>
        <v>Red</v>
      </c>
      <c r="X1461" t="str">
        <f t="shared" si="473"/>
        <v>Red</v>
      </c>
      <c r="Y1461" t="str">
        <f t="shared" si="474"/>
        <v>Red</v>
      </c>
      <c r="Z1461" t="str">
        <f t="shared" si="475"/>
        <v>Red</v>
      </c>
      <c r="AA1461" t="str">
        <f t="shared" si="476"/>
        <v>Green</v>
      </c>
      <c r="AB1461" t="str">
        <f t="shared" si="477"/>
        <v>Green</v>
      </c>
      <c r="AC1461" t="str">
        <f t="shared" si="478"/>
        <v>Red</v>
      </c>
      <c r="AD1461" t="str">
        <f t="shared" si="479"/>
        <v>Green</v>
      </c>
    </row>
    <row r="1462" spans="1:30" x14ac:dyDescent="0.2">
      <c r="A1462" t="str">
        <f t="shared" si="480"/>
        <v>25/07/2026Peamount United WomenAthlone Town Women</v>
      </c>
      <c r="D1462" s="2">
        <v>46228</v>
      </c>
      <c r="E1462" s="3">
        <v>0.66666666666666663</v>
      </c>
      <c r="F1462" t="s">
        <v>3374</v>
      </c>
      <c r="G1462" t="s">
        <v>1588</v>
      </c>
      <c r="L1462" s="22" t="str">
        <f t="shared" si="481"/>
        <v>25/07/2026</v>
      </c>
      <c r="M1462" s="23">
        <f t="shared" si="482"/>
        <v>0.54166666666666663</v>
      </c>
      <c r="N1462" t="str">
        <f t="shared" si="483"/>
        <v xml:space="preserve"> - </v>
      </c>
      <c r="O1462" t="str">
        <f t="shared" si="464"/>
        <v>Red</v>
      </c>
      <c r="P1462" t="str">
        <f t="shared" si="465"/>
        <v>Green</v>
      </c>
      <c r="Q1462" t="str">
        <f t="shared" si="466"/>
        <v>Red</v>
      </c>
      <c r="R1462" t="str">
        <f t="shared" si="467"/>
        <v>Green</v>
      </c>
      <c r="S1462" t="str">
        <f t="shared" si="468"/>
        <v>Green</v>
      </c>
      <c r="T1462" t="str">
        <f t="shared" si="469"/>
        <v>Red</v>
      </c>
      <c r="U1462" t="str">
        <f t="shared" si="470"/>
        <v>Red</v>
      </c>
      <c r="V1462" t="str">
        <f t="shared" si="471"/>
        <v>Green</v>
      </c>
      <c r="W1462" t="str">
        <f t="shared" si="472"/>
        <v>Red</v>
      </c>
      <c r="X1462" t="str">
        <f t="shared" si="473"/>
        <v>Red</v>
      </c>
      <c r="Y1462" t="str">
        <f t="shared" si="474"/>
        <v>Red</v>
      </c>
      <c r="Z1462" t="str">
        <f t="shared" si="475"/>
        <v>Red</v>
      </c>
      <c r="AA1462" t="str">
        <f t="shared" si="476"/>
        <v>Green</v>
      </c>
      <c r="AB1462" t="str">
        <f t="shared" si="477"/>
        <v>Green</v>
      </c>
      <c r="AC1462" t="str">
        <f t="shared" si="478"/>
        <v>Red</v>
      </c>
      <c r="AD1462" t="str">
        <f t="shared" si="479"/>
        <v>Green</v>
      </c>
    </row>
    <row r="1463" spans="1:30" x14ac:dyDescent="0.2">
      <c r="A1463" t="str">
        <f t="shared" si="480"/>
        <v>25/07/2026Kauno ZalgirisFK Suduva Marijampole</v>
      </c>
      <c r="D1463" s="2">
        <v>46228</v>
      </c>
      <c r="E1463" s="3">
        <v>0.66666666666666663</v>
      </c>
      <c r="F1463" t="s">
        <v>369</v>
      </c>
      <c r="G1463" t="s">
        <v>283</v>
      </c>
      <c r="L1463" s="22" t="str">
        <f t="shared" si="481"/>
        <v>25/07/2026</v>
      </c>
      <c r="M1463" s="23">
        <f t="shared" si="482"/>
        <v>0.54166666666666663</v>
      </c>
      <c r="N1463" t="str">
        <f t="shared" si="483"/>
        <v xml:space="preserve"> - </v>
      </c>
      <c r="O1463" t="str">
        <f t="shared" si="464"/>
        <v>Red</v>
      </c>
      <c r="P1463" t="str">
        <f t="shared" si="465"/>
        <v>Green</v>
      </c>
      <c r="Q1463" t="str">
        <f t="shared" si="466"/>
        <v>Red</v>
      </c>
      <c r="R1463" t="str">
        <f t="shared" si="467"/>
        <v>Green</v>
      </c>
      <c r="S1463" t="str">
        <f t="shared" si="468"/>
        <v>Green</v>
      </c>
      <c r="T1463" t="str">
        <f t="shared" si="469"/>
        <v>Red</v>
      </c>
      <c r="U1463" t="str">
        <f t="shared" si="470"/>
        <v>Red</v>
      </c>
      <c r="V1463" t="str">
        <f t="shared" si="471"/>
        <v>Green</v>
      </c>
      <c r="W1463" t="str">
        <f t="shared" si="472"/>
        <v>Red</v>
      </c>
      <c r="X1463" t="str">
        <f t="shared" si="473"/>
        <v>Red</v>
      </c>
      <c r="Y1463" t="str">
        <f t="shared" si="474"/>
        <v>Red</v>
      </c>
      <c r="Z1463" t="str">
        <f t="shared" si="475"/>
        <v>Red</v>
      </c>
      <c r="AA1463" t="str">
        <f t="shared" si="476"/>
        <v>Green</v>
      </c>
      <c r="AB1463" t="str">
        <f t="shared" si="477"/>
        <v>Green</v>
      </c>
      <c r="AC1463" t="str">
        <f t="shared" si="478"/>
        <v>Red</v>
      </c>
      <c r="AD1463" t="str">
        <f t="shared" si="479"/>
        <v>Green</v>
      </c>
    </row>
    <row r="1464" spans="1:30" x14ac:dyDescent="0.2">
      <c r="A1464" t="str">
        <f t="shared" si="480"/>
        <v>25/07/2026Lietava JonavaGarliava Kaunas</v>
      </c>
      <c r="D1464" s="2">
        <v>46228</v>
      </c>
      <c r="E1464" s="3">
        <v>0.66666666666666663</v>
      </c>
      <c r="F1464" t="s">
        <v>636</v>
      </c>
      <c r="G1464" t="s">
        <v>637</v>
      </c>
      <c r="H1464">
        <v>0</v>
      </c>
      <c r="I1464">
        <v>0</v>
      </c>
      <c r="J1464">
        <v>1</v>
      </c>
      <c r="K1464">
        <v>0</v>
      </c>
      <c r="L1464" s="22" t="str">
        <f t="shared" si="481"/>
        <v>25/07/2026</v>
      </c>
      <c r="M1464" s="23">
        <f t="shared" si="482"/>
        <v>0.54166666666666663</v>
      </c>
      <c r="N1464" t="str">
        <f t="shared" si="483"/>
        <v>1 - 0</v>
      </c>
      <c r="O1464" t="str">
        <f t="shared" si="464"/>
        <v>Green</v>
      </c>
      <c r="P1464" t="str">
        <f t="shared" si="465"/>
        <v>Red</v>
      </c>
      <c r="Q1464" t="str">
        <f t="shared" si="466"/>
        <v>Red</v>
      </c>
      <c r="R1464" t="str">
        <f t="shared" si="467"/>
        <v>Green</v>
      </c>
      <c r="S1464" t="str">
        <f t="shared" si="468"/>
        <v>Red</v>
      </c>
      <c r="T1464" t="str">
        <f t="shared" si="469"/>
        <v>Green</v>
      </c>
      <c r="U1464" t="str">
        <f t="shared" si="470"/>
        <v>Red</v>
      </c>
      <c r="V1464" t="str">
        <f t="shared" si="471"/>
        <v>Green</v>
      </c>
      <c r="W1464" t="str">
        <f t="shared" si="472"/>
        <v>Red</v>
      </c>
      <c r="X1464" t="str">
        <f t="shared" si="473"/>
        <v>Red</v>
      </c>
      <c r="Y1464" t="str">
        <f t="shared" si="474"/>
        <v>Red</v>
      </c>
      <c r="Z1464" t="str">
        <f t="shared" si="475"/>
        <v>Red</v>
      </c>
      <c r="AA1464" t="str">
        <f t="shared" si="476"/>
        <v>Green</v>
      </c>
      <c r="AB1464" t="str">
        <f t="shared" si="477"/>
        <v>Green</v>
      </c>
      <c r="AC1464" t="str">
        <f t="shared" si="478"/>
        <v>Red</v>
      </c>
      <c r="AD1464" t="str">
        <f t="shared" si="479"/>
        <v>Green</v>
      </c>
    </row>
    <row r="1465" spans="1:30" x14ac:dyDescent="0.2">
      <c r="A1465" t="str">
        <f t="shared" si="480"/>
        <v>25/07/2026StromsgodsetLyn</v>
      </c>
      <c r="D1465" s="2">
        <v>46228</v>
      </c>
      <c r="E1465" s="3">
        <v>0.66666666666666663</v>
      </c>
      <c r="F1465" t="s">
        <v>639</v>
      </c>
      <c r="G1465" t="s">
        <v>3444</v>
      </c>
      <c r="H1465">
        <v>0</v>
      </c>
      <c r="I1465">
        <v>0</v>
      </c>
      <c r="J1465">
        <v>1</v>
      </c>
      <c r="K1465">
        <v>1</v>
      </c>
      <c r="L1465" s="22" t="str">
        <f t="shared" si="481"/>
        <v>25/07/2026</v>
      </c>
      <c r="M1465" s="23">
        <f t="shared" si="482"/>
        <v>0.54166666666666663</v>
      </c>
      <c r="N1465" t="str">
        <f t="shared" si="483"/>
        <v>1 - 1</v>
      </c>
      <c r="O1465" t="str">
        <f t="shared" si="464"/>
        <v>Red</v>
      </c>
      <c r="P1465" t="str">
        <f t="shared" si="465"/>
        <v>Green</v>
      </c>
      <c r="Q1465" t="str">
        <f t="shared" si="466"/>
        <v>Red</v>
      </c>
      <c r="R1465" t="str">
        <f t="shared" si="467"/>
        <v>Green</v>
      </c>
      <c r="S1465" t="str">
        <f t="shared" si="468"/>
        <v>Green</v>
      </c>
      <c r="T1465" t="str">
        <f t="shared" si="469"/>
        <v>Red</v>
      </c>
      <c r="U1465" t="str">
        <f t="shared" si="470"/>
        <v>Red</v>
      </c>
      <c r="V1465" t="str">
        <f t="shared" si="471"/>
        <v>Green</v>
      </c>
      <c r="W1465" t="str">
        <f t="shared" si="472"/>
        <v>Red</v>
      </c>
      <c r="X1465" t="str">
        <f t="shared" si="473"/>
        <v>Red</v>
      </c>
      <c r="Y1465" t="str">
        <f t="shared" si="474"/>
        <v>Green</v>
      </c>
      <c r="Z1465" t="str">
        <f t="shared" si="475"/>
        <v>Red</v>
      </c>
      <c r="AA1465" t="str">
        <f t="shared" si="476"/>
        <v>Green</v>
      </c>
      <c r="AB1465" t="str">
        <f t="shared" si="477"/>
        <v>Green</v>
      </c>
      <c r="AC1465" t="str">
        <f t="shared" si="478"/>
        <v>Green</v>
      </c>
      <c r="AD1465" t="str">
        <f t="shared" si="479"/>
        <v>Red</v>
      </c>
    </row>
    <row r="1466" spans="1:30" x14ac:dyDescent="0.2">
      <c r="A1466" t="str">
        <f t="shared" si="480"/>
        <v>25/07/2026Deportivo San MartinCarlos Mannucci</v>
      </c>
      <c r="D1466" s="2">
        <v>46228</v>
      </c>
      <c r="E1466" s="3">
        <v>0.66666666666666663</v>
      </c>
      <c r="F1466" t="s">
        <v>276</v>
      </c>
      <c r="G1466" t="s">
        <v>3525</v>
      </c>
      <c r="H1466">
        <v>1</v>
      </c>
      <c r="I1466">
        <v>0</v>
      </c>
      <c r="J1466">
        <v>2</v>
      </c>
      <c r="K1466">
        <v>0</v>
      </c>
      <c r="L1466" s="22" t="str">
        <f t="shared" si="481"/>
        <v>25/07/2026</v>
      </c>
      <c r="M1466" s="23">
        <f t="shared" si="482"/>
        <v>0.54166666666666663</v>
      </c>
      <c r="N1466" t="str">
        <f t="shared" si="483"/>
        <v>2 - 0</v>
      </c>
      <c r="O1466" t="str">
        <f t="shared" si="464"/>
        <v>Green</v>
      </c>
      <c r="P1466" t="str">
        <f t="shared" si="465"/>
        <v>Red</v>
      </c>
      <c r="Q1466" t="str">
        <f t="shared" si="466"/>
        <v>Red</v>
      </c>
      <c r="R1466" t="str">
        <f t="shared" si="467"/>
        <v>Green</v>
      </c>
      <c r="S1466" t="str">
        <f t="shared" si="468"/>
        <v>Red</v>
      </c>
      <c r="T1466" t="str">
        <f t="shared" si="469"/>
        <v>Green</v>
      </c>
      <c r="U1466" t="str">
        <f t="shared" si="470"/>
        <v>Green</v>
      </c>
      <c r="V1466" t="str">
        <f t="shared" si="471"/>
        <v>Red</v>
      </c>
      <c r="W1466" t="str">
        <f t="shared" si="472"/>
        <v>Red</v>
      </c>
      <c r="X1466" t="str">
        <f t="shared" si="473"/>
        <v>Green</v>
      </c>
      <c r="Y1466" t="str">
        <f t="shared" si="474"/>
        <v>Green</v>
      </c>
      <c r="Z1466" t="str">
        <f t="shared" si="475"/>
        <v>Red</v>
      </c>
      <c r="AA1466" t="str">
        <f t="shared" si="476"/>
        <v>Green</v>
      </c>
      <c r="AB1466" t="str">
        <f t="shared" si="477"/>
        <v>Green</v>
      </c>
      <c r="AC1466" t="str">
        <f t="shared" si="478"/>
        <v>Red</v>
      </c>
      <c r="AD1466" t="str">
        <f t="shared" si="479"/>
        <v>Green</v>
      </c>
    </row>
    <row r="1467" spans="1:30" x14ac:dyDescent="0.2">
      <c r="A1467" t="str">
        <f t="shared" si="480"/>
        <v>25/07/2026OKS Swit SkolwinGornik Leczna</v>
      </c>
      <c r="D1467" s="2">
        <v>46228</v>
      </c>
      <c r="E1467" s="3">
        <v>0.66666666666666663</v>
      </c>
      <c r="F1467" t="s">
        <v>3546</v>
      </c>
      <c r="G1467" t="s">
        <v>3547</v>
      </c>
      <c r="H1467">
        <v>1</v>
      </c>
      <c r="I1467">
        <v>2</v>
      </c>
      <c r="J1467">
        <v>2</v>
      </c>
      <c r="K1467">
        <v>3</v>
      </c>
      <c r="L1467" s="22" t="str">
        <f t="shared" si="481"/>
        <v>25/07/2026</v>
      </c>
      <c r="M1467" s="23">
        <f t="shared" si="482"/>
        <v>0.54166666666666663</v>
      </c>
      <c r="N1467" t="str">
        <f t="shared" si="483"/>
        <v>2 - 3</v>
      </c>
      <c r="O1467" t="str">
        <f t="shared" si="464"/>
        <v>Red</v>
      </c>
      <c r="P1467" t="str">
        <f t="shared" si="465"/>
        <v>Red</v>
      </c>
      <c r="Q1467" t="str">
        <f t="shared" si="466"/>
        <v>Green</v>
      </c>
      <c r="R1467" t="str">
        <f t="shared" si="467"/>
        <v>Red</v>
      </c>
      <c r="S1467" t="str">
        <f t="shared" si="468"/>
        <v>Green</v>
      </c>
      <c r="T1467" t="str">
        <f t="shared" si="469"/>
        <v>Green</v>
      </c>
      <c r="U1467" t="str">
        <f t="shared" si="470"/>
        <v>Red</v>
      </c>
      <c r="V1467" t="str">
        <f t="shared" si="471"/>
        <v>Red</v>
      </c>
      <c r="W1467" t="str">
        <f t="shared" si="472"/>
        <v>Green</v>
      </c>
      <c r="X1467" t="str">
        <f t="shared" si="473"/>
        <v>Green</v>
      </c>
      <c r="Y1467" t="str">
        <f t="shared" si="474"/>
        <v>Green</v>
      </c>
      <c r="Z1467" t="str">
        <f t="shared" si="475"/>
        <v>Green</v>
      </c>
      <c r="AA1467" t="str">
        <f t="shared" si="476"/>
        <v>Red</v>
      </c>
      <c r="AB1467" t="str">
        <f t="shared" si="477"/>
        <v>Red</v>
      </c>
      <c r="AC1467" t="str">
        <f t="shared" si="478"/>
        <v>Green</v>
      </c>
      <c r="AD1467" t="str">
        <f t="shared" si="479"/>
        <v>Red</v>
      </c>
    </row>
    <row r="1468" spans="1:30" x14ac:dyDescent="0.2">
      <c r="A1468" t="str">
        <f t="shared" si="480"/>
        <v>25/07/2026Tekstilshik IvanovoSpartak Kostroma</v>
      </c>
      <c r="D1468" s="2">
        <v>46228</v>
      </c>
      <c r="E1468" s="3">
        <v>0.66666666666666663</v>
      </c>
      <c r="F1468" t="s">
        <v>3560</v>
      </c>
      <c r="G1468" t="s">
        <v>3561</v>
      </c>
      <c r="H1468">
        <v>0</v>
      </c>
      <c r="I1468">
        <v>0</v>
      </c>
      <c r="J1468">
        <v>0</v>
      </c>
      <c r="K1468">
        <v>0</v>
      </c>
      <c r="L1468" s="22" t="str">
        <f t="shared" si="481"/>
        <v>25/07/2026</v>
      </c>
      <c r="M1468" s="23">
        <f t="shared" si="482"/>
        <v>0.54166666666666663</v>
      </c>
      <c r="N1468" t="str">
        <f t="shared" si="483"/>
        <v>0 - 0</v>
      </c>
      <c r="O1468" t="str">
        <f t="shared" si="464"/>
        <v>Red</v>
      </c>
      <c r="P1468" t="str">
        <f t="shared" si="465"/>
        <v>Green</v>
      </c>
      <c r="Q1468" t="str">
        <f t="shared" si="466"/>
        <v>Red</v>
      </c>
      <c r="R1468" t="str">
        <f t="shared" si="467"/>
        <v>Green</v>
      </c>
      <c r="S1468" t="str">
        <f t="shared" si="468"/>
        <v>Green</v>
      </c>
      <c r="T1468" t="str">
        <f t="shared" si="469"/>
        <v>Red</v>
      </c>
      <c r="U1468" t="str">
        <f t="shared" si="470"/>
        <v>Red</v>
      </c>
      <c r="V1468" t="str">
        <f t="shared" si="471"/>
        <v>Green</v>
      </c>
      <c r="W1468" t="str">
        <f t="shared" si="472"/>
        <v>Red</v>
      </c>
      <c r="X1468" t="str">
        <f t="shared" si="473"/>
        <v>Red</v>
      </c>
      <c r="Y1468" t="str">
        <f t="shared" si="474"/>
        <v>Red</v>
      </c>
      <c r="Z1468" t="str">
        <f t="shared" si="475"/>
        <v>Red</v>
      </c>
      <c r="AA1468" t="str">
        <f t="shared" si="476"/>
        <v>Green</v>
      </c>
      <c r="AB1468" t="str">
        <f t="shared" si="477"/>
        <v>Green</v>
      </c>
      <c r="AC1468" t="str">
        <f t="shared" si="478"/>
        <v>Red</v>
      </c>
      <c r="AD1468" t="str">
        <f t="shared" si="479"/>
        <v>Green</v>
      </c>
    </row>
    <row r="1469" spans="1:30" x14ac:dyDescent="0.2">
      <c r="A1469" t="str">
        <f t="shared" si="480"/>
        <v>25/07/2026Rodina IIDynamo-Vladivostok</v>
      </c>
      <c r="D1469" s="2">
        <v>46228</v>
      </c>
      <c r="E1469" s="3">
        <v>0.66666666666666663</v>
      </c>
      <c r="F1469" t="s">
        <v>3566</v>
      </c>
      <c r="G1469" t="s">
        <v>3567</v>
      </c>
      <c r="H1469">
        <v>0</v>
      </c>
      <c r="I1469">
        <v>0</v>
      </c>
      <c r="J1469">
        <v>0</v>
      </c>
      <c r="K1469">
        <v>0</v>
      </c>
      <c r="L1469" s="22" t="str">
        <f t="shared" si="481"/>
        <v>25/07/2026</v>
      </c>
      <c r="M1469" s="23">
        <f t="shared" si="482"/>
        <v>0.54166666666666663</v>
      </c>
      <c r="N1469" t="str">
        <f t="shared" si="483"/>
        <v>0 - 0</v>
      </c>
      <c r="O1469" t="str">
        <f t="shared" si="464"/>
        <v>Red</v>
      </c>
      <c r="P1469" t="str">
        <f t="shared" si="465"/>
        <v>Green</v>
      </c>
      <c r="Q1469" t="str">
        <f t="shared" si="466"/>
        <v>Red</v>
      </c>
      <c r="R1469" t="str">
        <f t="shared" si="467"/>
        <v>Green</v>
      </c>
      <c r="S1469" t="str">
        <f t="shared" si="468"/>
        <v>Green</v>
      </c>
      <c r="T1469" t="str">
        <f t="shared" si="469"/>
        <v>Red</v>
      </c>
      <c r="U1469" t="str">
        <f t="shared" si="470"/>
        <v>Red</v>
      </c>
      <c r="V1469" t="str">
        <f t="shared" si="471"/>
        <v>Green</v>
      </c>
      <c r="W1469" t="str">
        <f t="shared" si="472"/>
        <v>Red</v>
      </c>
      <c r="X1469" t="str">
        <f t="shared" si="473"/>
        <v>Red</v>
      </c>
      <c r="Y1469" t="str">
        <f t="shared" si="474"/>
        <v>Red</v>
      </c>
      <c r="Z1469" t="str">
        <f t="shared" si="475"/>
        <v>Red</v>
      </c>
      <c r="AA1469" t="str">
        <f t="shared" si="476"/>
        <v>Green</v>
      </c>
      <c r="AB1469" t="str">
        <f t="shared" si="477"/>
        <v>Green</v>
      </c>
      <c r="AC1469" t="str">
        <f t="shared" si="478"/>
        <v>Red</v>
      </c>
      <c r="AD1469" t="str">
        <f t="shared" si="479"/>
        <v>Green</v>
      </c>
    </row>
    <row r="1470" spans="1:30" x14ac:dyDescent="0.2">
      <c r="A1470" t="str">
        <f t="shared" si="480"/>
        <v>25/07/2026AS TrencinKFC Komarno</v>
      </c>
      <c r="D1470" s="2">
        <v>46228</v>
      </c>
      <c r="E1470" s="3">
        <v>0.66666666666666663</v>
      </c>
      <c r="F1470" t="s">
        <v>3618</v>
      </c>
      <c r="G1470" t="s">
        <v>3619</v>
      </c>
      <c r="H1470">
        <v>1</v>
      </c>
      <c r="I1470">
        <v>0</v>
      </c>
      <c r="J1470">
        <v>1</v>
      </c>
      <c r="K1470">
        <v>1</v>
      </c>
      <c r="L1470" s="22" t="str">
        <f t="shared" si="481"/>
        <v>25/07/2026</v>
      </c>
      <c r="M1470" s="23">
        <f t="shared" si="482"/>
        <v>0.54166666666666663</v>
      </c>
      <c r="N1470" t="str">
        <f t="shared" si="483"/>
        <v>1 - 1</v>
      </c>
      <c r="O1470" t="str">
        <f t="shared" si="464"/>
        <v>Red</v>
      </c>
      <c r="P1470" t="str">
        <f t="shared" si="465"/>
        <v>Green</v>
      </c>
      <c r="Q1470" t="str">
        <f t="shared" si="466"/>
        <v>Red</v>
      </c>
      <c r="R1470" t="str">
        <f t="shared" si="467"/>
        <v>Green</v>
      </c>
      <c r="S1470" t="str">
        <f t="shared" si="468"/>
        <v>Green</v>
      </c>
      <c r="T1470" t="str">
        <f t="shared" si="469"/>
        <v>Red</v>
      </c>
      <c r="U1470" t="str">
        <f t="shared" si="470"/>
        <v>Green</v>
      </c>
      <c r="V1470" t="str">
        <f t="shared" si="471"/>
        <v>Red</v>
      </c>
      <c r="W1470" t="str">
        <f t="shared" si="472"/>
        <v>Red</v>
      </c>
      <c r="X1470" t="str">
        <f t="shared" si="473"/>
        <v>Green</v>
      </c>
      <c r="Y1470" t="str">
        <f t="shared" si="474"/>
        <v>Green</v>
      </c>
      <c r="Z1470" t="str">
        <f t="shared" si="475"/>
        <v>Red</v>
      </c>
      <c r="AA1470" t="str">
        <f t="shared" si="476"/>
        <v>Green</v>
      </c>
      <c r="AB1470" t="str">
        <f t="shared" si="477"/>
        <v>Green</v>
      </c>
      <c r="AC1470" t="str">
        <f t="shared" si="478"/>
        <v>Green</v>
      </c>
      <c r="AD1470" t="str">
        <f t="shared" si="479"/>
        <v>Red</v>
      </c>
    </row>
    <row r="1471" spans="1:30" x14ac:dyDescent="0.2">
      <c r="A1471" t="str">
        <f t="shared" si="480"/>
        <v>25/07/2026Spartak TrnavaMFK Skalica</v>
      </c>
      <c r="D1471" s="2">
        <v>46228</v>
      </c>
      <c r="E1471" s="3">
        <v>0.66666666666666663</v>
      </c>
      <c r="F1471" t="s">
        <v>1810</v>
      </c>
      <c r="G1471" t="s">
        <v>3620</v>
      </c>
      <c r="H1471">
        <v>1</v>
      </c>
      <c r="I1471">
        <v>1</v>
      </c>
      <c r="J1471">
        <v>1</v>
      </c>
      <c r="K1471">
        <v>1</v>
      </c>
      <c r="L1471" s="22" t="str">
        <f t="shared" si="481"/>
        <v>25/07/2026</v>
      </c>
      <c r="M1471" s="23">
        <f t="shared" si="482"/>
        <v>0.54166666666666663</v>
      </c>
      <c r="N1471" t="str">
        <f t="shared" si="483"/>
        <v>1 - 1</v>
      </c>
      <c r="O1471" t="str">
        <f t="shared" si="464"/>
        <v>Red</v>
      </c>
      <c r="P1471" t="str">
        <f t="shared" si="465"/>
        <v>Green</v>
      </c>
      <c r="Q1471" t="str">
        <f t="shared" si="466"/>
        <v>Red</v>
      </c>
      <c r="R1471" t="str">
        <f t="shared" si="467"/>
        <v>Green</v>
      </c>
      <c r="S1471" t="str">
        <f t="shared" si="468"/>
        <v>Green</v>
      </c>
      <c r="T1471" t="str">
        <f t="shared" si="469"/>
        <v>Red</v>
      </c>
      <c r="U1471" t="str">
        <f t="shared" si="470"/>
        <v>Red</v>
      </c>
      <c r="V1471" t="str">
        <f t="shared" si="471"/>
        <v>Green</v>
      </c>
      <c r="W1471" t="str">
        <f t="shared" si="472"/>
        <v>Red</v>
      </c>
      <c r="X1471" t="str">
        <f t="shared" si="473"/>
        <v>Green</v>
      </c>
      <c r="Y1471" t="str">
        <f t="shared" si="474"/>
        <v>Green</v>
      </c>
      <c r="Z1471" t="str">
        <f t="shared" si="475"/>
        <v>Red</v>
      </c>
      <c r="AA1471" t="str">
        <f t="shared" si="476"/>
        <v>Green</v>
      </c>
      <c r="AB1471" t="str">
        <f t="shared" si="477"/>
        <v>Green</v>
      </c>
      <c r="AC1471" t="str">
        <f t="shared" si="478"/>
        <v>Green</v>
      </c>
      <c r="AD1471" t="str">
        <f t="shared" si="479"/>
        <v>Red</v>
      </c>
    </row>
    <row r="1472" spans="1:30" x14ac:dyDescent="0.2">
      <c r="A1472" t="str">
        <f t="shared" si="480"/>
        <v>25/07/2026NS MuraNK Olimpija Ljubljana</v>
      </c>
      <c r="D1472" s="2">
        <v>46228</v>
      </c>
      <c r="E1472" s="3">
        <v>0.66666666666666663</v>
      </c>
      <c r="F1472" t="s">
        <v>3633</v>
      </c>
      <c r="G1472" t="s">
        <v>3634</v>
      </c>
      <c r="H1472">
        <v>1</v>
      </c>
      <c r="I1472">
        <v>0</v>
      </c>
      <c r="J1472">
        <v>1</v>
      </c>
      <c r="K1472">
        <v>0</v>
      </c>
      <c r="L1472" s="22" t="str">
        <f t="shared" si="481"/>
        <v>25/07/2026</v>
      </c>
      <c r="M1472" s="23">
        <f t="shared" si="482"/>
        <v>0.54166666666666663</v>
      </c>
      <c r="N1472" t="str">
        <f t="shared" si="483"/>
        <v>1 - 0</v>
      </c>
      <c r="O1472" t="str">
        <f t="shared" si="464"/>
        <v>Green</v>
      </c>
      <c r="P1472" t="str">
        <f t="shared" si="465"/>
        <v>Red</v>
      </c>
      <c r="Q1472" t="str">
        <f t="shared" si="466"/>
        <v>Red</v>
      </c>
      <c r="R1472" t="str">
        <f t="shared" si="467"/>
        <v>Green</v>
      </c>
      <c r="S1472" t="str">
        <f t="shared" si="468"/>
        <v>Red</v>
      </c>
      <c r="T1472" t="str">
        <f t="shared" si="469"/>
        <v>Green</v>
      </c>
      <c r="U1472" t="str">
        <f t="shared" si="470"/>
        <v>Green</v>
      </c>
      <c r="V1472" t="str">
        <f t="shared" si="471"/>
        <v>Red</v>
      </c>
      <c r="W1472" t="str">
        <f t="shared" si="472"/>
        <v>Red</v>
      </c>
      <c r="X1472" t="str">
        <f t="shared" si="473"/>
        <v>Green</v>
      </c>
      <c r="Y1472" t="str">
        <f t="shared" si="474"/>
        <v>Red</v>
      </c>
      <c r="Z1472" t="str">
        <f t="shared" si="475"/>
        <v>Red</v>
      </c>
      <c r="AA1472" t="str">
        <f t="shared" si="476"/>
        <v>Green</v>
      </c>
      <c r="AB1472" t="str">
        <f t="shared" si="477"/>
        <v>Green</v>
      </c>
      <c r="AC1472" t="str">
        <f t="shared" si="478"/>
        <v>Red</v>
      </c>
      <c r="AD1472" t="str">
        <f t="shared" si="479"/>
        <v>Green</v>
      </c>
    </row>
    <row r="1473" spans="1:30" x14ac:dyDescent="0.2">
      <c r="A1473" t="str">
        <f t="shared" si="480"/>
        <v>25/07/2026Lausanne SportGrasshoppers</v>
      </c>
      <c r="D1473" s="2">
        <v>46228</v>
      </c>
      <c r="E1473" s="3">
        <v>0.66666666666666663</v>
      </c>
      <c r="F1473" t="s">
        <v>3673</v>
      </c>
      <c r="G1473" t="s">
        <v>3674</v>
      </c>
      <c r="H1473">
        <v>1</v>
      </c>
      <c r="I1473">
        <v>0</v>
      </c>
      <c r="J1473">
        <v>1</v>
      </c>
      <c r="K1473">
        <v>1</v>
      </c>
      <c r="L1473" s="22" t="str">
        <f t="shared" si="481"/>
        <v>25/07/2026</v>
      </c>
      <c r="M1473" s="23">
        <f t="shared" si="482"/>
        <v>0.54166666666666663</v>
      </c>
      <c r="N1473" t="str">
        <f t="shared" si="483"/>
        <v>1 - 1</v>
      </c>
      <c r="O1473" t="str">
        <f t="shared" si="464"/>
        <v>Red</v>
      </c>
      <c r="P1473" t="str">
        <f t="shared" si="465"/>
        <v>Green</v>
      </c>
      <c r="Q1473" t="str">
        <f t="shared" si="466"/>
        <v>Red</v>
      </c>
      <c r="R1473" t="str">
        <f t="shared" si="467"/>
        <v>Green</v>
      </c>
      <c r="S1473" t="str">
        <f t="shared" si="468"/>
        <v>Green</v>
      </c>
      <c r="T1473" t="str">
        <f t="shared" si="469"/>
        <v>Red</v>
      </c>
      <c r="U1473" t="str">
        <f t="shared" si="470"/>
        <v>Green</v>
      </c>
      <c r="V1473" t="str">
        <f t="shared" si="471"/>
        <v>Red</v>
      </c>
      <c r="W1473" t="str">
        <f t="shared" si="472"/>
        <v>Red</v>
      </c>
      <c r="X1473" t="str">
        <f t="shared" si="473"/>
        <v>Green</v>
      </c>
      <c r="Y1473" t="str">
        <f t="shared" si="474"/>
        <v>Green</v>
      </c>
      <c r="Z1473" t="str">
        <f t="shared" si="475"/>
        <v>Red</v>
      </c>
      <c r="AA1473" t="str">
        <f t="shared" si="476"/>
        <v>Green</v>
      </c>
      <c r="AB1473" t="str">
        <f t="shared" si="477"/>
        <v>Green</v>
      </c>
      <c r="AC1473" t="str">
        <f t="shared" si="478"/>
        <v>Green</v>
      </c>
      <c r="AD1473" t="str">
        <f t="shared" si="479"/>
        <v>Red</v>
      </c>
    </row>
    <row r="1474" spans="1:30" x14ac:dyDescent="0.2">
      <c r="A1474" t="str">
        <f t="shared" si="480"/>
        <v>25/07/2026ServetteBasel</v>
      </c>
      <c r="D1474" s="2">
        <v>46228</v>
      </c>
      <c r="E1474" s="3">
        <v>0.66666666666666663</v>
      </c>
      <c r="F1474" t="s">
        <v>3675</v>
      </c>
      <c r="G1474" t="s">
        <v>3676</v>
      </c>
      <c r="H1474">
        <v>0</v>
      </c>
      <c r="I1474">
        <v>0</v>
      </c>
      <c r="J1474">
        <v>0</v>
      </c>
      <c r="K1474">
        <v>1</v>
      </c>
      <c r="L1474" s="22" t="str">
        <f t="shared" si="481"/>
        <v>25/07/2026</v>
      </c>
      <c r="M1474" s="23">
        <f t="shared" si="482"/>
        <v>0.54166666666666663</v>
      </c>
      <c r="N1474" t="str">
        <f t="shared" si="483"/>
        <v>0 - 1</v>
      </c>
      <c r="O1474" t="str">
        <f t="shared" ref="O1474:O1537" si="484">IF($J1474&gt;$K1474,"Green","Red")</f>
        <v>Red</v>
      </c>
      <c r="P1474" t="str">
        <f t="shared" ref="P1474:P1537" si="485">IF($J1474=$K1474,"Green","Red")</f>
        <v>Red</v>
      </c>
      <c r="Q1474" t="str">
        <f t="shared" ref="Q1474:Q1537" si="486">IF($J1474&lt;$K1474,"Green","Red")</f>
        <v>Green</v>
      </c>
      <c r="R1474" t="str">
        <f t="shared" ref="R1474:R1537" si="487">IF($J1474&gt;=$K1474,"Green","Red")</f>
        <v>Red</v>
      </c>
      <c r="S1474" t="str">
        <f t="shared" ref="S1474:S1537" si="488">IF($J1474&lt;=$K1474,"Green","Red")</f>
        <v>Green</v>
      </c>
      <c r="T1474" t="str">
        <f t="shared" ref="T1474:T1537" si="489">IF(OR($J1474&gt;$K1474,$J1474&lt;$K1474),"Green","Red")</f>
        <v>Green</v>
      </c>
      <c r="U1474" t="str">
        <f t="shared" ref="U1474:U1537" si="490">IF($H1474&gt;$I1474,"Green","Red")</f>
        <v>Red</v>
      </c>
      <c r="V1474" t="str">
        <f t="shared" ref="V1474:V1537" si="491">IF($H1474=$I1474,"Green","Red")</f>
        <v>Green</v>
      </c>
      <c r="W1474" t="str">
        <f t="shared" ref="W1474:W1537" si="492">IF($H1474&lt;$I1474,"Green","Red")</f>
        <v>Red</v>
      </c>
      <c r="X1474" t="str">
        <f t="shared" ref="X1474:X1537" si="493">IF($H1474+$I1474&gt;0,"Green","Red")</f>
        <v>Red</v>
      </c>
      <c r="Y1474" t="str">
        <f t="shared" ref="Y1474:Y1537" si="494">IF($J1474+$K1474&gt;1.5,"Green","Red")</f>
        <v>Red</v>
      </c>
      <c r="Z1474" t="str">
        <f t="shared" ref="Z1474:Z1537" si="495">IF($J1474+$K1474&gt;2.5,"Green","Red")</f>
        <v>Red</v>
      </c>
      <c r="AA1474" t="str">
        <f t="shared" ref="AA1474:AA1537" si="496">IF($J1474+$K1474&lt;2.5,"Green","Red")</f>
        <v>Green</v>
      </c>
      <c r="AB1474" t="str">
        <f t="shared" ref="AB1474:AB1537" si="497">IF($J1474+$K1474&lt;3.5,"Green","Red")</f>
        <v>Green</v>
      </c>
      <c r="AC1474" t="str">
        <f t="shared" ref="AC1474:AC1537" si="498">IF(AND($J1474&gt;0,$K1474&gt;0),"Green","Red")</f>
        <v>Red</v>
      </c>
      <c r="AD1474" t="str">
        <f t="shared" ref="AD1474:AD1537" si="499">IF(OR($J1474=0,$K1474=0),"Green","Red")</f>
        <v>Green</v>
      </c>
    </row>
    <row r="1475" spans="1:30" x14ac:dyDescent="0.2">
      <c r="A1475" t="str">
        <f t="shared" si="480"/>
        <v>25/07/2026TacuaremboPlaza Colonia</v>
      </c>
      <c r="D1475" s="2">
        <v>46228</v>
      </c>
      <c r="E1475" s="3">
        <v>0.66666666666666663</v>
      </c>
      <c r="F1475" t="s">
        <v>3688</v>
      </c>
      <c r="G1475" t="s">
        <v>3689</v>
      </c>
      <c r="H1475">
        <v>0</v>
      </c>
      <c r="I1475">
        <v>0</v>
      </c>
      <c r="J1475">
        <v>0</v>
      </c>
      <c r="K1475">
        <v>2</v>
      </c>
      <c r="L1475" s="22" t="str">
        <f t="shared" si="481"/>
        <v>25/07/2026</v>
      </c>
      <c r="M1475" s="23">
        <f t="shared" si="482"/>
        <v>0.54166666666666663</v>
      </c>
      <c r="N1475" t="str">
        <f t="shared" si="483"/>
        <v>0 - 2</v>
      </c>
      <c r="O1475" t="str">
        <f t="shared" si="484"/>
        <v>Red</v>
      </c>
      <c r="P1475" t="str">
        <f t="shared" si="485"/>
        <v>Red</v>
      </c>
      <c r="Q1475" t="str">
        <f t="shared" si="486"/>
        <v>Green</v>
      </c>
      <c r="R1475" t="str">
        <f t="shared" si="487"/>
        <v>Red</v>
      </c>
      <c r="S1475" t="str">
        <f t="shared" si="488"/>
        <v>Green</v>
      </c>
      <c r="T1475" t="str">
        <f t="shared" si="489"/>
        <v>Green</v>
      </c>
      <c r="U1475" t="str">
        <f t="shared" si="490"/>
        <v>Red</v>
      </c>
      <c r="V1475" t="str">
        <f t="shared" si="491"/>
        <v>Green</v>
      </c>
      <c r="W1475" t="str">
        <f t="shared" si="492"/>
        <v>Red</v>
      </c>
      <c r="X1475" t="str">
        <f t="shared" si="493"/>
        <v>Red</v>
      </c>
      <c r="Y1475" t="str">
        <f t="shared" si="494"/>
        <v>Green</v>
      </c>
      <c r="Z1475" t="str">
        <f t="shared" si="495"/>
        <v>Red</v>
      </c>
      <c r="AA1475" t="str">
        <f t="shared" si="496"/>
        <v>Green</v>
      </c>
      <c r="AB1475" t="str">
        <f t="shared" si="497"/>
        <v>Green</v>
      </c>
      <c r="AC1475" t="str">
        <f t="shared" si="498"/>
        <v>Red</v>
      </c>
      <c r="AD1475" t="str">
        <f t="shared" si="499"/>
        <v>Green</v>
      </c>
    </row>
    <row r="1476" spans="1:30" x14ac:dyDescent="0.2">
      <c r="A1476" t="str">
        <f t="shared" si="480"/>
        <v>25/07/2026El FarolitoAmbassadors FC Ohio</v>
      </c>
      <c r="D1476" s="2">
        <v>46228</v>
      </c>
      <c r="E1476" s="3">
        <v>0.66666666666666663</v>
      </c>
      <c r="F1476" t="s">
        <v>3715</v>
      </c>
      <c r="G1476" t="s">
        <v>3716</v>
      </c>
      <c r="H1476">
        <v>2</v>
      </c>
      <c r="I1476">
        <v>0</v>
      </c>
      <c r="J1476">
        <v>3</v>
      </c>
      <c r="K1476">
        <v>2</v>
      </c>
      <c r="L1476" s="22" t="str">
        <f t="shared" si="481"/>
        <v>25/07/2026</v>
      </c>
      <c r="M1476" s="23">
        <f t="shared" si="482"/>
        <v>0.54166666666666663</v>
      </c>
      <c r="N1476" t="str">
        <f t="shared" si="483"/>
        <v>3 - 2</v>
      </c>
      <c r="O1476" t="str">
        <f t="shared" si="484"/>
        <v>Green</v>
      </c>
      <c r="P1476" t="str">
        <f t="shared" si="485"/>
        <v>Red</v>
      </c>
      <c r="Q1476" t="str">
        <f t="shared" si="486"/>
        <v>Red</v>
      </c>
      <c r="R1476" t="str">
        <f t="shared" si="487"/>
        <v>Green</v>
      </c>
      <c r="S1476" t="str">
        <f t="shared" si="488"/>
        <v>Red</v>
      </c>
      <c r="T1476" t="str">
        <f t="shared" si="489"/>
        <v>Green</v>
      </c>
      <c r="U1476" t="str">
        <f t="shared" si="490"/>
        <v>Green</v>
      </c>
      <c r="V1476" t="str">
        <f t="shared" si="491"/>
        <v>Red</v>
      </c>
      <c r="W1476" t="str">
        <f t="shared" si="492"/>
        <v>Red</v>
      </c>
      <c r="X1476" t="str">
        <f t="shared" si="493"/>
        <v>Green</v>
      </c>
      <c r="Y1476" t="str">
        <f t="shared" si="494"/>
        <v>Green</v>
      </c>
      <c r="Z1476" t="str">
        <f t="shared" si="495"/>
        <v>Green</v>
      </c>
      <c r="AA1476" t="str">
        <f t="shared" si="496"/>
        <v>Red</v>
      </c>
      <c r="AB1476" t="str">
        <f t="shared" si="497"/>
        <v>Red</v>
      </c>
      <c r="AC1476" t="str">
        <f t="shared" si="498"/>
        <v>Green</v>
      </c>
      <c r="AD1476" t="str">
        <f t="shared" si="499"/>
        <v>Red</v>
      </c>
    </row>
    <row r="1477" spans="1:30" x14ac:dyDescent="0.2">
      <c r="A1477" t="str">
        <f t="shared" si="480"/>
        <v>25/07/2026A.C. TrentoSassuolo</v>
      </c>
      <c r="D1477" s="2">
        <v>46228</v>
      </c>
      <c r="E1477" s="3">
        <v>0.66666666666666663</v>
      </c>
      <c r="F1477" t="s">
        <v>3950</v>
      </c>
      <c r="G1477" t="s">
        <v>1643</v>
      </c>
      <c r="H1477">
        <v>1</v>
      </c>
      <c r="I1477">
        <v>0</v>
      </c>
      <c r="J1477">
        <v>2</v>
      </c>
      <c r="K1477">
        <v>0</v>
      </c>
      <c r="L1477" s="22" t="str">
        <f t="shared" si="481"/>
        <v>25/07/2026</v>
      </c>
      <c r="M1477" s="23">
        <f t="shared" si="482"/>
        <v>0.54166666666666663</v>
      </c>
      <c r="N1477" t="str">
        <f t="shared" si="483"/>
        <v>2 - 0</v>
      </c>
      <c r="O1477" t="str">
        <f t="shared" si="484"/>
        <v>Green</v>
      </c>
      <c r="P1477" t="str">
        <f t="shared" si="485"/>
        <v>Red</v>
      </c>
      <c r="Q1477" t="str">
        <f t="shared" si="486"/>
        <v>Red</v>
      </c>
      <c r="R1477" t="str">
        <f t="shared" si="487"/>
        <v>Green</v>
      </c>
      <c r="S1477" t="str">
        <f t="shared" si="488"/>
        <v>Red</v>
      </c>
      <c r="T1477" t="str">
        <f t="shared" si="489"/>
        <v>Green</v>
      </c>
      <c r="U1477" t="str">
        <f t="shared" si="490"/>
        <v>Green</v>
      </c>
      <c r="V1477" t="str">
        <f t="shared" si="491"/>
        <v>Red</v>
      </c>
      <c r="W1477" t="str">
        <f t="shared" si="492"/>
        <v>Red</v>
      </c>
      <c r="X1477" t="str">
        <f t="shared" si="493"/>
        <v>Green</v>
      </c>
      <c r="Y1477" t="str">
        <f t="shared" si="494"/>
        <v>Green</v>
      </c>
      <c r="Z1477" t="str">
        <f t="shared" si="495"/>
        <v>Red</v>
      </c>
      <c r="AA1477" t="str">
        <f t="shared" si="496"/>
        <v>Green</v>
      </c>
      <c r="AB1477" t="str">
        <f t="shared" si="497"/>
        <v>Green</v>
      </c>
      <c r="AC1477" t="str">
        <f t="shared" si="498"/>
        <v>Red</v>
      </c>
      <c r="AD1477" t="str">
        <f t="shared" si="499"/>
        <v>Green</v>
      </c>
    </row>
    <row r="1478" spans="1:30" x14ac:dyDescent="0.2">
      <c r="A1478" t="str">
        <f t="shared" si="480"/>
        <v>25/07/2026ClermontMontpellier</v>
      </c>
      <c r="D1478" s="2">
        <v>46228</v>
      </c>
      <c r="E1478" s="3">
        <v>0.66666666666666663</v>
      </c>
      <c r="F1478" t="s">
        <v>1693</v>
      </c>
      <c r="G1478" t="s">
        <v>1707</v>
      </c>
      <c r="H1478">
        <v>0</v>
      </c>
      <c r="I1478">
        <v>0</v>
      </c>
      <c r="J1478">
        <v>0</v>
      </c>
      <c r="K1478">
        <v>1</v>
      </c>
      <c r="L1478" s="22" t="str">
        <f t="shared" si="481"/>
        <v>25/07/2026</v>
      </c>
      <c r="M1478" s="23">
        <f t="shared" si="482"/>
        <v>0.54166666666666663</v>
      </c>
      <c r="N1478" t="str">
        <f t="shared" si="483"/>
        <v>0 - 1</v>
      </c>
      <c r="O1478" t="str">
        <f t="shared" si="484"/>
        <v>Red</v>
      </c>
      <c r="P1478" t="str">
        <f t="shared" si="485"/>
        <v>Red</v>
      </c>
      <c r="Q1478" t="str">
        <f t="shared" si="486"/>
        <v>Green</v>
      </c>
      <c r="R1478" t="str">
        <f t="shared" si="487"/>
        <v>Red</v>
      </c>
      <c r="S1478" t="str">
        <f t="shared" si="488"/>
        <v>Green</v>
      </c>
      <c r="T1478" t="str">
        <f t="shared" si="489"/>
        <v>Green</v>
      </c>
      <c r="U1478" t="str">
        <f t="shared" si="490"/>
        <v>Red</v>
      </c>
      <c r="V1478" t="str">
        <f t="shared" si="491"/>
        <v>Green</v>
      </c>
      <c r="W1478" t="str">
        <f t="shared" si="492"/>
        <v>Red</v>
      </c>
      <c r="X1478" t="str">
        <f t="shared" si="493"/>
        <v>Red</v>
      </c>
      <c r="Y1478" t="str">
        <f t="shared" si="494"/>
        <v>Red</v>
      </c>
      <c r="Z1478" t="str">
        <f t="shared" si="495"/>
        <v>Red</v>
      </c>
      <c r="AA1478" t="str">
        <f t="shared" si="496"/>
        <v>Green</v>
      </c>
      <c r="AB1478" t="str">
        <f t="shared" si="497"/>
        <v>Green</v>
      </c>
      <c r="AC1478" t="str">
        <f t="shared" si="498"/>
        <v>Red</v>
      </c>
      <c r="AD1478" t="str">
        <f t="shared" si="499"/>
        <v>Green</v>
      </c>
    </row>
    <row r="1479" spans="1:30" x14ac:dyDescent="0.2">
      <c r="A1479" t="str">
        <f t="shared" si="480"/>
        <v>25/07/2026DijonSochaux</v>
      </c>
      <c r="D1479" s="2">
        <v>46228</v>
      </c>
      <c r="E1479" s="3">
        <v>0.66666666666666663</v>
      </c>
      <c r="F1479" t="s">
        <v>1759</v>
      </c>
      <c r="G1479" t="s">
        <v>1655</v>
      </c>
      <c r="H1479">
        <v>1</v>
      </c>
      <c r="I1479">
        <v>0</v>
      </c>
      <c r="J1479">
        <v>3</v>
      </c>
      <c r="K1479">
        <v>0</v>
      </c>
      <c r="L1479" s="22" t="str">
        <f t="shared" si="481"/>
        <v>25/07/2026</v>
      </c>
      <c r="M1479" s="23">
        <f t="shared" si="482"/>
        <v>0.54166666666666663</v>
      </c>
      <c r="N1479" t="str">
        <f t="shared" si="483"/>
        <v>3 - 0</v>
      </c>
      <c r="O1479" t="str">
        <f t="shared" si="484"/>
        <v>Green</v>
      </c>
      <c r="P1479" t="str">
        <f t="shared" si="485"/>
        <v>Red</v>
      </c>
      <c r="Q1479" t="str">
        <f t="shared" si="486"/>
        <v>Red</v>
      </c>
      <c r="R1479" t="str">
        <f t="shared" si="487"/>
        <v>Green</v>
      </c>
      <c r="S1479" t="str">
        <f t="shared" si="488"/>
        <v>Red</v>
      </c>
      <c r="T1479" t="str">
        <f t="shared" si="489"/>
        <v>Green</v>
      </c>
      <c r="U1479" t="str">
        <f t="shared" si="490"/>
        <v>Green</v>
      </c>
      <c r="V1479" t="str">
        <f t="shared" si="491"/>
        <v>Red</v>
      </c>
      <c r="W1479" t="str">
        <f t="shared" si="492"/>
        <v>Red</v>
      </c>
      <c r="X1479" t="str">
        <f t="shared" si="493"/>
        <v>Green</v>
      </c>
      <c r="Y1479" t="str">
        <f t="shared" si="494"/>
        <v>Green</v>
      </c>
      <c r="Z1479" t="str">
        <f t="shared" si="495"/>
        <v>Green</v>
      </c>
      <c r="AA1479" t="str">
        <f t="shared" si="496"/>
        <v>Red</v>
      </c>
      <c r="AB1479" t="str">
        <f t="shared" si="497"/>
        <v>Green</v>
      </c>
      <c r="AC1479" t="str">
        <f t="shared" si="498"/>
        <v>Red</v>
      </c>
      <c r="AD1479" t="str">
        <f t="shared" si="499"/>
        <v>Green</v>
      </c>
    </row>
    <row r="1480" spans="1:30" x14ac:dyDescent="0.2">
      <c r="A1480" t="str">
        <f t="shared" si="480"/>
        <v>25/07/2026EmpoliVirtus Entella</v>
      </c>
      <c r="D1480" s="2">
        <v>46228</v>
      </c>
      <c r="E1480" s="3">
        <v>0.66666666666666663</v>
      </c>
      <c r="F1480" t="s">
        <v>3951</v>
      </c>
      <c r="G1480" t="s">
        <v>3952</v>
      </c>
      <c r="H1480">
        <v>1</v>
      </c>
      <c r="I1480">
        <v>0</v>
      </c>
      <c r="J1480">
        <v>1</v>
      </c>
      <c r="K1480">
        <v>0</v>
      </c>
      <c r="L1480" s="22" t="str">
        <f t="shared" si="481"/>
        <v>25/07/2026</v>
      </c>
      <c r="M1480" s="23">
        <f t="shared" si="482"/>
        <v>0.54166666666666663</v>
      </c>
      <c r="N1480" t="str">
        <f t="shared" si="483"/>
        <v>1 - 0</v>
      </c>
      <c r="O1480" t="str">
        <f t="shared" si="484"/>
        <v>Green</v>
      </c>
      <c r="P1480" t="str">
        <f t="shared" si="485"/>
        <v>Red</v>
      </c>
      <c r="Q1480" t="str">
        <f t="shared" si="486"/>
        <v>Red</v>
      </c>
      <c r="R1480" t="str">
        <f t="shared" si="487"/>
        <v>Green</v>
      </c>
      <c r="S1480" t="str">
        <f t="shared" si="488"/>
        <v>Red</v>
      </c>
      <c r="T1480" t="str">
        <f t="shared" si="489"/>
        <v>Green</v>
      </c>
      <c r="U1480" t="str">
        <f t="shared" si="490"/>
        <v>Green</v>
      </c>
      <c r="V1480" t="str">
        <f t="shared" si="491"/>
        <v>Red</v>
      </c>
      <c r="W1480" t="str">
        <f t="shared" si="492"/>
        <v>Red</v>
      </c>
      <c r="X1480" t="str">
        <f t="shared" si="493"/>
        <v>Green</v>
      </c>
      <c r="Y1480" t="str">
        <f t="shared" si="494"/>
        <v>Red</v>
      </c>
      <c r="Z1480" t="str">
        <f t="shared" si="495"/>
        <v>Red</v>
      </c>
      <c r="AA1480" t="str">
        <f t="shared" si="496"/>
        <v>Green</v>
      </c>
      <c r="AB1480" t="str">
        <f t="shared" si="497"/>
        <v>Green</v>
      </c>
      <c r="AC1480" t="str">
        <f t="shared" si="498"/>
        <v>Red</v>
      </c>
      <c r="AD1480" t="str">
        <f t="shared" si="499"/>
        <v>Green</v>
      </c>
    </row>
    <row r="1481" spans="1:30" x14ac:dyDescent="0.2">
      <c r="A1481" t="str">
        <f t="shared" si="480"/>
        <v>25/07/2026FC SolothurnLuzern II</v>
      </c>
      <c r="D1481" s="2">
        <v>46228</v>
      </c>
      <c r="E1481" s="3">
        <v>0.66666666666666663</v>
      </c>
      <c r="F1481" t="s">
        <v>3953</v>
      </c>
      <c r="G1481" t="s">
        <v>3954</v>
      </c>
      <c r="H1481">
        <v>0</v>
      </c>
      <c r="I1481">
        <v>2</v>
      </c>
      <c r="J1481">
        <v>1</v>
      </c>
      <c r="K1481">
        <v>3</v>
      </c>
      <c r="L1481" s="22" t="str">
        <f t="shared" si="481"/>
        <v>25/07/2026</v>
      </c>
      <c r="M1481" s="23">
        <f t="shared" si="482"/>
        <v>0.54166666666666663</v>
      </c>
      <c r="N1481" t="str">
        <f t="shared" si="483"/>
        <v>1 - 3</v>
      </c>
      <c r="O1481" t="str">
        <f t="shared" si="484"/>
        <v>Red</v>
      </c>
      <c r="P1481" t="str">
        <f t="shared" si="485"/>
        <v>Red</v>
      </c>
      <c r="Q1481" t="str">
        <f t="shared" si="486"/>
        <v>Green</v>
      </c>
      <c r="R1481" t="str">
        <f t="shared" si="487"/>
        <v>Red</v>
      </c>
      <c r="S1481" t="str">
        <f t="shared" si="488"/>
        <v>Green</v>
      </c>
      <c r="T1481" t="str">
        <f t="shared" si="489"/>
        <v>Green</v>
      </c>
      <c r="U1481" t="str">
        <f t="shared" si="490"/>
        <v>Red</v>
      </c>
      <c r="V1481" t="str">
        <f t="shared" si="491"/>
        <v>Red</v>
      </c>
      <c r="W1481" t="str">
        <f t="shared" si="492"/>
        <v>Green</v>
      </c>
      <c r="X1481" t="str">
        <f t="shared" si="493"/>
        <v>Green</v>
      </c>
      <c r="Y1481" t="str">
        <f t="shared" si="494"/>
        <v>Green</v>
      </c>
      <c r="Z1481" t="str">
        <f t="shared" si="495"/>
        <v>Green</v>
      </c>
      <c r="AA1481" t="str">
        <f t="shared" si="496"/>
        <v>Red</v>
      </c>
      <c r="AB1481" t="str">
        <f t="shared" si="497"/>
        <v>Red</v>
      </c>
      <c r="AC1481" t="str">
        <f t="shared" si="498"/>
        <v>Green</v>
      </c>
      <c r="AD1481" t="str">
        <f t="shared" si="499"/>
        <v>Red</v>
      </c>
    </row>
    <row r="1482" spans="1:30" x14ac:dyDescent="0.2">
      <c r="A1482" t="str">
        <f t="shared" si="480"/>
        <v>25/07/2026FK Otrant UlcinjKF Vllaznia</v>
      </c>
      <c r="D1482" s="2">
        <v>46228</v>
      </c>
      <c r="E1482" s="3">
        <v>0.66666666666666663</v>
      </c>
      <c r="F1482" t="s">
        <v>3955</v>
      </c>
      <c r="G1482" t="s">
        <v>3956</v>
      </c>
      <c r="H1482">
        <v>1</v>
      </c>
      <c r="I1482">
        <v>0</v>
      </c>
      <c r="J1482">
        <v>2</v>
      </c>
      <c r="K1482">
        <v>1</v>
      </c>
      <c r="L1482" s="22" t="str">
        <f t="shared" si="481"/>
        <v>25/07/2026</v>
      </c>
      <c r="M1482" s="23">
        <f t="shared" si="482"/>
        <v>0.54166666666666663</v>
      </c>
      <c r="N1482" t="str">
        <f t="shared" si="483"/>
        <v>2 - 1</v>
      </c>
      <c r="O1482" t="str">
        <f t="shared" si="484"/>
        <v>Green</v>
      </c>
      <c r="P1482" t="str">
        <f t="shared" si="485"/>
        <v>Red</v>
      </c>
      <c r="Q1482" t="str">
        <f t="shared" si="486"/>
        <v>Red</v>
      </c>
      <c r="R1482" t="str">
        <f t="shared" si="487"/>
        <v>Green</v>
      </c>
      <c r="S1482" t="str">
        <f t="shared" si="488"/>
        <v>Red</v>
      </c>
      <c r="T1482" t="str">
        <f t="shared" si="489"/>
        <v>Green</v>
      </c>
      <c r="U1482" t="str">
        <f t="shared" si="490"/>
        <v>Green</v>
      </c>
      <c r="V1482" t="str">
        <f t="shared" si="491"/>
        <v>Red</v>
      </c>
      <c r="W1482" t="str">
        <f t="shared" si="492"/>
        <v>Red</v>
      </c>
      <c r="X1482" t="str">
        <f t="shared" si="493"/>
        <v>Green</v>
      </c>
      <c r="Y1482" t="str">
        <f t="shared" si="494"/>
        <v>Green</v>
      </c>
      <c r="Z1482" t="str">
        <f t="shared" si="495"/>
        <v>Green</v>
      </c>
      <c r="AA1482" t="str">
        <f t="shared" si="496"/>
        <v>Red</v>
      </c>
      <c r="AB1482" t="str">
        <f t="shared" si="497"/>
        <v>Green</v>
      </c>
      <c r="AC1482" t="str">
        <f t="shared" si="498"/>
        <v>Green</v>
      </c>
      <c r="AD1482" t="str">
        <f t="shared" si="499"/>
        <v>Red</v>
      </c>
    </row>
    <row r="1483" spans="1:30" x14ac:dyDescent="0.2">
      <c r="A1483" t="str">
        <f t="shared" si="480"/>
        <v>25/07/2026FK Radnicki ValjevoFK Sloboda Donji Tovarnik</v>
      </c>
      <c r="D1483" s="2">
        <v>46228</v>
      </c>
      <c r="E1483" s="3">
        <v>0.66666666666666663</v>
      </c>
      <c r="F1483" t="s">
        <v>3957</v>
      </c>
      <c r="G1483" t="s">
        <v>3958</v>
      </c>
      <c r="H1483">
        <v>0</v>
      </c>
      <c r="I1483">
        <v>0</v>
      </c>
      <c r="J1483">
        <v>1</v>
      </c>
      <c r="K1483">
        <v>0</v>
      </c>
      <c r="L1483" s="22" t="str">
        <f t="shared" si="481"/>
        <v>25/07/2026</v>
      </c>
      <c r="M1483" s="23">
        <f t="shared" si="482"/>
        <v>0.54166666666666663</v>
      </c>
      <c r="N1483" t="str">
        <f t="shared" si="483"/>
        <v>1 - 0</v>
      </c>
      <c r="O1483" t="str">
        <f t="shared" si="484"/>
        <v>Green</v>
      </c>
      <c r="P1483" t="str">
        <f t="shared" si="485"/>
        <v>Red</v>
      </c>
      <c r="Q1483" t="str">
        <f t="shared" si="486"/>
        <v>Red</v>
      </c>
      <c r="R1483" t="str">
        <f t="shared" si="487"/>
        <v>Green</v>
      </c>
      <c r="S1483" t="str">
        <f t="shared" si="488"/>
        <v>Red</v>
      </c>
      <c r="T1483" t="str">
        <f t="shared" si="489"/>
        <v>Green</v>
      </c>
      <c r="U1483" t="str">
        <f t="shared" si="490"/>
        <v>Red</v>
      </c>
      <c r="V1483" t="str">
        <f t="shared" si="491"/>
        <v>Green</v>
      </c>
      <c r="W1483" t="str">
        <f t="shared" si="492"/>
        <v>Red</v>
      </c>
      <c r="X1483" t="str">
        <f t="shared" si="493"/>
        <v>Red</v>
      </c>
      <c r="Y1483" t="str">
        <f t="shared" si="494"/>
        <v>Red</v>
      </c>
      <c r="Z1483" t="str">
        <f t="shared" si="495"/>
        <v>Red</v>
      </c>
      <c r="AA1483" t="str">
        <f t="shared" si="496"/>
        <v>Green</v>
      </c>
      <c r="AB1483" t="str">
        <f t="shared" si="497"/>
        <v>Green</v>
      </c>
      <c r="AC1483" t="str">
        <f t="shared" si="498"/>
        <v>Red</v>
      </c>
      <c r="AD1483" t="str">
        <f t="shared" si="499"/>
        <v>Green</v>
      </c>
    </row>
    <row r="1484" spans="1:30" x14ac:dyDescent="0.2">
      <c r="A1484" t="str">
        <f t="shared" si="480"/>
        <v>25/07/2026Spartak SuboticaFK Vrsac</v>
      </c>
      <c r="D1484" s="2">
        <v>46228</v>
      </c>
      <c r="E1484" s="3">
        <v>0.66666666666666663</v>
      </c>
      <c r="F1484" t="s">
        <v>3959</v>
      </c>
      <c r="G1484" t="s">
        <v>3960</v>
      </c>
      <c r="H1484">
        <v>1</v>
      </c>
      <c r="I1484">
        <v>1</v>
      </c>
      <c r="J1484">
        <v>2</v>
      </c>
      <c r="K1484">
        <v>2</v>
      </c>
      <c r="L1484" s="22" t="str">
        <f t="shared" si="481"/>
        <v>25/07/2026</v>
      </c>
      <c r="M1484" s="23">
        <f t="shared" si="482"/>
        <v>0.54166666666666663</v>
      </c>
      <c r="N1484" t="str">
        <f t="shared" si="483"/>
        <v>2 - 2</v>
      </c>
      <c r="O1484" t="str">
        <f t="shared" si="484"/>
        <v>Red</v>
      </c>
      <c r="P1484" t="str">
        <f t="shared" si="485"/>
        <v>Green</v>
      </c>
      <c r="Q1484" t="str">
        <f t="shared" si="486"/>
        <v>Red</v>
      </c>
      <c r="R1484" t="str">
        <f t="shared" si="487"/>
        <v>Green</v>
      </c>
      <c r="S1484" t="str">
        <f t="shared" si="488"/>
        <v>Green</v>
      </c>
      <c r="T1484" t="str">
        <f t="shared" si="489"/>
        <v>Red</v>
      </c>
      <c r="U1484" t="str">
        <f t="shared" si="490"/>
        <v>Red</v>
      </c>
      <c r="V1484" t="str">
        <f t="shared" si="491"/>
        <v>Green</v>
      </c>
      <c r="W1484" t="str">
        <f t="shared" si="492"/>
        <v>Red</v>
      </c>
      <c r="X1484" t="str">
        <f t="shared" si="493"/>
        <v>Green</v>
      </c>
      <c r="Y1484" t="str">
        <f t="shared" si="494"/>
        <v>Green</v>
      </c>
      <c r="Z1484" t="str">
        <f t="shared" si="495"/>
        <v>Green</v>
      </c>
      <c r="AA1484" t="str">
        <f t="shared" si="496"/>
        <v>Red</v>
      </c>
      <c r="AB1484" t="str">
        <f t="shared" si="497"/>
        <v>Red</v>
      </c>
      <c r="AC1484" t="str">
        <f t="shared" si="498"/>
        <v>Green</v>
      </c>
      <c r="AD1484" t="str">
        <f t="shared" si="499"/>
        <v>Red</v>
      </c>
    </row>
    <row r="1485" spans="1:30" x14ac:dyDescent="0.2">
      <c r="A1485" t="str">
        <f t="shared" si="480"/>
        <v>25/07/2026Le HavreRed Star FC</v>
      </c>
      <c r="D1485" s="2">
        <v>46228</v>
      </c>
      <c r="E1485" s="3">
        <v>0.66666666666666663</v>
      </c>
      <c r="F1485" t="s">
        <v>3961</v>
      </c>
      <c r="G1485" t="s">
        <v>3962</v>
      </c>
      <c r="H1485">
        <v>0</v>
      </c>
      <c r="I1485">
        <v>1</v>
      </c>
      <c r="J1485">
        <v>2</v>
      </c>
      <c r="K1485">
        <v>1</v>
      </c>
      <c r="L1485" s="22" t="str">
        <f t="shared" si="481"/>
        <v>25/07/2026</v>
      </c>
      <c r="M1485" s="23">
        <f t="shared" si="482"/>
        <v>0.54166666666666663</v>
      </c>
      <c r="N1485" t="str">
        <f t="shared" si="483"/>
        <v>2 - 1</v>
      </c>
      <c r="O1485" t="str">
        <f t="shared" si="484"/>
        <v>Green</v>
      </c>
      <c r="P1485" t="str">
        <f t="shared" si="485"/>
        <v>Red</v>
      </c>
      <c r="Q1485" t="str">
        <f t="shared" si="486"/>
        <v>Red</v>
      </c>
      <c r="R1485" t="str">
        <f t="shared" si="487"/>
        <v>Green</v>
      </c>
      <c r="S1485" t="str">
        <f t="shared" si="488"/>
        <v>Red</v>
      </c>
      <c r="T1485" t="str">
        <f t="shared" si="489"/>
        <v>Green</v>
      </c>
      <c r="U1485" t="str">
        <f t="shared" si="490"/>
        <v>Red</v>
      </c>
      <c r="V1485" t="str">
        <f t="shared" si="491"/>
        <v>Red</v>
      </c>
      <c r="W1485" t="str">
        <f t="shared" si="492"/>
        <v>Green</v>
      </c>
      <c r="X1485" t="str">
        <f t="shared" si="493"/>
        <v>Green</v>
      </c>
      <c r="Y1485" t="str">
        <f t="shared" si="494"/>
        <v>Green</v>
      </c>
      <c r="Z1485" t="str">
        <f t="shared" si="495"/>
        <v>Green</v>
      </c>
      <c r="AA1485" t="str">
        <f t="shared" si="496"/>
        <v>Red</v>
      </c>
      <c r="AB1485" t="str">
        <f t="shared" si="497"/>
        <v>Green</v>
      </c>
      <c r="AC1485" t="str">
        <f t="shared" si="498"/>
        <v>Green</v>
      </c>
      <c r="AD1485" t="str">
        <f t="shared" si="499"/>
        <v>Red</v>
      </c>
    </row>
    <row r="1486" spans="1:30" x14ac:dyDescent="0.2">
      <c r="A1486" t="str">
        <f t="shared" si="480"/>
        <v>25/07/2026Napredak KrusevacFK Dubocica</v>
      </c>
      <c r="D1486" s="2">
        <v>46228</v>
      </c>
      <c r="E1486" s="3">
        <v>0.66666666666666663</v>
      </c>
      <c r="F1486" t="s">
        <v>3963</v>
      </c>
      <c r="G1486" t="s">
        <v>1716</v>
      </c>
      <c r="H1486">
        <v>0</v>
      </c>
      <c r="I1486">
        <v>0</v>
      </c>
      <c r="J1486">
        <v>1</v>
      </c>
      <c r="K1486">
        <v>0</v>
      </c>
      <c r="L1486" s="22" t="str">
        <f t="shared" si="481"/>
        <v>25/07/2026</v>
      </c>
      <c r="M1486" s="23">
        <f t="shared" si="482"/>
        <v>0.54166666666666663</v>
      </c>
      <c r="N1486" t="str">
        <f t="shared" si="483"/>
        <v>1 - 0</v>
      </c>
      <c r="O1486" t="str">
        <f t="shared" si="484"/>
        <v>Green</v>
      </c>
      <c r="P1486" t="str">
        <f t="shared" si="485"/>
        <v>Red</v>
      </c>
      <c r="Q1486" t="str">
        <f t="shared" si="486"/>
        <v>Red</v>
      </c>
      <c r="R1486" t="str">
        <f t="shared" si="487"/>
        <v>Green</v>
      </c>
      <c r="S1486" t="str">
        <f t="shared" si="488"/>
        <v>Red</v>
      </c>
      <c r="T1486" t="str">
        <f t="shared" si="489"/>
        <v>Green</v>
      </c>
      <c r="U1486" t="str">
        <f t="shared" si="490"/>
        <v>Red</v>
      </c>
      <c r="V1486" t="str">
        <f t="shared" si="491"/>
        <v>Green</v>
      </c>
      <c r="W1486" t="str">
        <f t="shared" si="492"/>
        <v>Red</v>
      </c>
      <c r="X1486" t="str">
        <f t="shared" si="493"/>
        <v>Red</v>
      </c>
      <c r="Y1486" t="str">
        <f t="shared" si="494"/>
        <v>Red</v>
      </c>
      <c r="Z1486" t="str">
        <f t="shared" si="495"/>
        <v>Red</v>
      </c>
      <c r="AA1486" t="str">
        <f t="shared" si="496"/>
        <v>Green</v>
      </c>
      <c r="AB1486" t="str">
        <f t="shared" si="497"/>
        <v>Green</v>
      </c>
      <c r="AC1486" t="str">
        <f t="shared" si="498"/>
        <v>Red</v>
      </c>
      <c r="AD1486" t="str">
        <f t="shared" si="499"/>
        <v>Green</v>
      </c>
    </row>
    <row r="1487" spans="1:30" x14ac:dyDescent="0.2">
      <c r="A1487" t="str">
        <f t="shared" si="480"/>
        <v>25/07/2026NK LokomotivaSturm Graz II</v>
      </c>
      <c r="D1487" s="2">
        <v>46228</v>
      </c>
      <c r="E1487" s="3">
        <v>0.66666666666666663</v>
      </c>
      <c r="F1487" t="s">
        <v>3964</v>
      </c>
      <c r="G1487" t="s">
        <v>2662</v>
      </c>
      <c r="H1487">
        <v>1</v>
      </c>
      <c r="I1487">
        <v>0</v>
      </c>
      <c r="J1487">
        <v>4</v>
      </c>
      <c r="K1487">
        <v>0</v>
      </c>
      <c r="L1487" s="22" t="str">
        <f t="shared" si="481"/>
        <v>25/07/2026</v>
      </c>
      <c r="M1487" s="23">
        <f t="shared" si="482"/>
        <v>0.54166666666666663</v>
      </c>
      <c r="N1487" t="str">
        <f t="shared" si="483"/>
        <v>4 - 0</v>
      </c>
      <c r="O1487" t="str">
        <f t="shared" si="484"/>
        <v>Green</v>
      </c>
      <c r="P1487" t="str">
        <f t="shared" si="485"/>
        <v>Red</v>
      </c>
      <c r="Q1487" t="str">
        <f t="shared" si="486"/>
        <v>Red</v>
      </c>
      <c r="R1487" t="str">
        <f t="shared" si="487"/>
        <v>Green</v>
      </c>
      <c r="S1487" t="str">
        <f t="shared" si="488"/>
        <v>Red</v>
      </c>
      <c r="T1487" t="str">
        <f t="shared" si="489"/>
        <v>Green</v>
      </c>
      <c r="U1487" t="str">
        <f t="shared" si="490"/>
        <v>Green</v>
      </c>
      <c r="V1487" t="str">
        <f t="shared" si="491"/>
        <v>Red</v>
      </c>
      <c r="W1487" t="str">
        <f t="shared" si="492"/>
        <v>Red</v>
      </c>
      <c r="X1487" t="str">
        <f t="shared" si="493"/>
        <v>Green</v>
      </c>
      <c r="Y1487" t="str">
        <f t="shared" si="494"/>
        <v>Green</v>
      </c>
      <c r="Z1487" t="str">
        <f t="shared" si="495"/>
        <v>Green</v>
      </c>
      <c r="AA1487" t="str">
        <f t="shared" si="496"/>
        <v>Red</v>
      </c>
      <c r="AB1487" t="str">
        <f t="shared" si="497"/>
        <v>Red</v>
      </c>
      <c r="AC1487" t="str">
        <f t="shared" si="498"/>
        <v>Red</v>
      </c>
      <c r="AD1487" t="str">
        <f t="shared" si="499"/>
        <v>Green</v>
      </c>
    </row>
    <row r="1488" spans="1:30" x14ac:dyDescent="0.2">
      <c r="A1488" t="str">
        <f t="shared" si="480"/>
        <v>25/07/2026NK SolinNK Posusje</v>
      </c>
      <c r="D1488" s="2">
        <v>46228</v>
      </c>
      <c r="E1488" s="3">
        <v>0.66666666666666663</v>
      </c>
      <c r="F1488" t="s">
        <v>3965</v>
      </c>
      <c r="G1488" t="s">
        <v>3966</v>
      </c>
      <c r="H1488">
        <v>1</v>
      </c>
      <c r="I1488">
        <v>0</v>
      </c>
      <c r="J1488">
        <v>1</v>
      </c>
      <c r="K1488">
        <v>0</v>
      </c>
      <c r="L1488" s="22" t="str">
        <f t="shared" si="481"/>
        <v>25/07/2026</v>
      </c>
      <c r="M1488" s="23">
        <f t="shared" si="482"/>
        <v>0.54166666666666663</v>
      </c>
      <c r="N1488" t="str">
        <f t="shared" si="483"/>
        <v>1 - 0</v>
      </c>
      <c r="O1488" t="str">
        <f t="shared" si="484"/>
        <v>Green</v>
      </c>
      <c r="P1488" t="str">
        <f t="shared" si="485"/>
        <v>Red</v>
      </c>
      <c r="Q1488" t="str">
        <f t="shared" si="486"/>
        <v>Red</v>
      </c>
      <c r="R1488" t="str">
        <f t="shared" si="487"/>
        <v>Green</v>
      </c>
      <c r="S1488" t="str">
        <f t="shared" si="488"/>
        <v>Red</v>
      </c>
      <c r="T1488" t="str">
        <f t="shared" si="489"/>
        <v>Green</v>
      </c>
      <c r="U1488" t="str">
        <f t="shared" si="490"/>
        <v>Green</v>
      </c>
      <c r="V1488" t="str">
        <f t="shared" si="491"/>
        <v>Red</v>
      </c>
      <c r="W1488" t="str">
        <f t="shared" si="492"/>
        <v>Red</v>
      </c>
      <c r="X1488" t="str">
        <f t="shared" si="493"/>
        <v>Green</v>
      </c>
      <c r="Y1488" t="str">
        <f t="shared" si="494"/>
        <v>Red</v>
      </c>
      <c r="Z1488" t="str">
        <f t="shared" si="495"/>
        <v>Red</v>
      </c>
      <c r="AA1488" t="str">
        <f t="shared" si="496"/>
        <v>Green</v>
      </c>
      <c r="AB1488" t="str">
        <f t="shared" si="497"/>
        <v>Green</v>
      </c>
      <c r="AC1488" t="str">
        <f t="shared" si="498"/>
        <v>Red</v>
      </c>
      <c r="AD1488" t="str">
        <f t="shared" si="499"/>
        <v>Green</v>
      </c>
    </row>
    <row r="1489" spans="1:30" x14ac:dyDescent="0.2">
      <c r="A1489" t="str">
        <f t="shared" si="480"/>
        <v>25/07/2026MarseilleNice</v>
      </c>
      <c r="D1489" s="2">
        <v>46228</v>
      </c>
      <c r="E1489" s="3">
        <v>0.66666666666666663</v>
      </c>
      <c r="F1489" t="s">
        <v>3967</v>
      </c>
      <c r="G1489" t="s">
        <v>3968</v>
      </c>
      <c r="H1489">
        <v>0</v>
      </c>
      <c r="I1489">
        <v>2</v>
      </c>
      <c r="J1489">
        <v>0</v>
      </c>
      <c r="K1489">
        <v>3</v>
      </c>
      <c r="L1489" s="22" t="str">
        <f t="shared" si="481"/>
        <v>25/07/2026</v>
      </c>
      <c r="M1489" s="23">
        <f t="shared" si="482"/>
        <v>0.54166666666666663</v>
      </c>
      <c r="N1489" t="str">
        <f t="shared" si="483"/>
        <v>0 - 3</v>
      </c>
      <c r="O1489" t="str">
        <f t="shared" si="484"/>
        <v>Red</v>
      </c>
      <c r="P1489" t="str">
        <f t="shared" si="485"/>
        <v>Red</v>
      </c>
      <c r="Q1489" t="str">
        <f t="shared" si="486"/>
        <v>Green</v>
      </c>
      <c r="R1489" t="str">
        <f t="shared" si="487"/>
        <v>Red</v>
      </c>
      <c r="S1489" t="str">
        <f t="shared" si="488"/>
        <v>Green</v>
      </c>
      <c r="T1489" t="str">
        <f t="shared" si="489"/>
        <v>Green</v>
      </c>
      <c r="U1489" t="str">
        <f t="shared" si="490"/>
        <v>Red</v>
      </c>
      <c r="V1489" t="str">
        <f t="shared" si="491"/>
        <v>Red</v>
      </c>
      <c r="W1489" t="str">
        <f t="shared" si="492"/>
        <v>Green</v>
      </c>
      <c r="X1489" t="str">
        <f t="shared" si="493"/>
        <v>Green</v>
      </c>
      <c r="Y1489" t="str">
        <f t="shared" si="494"/>
        <v>Green</v>
      </c>
      <c r="Z1489" t="str">
        <f t="shared" si="495"/>
        <v>Green</v>
      </c>
      <c r="AA1489" t="str">
        <f t="shared" si="496"/>
        <v>Red</v>
      </c>
      <c r="AB1489" t="str">
        <f t="shared" si="497"/>
        <v>Green</v>
      </c>
      <c r="AC1489" t="str">
        <f t="shared" si="498"/>
        <v>Red</v>
      </c>
      <c r="AD1489" t="str">
        <f t="shared" si="499"/>
        <v>Green</v>
      </c>
    </row>
    <row r="1490" spans="1:30" x14ac:dyDescent="0.2">
      <c r="A1490" t="str">
        <f t="shared" si="480"/>
        <v>25/07/2026OrleansAuxerre</v>
      </c>
      <c r="D1490" s="2">
        <v>46228</v>
      </c>
      <c r="E1490" s="3">
        <v>0.66666666666666663</v>
      </c>
      <c r="F1490" t="s">
        <v>3969</v>
      </c>
      <c r="G1490" t="s">
        <v>3970</v>
      </c>
      <c r="H1490">
        <v>0</v>
      </c>
      <c r="I1490">
        <v>1</v>
      </c>
      <c r="J1490">
        <v>2</v>
      </c>
      <c r="K1490">
        <v>1</v>
      </c>
      <c r="L1490" s="22" t="str">
        <f t="shared" si="481"/>
        <v>25/07/2026</v>
      </c>
      <c r="M1490" s="23">
        <f t="shared" si="482"/>
        <v>0.54166666666666663</v>
      </c>
      <c r="N1490" t="str">
        <f t="shared" si="483"/>
        <v>2 - 1</v>
      </c>
      <c r="O1490" t="str">
        <f t="shared" si="484"/>
        <v>Green</v>
      </c>
      <c r="P1490" t="str">
        <f t="shared" si="485"/>
        <v>Red</v>
      </c>
      <c r="Q1490" t="str">
        <f t="shared" si="486"/>
        <v>Red</v>
      </c>
      <c r="R1490" t="str">
        <f t="shared" si="487"/>
        <v>Green</v>
      </c>
      <c r="S1490" t="str">
        <f t="shared" si="488"/>
        <v>Red</v>
      </c>
      <c r="T1490" t="str">
        <f t="shared" si="489"/>
        <v>Green</v>
      </c>
      <c r="U1490" t="str">
        <f t="shared" si="490"/>
        <v>Red</v>
      </c>
      <c r="V1490" t="str">
        <f t="shared" si="491"/>
        <v>Red</v>
      </c>
      <c r="W1490" t="str">
        <f t="shared" si="492"/>
        <v>Green</v>
      </c>
      <c r="X1490" t="str">
        <f t="shared" si="493"/>
        <v>Green</v>
      </c>
      <c r="Y1490" t="str">
        <f t="shared" si="494"/>
        <v>Green</v>
      </c>
      <c r="Z1490" t="str">
        <f t="shared" si="495"/>
        <v>Green</v>
      </c>
      <c r="AA1490" t="str">
        <f t="shared" si="496"/>
        <v>Red</v>
      </c>
      <c r="AB1490" t="str">
        <f t="shared" si="497"/>
        <v>Green</v>
      </c>
      <c r="AC1490" t="str">
        <f t="shared" si="498"/>
        <v>Green</v>
      </c>
      <c r="AD1490" t="str">
        <f t="shared" si="499"/>
        <v>Red</v>
      </c>
    </row>
    <row r="1491" spans="1:30" x14ac:dyDescent="0.2">
      <c r="A1491" t="str">
        <f t="shared" si="480"/>
        <v>25/07/2026PSV EindhovenVillarreal C</v>
      </c>
      <c r="D1491" s="2">
        <v>46228</v>
      </c>
      <c r="E1491" s="3">
        <v>0.66666666666666663</v>
      </c>
      <c r="F1491" t="s">
        <v>3971</v>
      </c>
      <c r="G1491" t="s">
        <v>3972</v>
      </c>
      <c r="L1491" s="22" t="str">
        <f t="shared" si="481"/>
        <v>25/07/2026</v>
      </c>
      <c r="M1491" s="23">
        <f t="shared" si="482"/>
        <v>0.54166666666666663</v>
      </c>
      <c r="N1491" t="str">
        <f t="shared" si="483"/>
        <v xml:space="preserve"> - </v>
      </c>
      <c r="O1491" t="str">
        <f t="shared" si="484"/>
        <v>Red</v>
      </c>
      <c r="P1491" t="str">
        <f t="shared" si="485"/>
        <v>Green</v>
      </c>
      <c r="Q1491" t="str">
        <f t="shared" si="486"/>
        <v>Red</v>
      </c>
      <c r="R1491" t="str">
        <f t="shared" si="487"/>
        <v>Green</v>
      </c>
      <c r="S1491" t="str">
        <f t="shared" si="488"/>
        <v>Green</v>
      </c>
      <c r="T1491" t="str">
        <f t="shared" si="489"/>
        <v>Red</v>
      </c>
      <c r="U1491" t="str">
        <f t="shared" si="490"/>
        <v>Red</v>
      </c>
      <c r="V1491" t="str">
        <f t="shared" si="491"/>
        <v>Green</v>
      </c>
      <c r="W1491" t="str">
        <f t="shared" si="492"/>
        <v>Red</v>
      </c>
      <c r="X1491" t="str">
        <f t="shared" si="493"/>
        <v>Red</v>
      </c>
      <c r="Y1491" t="str">
        <f t="shared" si="494"/>
        <v>Red</v>
      </c>
      <c r="Z1491" t="str">
        <f t="shared" si="495"/>
        <v>Red</v>
      </c>
      <c r="AA1491" t="str">
        <f t="shared" si="496"/>
        <v>Green</v>
      </c>
      <c r="AB1491" t="str">
        <f t="shared" si="497"/>
        <v>Green</v>
      </c>
      <c r="AC1491" t="str">
        <f t="shared" si="498"/>
        <v>Red</v>
      </c>
      <c r="AD1491" t="str">
        <f t="shared" si="499"/>
        <v>Green</v>
      </c>
    </row>
    <row r="1492" spans="1:30" x14ac:dyDescent="0.2">
      <c r="A1492" t="str">
        <f t="shared" si="480"/>
        <v>25/07/2026PSV EindhovenVillarreal</v>
      </c>
      <c r="D1492" s="2">
        <v>46228</v>
      </c>
      <c r="E1492" s="3">
        <v>0.66666666666666663</v>
      </c>
      <c r="F1492" t="s">
        <v>3971</v>
      </c>
      <c r="G1492" t="s">
        <v>3973</v>
      </c>
      <c r="H1492">
        <v>0</v>
      </c>
      <c r="I1492">
        <v>0</v>
      </c>
      <c r="J1492">
        <v>1</v>
      </c>
      <c r="K1492">
        <v>3</v>
      </c>
      <c r="L1492" s="22" t="str">
        <f t="shared" si="481"/>
        <v>25/07/2026</v>
      </c>
      <c r="M1492" s="23">
        <f t="shared" si="482"/>
        <v>0.54166666666666663</v>
      </c>
      <c r="N1492" t="str">
        <f t="shared" si="483"/>
        <v>1 - 3</v>
      </c>
      <c r="O1492" t="str">
        <f t="shared" si="484"/>
        <v>Red</v>
      </c>
      <c r="P1492" t="str">
        <f t="shared" si="485"/>
        <v>Red</v>
      </c>
      <c r="Q1492" t="str">
        <f t="shared" si="486"/>
        <v>Green</v>
      </c>
      <c r="R1492" t="str">
        <f t="shared" si="487"/>
        <v>Red</v>
      </c>
      <c r="S1492" t="str">
        <f t="shared" si="488"/>
        <v>Green</v>
      </c>
      <c r="T1492" t="str">
        <f t="shared" si="489"/>
        <v>Green</v>
      </c>
      <c r="U1492" t="str">
        <f t="shared" si="490"/>
        <v>Red</v>
      </c>
      <c r="V1492" t="str">
        <f t="shared" si="491"/>
        <v>Green</v>
      </c>
      <c r="W1492" t="str">
        <f t="shared" si="492"/>
        <v>Red</v>
      </c>
      <c r="X1492" t="str">
        <f t="shared" si="493"/>
        <v>Red</v>
      </c>
      <c r="Y1492" t="str">
        <f t="shared" si="494"/>
        <v>Green</v>
      </c>
      <c r="Z1492" t="str">
        <f t="shared" si="495"/>
        <v>Green</v>
      </c>
      <c r="AA1492" t="str">
        <f t="shared" si="496"/>
        <v>Red</v>
      </c>
      <c r="AB1492" t="str">
        <f t="shared" si="497"/>
        <v>Red</v>
      </c>
      <c r="AC1492" t="str">
        <f t="shared" si="498"/>
        <v>Green</v>
      </c>
      <c r="AD1492" t="str">
        <f t="shared" si="499"/>
        <v>Red</v>
      </c>
    </row>
    <row r="1493" spans="1:30" x14ac:dyDescent="0.2">
      <c r="A1493" t="str">
        <f t="shared" si="480"/>
        <v>25/07/2026RennesClub Brugge</v>
      </c>
      <c r="D1493" s="2">
        <v>46228</v>
      </c>
      <c r="E1493" s="3">
        <v>0.66666666666666663</v>
      </c>
      <c r="F1493" t="s">
        <v>3974</v>
      </c>
      <c r="G1493" t="s">
        <v>3975</v>
      </c>
      <c r="H1493">
        <v>1</v>
      </c>
      <c r="I1493">
        <v>0</v>
      </c>
      <c r="J1493">
        <v>2</v>
      </c>
      <c r="K1493">
        <v>1</v>
      </c>
      <c r="L1493" s="22" t="str">
        <f t="shared" si="481"/>
        <v>25/07/2026</v>
      </c>
      <c r="M1493" s="23">
        <f t="shared" si="482"/>
        <v>0.54166666666666663</v>
      </c>
      <c r="N1493" t="str">
        <f t="shared" si="483"/>
        <v>2 - 1</v>
      </c>
      <c r="O1493" t="str">
        <f t="shared" si="484"/>
        <v>Green</v>
      </c>
      <c r="P1493" t="str">
        <f t="shared" si="485"/>
        <v>Red</v>
      </c>
      <c r="Q1493" t="str">
        <f t="shared" si="486"/>
        <v>Red</v>
      </c>
      <c r="R1493" t="str">
        <f t="shared" si="487"/>
        <v>Green</v>
      </c>
      <c r="S1493" t="str">
        <f t="shared" si="488"/>
        <v>Red</v>
      </c>
      <c r="T1493" t="str">
        <f t="shared" si="489"/>
        <v>Green</v>
      </c>
      <c r="U1493" t="str">
        <f t="shared" si="490"/>
        <v>Green</v>
      </c>
      <c r="V1493" t="str">
        <f t="shared" si="491"/>
        <v>Red</v>
      </c>
      <c r="W1493" t="str">
        <f t="shared" si="492"/>
        <v>Red</v>
      </c>
      <c r="X1493" t="str">
        <f t="shared" si="493"/>
        <v>Green</v>
      </c>
      <c r="Y1493" t="str">
        <f t="shared" si="494"/>
        <v>Green</v>
      </c>
      <c r="Z1493" t="str">
        <f t="shared" si="495"/>
        <v>Green</v>
      </c>
      <c r="AA1493" t="str">
        <f t="shared" si="496"/>
        <v>Red</v>
      </c>
      <c r="AB1493" t="str">
        <f t="shared" si="497"/>
        <v>Green</v>
      </c>
      <c r="AC1493" t="str">
        <f t="shared" si="498"/>
        <v>Green</v>
      </c>
      <c r="AD1493" t="str">
        <f t="shared" si="499"/>
        <v>Red</v>
      </c>
    </row>
    <row r="1494" spans="1:30" x14ac:dyDescent="0.2">
      <c r="A1494" t="str">
        <f t="shared" si="480"/>
        <v>25/07/2026Sloboda TuzlaFK Zvijezda 09</v>
      </c>
      <c r="D1494" s="2">
        <v>46228</v>
      </c>
      <c r="E1494" s="3">
        <v>0.66666666666666663</v>
      </c>
      <c r="F1494" t="s">
        <v>3976</v>
      </c>
      <c r="G1494" t="s">
        <v>3977</v>
      </c>
      <c r="H1494">
        <v>2</v>
      </c>
      <c r="I1494">
        <v>0</v>
      </c>
      <c r="J1494">
        <v>6</v>
      </c>
      <c r="K1494">
        <v>0</v>
      </c>
      <c r="L1494" s="22" t="str">
        <f t="shared" si="481"/>
        <v>25/07/2026</v>
      </c>
      <c r="M1494" s="23">
        <f t="shared" si="482"/>
        <v>0.54166666666666663</v>
      </c>
      <c r="N1494" t="str">
        <f t="shared" si="483"/>
        <v>6 - 0</v>
      </c>
      <c r="O1494" t="str">
        <f t="shared" si="484"/>
        <v>Green</v>
      </c>
      <c r="P1494" t="str">
        <f t="shared" si="485"/>
        <v>Red</v>
      </c>
      <c r="Q1494" t="str">
        <f t="shared" si="486"/>
        <v>Red</v>
      </c>
      <c r="R1494" t="str">
        <f t="shared" si="487"/>
        <v>Green</v>
      </c>
      <c r="S1494" t="str">
        <f t="shared" si="488"/>
        <v>Red</v>
      </c>
      <c r="T1494" t="str">
        <f t="shared" si="489"/>
        <v>Green</v>
      </c>
      <c r="U1494" t="str">
        <f t="shared" si="490"/>
        <v>Green</v>
      </c>
      <c r="V1494" t="str">
        <f t="shared" si="491"/>
        <v>Red</v>
      </c>
      <c r="W1494" t="str">
        <f t="shared" si="492"/>
        <v>Red</v>
      </c>
      <c r="X1494" t="str">
        <f t="shared" si="493"/>
        <v>Green</v>
      </c>
      <c r="Y1494" t="str">
        <f t="shared" si="494"/>
        <v>Green</v>
      </c>
      <c r="Z1494" t="str">
        <f t="shared" si="495"/>
        <v>Green</v>
      </c>
      <c r="AA1494" t="str">
        <f t="shared" si="496"/>
        <v>Red</v>
      </c>
      <c r="AB1494" t="str">
        <f t="shared" si="497"/>
        <v>Red</v>
      </c>
      <c r="AC1494" t="str">
        <f t="shared" si="498"/>
        <v>Red</v>
      </c>
      <c r="AD1494" t="str">
        <f t="shared" si="499"/>
        <v>Green</v>
      </c>
    </row>
    <row r="1495" spans="1:30" x14ac:dyDescent="0.2">
      <c r="A1495" t="str">
        <f t="shared" si="480"/>
        <v>25/07/2026WolvesReal Sociedad</v>
      </c>
      <c r="D1495" s="2">
        <v>46228</v>
      </c>
      <c r="E1495" s="3">
        <v>0.66666666666666663</v>
      </c>
      <c r="F1495" t="s">
        <v>1817</v>
      </c>
      <c r="G1495" t="s">
        <v>3978</v>
      </c>
      <c r="H1495">
        <v>1</v>
      </c>
      <c r="I1495">
        <v>1</v>
      </c>
      <c r="J1495">
        <v>1</v>
      </c>
      <c r="K1495">
        <v>2</v>
      </c>
      <c r="L1495" s="22" t="str">
        <f t="shared" si="481"/>
        <v>25/07/2026</v>
      </c>
      <c r="M1495" s="23">
        <f t="shared" si="482"/>
        <v>0.54166666666666663</v>
      </c>
      <c r="N1495" t="str">
        <f t="shared" si="483"/>
        <v>1 - 2</v>
      </c>
      <c r="O1495" t="str">
        <f t="shared" si="484"/>
        <v>Red</v>
      </c>
      <c r="P1495" t="str">
        <f t="shared" si="485"/>
        <v>Red</v>
      </c>
      <c r="Q1495" t="str">
        <f t="shared" si="486"/>
        <v>Green</v>
      </c>
      <c r="R1495" t="str">
        <f t="shared" si="487"/>
        <v>Red</v>
      </c>
      <c r="S1495" t="str">
        <f t="shared" si="488"/>
        <v>Green</v>
      </c>
      <c r="T1495" t="str">
        <f t="shared" si="489"/>
        <v>Green</v>
      </c>
      <c r="U1495" t="str">
        <f t="shared" si="490"/>
        <v>Red</v>
      </c>
      <c r="V1495" t="str">
        <f t="shared" si="491"/>
        <v>Green</v>
      </c>
      <c r="W1495" t="str">
        <f t="shared" si="492"/>
        <v>Red</v>
      </c>
      <c r="X1495" t="str">
        <f t="shared" si="493"/>
        <v>Green</v>
      </c>
      <c r="Y1495" t="str">
        <f t="shared" si="494"/>
        <v>Green</v>
      </c>
      <c r="Z1495" t="str">
        <f t="shared" si="495"/>
        <v>Green</v>
      </c>
      <c r="AA1495" t="str">
        <f t="shared" si="496"/>
        <v>Red</v>
      </c>
      <c r="AB1495" t="str">
        <f t="shared" si="497"/>
        <v>Green</v>
      </c>
      <c r="AC1495" t="str">
        <f t="shared" si="498"/>
        <v>Green</v>
      </c>
      <c r="AD1495" t="str">
        <f t="shared" si="499"/>
        <v>Red</v>
      </c>
    </row>
    <row r="1496" spans="1:30" x14ac:dyDescent="0.2">
      <c r="A1496" t="str">
        <f t="shared" si="480"/>
        <v>25/07/2026FC KiffenHIFK II</v>
      </c>
      <c r="D1496" s="2">
        <v>46228</v>
      </c>
      <c r="E1496" s="3">
        <v>0.67708333333333337</v>
      </c>
      <c r="F1496" t="s">
        <v>3232</v>
      </c>
      <c r="G1496" t="s">
        <v>3233</v>
      </c>
      <c r="H1496">
        <v>1</v>
      </c>
      <c r="I1496">
        <v>0</v>
      </c>
      <c r="J1496">
        <v>1</v>
      </c>
      <c r="K1496">
        <v>1</v>
      </c>
      <c r="L1496" s="22" t="str">
        <f t="shared" si="481"/>
        <v>25/07/2026</v>
      </c>
      <c r="M1496" s="23">
        <f t="shared" si="482"/>
        <v>0.55208333333333337</v>
      </c>
      <c r="N1496" t="str">
        <f t="shared" si="483"/>
        <v>1 - 1</v>
      </c>
      <c r="O1496" t="str">
        <f t="shared" si="484"/>
        <v>Red</v>
      </c>
      <c r="P1496" t="str">
        <f t="shared" si="485"/>
        <v>Green</v>
      </c>
      <c r="Q1496" t="str">
        <f t="shared" si="486"/>
        <v>Red</v>
      </c>
      <c r="R1496" t="str">
        <f t="shared" si="487"/>
        <v>Green</v>
      </c>
      <c r="S1496" t="str">
        <f t="shared" si="488"/>
        <v>Green</v>
      </c>
      <c r="T1496" t="str">
        <f t="shared" si="489"/>
        <v>Red</v>
      </c>
      <c r="U1496" t="str">
        <f t="shared" si="490"/>
        <v>Green</v>
      </c>
      <c r="V1496" t="str">
        <f t="shared" si="491"/>
        <v>Red</v>
      </c>
      <c r="W1496" t="str">
        <f t="shared" si="492"/>
        <v>Red</v>
      </c>
      <c r="X1496" t="str">
        <f t="shared" si="493"/>
        <v>Green</v>
      </c>
      <c r="Y1496" t="str">
        <f t="shared" si="494"/>
        <v>Green</v>
      </c>
      <c r="Z1496" t="str">
        <f t="shared" si="495"/>
        <v>Red</v>
      </c>
      <c r="AA1496" t="str">
        <f t="shared" si="496"/>
        <v>Green</v>
      </c>
      <c r="AB1496" t="str">
        <f t="shared" si="497"/>
        <v>Green</v>
      </c>
      <c r="AC1496" t="str">
        <f t="shared" si="498"/>
        <v>Green</v>
      </c>
      <c r="AD1496" t="str">
        <f t="shared" si="499"/>
        <v>Red</v>
      </c>
    </row>
    <row r="1497" spans="1:30" x14ac:dyDescent="0.2">
      <c r="A1497" t="str">
        <f t="shared" si="480"/>
        <v>25/07/2026Kremser SCAustria Lustenau</v>
      </c>
      <c r="D1497" s="2">
        <v>46228</v>
      </c>
      <c r="E1497" s="3">
        <v>0.6875</v>
      </c>
      <c r="F1497" t="s">
        <v>3021</v>
      </c>
      <c r="G1497" t="s">
        <v>3022</v>
      </c>
      <c r="H1497">
        <v>0</v>
      </c>
      <c r="I1497">
        <v>0</v>
      </c>
      <c r="J1497">
        <v>0</v>
      </c>
      <c r="K1497">
        <v>1</v>
      </c>
      <c r="L1497" s="22" t="str">
        <f t="shared" si="481"/>
        <v>25/07/2026</v>
      </c>
      <c r="M1497" s="23">
        <f t="shared" si="482"/>
        <v>0.5625</v>
      </c>
      <c r="N1497" t="str">
        <f t="shared" si="483"/>
        <v>0 - 1</v>
      </c>
      <c r="O1497" t="str">
        <f t="shared" si="484"/>
        <v>Red</v>
      </c>
      <c r="P1497" t="str">
        <f t="shared" si="485"/>
        <v>Red</v>
      </c>
      <c r="Q1497" t="str">
        <f t="shared" si="486"/>
        <v>Green</v>
      </c>
      <c r="R1497" t="str">
        <f t="shared" si="487"/>
        <v>Red</v>
      </c>
      <c r="S1497" t="str">
        <f t="shared" si="488"/>
        <v>Green</v>
      </c>
      <c r="T1497" t="str">
        <f t="shared" si="489"/>
        <v>Green</v>
      </c>
      <c r="U1497" t="str">
        <f t="shared" si="490"/>
        <v>Red</v>
      </c>
      <c r="V1497" t="str">
        <f t="shared" si="491"/>
        <v>Green</v>
      </c>
      <c r="W1497" t="str">
        <f t="shared" si="492"/>
        <v>Red</v>
      </c>
      <c r="X1497" t="str">
        <f t="shared" si="493"/>
        <v>Red</v>
      </c>
      <c r="Y1497" t="str">
        <f t="shared" si="494"/>
        <v>Red</v>
      </c>
      <c r="Z1497" t="str">
        <f t="shared" si="495"/>
        <v>Red</v>
      </c>
      <c r="AA1497" t="str">
        <f t="shared" si="496"/>
        <v>Green</v>
      </c>
      <c r="AB1497" t="str">
        <f t="shared" si="497"/>
        <v>Green</v>
      </c>
      <c r="AC1497" t="str">
        <f t="shared" si="498"/>
        <v>Red</v>
      </c>
      <c r="AD1497" t="str">
        <f t="shared" si="499"/>
        <v>Green</v>
      </c>
    </row>
    <row r="1498" spans="1:30" x14ac:dyDescent="0.2">
      <c r="A1498" t="str">
        <f t="shared" si="480"/>
        <v>25/07/2026Santiago WanderersUnion San Felipe</v>
      </c>
      <c r="D1498" s="2">
        <v>46228</v>
      </c>
      <c r="E1498" s="3">
        <v>0.6875</v>
      </c>
      <c r="F1498" t="s">
        <v>641</v>
      </c>
      <c r="G1498" t="s">
        <v>642</v>
      </c>
      <c r="H1498">
        <v>1</v>
      </c>
      <c r="I1498">
        <v>0</v>
      </c>
      <c r="J1498">
        <v>2</v>
      </c>
      <c r="K1498">
        <v>0</v>
      </c>
      <c r="L1498" s="22" t="str">
        <f t="shared" si="481"/>
        <v>25/07/2026</v>
      </c>
      <c r="M1498" s="23">
        <f t="shared" si="482"/>
        <v>0.5625</v>
      </c>
      <c r="N1498" t="str">
        <f t="shared" si="483"/>
        <v>2 - 0</v>
      </c>
      <c r="O1498" t="str">
        <f t="shared" si="484"/>
        <v>Green</v>
      </c>
      <c r="P1498" t="str">
        <f t="shared" si="485"/>
        <v>Red</v>
      </c>
      <c r="Q1498" t="str">
        <f t="shared" si="486"/>
        <v>Red</v>
      </c>
      <c r="R1498" t="str">
        <f t="shared" si="487"/>
        <v>Green</v>
      </c>
      <c r="S1498" t="str">
        <f t="shared" si="488"/>
        <v>Red</v>
      </c>
      <c r="T1498" t="str">
        <f t="shared" si="489"/>
        <v>Green</v>
      </c>
      <c r="U1498" t="str">
        <f t="shared" si="490"/>
        <v>Green</v>
      </c>
      <c r="V1498" t="str">
        <f t="shared" si="491"/>
        <v>Red</v>
      </c>
      <c r="W1498" t="str">
        <f t="shared" si="492"/>
        <v>Red</v>
      </c>
      <c r="X1498" t="str">
        <f t="shared" si="493"/>
        <v>Green</v>
      </c>
      <c r="Y1498" t="str">
        <f t="shared" si="494"/>
        <v>Green</v>
      </c>
      <c r="Z1498" t="str">
        <f t="shared" si="495"/>
        <v>Red</v>
      </c>
      <c r="AA1498" t="str">
        <f t="shared" si="496"/>
        <v>Green</v>
      </c>
      <c r="AB1498" t="str">
        <f t="shared" si="497"/>
        <v>Green</v>
      </c>
      <c r="AC1498" t="str">
        <f t="shared" si="498"/>
        <v>Red</v>
      </c>
      <c r="AD1498" t="str">
        <f t="shared" si="499"/>
        <v>Green</v>
      </c>
    </row>
    <row r="1499" spans="1:30" x14ac:dyDescent="0.2">
      <c r="A1499" t="str">
        <f t="shared" si="480"/>
        <v>25/07/2026SV Fortuna RegensburgEintracht Bamberg</v>
      </c>
      <c r="D1499" s="2">
        <v>46228</v>
      </c>
      <c r="E1499" s="3">
        <v>0.6875</v>
      </c>
      <c r="F1499" t="s">
        <v>1350</v>
      </c>
      <c r="G1499" t="s">
        <v>1345</v>
      </c>
      <c r="H1499">
        <v>0</v>
      </c>
      <c r="I1499">
        <v>1</v>
      </c>
      <c r="J1499">
        <v>0</v>
      </c>
      <c r="K1499">
        <v>1</v>
      </c>
      <c r="L1499" s="22" t="str">
        <f t="shared" si="481"/>
        <v>25/07/2026</v>
      </c>
      <c r="M1499" s="23">
        <f t="shared" si="482"/>
        <v>0.5625</v>
      </c>
      <c r="N1499" t="str">
        <f t="shared" si="483"/>
        <v>0 - 1</v>
      </c>
      <c r="O1499" t="str">
        <f t="shared" si="484"/>
        <v>Red</v>
      </c>
      <c r="P1499" t="str">
        <f t="shared" si="485"/>
        <v>Red</v>
      </c>
      <c r="Q1499" t="str">
        <f t="shared" si="486"/>
        <v>Green</v>
      </c>
      <c r="R1499" t="str">
        <f t="shared" si="487"/>
        <v>Red</v>
      </c>
      <c r="S1499" t="str">
        <f t="shared" si="488"/>
        <v>Green</v>
      </c>
      <c r="T1499" t="str">
        <f t="shared" si="489"/>
        <v>Green</v>
      </c>
      <c r="U1499" t="str">
        <f t="shared" si="490"/>
        <v>Red</v>
      </c>
      <c r="V1499" t="str">
        <f t="shared" si="491"/>
        <v>Red</v>
      </c>
      <c r="W1499" t="str">
        <f t="shared" si="492"/>
        <v>Green</v>
      </c>
      <c r="X1499" t="str">
        <f t="shared" si="493"/>
        <v>Green</v>
      </c>
      <c r="Y1499" t="str">
        <f t="shared" si="494"/>
        <v>Red</v>
      </c>
      <c r="Z1499" t="str">
        <f t="shared" si="495"/>
        <v>Red</v>
      </c>
      <c r="AA1499" t="str">
        <f t="shared" si="496"/>
        <v>Green</v>
      </c>
      <c r="AB1499" t="str">
        <f t="shared" si="497"/>
        <v>Green</v>
      </c>
      <c r="AC1499" t="str">
        <f t="shared" si="498"/>
        <v>Red</v>
      </c>
      <c r="AD1499" t="str">
        <f t="shared" si="499"/>
        <v>Green</v>
      </c>
    </row>
    <row r="1500" spans="1:30" x14ac:dyDescent="0.2">
      <c r="A1500" t="str">
        <f t="shared" si="480"/>
        <v>25/07/2026Rotor Volgograd IIZenit Penza</v>
      </c>
      <c r="D1500" s="2">
        <v>46228</v>
      </c>
      <c r="E1500" s="3">
        <v>0.6875</v>
      </c>
      <c r="F1500" t="s">
        <v>3596</v>
      </c>
      <c r="G1500" t="s">
        <v>3597</v>
      </c>
      <c r="H1500">
        <v>0</v>
      </c>
      <c r="I1500">
        <v>0</v>
      </c>
      <c r="J1500">
        <v>0</v>
      </c>
      <c r="K1500">
        <v>1</v>
      </c>
      <c r="L1500" s="22" t="str">
        <f t="shared" si="481"/>
        <v>25/07/2026</v>
      </c>
      <c r="M1500" s="23">
        <f t="shared" si="482"/>
        <v>0.5625</v>
      </c>
      <c r="N1500" t="str">
        <f t="shared" si="483"/>
        <v>0 - 1</v>
      </c>
      <c r="O1500" t="str">
        <f t="shared" si="484"/>
        <v>Red</v>
      </c>
      <c r="P1500" t="str">
        <f t="shared" si="485"/>
        <v>Red</v>
      </c>
      <c r="Q1500" t="str">
        <f t="shared" si="486"/>
        <v>Green</v>
      </c>
      <c r="R1500" t="str">
        <f t="shared" si="487"/>
        <v>Red</v>
      </c>
      <c r="S1500" t="str">
        <f t="shared" si="488"/>
        <v>Green</v>
      </c>
      <c r="T1500" t="str">
        <f t="shared" si="489"/>
        <v>Green</v>
      </c>
      <c r="U1500" t="str">
        <f t="shared" si="490"/>
        <v>Red</v>
      </c>
      <c r="V1500" t="str">
        <f t="shared" si="491"/>
        <v>Green</v>
      </c>
      <c r="W1500" t="str">
        <f t="shared" si="492"/>
        <v>Red</v>
      </c>
      <c r="X1500" t="str">
        <f t="shared" si="493"/>
        <v>Red</v>
      </c>
      <c r="Y1500" t="str">
        <f t="shared" si="494"/>
        <v>Red</v>
      </c>
      <c r="Z1500" t="str">
        <f t="shared" si="495"/>
        <v>Red</v>
      </c>
      <c r="AA1500" t="str">
        <f t="shared" si="496"/>
        <v>Green</v>
      </c>
      <c r="AB1500" t="str">
        <f t="shared" si="497"/>
        <v>Green</v>
      </c>
      <c r="AC1500" t="str">
        <f t="shared" si="498"/>
        <v>Red</v>
      </c>
      <c r="AD1500" t="str">
        <f t="shared" si="499"/>
        <v>Green</v>
      </c>
    </row>
    <row r="1501" spans="1:30" x14ac:dyDescent="0.2">
      <c r="A1501" t="str">
        <f t="shared" si="480"/>
        <v>25/07/2026BurgosAthletic Bilbao B</v>
      </c>
      <c r="D1501" s="2">
        <v>46228</v>
      </c>
      <c r="E1501" s="3">
        <v>0.6875</v>
      </c>
      <c r="F1501" t="s">
        <v>3979</v>
      </c>
      <c r="G1501" t="s">
        <v>3980</v>
      </c>
      <c r="H1501">
        <v>0</v>
      </c>
      <c r="I1501">
        <v>0</v>
      </c>
      <c r="J1501">
        <v>1</v>
      </c>
      <c r="K1501">
        <v>1</v>
      </c>
      <c r="L1501" s="22" t="str">
        <f t="shared" si="481"/>
        <v>25/07/2026</v>
      </c>
      <c r="M1501" s="23">
        <f t="shared" si="482"/>
        <v>0.5625</v>
      </c>
      <c r="N1501" t="str">
        <f t="shared" si="483"/>
        <v>1 - 1</v>
      </c>
      <c r="O1501" t="str">
        <f t="shared" si="484"/>
        <v>Red</v>
      </c>
      <c r="P1501" t="str">
        <f t="shared" si="485"/>
        <v>Green</v>
      </c>
      <c r="Q1501" t="str">
        <f t="shared" si="486"/>
        <v>Red</v>
      </c>
      <c r="R1501" t="str">
        <f t="shared" si="487"/>
        <v>Green</v>
      </c>
      <c r="S1501" t="str">
        <f t="shared" si="488"/>
        <v>Green</v>
      </c>
      <c r="T1501" t="str">
        <f t="shared" si="489"/>
        <v>Red</v>
      </c>
      <c r="U1501" t="str">
        <f t="shared" si="490"/>
        <v>Red</v>
      </c>
      <c r="V1501" t="str">
        <f t="shared" si="491"/>
        <v>Green</v>
      </c>
      <c r="W1501" t="str">
        <f t="shared" si="492"/>
        <v>Red</v>
      </c>
      <c r="X1501" t="str">
        <f t="shared" si="493"/>
        <v>Red</v>
      </c>
      <c r="Y1501" t="str">
        <f t="shared" si="494"/>
        <v>Green</v>
      </c>
      <c r="Z1501" t="str">
        <f t="shared" si="495"/>
        <v>Red</v>
      </c>
      <c r="AA1501" t="str">
        <f t="shared" si="496"/>
        <v>Green</v>
      </c>
      <c r="AB1501" t="str">
        <f t="shared" si="497"/>
        <v>Green</v>
      </c>
      <c r="AC1501" t="str">
        <f t="shared" si="498"/>
        <v>Green</v>
      </c>
      <c r="AD1501" t="str">
        <f t="shared" si="499"/>
        <v>Red</v>
      </c>
    </row>
    <row r="1502" spans="1:30" x14ac:dyDescent="0.2">
      <c r="A1502" t="str">
        <f t="shared" si="480"/>
        <v>25/07/2026OrijentDren Vrhnika</v>
      </c>
      <c r="D1502" s="2">
        <v>46228</v>
      </c>
      <c r="E1502" s="3">
        <v>0.6875</v>
      </c>
      <c r="F1502" t="s">
        <v>1450</v>
      </c>
      <c r="G1502" t="s">
        <v>3981</v>
      </c>
      <c r="H1502">
        <v>0</v>
      </c>
      <c r="I1502">
        <v>0</v>
      </c>
      <c r="J1502">
        <v>3</v>
      </c>
      <c r="K1502">
        <v>1</v>
      </c>
      <c r="L1502" s="22" t="str">
        <f t="shared" si="481"/>
        <v>25/07/2026</v>
      </c>
      <c r="M1502" s="23">
        <f t="shared" si="482"/>
        <v>0.5625</v>
      </c>
      <c r="N1502" t="str">
        <f t="shared" si="483"/>
        <v>3 - 1</v>
      </c>
      <c r="O1502" t="str">
        <f t="shared" si="484"/>
        <v>Green</v>
      </c>
      <c r="P1502" t="str">
        <f t="shared" si="485"/>
        <v>Red</v>
      </c>
      <c r="Q1502" t="str">
        <f t="shared" si="486"/>
        <v>Red</v>
      </c>
      <c r="R1502" t="str">
        <f t="shared" si="487"/>
        <v>Green</v>
      </c>
      <c r="S1502" t="str">
        <f t="shared" si="488"/>
        <v>Red</v>
      </c>
      <c r="T1502" t="str">
        <f t="shared" si="489"/>
        <v>Green</v>
      </c>
      <c r="U1502" t="str">
        <f t="shared" si="490"/>
        <v>Red</v>
      </c>
      <c r="V1502" t="str">
        <f t="shared" si="491"/>
        <v>Green</v>
      </c>
      <c r="W1502" t="str">
        <f t="shared" si="492"/>
        <v>Red</v>
      </c>
      <c r="X1502" t="str">
        <f t="shared" si="493"/>
        <v>Red</v>
      </c>
      <c r="Y1502" t="str">
        <f t="shared" si="494"/>
        <v>Green</v>
      </c>
      <c r="Z1502" t="str">
        <f t="shared" si="495"/>
        <v>Green</v>
      </c>
      <c r="AA1502" t="str">
        <f t="shared" si="496"/>
        <v>Red</v>
      </c>
      <c r="AB1502" t="str">
        <f t="shared" si="497"/>
        <v>Red</v>
      </c>
      <c r="AC1502" t="str">
        <f t="shared" si="498"/>
        <v>Green</v>
      </c>
      <c r="AD1502" t="str">
        <f t="shared" si="499"/>
        <v>Red</v>
      </c>
    </row>
    <row r="1503" spans="1:30" x14ac:dyDescent="0.2">
      <c r="A1503" t="str">
        <f t="shared" si="480"/>
        <v>25/07/2026CA ItuzaingoSportivo Italiano</v>
      </c>
      <c r="B1503" t="s">
        <v>806</v>
      </c>
      <c r="C1503" t="s">
        <v>2766</v>
      </c>
      <c r="D1503" s="2">
        <v>46228</v>
      </c>
      <c r="E1503" s="3">
        <v>0.70833333333333337</v>
      </c>
      <c r="F1503" t="s">
        <v>2769</v>
      </c>
      <c r="G1503" t="s">
        <v>2770</v>
      </c>
      <c r="H1503">
        <v>0</v>
      </c>
      <c r="I1503">
        <v>0</v>
      </c>
      <c r="J1503">
        <v>0</v>
      </c>
      <c r="K1503">
        <v>0</v>
      </c>
      <c r="L1503" s="22" t="str">
        <f t="shared" si="481"/>
        <v>25/07/2026</v>
      </c>
      <c r="M1503" s="23">
        <f t="shared" si="482"/>
        <v>0.58333333333333337</v>
      </c>
      <c r="N1503" t="str">
        <f t="shared" si="483"/>
        <v>0 - 0</v>
      </c>
      <c r="O1503" t="str">
        <f t="shared" si="484"/>
        <v>Red</v>
      </c>
      <c r="P1503" t="str">
        <f t="shared" si="485"/>
        <v>Green</v>
      </c>
      <c r="Q1503" t="str">
        <f t="shared" si="486"/>
        <v>Red</v>
      </c>
      <c r="R1503" t="str">
        <f t="shared" si="487"/>
        <v>Green</v>
      </c>
      <c r="S1503" t="str">
        <f t="shared" si="488"/>
        <v>Green</v>
      </c>
      <c r="T1503" t="str">
        <f t="shared" si="489"/>
        <v>Red</v>
      </c>
      <c r="U1503" t="str">
        <f t="shared" si="490"/>
        <v>Red</v>
      </c>
      <c r="V1503" t="str">
        <f t="shared" si="491"/>
        <v>Green</v>
      </c>
      <c r="W1503" t="str">
        <f t="shared" si="492"/>
        <v>Red</v>
      </c>
      <c r="X1503" t="str">
        <f t="shared" si="493"/>
        <v>Red</v>
      </c>
      <c r="Y1503" t="str">
        <f t="shared" si="494"/>
        <v>Red</v>
      </c>
      <c r="Z1503" t="str">
        <f t="shared" si="495"/>
        <v>Red</v>
      </c>
      <c r="AA1503" t="str">
        <f t="shared" si="496"/>
        <v>Green</v>
      </c>
      <c r="AB1503" t="str">
        <f t="shared" si="497"/>
        <v>Green</v>
      </c>
      <c r="AC1503" t="str">
        <f t="shared" si="498"/>
        <v>Red</v>
      </c>
      <c r="AD1503" t="str">
        <f t="shared" si="499"/>
        <v>Green</v>
      </c>
    </row>
    <row r="1504" spans="1:30" x14ac:dyDescent="0.2">
      <c r="A1504" t="str">
        <f t="shared" si="480"/>
        <v>25/07/2026MattersburgFirst Vienna</v>
      </c>
      <c r="D1504" s="2">
        <v>46228</v>
      </c>
      <c r="E1504" s="3">
        <v>0.70833333333333337</v>
      </c>
      <c r="F1504" t="s">
        <v>3023</v>
      </c>
      <c r="G1504" t="s">
        <v>3024</v>
      </c>
      <c r="H1504">
        <v>0</v>
      </c>
      <c r="I1504">
        <v>2</v>
      </c>
      <c r="J1504">
        <v>1</v>
      </c>
      <c r="K1504">
        <v>2</v>
      </c>
      <c r="L1504" s="22" t="str">
        <f t="shared" si="481"/>
        <v>25/07/2026</v>
      </c>
      <c r="M1504" s="23">
        <f t="shared" si="482"/>
        <v>0.58333333333333337</v>
      </c>
      <c r="N1504" t="str">
        <f t="shared" si="483"/>
        <v>1 - 2</v>
      </c>
      <c r="O1504" t="str">
        <f t="shared" si="484"/>
        <v>Red</v>
      </c>
      <c r="P1504" t="str">
        <f t="shared" si="485"/>
        <v>Red</v>
      </c>
      <c r="Q1504" t="str">
        <f t="shared" si="486"/>
        <v>Green</v>
      </c>
      <c r="R1504" t="str">
        <f t="shared" si="487"/>
        <v>Red</v>
      </c>
      <c r="S1504" t="str">
        <f t="shared" si="488"/>
        <v>Green</v>
      </c>
      <c r="T1504" t="str">
        <f t="shared" si="489"/>
        <v>Green</v>
      </c>
      <c r="U1504" t="str">
        <f t="shared" si="490"/>
        <v>Red</v>
      </c>
      <c r="V1504" t="str">
        <f t="shared" si="491"/>
        <v>Red</v>
      </c>
      <c r="W1504" t="str">
        <f t="shared" si="492"/>
        <v>Green</v>
      </c>
      <c r="X1504" t="str">
        <f t="shared" si="493"/>
        <v>Green</v>
      </c>
      <c r="Y1504" t="str">
        <f t="shared" si="494"/>
        <v>Green</v>
      </c>
      <c r="Z1504" t="str">
        <f t="shared" si="495"/>
        <v>Green</v>
      </c>
      <c r="AA1504" t="str">
        <f t="shared" si="496"/>
        <v>Red</v>
      </c>
      <c r="AB1504" t="str">
        <f t="shared" si="497"/>
        <v>Green</v>
      </c>
      <c r="AC1504" t="str">
        <f t="shared" si="498"/>
        <v>Green</v>
      </c>
      <c r="AD1504" t="str">
        <f t="shared" si="499"/>
        <v>Red</v>
      </c>
    </row>
    <row r="1505" spans="1:30" x14ac:dyDescent="0.2">
      <c r="A1505" t="str">
        <f t="shared" si="480"/>
        <v>25/07/2026SK Vorwarts SteyrSV Kuchl</v>
      </c>
      <c r="D1505" s="2">
        <v>46228</v>
      </c>
      <c r="E1505" s="3">
        <v>0.70833333333333337</v>
      </c>
      <c r="F1505" t="s">
        <v>3025</v>
      </c>
      <c r="G1505" t="s">
        <v>3026</v>
      </c>
      <c r="H1505">
        <v>0</v>
      </c>
      <c r="I1505">
        <v>0</v>
      </c>
      <c r="J1505">
        <v>1</v>
      </c>
      <c r="K1505">
        <v>0</v>
      </c>
      <c r="L1505" s="22" t="str">
        <f t="shared" si="481"/>
        <v>25/07/2026</v>
      </c>
      <c r="M1505" s="23">
        <f t="shared" si="482"/>
        <v>0.58333333333333337</v>
      </c>
      <c r="N1505" t="str">
        <f t="shared" si="483"/>
        <v>1 - 0</v>
      </c>
      <c r="O1505" t="str">
        <f t="shared" si="484"/>
        <v>Green</v>
      </c>
      <c r="P1505" t="str">
        <f t="shared" si="485"/>
        <v>Red</v>
      </c>
      <c r="Q1505" t="str">
        <f t="shared" si="486"/>
        <v>Red</v>
      </c>
      <c r="R1505" t="str">
        <f t="shared" si="487"/>
        <v>Green</v>
      </c>
      <c r="S1505" t="str">
        <f t="shared" si="488"/>
        <v>Red</v>
      </c>
      <c r="T1505" t="str">
        <f t="shared" si="489"/>
        <v>Green</v>
      </c>
      <c r="U1505" t="str">
        <f t="shared" si="490"/>
        <v>Red</v>
      </c>
      <c r="V1505" t="str">
        <f t="shared" si="491"/>
        <v>Green</v>
      </c>
      <c r="W1505" t="str">
        <f t="shared" si="492"/>
        <v>Red</v>
      </c>
      <c r="X1505" t="str">
        <f t="shared" si="493"/>
        <v>Red</v>
      </c>
      <c r="Y1505" t="str">
        <f t="shared" si="494"/>
        <v>Red</v>
      </c>
      <c r="Z1505" t="str">
        <f t="shared" si="495"/>
        <v>Red</v>
      </c>
      <c r="AA1505" t="str">
        <f t="shared" si="496"/>
        <v>Green</v>
      </c>
      <c r="AB1505" t="str">
        <f t="shared" si="497"/>
        <v>Green</v>
      </c>
      <c r="AC1505" t="str">
        <f t="shared" si="498"/>
        <v>Red</v>
      </c>
      <c r="AD1505" t="str">
        <f t="shared" si="499"/>
        <v>Green</v>
      </c>
    </row>
    <row r="1506" spans="1:30" x14ac:dyDescent="0.2">
      <c r="A1506" t="str">
        <f t="shared" si="480"/>
        <v>25/07/2026TreibachKapfenberger SV</v>
      </c>
      <c r="D1506" s="2">
        <v>46228</v>
      </c>
      <c r="E1506" s="3">
        <v>0.70833333333333337</v>
      </c>
      <c r="F1506" t="s">
        <v>1461</v>
      </c>
      <c r="G1506" t="s">
        <v>3027</v>
      </c>
      <c r="H1506">
        <v>0</v>
      </c>
      <c r="I1506">
        <v>2</v>
      </c>
      <c r="J1506">
        <v>1</v>
      </c>
      <c r="K1506">
        <v>4</v>
      </c>
      <c r="L1506" s="22" t="str">
        <f t="shared" si="481"/>
        <v>25/07/2026</v>
      </c>
      <c r="M1506" s="23">
        <f t="shared" si="482"/>
        <v>0.58333333333333337</v>
      </c>
      <c r="N1506" t="str">
        <f t="shared" si="483"/>
        <v>1 - 4</v>
      </c>
      <c r="O1506" t="str">
        <f t="shared" si="484"/>
        <v>Red</v>
      </c>
      <c r="P1506" t="str">
        <f t="shared" si="485"/>
        <v>Red</v>
      </c>
      <c r="Q1506" t="str">
        <f t="shared" si="486"/>
        <v>Green</v>
      </c>
      <c r="R1506" t="str">
        <f t="shared" si="487"/>
        <v>Red</v>
      </c>
      <c r="S1506" t="str">
        <f t="shared" si="488"/>
        <v>Green</v>
      </c>
      <c r="T1506" t="str">
        <f t="shared" si="489"/>
        <v>Green</v>
      </c>
      <c r="U1506" t="str">
        <f t="shared" si="490"/>
        <v>Red</v>
      </c>
      <c r="V1506" t="str">
        <f t="shared" si="491"/>
        <v>Red</v>
      </c>
      <c r="W1506" t="str">
        <f t="shared" si="492"/>
        <v>Green</v>
      </c>
      <c r="X1506" t="str">
        <f t="shared" si="493"/>
        <v>Green</v>
      </c>
      <c r="Y1506" t="str">
        <f t="shared" si="494"/>
        <v>Green</v>
      </c>
      <c r="Z1506" t="str">
        <f t="shared" si="495"/>
        <v>Green</v>
      </c>
      <c r="AA1506" t="str">
        <f t="shared" si="496"/>
        <v>Red</v>
      </c>
      <c r="AB1506" t="str">
        <f t="shared" si="497"/>
        <v>Red</v>
      </c>
      <c r="AC1506" t="str">
        <f t="shared" si="498"/>
        <v>Green</v>
      </c>
      <c r="AD1506" t="str">
        <f t="shared" si="499"/>
        <v>Red</v>
      </c>
    </row>
    <row r="1507" spans="1:30" x14ac:dyDescent="0.2">
      <c r="A1507" t="str">
        <f t="shared" si="480"/>
        <v>25/07/2026Torpedo ZhodinoDnepr Mogilev</v>
      </c>
      <c r="D1507" s="2">
        <v>46228</v>
      </c>
      <c r="E1507" s="3">
        <v>0.70833333333333337</v>
      </c>
      <c r="F1507" t="s">
        <v>3042</v>
      </c>
      <c r="G1507" t="s">
        <v>3043</v>
      </c>
      <c r="H1507">
        <v>0</v>
      </c>
      <c r="I1507">
        <v>1</v>
      </c>
      <c r="J1507">
        <v>1</v>
      </c>
      <c r="K1507">
        <v>2</v>
      </c>
      <c r="L1507" s="22" t="str">
        <f t="shared" si="481"/>
        <v>25/07/2026</v>
      </c>
      <c r="M1507" s="23">
        <f t="shared" si="482"/>
        <v>0.58333333333333337</v>
      </c>
      <c r="N1507" t="str">
        <f t="shared" si="483"/>
        <v>1 - 2</v>
      </c>
      <c r="O1507" t="str">
        <f t="shared" si="484"/>
        <v>Red</v>
      </c>
      <c r="P1507" t="str">
        <f t="shared" si="485"/>
        <v>Red</v>
      </c>
      <c r="Q1507" t="str">
        <f t="shared" si="486"/>
        <v>Green</v>
      </c>
      <c r="R1507" t="str">
        <f t="shared" si="487"/>
        <v>Red</v>
      </c>
      <c r="S1507" t="str">
        <f t="shared" si="488"/>
        <v>Green</v>
      </c>
      <c r="T1507" t="str">
        <f t="shared" si="489"/>
        <v>Green</v>
      </c>
      <c r="U1507" t="str">
        <f t="shared" si="490"/>
        <v>Red</v>
      </c>
      <c r="V1507" t="str">
        <f t="shared" si="491"/>
        <v>Red</v>
      </c>
      <c r="W1507" t="str">
        <f t="shared" si="492"/>
        <v>Green</v>
      </c>
      <c r="X1507" t="str">
        <f t="shared" si="493"/>
        <v>Green</v>
      </c>
      <c r="Y1507" t="str">
        <f t="shared" si="494"/>
        <v>Green</v>
      </c>
      <c r="Z1507" t="str">
        <f t="shared" si="495"/>
        <v>Green</v>
      </c>
      <c r="AA1507" t="str">
        <f t="shared" si="496"/>
        <v>Red</v>
      </c>
      <c r="AB1507" t="str">
        <f t="shared" si="497"/>
        <v>Green</v>
      </c>
      <c r="AC1507" t="str">
        <f t="shared" si="498"/>
        <v>Green</v>
      </c>
      <c r="AD1507" t="str">
        <f t="shared" si="499"/>
        <v>Red</v>
      </c>
    </row>
    <row r="1508" spans="1:30" x14ac:dyDescent="0.2">
      <c r="A1508" t="str">
        <f t="shared" si="480"/>
        <v>25/07/2026Carlos Renaux U20Criciuma U20</v>
      </c>
      <c r="B1508" t="s">
        <v>804</v>
      </c>
      <c r="D1508" s="2">
        <v>46228</v>
      </c>
      <c r="E1508" s="3">
        <v>0.70833333333333337</v>
      </c>
      <c r="F1508" t="s">
        <v>1793</v>
      </c>
      <c r="G1508" t="s">
        <v>1795</v>
      </c>
      <c r="H1508">
        <v>0</v>
      </c>
      <c r="I1508">
        <v>0</v>
      </c>
      <c r="J1508">
        <v>1</v>
      </c>
      <c r="K1508">
        <v>2</v>
      </c>
      <c r="L1508" s="22" t="str">
        <f t="shared" si="481"/>
        <v>25/07/2026</v>
      </c>
      <c r="M1508" s="23">
        <f t="shared" si="482"/>
        <v>0.58333333333333337</v>
      </c>
      <c r="N1508" t="str">
        <f t="shared" si="483"/>
        <v>1 - 2</v>
      </c>
      <c r="O1508" t="str">
        <f t="shared" si="484"/>
        <v>Red</v>
      </c>
      <c r="P1508" t="str">
        <f t="shared" si="485"/>
        <v>Red</v>
      </c>
      <c r="Q1508" t="str">
        <f t="shared" si="486"/>
        <v>Green</v>
      </c>
      <c r="R1508" t="str">
        <f t="shared" si="487"/>
        <v>Red</v>
      </c>
      <c r="S1508" t="str">
        <f t="shared" si="488"/>
        <v>Green</v>
      </c>
      <c r="T1508" t="str">
        <f t="shared" si="489"/>
        <v>Green</v>
      </c>
      <c r="U1508" t="str">
        <f t="shared" si="490"/>
        <v>Red</v>
      </c>
      <c r="V1508" t="str">
        <f t="shared" si="491"/>
        <v>Green</v>
      </c>
      <c r="W1508" t="str">
        <f t="shared" si="492"/>
        <v>Red</v>
      </c>
      <c r="X1508" t="str">
        <f t="shared" si="493"/>
        <v>Red</v>
      </c>
      <c r="Y1508" t="str">
        <f t="shared" si="494"/>
        <v>Green</v>
      </c>
      <c r="Z1508" t="str">
        <f t="shared" si="495"/>
        <v>Green</v>
      </c>
      <c r="AA1508" t="str">
        <f t="shared" si="496"/>
        <v>Red</v>
      </c>
      <c r="AB1508" t="str">
        <f t="shared" si="497"/>
        <v>Green</v>
      </c>
      <c r="AC1508" t="str">
        <f t="shared" si="498"/>
        <v>Green</v>
      </c>
      <c r="AD1508" t="str">
        <f t="shared" si="499"/>
        <v>Red</v>
      </c>
    </row>
    <row r="1509" spans="1:30" x14ac:dyDescent="0.2">
      <c r="A1509" t="str">
        <f t="shared" si="480"/>
        <v>25/07/2026FC FratriaMarek Dupnitsa</v>
      </c>
      <c r="D1509" s="2">
        <v>46228</v>
      </c>
      <c r="E1509" s="3">
        <v>0.70833333333333337</v>
      </c>
      <c r="F1509" t="s">
        <v>3108</v>
      </c>
      <c r="G1509" t="s">
        <v>3109</v>
      </c>
      <c r="H1509">
        <v>0</v>
      </c>
      <c r="I1509">
        <v>1</v>
      </c>
      <c r="J1509">
        <v>0</v>
      </c>
      <c r="K1509">
        <v>1</v>
      </c>
      <c r="L1509" s="22" t="str">
        <f t="shared" si="481"/>
        <v>25/07/2026</v>
      </c>
      <c r="M1509" s="23">
        <f t="shared" si="482"/>
        <v>0.58333333333333337</v>
      </c>
      <c r="N1509" t="str">
        <f t="shared" si="483"/>
        <v>0 - 1</v>
      </c>
      <c r="O1509" t="str">
        <f t="shared" si="484"/>
        <v>Red</v>
      </c>
      <c r="P1509" t="str">
        <f t="shared" si="485"/>
        <v>Red</v>
      </c>
      <c r="Q1509" t="str">
        <f t="shared" si="486"/>
        <v>Green</v>
      </c>
      <c r="R1509" t="str">
        <f t="shared" si="487"/>
        <v>Red</v>
      </c>
      <c r="S1509" t="str">
        <f t="shared" si="488"/>
        <v>Green</v>
      </c>
      <c r="T1509" t="str">
        <f t="shared" si="489"/>
        <v>Green</v>
      </c>
      <c r="U1509" t="str">
        <f t="shared" si="490"/>
        <v>Red</v>
      </c>
      <c r="V1509" t="str">
        <f t="shared" si="491"/>
        <v>Red</v>
      </c>
      <c r="W1509" t="str">
        <f t="shared" si="492"/>
        <v>Green</v>
      </c>
      <c r="X1509" t="str">
        <f t="shared" si="493"/>
        <v>Green</v>
      </c>
      <c r="Y1509" t="str">
        <f t="shared" si="494"/>
        <v>Red</v>
      </c>
      <c r="Z1509" t="str">
        <f t="shared" si="495"/>
        <v>Red</v>
      </c>
      <c r="AA1509" t="str">
        <f t="shared" si="496"/>
        <v>Green</v>
      </c>
      <c r="AB1509" t="str">
        <f t="shared" si="497"/>
        <v>Green</v>
      </c>
      <c r="AC1509" t="str">
        <f t="shared" si="498"/>
        <v>Red</v>
      </c>
      <c r="AD1509" t="str">
        <f t="shared" si="499"/>
        <v>Green</v>
      </c>
    </row>
    <row r="1510" spans="1:30" x14ac:dyDescent="0.2">
      <c r="A1510" t="str">
        <f t="shared" si="480"/>
        <v>25/07/2026Lokomotiv Gorna OryahovitsaChernomorets Burgas</v>
      </c>
      <c r="D1510" s="2">
        <v>46228</v>
      </c>
      <c r="E1510" s="3">
        <v>0.70833333333333337</v>
      </c>
      <c r="F1510" t="s">
        <v>3110</v>
      </c>
      <c r="G1510" t="s">
        <v>3111</v>
      </c>
      <c r="H1510">
        <v>0</v>
      </c>
      <c r="I1510">
        <v>0</v>
      </c>
      <c r="J1510">
        <v>1</v>
      </c>
      <c r="K1510">
        <v>1</v>
      </c>
      <c r="L1510" s="22" t="str">
        <f t="shared" si="481"/>
        <v>25/07/2026</v>
      </c>
      <c r="M1510" s="23">
        <f t="shared" si="482"/>
        <v>0.58333333333333337</v>
      </c>
      <c r="N1510" t="str">
        <f t="shared" si="483"/>
        <v>1 - 1</v>
      </c>
      <c r="O1510" t="str">
        <f t="shared" si="484"/>
        <v>Red</v>
      </c>
      <c r="P1510" t="str">
        <f t="shared" si="485"/>
        <v>Green</v>
      </c>
      <c r="Q1510" t="str">
        <f t="shared" si="486"/>
        <v>Red</v>
      </c>
      <c r="R1510" t="str">
        <f t="shared" si="487"/>
        <v>Green</v>
      </c>
      <c r="S1510" t="str">
        <f t="shared" si="488"/>
        <v>Green</v>
      </c>
      <c r="T1510" t="str">
        <f t="shared" si="489"/>
        <v>Red</v>
      </c>
      <c r="U1510" t="str">
        <f t="shared" si="490"/>
        <v>Red</v>
      </c>
      <c r="V1510" t="str">
        <f t="shared" si="491"/>
        <v>Green</v>
      </c>
      <c r="W1510" t="str">
        <f t="shared" si="492"/>
        <v>Red</v>
      </c>
      <c r="X1510" t="str">
        <f t="shared" si="493"/>
        <v>Red</v>
      </c>
      <c r="Y1510" t="str">
        <f t="shared" si="494"/>
        <v>Green</v>
      </c>
      <c r="Z1510" t="str">
        <f t="shared" si="495"/>
        <v>Red</v>
      </c>
      <c r="AA1510" t="str">
        <f t="shared" si="496"/>
        <v>Green</v>
      </c>
      <c r="AB1510" t="str">
        <f t="shared" si="497"/>
        <v>Green</v>
      </c>
      <c r="AC1510" t="str">
        <f t="shared" si="498"/>
        <v>Green</v>
      </c>
      <c r="AD1510" t="str">
        <f t="shared" si="499"/>
        <v>Red</v>
      </c>
    </row>
    <row r="1511" spans="1:30" x14ac:dyDescent="0.2">
      <c r="A1511" t="str">
        <f t="shared" si="480"/>
        <v>25/07/2026Yantra GabrovoSpartak Pleven</v>
      </c>
      <c r="D1511" s="2">
        <v>46228</v>
      </c>
      <c r="E1511" s="3">
        <v>0.70833333333333337</v>
      </c>
      <c r="F1511" t="s">
        <v>3112</v>
      </c>
      <c r="G1511" t="s">
        <v>3113</v>
      </c>
      <c r="H1511">
        <v>0</v>
      </c>
      <c r="I1511">
        <v>0</v>
      </c>
      <c r="J1511">
        <v>0</v>
      </c>
      <c r="K1511">
        <v>2</v>
      </c>
      <c r="L1511" s="22" t="str">
        <f t="shared" si="481"/>
        <v>25/07/2026</v>
      </c>
      <c r="M1511" s="23">
        <f t="shared" si="482"/>
        <v>0.58333333333333337</v>
      </c>
      <c r="N1511" t="str">
        <f t="shared" si="483"/>
        <v>0 - 2</v>
      </c>
      <c r="O1511" t="str">
        <f t="shared" si="484"/>
        <v>Red</v>
      </c>
      <c r="P1511" t="str">
        <f t="shared" si="485"/>
        <v>Red</v>
      </c>
      <c r="Q1511" t="str">
        <f t="shared" si="486"/>
        <v>Green</v>
      </c>
      <c r="R1511" t="str">
        <f t="shared" si="487"/>
        <v>Red</v>
      </c>
      <c r="S1511" t="str">
        <f t="shared" si="488"/>
        <v>Green</v>
      </c>
      <c r="T1511" t="str">
        <f t="shared" si="489"/>
        <v>Green</v>
      </c>
      <c r="U1511" t="str">
        <f t="shared" si="490"/>
        <v>Red</v>
      </c>
      <c r="V1511" t="str">
        <f t="shared" si="491"/>
        <v>Green</v>
      </c>
      <c r="W1511" t="str">
        <f t="shared" si="492"/>
        <v>Red</v>
      </c>
      <c r="X1511" t="str">
        <f t="shared" si="493"/>
        <v>Red</v>
      </c>
      <c r="Y1511" t="str">
        <f t="shared" si="494"/>
        <v>Green</v>
      </c>
      <c r="Z1511" t="str">
        <f t="shared" si="495"/>
        <v>Red</v>
      </c>
      <c r="AA1511" t="str">
        <f t="shared" si="496"/>
        <v>Green</v>
      </c>
      <c r="AB1511" t="str">
        <f t="shared" si="497"/>
        <v>Green</v>
      </c>
      <c r="AC1511" t="str">
        <f t="shared" si="498"/>
        <v>Red</v>
      </c>
      <c r="AD1511" t="str">
        <f t="shared" si="499"/>
        <v>Green</v>
      </c>
    </row>
    <row r="1512" spans="1:30" x14ac:dyDescent="0.2">
      <c r="A1512" t="str">
        <f t="shared" si="480"/>
        <v>25/07/2026Riga FC WomenWrexham Women</v>
      </c>
      <c r="D1512" s="2">
        <v>46228</v>
      </c>
      <c r="E1512" s="3">
        <v>0.70833333333333337</v>
      </c>
      <c r="F1512" t="s">
        <v>1603</v>
      </c>
      <c r="G1512" t="s">
        <v>1799</v>
      </c>
      <c r="H1512">
        <v>0</v>
      </c>
      <c r="I1512">
        <v>1</v>
      </c>
      <c r="J1512">
        <v>4</v>
      </c>
      <c r="K1512">
        <v>1</v>
      </c>
      <c r="L1512" s="22" t="str">
        <f t="shared" si="481"/>
        <v>25/07/2026</v>
      </c>
      <c r="M1512" s="23">
        <f t="shared" si="482"/>
        <v>0.58333333333333337</v>
      </c>
      <c r="N1512" t="str">
        <f t="shared" si="483"/>
        <v>4 - 1</v>
      </c>
      <c r="O1512" t="str">
        <f t="shared" si="484"/>
        <v>Green</v>
      </c>
      <c r="P1512" t="str">
        <f t="shared" si="485"/>
        <v>Red</v>
      </c>
      <c r="Q1512" t="str">
        <f t="shared" si="486"/>
        <v>Red</v>
      </c>
      <c r="R1512" t="str">
        <f t="shared" si="487"/>
        <v>Green</v>
      </c>
      <c r="S1512" t="str">
        <f t="shared" si="488"/>
        <v>Red</v>
      </c>
      <c r="T1512" t="str">
        <f t="shared" si="489"/>
        <v>Green</v>
      </c>
      <c r="U1512" t="str">
        <f t="shared" si="490"/>
        <v>Red</v>
      </c>
      <c r="V1512" t="str">
        <f t="shared" si="491"/>
        <v>Red</v>
      </c>
      <c r="W1512" t="str">
        <f t="shared" si="492"/>
        <v>Green</v>
      </c>
      <c r="X1512" t="str">
        <f t="shared" si="493"/>
        <v>Green</v>
      </c>
      <c r="Y1512" t="str">
        <f t="shared" si="494"/>
        <v>Green</v>
      </c>
      <c r="Z1512" t="str">
        <f t="shared" si="495"/>
        <v>Green</v>
      </c>
      <c r="AA1512" t="str">
        <f t="shared" si="496"/>
        <v>Red</v>
      </c>
      <c r="AB1512" t="str">
        <f t="shared" si="497"/>
        <v>Red</v>
      </c>
      <c r="AC1512" t="str">
        <f t="shared" si="498"/>
        <v>Green</v>
      </c>
      <c r="AD1512" t="str">
        <f t="shared" si="499"/>
        <v>Red</v>
      </c>
    </row>
    <row r="1513" spans="1:30" x14ac:dyDescent="0.2">
      <c r="A1513" t="str">
        <f t="shared" si="480"/>
        <v>25/07/2026Spartak Myjava WomenMgarr United Women</v>
      </c>
      <c r="D1513" s="2">
        <v>46228</v>
      </c>
      <c r="E1513" s="3">
        <v>0.70833333333333337</v>
      </c>
      <c r="F1513" t="s">
        <v>3211</v>
      </c>
      <c r="G1513" t="s">
        <v>1680</v>
      </c>
      <c r="H1513">
        <v>3</v>
      </c>
      <c r="I1513">
        <v>1</v>
      </c>
      <c r="J1513">
        <v>6</v>
      </c>
      <c r="K1513">
        <v>1</v>
      </c>
      <c r="L1513" s="22" t="str">
        <f t="shared" si="481"/>
        <v>25/07/2026</v>
      </c>
      <c r="M1513" s="23">
        <f t="shared" si="482"/>
        <v>0.58333333333333337</v>
      </c>
      <c r="N1513" t="str">
        <f t="shared" si="483"/>
        <v>6 - 1</v>
      </c>
      <c r="O1513" t="str">
        <f t="shared" si="484"/>
        <v>Green</v>
      </c>
      <c r="P1513" t="str">
        <f t="shared" si="485"/>
        <v>Red</v>
      </c>
      <c r="Q1513" t="str">
        <f t="shared" si="486"/>
        <v>Red</v>
      </c>
      <c r="R1513" t="str">
        <f t="shared" si="487"/>
        <v>Green</v>
      </c>
      <c r="S1513" t="str">
        <f t="shared" si="488"/>
        <v>Red</v>
      </c>
      <c r="T1513" t="str">
        <f t="shared" si="489"/>
        <v>Green</v>
      </c>
      <c r="U1513" t="str">
        <f t="shared" si="490"/>
        <v>Green</v>
      </c>
      <c r="V1513" t="str">
        <f t="shared" si="491"/>
        <v>Red</v>
      </c>
      <c r="W1513" t="str">
        <f t="shared" si="492"/>
        <v>Red</v>
      </c>
      <c r="X1513" t="str">
        <f t="shared" si="493"/>
        <v>Green</v>
      </c>
      <c r="Y1513" t="str">
        <f t="shared" si="494"/>
        <v>Green</v>
      </c>
      <c r="Z1513" t="str">
        <f t="shared" si="495"/>
        <v>Green</v>
      </c>
      <c r="AA1513" t="str">
        <f t="shared" si="496"/>
        <v>Red</v>
      </c>
      <c r="AB1513" t="str">
        <f t="shared" si="497"/>
        <v>Red</v>
      </c>
      <c r="AC1513" t="str">
        <f t="shared" si="498"/>
        <v>Green</v>
      </c>
      <c r="AD1513" t="str">
        <f t="shared" si="499"/>
        <v>Red</v>
      </c>
    </row>
    <row r="1514" spans="1:30" x14ac:dyDescent="0.2">
      <c r="A1514" t="str">
        <f t="shared" si="480"/>
        <v>25/07/2026BVSCKazincbarcikai SC</v>
      </c>
      <c r="D1514" s="2">
        <v>46228</v>
      </c>
      <c r="E1514" s="3">
        <v>0.70833333333333337</v>
      </c>
      <c r="F1514" t="s">
        <v>3309</v>
      </c>
      <c r="G1514" t="s">
        <v>3310</v>
      </c>
      <c r="H1514">
        <v>0</v>
      </c>
      <c r="I1514">
        <v>0</v>
      </c>
      <c r="J1514">
        <v>0</v>
      </c>
      <c r="K1514">
        <v>0</v>
      </c>
      <c r="L1514" s="22" t="str">
        <f t="shared" si="481"/>
        <v>25/07/2026</v>
      </c>
      <c r="M1514" s="23">
        <f t="shared" si="482"/>
        <v>0.58333333333333337</v>
      </c>
      <c r="N1514" t="str">
        <f t="shared" si="483"/>
        <v>0 - 0</v>
      </c>
      <c r="O1514" t="str">
        <f t="shared" si="484"/>
        <v>Red</v>
      </c>
      <c r="P1514" t="str">
        <f t="shared" si="485"/>
        <v>Green</v>
      </c>
      <c r="Q1514" t="str">
        <f t="shared" si="486"/>
        <v>Red</v>
      </c>
      <c r="R1514" t="str">
        <f t="shared" si="487"/>
        <v>Green</v>
      </c>
      <c r="S1514" t="str">
        <f t="shared" si="488"/>
        <v>Green</v>
      </c>
      <c r="T1514" t="str">
        <f t="shared" si="489"/>
        <v>Red</v>
      </c>
      <c r="U1514" t="str">
        <f t="shared" si="490"/>
        <v>Red</v>
      </c>
      <c r="V1514" t="str">
        <f t="shared" si="491"/>
        <v>Green</v>
      </c>
      <c r="W1514" t="str">
        <f t="shared" si="492"/>
        <v>Red</v>
      </c>
      <c r="X1514" t="str">
        <f t="shared" si="493"/>
        <v>Red</v>
      </c>
      <c r="Y1514" t="str">
        <f t="shared" si="494"/>
        <v>Red</v>
      </c>
      <c r="Z1514" t="str">
        <f t="shared" si="495"/>
        <v>Red</v>
      </c>
      <c r="AA1514" t="str">
        <f t="shared" si="496"/>
        <v>Green</v>
      </c>
      <c r="AB1514" t="str">
        <f t="shared" si="497"/>
        <v>Green</v>
      </c>
      <c r="AC1514" t="str">
        <f t="shared" si="498"/>
        <v>Red</v>
      </c>
      <c r="AD1514" t="str">
        <f t="shared" si="499"/>
        <v>Green</v>
      </c>
    </row>
    <row r="1515" spans="1:30" x14ac:dyDescent="0.2">
      <c r="A1515" t="str">
        <f t="shared" si="480"/>
        <v>25/07/2026FC AjkaKecskemeti TE</v>
      </c>
      <c r="D1515" s="2">
        <v>46228</v>
      </c>
      <c r="E1515" s="3">
        <v>0.70833333333333337</v>
      </c>
      <c r="F1515" t="s">
        <v>3311</v>
      </c>
      <c r="G1515" t="s">
        <v>3312</v>
      </c>
      <c r="H1515">
        <v>1</v>
      </c>
      <c r="I1515">
        <v>0</v>
      </c>
      <c r="J1515">
        <v>3</v>
      </c>
      <c r="K1515">
        <v>1</v>
      </c>
      <c r="L1515" s="22" t="str">
        <f t="shared" si="481"/>
        <v>25/07/2026</v>
      </c>
      <c r="M1515" s="23">
        <f t="shared" si="482"/>
        <v>0.58333333333333337</v>
      </c>
      <c r="N1515" t="str">
        <f t="shared" si="483"/>
        <v>3 - 1</v>
      </c>
      <c r="O1515" t="str">
        <f t="shared" si="484"/>
        <v>Green</v>
      </c>
      <c r="P1515" t="str">
        <f t="shared" si="485"/>
        <v>Red</v>
      </c>
      <c r="Q1515" t="str">
        <f t="shared" si="486"/>
        <v>Red</v>
      </c>
      <c r="R1515" t="str">
        <f t="shared" si="487"/>
        <v>Green</v>
      </c>
      <c r="S1515" t="str">
        <f t="shared" si="488"/>
        <v>Red</v>
      </c>
      <c r="T1515" t="str">
        <f t="shared" si="489"/>
        <v>Green</v>
      </c>
      <c r="U1515" t="str">
        <f t="shared" si="490"/>
        <v>Green</v>
      </c>
      <c r="V1515" t="str">
        <f t="shared" si="491"/>
        <v>Red</v>
      </c>
      <c r="W1515" t="str">
        <f t="shared" si="492"/>
        <v>Red</v>
      </c>
      <c r="X1515" t="str">
        <f t="shared" si="493"/>
        <v>Green</v>
      </c>
      <c r="Y1515" t="str">
        <f t="shared" si="494"/>
        <v>Green</v>
      </c>
      <c r="Z1515" t="str">
        <f t="shared" si="495"/>
        <v>Green</v>
      </c>
      <c r="AA1515" t="str">
        <f t="shared" si="496"/>
        <v>Red</v>
      </c>
      <c r="AB1515" t="str">
        <f t="shared" si="497"/>
        <v>Red</v>
      </c>
      <c r="AC1515" t="str">
        <f t="shared" si="498"/>
        <v>Green</v>
      </c>
      <c r="AD1515" t="str">
        <f t="shared" si="499"/>
        <v>Red</v>
      </c>
    </row>
    <row r="1516" spans="1:30" x14ac:dyDescent="0.2">
      <c r="A1516" t="str">
        <f t="shared" si="480"/>
        <v>25/07/2026MOL FehervarKozarmisleny SE</v>
      </c>
      <c r="D1516" s="2">
        <v>46228</v>
      </c>
      <c r="E1516" s="3">
        <v>0.70833333333333337</v>
      </c>
      <c r="F1516" t="s">
        <v>3313</v>
      </c>
      <c r="G1516" t="s">
        <v>3314</v>
      </c>
      <c r="H1516">
        <v>1</v>
      </c>
      <c r="I1516">
        <v>0</v>
      </c>
      <c r="J1516">
        <v>4</v>
      </c>
      <c r="K1516">
        <v>0</v>
      </c>
      <c r="L1516" s="22" t="str">
        <f t="shared" si="481"/>
        <v>25/07/2026</v>
      </c>
      <c r="M1516" s="23">
        <f t="shared" si="482"/>
        <v>0.58333333333333337</v>
      </c>
      <c r="N1516" t="str">
        <f t="shared" si="483"/>
        <v>4 - 0</v>
      </c>
      <c r="O1516" t="str">
        <f t="shared" si="484"/>
        <v>Green</v>
      </c>
      <c r="P1516" t="str">
        <f t="shared" si="485"/>
        <v>Red</v>
      </c>
      <c r="Q1516" t="str">
        <f t="shared" si="486"/>
        <v>Red</v>
      </c>
      <c r="R1516" t="str">
        <f t="shared" si="487"/>
        <v>Green</v>
      </c>
      <c r="S1516" t="str">
        <f t="shared" si="488"/>
        <v>Red</v>
      </c>
      <c r="T1516" t="str">
        <f t="shared" si="489"/>
        <v>Green</v>
      </c>
      <c r="U1516" t="str">
        <f t="shared" si="490"/>
        <v>Green</v>
      </c>
      <c r="V1516" t="str">
        <f t="shared" si="491"/>
        <v>Red</v>
      </c>
      <c r="W1516" t="str">
        <f t="shared" si="492"/>
        <v>Red</v>
      </c>
      <c r="X1516" t="str">
        <f t="shared" si="493"/>
        <v>Green</v>
      </c>
      <c r="Y1516" t="str">
        <f t="shared" si="494"/>
        <v>Green</v>
      </c>
      <c r="Z1516" t="str">
        <f t="shared" si="495"/>
        <v>Green</v>
      </c>
      <c r="AA1516" t="str">
        <f t="shared" si="496"/>
        <v>Red</v>
      </c>
      <c r="AB1516" t="str">
        <f t="shared" si="497"/>
        <v>Red</v>
      </c>
      <c r="AC1516" t="str">
        <f t="shared" si="498"/>
        <v>Red</v>
      </c>
      <c r="AD1516" t="str">
        <f t="shared" si="499"/>
        <v>Green</v>
      </c>
    </row>
    <row r="1517" spans="1:30" x14ac:dyDescent="0.2">
      <c r="A1517" t="str">
        <f t="shared" si="480"/>
        <v>25/07/2026Tiszakecske FCSzeged</v>
      </c>
      <c r="D1517" s="2">
        <v>46228</v>
      </c>
      <c r="E1517" s="3">
        <v>0.70833333333333337</v>
      </c>
      <c r="F1517" t="s">
        <v>3315</v>
      </c>
      <c r="G1517" t="s">
        <v>3316</v>
      </c>
      <c r="H1517">
        <v>1</v>
      </c>
      <c r="I1517">
        <v>0</v>
      </c>
      <c r="J1517">
        <v>1</v>
      </c>
      <c r="K1517">
        <v>1</v>
      </c>
      <c r="L1517" s="22" t="str">
        <f t="shared" si="481"/>
        <v>25/07/2026</v>
      </c>
      <c r="M1517" s="23">
        <f t="shared" si="482"/>
        <v>0.58333333333333337</v>
      </c>
      <c r="N1517" t="str">
        <f t="shared" si="483"/>
        <v>1 - 1</v>
      </c>
      <c r="O1517" t="str">
        <f t="shared" si="484"/>
        <v>Red</v>
      </c>
      <c r="P1517" t="str">
        <f t="shared" si="485"/>
        <v>Green</v>
      </c>
      <c r="Q1517" t="str">
        <f t="shared" si="486"/>
        <v>Red</v>
      </c>
      <c r="R1517" t="str">
        <f t="shared" si="487"/>
        <v>Green</v>
      </c>
      <c r="S1517" t="str">
        <f t="shared" si="488"/>
        <v>Green</v>
      </c>
      <c r="T1517" t="str">
        <f t="shared" si="489"/>
        <v>Red</v>
      </c>
      <c r="U1517" t="str">
        <f t="shared" si="490"/>
        <v>Green</v>
      </c>
      <c r="V1517" t="str">
        <f t="shared" si="491"/>
        <v>Red</v>
      </c>
      <c r="W1517" t="str">
        <f t="shared" si="492"/>
        <v>Red</v>
      </c>
      <c r="X1517" t="str">
        <f t="shared" si="493"/>
        <v>Green</v>
      </c>
      <c r="Y1517" t="str">
        <f t="shared" si="494"/>
        <v>Green</v>
      </c>
      <c r="Z1517" t="str">
        <f t="shared" si="495"/>
        <v>Red</v>
      </c>
      <c r="AA1517" t="str">
        <f t="shared" si="496"/>
        <v>Green</v>
      </c>
      <c r="AB1517" t="str">
        <f t="shared" si="497"/>
        <v>Green</v>
      </c>
      <c r="AC1517" t="str">
        <f t="shared" si="498"/>
        <v>Green</v>
      </c>
      <c r="AD1517" t="str">
        <f t="shared" si="499"/>
        <v>Red</v>
      </c>
    </row>
    <row r="1518" spans="1:30" x14ac:dyDescent="0.2">
      <c r="A1518" t="str">
        <f t="shared" si="480"/>
        <v>25/07/2026Pecsi MFCDunaharaszti MTK</v>
      </c>
      <c r="D1518" s="2">
        <v>46228</v>
      </c>
      <c r="E1518" s="3">
        <v>0.70833333333333337</v>
      </c>
      <c r="F1518" t="s">
        <v>3347</v>
      </c>
      <c r="G1518" t="s">
        <v>3348</v>
      </c>
      <c r="H1518">
        <v>1</v>
      </c>
      <c r="I1518">
        <v>0</v>
      </c>
      <c r="J1518">
        <v>2</v>
      </c>
      <c r="K1518">
        <v>0</v>
      </c>
      <c r="L1518" s="22" t="str">
        <f t="shared" si="481"/>
        <v>25/07/2026</v>
      </c>
      <c r="M1518" s="23">
        <f t="shared" si="482"/>
        <v>0.58333333333333337</v>
      </c>
      <c r="N1518" t="str">
        <f t="shared" si="483"/>
        <v>2 - 0</v>
      </c>
      <c r="O1518" t="str">
        <f t="shared" si="484"/>
        <v>Green</v>
      </c>
      <c r="P1518" t="str">
        <f t="shared" si="485"/>
        <v>Red</v>
      </c>
      <c r="Q1518" t="str">
        <f t="shared" si="486"/>
        <v>Red</v>
      </c>
      <c r="R1518" t="str">
        <f t="shared" si="487"/>
        <v>Green</v>
      </c>
      <c r="S1518" t="str">
        <f t="shared" si="488"/>
        <v>Red</v>
      </c>
      <c r="T1518" t="str">
        <f t="shared" si="489"/>
        <v>Green</v>
      </c>
      <c r="U1518" t="str">
        <f t="shared" si="490"/>
        <v>Green</v>
      </c>
      <c r="V1518" t="str">
        <f t="shared" si="491"/>
        <v>Red</v>
      </c>
      <c r="W1518" t="str">
        <f t="shared" si="492"/>
        <v>Red</v>
      </c>
      <c r="X1518" t="str">
        <f t="shared" si="493"/>
        <v>Green</v>
      </c>
      <c r="Y1518" t="str">
        <f t="shared" si="494"/>
        <v>Green</v>
      </c>
      <c r="Z1518" t="str">
        <f t="shared" si="495"/>
        <v>Red</v>
      </c>
      <c r="AA1518" t="str">
        <f t="shared" si="496"/>
        <v>Green</v>
      </c>
      <c r="AB1518" t="str">
        <f t="shared" si="497"/>
        <v>Green</v>
      </c>
      <c r="AC1518" t="str">
        <f t="shared" si="498"/>
        <v>Red</v>
      </c>
      <c r="AD1518" t="str">
        <f t="shared" si="499"/>
        <v>Green</v>
      </c>
    </row>
    <row r="1519" spans="1:30" x14ac:dyDescent="0.2">
      <c r="A1519" t="str">
        <f t="shared" ref="A1519:A1582" si="500">L1518&amp;F1519&amp;G1519</f>
        <v>25/07/2026Kormakur/HvotSelfoss</v>
      </c>
      <c r="D1519" s="2">
        <v>46228</v>
      </c>
      <c r="E1519" s="3">
        <v>0.70833333333333337</v>
      </c>
      <c r="F1519" t="s">
        <v>643</v>
      </c>
      <c r="G1519" t="s">
        <v>3351</v>
      </c>
      <c r="H1519">
        <v>2</v>
      </c>
      <c r="I1519">
        <v>1</v>
      </c>
      <c r="J1519">
        <v>2</v>
      </c>
      <c r="K1519">
        <v>5</v>
      </c>
      <c r="L1519" s="22" t="str">
        <f t="shared" ref="L1519:L1582" si="501">DAY(D1519)&amp;"/"&amp;"07"&amp;"/"&amp;YEAR(D1519)</f>
        <v>25/07/2026</v>
      </c>
      <c r="M1519" s="23">
        <f t="shared" ref="M1519:M1582" si="502">E1519-TIME(3,0,0)</f>
        <v>0.58333333333333337</v>
      </c>
      <c r="N1519" t="str">
        <f t="shared" ref="N1519:N1582" si="503">J1519&amp;" - "&amp;K1519</f>
        <v>2 - 5</v>
      </c>
      <c r="O1519" t="str">
        <f t="shared" si="484"/>
        <v>Red</v>
      </c>
      <c r="P1519" t="str">
        <f t="shared" si="485"/>
        <v>Red</v>
      </c>
      <c r="Q1519" t="str">
        <f t="shared" si="486"/>
        <v>Green</v>
      </c>
      <c r="R1519" t="str">
        <f t="shared" si="487"/>
        <v>Red</v>
      </c>
      <c r="S1519" t="str">
        <f t="shared" si="488"/>
        <v>Green</v>
      </c>
      <c r="T1519" t="str">
        <f t="shared" si="489"/>
        <v>Green</v>
      </c>
      <c r="U1519" t="str">
        <f t="shared" si="490"/>
        <v>Green</v>
      </c>
      <c r="V1519" t="str">
        <f t="shared" si="491"/>
        <v>Red</v>
      </c>
      <c r="W1519" t="str">
        <f t="shared" si="492"/>
        <v>Red</v>
      </c>
      <c r="X1519" t="str">
        <f t="shared" si="493"/>
        <v>Green</v>
      </c>
      <c r="Y1519" t="str">
        <f t="shared" si="494"/>
        <v>Green</v>
      </c>
      <c r="Z1519" t="str">
        <f t="shared" si="495"/>
        <v>Green</v>
      </c>
      <c r="AA1519" t="str">
        <f t="shared" si="496"/>
        <v>Red</v>
      </c>
      <c r="AB1519" t="str">
        <f t="shared" si="497"/>
        <v>Red</v>
      </c>
      <c r="AC1519" t="str">
        <f t="shared" si="498"/>
        <v>Green</v>
      </c>
      <c r="AD1519" t="str">
        <f t="shared" si="499"/>
        <v>Red</v>
      </c>
    </row>
    <row r="1520" spans="1:30" x14ac:dyDescent="0.2">
      <c r="A1520" t="str">
        <f t="shared" si="500"/>
        <v>25/07/2026Fram Reykjavik WomenGrindavik Women</v>
      </c>
      <c r="D1520" s="2">
        <v>46228</v>
      </c>
      <c r="E1520" s="3">
        <v>0.70833333333333337</v>
      </c>
      <c r="F1520" t="s">
        <v>3361</v>
      </c>
      <c r="G1520" t="s">
        <v>1310</v>
      </c>
      <c r="H1520">
        <v>0</v>
      </c>
      <c r="I1520">
        <v>1</v>
      </c>
      <c r="J1520">
        <v>0</v>
      </c>
      <c r="K1520">
        <v>3</v>
      </c>
      <c r="L1520" s="22" t="str">
        <f t="shared" si="501"/>
        <v>25/07/2026</v>
      </c>
      <c r="M1520" s="23">
        <f t="shared" si="502"/>
        <v>0.58333333333333337</v>
      </c>
      <c r="N1520" t="str">
        <f t="shared" si="503"/>
        <v>0 - 3</v>
      </c>
      <c r="O1520" t="str">
        <f t="shared" si="484"/>
        <v>Red</v>
      </c>
      <c r="P1520" t="str">
        <f t="shared" si="485"/>
        <v>Red</v>
      </c>
      <c r="Q1520" t="str">
        <f t="shared" si="486"/>
        <v>Green</v>
      </c>
      <c r="R1520" t="str">
        <f t="shared" si="487"/>
        <v>Red</v>
      </c>
      <c r="S1520" t="str">
        <f t="shared" si="488"/>
        <v>Green</v>
      </c>
      <c r="T1520" t="str">
        <f t="shared" si="489"/>
        <v>Green</v>
      </c>
      <c r="U1520" t="str">
        <f t="shared" si="490"/>
        <v>Red</v>
      </c>
      <c r="V1520" t="str">
        <f t="shared" si="491"/>
        <v>Red</v>
      </c>
      <c r="W1520" t="str">
        <f t="shared" si="492"/>
        <v>Green</v>
      </c>
      <c r="X1520" t="str">
        <f t="shared" si="493"/>
        <v>Green</v>
      </c>
      <c r="Y1520" t="str">
        <f t="shared" si="494"/>
        <v>Green</v>
      </c>
      <c r="Z1520" t="str">
        <f t="shared" si="495"/>
        <v>Green</v>
      </c>
      <c r="AA1520" t="str">
        <f t="shared" si="496"/>
        <v>Red</v>
      </c>
      <c r="AB1520" t="str">
        <f t="shared" si="497"/>
        <v>Green</v>
      </c>
      <c r="AC1520" t="str">
        <f t="shared" si="498"/>
        <v>Red</v>
      </c>
      <c r="AD1520" t="str">
        <f t="shared" si="499"/>
        <v>Green</v>
      </c>
    </row>
    <row r="1521" spans="1:30" x14ac:dyDescent="0.2">
      <c r="A1521" t="str">
        <f t="shared" si="500"/>
        <v>25/07/2026Cork City WomenWexford Youths Women</v>
      </c>
      <c r="D1521" s="2">
        <v>46228</v>
      </c>
      <c r="E1521" s="3">
        <v>0.70833333333333337</v>
      </c>
      <c r="F1521" t="s">
        <v>3375</v>
      </c>
      <c r="G1521" t="s">
        <v>3376</v>
      </c>
      <c r="H1521">
        <v>1</v>
      </c>
      <c r="I1521">
        <v>1</v>
      </c>
      <c r="J1521">
        <v>1</v>
      </c>
      <c r="K1521">
        <v>3</v>
      </c>
      <c r="L1521" s="22" t="str">
        <f t="shared" si="501"/>
        <v>25/07/2026</v>
      </c>
      <c r="M1521" s="23">
        <f t="shared" si="502"/>
        <v>0.58333333333333337</v>
      </c>
      <c r="N1521" t="str">
        <f t="shared" si="503"/>
        <v>1 - 3</v>
      </c>
      <c r="O1521" t="str">
        <f t="shared" si="484"/>
        <v>Red</v>
      </c>
      <c r="P1521" t="str">
        <f t="shared" si="485"/>
        <v>Red</v>
      </c>
      <c r="Q1521" t="str">
        <f t="shared" si="486"/>
        <v>Green</v>
      </c>
      <c r="R1521" t="str">
        <f t="shared" si="487"/>
        <v>Red</v>
      </c>
      <c r="S1521" t="str">
        <f t="shared" si="488"/>
        <v>Green</v>
      </c>
      <c r="T1521" t="str">
        <f t="shared" si="489"/>
        <v>Green</v>
      </c>
      <c r="U1521" t="str">
        <f t="shared" si="490"/>
        <v>Red</v>
      </c>
      <c r="V1521" t="str">
        <f t="shared" si="491"/>
        <v>Green</v>
      </c>
      <c r="W1521" t="str">
        <f t="shared" si="492"/>
        <v>Red</v>
      </c>
      <c r="X1521" t="str">
        <f t="shared" si="493"/>
        <v>Green</v>
      </c>
      <c r="Y1521" t="str">
        <f t="shared" si="494"/>
        <v>Green</v>
      </c>
      <c r="Z1521" t="str">
        <f t="shared" si="495"/>
        <v>Green</v>
      </c>
      <c r="AA1521" t="str">
        <f t="shared" si="496"/>
        <v>Red</v>
      </c>
      <c r="AB1521" t="str">
        <f t="shared" si="497"/>
        <v>Red</v>
      </c>
      <c r="AC1521" t="str">
        <f t="shared" si="498"/>
        <v>Green</v>
      </c>
      <c r="AD1521" t="str">
        <f t="shared" si="499"/>
        <v>Red</v>
      </c>
    </row>
    <row r="1522" spans="1:30" x14ac:dyDescent="0.2">
      <c r="A1522" t="str">
        <f t="shared" si="500"/>
        <v>25/07/2026Santos Laguna U21Club Atlas U21</v>
      </c>
      <c r="D1522" s="2">
        <v>46228</v>
      </c>
      <c r="E1522" s="3">
        <v>0.70833333333333337</v>
      </c>
      <c r="F1522" t="s">
        <v>3425</v>
      </c>
      <c r="G1522" t="s">
        <v>3426</v>
      </c>
      <c r="H1522">
        <v>0</v>
      </c>
      <c r="I1522">
        <v>0</v>
      </c>
      <c r="J1522">
        <v>0</v>
      </c>
      <c r="K1522">
        <v>0</v>
      </c>
      <c r="L1522" s="22" t="str">
        <f t="shared" si="501"/>
        <v>25/07/2026</v>
      </c>
      <c r="M1522" s="23">
        <f t="shared" si="502"/>
        <v>0.58333333333333337</v>
      </c>
      <c r="N1522" t="str">
        <f t="shared" si="503"/>
        <v>0 - 0</v>
      </c>
      <c r="O1522" t="str">
        <f t="shared" si="484"/>
        <v>Red</v>
      </c>
      <c r="P1522" t="str">
        <f t="shared" si="485"/>
        <v>Green</v>
      </c>
      <c r="Q1522" t="str">
        <f t="shared" si="486"/>
        <v>Red</v>
      </c>
      <c r="R1522" t="str">
        <f t="shared" si="487"/>
        <v>Green</v>
      </c>
      <c r="S1522" t="str">
        <f t="shared" si="488"/>
        <v>Green</v>
      </c>
      <c r="T1522" t="str">
        <f t="shared" si="489"/>
        <v>Red</v>
      </c>
      <c r="U1522" t="str">
        <f t="shared" si="490"/>
        <v>Red</v>
      </c>
      <c r="V1522" t="str">
        <f t="shared" si="491"/>
        <v>Green</v>
      </c>
      <c r="W1522" t="str">
        <f t="shared" si="492"/>
        <v>Red</v>
      </c>
      <c r="X1522" t="str">
        <f t="shared" si="493"/>
        <v>Red</v>
      </c>
      <c r="Y1522" t="str">
        <f t="shared" si="494"/>
        <v>Red</v>
      </c>
      <c r="Z1522" t="str">
        <f t="shared" si="495"/>
        <v>Red</v>
      </c>
      <c r="AA1522" t="str">
        <f t="shared" si="496"/>
        <v>Green</v>
      </c>
      <c r="AB1522" t="str">
        <f t="shared" si="497"/>
        <v>Green</v>
      </c>
      <c r="AC1522" t="str">
        <f t="shared" si="498"/>
        <v>Red</v>
      </c>
      <c r="AD1522" t="str">
        <f t="shared" si="499"/>
        <v>Green</v>
      </c>
    </row>
    <row r="1523" spans="1:30" x14ac:dyDescent="0.2">
      <c r="A1523" t="str">
        <f t="shared" si="500"/>
        <v>25/07/2026FC Zaria BaltiDacia-2 Buiucani</v>
      </c>
      <c r="D1523" s="2">
        <v>46228</v>
      </c>
      <c r="E1523" s="3">
        <v>0.70833333333333337</v>
      </c>
      <c r="F1523" t="s">
        <v>3427</v>
      </c>
      <c r="G1523" t="s">
        <v>3428</v>
      </c>
      <c r="H1523">
        <v>0</v>
      </c>
      <c r="I1523">
        <v>1</v>
      </c>
      <c r="J1523">
        <v>1</v>
      </c>
      <c r="K1523">
        <v>4</v>
      </c>
      <c r="L1523" s="22" t="str">
        <f t="shared" si="501"/>
        <v>25/07/2026</v>
      </c>
      <c r="M1523" s="23">
        <f t="shared" si="502"/>
        <v>0.58333333333333337</v>
      </c>
      <c r="N1523" t="str">
        <f t="shared" si="503"/>
        <v>1 - 4</v>
      </c>
      <c r="O1523" t="str">
        <f t="shared" si="484"/>
        <v>Red</v>
      </c>
      <c r="P1523" t="str">
        <f t="shared" si="485"/>
        <v>Red</v>
      </c>
      <c r="Q1523" t="str">
        <f t="shared" si="486"/>
        <v>Green</v>
      </c>
      <c r="R1523" t="str">
        <f t="shared" si="487"/>
        <v>Red</v>
      </c>
      <c r="S1523" t="str">
        <f t="shared" si="488"/>
        <v>Green</v>
      </c>
      <c r="T1523" t="str">
        <f t="shared" si="489"/>
        <v>Green</v>
      </c>
      <c r="U1523" t="str">
        <f t="shared" si="490"/>
        <v>Red</v>
      </c>
      <c r="V1523" t="str">
        <f t="shared" si="491"/>
        <v>Red</v>
      </c>
      <c r="W1523" t="str">
        <f t="shared" si="492"/>
        <v>Green</v>
      </c>
      <c r="X1523" t="str">
        <f t="shared" si="493"/>
        <v>Green</v>
      </c>
      <c r="Y1523" t="str">
        <f t="shared" si="494"/>
        <v>Green</v>
      </c>
      <c r="Z1523" t="str">
        <f t="shared" si="495"/>
        <v>Green</v>
      </c>
      <c r="AA1523" t="str">
        <f t="shared" si="496"/>
        <v>Red</v>
      </c>
      <c r="AB1523" t="str">
        <f t="shared" si="497"/>
        <v>Red</v>
      </c>
      <c r="AC1523" t="str">
        <f t="shared" si="498"/>
        <v>Green</v>
      </c>
      <c r="AD1523" t="str">
        <f t="shared" si="499"/>
        <v>Red</v>
      </c>
    </row>
    <row r="1524" spans="1:30" x14ac:dyDescent="0.2">
      <c r="A1524" t="str">
        <f t="shared" si="500"/>
        <v>25/07/2026Zawisza BydgoszczSokol Kleczew</v>
      </c>
      <c r="D1524" s="2">
        <v>46228</v>
      </c>
      <c r="E1524" s="3">
        <v>0.70833333333333337</v>
      </c>
      <c r="F1524" t="s">
        <v>3548</v>
      </c>
      <c r="G1524" t="s">
        <v>3549</v>
      </c>
      <c r="H1524">
        <v>0</v>
      </c>
      <c r="I1524">
        <v>0</v>
      </c>
      <c r="J1524">
        <v>1</v>
      </c>
      <c r="K1524">
        <v>1</v>
      </c>
      <c r="L1524" s="22" t="str">
        <f t="shared" si="501"/>
        <v>25/07/2026</v>
      </c>
      <c r="M1524" s="23">
        <f t="shared" si="502"/>
        <v>0.58333333333333337</v>
      </c>
      <c r="N1524" t="str">
        <f t="shared" si="503"/>
        <v>1 - 1</v>
      </c>
      <c r="O1524" t="str">
        <f t="shared" si="484"/>
        <v>Red</v>
      </c>
      <c r="P1524" t="str">
        <f t="shared" si="485"/>
        <v>Green</v>
      </c>
      <c r="Q1524" t="str">
        <f t="shared" si="486"/>
        <v>Red</v>
      </c>
      <c r="R1524" t="str">
        <f t="shared" si="487"/>
        <v>Green</v>
      </c>
      <c r="S1524" t="str">
        <f t="shared" si="488"/>
        <v>Green</v>
      </c>
      <c r="T1524" t="str">
        <f t="shared" si="489"/>
        <v>Red</v>
      </c>
      <c r="U1524" t="str">
        <f t="shared" si="490"/>
        <v>Red</v>
      </c>
      <c r="V1524" t="str">
        <f t="shared" si="491"/>
        <v>Green</v>
      </c>
      <c r="W1524" t="str">
        <f t="shared" si="492"/>
        <v>Red</v>
      </c>
      <c r="X1524" t="str">
        <f t="shared" si="493"/>
        <v>Red</v>
      </c>
      <c r="Y1524" t="str">
        <f t="shared" si="494"/>
        <v>Green</v>
      </c>
      <c r="Z1524" t="str">
        <f t="shared" si="495"/>
        <v>Red</v>
      </c>
      <c r="AA1524" t="str">
        <f t="shared" si="496"/>
        <v>Green</v>
      </c>
      <c r="AB1524" t="str">
        <f t="shared" si="497"/>
        <v>Green</v>
      </c>
      <c r="AC1524" t="str">
        <f t="shared" si="498"/>
        <v>Green</v>
      </c>
      <c r="AD1524" t="str">
        <f t="shared" si="499"/>
        <v>Red</v>
      </c>
    </row>
    <row r="1525" spans="1:30" x14ac:dyDescent="0.2">
      <c r="A1525" t="str">
        <f t="shared" si="500"/>
        <v>25/07/2026Dinamo Moscow IITyumen</v>
      </c>
      <c r="D1525" s="2">
        <v>46228</v>
      </c>
      <c r="E1525" s="3">
        <v>0.70833333333333337</v>
      </c>
      <c r="F1525" t="s">
        <v>3568</v>
      </c>
      <c r="G1525" t="s">
        <v>3569</v>
      </c>
      <c r="H1525">
        <v>0</v>
      </c>
      <c r="I1525">
        <v>0</v>
      </c>
      <c r="J1525">
        <v>0</v>
      </c>
      <c r="K1525">
        <v>2</v>
      </c>
      <c r="L1525" s="22" t="str">
        <f t="shared" si="501"/>
        <v>25/07/2026</v>
      </c>
      <c r="M1525" s="23">
        <f t="shared" si="502"/>
        <v>0.58333333333333337</v>
      </c>
      <c r="N1525" t="str">
        <f t="shared" si="503"/>
        <v>0 - 2</v>
      </c>
      <c r="O1525" t="str">
        <f t="shared" si="484"/>
        <v>Red</v>
      </c>
      <c r="P1525" t="str">
        <f t="shared" si="485"/>
        <v>Red</v>
      </c>
      <c r="Q1525" t="str">
        <f t="shared" si="486"/>
        <v>Green</v>
      </c>
      <c r="R1525" t="str">
        <f t="shared" si="487"/>
        <v>Red</v>
      </c>
      <c r="S1525" t="str">
        <f t="shared" si="488"/>
        <v>Green</v>
      </c>
      <c r="T1525" t="str">
        <f t="shared" si="489"/>
        <v>Green</v>
      </c>
      <c r="U1525" t="str">
        <f t="shared" si="490"/>
        <v>Red</v>
      </c>
      <c r="V1525" t="str">
        <f t="shared" si="491"/>
        <v>Green</v>
      </c>
      <c r="W1525" t="str">
        <f t="shared" si="492"/>
        <v>Red</v>
      </c>
      <c r="X1525" t="str">
        <f t="shared" si="493"/>
        <v>Red</v>
      </c>
      <c r="Y1525" t="str">
        <f t="shared" si="494"/>
        <v>Green</v>
      </c>
      <c r="Z1525" t="str">
        <f t="shared" si="495"/>
        <v>Red</v>
      </c>
      <c r="AA1525" t="str">
        <f t="shared" si="496"/>
        <v>Green</v>
      </c>
      <c r="AB1525" t="str">
        <f t="shared" si="497"/>
        <v>Green</v>
      </c>
      <c r="AC1525" t="str">
        <f t="shared" si="498"/>
        <v>Red</v>
      </c>
      <c r="AD1525" t="str">
        <f t="shared" si="499"/>
        <v>Green</v>
      </c>
    </row>
    <row r="1526" spans="1:30" x14ac:dyDescent="0.2">
      <c r="A1526" t="str">
        <f t="shared" si="500"/>
        <v>25/07/2026Arsenal TivatLeotar Trebinje</v>
      </c>
      <c r="D1526" s="2">
        <v>46228</v>
      </c>
      <c r="E1526" s="3">
        <v>0.70833333333333337</v>
      </c>
      <c r="F1526" t="s">
        <v>3982</v>
      </c>
      <c r="G1526" t="s">
        <v>3983</v>
      </c>
      <c r="H1526">
        <v>0</v>
      </c>
      <c r="I1526">
        <v>0</v>
      </c>
      <c r="J1526">
        <v>4</v>
      </c>
      <c r="K1526">
        <v>1</v>
      </c>
      <c r="L1526" s="22" t="str">
        <f t="shared" si="501"/>
        <v>25/07/2026</v>
      </c>
      <c r="M1526" s="23">
        <f t="shared" si="502"/>
        <v>0.58333333333333337</v>
      </c>
      <c r="N1526" t="str">
        <f t="shared" si="503"/>
        <v>4 - 1</v>
      </c>
      <c r="O1526" t="str">
        <f t="shared" si="484"/>
        <v>Green</v>
      </c>
      <c r="P1526" t="str">
        <f t="shared" si="485"/>
        <v>Red</v>
      </c>
      <c r="Q1526" t="str">
        <f t="shared" si="486"/>
        <v>Red</v>
      </c>
      <c r="R1526" t="str">
        <f t="shared" si="487"/>
        <v>Green</v>
      </c>
      <c r="S1526" t="str">
        <f t="shared" si="488"/>
        <v>Red</v>
      </c>
      <c r="T1526" t="str">
        <f t="shared" si="489"/>
        <v>Green</v>
      </c>
      <c r="U1526" t="str">
        <f t="shared" si="490"/>
        <v>Red</v>
      </c>
      <c r="V1526" t="str">
        <f t="shared" si="491"/>
        <v>Green</v>
      </c>
      <c r="W1526" t="str">
        <f t="shared" si="492"/>
        <v>Red</v>
      </c>
      <c r="X1526" t="str">
        <f t="shared" si="493"/>
        <v>Red</v>
      </c>
      <c r="Y1526" t="str">
        <f t="shared" si="494"/>
        <v>Green</v>
      </c>
      <c r="Z1526" t="str">
        <f t="shared" si="495"/>
        <v>Green</v>
      </c>
      <c r="AA1526" t="str">
        <f t="shared" si="496"/>
        <v>Red</v>
      </c>
      <c r="AB1526" t="str">
        <f t="shared" si="497"/>
        <v>Red</v>
      </c>
      <c r="AC1526" t="str">
        <f t="shared" si="498"/>
        <v>Green</v>
      </c>
      <c r="AD1526" t="str">
        <f t="shared" si="499"/>
        <v>Red</v>
      </c>
    </row>
    <row r="1527" spans="1:30" x14ac:dyDescent="0.2">
      <c r="A1527" t="str">
        <f t="shared" si="500"/>
        <v>25/07/2026Athletic BilbaoSD Eibar</v>
      </c>
      <c r="D1527" s="2">
        <v>46228</v>
      </c>
      <c r="E1527" s="3">
        <v>0.70833333333333337</v>
      </c>
      <c r="F1527" t="s">
        <v>1773</v>
      </c>
      <c r="G1527" t="s">
        <v>3984</v>
      </c>
      <c r="H1527">
        <v>1</v>
      </c>
      <c r="I1527">
        <v>2</v>
      </c>
      <c r="J1527">
        <v>2</v>
      </c>
      <c r="K1527">
        <v>2</v>
      </c>
      <c r="L1527" s="22" t="str">
        <f t="shared" si="501"/>
        <v>25/07/2026</v>
      </c>
      <c r="M1527" s="23">
        <f t="shared" si="502"/>
        <v>0.58333333333333337</v>
      </c>
      <c r="N1527" t="str">
        <f t="shared" si="503"/>
        <v>2 - 2</v>
      </c>
      <c r="O1527" t="str">
        <f t="shared" si="484"/>
        <v>Red</v>
      </c>
      <c r="P1527" t="str">
        <f t="shared" si="485"/>
        <v>Green</v>
      </c>
      <c r="Q1527" t="str">
        <f t="shared" si="486"/>
        <v>Red</v>
      </c>
      <c r="R1527" t="str">
        <f t="shared" si="487"/>
        <v>Green</v>
      </c>
      <c r="S1527" t="str">
        <f t="shared" si="488"/>
        <v>Green</v>
      </c>
      <c r="T1527" t="str">
        <f t="shared" si="489"/>
        <v>Red</v>
      </c>
      <c r="U1527" t="str">
        <f t="shared" si="490"/>
        <v>Red</v>
      </c>
      <c r="V1527" t="str">
        <f t="shared" si="491"/>
        <v>Red</v>
      </c>
      <c r="W1527" t="str">
        <f t="shared" si="492"/>
        <v>Green</v>
      </c>
      <c r="X1527" t="str">
        <f t="shared" si="493"/>
        <v>Green</v>
      </c>
      <c r="Y1527" t="str">
        <f t="shared" si="494"/>
        <v>Green</v>
      </c>
      <c r="Z1527" t="str">
        <f t="shared" si="495"/>
        <v>Green</v>
      </c>
      <c r="AA1527" t="str">
        <f t="shared" si="496"/>
        <v>Red</v>
      </c>
      <c r="AB1527" t="str">
        <f t="shared" si="497"/>
        <v>Red</v>
      </c>
      <c r="AC1527" t="str">
        <f t="shared" si="498"/>
        <v>Green</v>
      </c>
      <c r="AD1527" t="str">
        <f t="shared" si="499"/>
        <v>Red</v>
      </c>
    </row>
    <row r="1528" spans="1:30" x14ac:dyDescent="0.2">
      <c r="A1528" t="str">
        <f t="shared" si="500"/>
        <v>25/07/2026CD LugoCelta de Vigo B</v>
      </c>
      <c r="D1528" s="2">
        <v>46228</v>
      </c>
      <c r="E1528" s="3">
        <v>0.70833333333333337</v>
      </c>
      <c r="F1528" t="s">
        <v>3985</v>
      </c>
      <c r="G1528" t="s">
        <v>3986</v>
      </c>
      <c r="H1528">
        <v>0</v>
      </c>
      <c r="I1528">
        <v>1</v>
      </c>
      <c r="J1528">
        <v>1</v>
      </c>
      <c r="K1528">
        <v>1</v>
      </c>
      <c r="L1528" s="22" t="str">
        <f t="shared" si="501"/>
        <v>25/07/2026</v>
      </c>
      <c r="M1528" s="23">
        <f t="shared" si="502"/>
        <v>0.58333333333333337</v>
      </c>
      <c r="N1528" t="str">
        <f t="shared" si="503"/>
        <v>1 - 1</v>
      </c>
      <c r="O1528" t="str">
        <f t="shared" si="484"/>
        <v>Red</v>
      </c>
      <c r="P1528" t="str">
        <f t="shared" si="485"/>
        <v>Green</v>
      </c>
      <c r="Q1528" t="str">
        <f t="shared" si="486"/>
        <v>Red</v>
      </c>
      <c r="R1528" t="str">
        <f t="shared" si="487"/>
        <v>Green</v>
      </c>
      <c r="S1528" t="str">
        <f t="shared" si="488"/>
        <v>Green</v>
      </c>
      <c r="T1528" t="str">
        <f t="shared" si="489"/>
        <v>Red</v>
      </c>
      <c r="U1528" t="str">
        <f t="shared" si="490"/>
        <v>Red</v>
      </c>
      <c r="V1528" t="str">
        <f t="shared" si="491"/>
        <v>Red</v>
      </c>
      <c r="W1528" t="str">
        <f t="shared" si="492"/>
        <v>Green</v>
      </c>
      <c r="X1528" t="str">
        <f t="shared" si="493"/>
        <v>Green</v>
      </c>
      <c r="Y1528" t="str">
        <f t="shared" si="494"/>
        <v>Green</v>
      </c>
      <c r="Z1528" t="str">
        <f t="shared" si="495"/>
        <v>Red</v>
      </c>
      <c r="AA1528" t="str">
        <f t="shared" si="496"/>
        <v>Green</v>
      </c>
      <c r="AB1528" t="str">
        <f t="shared" si="497"/>
        <v>Green</v>
      </c>
      <c r="AC1528" t="str">
        <f t="shared" si="498"/>
        <v>Green</v>
      </c>
      <c r="AD1528" t="str">
        <f t="shared" si="499"/>
        <v>Red</v>
      </c>
    </row>
    <row r="1529" spans="1:30" x14ac:dyDescent="0.2">
      <c r="A1529" t="str">
        <f t="shared" si="500"/>
        <v>25/07/2026Celta VigoSporting Gijon</v>
      </c>
      <c r="D1529" s="2">
        <v>46228</v>
      </c>
      <c r="E1529" s="3">
        <v>0.70833333333333337</v>
      </c>
      <c r="F1529" t="s">
        <v>3987</v>
      </c>
      <c r="G1529" t="s">
        <v>3988</v>
      </c>
      <c r="H1529">
        <v>0</v>
      </c>
      <c r="I1529">
        <v>0</v>
      </c>
      <c r="J1529">
        <v>1</v>
      </c>
      <c r="K1529">
        <v>0</v>
      </c>
      <c r="L1529" s="22" t="str">
        <f t="shared" si="501"/>
        <v>25/07/2026</v>
      </c>
      <c r="M1529" s="23">
        <f t="shared" si="502"/>
        <v>0.58333333333333337</v>
      </c>
      <c r="N1529" t="str">
        <f t="shared" si="503"/>
        <v>1 - 0</v>
      </c>
      <c r="O1529" t="str">
        <f t="shared" si="484"/>
        <v>Green</v>
      </c>
      <c r="P1529" t="str">
        <f t="shared" si="485"/>
        <v>Red</v>
      </c>
      <c r="Q1529" t="str">
        <f t="shared" si="486"/>
        <v>Red</v>
      </c>
      <c r="R1529" t="str">
        <f t="shared" si="487"/>
        <v>Green</v>
      </c>
      <c r="S1529" t="str">
        <f t="shared" si="488"/>
        <v>Red</v>
      </c>
      <c r="T1529" t="str">
        <f t="shared" si="489"/>
        <v>Green</v>
      </c>
      <c r="U1529" t="str">
        <f t="shared" si="490"/>
        <v>Red</v>
      </c>
      <c r="V1529" t="str">
        <f t="shared" si="491"/>
        <v>Green</v>
      </c>
      <c r="W1529" t="str">
        <f t="shared" si="492"/>
        <v>Red</v>
      </c>
      <c r="X1529" t="str">
        <f t="shared" si="493"/>
        <v>Red</v>
      </c>
      <c r="Y1529" t="str">
        <f t="shared" si="494"/>
        <v>Red</v>
      </c>
      <c r="Z1529" t="str">
        <f t="shared" si="495"/>
        <v>Red</v>
      </c>
      <c r="AA1529" t="str">
        <f t="shared" si="496"/>
        <v>Green</v>
      </c>
      <c r="AB1529" t="str">
        <f t="shared" si="497"/>
        <v>Green</v>
      </c>
      <c r="AC1529" t="str">
        <f t="shared" si="498"/>
        <v>Red</v>
      </c>
      <c r="AD1529" t="str">
        <f t="shared" si="499"/>
        <v>Green</v>
      </c>
    </row>
    <row r="1530" spans="1:30" x14ac:dyDescent="0.2">
      <c r="A1530" t="str">
        <f t="shared" si="500"/>
        <v>25/07/2026MalagaLeicester City</v>
      </c>
      <c r="D1530" s="2">
        <v>46228</v>
      </c>
      <c r="E1530" s="3">
        <v>0.70833333333333337</v>
      </c>
      <c r="F1530" t="s">
        <v>3989</v>
      </c>
      <c r="G1530" t="s">
        <v>1758</v>
      </c>
      <c r="H1530">
        <v>0</v>
      </c>
      <c r="I1530">
        <v>1</v>
      </c>
      <c r="J1530">
        <v>3</v>
      </c>
      <c r="K1530">
        <v>3</v>
      </c>
      <c r="L1530" s="22" t="str">
        <f t="shared" si="501"/>
        <v>25/07/2026</v>
      </c>
      <c r="M1530" s="23">
        <f t="shared" si="502"/>
        <v>0.58333333333333337</v>
      </c>
      <c r="N1530" t="str">
        <f t="shared" si="503"/>
        <v>3 - 3</v>
      </c>
      <c r="O1530" t="str">
        <f t="shared" si="484"/>
        <v>Red</v>
      </c>
      <c r="P1530" t="str">
        <f t="shared" si="485"/>
        <v>Green</v>
      </c>
      <c r="Q1530" t="str">
        <f t="shared" si="486"/>
        <v>Red</v>
      </c>
      <c r="R1530" t="str">
        <f t="shared" si="487"/>
        <v>Green</v>
      </c>
      <c r="S1530" t="str">
        <f t="shared" si="488"/>
        <v>Green</v>
      </c>
      <c r="T1530" t="str">
        <f t="shared" si="489"/>
        <v>Red</v>
      </c>
      <c r="U1530" t="str">
        <f t="shared" si="490"/>
        <v>Red</v>
      </c>
      <c r="V1530" t="str">
        <f t="shared" si="491"/>
        <v>Red</v>
      </c>
      <c r="W1530" t="str">
        <f t="shared" si="492"/>
        <v>Green</v>
      </c>
      <c r="X1530" t="str">
        <f t="shared" si="493"/>
        <v>Green</v>
      </c>
      <c r="Y1530" t="str">
        <f t="shared" si="494"/>
        <v>Green</v>
      </c>
      <c r="Z1530" t="str">
        <f t="shared" si="495"/>
        <v>Green</v>
      </c>
      <c r="AA1530" t="str">
        <f t="shared" si="496"/>
        <v>Red</v>
      </c>
      <c r="AB1530" t="str">
        <f t="shared" si="497"/>
        <v>Red</v>
      </c>
      <c r="AC1530" t="str">
        <f t="shared" si="498"/>
        <v>Green</v>
      </c>
      <c r="AD1530" t="str">
        <f t="shared" si="499"/>
        <v>Red</v>
      </c>
    </row>
    <row r="1531" spans="1:30" x14ac:dyDescent="0.2">
      <c r="A1531" t="str">
        <f t="shared" si="500"/>
        <v>25/07/2026MallorcaAl Fateh</v>
      </c>
      <c r="D1531" s="2">
        <v>46228</v>
      </c>
      <c r="E1531" s="3">
        <v>0.70833333333333337</v>
      </c>
      <c r="F1531" t="s">
        <v>3990</v>
      </c>
      <c r="G1531" t="s">
        <v>3991</v>
      </c>
      <c r="H1531">
        <v>2</v>
      </c>
      <c r="I1531">
        <v>0</v>
      </c>
      <c r="J1531">
        <v>3</v>
      </c>
      <c r="K1531">
        <v>0</v>
      </c>
      <c r="L1531" s="22" t="str">
        <f t="shared" si="501"/>
        <v>25/07/2026</v>
      </c>
      <c r="M1531" s="23">
        <f t="shared" si="502"/>
        <v>0.58333333333333337</v>
      </c>
      <c r="N1531" t="str">
        <f t="shared" si="503"/>
        <v>3 - 0</v>
      </c>
      <c r="O1531" t="str">
        <f t="shared" si="484"/>
        <v>Green</v>
      </c>
      <c r="P1531" t="str">
        <f t="shared" si="485"/>
        <v>Red</v>
      </c>
      <c r="Q1531" t="str">
        <f t="shared" si="486"/>
        <v>Red</v>
      </c>
      <c r="R1531" t="str">
        <f t="shared" si="487"/>
        <v>Green</v>
      </c>
      <c r="S1531" t="str">
        <f t="shared" si="488"/>
        <v>Red</v>
      </c>
      <c r="T1531" t="str">
        <f t="shared" si="489"/>
        <v>Green</v>
      </c>
      <c r="U1531" t="str">
        <f t="shared" si="490"/>
        <v>Green</v>
      </c>
      <c r="V1531" t="str">
        <f t="shared" si="491"/>
        <v>Red</v>
      </c>
      <c r="W1531" t="str">
        <f t="shared" si="492"/>
        <v>Red</v>
      </c>
      <c r="X1531" t="str">
        <f t="shared" si="493"/>
        <v>Green</v>
      </c>
      <c r="Y1531" t="str">
        <f t="shared" si="494"/>
        <v>Green</v>
      </c>
      <c r="Z1531" t="str">
        <f t="shared" si="495"/>
        <v>Green</v>
      </c>
      <c r="AA1531" t="str">
        <f t="shared" si="496"/>
        <v>Red</v>
      </c>
      <c r="AB1531" t="str">
        <f t="shared" si="497"/>
        <v>Green</v>
      </c>
      <c r="AC1531" t="str">
        <f t="shared" si="498"/>
        <v>Red</v>
      </c>
      <c r="AD1531" t="str">
        <f t="shared" si="499"/>
        <v>Green</v>
      </c>
    </row>
    <row r="1532" spans="1:30" x14ac:dyDescent="0.2">
      <c r="A1532" t="str">
        <f t="shared" si="500"/>
        <v>25/07/2026Real MurciaPort Vale</v>
      </c>
      <c r="D1532" s="2">
        <v>46228</v>
      </c>
      <c r="E1532" s="3">
        <v>0.70833333333333337</v>
      </c>
      <c r="F1532" t="s">
        <v>3992</v>
      </c>
      <c r="G1532" t="s">
        <v>3993</v>
      </c>
      <c r="H1532">
        <v>0</v>
      </c>
      <c r="I1532">
        <v>1</v>
      </c>
      <c r="J1532">
        <v>0</v>
      </c>
      <c r="K1532">
        <v>1</v>
      </c>
      <c r="L1532" s="22" t="str">
        <f t="shared" si="501"/>
        <v>25/07/2026</v>
      </c>
      <c r="M1532" s="23">
        <f t="shared" si="502"/>
        <v>0.58333333333333337</v>
      </c>
      <c r="N1532" t="str">
        <f t="shared" si="503"/>
        <v>0 - 1</v>
      </c>
      <c r="O1532" t="str">
        <f t="shared" si="484"/>
        <v>Red</v>
      </c>
      <c r="P1532" t="str">
        <f t="shared" si="485"/>
        <v>Red</v>
      </c>
      <c r="Q1532" t="str">
        <f t="shared" si="486"/>
        <v>Green</v>
      </c>
      <c r="R1532" t="str">
        <f t="shared" si="487"/>
        <v>Red</v>
      </c>
      <c r="S1532" t="str">
        <f t="shared" si="488"/>
        <v>Green</v>
      </c>
      <c r="T1532" t="str">
        <f t="shared" si="489"/>
        <v>Green</v>
      </c>
      <c r="U1532" t="str">
        <f t="shared" si="490"/>
        <v>Red</v>
      </c>
      <c r="V1532" t="str">
        <f t="shared" si="491"/>
        <v>Red</v>
      </c>
      <c r="W1532" t="str">
        <f t="shared" si="492"/>
        <v>Green</v>
      </c>
      <c r="X1532" t="str">
        <f t="shared" si="493"/>
        <v>Green</v>
      </c>
      <c r="Y1532" t="str">
        <f t="shared" si="494"/>
        <v>Red</v>
      </c>
      <c r="Z1532" t="str">
        <f t="shared" si="495"/>
        <v>Red</v>
      </c>
      <c r="AA1532" t="str">
        <f t="shared" si="496"/>
        <v>Green</v>
      </c>
      <c r="AB1532" t="str">
        <f t="shared" si="497"/>
        <v>Green</v>
      </c>
      <c r="AC1532" t="str">
        <f t="shared" si="498"/>
        <v>Red</v>
      </c>
      <c r="AD1532" t="str">
        <f t="shared" si="499"/>
        <v>Green</v>
      </c>
    </row>
    <row r="1533" spans="1:30" x14ac:dyDescent="0.2">
      <c r="A1533" t="str">
        <f t="shared" si="500"/>
        <v>25/07/2026Real ValladolidGetafe</v>
      </c>
      <c r="D1533" s="2">
        <v>46228</v>
      </c>
      <c r="E1533" s="3">
        <v>0.70833333333333337</v>
      </c>
      <c r="F1533" t="s">
        <v>3994</v>
      </c>
      <c r="G1533" t="s">
        <v>1823</v>
      </c>
      <c r="H1533">
        <v>0</v>
      </c>
      <c r="I1533">
        <v>0</v>
      </c>
      <c r="J1533">
        <v>0</v>
      </c>
      <c r="K1533">
        <v>0</v>
      </c>
      <c r="L1533" s="22" t="str">
        <f t="shared" si="501"/>
        <v>25/07/2026</v>
      </c>
      <c r="M1533" s="23">
        <f t="shared" si="502"/>
        <v>0.58333333333333337</v>
      </c>
      <c r="N1533" t="str">
        <f t="shared" si="503"/>
        <v>0 - 0</v>
      </c>
      <c r="O1533" t="str">
        <f t="shared" si="484"/>
        <v>Red</v>
      </c>
      <c r="P1533" t="str">
        <f t="shared" si="485"/>
        <v>Green</v>
      </c>
      <c r="Q1533" t="str">
        <f t="shared" si="486"/>
        <v>Red</v>
      </c>
      <c r="R1533" t="str">
        <f t="shared" si="487"/>
        <v>Green</v>
      </c>
      <c r="S1533" t="str">
        <f t="shared" si="488"/>
        <v>Green</v>
      </c>
      <c r="T1533" t="str">
        <f t="shared" si="489"/>
        <v>Red</v>
      </c>
      <c r="U1533" t="str">
        <f t="shared" si="490"/>
        <v>Red</v>
      </c>
      <c r="V1533" t="str">
        <f t="shared" si="491"/>
        <v>Green</v>
      </c>
      <c r="W1533" t="str">
        <f t="shared" si="492"/>
        <v>Red</v>
      </c>
      <c r="X1533" t="str">
        <f t="shared" si="493"/>
        <v>Red</v>
      </c>
      <c r="Y1533" t="str">
        <f t="shared" si="494"/>
        <v>Red</v>
      </c>
      <c r="Z1533" t="str">
        <f t="shared" si="495"/>
        <v>Red</v>
      </c>
      <c r="AA1533" t="str">
        <f t="shared" si="496"/>
        <v>Green</v>
      </c>
      <c r="AB1533" t="str">
        <f t="shared" si="497"/>
        <v>Green</v>
      </c>
      <c r="AC1533" t="str">
        <f t="shared" si="498"/>
        <v>Red</v>
      </c>
      <c r="AD1533" t="str">
        <f t="shared" si="499"/>
        <v>Green</v>
      </c>
    </row>
    <row r="1534" spans="1:30" x14ac:dyDescent="0.2">
      <c r="A1534" t="str">
        <f t="shared" si="500"/>
        <v>25/07/2026StrasbourgBlackburn Rovers</v>
      </c>
      <c r="D1534" s="2">
        <v>46228</v>
      </c>
      <c r="E1534" s="3">
        <v>0.70833333333333337</v>
      </c>
      <c r="F1534" t="s">
        <v>1313</v>
      </c>
      <c r="G1534" t="s">
        <v>1595</v>
      </c>
      <c r="H1534">
        <v>0</v>
      </c>
      <c r="I1534">
        <v>1</v>
      </c>
      <c r="J1534">
        <v>0</v>
      </c>
      <c r="K1534">
        <v>2</v>
      </c>
      <c r="L1534" s="22" t="str">
        <f t="shared" si="501"/>
        <v>25/07/2026</v>
      </c>
      <c r="M1534" s="23">
        <f t="shared" si="502"/>
        <v>0.58333333333333337</v>
      </c>
      <c r="N1534" t="str">
        <f t="shared" si="503"/>
        <v>0 - 2</v>
      </c>
      <c r="O1534" t="str">
        <f t="shared" si="484"/>
        <v>Red</v>
      </c>
      <c r="P1534" t="str">
        <f t="shared" si="485"/>
        <v>Red</v>
      </c>
      <c r="Q1534" t="str">
        <f t="shared" si="486"/>
        <v>Green</v>
      </c>
      <c r="R1534" t="str">
        <f t="shared" si="487"/>
        <v>Red</v>
      </c>
      <c r="S1534" t="str">
        <f t="shared" si="488"/>
        <v>Green</v>
      </c>
      <c r="T1534" t="str">
        <f t="shared" si="489"/>
        <v>Green</v>
      </c>
      <c r="U1534" t="str">
        <f t="shared" si="490"/>
        <v>Red</v>
      </c>
      <c r="V1534" t="str">
        <f t="shared" si="491"/>
        <v>Red</v>
      </c>
      <c r="W1534" t="str">
        <f t="shared" si="492"/>
        <v>Green</v>
      </c>
      <c r="X1534" t="str">
        <f t="shared" si="493"/>
        <v>Green</v>
      </c>
      <c r="Y1534" t="str">
        <f t="shared" si="494"/>
        <v>Green</v>
      </c>
      <c r="Z1534" t="str">
        <f t="shared" si="495"/>
        <v>Red</v>
      </c>
      <c r="AA1534" t="str">
        <f t="shared" si="496"/>
        <v>Green</v>
      </c>
      <c r="AB1534" t="str">
        <f t="shared" si="497"/>
        <v>Green</v>
      </c>
      <c r="AC1534" t="str">
        <f t="shared" si="498"/>
        <v>Red</v>
      </c>
      <c r="AD1534" t="str">
        <f t="shared" si="499"/>
        <v>Green</v>
      </c>
    </row>
    <row r="1535" spans="1:30" x14ac:dyDescent="0.2">
      <c r="A1535" t="str">
        <f t="shared" si="500"/>
        <v>25/07/2026ToulouseRodez Aveyron</v>
      </c>
      <c r="D1535" s="2">
        <v>46228</v>
      </c>
      <c r="E1535" s="3">
        <v>0.70833333333333337</v>
      </c>
      <c r="F1535" t="s">
        <v>3995</v>
      </c>
      <c r="G1535" t="s">
        <v>1721</v>
      </c>
      <c r="H1535">
        <v>1</v>
      </c>
      <c r="I1535">
        <v>0</v>
      </c>
      <c r="J1535">
        <v>1</v>
      </c>
      <c r="K1535">
        <v>1</v>
      </c>
      <c r="L1535" s="22" t="str">
        <f t="shared" si="501"/>
        <v>25/07/2026</v>
      </c>
      <c r="M1535" s="23">
        <f t="shared" si="502"/>
        <v>0.58333333333333337</v>
      </c>
      <c r="N1535" t="str">
        <f t="shared" si="503"/>
        <v>1 - 1</v>
      </c>
      <c r="O1535" t="str">
        <f t="shared" si="484"/>
        <v>Red</v>
      </c>
      <c r="P1535" t="str">
        <f t="shared" si="485"/>
        <v>Green</v>
      </c>
      <c r="Q1535" t="str">
        <f t="shared" si="486"/>
        <v>Red</v>
      </c>
      <c r="R1535" t="str">
        <f t="shared" si="487"/>
        <v>Green</v>
      </c>
      <c r="S1535" t="str">
        <f t="shared" si="488"/>
        <v>Green</v>
      </c>
      <c r="T1535" t="str">
        <f t="shared" si="489"/>
        <v>Red</v>
      </c>
      <c r="U1535" t="str">
        <f t="shared" si="490"/>
        <v>Green</v>
      </c>
      <c r="V1535" t="str">
        <f t="shared" si="491"/>
        <v>Red</v>
      </c>
      <c r="W1535" t="str">
        <f t="shared" si="492"/>
        <v>Red</v>
      </c>
      <c r="X1535" t="str">
        <f t="shared" si="493"/>
        <v>Green</v>
      </c>
      <c r="Y1535" t="str">
        <f t="shared" si="494"/>
        <v>Green</v>
      </c>
      <c r="Z1535" t="str">
        <f t="shared" si="495"/>
        <v>Red</v>
      </c>
      <c r="AA1535" t="str">
        <f t="shared" si="496"/>
        <v>Green</v>
      </c>
      <c r="AB1535" t="str">
        <f t="shared" si="497"/>
        <v>Green</v>
      </c>
      <c r="AC1535" t="str">
        <f t="shared" si="498"/>
        <v>Green</v>
      </c>
      <c r="AD1535" t="str">
        <f t="shared" si="499"/>
        <v>Red</v>
      </c>
    </row>
    <row r="1536" spans="1:30" x14ac:dyDescent="0.2">
      <c r="A1536" t="str">
        <f t="shared" si="500"/>
        <v>25/07/2026UD Las PalmasAl Ittihad Jeddah</v>
      </c>
      <c r="D1536" s="2">
        <v>46228</v>
      </c>
      <c r="E1536" s="3">
        <v>0.70833333333333337</v>
      </c>
      <c r="F1536" t="s">
        <v>1767</v>
      </c>
      <c r="G1536" t="s">
        <v>1453</v>
      </c>
      <c r="H1536">
        <v>0</v>
      </c>
      <c r="I1536">
        <v>1</v>
      </c>
      <c r="J1536">
        <v>1</v>
      </c>
      <c r="K1536">
        <v>2</v>
      </c>
      <c r="L1536" s="22" t="str">
        <f t="shared" si="501"/>
        <v>25/07/2026</v>
      </c>
      <c r="M1536" s="23">
        <f t="shared" si="502"/>
        <v>0.58333333333333337</v>
      </c>
      <c r="N1536" t="str">
        <f t="shared" si="503"/>
        <v>1 - 2</v>
      </c>
      <c r="O1536" t="str">
        <f t="shared" si="484"/>
        <v>Red</v>
      </c>
      <c r="P1536" t="str">
        <f t="shared" si="485"/>
        <v>Red</v>
      </c>
      <c r="Q1536" t="str">
        <f t="shared" si="486"/>
        <v>Green</v>
      </c>
      <c r="R1536" t="str">
        <f t="shared" si="487"/>
        <v>Red</v>
      </c>
      <c r="S1536" t="str">
        <f t="shared" si="488"/>
        <v>Green</v>
      </c>
      <c r="T1536" t="str">
        <f t="shared" si="489"/>
        <v>Green</v>
      </c>
      <c r="U1536" t="str">
        <f t="shared" si="490"/>
        <v>Red</v>
      </c>
      <c r="V1536" t="str">
        <f t="shared" si="491"/>
        <v>Red</v>
      </c>
      <c r="W1536" t="str">
        <f t="shared" si="492"/>
        <v>Green</v>
      </c>
      <c r="X1536" t="str">
        <f t="shared" si="493"/>
        <v>Green</v>
      </c>
      <c r="Y1536" t="str">
        <f t="shared" si="494"/>
        <v>Green</v>
      </c>
      <c r="Z1536" t="str">
        <f t="shared" si="495"/>
        <v>Green</v>
      </c>
      <c r="AA1536" t="str">
        <f t="shared" si="496"/>
        <v>Red</v>
      </c>
      <c r="AB1536" t="str">
        <f t="shared" si="497"/>
        <v>Green</v>
      </c>
      <c r="AC1536" t="str">
        <f t="shared" si="498"/>
        <v>Green</v>
      </c>
      <c r="AD1536" t="str">
        <f t="shared" si="499"/>
        <v>Red</v>
      </c>
    </row>
    <row r="1537" spans="1:30" x14ac:dyDescent="0.2">
      <c r="A1537" t="str">
        <f t="shared" si="500"/>
        <v>25/07/2026VVV VenloFortuna Koln</v>
      </c>
      <c r="D1537" s="2">
        <v>46228</v>
      </c>
      <c r="E1537" s="3">
        <v>0.70833333333333337</v>
      </c>
      <c r="F1537" t="s">
        <v>3996</v>
      </c>
      <c r="G1537" t="s">
        <v>3997</v>
      </c>
      <c r="H1537">
        <v>0</v>
      </c>
      <c r="I1537">
        <v>1</v>
      </c>
      <c r="J1537">
        <v>0</v>
      </c>
      <c r="K1537">
        <v>1</v>
      </c>
      <c r="L1537" s="22" t="str">
        <f t="shared" si="501"/>
        <v>25/07/2026</v>
      </c>
      <c r="M1537" s="23">
        <f t="shared" si="502"/>
        <v>0.58333333333333337</v>
      </c>
      <c r="N1537" t="str">
        <f t="shared" si="503"/>
        <v>0 - 1</v>
      </c>
      <c r="O1537" t="str">
        <f t="shared" si="484"/>
        <v>Red</v>
      </c>
      <c r="P1537" t="str">
        <f t="shared" si="485"/>
        <v>Red</v>
      </c>
      <c r="Q1537" t="str">
        <f t="shared" si="486"/>
        <v>Green</v>
      </c>
      <c r="R1537" t="str">
        <f t="shared" si="487"/>
        <v>Red</v>
      </c>
      <c r="S1537" t="str">
        <f t="shared" si="488"/>
        <v>Green</v>
      </c>
      <c r="T1537" t="str">
        <f t="shared" si="489"/>
        <v>Green</v>
      </c>
      <c r="U1537" t="str">
        <f t="shared" si="490"/>
        <v>Red</v>
      </c>
      <c r="V1537" t="str">
        <f t="shared" si="491"/>
        <v>Red</v>
      </c>
      <c r="W1537" t="str">
        <f t="shared" si="492"/>
        <v>Green</v>
      </c>
      <c r="X1537" t="str">
        <f t="shared" si="493"/>
        <v>Green</v>
      </c>
      <c r="Y1537" t="str">
        <f t="shared" si="494"/>
        <v>Red</v>
      </c>
      <c r="Z1537" t="str">
        <f t="shared" si="495"/>
        <v>Red</v>
      </c>
      <c r="AA1537" t="str">
        <f t="shared" si="496"/>
        <v>Green</v>
      </c>
      <c r="AB1537" t="str">
        <f t="shared" si="497"/>
        <v>Green</v>
      </c>
      <c r="AC1537" t="str">
        <f t="shared" si="498"/>
        <v>Red</v>
      </c>
      <c r="AD1537" t="str">
        <f t="shared" si="499"/>
        <v>Green</v>
      </c>
    </row>
    <row r="1538" spans="1:30" x14ac:dyDescent="0.2">
      <c r="A1538" t="str">
        <f t="shared" si="500"/>
        <v>25/07/2026Sandecja Nowy SaczHutnik Nowa Huta</v>
      </c>
      <c r="D1538" s="2">
        <v>46228</v>
      </c>
      <c r="E1538" s="3">
        <v>0.71527777777777779</v>
      </c>
      <c r="F1538" t="s">
        <v>3550</v>
      </c>
      <c r="G1538" t="s">
        <v>3551</v>
      </c>
      <c r="H1538">
        <v>0</v>
      </c>
      <c r="I1538">
        <v>0</v>
      </c>
      <c r="J1538">
        <v>0</v>
      </c>
      <c r="K1538">
        <v>0</v>
      </c>
      <c r="L1538" s="22" t="str">
        <f t="shared" si="501"/>
        <v>25/07/2026</v>
      </c>
      <c r="M1538" s="23">
        <f t="shared" si="502"/>
        <v>0.59027777777777779</v>
      </c>
      <c r="N1538" t="str">
        <f t="shared" si="503"/>
        <v>0 - 0</v>
      </c>
      <c r="O1538" t="str">
        <f t="shared" ref="O1538:O1601" si="504">IF($J1538&gt;$K1538,"Green","Red")</f>
        <v>Red</v>
      </c>
      <c r="P1538" t="str">
        <f t="shared" ref="P1538:P1601" si="505">IF($J1538=$K1538,"Green","Red")</f>
        <v>Green</v>
      </c>
      <c r="Q1538" t="str">
        <f t="shared" ref="Q1538:Q1601" si="506">IF($J1538&lt;$K1538,"Green","Red")</f>
        <v>Red</v>
      </c>
      <c r="R1538" t="str">
        <f t="shared" ref="R1538:R1601" si="507">IF($J1538&gt;=$K1538,"Green","Red")</f>
        <v>Green</v>
      </c>
      <c r="S1538" t="str">
        <f t="shared" ref="S1538:S1601" si="508">IF($J1538&lt;=$K1538,"Green","Red")</f>
        <v>Green</v>
      </c>
      <c r="T1538" t="str">
        <f t="shared" ref="T1538:T1601" si="509">IF(OR($J1538&gt;$K1538,$J1538&lt;$K1538),"Green","Red")</f>
        <v>Red</v>
      </c>
      <c r="U1538" t="str">
        <f t="shared" ref="U1538:U1601" si="510">IF($H1538&gt;$I1538,"Green","Red")</f>
        <v>Red</v>
      </c>
      <c r="V1538" t="str">
        <f t="shared" ref="V1538:V1601" si="511">IF($H1538=$I1538,"Green","Red")</f>
        <v>Green</v>
      </c>
      <c r="W1538" t="str">
        <f t="shared" ref="W1538:W1601" si="512">IF($H1538&lt;$I1538,"Green","Red")</f>
        <v>Red</v>
      </c>
      <c r="X1538" t="str">
        <f t="shared" ref="X1538:X1601" si="513">IF($H1538+$I1538&gt;0,"Green","Red")</f>
        <v>Red</v>
      </c>
      <c r="Y1538" t="str">
        <f t="shared" ref="Y1538:Y1601" si="514">IF($J1538+$K1538&gt;1.5,"Green","Red")</f>
        <v>Red</v>
      </c>
      <c r="Z1538" t="str">
        <f t="shared" ref="Z1538:Z1601" si="515">IF($J1538+$K1538&gt;2.5,"Green","Red")</f>
        <v>Red</v>
      </c>
      <c r="AA1538" t="str">
        <f t="shared" ref="AA1538:AA1601" si="516">IF($J1538+$K1538&lt;2.5,"Green","Red")</f>
        <v>Green</v>
      </c>
      <c r="AB1538" t="str">
        <f t="shared" ref="AB1538:AB1601" si="517">IF($J1538+$K1538&lt;3.5,"Green","Red")</f>
        <v>Green</v>
      </c>
      <c r="AC1538" t="str">
        <f t="shared" ref="AC1538:AC1601" si="518">IF(AND($J1538&gt;0,$K1538&gt;0),"Green","Red")</f>
        <v>Red</v>
      </c>
      <c r="AD1538" t="str">
        <f t="shared" ref="AD1538:AD1601" si="519">IF(OR($J1538=0,$K1538=0),"Green","Red")</f>
        <v>Green</v>
      </c>
    </row>
    <row r="1539" spans="1:30" x14ac:dyDescent="0.2">
      <c r="A1539" t="str">
        <f t="shared" si="500"/>
        <v>25/07/2026Kisvarda FCBudapest Honved</v>
      </c>
      <c r="D1539" s="2">
        <v>46228</v>
      </c>
      <c r="E1539" s="3">
        <v>0.72916666666666663</v>
      </c>
      <c r="F1539" t="s">
        <v>3305</v>
      </c>
      <c r="G1539" t="s">
        <v>3306</v>
      </c>
      <c r="H1539">
        <v>0</v>
      </c>
      <c r="I1539">
        <v>0</v>
      </c>
      <c r="J1539">
        <v>1</v>
      </c>
      <c r="K1539">
        <v>1</v>
      </c>
      <c r="L1539" s="22" t="str">
        <f t="shared" si="501"/>
        <v>25/07/2026</v>
      </c>
      <c r="M1539" s="23">
        <f t="shared" si="502"/>
        <v>0.60416666666666663</v>
      </c>
      <c r="N1539" t="str">
        <f t="shared" si="503"/>
        <v>1 - 1</v>
      </c>
      <c r="O1539" t="str">
        <f t="shared" si="504"/>
        <v>Red</v>
      </c>
      <c r="P1539" t="str">
        <f t="shared" si="505"/>
        <v>Green</v>
      </c>
      <c r="Q1539" t="str">
        <f t="shared" si="506"/>
        <v>Red</v>
      </c>
      <c r="R1539" t="str">
        <f t="shared" si="507"/>
        <v>Green</v>
      </c>
      <c r="S1539" t="str">
        <f t="shared" si="508"/>
        <v>Green</v>
      </c>
      <c r="T1539" t="str">
        <f t="shared" si="509"/>
        <v>Red</v>
      </c>
      <c r="U1539" t="str">
        <f t="shared" si="510"/>
        <v>Red</v>
      </c>
      <c r="V1539" t="str">
        <f t="shared" si="511"/>
        <v>Green</v>
      </c>
      <c r="W1539" t="str">
        <f t="shared" si="512"/>
        <v>Red</v>
      </c>
      <c r="X1539" t="str">
        <f t="shared" si="513"/>
        <v>Red</v>
      </c>
      <c r="Y1539" t="str">
        <f t="shared" si="514"/>
        <v>Green</v>
      </c>
      <c r="Z1539" t="str">
        <f t="shared" si="515"/>
        <v>Red</v>
      </c>
      <c r="AA1539" t="str">
        <f t="shared" si="516"/>
        <v>Green</v>
      </c>
      <c r="AB1539" t="str">
        <f t="shared" si="517"/>
        <v>Green</v>
      </c>
      <c r="AC1539" t="str">
        <f t="shared" si="518"/>
        <v>Green</v>
      </c>
      <c r="AD1539" t="str">
        <f t="shared" si="519"/>
        <v>Red</v>
      </c>
    </row>
    <row r="1540" spans="1:30" x14ac:dyDescent="0.2">
      <c r="A1540" t="str">
        <f t="shared" si="500"/>
        <v>25/07/2026Hapoel Petah TikvaMaccabi Petah Tikva</v>
      </c>
      <c r="D1540" s="2">
        <v>46228</v>
      </c>
      <c r="E1540" s="3">
        <v>0.72916666666666663</v>
      </c>
      <c r="F1540" t="s">
        <v>1285</v>
      </c>
      <c r="G1540" t="s">
        <v>3377</v>
      </c>
      <c r="H1540">
        <v>0</v>
      </c>
      <c r="I1540">
        <v>0</v>
      </c>
      <c r="J1540">
        <v>1</v>
      </c>
      <c r="K1540">
        <v>0</v>
      </c>
      <c r="L1540" s="22" t="str">
        <f t="shared" si="501"/>
        <v>25/07/2026</v>
      </c>
      <c r="M1540" s="23">
        <f t="shared" si="502"/>
        <v>0.60416666666666663</v>
      </c>
      <c r="N1540" t="str">
        <f t="shared" si="503"/>
        <v>1 - 0</v>
      </c>
      <c r="O1540" t="str">
        <f t="shared" si="504"/>
        <v>Green</v>
      </c>
      <c r="P1540" t="str">
        <f t="shared" si="505"/>
        <v>Red</v>
      </c>
      <c r="Q1540" t="str">
        <f t="shared" si="506"/>
        <v>Red</v>
      </c>
      <c r="R1540" t="str">
        <f t="shared" si="507"/>
        <v>Green</v>
      </c>
      <c r="S1540" t="str">
        <f t="shared" si="508"/>
        <v>Red</v>
      </c>
      <c r="T1540" t="str">
        <f t="shared" si="509"/>
        <v>Green</v>
      </c>
      <c r="U1540" t="str">
        <f t="shared" si="510"/>
        <v>Red</v>
      </c>
      <c r="V1540" t="str">
        <f t="shared" si="511"/>
        <v>Green</v>
      </c>
      <c r="W1540" t="str">
        <f t="shared" si="512"/>
        <v>Red</v>
      </c>
      <c r="X1540" t="str">
        <f t="shared" si="513"/>
        <v>Red</v>
      </c>
      <c r="Y1540" t="str">
        <f t="shared" si="514"/>
        <v>Red</v>
      </c>
      <c r="Z1540" t="str">
        <f t="shared" si="515"/>
        <v>Red</v>
      </c>
      <c r="AA1540" t="str">
        <f t="shared" si="516"/>
        <v>Green</v>
      </c>
      <c r="AB1540" t="str">
        <f t="shared" si="517"/>
        <v>Green</v>
      </c>
      <c r="AC1540" t="str">
        <f t="shared" si="518"/>
        <v>Red</v>
      </c>
      <c r="AD1540" t="str">
        <f t="shared" si="519"/>
        <v>Green</v>
      </c>
    </row>
    <row r="1541" spans="1:30" x14ac:dyDescent="0.2">
      <c r="A1541" t="str">
        <f t="shared" si="500"/>
        <v>25/07/2026Ironi TiberiasBnei Sakhnin</v>
      </c>
      <c r="D1541" s="2">
        <v>46228</v>
      </c>
      <c r="E1541" s="3">
        <v>0.72916666666666663</v>
      </c>
      <c r="F1541" t="s">
        <v>3378</v>
      </c>
      <c r="G1541" t="s">
        <v>3379</v>
      </c>
      <c r="H1541">
        <v>0</v>
      </c>
      <c r="I1541">
        <v>1</v>
      </c>
      <c r="J1541">
        <v>2</v>
      </c>
      <c r="K1541">
        <v>1</v>
      </c>
      <c r="L1541" s="22" t="str">
        <f t="shared" si="501"/>
        <v>25/07/2026</v>
      </c>
      <c r="M1541" s="23">
        <f t="shared" si="502"/>
        <v>0.60416666666666663</v>
      </c>
      <c r="N1541" t="str">
        <f t="shared" si="503"/>
        <v>2 - 1</v>
      </c>
      <c r="O1541" t="str">
        <f t="shared" si="504"/>
        <v>Green</v>
      </c>
      <c r="P1541" t="str">
        <f t="shared" si="505"/>
        <v>Red</v>
      </c>
      <c r="Q1541" t="str">
        <f t="shared" si="506"/>
        <v>Red</v>
      </c>
      <c r="R1541" t="str">
        <f t="shared" si="507"/>
        <v>Green</v>
      </c>
      <c r="S1541" t="str">
        <f t="shared" si="508"/>
        <v>Red</v>
      </c>
      <c r="T1541" t="str">
        <f t="shared" si="509"/>
        <v>Green</v>
      </c>
      <c r="U1541" t="str">
        <f t="shared" si="510"/>
        <v>Red</v>
      </c>
      <c r="V1541" t="str">
        <f t="shared" si="511"/>
        <v>Red</v>
      </c>
      <c r="W1541" t="str">
        <f t="shared" si="512"/>
        <v>Green</v>
      </c>
      <c r="X1541" t="str">
        <f t="shared" si="513"/>
        <v>Green</v>
      </c>
      <c r="Y1541" t="str">
        <f t="shared" si="514"/>
        <v>Green</v>
      </c>
      <c r="Z1541" t="str">
        <f t="shared" si="515"/>
        <v>Green</v>
      </c>
      <c r="AA1541" t="str">
        <f t="shared" si="516"/>
        <v>Red</v>
      </c>
      <c r="AB1541" t="str">
        <f t="shared" si="517"/>
        <v>Green</v>
      </c>
      <c r="AC1541" t="str">
        <f t="shared" si="518"/>
        <v>Green</v>
      </c>
      <c r="AD1541" t="str">
        <f t="shared" si="519"/>
        <v>Red</v>
      </c>
    </row>
    <row r="1542" spans="1:30" x14ac:dyDescent="0.2">
      <c r="A1542" t="str">
        <f t="shared" si="500"/>
        <v>25/07/2026Maccabi HaifaHapoel Haifa</v>
      </c>
      <c r="D1542" s="2">
        <v>46228</v>
      </c>
      <c r="E1542" s="3">
        <v>0.72916666666666663</v>
      </c>
      <c r="F1542" t="s">
        <v>3380</v>
      </c>
      <c r="G1542" t="s">
        <v>3381</v>
      </c>
      <c r="H1542">
        <v>0</v>
      </c>
      <c r="I1542">
        <v>2</v>
      </c>
      <c r="J1542">
        <v>2</v>
      </c>
      <c r="K1542">
        <v>3</v>
      </c>
      <c r="L1542" s="22" t="str">
        <f t="shared" si="501"/>
        <v>25/07/2026</v>
      </c>
      <c r="M1542" s="23">
        <f t="shared" si="502"/>
        <v>0.60416666666666663</v>
      </c>
      <c r="N1542" t="str">
        <f t="shared" si="503"/>
        <v>2 - 3</v>
      </c>
      <c r="O1542" t="str">
        <f t="shared" si="504"/>
        <v>Red</v>
      </c>
      <c r="P1542" t="str">
        <f t="shared" si="505"/>
        <v>Red</v>
      </c>
      <c r="Q1542" t="str">
        <f t="shared" si="506"/>
        <v>Green</v>
      </c>
      <c r="R1542" t="str">
        <f t="shared" si="507"/>
        <v>Red</v>
      </c>
      <c r="S1542" t="str">
        <f t="shared" si="508"/>
        <v>Green</v>
      </c>
      <c r="T1542" t="str">
        <f t="shared" si="509"/>
        <v>Green</v>
      </c>
      <c r="U1542" t="str">
        <f t="shared" si="510"/>
        <v>Red</v>
      </c>
      <c r="V1542" t="str">
        <f t="shared" si="511"/>
        <v>Red</v>
      </c>
      <c r="W1542" t="str">
        <f t="shared" si="512"/>
        <v>Green</v>
      </c>
      <c r="X1542" t="str">
        <f t="shared" si="513"/>
        <v>Green</v>
      </c>
      <c r="Y1542" t="str">
        <f t="shared" si="514"/>
        <v>Green</v>
      </c>
      <c r="Z1542" t="str">
        <f t="shared" si="515"/>
        <v>Green</v>
      </c>
      <c r="AA1542" t="str">
        <f t="shared" si="516"/>
        <v>Red</v>
      </c>
      <c r="AB1542" t="str">
        <f t="shared" si="517"/>
        <v>Red</v>
      </c>
      <c r="AC1542" t="str">
        <f t="shared" si="518"/>
        <v>Green</v>
      </c>
      <c r="AD1542" t="str">
        <f t="shared" si="519"/>
        <v>Red</v>
      </c>
    </row>
    <row r="1543" spans="1:30" x14ac:dyDescent="0.2">
      <c r="A1543" t="str">
        <f t="shared" si="500"/>
        <v>25/07/2026Maccabi NetanyaHapoel Katamon Jerusalem</v>
      </c>
      <c r="D1543" s="2">
        <v>46228</v>
      </c>
      <c r="E1543" s="3">
        <v>0.72916666666666663</v>
      </c>
      <c r="F1543" t="s">
        <v>3382</v>
      </c>
      <c r="G1543" t="s">
        <v>3383</v>
      </c>
      <c r="H1543">
        <v>2</v>
      </c>
      <c r="I1543">
        <v>1</v>
      </c>
      <c r="J1543">
        <v>3</v>
      </c>
      <c r="K1543">
        <v>1</v>
      </c>
      <c r="L1543" s="22" t="str">
        <f t="shared" si="501"/>
        <v>25/07/2026</v>
      </c>
      <c r="M1543" s="23">
        <f t="shared" si="502"/>
        <v>0.60416666666666663</v>
      </c>
      <c r="N1543" t="str">
        <f t="shared" si="503"/>
        <v>3 - 1</v>
      </c>
      <c r="O1543" t="str">
        <f t="shared" si="504"/>
        <v>Green</v>
      </c>
      <c r="P1543" t="str">
        <f t="shared" si="505"/>
        <v>Red</v>
      </c>
      <c r="Q1543" t="str">
        <f t="shared" si="506"/>
        <v>Red</v>
      </c>
      <c r="R1543" t="str">
        <f t="shared" si="507"/>
        <v>Green</v>
      </c>
      <c r="S1543" t="str">
        <f t="shared" si="508"/>
        <v>Red</v>
      </c>
      <c r="T1543" t="str">
        <f t="shared" si="509"/>
        <v>Green</v>
      </c>
      <c r="U1543" t="str">
        <f t="shared" si="510"/>
        <v>Green</v>
      </c>
      <c r="V1543" t="str">
        <f t="shared" si="511"/>
        <v>Red</v>
      </c>
      <c r="W1543" t="str">
        <f t="shared" si="512"/>
        <v>Red</v>
      </c>
      <c r="X1543" t="str">
        <f t="shared" si="513"/>
        <v>Green</v>
      </c>
      <c r="Y1543" t="str">
        <f t="shared" si="514"/>
        <v>Green</v>
      </c>
      <c r="Z1543" t="str">
        <f t="shared" si="515"/>
        <v>Green</v>
      </c>
      <c r="AA1543" t="str">
        <f t="shared" si="516"/>
        <v>Red</v>
      </c>
      <c r="AB1543" t="str">
        <f t="shared" si="517"/>
        <v>Red</v>
      </c>
      <c r="AC1543" t="str">
        <f t="shared" si="518"/>
        <v>Green</v>
      </c>
      <c r="AD1543" t="str">
        <f t="shared" si="519"/>
        <v>Red</v>
      </c>
    </row>
    <row r="1544" spans="1:30" x14ac:dyDescent="0.2">
      <c r="A1544" t="str">
        <f t="shared" si="500"/>
        <v>25/07/2026Dinamo BucurestiCS Universitatea Craiova</v>
      </c>
      <c r="D1544" s="2">
        <v>46228</v>
      </c>
      <c r="E1544" s="3">
        <v>0.72916666666666663</v>
      </c>
      <c r="F1544" t="s">
        <v>3555</v>
      </c>
      <c r="G1544" t="s">
        <v>872</v>
      </c>
      <c r="H1544">
        <v>2</v>
      </c>
      <c r="I1544">
        <v>0</v>
      </c>
      <c r="J1544">
        <v>5</v>
      </c>
      <c r="K1544">
        <v>1</v>
      </c>
      <c r="L1544" s="22" t="str">
        <f t="shared" si="501"/>
        <v>25/07/2026</v>
      </c>
      <c r="M1544" s="23">
        <f t="shared" si="502"/>
        <v>0.60416666666666663</v>
      </c>
      <c r="N1544" t="str">
        <f t="shared" si="503"/>
        <v>5 - 1</v>
      </c>
      <c r="O1544" t="str">
        <f t="shared" si="504"/>
        <v>Green</v>
      </c>
      <c r="P1544" t="str">
        <f t="shared" si="505"/>
        <v>Red</v>
      </c>
      <c r="Q1544" t="str">
        <f t="shared" si="506"/>
        <v>Red</v>
      </c>
      <c r="R1544" t="str">
        <f t="shared" si="507"/>
        <v>Green</v>
      </c>
      <c r="S1544" t="str">
        <f t="shared" si="508"/>
        <v>Red</v>
      </c>
      <c r="T1544" t="str">
        <f t="shared" si="509"/>
        <v>Green</v>
      </c>
      <c r="U1544" t="str">
        <f t="shared" si="510"/>
        <v>Green</v>
      </c>
      <c r="V1544" t="str">
        <f t="shared" si="511"/>
        <v>Red</v>
      </c>
      <c r="W1544" t="str">
        <f t="shared" si="512"/>
        <v>Red</v>
      </c>
      <c r="X1544" t="str">
        <f t="shared" si="513"/>
        <v>Green</v>
      </c>
      <c r="Y1544" t="str">
        <f t="shared" si="514"/>
        <v>Green</v>
      </c>
      <c r="Z1544" t="str">
        <f t="shared" si="515"/>
        <v>Green</v>
      </c>
      <c r="AA1544" t="str">
        <f t="shared" si="516"/>
        <v>Red</v>
      </c>
      <c r="AB1544" t="str">
        <f t="shared" si="517"/>
        <v>Red</v>
      </c>
      <c r="AC1544" t="str">
        <f t="shared" si="518"/>
        <v>Green</v>
      </c>
      <c r="AD1544" t="str">
        <f t="shared" si="519"/>
        <v>Red</v>
      </c>
    </row>
    <row r="1545" spans="1:30" x14ac:dyDescent="0.2">
      <c r="A1545" t="str">
        <f t="shared" si="500"/>
        <v>25/07/2026Real OviedoDeportivo La Coruna</v>
      </c>
      <c r="D1545" s="2">
        <v>46228</v>
      </c>
      <c r="E1545" s="3">
        <v>0.72916666666666663</v>
      </c>
      <c r="F1545" t="s">
        <v>3998</v>
      </c>
      <c r="G1545" t="s">
        <v>3999</v>
      </c>
      <c r="H1545">
        <v>0</v>
      </c>
      <c r="I1545">
        <v>0</v>
      </c>
      <c r="J1545">
        <v>0</v>
      </c>
      <c r="K1545">
        <v>0</v>
      </c>
      <c r="L1545" s="22" t="str">
        <f t="shared" si="501"/>
        <v>25/07/2026</v>
      </c>
      <c r="M1545" s="23">
        <f t="shared" si="502"/>
        <v>0.60416666666666663</v>
      </c>
      <c r="N1545" t="str">
        <f t="shared" si="503"/>
        <v>0 - 0</v>
      </c>
      <c r="O1545" t="str">
        <f t="shared" si="504"/>
        <v>Red</v>
      </c>
      <c r="P1545" t="str">
        <f t="shared" si="505"/>
        <v>Green</v>
      </c>
      <c r="Q1545" t="str">
        <f t="shared" si="506"/>
        <v>Red</v>
      </c>
      <c r="R1545" t="str">
        <f t="shared" si="507"/>
        <v>Green</v>
      </c>
      <c r="S1545" t="str">
        <f t="shared" si="508"/>
        <v>Green</v>
      </c>
      <c r="T1545" t="str">
        <f t="shared" si="509"/>
        <v>Red</v>
      </c>
      <c r="U1545" t="str">
        <f t="shared" si="510"/>
        <v>Red</v>
      </c>
      <c r="V1545" t="str">
        <f t="shared" si="511"/>
        <v>Green</v>
      </c>
      <c r="W1545" t="str">
        <f t="shared" si="512"/>
        <v>Red</v>
      </c>
      <c r="X1545" t="str">
        <f t="shared" si="513"/>
        <v>Red</v>
      </c>
      <c r="Y1545" t="str">
        <f t="shared" si="514"/>
        <v>Red</v>
      </c>
      <c r="Z1545" t="str">
        <f t="shared" si="515"/>
        <v>Red</v>
      </c>
      <c r="AA1545" t="str">
        <f t="shared" si="516"/>
        <v>Green</v>
      </c>
      <c r="AB1545" t="str">
        <f t="shared" si="517"/>
        <v>Green</v>
      </c>
      <c r="AC1545" t="str">
        <f t="shared" si="518"/>
        <v>Red</v>
      </c>
      <c r="AD1545" t="str">
        <f t="shared" si="519"/>
        <v>Green</v>
      </c>
    </row>
    <row r="1546" spans="1:30" x14ac:dyDescent="0.2">
      <c r="A1546" t="str">
        <f t="shared" si="500"/>
        <v>25/07/2026Estudiantes Rio CuartoClub Atletico Tigre</v>
      </c>
      <c r="B1546" t="s">
        <v>806</v>
      </c>
      <c r="C1546" t="s">
        <v>2229</v>
      </c>
      <c r="D1546" s="2">
        <v>46228</v>
      </c>
      <c r="E1546" s="3">
        <v>0.73958333333333337</v>
      </c>
      <c r="F1546" t="s">
        <v>645</v>
      </c>
      <c r="G1546" t="s">
        <v>1324</v>
      </c>
      <c r="H1546">
        <v>0</v>
      </c>
      <c r="I1546">
        <v>0</v>
      </c>
      <c r="J1546">
        <v>1</v>
      </c>
      <c r="K1546">
        <v>0</v>
      </c>
      <c r="L1546" s="22" t="str">
        <f t="shared" si="501"/>
        <v>25/07/2026</v>
      </c>
      <c r="M1546" s="23">
        <f t="shared" si="502"/>
        <v>0.61458333333333337</v>
      </c>
      <c r="N1546" t="str">
        <f t="shared" si="503"/>
        <v>1 - 0</v>
      </c>
      <c r="O1546" t="str">
        <f t="shared" si="504"/>
        <v>Green</v>
      </c>
      <c r="P1546" t="str">
        <f t="shared" si="505"/>
        <v>Red</v>
      </c>
      <c r="Q1546" t="str">
        <f t="shared" si="506"/>
        <v>Red</v>
      </c>
      <c r="R1546" t="str">
        <f t="shared" si="507"/>
        <v>Green</v>
      </c>
      <c r="S1546" t="str">
        <f t="shared" si="508"/>
        <v>Red</v>
      </c>
      <c r="T1546" t="str">
        <f t="shared" si="509"/>
        <v>Green</v>
      </c>
      <c r="U1546" t="str">
        <f t="shared" si="510"/>
        <v>Red</v>
      </c>
      <c r="V1546" t="str">
        <f t="shared" si="511"/>
        <v>Green</v>
      </c>
      <c r="W1546" t="str">
        <f t="shared" si="512"/>
        <v>Red</v>
      </c>
      <c r="X1546" t="str">
        <f t="shared" si="513"/>
        <v>Red</v>
      </c>
      <c r="Y1546" t="str">
        <f t="shared" si="514"/>
        <v>Red</v>
      </c>
      <c r="Z1546" t="str">
        <f t="shared" si="515"/>
        <v>Red</v>
      </c>
      <c r="AA1546" t="str">
        <f t="shared" si="516"/>
        <v>Green</v>
      </c>
      <c r="AB1546" t="str">
        <f t="shared" si="517"/>
        <v>Green</v>
      </c>
      <c r="AC1546" t="str">
        <f t="shared" si="518"/>
        <v>Red</v>
      </c>
      <c r="AD1546" t="str">
        <f t="shared" si="519"/>
        <v>Green</v>
      </c>
    </row>
    <row r="1547" spans="1:30" x14ac:dyDescent="0.2">
      <c r="A1547" t="str">
        <f t="shared" si="500"/>
        <v>25/07/2026CSD Tristan SuarezChacarita Juniors</v>
      </c>
      <c r="B1547" t="s">
        <v>806</v>
      </c>
      <c r="C1547" t="s">
        <v>807</v>
      </c>
      <c r="D1547" s="2">
        <v>46228</v>
      </c>
      <c r="E1547" s="3">
        <v>0.75</v>
      </c>
      <c r="F1547" t="s">
        <v>332</v>
      </c>
      <c r="G1547" t="s">
        <v>339</v>
      </c>
      <c r="H1547">
        <v>0</v>
      </c>
      <c r="I1547">
        <v>0</v>
      </c>
      <c r="J1547">
        <v>1</v>
      </c>
      <c r="K1547">
        <v>0</v>
      </c>
      <c r="L1547" s="22" t="str">
        <f t="shared" si="501"/>
        <v>25/07/2026</v>
      </c>
      <c r="M1547" s="23">
        <f t="shared" si="502"/>
        <v>0.625</v>
      </c>
      <c r="N1547" t="str">
        <f t="shared" si="503"/>
        <v>1 - 0</v>
      </c>
      <c r="O1547" t="str">
        <f t="shared" si="504"/>
        <v>Green</v>
      </c>
      <c r="P1547" t="str">
        <f t="shared" si="505"/>
        <v>Red</v>
      </c>
      <c r="Q1547" t="str">
        <f t="shared" si="506"/>
        <v>Red</v>
      </c>
      <c r="R1547" t="str">
        <f t="shared" si="507"/>
        <v>Green</v>
      </c>
      <c r="S1547" t="str">
        <f t="shared" si="508"/>
        <v>Red</v>
      </c>
      <c r="T1547" t="str">
        <f t="shared" si="509"/>
        <v>Green</v>
      </c>
      <c r="U1547" t="str">
        <f t="shared" si="510"/>
        <v>Red</v>
      </c>
      <c r="V1547" t="str">
        <f t="shared" si="511"/>
        <v>Green</v>
      </c>
      <c r="W1547" t="str">
        <f t="shared" si="512"/>
        <v>Red</v>
      </c>
      <c r="X1547" t="str">
        <f t="shared" si="513"/>
        <v>Red</v>
      </c>
      <c r="Y1547" t="str">
        <f t="shared" si="514"/>
        <v>Red</v>
      </c>
      <c r="Z1547" t="str">
        <f t="shared" si="515"/>
        <v>Red</v>
      </c>
      <c r="AA1547" t="str">
        <f t="shared" si="516"/>
        <v>Green</v>
      </c>
      <c r="AB1547" t="str">
        <f t="shared" si="517"/>
        <v>Green</v>
      </c>
      <c r="AC1547" t="str">
        <f t="shared" si="518"/>
        <v>Red</v>
      </c>
      <c r="AD1547" t="str">
        <f t="shared" si="519"/>
        <v>Green</v>
      </c>
    </row>
    <row r="1548" spans="1:30" x14ac:dyDescent="0.2">
      <c r="A1548" t="str">
        <f t="shared" si="500"/>
        <v>25/07/2026Estudiantes de BACiudad de Bolivar</v>
      </c>
      <c r="B1548" t="s">
        <v>806</v>
      </c>
      <c r="C1548" t="s">
        <v>807</v>
      </c>
      <c r="D1548" s="2">
        <v>46228</v>
      </c>
      <c r="E1548" s="3">
        <v>0.75</v>
      </c>
      <c r="F1548" t="s">
        <v>2761</v>
      </c>
      <c r="G1548" t="s">
        <v>2762</v>
      </c>
      <c r="H1548">
        <v>1</v>
      </c>
      <c r="I1548">
        <v>2</v>
      </c>
      <c r="J1548">
        <v>1</v>
      </c>
      <c r="K1548">
        <v>2</v>
      </c>
      <c r="L1548" s="22" t="str">
        <f t="shared" si="501"/>
        <v>25/07/2026</v>
      </c>
      <c r="M1548" s="23">
        <f t="shared" si="502"/>
        <v>0.625</v>
      </c>
      <c r="N1548" t="str">
        <f t="shared" si="503"/>
        <v>1 - 2</v>
      </c>
      <c r="O1548" t="str">
        <f t="shared" si="504"/>
        <v>Red</v>
      </c>
      <c r="P1548" t="str">
        <f t="shared" si="505"/>
        <v>Red</v>
      </c>
      <c r="Q1548" t="str">
        <f t="shared" si="506"/>
        <v>Green</v>
      </c>
      <c r="R1548" t="str">
        <f t="shared" si="507"/>
        <v>Red</v>
      </c>
      <c r="S1548" t="str">
        <f t="shared" si="508"/>
        <v>Green</v>
      </c>
      <c r="T1548" t="str">
        <f t="shared" si="509"/>
        <v>Green</v>
      </c>
      <c r="U1548" t="str">
        <f t="shared" si="510"/>
        <v>Red</v>
      </c>
      <c r="V1548" t="str">
        <f t="shared" si="511"/>
        <v>Red</v>
      </c>
      <c r="W1548" t="str">
        <f t="shared" si="512"/>
        <v>Green</v>
      </c>
      <c r="X1548" t="str">
        <f t="shared" si="513"/>
        <v>Green</v>
      </c>
      <c r="Y1548" t="str">
        <f t="shared" si="514"/>
        <v>Green</v>
      </c>
      <c r="Z1548" t="str">
        <f t="shared" si="515"/>
        <v>Green</v>
      </c>
      <c r="AA1548" t="str">
        <f t="shared" si="516"/>
        <v>Red</v>
      </c>
      <c r="AB1548" t="str">
        <f t="shared" si="517"/>
        <v>Green</v>
      </c>
      <c r="AC1548" t="str">
        <f t="shared" si="518"/>
        <v>Green</v>
      </c>
      <c r="AD1548" t="str">
        <f t="shared" si="519"/>
        <v>Red</v>
      </c>
    </row>
    <row r="1549" spans="1:30" x14ac:dyDescent="0.2">
      <c r="A1549" t="str">
        <f t="shared" si="500"/>
        <v>25/07/2026Argentino QuilmesVilla Dalmine</v>
      </c>
      <c r="B1549" t="s">
        <v>806</v>
      </c>
      <c r="C1549" t="s">
        <v>2766</v>
      </c>
      <c r="D1549" s="2">
        <v>46228</v>
      </c>
      <c r="E1549" s="3">
        <v>0.75</v>
      </c>
      <c r="F1549" t="s">
        <v>706</v>
      </c>
      <c r="G1549" t="s">
        <v>2771</v>
      </c>
      <c r="H1549">
        <v>0</v>
      </c>
      <c r="I1549">
        <v>0</v>
      </c>
      <c r="J1549">
        <v>0</v>
      </c>
      <c r="K1549">
        <v>0</v>
      </c>
      <c r="L1549" s="22" t="str">
        <f t="shared" si="501"/>
        <v>25/07/2026</v>
      </c>
      <c r="M1549" s="23">
        <f t="shared" si="502"/>
        <v>0.625</v>
      </c>
      <c r="N1549" t="str">
        <f t="shared" si="503"/>
        <v>0 - 0</v>
      </c>
      <c r="O1549" t="str">
        <f t="shared" si="504"/>
        <v>Red</v>
      </c>
      <c r="P1549" t="str">
        <f t="shared" si="505"/>
        <v>Green</v>
      </c>
      <c r="Q1549" t="str">
        <f t="shared" si="506"/>
        <v>Red</v>
      </c>
      <c r="R1549" t="str">
        <f t="shared" si="507"/>
        <v>Green</v>
      </c>
      <c r="S1549" t="str">
        <f t="shared" si="508"/>
        <v>Green</v>
      </c>
      <c r="T1549" t="str">
        <f t="shared" si="509"/>
        <v>Red</v>
      </c>
      <c r="U1549" t="str">
        <f t="shared" si="510"/>
        <v>Red</v>
      </c>
      <c r="V1549" t="str">
        <f t="shared" si="511"/>
        <v>Green</v>
      </c>
      <c r="W1549" t="str">
        <f t="shared" si="512"/>
        <v>Red</v>
      </c>
      <c r="X1549" t="str">
        <f t="shared" si="513"/>
        <v>Red</v>
      </c>
      <c r="Y1549" t="str">
        <f t="shared" si="514"/>
        <v>Red</v>
      </c>
      <c r="Z1549" t="str">
        <f t="shared" si="515"/>
        <v>Red</v>
      </c>
      <c r="AA1549" t="str">
        <f t="shared" si="516"/>
        <v>Green</v>
      </c>
      <c r="AB1549" t="str">
        <f t="shared" si="517"/>
        <v>Green</v>
      </c>
      <c r="AC1549" t="str">
        <f t="shared" si="518"/>
        <v>Red</v>
      </c>
      <c r="AD1549" t="str">
        <f t="shared" si="519"/>
        <v>Green</v>
      </c>
    </row>
    <row r="1550" spans="1:30" x14ac:dyDescent="0.2">
      <c r="A1550" t="str">
        <f t="shared" si="500"/>
        <v>25/07/2026Atletico CamionerosSan Martin De Burzaco</v>
      </c>
      <c r="B1550" t="s">
        <v>806</v>
      </c>
      <c r="C1550" t="s">
        <v>2766</v>
      </c>
      <c r="D1550" s="2">
        <v>46228</v>
      </c>
      <c r="E1550" s="3">
        <v>0.75</v>
      </c>
      <c r="F1550" t="s">
        <v>708</v>
      </c>
      <c r="G1550" t="s">
        <v>2772</v>
      </c>
      <c r="H1550">
        <v>1</v>
      </c>
      <c r="I1550">
        <v>0</v>
      </c>
      <c r="J1550">
        <v>2</v>
      </c>
      <c r="K1550">
        <v>0</v>
      </c>
      <c r="L1550" s="22" t="str">
        <f t="shared" si="501"/>
        <v>25/07/2026</v>
      </c>
      <c r="M1550" s="23">
        <f t="shared" si="502"/>
        <v>0.625</v>
      </c>
      <c r="N1550" t="str">
        <f t="shared" si="503"/>
        <v>2 - 0</v>
      </c>
      <c r="O1550" t="str">
        <f t="shared" si="504"/>
        <v>Green</v>
      </c>
      <c r="P1550" t="str">
        <f t="shared" si="505"/>
        <v>Red</v>
      </c>
      <c r="Q1550" t="str">
        <f t="shared" si="506"/>
        <v>Red</v>
      </c>
      <c r="R1550" t="str">
        <f t="shared" si="507"/>
        <v>Green</v>
      </c>
      <c r="S1550" t="str">
        <f t="shared" si="508"/>
        <v>Red</v>
      </c>
      <c r="T1550" t="str">
        <f t="shared" si="509"/>
        <v>Green</v>
      </c>
      <c r="U1550" t="str">
        <f t="shared" si="510"/>
        <v>Green</v>
      </c>
      <c r="V1550" t="str">
        <f t="shared" si="511"/>
        <v>Red</v>
      </c>
      <c r="W1550" t="str">
        <f t="shared" si="512"/>
        <v>Red</v>
      </c>
      <c r="X1550" t="str">
        <f t="shared" si="513"/>
        <v>Green</v>
      </c>
      <c r="Y1550" t="str">
        <f t="shared" si="514"/>
        <v>Green</v>
      </c>
      <c r="Z1550" t="str">
        <f t="shared" si="515"/>
        <v>Red</v>
      </c>
      <c r="AA1550" t="str">
        <f t="shared" si="516"/>
        <v>Green</v>
      </c>
      <c r="AB1550" t="str">
        <f t="shared" si="517"/>
        <v>Green</v>
      </c>
      <c r="AC1550" t="str">
        <f t="shared" si="518"/>
        <v>Red</v>
      </c>
      <c r="AD1550" t="str">
        <f t="shared" si="519"/>
        <v>Green</v>
      </c>
    </row>
    <row r="1551" spans="1:30" x14ac:dyDescent="0.2">
      <c r="A1551" t="str">
        <f t="shared" si="500"/>
        <v>25/07/2026Club Atl√©tico BrownArgentino Merlo</v>
      </c>
      <c r="B1551" t="s">
        <v>806</v>
      </c>
      <c r="C1551" t="s">
        <v>2766</v>
      </c>
      <c r="D1551" s="2">
        <v>46228</v>
      </c>
      <c r="E1551" s="3">
        <v>0.75</v>
      </c>
      <c r="F1551" t="s">
        <v>2773</v>
      </c>
      <c r="G1551" t="s">
        <v>711</v>
      </c>
      <c r="H1551">
        <v>1</v>
      </c>
      <c r="I1551">
        <v>0</v>
      </c>
      <c r="J1551">
        <v>1</v>
      </c>
      <c r="K1551">
        <v>0</v>
      </c>
      <c r="L1551" s="22" t="str">
        <f t="shared" si="501"/>
        <v>25/07/2026</v>
      </c>
      <c r="M1551" s="23">
        <f t="shared" si="502"/>
        <v>0.625</v>
      </c>
      <c r="N1551" t="str">
        <f t="shared" si="503"/>
        <v>1 - 0</v>
      </c>
      <c r="O1551" t="str">
        <f t="shared" si="504"/>
        <v>Green</v>
      </c>
      <c r="P1551" t="str">
        <f t="shared" si="505"/>
        <v>Red</v>
      </c>
      <c r="Q1551" t="str">
        <f t="shared" si="506"/>
        <v>Red</v>
      </c>
      <c r="R1551" t="str">
        <f t="shared" si="507"/>
        <v>Green</v>
      </c>
      <c r="S1551" t="str">
        <f t="shared" si="508"/>
        <v>Red</v>
      </c>
      <c r="T1551" t="str">
        <f t="shared" si="509"/>
        <v>Green</v>
      </c>
      <c r="U1551" t="str">
        <f t="shared" si="510"/>
        <v>Green</v>
      </c>
      <c r="V1551" t="str">
        <f t="shared" si="511"/>
        <v>Red</v>
      </c>
      <c r="W1551" t="str">
        <f t="shared" si="512"/>
        <v>Red</v>
      </c>
      <c r="X1551" t="str">
        <f t="shared" si="513"/>
        <v>Green</v>
      </c>
      <c r="Y1551" t="str">
        <f t="shared" si="514"/>
        <v>Red</v>
      </c>
      <c r="Z1551" t="str">
        <f t="shared" si="515"/>
        <v>Red</v>
      </c>
      <c r="AA1551" t="str">
        <f t="shared" si="516"/>
        <v>Green</v>
      </c>
      <c r="AB1551" t="str">
        <f t="shared" si="517"/>
        <v>Green</v>
      </c>
      <c r="AC1551" t="str">
        <f t="shared" si="518"/>
        <v>Red</v>
      </c>
      <c r="AD1551" t="str">
        <f t="shared" si="519"/>
        <v>Green</v>
      </c>
    </row>
    <row r="1552" spans="1:30" x14ac:dyDescent="0.2">
      <c r="A1552" t="str">
        <f t="shared" si="500"/>
        <v>25/07/2026Club ComunicacionesReal Pilar</v>
      </c>
      <c r="B1552" t="s">
        <v>806</v>
      </c>
      <c r="C1552" t="s">
        <v>2766</v>
      </c>
      <c r="D1552" s="2">
        <v>46228</v>
      </c>
      <c r="E1552" s="3">
        <v>0.75</v>
      </c>
      <c r="F1552" t="s">
        <v>2774</v>
      </c>
      <c r="G1552" t="s">
        <v>713</v>
      </c>
      <c r="H1552">
        <v>1</v>
      </c>
      <c r="I1552">
        <v>1</v>
      </c>
      <c r="J1552">
        <v>1</v>
      </c>
      <c r="K1552">
        <v>2</v>
      </c>
      <c r="L1552" s="22" t="str">
        <f t="shared" si="501"/>
        <v>25/07/2026</v>
      </c>
      <c r="M1552" s="23">
        <f t="shared" si="502"/>
        <v>0.625</v>
      </c>
      <c r="N1552" t="str">
        <f t="shared" si="503"/>
        <v>1 - 2</v>
      </c>
      <c r="O1552" t="str">
        <f t="shared" si="504"/>
        <v>Red</v>
      </c>
      <c r="P1552" t="str">
        <f t="shared" si="505"/>
        <v>Red</v>
      </c>
      <c r="Q1552" t="str">
        <f t="shared" si="506"/>
        <v>Green</v>
      </c>
      <c r="R1552" t="str">
        <f t="shared" si="507"/>
        <v>Red</v>
      </c>
      <c r="S1552" t="str">
        <f t="shared" si="508"/>
        <v>Green</v>
      </c>
      <c r="T1552" t="str">
        <f t="shared" si="509"/>
        <v>Green</v>
      </c>
      <c r="U1552" t="str">
        <f t="shared" si="510"/>
        <v>Red</v>
      </c>
      <c r="V1552" t="str">
        <f t="shared" si="511"/>
        <v>Green</v>
      </c>
      <c r="W1552" t="str">
        <f t="shared" si="512"/>
        <v>Red</v>
      </c>
      <c r="X1552" t="str">
        <f t="shared" si="513"/>
        <v>Green</v>
      </c>
      <c r="Y1552" t="str">
        <f t="shared" si="514"/>
        <v>Green</v>
      </c>
      <c r="Z1552" t="str">
        <f t="shared" si="515"/>
        <v>Green</v>
      </c>
      <c r="AA1552" t="str">
        <f t="shared" si="516"/>
        <v>Red</v>
      </c>
      <c r="AB1552" t="str">
        <f t="shared" si="517"/>
        <v>Green</v>
      </c>
      <c r="AC1552" t="str">
        <f t="shared" si="518"/>
        <v>Green</v>
      </c>
      <c r="AD1552" t="str">
        <f t="shared" si="519"/>
        <v>Red</v>
      </c>
    </row>
    <row r="1553" spans="1:30" x14ac:dyDescent="0.2">
      <c r="A1553" t="str">
        <f t="shared" si="500"/>
        <v>25/07/2026Defensores UnidosUAI Urquiza</v>
      </c>
      <c r="B1553" t="s">
        <v>806</v>
      </c>
      <c r="C1553" t="s">
        <v>2766</v>
      </c>
      <c r="D1553" s="2">
        <v>46228</v>
      </c>
      <c r="E1553" s="3">
        <v>0.75</v>
      </c>
      <c r="F1553" t="s">
        <v>714</v>
      </c>
      <c r="G1553" t="s">
        <v>715</v>
      </c>
      <c r="H1553">
        <v>1</v>
      </c>
      <c r="I1553">
        <v>0</v>
      </c>
      <c r="J1553">
        <v>1</v>
      </c>
      <c r="K1553">
        <v>1</v>
      </c>
      <c r="L1553" s="22" t="str">
        <f t="shared" si="501"/>
        <v>25/07/2026</v>
      </c>
      <c r="M1553" s="23">
        <f t="shared" si="502"/>
        <v>0.625</v>
      </c>
      <c r="N1553" t="str">
        <f t="shared" si="503"/>
        <v>1 - 1</v>
      </c>
      <c r="O1553" t="str">
        <f t="shared" si="504"/>
        <v>Red</v>
      </c>
      <c r="P1553" t="str">
        <f t="shared" si="505"/>
        <v>Green</v>
      </c>
      <c r="Q1553" t="str">
        <f t="shared" si="506"/>
        <v>Red</v>
      </c>
      <c r="R1553" t="str">
        <f t="shared" si="507"/>
        <v>Green</v>
      </c>
      <c r="S1553" t="str">
        <f t="shared" si="508"/>
        <v>Green</v>
      </c>
      <c r="T1553" t="str">
        <f t="shared" si="509"/>
        <v>Red</v>
      </c>
      <c r="U1553" t="str">
        <f t="shared" si="510"/>
        <v>Green</v>
      </c>
      <c r="V1553" t="str">
        <f t="shared" si="511"/>
        <v>Red</v>
      </c>
      <c r="W1553" t="str">
        <f t="shared" si="512"/>
        <v>Red</v>
      </c>
      <c r="X1553" t="str">
        <f t="shared" si="513"/>
        <v>Green</v>
      </c>
      <c r="Y1553" t="str">
        <f t="shared" si="514"/>
        <v>Green</v>
      </c>
      <c r="Z1553" t="str">
        <f t="shared" si="515"/>
        <v>Red</v>
      </c>
      <c r="AA1553" t="str">
        <f t="shared" si="516"/>
        <v>Green</v>
      </c>
      <c r="AB1553" t="str">
        <f t="shared" si="517"/>
        <v>Green</v>
      </c>
      <c r="AC1553" t="str">
        <f t="shared" si="518"/>
        <v>Green</v>
      </c>
      <c r="AD1553" t="str">
        <f t="shared" si="519"/>
        <v>Red</v>
      </c>
    </row>
    <row r="1554" spans="1:30" x14ac:dyDescent="0.2">
      <c r="A1554" t="str">
        <f t="shared" si="500"/>
        <v>25/07/2026FlandriaExcursionistas</v>
      </c>
      <c r="B1554" t="s">
        <v>806</v>
      </c>
      <c r="C1554" t="s">
        <v>2766</v>
      </c>
      <c r="D1554" s="2">
        <v>46228</v>
      </c>
      <c r="E1554" s="3">
        <v>0.75</v>
      </c>
      <c r="F1554" t="s">
        <v>722</v>
      </c>
      <c r="G1554" t="s">
        <v>723</v>
      </c>
      <c r="H1554">
        <v>1</v>
      </c>
      <c r="I1554">
        <v>0</v>
      </c>
      <c r="J1554">
        <v>1</v>
      </c>
      <c r="K1554">
        <v>1</v>
      </c>
      <c r="L1554" s="22" t="str">
        <f t="shared" si="501"/>
        <v>25/07/2026</v>
      </c>
      <c r="M1554" s="23">
        <f t="shared" si="502"/>
        <v>0.625</v>
      </c>
      <c r="N1554" t="str">
        <f t="shared" si="503"/>
        <v>1 - 1</v>
      </c>
      <c r="O1554" t="str">
        <f t="shared" si="504"/>
        <v>Red</v>
      </c>
      <c r="P1554" t="str">
        <f t="shared" si="505"/>
        <v>Green</v>
      </c>
      <c r="Q1554" t="str">
        <f t="shared" si="506"/>
        <v>Red</v>
      </c>
      <c r="R1554" t="str">
        <f t="shared" si="507"/>
        <v>Green</v>
      </c>
      <c r="S1554" t="str">
        <f t="shared" si="508"/>
        <v>Green</v>
      </c>
      <c r="T1554" t="str">
        <f t="shared" si="509"/>
        <v>Red</v>
      </c>
      <c r="U1554" t="str">
        <f t="shared" si="510"/>
        <v>Green</v>
      </c>
      <c r="V1554" t="str">
        <f t="shared" si="511"/>
        <v>Red</v>
      </c>
      <c r="W1554" t="str">
        <f t="shared" si="512"/>
        <v>Red</v>
      </c>
      <c r="X1554" t="str">
        <f t="shared" si="513"/>
        <v>Green</v>
      </c>
      <c r="Y1554" t="str">
        <f t="shared" si="514"/>
        <v>Green</v>
      </c>
      <c r="Z1554" t="str">
        <f t="shared" si="515"/>
        <v>Red</v>
      </c>
      <c r="AA1554" t="str">
        <f t="shared" si="516"/>
        <v>Green</v>
      </c>
      <c r="AB1554" t="str">
        <f t="shared" si="517"/>
        <v>Green</v>
      </c>
      <c r="AC1554" t="str">
        <f t="shared" si="518"/>
        <v>Green</v>
      </c>
      <c r="AD1554" t="str">
        <f t="shared" si="519"/>
        <v>Red</v>
      </c>
    </row>
    <row r="1555" spans="1:30" x14ac:dyDescent="0.2">
      <c r="A1555" t="str">
        <f t="shared" si="500"/>
        <v>25/07/2026CA AtlasDeportivo Espanol</v>
      </c>
      <c r="B1555" t="s">
        <v>806</v>
      </c>
      <c r="C1555" t="s">
        <v>808</v>
      </c>
      <c r="D1555" s="2">
        <v>46228</v>
      </c>
      <c r="E1555" s="3">
        <v>0.75</v>
      </c>
      <c r="F1555" t="s">
        <v>319</v>
      </c>
      <c r="G1555" t="s">
        <v>2778</v>
      </c>
      <c r="H1555">
        <v>0</v>
      </c>
      <c r="I1555">
        <v>0</v>
      </c>
      <c r="J1555">
        <v>0</v>
      </c>
      <c r="K1555">
        <v>1</v>
      </c>
      <c r="L1555" s="22" t="str">
        <f t="shared" si="501"/>
        <v>25/07/2026</v>
      </c>
      <c r="M1555" s="23">
        <f t="shared" si="502"/>
        <v>0.625</v>
      </c>
      <c r="N1555" t="str">
        <f t="shared" si="503"/>
        <v>0 - 1</v>
      </c>
      <c r="O1555" t="str">
        <f t="shared" si="504"/>
        <v>Red</v>
      </c>
      <c r="P1555" t="str">
        <f t="shared" si="505"/>
        <v>Red</v>
      </c>
      <c r="Q1555" t="str">
        <f t="shared" si="506"/>
        <v>Green</v>
      </c>
      <c r="R1555" t="str">
        <f t="shared" si="507"/>
        <v>Red</v>
      </c>
      <c r="S1555" t="str">
        <f t="shared" si="508"/>
        <v>Green</v>
      </c>
      <c r="T1555" t="str">
        <f t="shared" si="509"/>
        <v>Green</v>
      </c>
      <c r="U1555" t="str">
        <f t="shared" si="510"/>
        <v>Red</v>
      </c>
      <c r="V1555" t="str">
        <f t="shared" si="511"/>
        <v>Green</v>
      </c>
      <c r="W1555" t="str">
        <f t="shared" si="512"/>
        <v>Red</v>
      </c>
      <c r="X1555" t="str">
        <f t="shared" si="513"/>
        <v>Red</v>
      </c>
      <c r="Y1555" t="str">
        <f t="shared" si="514"/>
        <v>Red</v>
      </c>
      <c r="Z1555" t="str">
        <f t="shared" si="515"/>
        <v>Red</v>
      </c>
      <c r="AA1555" t="str">
        <f t="shared" si="516"/>
        <v>Green</v>
      </c>
      <c r="AB1555" t="str">
        <f t="shared" si="517"/>
        <v>Green</v>
      </c>
      <c r="AC1555" t="str">
        <f t="shared" si="518"/>
        <v>Red</v>
      </c>
      <c r="AD1555" t="str">
        <f t="shared" si="519"/>
        <v>Green</v>
      </c>
    </row>
    <row r="1556" spans="1:30" x14ac:dyDescent="0.2">
      <c r="A1556" t="str">
        <f t="shared" si="500"/>
        <v>25/07/2026CA LuganoCentro Espanol</v>
      </c>
      <c r="B1556" t="s">
        <v>806</v>
      </c>
      <c r="C1556" t="s">
        <v>808</v>
      </c>
      <c r="D1556" s="2">
        <v>46228</v>
      </c>
      <c r="E1556" s="3">
        <v>0.75</v>
      </c>
      <c r="F1556" t="s">
        <v>2779</v>
      </c>
      <c r="G1556" t="s">
        <v>317</v>
      </c>
      <c r="H1556">
        <v>0</v>
      </c>
      <c r="I1556">
        <v>0</v>
      </c>
      <c r="J1556">
        <v>1</v>
      </c>
      <c r="K1556">
        <v>0</v>
      </c>
      <c r="L1556" s="22" t="str">
        <f t="shared" si="501"/>
        <v>25/07/2026</v>
      </c>
      <c r="M1556" s="23">
        <f t="shared" si="502"/>
        <v>0.625</v>
      </c>
      <c r="N1556" t="str">
        <f t="shared" si="503"/>
        <v>1 - 0</v>
      </c>
      <c r="O1556" t="str">
        <f t="shared" si="504"/>
        <v>Green</v>
      </c>
      <c r="P1556" t="str">
        <f t="shared" si="505"/>
        <v>Red</v>
      </c>
      <c r="Q1556" t="str">
        <f t="shared" si="506"/>
        <v>Red</v>
      </c>
      <c r="R1556" t="str">
        <f t="shared" si="507"/>
        <v>Green</v>
      </c>
      <c r="S1556" t="str">
        <f t="shared" si="508"/>
        <v>Red</v>
      </c>
      <c r="T1556" t="str">
        <f t="shared" si="509"/>
        <v>Green</v>
      </c>
      <c r="U1556" t="str">
        <f t="shared" si="510"/>
        <v>Red</v>
      </c>
      <c r="V1556" t="str">
        <f t="shared" si="511"/>
        <v>Green</v>
      </c>
      <c r="W1556" t="str">
        <f t="shared" si="512"/>
        <v>Red</v>
      </c>
      <c r="X1556" t="str">
        <f t="shared" si="513"/>
        <v>Red</v>
      </c>
      <c r="Y1556" t="str">
        <f t="shared" si="514"/>
        <v>Red</v>
      </c>
      <c r="Z1556" t="str">
        <f t="shared" si="515"/>
        <v>Red</v>
      </c>
      <c r="AA1556" t="str">
        <f t="shared" si="516"/>
        <v>Green</v>
      </c>
      <c r="AB1556" t="str">
        <f t="shared" si="517"/>
        <v>Green</v>
      </c>
      <c r="AC1556" t="str">
        <f t="shared" si="518"/>
        <v>Red</v>
      </c>
      <c r="AD1556" t="str">
        <f t="shared" si="519"/>
        <v>Green</v>
      </c>
    </row>
    <row r="1557" spans="1:30" x14ac:dyDescent="0.2">
      <c r="A1557" t="str">
        <f t="shared" si="500"/>
        <v>25/07/2026CA Victoriano ArenasJJ Urquiza</v>
      </c>
      <c r="B1557" t="s">
        <v>806</v>
      </c>
      <c r="C1557" t="s">
        <v>808</v>
      </c>
      <c r="D1557" s="2">
        <v>46228</v>
      </c>
      <c r="E1557" s="3">
        <v>0.75</v>
      </c>
      <c r="F1557" t="s">
        <v>2780</v>
      </c>
      <c r="G1557" t="s">
        <v>2781</v>
      </c>
      <c r="H1557">
        <v>0</v>
      </c>
      <c r="I1557">
        <v>0</v>
      </c>
      <c r="J1557">
        <v>0</v>
      </c>
      <c r="K1557">
        <v>0</v>
      </c>
      <c r="L1557" s="22" t="str">
        <f t="shared" si="501"/>
        <v>25/07/2026</v>
      </c>
      <c r="M1557" s="23">
        <f t="shared" si="502"/>
        <v>0.625</v>
      </c>
      <c r="N1557" t="str">
        <f t="shared" si="503"/>
        <v>0 - 0</v>
      </c>
      <c r="O1557" t="str">
        <f t="shared" si="504"/>
        <v>Red</v>
      </c>
      <c r="P1557" t="str">
        <f t="shared" si="505"/>
        <v>Green</v>
      </c>
      <c r="Q1557" t="str">
        <f t="shared" si="506"/>
        <v>Red</v>
      </c>
      <c r="R1557" t="str">
        <f t="shared" si="507"/>
        <v>Green</v>
      </c>
      <c r="S1557" t="str">
        <f t="shared" si="508"/>
        <v>Green</v>
      </c>
      <c r="T1557" t="str">
        <f t="shared" si="509"/>
        <v>Red</v>
      </c>
      <c r="U1557" t="str">
        <f t="shared" si="510"/>
        <v>Red</v>
      </c>
      <c r="V1557" t="str">
        <f t="shared" si="511"/>
        <v>Green</v>
      </c>
      <c r="W1557" t="str">
        <f t="shared" si="512"/>
        <v>Red</v>
      </c>
      <c r="X1557" t="str">
        <f t="shared" si="513"/>
        <v>Red</v>
      </c>
      <c r="Y1557" t="str">
        <f t="shared" si="514"/>
        <v>Red</v>
      </c>
      <c r="Z1557" t="str">
        <f t="shared" si="515"/>
        <v>Red</v>
      </c>
      <c r="AA1557" t="str">
        <f t="shared" si="516"/>
        <v>Green</v>
      </c>
      <c r="AB1557" t="str">
        <f t="shared" si="517"/>
        <v>Green</v>
      </c>
      <c r="AC1557" t="str">
        <f t="shared" si="518"/>
        <v>Red</v>
      </c>
      <c r="AD1557" t="str">
        <f t="shared" si="519"/>
        <v>Green</v>
      </c>
    </row>
    <row r="1558" spans="1:30" x14ac:dyDescent="0.2">
      <c r="A1558" t="str">
        <f t="shared" si="500"/>
        <v>25/07/2026Canuelas FCDeportivo Muniz</v>
      </c>
      <c r="B1558" t="s">
        <v>806</v>
      </c>
      <c r="C1558" t="s">
        <v>808</v>
      </c>
      <c r="D1558" s="2">
        <v>46228</v>
      </c>
      <c r="E1558" s="3">
        <v>0.75</v>
      </c>
      <c r="F1558" t="s">
        <v>2782</v>
      </c>
      <c r="G1558" t="s">
        <v>2783</v>
      </c>
      <c r="H1558">
        <v>0</v>
      </c>
      <c r="I1558">
        <v>1</v>
      </c>
      <c r="J1558">
        <v>0</v>
      </c>
      <c r="K1558">
        <v>1</v>
      </c>
      <c r="L1558" s="22" t="str">
        <f t="shared" si="501"/>
        <v>25/07/2026</v>
      </c>
      <c r="M1558" s="23">
        <f t="shared" si="502"/>
        <v>0.625</v>
      </c>
      <c r="N1558" t="str">
        <f t="shared" si="503"/>
        <v>0 - 1</v>
      </c>
      <c r="O1558" t="str">
        <f t="shared" si="504"/>
        <v>Red</v>
      </c>
      <c r="P1558" t="str">
        <f t="shared" si="505"/>
        <v>Red</v>
      </c>
      <c r="Q1558" t="str">
        <f t="shared" si="506"/>
        <v>Green</v>
      </c>
      <c r="R1558" t="str">
        <f t="shared" si="507"/>
        <v>Red</v>
      </c>
      <c r="S1558" t="str">
        <f t="shared" si="508"/>
        <v>Green</v>
      </c>
      <c r="T1558" t="str">
        <f t="shared" si="509"/>
        <v>Green</v>
      </c>
      <c r="U1558" t="str">
        <f t="shared" si="510"/>
        <v>Red</v>
      </c>
      <c r="V1558" t="str">
        <f t="shared" si="511"/>
        <v>Red</v>
      </c>
      <c r="W1558" t="str">
        <f t="shared" si="512"/>
        <v>Green</v>
      </c>
      <c r="X1558" t="str">
        <f t="shared" si="513"/>
        <v>Green</v>
      </c>
      <c r="Y1558" t="str">
        <f t="shared" si="514"/>
        <v>Red</v>
      </c>
      <c r="Z1558" t="str">
        <f t="shared" si="515"/>
        <v>Red</v>
      </c>
      <c r="AA1558" t="str">
        <f t="shared" si="516"/>
        <v>Green</v>
      </c>
      <c r="AB1558" t="str">
        <f t="shared" si="517"/>
        <v>Green</v>
      </c>
      <c r="AC1558" t="str">
        <f t="shared" si="518"/>
        <v>Red</v>
      </c>
      <c r="AD1558" t="str">
        <f t="shared" si="519"/>
        <v>Green</v>
      </c>
    </row>
    <row r="1559" spans="1:30" x14ac:dyDescent="0.2">
      <c r="A1559" t="str">
        <f t="shared" si="500"/>
        <v>25/07/2026Estrella del SurDeportivo Paraguayo</v>
      </c>
      <c r="B1559" t="s">
        <v>806</v>
      </c>
      <c r="C1559" t="s">
        <v>808</v>
      </c>
      <c r="D1559" s="2">
        <v>46228</v>
      </c>
      <c r="E1559" s="3">
        <v>0.75</v>
      </c>
      <c r="F1559" t="s">
        <v>313</v>
      </c>
      <c r="G1559" t="s">
        <v>315</v>
      </c>
      <c r="H1559">
        <v>0</v>
      </c>
      <c r="I1559">
        <v>0</v>
      </c>
      <c r="J1559">
        <v>1</v>
      </c>
      <c r="K1559">
        <v>0</v>
      </c>
      <c r="L1559" s="22" t="str">
        <f t="shared" si="501"/>
        <v>25/07/2026</v>
      </c>
      <c r="M1559" s="23">
        <f t="shared" si="502"/>
        <v>0.625</v>
      </c>
      <c r="N1559" t="str">
        <f t="shared" si="503"/>
        <v>1 - 0</v>
      </c>
      <c r="O1559" t="str">
        <f t="shared" si="504"/>
        <v>Green</v>
      </c>
      <c r="P1559" t="str">
        <f t="shared" si="505"/>
        <v>Red</v>
      </c>
      <c r="Q1559" t="str">
        <f t="shared" si="506"/>
        <v>Red</v>
      </c>
      <c r="R1559" t="str">
        <f t="shared" si="507"/>
        <v>Green</v>
      </c>
      <c r="S1559" t="str">
        <f t="shared" si="508"/>
        <v>Red</v>
      </c>
      <c r="T1559" t="str">
        <f t="shared" si="509"/>
        <v>Green</v>
      </c>
      <c r="U1559" t="str">
        <f t="shared" si="510"/>
        <v>Red</v>
      </c>
      <c r="V1559" t="str">
        <f t="shared" si="511"/>
        <v>Green</v>
      </c>
      <c r="W1559" t="str">
        <f t="shared" si="512"/>
        <v>Red</v>
      </c>
      <c r="X1559" t="str">
        <f t="shared" si="513"/>
        <v>Red</v>
      </c>
      <c r="Y1559" t="str">
        <f t="shared" si="514"/>
        <v>Red</v>
      </c>
      <c r="Z1559" t="str">
        <f t="shared" si="515"/>
        <v>Red</v>
      </c>
      <c r="AA1559" t="str">
        <f t="shared" si="516"/>
        <v>Green</v>
      </c>
      <c r="AB1559" t="str">
        <f t="shared" si="517"/>
        <v>Green</v>
      </c>
      <c r="AC1559" t="str">
        <f t="shared" si="518"/>
        <v>Red</v>
      </c>
      <c r="AD1559" t="str">
        <f t="shared" si="519"/>
        <v>Green</v>
      </c>
    </row>
    <row r="1560" spans="1:30" x14ac:dyDescent="0.2">
      <c r="A1560" t="str">
        <f t="shared" si="500"/>
        <v>25/07/2026Leones de RosarioCentral Cordoba de Rosario</v>
      </c>
      <c r="B1560" t="s">
        <v>806</v>
      </c>
      <c r="C1560" t="s">
        <v>808</v>
      </c>
      <c r="D1560" s="2">
        <v>46228</v>
      </c>
      <c r="E1560" s="3">
        <v>0.75</v>
      </c>
      <c r="F1560" t="s">
        <v>316</v>
      </c>
      <c r="G1560" t="s">
        <v>320</v>
      </c>
      <c r="H1560">
        <v>0</v>
      </c>
      <c r="I1560">
        <v>1</v>
      </c>
      <c r="J1560">
        <v>0</v>
      </c>
      <c r="K1560">
        <v>2</v>
      </c>
      <c r="L1560" s="22" t="str">
        <f t="shared" si="501"/>
        <v>25/07/2026</v>
      </c>
      <c r="M1560" s="23">
        <f t="shared" si="502"/>
        <v>0.625</v>
      </c>
      <c r="N1560" t="str">
        <f t="shared" si="503"/>
        <v>0 - 2</v>
      </c>
      <c r="O1560" t="str">
        <f t="shared" si="504"/>
        <v>Red</v>
      </c>
      <c r="P1560" t="str">
        <f t="shared" si="505"/>
        <v>Red</v>
      </c>
      <c r="Q1560" t="str">
        <f t="shared" si="506"/>
        <v>Green</v>
      </c>
      <c r="R1560" t="str">
        <f t="shared" si="507"/>
        <v>Red</v>
      </c>
      <c r="S1560" t="str">
        <f t="shared" si="508"/>
        <v>Green</v>
      </c>
      <c r="T1560" t="str">
        <f t="shared" si="509"/>
        <v>Green</v>
      </c>
      <c r="U1560" t="str">
        <f t="shared" si="510"/>
        <v>Red</v>
      </c>
      <c r="V1560" t="str">
        <f t="shared" si="511"/>
        <v>Red</v>
      </c>
      <c r="W1560" t="str">
        <f t="shared" si="512"/>
        <v>Green</v>
      </c>
      <c r="X1560" t="str">
        <f t="shared" si="513"/>
        <v>Green</v>
      </c>
      <c r="Y1560" t="str">
        <f t="shared" si="514"/>
        <v>Green</v>
      </c>
      <c r="Z1560" t="str">
        <f t="shared" si="515"/>
        <v>Red</v>
      </c>
      <c r="AA1560" t="str">
        <f t="shared" si="516"/>
        <v>Green</v>
      </c>
      <c r="AB1560" t="str">
        <f t="shared" si="517"/>
        <v>Green</v>
      </c>
      <c r="AC1560" t="str">
        <f t="shared" si="518"/>
        <v>Red</v>
      </c>
      <c r="AD1560" t="str">
        <f t="shared" si="519"/>
        <v>Green</v>
      </c>
    </row>
    <row r="1561" spans="1:30" x14ac:dyDescent="0.2">
      <c r="A1561" t="str">
        <f t="shared" si="500"/>
        <v>25/07/2026Defensores de Belgrano VRGimnasia Chivilcoy</v>
      </c>
      <c r="B1561" t="s">
        <v>806</v>
      </c>
      <c r="C1561" t="s">
        <v>2238</v>
      </c>
      <c r="D1561" s="2">
        <v>46228</v>
      </c>
      <c r="E1561" s="3">
        <v>0.75</v>
      </c>
      <c r="F1561" t="s">
        <v>2784</v>
      </c>
      <c r="G1561" t="s">
        <v>2785</v>
      </c>
      <c r="H1561">
        <v>0</v>
      </c>
      <c r="I1561">
        <v>0</v>
      </c>
      <c r="J1561">
        <v>2</v>
      </c>
      <c r="K1561">
        <v>2</v>
      </c>
      <c r="L1561" s="22" t="str">
        <f t="shared" si="501"/>
        <v>25/07/2026</v>
      </c>
      <c r="M1561" s="23">
        <f t="shared" si="502"/>
        <v>0.625</v>
      </c>
      <c r="N1561" t="str">
        <f t="shared" si="503"/>
        <v>2 - 2</v>
      </c>
      <c r="O1561" t="str">
        <f t="shared" si="504"/>
        <v>Red</v>
      </c>
      <c r="P1561" t="str">
        <f t="shared" si="505"/>
        <v>Green</v>
      </c>
      <c r="Q1561" t="str">
        <f t="shared" si="506"/>
        <v>Red</v>
      </c>
      <c r="R1561" t="str">
        <f t="shared" si="507"/>
        <v>Green</v>
      </c>
      <c r="S1561" t="str">
        <f t="shared" si="508"/>
        <v>Green</v>
      </c>
      <c r="T1561" t="str">
        <f t="shared" si="509"/>
        <v>Red</v>
      </c>
      <c r="U1561" t="str">
        <f t="shared" si="510"/>
        <v>Red</v>
      </c>
      <c r="V1561" t="str">
        <f t="shared" si="511"/>
        <v>Green</v>
      </c>
      <c r="W1561" t="str">
        <f t="shared" si="512"/>
        <v>Red</v>
      </c>
      <c r="X1561" t="str">
        <f t="shared" si="513"/>
        <v>Red</v>
      </c>
      <c r="Y1561" t="str">
        <f t="shared" si="514"/>
        <v>Green</v>
      </c>
      <c r="Z1561" t="str">
        <f t="shared" si="515"/>
        <v>Green</v>
      </c>
      <c r="AA1561" t="str">
        <f t="shared" si="516"/>
        <v>Red</v>
      </c>
      <c r="AB1561" t="str">
        <f t="shared" si="517"/>
        <v>Red</v>
      </c>
      <c r="AC1561" t="str">
        <f t="shared" si="518"/>
        <v>Green</v>
      </c>
      <c r="AD1561" t="str">
        <f t="shared" si="519"/>
        <v>Red</v>
      </c>
    </row>
    <row r="1562" spans="1:30" x14ac:dyDescent="0.2">
      <c r="A1562" t="str">
        <f t="shared" si="500"/>
        <v>25/07/2026Atletico GoianienseOperario PR</v>
      </c>
      <c r="B1562" t="s">
        <v>804</v>
      </c>
      <c r="D1562" s="2">
        <v>46228</v>
      </c>
      <c r="E1562" s="3">
        <v>0.75</v>
      </c>
      <c r="F1562" t="s">
        <v>1984</v>
      </c>
      <c r="G1562" t="s">
        <v>914</v>
      </c>
      <c r="L1562" s="22" t="str">
        <f t="shared" si="501"/>
        <v>25/07/2026</v>
      </c>
      <c r="M1562" s="23">
        <f t="shared" si="502"/>
        <v>0.625</v>
      </c>
      <c r="N1562" t="str">
        <f t="shared" si="503"/>
        <v xml:space="preserve"> - </v>
      </c>
      <c r="O1562" t="str">
        <f t="shared" si="504"/>
        <v>Red</v>
      </c>
      <c r="P1562" t="str">
        <f t="shared" si="505"/>
        <v>Green</v>
      </c>
      <c r="Q1562" t="str">
        <f t="shared" si="506"/>
        <v>Red</v>
      </c>
      <c r="R1562" t="str">
        <f t="shared" si="507"/>
        <v>Green</v>
      </c>
      <c r="S1562" t="str">
        <f t="shared" si="508"/>
        <v>Green</v>
      </c>
      <c r="T1562" t="str">
        <f t="shared" si="509"/>
        <v>Red</v>
      </c>
      <c r="U1562" t="str">
        <f t="shared" si="510"/>
        <v>Red</v>
      </c>
      <c r="V1562" t="str">
        <f t="shared" si="511"/>
        <v>Green</v>
      </c>
      <c r="W1562" t="str">
        <f t="shared" si="512"/>
        <v>Red</v>
      </c>
      <c r="X1562" t="str">
        <f t="shared" si="513"/>
        <v>Red</v>
      </c>
      <c r="Y1562" t="str">
        <f t="shared" si="514"/>
        <v>Red</v>
      </c>
      <c r="Z1562" t="str">
        <f t="shared" si="515"/>
        <v>Red</v>
      </c>
      <c r="AA1562" t="str">
        <f t="shared" si="516"/>
        <v>Green</v>
      </c>
      <c r="AB1562" t="str">
        <f t="shared" si="517"/>
        <v>Green</v>
      </c>
      <c r="AC1562" t="str">
        <f t="shared" si="518"/>
        <v>Red</v>
      </c>
      <c r="AD1562" t="str">
        <f t="shared" si="519"/>
        <v>Green</v>
      </c>
    </row>
    <row r="1563" spans="1:30" x14ac:dyDescent="0.2">
      <c r="A1563" t="str">
        <f t="shared" si="500"/>
        <v>25/07/2026Atletico Tubarao SCGuarani SC</v>
      </c>
      <c r="B1563" t="s">
        <v>804</v>
      </c>
      <c r="D1563" s="2">
        <v>46228</v>
      </c>
      <c r="E1563" s="3">
        <v>0.75</v>
      </c>
      <c r="F1563" t="s">
        <v>921</v>
      </c>
      <c r="G1563" t="s">
        <v>924</v>
      </c>
      <c r="H1563">
        <v>0</v>
      </c>
      <c r="I1563">
        <v>0</v>
      </c>
      <c r="J1563">
        <v>0</v>
      </c>
      <c r="K1563">
        <v>2</v>
      </c>
      <c r="L1563" s="22" t="str">
        <f t="shared" si="501"/>
        <v>25/07/2026</v>
      </c>
      <c r="M1563" s="23">
        <f t="shared" si="502"/>
        <v>0.625</v>
      </c>
      <c r="N1563" t="str">
        <f t="shared" si="503"/>
        <v>0 - 2</v>
      </c>
      <c r="O1563" t="str">
        <f t="shared" si="504"/>
        <v>Red</v>
      </c>
      <c r="P1563" t="str">
        <f t="shared" si="505"/>
        <v>Red</v>
      </c>
      <c r="Q1563" t="str">
        <f t="shared" si="506"/>
        <v>Green</v>
      </c>
      <c r="R1563" t="str">
        <f t="shared" si="507"/>
        <v>Red</v>
      </c>
      <c r="S1563" t="str">
        <f t="shared" si="508"/>
        <v>Green</v>
      </c>
      <c r="T1563" t="str">
        <f t="shared" si="509"/>
        <v>Green</v>
      </c>
      <c r="U1563" t="str">
        <f t="shared" si="510"/>
        <v>Red</v>
      </c>
      <c r="V1563" t="str">
        <f t="shared" si="511"/>
        <v>Green</v>
      </c>
      <c r="W1563" t="str">
        <f t="shared" si="512"/>
        <v>Red</v>
      </c>
      <c r="X1563" t="str">
        <f t="shared" si="513"/>
        <v>Red</v>
      </c>
      <c r="Y1563" t="str">
        <f t="shared" si="514"/>
        <v>Green</v>
      </c>
      <c r="Z1563" t="str">
        <f t="shared" si="515"/>
        <v>Red</v>
      </c>
      <c r="AA1563" t="str">
        <f t="shared" si="516"/>
        <v>Green</v>
      </c>
      <c r="AB1563" t="str">
        <f t="shared" si="517"/>
        <v>Green</v>
      </c>
      <c r="AC1563" t="str">
        <f t="shared" si="518"/>
        <v>Red</v>
      </c>
      <c r="AD1563" t="str">
        <f t="shared" si="519"/>
        <v>Green</v>
      </c>
    </row>
    <row r="1564" spans="1:30" x14ac:dyDescent="0.2">
      <c r="A1564" t="str">
        <f t="shared" si="500"/>
        <v>25/07/2026CA MetropolitanoFluminense SC</v>
      </c>
      <c r="B1564" t="s">
        <v>804</v>
      </c>
      <c r="D1564" s="2">
        <v>46228</v>
      </c>
      <c r="E1564" s="3">
        <v>0.75</v>
      </c>
      <c r="F1564" t="s">
        <v>923</v>
      </c>
      <c r="G1564" t="s">
        <v>920</v>
      </c>
      <c r="H1564">
        <v>0</v>
      </c>
      <c r="I1564">
        <v>0</v>
      </c>
      <c r="J1564">
        <v>3</v>
      </c>
      <c r="K1564">
        <v>0</v>
      </c>
      <c r="L1564" s="22" t="str">
        <f t="shared" si="501"/>
        <v>25/07/2026</v>
      </c>
      <c r="M1564" s="23">
        <f t="shared" si="502"/>
        <v>0.625</v>
      </c>
      <c r="N1564" t="str">
        <f t="shared" si="503"/>
        <v>3 - 0</v>
      </c>
      <c r="O1564" t="str">
        <f t="shared" si="504"/>
        <v>Green</v>
      </c>
      <c r="P1564" t="str">
        <f t="shared" si="505"/>
        <v>Red</v>
      </c>
      <c r="Q1564" t="str">
        <f t="shared" si="506"/>
        <v>Red</v>
      </c>
      <c r="R1564" t="str">
        <f t="shared" si="507"/>
        <v>Green</v>
      </c>
      <c r="S1564" t="str">
        <f t="shared" si="508"/>
        <v>Red</v>
      </c>
      <c r="T1564" t="str">
        <f t="shared" si="509"/>
        <v>Green</v>
      </c>
      <c r="U1564" t="str">
        <f t="shared" si="510"/>
        <v>Red</v>
      </c>
      <c r="V1564" t="str">
        <f t="shared" si="511"/>
        <v>Green</v>
      </c>
      <c r="W1564" t="str">
        <f t="shared" si="512"/>
        <v>Red</v>
      </c>
      <c r="X1564" t="str">
        <f t="shared" si="513"/>
        <v>Red</v>
      </c>
      <c r="Y1564" t="str">
        <f t="shared" si="514"/>
        <v>Green</v>
      </c>
      <c r="Z1564" t="str">
        <f t="shared" si="515"/>
        <v>Green</v>
      </c>
      <c r="AA1564" t="str">
        <f t="shared" si="516"/>
        <v>Red</v>
      </c>
      <c r="AB1564" t="str">
        <f t="shared" si="517"/>
        <v>Green</v>
      </c>
      <c r="AC1564" t="str">
        <f t="shared" si="518"/>
        <v>Red</v>
      </c>
      <c r="AD1564" t="str">
        <f t="shared" si="519"/>
        <v>Green</v>
      </c>
    </row>
    <row r="1565" spans="1:30" x14ac:dyDescent="0.2">
      <c r="A1565" t="str">
        <f t="shared" si="500"/>
        <v xml:space="preserve">25/07/2026CF CaravaggioGE Juventus </v>
      </c>
      <c r="B1565" t="s">
        <v>804</v>
      </c>
      <c r="D1565" s="2">
        <v>46228</v>
      </c>
      <c r="E1565" s="3">
        <v>0.75</v>
      </c>
      <c r="F1565" t="s">
        <v>927</v>
      </c>
      <c r="G1565" t="s">
        <v>922</v>
      </c>
      <c r="H1565">
        <v>0</v>
      </c>
      <c r="I1565">
        <v>0</v>
      </c>
      <c r="J1565">
        <v>3</v>
      </c>
      <c r="K1565">
        <v>1</v>
      </c>
      <c r="L1565" s="22" t="str">
        <f t="shared" si="501"/>
        <v>25/07/2026</v>
      </c>
      <c r="M1565" s="23">
        <f t="shared" si="502"/>
        <v>0.625</v>
      </c>
      <c r="N1565" t="str">
        <f t="shared" si="503"/>
        <v>3 - 1</v>
      </c>
      <c r="O1565" t="str">
        <f t="shared" si="504"/>
        <v>Green</v>
      </c>
      <c r="P1565" t="str">
        <f t="shared" si="505"/>
        <v>Red</v>
      </c>
      <c r="Q1565" t="str">
        <f t="shared" si="506"/>
        <v>Red</v>
      </c>
      <c r="R1565" t="str">
        <f t="shared" si="507"/>
        <v>Green</v>
      </c>
      <c r="S1565" t="str">
        <f t="shared" si="508"/>
        <v>Red</v>
      </c>
      <c r="T1565" t="str">
        <f t="shared" si="509"/>
        <v>Green</v>
      </c>
      <c r="U1565" t="str">
        <f t="shared" si="510"/>
        <v>Red</v>
      </c>
      <c r="V1565" t="str">
        <f t="shared" si="511"/>
        <v>Green</v>
      </c>
      <c r="W1565" t="str">
        <f t="shared" si="512"/>
        <v>Red</v>
      </c>
      <c r="X1565" t="str">
        <f t="shared" si="513"/>
        <v>Red</v>
      </c>
      <c r="Y1565" t="str">
        <f t="shared" si="514"/>
        <v>Green</v>
      </c>
      <c r="Z1565" t="str">
        <f t="shared" si="515"/>
        <v>Green</v>
      </c>
      <c r="AA1565" t="str">
        <f t="shared" si="516"/>
        <v>Red</v>
      </c>
      <c r="AB1565" t="str">
        <f t="shared" si="517"/>
        <v>Red</v>
      </c>
      <c r="AC1565" t="str">
        <f t="shared" si="518"/>
        <v>Green</v>
      </c>
      <c r="AD1565" t="str">
        <f t="shared" si="519"/>
        <v>Red</v>
      </c>
    </row>
    <row r="1566" spans="1:30" x14ac:dyDescent="0.2">
      <c r="A1566" t="str">
        <f t="shared" si="500"/>
        <v xml:space="preserve">25/07/2026Jaragua SCBlumenau </v>
      </c>
      <c r="B1566" t="s">
        <v>804</v>
      </c>
      <c r="D1566" s="2">
        <v>46228</v>
      </c>
      <c r="E1566" s="3">
        <v>0.75</v>
      </c>
      <c r="F1566" t="s">
        <v>925</v>
      </c>
      <c r="G1566" t="s">
        <v>918</v>
      </c>
      <c r="H1566">
        <v>0</v>
      </c>
      <c r="I1566">
        <v>0</v>
      </c>
      <c r="J1566">
        <v>0</v>
      </c>
      <c r="K1566">
        <v>3</v>
      </c>
      <c r="L1566" s="22" t="str">
        <f t="shared" si="501"/>
        <v>25/07/2026</v>
      </c>
      <c r="M1566" s="23">
        <f t="shared" si="502"/>
        <v>0.625</v>
      </c>
      <c r="N1566" t="str">
        <f t="shared" si="503"/>
        <v>0 - 3</v>
      </c>
      <c r="O1566" t="str">
        <f t="shared" si="504"/>
        <v>Red</v>
      </c>
      <c r="P1566" t="str">
        <f t="shared" si="505"/>
        <v>Red</v>
      </c>
      <c r="Q1566" t="str">
        <f t="shared" si="506"/>
        <v>Green</v>
      </c>
      <c r="R1566" t="str">
        <f t="shared" si="507"/>
        <v>Red</v>
      </c>
      <c r="S1566" t="str">
        <f t="shared" si="508"/>
        <v>Green</v>
      </c>
      <c r="T1566" t="str">
        <f t="shared" si="509"/>
        <v>Green</v>
      </c>
      <c r="U1566" t="str">
        <f t="shared" si="510"/>
        <v>Red</v>
      </c>
      <c r="V1566" t="str">
        <f t="shared" si="511"/>
        <v>Green</v>
      </c>
      <c r="W1566" t="str">
        <f t="shared" si="512"/>
        <v>Red</v>
      </c>
      <c r="X1566" t="str">
        <f t="shared" si="513"/>
        <v>Red</v>
      </c>
      <c r="Y1566" t="str">
        <f t="shared" si="514"/>
        <v>Green</v>
      </c>
      <c r="Z1566" t="str">
        <f t="shared" si="515"/>
        <v>Green</v>
      </c>
      <c r="AA1566" t="str">
        <f t="shared" si="516"/>
        <v>Red</v>
      </c>
      <c r="AB1566" t="str">
        <f t="shared" si="517"/>
        <v>Green</v>
      </c>
      <c r="AC1566" t="str">
        <f t="shared" si="518"/>
        <v>Red</v>
      </c>
      <c r="AD1566" t="str">
        <f t="shared" si="519"/>
        <v>Green</v>
      </c>
    </row>
    <row r="1567" spans="1:30" x14ac:dyDescent="0.2">
      <c r="A1567" t="str">
        <f t="shared" si="500"/>
        <v>25/07/2026Nacao EsportesHercilio Luz</v>
      </c>
      <c r="B1567" t="s">
        <v>804</v>
      </c>
      <c r="D1567" s="2">
        <v>46228</v>
      </c>
      <c r="E1567" s="3">
        <v>0.75</v>
      </c>
      <c r="F1567" t="s">
        <v>919</v>
      </c>
      <c r="G1567" t="s">
        <v>926</v>
      </c>
      <c r="H1567">
        <v>0</v>
      </c>
      <c r="I1567">
        <v>0</v>
      </c>
      <c r="J1567">
        <v>1</v>
      </c>
      <c r="K1567">
        <v>2</v>
      </c>
      <c r="L1567" s="22" t="str">
        <f t="shared" si="501"/>
        <v>25/07/2026</v>
      </c>
      <c r="M1567" s="23">
        <f t="shared" si="502"/>
        <v>0.625</v>
      </c>
      <c r="N1567" t="str">
        <f t="shared" si="503"/>
        <v>1 - 2</v>
      </c>
      <c r="O1567" t="str">
        <f t="shared" si="504"/>
        <v>Red</v>
      </c>
      <c r="P1567" t="str">
        <f t="shared" si="505"/>
        <v>Red</v>
      </c>
      <c r="Q1567" t="str">
        <f t="shared" si="506"/>
        <v>Green</v>
      </c>
      <c r="R1567" t="str">
        <f t="shared" si="507"/>
        <v>Red</v>
      </c>
      <c r="S1567" t="str">
        <f t="shared" si="508"/>
        <v>Green</v>
      </c>
      <c r="T1567" t="str">
        <f t="shared" si="509"/>
        <v>Green</v>
      </c>
      <c r="U1567" t="str">
        <f t="shared" si="510"/>
        <v>Red</v>
      </c>
      <c r="V1567" t="str">
        <f t="shared" si="511"/>
        <v>Green</v>
      </c>
      <c r="W1567" t="str">
        <f t="shared" si="512"/>
        <v>Red</v>
      </c>
      <c r="X1567" t="str">
        <f t="shared" si="513"/>
        <v>Red</v>
      </c>
      <c r="Y1567" t="str">
        <f t="shared" si="514"/>
        <v>Green</v>
      </c>
      <c r="Z1567" t="str">
        <f t="shared" si="515"/>
        <v>Green</v>
      </c>
      <c r="AA1567" t="str">
        <f t="shared" si="516"/>
        <v>Red</v>
      </c>
      <c r="AB1567" t="str">
        <f t="shared" si="517"/>
        <v>Green</v>
      </c>
      <c r="AC1567" t="str">
        <f t="shared" si="518"/>
        <v>Green</v>
      </c>
      <c r="AD1567" t="str">
        <f t="shared" si="519"/>
        <v>Red</v>
      </c>
    </row>
    <row r="1568" spans="1:30" x14ac:dyDescent="0.2">
      <c r="A1568" t="str">
        <f t="shared" si="500"/>
        <v>25/07/2026Gremio LaranjeirasLinhares</v>
      </c>
      <c r="B1568" t="s">
        <v>804</v>
      </c>
      <c r="D1568" s="2">
        <v>46228</v>
      </c>
      <c r="E1568" s="3">
        <v>0.75</v>
      </c>
      <c r="F1568" t="s">
        <v>1986</v>
      </c>
      <c r="G1568" t="s">
        <v>3065</v>
      </c>
      <c r="L1568" s="22" t="str">
        <f t="shared" si="501"/>
        <v>25/07/2026</v>
      </c>
      <c r="M1568" s="23">
        <f t="shared" si="502"/>
        <v>0.625</v>
      </c>
      <c r="N1568" t="str">
        <f t="shared" si="503"/>
        <v xml:space="preserve"> - </v>
      </c>
      <c r="O1568" t="str">
        <f t="shared" si="504"/>
        <v>Red</v>
      </c>
      <c r="P1568" t="str">
        <f t="shared" si="505"/>
        <v>Green</v>
      </c>
      <c r="Q1568" t="str">
        <f t="shared" si="506"/>
        <v>Red</v>
      </c>
      <c r="R1568" t="str">
        <f t="shared" si="507"/>
        <v>Green</v>
      </c>
      <c r="S1568" t="str">
        <f t="shared" si="508"/>
        <v>Green</v>
      </c>
      <c r="T1568" t="str">
        <f t="shared" si="509"/>
        <v>Red</v>
      </c>
      <c r="U1568" t="str">
        <f t="shared" si="510"/>
        <v>Red</v>
      </c>
      <c r="V1568" t="str">
        <f t="shared" si="511"/>
        <v>Green</v>
      </c>
      <c r="W1568" t="str">
        <f t="shared" si="512"/>
        <v>Red</v>
      </c>
      <c r="X1568" t="str">
        <f t="shared" si="513"/>
        <v>Red</v>
      </c>
      <c r="Y1568" t="str">
        <f t="shared" si="514"/>
        <v>Red</v>
      </c>
      <c r="Z1568" t="str">
        <f t="shared" si="515"/>
        <v>Red</v>
      </c>
      <c r="AA1568" t="str">
        <f t="shared" si="516"/>
        <v>Green</v>
      </c>
      <c r="AB1568" t="str">
        <f t="shared" si="517"/>
        <v>Green</v>
      </c>
      <c r="AC1568" t="str">
        <f t="shared" si="518"/>
        <v>Red</v>
      </c>
      <c r="AD1568" t="str">
        <f t="shared" si="519"/>
        <v>Green</v>
      </c>
    </row>
    <row r="1569" spans="1:30" x14ac:dyDescent="0.2">
      <c r="A1569" t="str">
        <f t="shared" si="500"/>
        <v>25/07/2026EC NoroesteUniao Sao Joao</v>
      </c>
      <c r="B1569" t="s">
        <v>804</v>
      </c>
      <c r="D1569" s="2">
        <v>46228</v>
      </c>
      <c r="E1569" s="3">
        <v>0.75</v>
      </c>
      <c r="F1569" t="s">
        <v>1837</v>
      </c>
      <c r="G1569" t="s">
        <v>1862</v>
      </c>
      <c r="H1569">
        <v>1</v>
      </c>
      <c r="I1569">
        <v>0</v>
      </c>
      <c r="J1569">
        <v>2</v>
      </c>
      <c r="K1569">
        <v>2</v>
      </c>
      <c r="L1569" s="22" t="str">
        <f t="shared" si="501"/>
        <v>25/07/2026</v>
      </c>
      <c r="M1569" s="23">
        <f t="shared" si="502"/>
        <v>0.625</v>
      </c>
      <c r="N1569" t="str">
        <f t="shared" si="503"/>
        <v>2 - 2</v>
      </c>
      <c r="O1569" t="str">
        <f t="shared" si="504"/>
        <v>Red</v>
      </c>
      <c r="P1569" t="str">
        <f t="shared" si="505"/>
        <v>Green</v>
      </c>
      <c r="Q1569" t="str">
        <f t="shared" si="506"/>
        <v>Red</v>
      </c>
      <c r="R1569" t="str">
        <f t="shared" si="507"/>
        <v>Green</v>
      </c>
      <c r="S1569" t="str">
        <f t="shared" si="508"/>
        <v>Green</v>
      </c>
      <c r="T1569" t="str">
        <f t="shared" si="509"/>
        <v>Red</v>
      </c>
      <c r="U1569" t="str">
        <f t="shared" si="510"/>
        <v>Green</v>
      </c>
      <c r="V1569" t="str">
        <f t="shared" si="511"/>
        <v>Red</v>
      </c>
      <c r="W1569" t="str">
        <f t="shared" si="512"/>
        <v>Red</v>
      </c>
      <c r="X1569" t="str">
        <f t="shared" si="513"/>
        <v>Green</v>
      </c>
      <c r="Y1569" t="str">
        <f t="shared" si="514"/>
        <v>Green</v>
      </c>
      <c r="Z1569" t="str">
        <f t="shared" si="515"/>
        <v>Green</v>
      </c>
      <c r="AA1569" t="str">
        <f t="shared" si="516"/>
        <v>Red</v>
      </c>
      <c r="AB1569" t="str">
        <f t="shared" si="517"/>
        <v>Red</v>
      </c>
      <c r="AC1569" t="str">
        <f t="shared" si="518"/>
        <v>Green</v>
      </c>
      <c r="AD1569" t="str">
        <f t="shared" si="519"/>
        <v>Red</v>
      </c>
    </row>
    <row r="1570" spans="1:30" x14ac:dyDescent="0.2">
      <c r="A1570" t="str">
        <f t="shared" si="500"/>
        <v>25/07/2026Minas Icesp DF WomenCeara Women</v>
      </c>
      <c r="B1570" t="s">
        <v>804</v>
      </c>
      <c r="D1570" s="2">
        <v>46228</v>
      </c>
      <c r="E1570" s="3">
        <v>0.75</v>
      </c>
      <c r="F1570" t="s">
        <v>3071</v>
      </c>
      <c r="G1570" t="s">
        <v>3072</v>
      </c>
      <c r="H1570">
        <v>1</v>
      </c>
      <c r="I1570">
        <v>0</v>
      </c>
      <c r="J1570">
        <v>4</v>
      </c>
      <c r="K1570">
        <v>0</v>
      </c>
      <c r="L1570" s="22" t="str">
        <f t="shared" si="501"/>
        <v>25/07/2026</v>
      </c>
      <c r="M1570" s="23">
        <f t="shared" si="502"/>
        <v>0.625</v>
      </c>
      <c r="N1570" t="str">
        <f t="shared" si="503"/>
        <v>4 - 0</v>
      </c>
      <c r="O1570" t="str">
        <f t="shared" si="504"/>
        <v>Green</v>
      </c>
      <c r="P1570" t="str">
        <f t="shared" si="505"/>
        <v>Red</v>
      </c>
      <c r="Q1570" t="str">
        <f t="shared" si="506"/>
        <v>Red</v>
      </c>
      <c r="R1570" t="str">
        <f t="shared" si="507"/>
        <v>Green</v>
      </c>
      <c r="S1570" t="str">
        <f t="shared" si="508"/>
        <v>Red</v>
      </c>
      <c r="T1570" t="str">
        <f t="shared" si="509"/>
        <v>Green</v>
      </c>
      <c r="U1570" t="str">
        <f t="shared" si="510"/>
        <v>Green</v>
      </c>
      <c r="V1570" t="str">
        <f t="shared" si="511"/>
        <v>Red</v>
      </c>
      <c r="W1570" t="str">
        <f t="shared" si="512"/>
        <v>Red</v>
      </c>
      <c r="X1570" t="str">
        <f t="shared" si="513"/>
        <v>Green</v>
      </c>
      <c r="Y1570" t="str">
        <f t="shared" si="514"/>
        <v>Green</v>
      </c>
      <c r="Z1570" t="str">
        <f t="shared" si="515"/>
        <v>Green</v>
      </c>
      <c r="AA1570" t="str">
        <f t="shared" si="516"/>
        <v>Red</v>
      </c>
      <c r="AB1570" t="str">
        <f t="shared" si="517"/>
        <v>Red</v>
      </c>
      <c r="AC1570" t="str">
        <f t="shared" si="518"/>
        <v>Red</v>
      </c>
      <c r="AD1570" t="str">
        <f t="shared" si="519"/>
        <v>Green</v>
      </c>
    </row>
    <row r="1571" spans="1:30" x14ac:dyDescent="0.2">
      <c r="A1571" t="str">
        <f t="shared" si="500"/>
        <v>25/07/2026Taubate SP WomenSport Recife Women</v>
      </c>
      <c r="B1571" t="s">
        <v>804</v>
      </c>
      <c r="D1571" s="2">
        <v>46228</v>
      </c>
      <c r="E1571" s="3">
        <v>0.75</v>
      </c>
      <c r="F1571" t="s">
        <v>3073</v>
      </c>
      <c r="G1571" t="s">
        <v>3074</v>
      </c>
      <c r="H1571">
        <v>0</v>
      </c>
      <c r="I1571">
        <v>0</v>
      </c>
      <c r="J1571">
        <v>0</v>
      </c>
      <c r="K1571">
        <v>0</v>
      </c>
      <c r="L1571" s="22" t="str">
        <f t="shared" si="501"/>
        <v>25/07/2026</v>
      </c>
      <c r="M1571" s="23">
        <f t="shared" si="502"/>
        <v>0.625</v>
      </c>
      <c r="N1571" t="str">
        <f t="shared" si="503"/>
        <v>0 - 0</v>
      </c>
      <c r="O1571" t="str">
        <f t="shared" si="504"/>
        <v>Red</v>
      </c>
      <c r="P1571" t="str">
        <f t="shared" si="505"/>
        <v>Green</v>
      </c>
      <c r="Q1571" t="str">
        <f t="shared" si="506"/>
        <v>Red</v>
      </c>
      <c r="R1571" t="str">
        <f t="shared" si="507"/>
        <v>Green</v>
      </c>
      <c r="S1571" t="str">
        <f t="shared" si="508"/>
        <v>Green</v>
      </c>
      <c r="T1571" t="str">
        <f t="shared" si="509"/>
        <v>Red</v>
      </c>
      <c r="U1571" t="str">
        <f t="shared" si="510"/>
        <v>Red</v>
      </c>
      <c r="V1571" t="str">
        <f t="shared" si="511"/>
        <v>Green</v>
      </c>
      <c r="W1571" t="str">
        <f t="shared" si="512"/>
        <v>Red</v>
      </c>
      <c r="X1571" t="str">
        <f t="shared" si="513"/>
        <v>Red</v>
      </c>
      <c r="Y1571" t="str">
        <f t="shared" si="514"/>
        <v>Red</v>
      </c>
      <c r="Z1571" t="str">
        <f t="shared" si="515"/>
        <v>Red</v>
      </c>
      <c r="AA1571" t="str">
        <f t="shared" si="516"/>
        <v>Green</v>
      </c>
      <c r="AB1571" t="str">
        <f t="shared" si="517"/>
        <v>Green</v>
      </c>
      <c r="AC1571" t="str">
        <f t="shared" si="518"/>
        <v>Red</v>
      </c>
      <c r="AD1571" t="str">
        <f t="shared" si="519"/>
        <v>Green</v>
      </c>
    </row>
    <row r="1572" spans="1:30" x14ac:dyDescent="0.2">
      <c r="A1572" t="str">
        <f t="shared" si="500"/>
        <v>25/07/2026UDA AL WomenAtlanta Doce Mel EC Women</v>
      </c>
      <c r="B1572" t="s">
        <v>804</v>
      </c>
      <c r="D1572" s="2">
        <v>46228</v>
      </c>
      <c r="E1572" s="3">
        <v>0.75</v>
      </c>
      <c r="F1572" t="s">
        <v>3075</v>
      </c>
      <c r="G1572" t="s">
        <v>3076</v>
      </c>
      <c r="H1572">
        <v>0</v>
      </c>
      <c r="I1572">
        <v>1</v>
      </c>
      <c r="J1572">
        <v>2</v>
      </c>
      <c r="K1572">
        <v>1</v>
      </c>
      <c r="L1572" s="22" t="str">
        <f t="shared" si="501"/>
        <v>25/07/2026</v>
      </c>
      <c r="M1572" s="23">
        <f t="shared" si="502"/>
        <v>0.625</v>
      </c>
      <c r="N1572" t="str">
        <f t="shared" si="503"/>
        <v>2 - 1</v>
      </c>
      <c r="O1572" t="str">
        <f t="shared" si="504"/>
        <v>Green</v>
      </c>
      <c r="P1572" t="str">
        <f t="shared" si="505"/>
        <v>Red</v>
      </c>
      <c r="Q1572" t="str">
        <f t="shared" si="506"/>
        <v>Red</v>
      </c>
      <c r="R1572" t="str">
        <f t="shared" si="507"/>
        <v>Green</v>
      </c>
      <c r="S1572" t="str">
        <f t="shared" si="508"/>
        <v>Red</v>
      </c>
      <c r="T1572" t="str">
        <f t="shared" si="509"/>
        <v>Green</v>
      </c>
      <c r="U1572" t="str">
        <f t="shared" si="510"/>
        <v>Red</v>
      </c>
      <c r="V1572" t="str">
        <f t="shared" si="511"/>
        <v>Red</v>
      </c>
      <c r="W1572" t="str">
        <f t="shared" si="512"/>
        <v>Green</v>
      </c>
      <c r="X1572" t="str">
        <f t="shared" si="513"/>
        <v>Green</v>
      </c>
      <c r="Y1572" t="str">
        <f t="shared" si="514"/>
        <v>Green</v>
      </c>
      <c r="Z1572" t="str">
        <f t="shared" si="515"/>
        <v>Green</v>
      </c>
      <c r="AA1572" t="str">
        <f t="shared" si="516"/>
        <v>Red</v>
      </c>
      <c r="AB1572" t="str">
        <f t="shared" si="517"/>
        <v>Green</v>
      </c>
      <c r="AC1572" t="str">
        <f t="shared" si="518"/>
        <v>Green</v>
      </c>
      <c r="AD1572" t="str">
        <f t="shared" si="519"/>
        <v>Red</v>
      </c>
    </row>
    <row r="1573" spans="1:30" x14ac:dyDescent="0.2">
      <c r="A1573" t="str">
        <f t="shared" si="500"/>
        <v>25/07/2026Vasco da Gama WomenVila Nova ES Women</v>
      </c>
      <c r="B1573" t="s">
        <v>804</v>
      </c>
      <c r="D1573" s="2">
        <v>46228</v>
      </c>
      <c r="E1573" s="3">
        <v>0.75</v>
      </c>
      <c r="F1573" t="s">
        <v>1341</v>
      </c>
      <c r="G1573" t="s">
        <v>3077</v>
      </c>
      <c r="H1573">
        <v>2</v>
      </c>
      <c r="I1573">
        <v>0</v>
      </c>
      <c r="J1573">
        <v>3</v>
      </c>
      <c r="K1573">
        <v>0</v>
      </c>
      <c r="L1573" s="22" t="str">
        <f t="shared" si="501"/>
        <v>25/07/2026</v>
      </c>
      <c r="M1573" s="23">
        <f t="shared" si="502"/>
        <v>0.625</v>
      </c>
      <c r="N1573" t="str">
        <f t="shared" si="503"/>
        <v>3 - 0</v>
      </c>
      <c r="O1573" t="str">
        <f t="shared" si="504"/>
        <v>Green</v>
      </c>
      <c r="P1573" t="str">
        <f t="shared" si="505"/>
        <v>Red</v>
      </c>
      <c r="Q1573" t="str">
        <f t="shared" si="506"/>
        <v>Red</v>
      </c>
      <c r="R1573" t="str">
        <f t="shared" si="507"/>
        <v>Green</v>
      </c>
      <c r="S1573" t="str">
        <f t="shared" si="508"/>
        <v>Red</v>
      </c>
      <c r="T1573" t="str">
        <f t="shared" si="509"/>
        <v>Green</v>
      </c>
      <c r="U1573" t="str">
        <f t="shared" si="510"/>
        <v>Green</v>
      </c>
      <c r="V1573" t="str">
        <f t="shared" si="511"/>
        <v>Red</v>
      </c>
      <c r="W1573" t="str">
        <f t="shared" si="512"/>
        <v>Red</v>
      </c>
      <c r="X1573" t="str">
        <f t="shared" si="513"/>
        <v>Green</v>
      </c>
      <c r="Y1573" t="str">
        <f t="shared" si="514"/>
        <v>Green</v>
      </c>
      <c r="Z1573" t="str">
        <f t="shared" si="515"/>
        <v>Green</v>
      </c>
      <c r="AA1573" t="str">
        <f t="shared" si="516"/>
        <v>Red</v>
      </c>
      <c r="AB1573" t="str">
        <f t="shared" si="517"/>
        <v>Green</v>
      </c>
      <c r="AC1573" t="str">
        <f t="shared" si="518"/>
        <v>Red</v>
      </c>
      <c r="AD1573" t="str">
        <f t="shared" si="519"/>
        <v>Green</v>
      </c>
    </row>
    <row r="1574" spans="1:30" x14ac:dyDescent="0.2">
      <c r="A1574" t="str">
        <f t="shared" si="500"/>
        <v>25/07/2026Canoense Al U20Jacyoba AC U20</v>
      </c>
      <c r="B1574" t="s">
        <v>804</v>
      </c>
      <c r="D1574" s="2">
        <v>46228</v>
      </c>
      <c r="E1574" s="3">
        <v>0.75</v>
      </c>
      <c r="F1574" t="s">
        <v>3082</v>
      </c>
      <c r="G1574" t="s">
        <v>3083</v>
      </c>
      <c r="L1574" s="22" t="str">
        <f t="shared" si="501"/>
        <v>25/07/2026</v>
      </c>
      <c r="M1574" s="23">
        <f t="shared" si="502"/>
        <v>0.625</v>
      </c>
      <c r="N1574" t="str">
        <f t="shared" si="503"/>
        <v xml:space="preserve"> - </v>
      </c>
      <c r="O1574" t="str">
        <f t="shared" si="504"/>
        <v>Red</v>
      </c>
      <c r="P1574" t="str">
        <f t="shared" si="505"/>
        <v>Green</v>
      </c>
      <c r="Q1574" t="str">
        <f t="shared" si="506"/>
        <v>Red</v>
      </c>
      <c r="R1574" t="str">
        <f t="shared" si="507"/>
        <v>Green</v>
      </c>
      <c r="S1574" t="str">
        <f t="shared" si="508"/>
        <v>Green</v>
      </c>
      <c r="T1574" t="str">
        <f t="shared" si="509"/>
        <v>Red</v>
      </c>
      <c r="U1574" t="str">
        <f t="shared" si="510"/>
        <v>Red</v>
      </c>
      <c r="V1574" t="str">
        <f t="shared" si="511"/>
        <v>Green</v>
      </c>
      <c r="W1574" t="str">
        <f t="shared" si="512"/>
        <v>Red</v>
      </c>
      <c r="X1574" t="str">
        <f t="shared" si="513"/>
        <v>Red</v>
      </c>
      <c r="Y1574" t="str">
        <f t="shared" si="514"/>
        <v>Red</v>
      </c>
      <c r="Z1574" t="str">
        <f t="shared" si="515"/>
        <v>Red</v>
      </c>
      <c r="AA1574" t="str">
        <f t="shared" si="516"/>
        <v>Green</v>
      </c>
      <c r="AB1574" t="str">
        <f t="shared" si="517"/>
        <v>Green</v>
      </c>
      <c r="AC1574" t="str">
        <f t="shared" si="518"/>
        <v>Red</v>
      </c>
      <c r="AD1574" t="str">
        <f t="shared" si="519"/>
        <v>Green</v>
      </c>
    </row>
    <row r="1575" spans="1:30" x14ac:dyDescent="0.2">
      <c r="A1575" t="str">
        <f t="shared" si="500"/>
        <v>25/07/2026Independente Atalaia U20Zumbi EC U20</v>
      </c>
      <c r="B1575" t="s">
        <v>804</v>
      </c>
      <c r="D1575" s="2">
        <v>46228</v>
      </c>
      <c r="E1575" s="3">
        <v>0.75</v>
      </c>
      <c r="F1575" t="s">
        <v>3084</v>
      </c>
      <c r="G1575" t="s">
        <v>1790</v>
      </c>
      <c r="L1575" s="22" t="str">
        <f t="shared" si="501"/>
        <v>25/07/2026</v>
      </c>
      <c r="M1575" s="23">
        <f t="shared" si="502"/>
        <v>0.625</v>
      </c>
      <c r="N1575" t="str">
        <f t="shared" si="503"/>
        <v xml:space="preserve"> - </v>
      </c>
      <c r="O1575" t="str">
        <f t="shared" si="504"/>
        <v>Red</v>
      </c>
      <c r="P1575" t="str">
        <f t="shared" si="505"/>
        <v>Green</v>
      </c>
      <c r="Q1575" t="str">
        <f t="shared" si="506"/>
        <v>Red</v>
      </c>
      <c r="R1575" t="str">
        <f t="shared" si="507"/>
        <v>Green</v>
      </c>
      <c r="S1575" t="str">
        <f t="shared" si="508"/>
        <v>Green</v>
      </c>
      <c r="T1575" t="str">
        <f t="shared" si="509"/>
        <v>Red</v>
      </c>
      <c r="U1575" t="str">
        <f t="shared" si="510"/>
        <v>Red</v>
      </c>
      <c r="V1575" t="str">
        <f t="shared" si="511"/>
        <v>Green</v>
      </c>
      <c r="W1575" t="str">
        <f t="shared" si="512"/>
        <v>Red</v>
      </c>
      <c r="X1575" t="str">
        <f t="shared" si="513"/>
        <v>Red</v>
      </c>
      <c r="Y1575" t="str">
        <f t="shared" si="514"/>
        <v>Red</v>
      </c>
      <c r="Z1575" t="str">
        <f t="shared" si="515"/>
        <v>Red</v>
      </c>
      <c r="AA1575" t="str">
        <f t="shared" si="516"/>
        <v>Green</v>
      </c>
      <c r="AB1575" t="str">
        <f t="shared" si="517"/>
        <v>Green</v>
      </c>
      <c r="AC1575" t="str">
        <f t="shared" si="518"/>
        <v>Red</v>
      </c>
      <c r="AD1575" t="str">
        <f t="shared" si="519"/>
        <v>Green</v>
      </c>
    </row>
    <row r="1576" spans="1:30" x14ac:dyDescent="0.2">
      <c r="A1576" t="str">
        <f t="shared" si="500"/>
        <v>25/07/2026Murici U20Guarani Paripueira U20</v>
      </c>
      <c r="B1576" t="s">
        <v>804</v>
      </c>
      <c r="D1576" s="2">
        <v>46228</v>
      </c>
      <c r="E1576" s="3">
        <v>0.75</v>
      </c>
      <c r="F1576" t="s">
        <v>3085</v>
      </c>
      <c r="G1576" t="s">
        <v>3086</v>
      </c>
      <c r="L1576" s="22" t="str">
        <f t="shared" si="501"/>
        <v>25/07/2026</v>
      </c>
      <c r="M1576" s="23">
        <f t="shared" si="502"/>
        <v>0.625</v>
      </c>
      <c r="N1576" t="str">
        <f t="shared" si="503"/>
        <v xml:space="preserve"> - </v>
      </c>
      <c r="O1576" t="str">
        <f t="shared" si="504"/>
        <v>Red</v>
      </c>
      <c r="P1576" t="str">
        <f t="shared" si="505"/>
        <v>Green</v>
      </c>
      <c r="Q1576" t="str">
        <f t="shared" si="506"/>
        <v>Red</v>
      </c>
      <c r="R1576" t="str">
        <f t="shared" si="507"/>
        <v>Green</v>
      </c>
      <c r="S1576" t="str">
        <f t="shared" si="508"/>
        <v>Green</v>
      </c>
      <c r="T1576" t="str">
        <f t="shared" si="509"/>
        <v>Red</v>
      </c>
      <c r="U1576" t="str">
        <f t="shared" si="510"/>
        <v>Red</v>
      </c>
      <c r="V1576" t="str">
        <f t="shared" si="511"/>
        <v>Green</v>
      </c>
      <c r="W1576" t="str">
        <f t="shared" si="512"/>
        <v>Red</v>
      </c>
      <c r="X1576" t="str">
        <f t="shared" si="513"/>
        <v>Red</v>
      </c>
      <c r="Y1576" t="str">
        <f t="shared" si="514"/>
        <v>Red</v>
      </c>
      <c r="Z1576" t="str">
        <f t="shared" si="515"/>
        <v>Red</v>
      </c>
      <c r="AA1576" t="str">
        <f t="shared" si="516"/>
        <v>Green</v>
      </c>
      <c r="AB1576" t="str">
        <f t="shared" si="517"/>
        <v>Green</v>
      </c>
      <c r="AC1576" t="str">
        <f t="shared" si="518"/>
        <v>Red</v>
      </c>
      <c r="AD1576" t="str">
        <f t="shared" si="519"/>
        <v>Green</v>
      </c>
    </row>
    <row r="1577" spans="1:30" x14ac:dyDescent="0.2">
      <c r="A1577" t="str">
        <f t="shared" si="500"/>
        <v>25/07/2026Ponte Preta AL U20ASA U20</v>
      </c>
      <c r="B1577" t="s">
        <v>804</v>
      </c>
      <c r="D1577" s="2">
        <v>46228</v>
      </c>
      <c r="E1577" s="3">
        <v>0.75</v>
      </c>
      <c r="F1577" t="s">
        <v>3087</v>
      </c>
      <c r="G1577" t="s">
        <v>3088</v>
      </c>
      <c r="H1577">
        <v>0</v>
      </c>
      <c r="I1577">
        <v>0</v>
      </c>
      <c r="J1577">
        <v>0</v>
      </c>
      <c r="K1577">
        <v>1</v>
      </c>
      <c r="L1577" s="22" t="str">
        <f t="shared" si="501"/>
        <v>25/07/2026</v>
      </c>
      <c r="M1577" s="23">
        <f t="shared" si="502"/>
        <v>0.625</v>
      </c>
      <c r="N1577" t="str">
        <f t="shared" si="503"/>
        <v>0 - 1</v>
      </c>
      <c r="O1577" t="str">
        <f t="shared" si="504"/>
        <v>Red</v>
      </c>
      <c r="P1577" t="str">
        <f t="shared" si="505"/>
        <v>Red</v>
      </c>
      <c r="Q1577" t="str">
        <f t="shared" si="506"/>
        <v>Green</v>
      </c>
      <c r="R1577" t="str">
        <f t="shared" si="507"/>
        <v>Red</v>
      </c>
      <c r="S1577" t="str">
        <f t="shared" si="508"/>
        <v>Green</v>
      </c>
      <c r="T1577" t="str">
        <f t="shared" si="509"/>
        <v>Green</v>
      </c>
      <c r="U1577" t="str">
        <f t="shared" si="510"/>
        <v>Red</v>
      </c>
      <c r="V1577" t="str">
        <f t="shared" si="511"/>
        <v>Green</v>
      </c>
      <c r="W1577" t="str">
        <f t="shared" si="512"/>
        <v>Red</v>
      </c>
      <c r="X1577" t="str">
        <f t="shared" si="513"/>
        <v>Red</v>
      </c>
      <c r="Y1577" t="str">
        <f t="shared" si="514"/>
        <v>Red</v>
      </c>
      <c r="Z1577" t="str">
        <f t="shared" si="515"/>
        <v>Red</v>
      </c>
      <c r="AA1577" t="str">
        <f t="shared" si="516"/>
        <v>Green</v>
      </c>
      <c r="AB1577" t="str">
        <f t="shared" si="517"/>
        <v>Green</v>
      </c>
      <c r="AC1577" t="str">
        <f t="shared" si="518"/>
        <v>Red</v>
      </c>
      <c r="AD1577" t="str">
        <f t="shared" si="519"/>
        <v>Green</v>
      </c>
    </row>
    <row r="1578" spans="1:30" x14ac:dyDescent="0.2">
      <c r="A1578" t="str">
        <f t="shared" si="500"/>
        <v>25/07/2026Rio Largo FC U20Desportiva Alianca U20</v>
      </c>
      <c r="B1578" t="s">
        <v>804</v>
      </c>
      <c r="D1578" s="2">
        <v>46228</v>
      </c>
      <c r="E1578" s="3">
        <v>0.75</v>
      </c>
      <c r="F1578" t="s">
        <v>3089</v>
      </c>
      <c r="G1578" t="s">
        <v>3090</v>
      </c>
      <c r="H1578">
        <v>0</v>
      </c>
      <c r="I1578">
        <v>0</v>
      </c>
      <c r="J1578">
        <v>0</v>
      </c>
      <c r="K1578">
        <v>1</v>
      </c>
      <c r="L1578" s="22" t="str">
        <f t="shared" si="501"/>
        <v>25/07/2026</v>
      </c>
      <c r="M1578" s="23">
        <f t="shared" si="502"/>
        <v>0.625</v>
      </c>
      <c r="N1578" t="str">
        <f t="shared" si="503"/>
        <v>0 - 1</v>
      </c>
      <c r="O1578" t="str">
        <f t="shared" si="504"/>
        <v>Red</v>
      </c>
      <c r="P1578" t="str">
        <f t="shared" si="505"/>
        <v>Red</v>
      </c>
      <c r="Q1578" t="str">
        <f t="shared" si="506"/>
        <v>Green</v>
      </c>
      <c r="R1578" t="str">
        <f t="shared" si="507"/>
        <v>Red</v>
      </c>
      <c r="S1578" t="str">
        <f t="shared" si="508"/>
        <v>Green</v>
      </c>
      <c r="T1578" t="str">
        <f t="shared" si="509"/>
        <v>Green</v>
      </c>
      <c r="U1578" t="str">
        <f t="shared" si="510"/>
        <v>Red</v>
      </c>
      <c r="V1578" t="str">
        <f t="shared" si="511"/>
        <v>Green</v>
      </c>
      <c r="W1578" t="str">
        <f t="shared" si="512"/>
        <v>Red</v>
      </c>
      <c r="X1578" t="str">
        <f t="shared" si="513"/>
        <v>Red</v>
      </c>
      <c r="Y1578" t="str">
        <f t="shared" si="514"/>
        <v>Red</v>
      </c>
      <c r="Z1578" t="str">
        <f t="shared" si="515"/>
        <v>Red</v>
      </c>
      <c r="AA1578" t="str">
        <f t="shared" si="516"/>
        <v>Green</v>
      </c>
      <c r="AB1578" t="str">
        <f t="shared" si="517"/>
        <v>Green</v>
      </c>
      <c r="AC1578" t="str">
        <f t="shared" si="518"/>
        <v>Red</v>
      </c>
      <c r="AD1578" t="str">
        <f t="shared" si="519"/>
        <v>Green</v>
      </c>
    </row>
    <row r="1579" spans="1:30" x14ac:dyDescent="0.2">
      <c r="A1579" t="str">
        <f t="shared" si="500"/>
        <v>25/07/2026Brusque FC U20Figueirense U20</v>
      </c>
      <c r="B1579" t="s">
        <v>804</v>
      </c>
      <c r="D1579" s="2">
        <v>46228</v>
      </c>
      <c r="E1579" s="3">
        <v>0.75</v>
      </c>
      <c r="F1579" t="s">
        <v>3092</v>
      </c>
      <c r="G1579" t="s">
        <v>1792</v>
      </c>
      <c r="H1579">
        <v>0</v>
      </c>
      <c r="I1579">
        <v>0</v>
      </c>
      <c r="J1579">
        <v>0</v>
      </c>
      <c r="K1579">
        <v>2</v>
      </c>
      <c r="L1579" s="22" t="str">
        <f t="shared" si="501"/>
        <v>25/07/2026</v>
      </c>
      <c r="M1579" s="23">
        <f t="shared" si="502"/>
        <v>0.625</v>
      </c>
      <c r="N1579" t="str">
        <f t="shared" si="503"/>
        <v>0 - 2</v>
      </c>
      <c r="O1579" t="str">
        <f t="shared" si="504"/>
        <v>Red</v>
      </c>
      <c r="P1579" t="str">
        <f t="shared" si="505"/>
        <v>Red</v>
      </c>
      <c r="Q1579" t="str">
        <f t="shared" si="506"/>
        <v>Green</v>
      </c>
      <c r="R1579" t="str">
        <f t="shared" si="507"/>
        <v>Red</v>
      </c>
      <c r="S1579" t="str">
        <f t="shared" si="508"/>
        <v>Green</v>
      </c>
      <c r="T1579" t="str">
        <f t="shared" si="509"/>
        <v>Green</v>
      </c>
      <c r="U1579" t="str">
        <f t="shared" si="510"/>
        <v>Red</v>
      </c>
      <c r="V1579" t="str">
        <f t="shared" si="511"/>
        <v>Green</v>
      </c>
      <c r="W1579" t="str">
        <f t="shared" si="512"/>
        <v>Red</v>
      </c>
      <c r="X1579" t="str">
        <f t="shared" si="513"/>
        <v>Red</v>
      </c>
      <c r="Y1579" t="str">
        <f t="shared" si="514"/>
        <v>Green</v>
      </c>
      <c r="Z1579" t="str">
        <f t="shared" si="515"/>
        <v>Red</v>
      </c>
      <c r="AA1579" t="str">
        <f t="shared" si="516"/>
        <v>Green</v>
      </c>
      <c r="AB1579" t="str">
        <f t="shared" si="517"/>
        <v>Green</v>
      </c>
      <c r="AC1579" t="str">
        <f t="shared" si="518"/>
        <v>Red</v>
      </c>
      <c r="AD1579" t="str">
        <f t="shared" si="519"/>
        <v>Green</v>
      </c>
    </row>
    <row r="1580" spans="1:30" x14ac:dyDescent="0.2">
      <c r="A1580" t="str">
        <f t="shared" si="500"/>
        <v>25/07/2026Anjos do Ceu U20Pague Menos U20</v>
      </c>
      <c r="B1580" t="s">
        <v>804</v>
      </c>
      <c r="D1580" s="2">
        <v>46228</v>
      </c>
      <c r="E1580" s="3">
        <v>0.75</v>
      </c>
      <c r="F1580" t="s">
        <v>3093</v>
      </c>
      <c r="G1580" t="s">
        <v>3094</v>
      </c>
      <c r="H1580">
        <v>0</v>
      </c>
      <c r="I1580">
        <v>0</v>
      </c>
      <c r="J1580">
        <v>0</v>
      </c>
      <c r="K1580">
        <v>3</v>
      </c>
      <c r="L1580" s="22" t="str">
        <f t="shared" si="501"/>
        <v>25/07/2026</v>
      </c>
      <c r="M1580" s="23">
        <f t="shared" si="502"/>
        <v>0.625</v>
      </c>
      <c r="N1580" t="str">
        <f t="shared" si="503"/>
        <v>0 - 3</v>
      </c>
      <c r="O1580" t="str">
        <f t="shared" si="504"/>
        <v>Red</v>
      </c>
      <c r="P1580" t="str">
        <f t="shared" si="505"/>
        <v>Red</v>
      </c>
      <c r="Q1580" t="str">
        <f t="shared" si="506"/>
        <v>Green</v>
      </c>
      <c r="R1580" t="str">
        <f t="shared" si="507"/>
        <v>Red</v>
      </c>
      <c r="S1580" t="str">
        <f t="shared" si="508"/>
        <v>Green</v>
      </c>
      <c r="T1580" t="str">
        <f t="shared" si="509"/>
        <v>Green</v>
      </c>
      <c r="U1580" t="str">
        <f t="shared" si="510"/>
        <v>Red</v>
      </c>
      <c r="V1580" t="str">
        <f t="shared" si="511"/>
        <v>Green</v>
      </c>
      <c r="W1580" t="str">
        <f t="shared" si="512"/>
        <v>Red</v>
      </c>
      <c r="X1580" t="str">
        <f t="shared" si="513"/>
        <v>Red</v>
      </c>
      <c r="Y1580" t="str">
        <f t="shared" si="514"/>
        <v>Green</v>
      </c>
      <c r="Z1580" t="str">
        <f t="shared" si="515"/>
        <v>Green</v>
      </c>
      <c r="AA1580" t="str">
        <f t="shared" si="516"/>
        <v>Red</v>
      </c>
      <c r="AB1580" t="str">
        <f t="shared" si="517"/>
        <v>Green</v>
      </c>
      <c r="AC1580" t="str">
        <f t="shared" si="518"/>
        <v>Red</v>
      </c>
      <c r="AD1580" t="str">
        <f t="shared" si="519"/>
        <v>Green</v>
      </c>
    </row>
    <row r="1581" spans="1:30" x14ac:dyDescent="0.2">
      <c r="A1581" t="str">
        <f t="shared" si="500"/>
        <v>25/07/2026Ferroviario CE U20Fortaleza EC U20</v>
      </c>
      <c r="B1581" t="s">
        <v>804</v>
      </c>
      <c r="D1581" s="2">
        <v>46228</v>
      </c>
      <c r="E1581" s="3">
        <v>0.75</v>
      </c>
      <c r="F1581" t="s">
        <v>3095</v>
      </c>
      <c r="G1581" t="s">
        <v>3096</v>
      </c>
      <c r="H1581">
        <v>0</v>
      </c>
      <c r="I1581">
        <v>0</v>
      </c>
      <c r="J1581">
        <v>0</v>
      </c>
      <c r="K1581">
        <v>1</v>
      </c>
      <c r="L1581" s="22" t="str">
        <f t="shared" si="501"/>
        <v>25/07/2026</v>
      </c>
      <c r="M1581" s="23">
        <f t="shared" si="502"/>
        <v>0.625</v>
      </c>
      <c r="N1581" t="str">
        <f t="shared" si="503"/>
        <v>0 - 1</v>
      </c>
      <c r="O1581" t="str">
        <f t="shared" si="504"/>
        <v>Red</v>
      </c>
      <c r="P1581" t="str">
        <f t="shared" si="505"/>
        <v>Red</v>
      </c>
      <c r="Q1581" t="str">
        <f t="shared" si="506"/>
        <v>Green</v>
      </c>
      <c r="R1581" t="str">
        <f t="shared" si="507"/>
        <v>Red</v>
      </c>
      <c r="S1581" t="str">
        <f t="shared" si="508"/>
        <v>Green</v>
      </c>
      <c r="T1581" t="str">
        <f t="shared" si="509"/>
        <v>Green</v>
      </c>
      <c r="U1581" t="str">
        <f t="shared" si="510"/>
        <v>Red</v>
      </c>
      <c r="V1581" t="str">
        <f t="shared" si="511"/>
        <v>Green</v>
      </c>
      <c r="W1581" t="str">
        <f t="shared" si="512"/>
        <v>Red</v>
      </c>
      <c r="X1581" t="str">
        <f t="shared" si="513"/>
        <v>Red</v>
      </c>
      <c r="Y1581" t="str">
        <f t="shared" si="514"/>
        <v>Red</v>
      </c>
      <c r="Z1581" t="str">
        <f t="shared" si="515"/>
        <v>Red</v>
      </c>
      <c r="AA1581" t="str">
        <f t="shared" si="516"/>
        <v>Green</v>
      </c>
      <c r="AB1581" t="str">
        <f t="shared" si="517"/>
        <v>Green</v>
      </c>
      <c r="AC1581" t="str">
        <f t="shared" si="518"/>
        <v>Red</v>
      </c>
      <c r="AD1581" t="str">
        <f t="shared" si="519"/>
        <v>Green</v>
      </c>
    </row>
    <row r="1582" spans="1:30" x14ac:dyDescent="0.2">
      <c r="A1582" t="str">
        <f t="shared" si="500"/>
        <v>25/07/2026Sertaozinho SP U20America SP U20</v>
      </c>
      <c r="B1582" t="s">
        <v>804</v>
      </c>
      <c r="D1582" s="2">
        <v>46228</v>
      </c>
      <c r="E1582" s="3">
        <v>0.75</v>
      </c>
      <c r="F1582" t="s">
        <v>3097</v>
      </c>
      <c r="G1582" t="s">
        <v>3098</v>
      </c>
      <c r="H1582">
        <v>1</v>
      </c>
      <c r="I1582">
        <v>0</v>
      </c>
      <c r="J1582">
        <v>2</v>
      </c>
      <c r="K1582">
        <v>0</v>
      </c>
      <c r="L1582" s="22" t="str">
        <f t="shared" si="501"/>
        <v>25/07/2026</v>
      </c>
      <c r="M1582" s="23">
        <f t="shared" si="502"/>
        <v>0.625</v>
      </c>
      <c r="N1582" t="str">
        <f t="shared" si="503"/>
        <v>2 - 0</v>
      </c>
      <c r="O1582" t="str">
        <f t="shared" si="504"/>
        <v>Green</v>
      </c>
      <c r="P1582" t="str">
        <f t="shared" si="505"/>
        <v>Red</v>
      </c>
      <c r="Q1582" t="str">
        <f t="shared" si="506"/>
        <v>Red</v>
      </c>
      <c r="R1582" t="str">
        <f t="shared" si="507"/>
        <v>Green</v>
      </c>
      <c r="S1582" t="str">
        <f t="shared" si="508"/>
        <v>Red</v>
      </c>
      <c r="T1582" t="str">
        <f t="shared" si="509"/>
        <v>Green</v>
      </c>
      <c r="U1582" t="str">
        <f t="shared" si="510"/>
        <v>Green</v>
      </c>
      <c r="V1582" t="str">
        <f t="shared" si="511"/>
        <v>Red</v>
      </c>
      <c r="W1582" t="str">
        <f t="shared" si="512"/>
        <v>Red</v>
      </c>
      <c r="X1582" t="str">
        <f t="shared" si="513"/>
        <v>Green</v>
      </c>
      <c r="Y1582" t="str">
        <f t="shared" si="514"/>
        <v>Green</v>
      </c>
      <c r="Z1582" t="str">
        <f t="shared" si="515"/>
        <v>Red</v>
      </c>
      <c r="AA1582" t="str">
        <f t="shared" si="516"/>
        <v>Green</v>
      </c>
      <c r="AB1582" t="str">
        <f t="shared" si="517"/>
        <v>Green</v>
      </c>
      <c r="AC1582" t="str">
        <f t="shared" si="518"/>
        <v>Red</v>
      </c>
      <c r="AD1582" t="str">
        <f t="shared" si="519"/>
        <v>Green</v>
      </c>
    </row>
    <row r="1583" spans="1:30" x14ac:dyDescent="0.2">
      <c r="A1583" t="str">
        <f t="shared" ref="A1583:A1646" si="520">L1582&amp;F1583&amp;G1583</f>
        <v>25/07/2026Novorizontino SP U20Santo Andre SP U20</v>
      </c>
      <c r="B1583" t="s">
        <v>804</v>
      </c>
      <c r="D1583" s="2">
        <v>46228</v>
      </c>
      <c r="E1583" s="3">
        <v>0.75</v>
      </c>
      <c r="F1583" t="s">
        <v>3101</v>
      </c>
      <c r="G1583" t="s">
        <v>3102</v>
      </c>
      <c r="H1583">
        <v>1</v>
      </c>
      <c r="I1583">
        <v>1</v>
      </c>
      <c r="J1583">
        <v>2</v>
      </c>
      <c r="K1583">
        <v>2</v>
      </c>
      <c r="L1583" s="22" t="str">
        <f t="shared" ref="L1583:L1646" si="521">DAY(D1583)&amp;"/"&amp;"07"&amp;"/"&amp;YEAR(D1583)</f>
        <v>25/07/2026</v>
      </c>
      <c r="M1583" s="23">
        <f t="shared" ref="M1583:M1646" si="522">E1583-TIME(3,0,0)</f>
        <v>0.625</v>
      </c>
      <c r="N1583" t="str">
        <f t="shared" ref="N1583:N1646" si="523">J1583&amp;" - "&amp;K1583</f>
        <v>2 - 2</v>
      </c>
      <c r="O1583" t="str">
        <f t="shared" si="504"/>
        <v>Red</v>
      </c>
      <c r="P1583" t="str">
        <f t="shared" si="505"/>
        <v>Green</v>
      </c>
      <c r="Q1583" t="str">
        <f t="shared" si="506"/>
        <v>Red</v>
      </c>
      <c r="R1583" t="str">
        <f t="shared" si="507"/>
        <v>Green</v>
      </c>
      <c r="S1583" t="str">
        <f t="shared" si="508"/>
        <v>Green</v>
      </c>
      <c r="T1583" t="str">
        <f t="shared" si="509"/>
        <v>Red</v>
      </c>
      <c r="U1583" t="str">
        <f t="shared" si="510"/>
        <v>Red</v>
      </c>
      <c r="V1583" t="str">
        <f t="shared" si="511"/>
        <v>Green</v>
      </c>
      <c r="W1583" t="str">
        <f t="shared" si="512"/>
        <v>Red</v>
      </c>
      <c r="X1583" t="str">
        <f t="shared" si="513"/>
        <v>Green</v>
      </c>
      <c r="Y1583" t="str">
        <f t="shared" si="514"/>
        <v>Green</v>
      </c>
      <c r="Z1583" t="str">
        <f t="shared" si="515"/>
        <v>Green</v>
      </c>
      <c r="AA1583" t="str">
        <f t="shared" si="516"/>
        <v>Red</v>
      </c>
      <c r="AB1583" t="str">
        <f t="shared" si="517"/>
        <v>Red</v>
      </c>
      <c r="AC1583" t="str">
        <f t="shared" si="518"/>
        <v>Green</v>
      </c>
      <c r="AD1583" t="str">
        <f t="shared" si="519"/>
        <v>Red</v>
      </c>
    </row>
    <row r="1584" spans="1:30" x14ac:dyDescent="0.2">
      <c r="A1584" t="str">
        <f t="shared" si="520"/>
        <v>25/07/2026MFK KarvinaMlada Boleslav</v>
      </c>
      <c r="D1584" s="2">
        <v>46228</v>
      </c>
      <c r="E1584" s="3">
        <v>0.75</v>
      </c>
      <c r="F1584" t="s">
        <v>3155</v>
      </c>
      <c r="G1584" t="s">
        <v>3156</v>
      </c>
      <c r="L1584" s="22" t="str">
        <f t="shared" si="521"/>
        <v>25/07/2026</v>
      </c>
      <c r="M1584" s="23">
        <f t="shared" si="522"/>
        <v>0.625</v>
      </c>
      <c r="N1584" t="str">
        <f t="shared" si="523"/>
        <v xml:space="preserve"> - </v>
      </c>
      <c r="O1584" t="str">
        <f t="shared" si="504"/>
        <v>Red</v>
      </c>
      <c r="P1584" t="str">
        <f t="shared" si="505"/>
        <v>Green</v>
      </c>
      <c r="Q1584" t="str">
        <f t="shared" si="506"/>
        <v>Red</v>
      </c>
      <c r="R1584" t="str">
        <f t="shared" si="507"/>
        <v>Green</v>
      </c>
      <c r="S1584" t="str">
        <f t="shared" si="508"/>
        <v>Green</v>
      </c>
      <c r="T1584" t="str">
        <f t="shared" si="509"/>
        <v>Red</v>
      </c>
      <c r="U1584" t="str">
        <f t="shared" si="510"/>
        <v>Red</v>
      </c>
      <c r="V1584" t="str">
        <f t="shared" si="511"/>
        <v>Green</v>
      </c>
      <c r="W1584" t="str">
        <f t="shared" si="512"/>
        <v>Red</v>
      </c>
      <c r="X1584" t="str">
        <f t="shared" si="513"/>
        <v>Red</v>
      </c>
      <c r="Y1584" t="str">
        <f t="shared" si="514"/>
        <v>Red</v>
      </c>
      <c r="Z1584" t="str">
        <f t="shared" si="515"/>
        <v>Red</v>
      </c>
      <c r="AA1584" t="str">
        <f t="shared" si="516"/>
        <v>Green</v>
      </c>
      <c r="AB1584" t="str">
        <f t="shared" si="517"/>
        <v>Green</v>
      </c>
      <c r="AC1584" t="str">
        <f t="shared" si="518"/>
        <v>Red</v>
      </c>
      <c r="AD1584" t="str">
        <f t="shared" si="519"/>
        <v>Green</v>
      </c>
    </row>
    <row r="1585" spans="1:30" x14ac:dyDescent="0.2">
      <c r="A1585" t="str">
        <f t="shared" si="520"/>
        <v>25/07/2026Zbrojovka BrnoSparta Prague</v>
      </c>
      <c r="D1585" s="2">
        <v>46228</v>
      </c>
      <c r="E1585" s="3">
        <v>0.75</v>
      </c>
      <c r="F1585" t="s">
        <v>3157</v>
      </c>
      <c r="G1585" t="s">
        <v>3158</v>
      </c>
      <c r="H1585">
        <v>1</v>
      </c>
      <c r="I1585">
        <v>0</v>
      </c>
      <c r="J1585">
        <v>3</v>
      </c>
      <c r="K1585">
        <v>1</v>
      </c>
      <c r="L1585" s="22" t="str">
        <f t="shared" si="521"/>
        <v>25/07/2026</v>
      </c>
      <c r="M1585" s="23">
        <f t="shared" si="522"/>
        <v>0.625</v>
      </c>
      <c r="N1585" t="str">
        <f t="shared" si="523"/>
        <v>3 - 1</v>
      </c>
      <c r="O1585" t="str">
        <f t="shared" si="504"/>
        <v>Green</v>
      </c>
      <c r="P1585" t="str">
        <f t="shared" si="505"/>
        <v>Red</v>
      </c>
      <c r="Q1585" t="str">
        <f t="shared" si="506"/>
        <v>Red</v>
      </c>
      <c r="R1585" t="str">
        <f t="shared" si="507"/>
        <v>Green</v>
      </c>
      <c r="S1585" t="str">
        <f t="shared" si="508"/>
        <v>Red</v>
      </c>
      <c r="T1585" t="str">
        <f t="shared" si="509"/>
        <v>Green</v>
      </c>
      <c r="U1585" t="str">
        <f t="shared" si="510"/>
        <v>Green</v>
      </c>
      <c r="V1585" t="str">
        <f t="shared" si="511"/>
        <v>Red</v>
      </c>
      <c r="W1585" t="str">
        <f t="shared" si="512"/>
        <v>Red</v>
      </c>
      <c r="X1585" t="str">
        <f t="shared" si="513"/>
        <v>Green</v>
      </c>
      <c r="Y1585" t="str">
        <f t="shared" si="514"/>
        <v>Green</v>
      </c>
      <c r="Z1585" t="str">
        <f t="shared" si="515"/>
        <v>Green</v>
      </c>
      <c r="AA1585" t="str">
        <f t="shared" si="516"/>
        <v>Red</v>
      </c>
      <c r="AB1585" t="str">
        <f t="shared" si="517"/>
        <v>Red</v>
      </c>
      <c r="AC1585" t="str">
        <f t="shared" si="518"/>
        <v>Green</v>
      </c>
      <c r="AD1585" t="str">
        <f t="shared" si="519"/>
        <v>Red</v>
      </c>
    </row>
    <row r="1586" spans="1:30" x14ac:dyDescent="0.2">
      <c r="A1586" t="str">
        <f t="shared" si="520"/>
        <v>25/07/2026KFF Mitrovica WomenLudogorets Women</v>
      </c>
      <c r="D1586" s="2">
        <v>46228</v>
      </c>
      <c r="E1586" s="3">
        <v>0.75</v>
      </c>
      <c r="F1586" t="s">
        <v>1623</v>
      </c>
      <c r="G1586" t="s">
        <v>1626</v>
      </c>
      <c r="H1586">
        <v>1</v>
      </c>
      <c r="I1586">
        <v>0</v>
      </c>
      <c r="J1586">
        <v>2</v>
      </c>
      <c r="K1586">
        <v>0</v>
      </c>
      <c r="L1586" s="22" t="str">
        <f t="shared" si="521"/>
        <v>25/07/2026</v>
      </c>
      <c r="M1586" s="23">
        <f t="shared" si="522"/>
        <v>0.625</v>
      </c>
      <c r="N1586" t="str">
        <f t="shared" si="523"/>
        <v>2 - 0</v>
      </c>
      <c r="O1586" t="str">
        <f t="shared" si="504"/>
        <v>Green</v>
      </c>
      <c r="P1586" t="str">
        <f t="shared" si="505"/>
        <v>Red</v>
      </c>
      <c r="Q1586" t="str">
        <f t="shared" si="506"/>
        <v>Red</v>
      </c>
      <c r="R1586" t="str">
        <f t="shared" si="507"/>
        <v>Green</v>
      </c>
      <c r="S1586" t="str">
        <f t="shared" si="508"/>
        <v>Red</v>
      </c>
      <c r="T1586" t="str">
        <f t="shared" si="509"/>
        <v>Green</v>
      </c>
      <c r="U1586" t="str">
        <f t="shared" si="510"/>
        <v>Green</v>
      </c>
      <c r="V1586" t="str">
        <f t="shared" si="511"/>
        <v>Red</v>
      </c>
      <c r="W1586" t="str">
        <f t="shared" si="512"/>
        <v>Red</v>
      </c>
      <c r="X1586" t="str">
        <f t="shared" si="513"/>
        <v>Green</v>
      </c>
      <c r="Y1586" t="str">
        <f t="shared" si="514"/>
        <v>Green</v>
      </c>
      <c r="Z1586" t="str">
        <f t="shared" si="515"/>
        <v>Red</v>
      </c>
      <c r="AA1586" t="str">
        <f t="shared" si="516"/>
        <v>Green</v>
      </c>
      <c r="AB1586" t="str">
        <f t="shared" si="517"/>
        <v>Green</v>
      </c>
      <c r="AC1586" t="str">
        <f t="shared" si="518"/>
        <v>Red</v>
      </c>
      <c r="AD1586" t="str">
        <f t="shared" si="519"/>
        <v>Green</v>
      </c>
    </row>
    <row r="1587" spans="1:30" x14ac:dyDescent="0.2">
      <c r="A1587" t="str">
        <f t="shared" si="520"/>
        <v>25/07/2026HaugesundBryne</v>
      </c>
      <c r="D1587" s="2">
        <v>46228</v>
      </c>
      <c r="E1587" s="3">
        <v>0.75</v>
      </c>
      <c r="F1587" t="s">
        <v>672</v>
      </c>
      <c r="G1587" t="s">
        <v>673</v>
      </c>
      <c r="H1587">
        <v>1</v>
      </c>
      <c r="I1587">
        <v>0</v>
      </c>
      <c r="J1587">
        <v>1</v>
      </c>
      <c r="K1587">
        <v>2</v>
      </c>
      <c r="L1587" s="22" t="str">
        <f t="shared" si="521"/>
        <v>25/07/2026</v>
      </c>
      <c r="M1587" s="23">
        <f t="shared" si="522"/>
        <v>0.625</v>
      </c>
      <c r="N1587" t="str">
        <f t="shared" si="523"/>
        <v>1 - 2</v>
      </c>
      <c r="O1587" t="str">
        <f t="shared" si="504"/>
        <v>Red</v>
      </c>
      <c r="P1587" t="str">
        <f t="shared" si="505"/>
        <v>Red</v>
      </c>
      <c r="Q1587" t="str">
        <f t="shared" si="506"/>
        <v>Green</v>
      </c>
      <c r="R1587" t="str">
        <f t="shared" si="507"/>
        <v>Red</v>
      </c>
      <c r="S1587" t="str">
        <f t="shared" si="508"/>
        <v>Green</v>
      </c>
      <c r="T1587" t="str">
        <f t="shared" si="509"/>
        <v>Green</v>
      </c>
      <c r="U1587" t="str">
        <f t="shared" si="510"/>
        <v>Green</v>
      </c>
      <c r="V1587" t="str">
        <f t="shared" si="511"/>
        <v>Red</v>
      </c>
      <c r="W1587" t="str">
        <f t="shared" si="512"/>
        <v>Red</v>
      </c>
      <c r="X1587" t="str">
        <f t="shared" si="513"/>
        <v>Green</v>
      </c>
      <c r="Y1587" t="str">
        <f t="shared" si="514"/>
        <v>Green</v>
      </c>
      <c r="Z1587" t="str">
        <f t="shared" si="515"/>
        <v>Green</v>
      </c>
      <c r="AA1587" t="str">
        <f t="shared" si="516"/>
        <v>Red</v>
      </c>
      <c r="AB1587" t="str">
        <f t="shared" si="517"/>
        <v>Green</v>
      </c>
      <c r="AC1587" t="str">
        <f t="shared" si="518"/>
        <v>Green</v>
      </c>
      <c r="AD1587" t="str">
        <f t="shared" si="519"/>
        <v>Red</v>
      </c>
    </row>
    <row r="1588" spans="1:30" x14ac:dyDescent="0.2">
      <c r="A1588" t="str">
        <f t="shared" si="520"/>
        <v>25/07/2026Sportivo San Lorenzo WomenClub Sportivo Ameliano Women</v>
      </c>
      <c r="D1588" s="2">
        <v>46228</v>
      </c>
      <c r="E1588" s="3">
        <v>0.75</v>
      </c>
      <c r="F1588" t="s">
        <v>1301</v>
      </c>
      <c r="G1588" t="s">
        <v>3520</v>
      </c>
      <c r="H1588">
        <v>0</v>
      </c>
      <c r="I1588">
        <v>0</v>
      </c>
      <c r="J1588">
        <v>6</v>
      </c>
      <c r="K1588">
        <v>2</v>
      </c>
      <c r="L1588" s="22" t="str">
        <f t="shared" si="521"/>
        <v>25/07/2026</v>
      </c>
      <c r="M1588" s="23">
        <f t="shared" si="522"/>
        <v>0.625</v>
      </c>
      <c r="N1588" t="str">
        <f t="shared" si="523"/>
        <v>6 - 2</v>
      </c>
      <c r="O1588" t="str">
        <f t="shared" si="504"/>
        <v>Green</v>
      </c>
      <c r="P1588" t="str">
        <f t="shared" si="505"/>
        <v>Red</v>
      </c>
      <c r="Q1588" t="str">
        <f t="shared" si="506"/>
        <v>Red</v>
      </c>
      <c r="R1588" t="str">
        <f t="shared" si="507"/>
        <v>Green</v>
      </c>
      <c r="S1588" t="str">
        <f t="shared" si="508"/>
        <v>Red</v>
      </c>
      <c r="T1588" t="str">
        <f t="shared" si="509"/>
        <v>Green</v>
      </c>
      <c r="U1588" t="str">
        <f t="shared" si="510"/>
        <v>Red</v>
      </c>
      <c r="V1588" t="str">
        <f t="shared" si="511"/>
        <v>Green</v>
      </c>
      <c r="W1588" t="str">
        <f t="shared" si="512"/>
        <v>Red</v>
      </c>
      <c r="X1588" t="str">
        <f t="shared" si="513"/>
        <v>Red</v>
      </c>
      <c r="Y1588" t="str">
        <f t="shared" si="514"/>
        <v>Green</v>
      </c>
      <c r="Z1588" t="str">
        <f t="shared" si="515"/>
        <v>Green</v>
      </c>
      <c r="AA1588" t="str">
        <f t="shared" si="516"/>
        <v>Red</v>
      </c>
      <c r="AB1588" t="str">
        <f t="shared" si="517"/>
        <v>Red</v>
      </c>
      <c r="AC1588" t="str">
        <f t="shared" si="518"/>
        <v>Green</v>
      </c>
      <c r="AD1588" t="str">
        <f t="shared" si="519"/>
        <v>Red</v>
      </c>
    </row>
    <row r="1589" spans="1:30" x14ac:dyDescent="0.2">
      <c r="A1589" t="str">
        <f t="shared" si="520"/>
        <v>25/07/2026Sport HuancayoAtletico Grau</v>
      </c>
      <c r="D1589" s="2">
        <v>46228</v>
      </c>
      <c r="E1589" s="3">
        <v>0.75</v>
      </c>
      <c r="F1589" t="s">
        <v>674</v>
      </c>
      <c r="G1589" t="s">
        <v>675</v>
      </c>
      <c r="H1589">
        <v>0</v>
      </c>
      <c r="I1589">
        <v>0</v>
      </c>
      <c r="J1589">
        <v>2</v>
      </c>
      <c r="K1589">
        <v>0</v>
      </c>
      <c r="L1589" s="22" t="str">
        <f t="shared" si="521"/>
        <v>25/07/2026</v>
      </c>
      <c r="M1589" s="23">
        <f t="shared" si="522"/>
        <v>0.625</v>
      </c>
      <c r="N1589" t="str">
        <f t="shared" si="523"/>
        <v>2 - 0</v>
      </c>
      <c r="O1589" t="str">
        <f t="shared" si="504"/>
        <v>Green</v>
      </c>
      <c r="P1589" t="str">
        <f t="shared" si="505"/>
        <v>Red</v>
      </c>
      <c r="Q1589" t="str">
        <f t="shared" si="506"/>
        <v>Red</v>
      </c>
      <c r="R1589" t="str">
        <f t="shared" si="507"/>
        <v>Green</v>
      </c>
      <c r="S1589" t="str">
        <f t="shared" si="508"/>
        <v>Red</v>
      </c>
      <c r="T1589" t="str">
        <f t="shared" si="509"/>
        <v>Green</v>
      </c>
      <c r="U1589" t="str">
        <f t="shared" si="510"/>
        <v>Red</v>
      </c>
      <c r="V1589" t="str">
        <f t="shared" si="511"/>
        <v>Green</v>
      </c>
      <c r="W1589" t="str">
        <f t="shared" si="512"/>
        <v>Red</v>
      </c>
      <c r="X1589" t="str">
        <f t="shared" si="513"/>
        <v>Red</v>
      </c>
      <c r="Y1589" t="str">
        <f t="shared" si="514"/>
        <v>Green</v>
      </c>
      <c r="Z1589" t="str">
        <f t="shared" si="515"/>
        <v>Red</v>
      </c>
      <c r="AA1589" t="str">
        <f t="shared" si="516"/>
        <v>Green</v>
      </c>
      <c r="AB1589" t="str">
        <f t="shared" si="517"/>
        <v>Green</v>
      </c>
      <c r="AC1589" t="str">
        <f t="shared" si="518"/>
        <v>Red</v>
      </c>
      <c r="AD1589" t="str">
        <f t="shared" si="519"/>
        <v>Green</v>
      </c>
    </row>
    <row r="1590" spans="1:30" x14ac:dyDescent="0.2">
      <c r="A1590" t="str">
        <f t="shared" si="520"/>
        <v>25/07/2026UKP Zielona GoraRekord Bielsko Biala</v>
      </c>
      <c r="D1590" s="2">
        <v>46228</v>
      </c>
      <c r="E1590" s="3">
        <v>0.75</v>
      </c>
      <c r="F1590" t="s">
        <v>3552</v>
      </c>
      <c r="G1590" t="s">
        <v>3553</v>
      </c>
      <c r="H1590">
        <v>0</v>
      </c>
      <c r="I1590">
        <v>0</v>
      </c>
      <c r="J1590">
        <v>1</v>
      </c>
      <c r="K1590">
        <v>1</v>
      </c>
      <c r="L1590" s="22" t="str">
        <f t="shared" si="521"/>
        <v>25/07/2026</v>
      </c>
      <c r="M1590" s="23">
        <f t="shared" si="522"/>
        <v>0.625</v>
      </c>
      <c r="N1590" t="str">
        <f t="shared" si="523"/>
        <v>1 - 1</v>
      </c>
      <c r="O1590" t="str">
        <f t="shared" si="504"/>
        <v>Red</v>
      </c>
      <c r="P1590" t="str">
        <f t="shared" si="505"/>
        <v>Green</v>
      </c>
      <c r="Q1590" t="str">
        <f t="shared" si="506"/>
        <v>Red</v>
      </c>
      <c r="R1590" t="str">
        <f t="shared" si="507"/>
        <v>Green</v>
      </c>
      <c r="S1590" t="str">
        <f t="shared" si="508"/>
        <v>Green</v>
      </c>
      <c r="T1590" t="str">
        <f t="shared" si="509"/>
        <v>Red</v>
      </c>
      <c r="U1590" t="str">
        <f t="shared" si="510"/>
        <v>Red</v>
      </c>
      <c r="V1590" t="str">
        <f t="shared" si="511"/>
        <v>Green</v>
      </c>
      <c r="W1590" t="str">
        <f t="shared" si="512"/>
        <v>Red</v>
      </c>
      <c r="X1590" t="str">
        <f t="shared" si="513"/>
        <v>Red</v>
      </c>
      <c r="Y1590" t="str">
        <f t="shared" si="514"/>
        <v>Green</v>
      </c>
      <c r="Z1590" t="str">
        <f t="shared" si="515"/>
        <v>Red</v>
      </c>
      <c r="AA1590" t="str">
        <f t="shared" si="516"/>
        <v>Green</v>
      </c>
      <c r="AB1590" t="str">
        <f t="shared" si="517"/>
        <v>Green</v>
      </c>
      <c r="AC1590" t="str">
        <f t="shared" si="518"/>
        <v>Green</v>
      </c>
      <c r="AD1590" t="str">
        <f t="shared" si="519"/>
        <v>Red</v>
      </c>
    </row>
    <row r="1591" spans="1:30" x14ac:dyDescent="0.2">
      <c r="A1591" t="str">
        <f t="shared" si="520"/>
        <v>25/07/2026IMT Novi BelgradeFK Zemun</v>
      </c>
      <c r="D1591" s="2">
        <v>46228</v>
      </c>
      <c r="E1591" s="3">
        <v>0.75</v>
      </c>
      <c r="F1591" t="s">
        <v>3614</v>
      </c>
      <c r="G1591" t="s">
        <v>3615</v>
      </c>
      <c r="H1591">
        <v>1</v>
      </c>
      <c r="I1591">
        <v>0</v>
      </c>
      <c r="J1591">
        <v>4</v>
      </c>
      <c r="K1591">
        <v>0</v>
      </c>
      <c r="L1591" s="22" t="str">
        <f t="shared" si="521"/>
        <v>25/07/2026</v>
      </c>
      <c r="M1591" s="23">
        <f t="shared" si="522"/>
        <v>0.625</v>
      </c>
      <c r="N1591" t="str">
        <f t="shared" si="523"/>
        <v>4 - 0</v>
      </c>
      <c r="O1591" t="str">
        <f t="shared" si="504"/>
        <v>Green</v>
      </c>
      <c r="P1591" t="str">
        <f t="shared" si="505"/>
        <v>Red</v>
      </c>
      <c r="Q1591" t="str">
        <f t="shared" si="506"/>
        <v>Red</v>
      </c>
      <c r="R1591" t="str">
        <f t="shared" si="507"/>
        <v>Green</v>
      </c>
      <c r="S1591" t="str">
        <f t="shared" si="508"/>
        <v>Red</v>
      </c>
      <c r="T1591" t="str">
        <f t="shared" si="509"/>
        <v>Green</v>
      </c>
      <c r="U1591" t="str">
        <f t="shared" si="510"/>
        <v>Green</v>
      </c>
      <c r="V1591" t="str">
        <f t="shared" si="511"/>
        <v>Red</v>
      </c>
      <c r="W1591" t="str">
        <f t="shared" si="512"/>
        <v>Red</v>
      </c>
      <c r="X1591" t="str">
        <f t="shared" si="513"/>
        <v>Green</v>
      </c>
      <c r="Y1591" t="str">
        <f t="shared" si="514"/>
        <v>Green</v>
      </c>
      <c r="Z1591" t="str">
        <f t="shared" si="515"/>
        <v>Green</v>
      </c>
      <c r="AA1591" t="str">
        <f t="shared" si="516"/>
        <v>Red</v>
      </c>
      <c r="AB1591" t="str">
        <f t="shared" si="517"/>
        <v>Red</v>
      </c>
      <c r="AC1591" t="str">
        <f t="shared" si="518"/>
        <v>Red</v>
      </c>
      <c r="AD1591" t="str">
        <f t="shared" si="519"/>
        <v>Green</v>
      </c>
    </row>
    <row r="1592" spans="1:30" x14ac:dyDescent="0.2">
      <c r="A1592" t="str">
        <f t="shared" si="520"/>
        <v>25/07/2026OFK BelgradeRadnik Surdulica</v>
      </c>
      <c r="D1592" s="2">
        <v>46228</v>
      </c>
      <c r="E1592" s="3">
        <v>0.75</v>
      </c>
      <c r="F1592" t="s">
        <v>3616</v>
      </c>
      <c r="G1592" t="s">
        <v>3617</v>
      </c>
      <c r="H1592">
        <v>0</v>
      </c>
      <c r="I1592">
        <v>0</v>
      </c>
      <c r="J1592">
        <v>0</v>
      </c>
      <c r="K1592">
        <v>0</v>
      </c>
      <c r="L1592" s="22" t="str">
        <f t="shared" si="521"/>
        <v>25/07/2026</v>
      </c>
      <c r="M1592" s="23">
        <f t="shared" si="522"/>
        <v>0.625</v>
      </c>
      <c r="N1592" t="str">
        <f t="shared" si="523"/>
        <v>0 - 0</v>
      </c>
      <c r="O1592" t="str">
        <f t="shared" si="504"/>
        <v>Red</v>
      </c>
      <c r="P1592" t="str">
        <f t="shared" si="505"/>
        <v>Green</v>
      </c>
      <c r="Q1592" t="str">
        <f t="shared" si="506"/>
        <v>Red</v>
      </c>
      <c r="R1592" t="str">
        <f t="shared" si="507"/>
        <v>Green</v>
      </c>
      <c r="S1592" t="str">
        <f t="shared" si="508"/>
        <v>Green</v>
      </c>
      <c r="T1592" t="str">
        <f t="shared" si="509"/>
        <v>Red</v>
      </c>
      <c r="U1592" t="str">
        <f t="shared" si="510"/>
        <v>Red</v>
      </c>
      <c r="V1592" t="str">
        <f t="shared" si="511"/>
        <v>Green</v>
      </c>
      <c r="W1592" t="str">
        <f t="shared" si="512"/>
        <v>Red</v>
      </c>
      <c r="X1592" t="str">
        <f t="shared" si="513"/>
        <v>Red</v>
      </c>
      <c r="Y1592" t="str">
        <f t="shared" si="514"/>
        <v>Red</v>
      </c>
      <c r="Z1592" t="str">
        <f t="shared" si="515"/>
        <v>Red</v>
      </c>
      <c r="AA1592" t="str">
        <f t="shared" si="516"/>
        <v>Green</v>
      </c>
      <c r="AB1592" t="str">
        <f t="shared" si="517"/>
        <v>Green</v>
      </c>
      <c r="AC1592" t="str">
        <f t="shared" si="518"/>
        <v>Red</v>
      </c>
      <c r="AD1592" t="str">
        <f t="shared" si="519"/>
        <v>Green</v>
      </c>
    </row>
    <row r="1593" spans="1:30" x14ac:dyDescent="0.2">
      <c r="A1593" t="str">
        <f t="shared" si="520"/>
        <v>25/07/2026Central EspanolCerro Largo</v>
      </c>
      <c r="D1593" s="2">
        <v>46228</v>
      </c>
      <c r="E1593" s="3">
        <v>0.75</v>
      </c>
      <c r="F1593" t="s">
        <v>623</v>
      </c>
      <c r="G1593" t="s">
        <v>3684</v>
      </c>
      <c r="H1593">
        <v>0</v>
      </c>
      <c r="I1593">
        <v>1</v>
      </c>
      <c r="J1593">
        <v>0</v>
      </c>
      <c r="K1593">
        <v>1</v>
      </c>
      <c r="L1593" s="22" t="str">
        <f t="shared" si="521"/>
        <v>25/07/2026</v>
      </c>
      <c r="M1593" s="23">
        <f t="shared" si="522"/>
        <v>0.625</v>
      </c>
      <c r="N1593" t="str">
        <f t="shared" si="523"/>
        <v>0 - 1</v>
      </c>
      <c r="O1593" t="str">
        <f t="shared" si="504"/>
        <v>Red</v>
      </c>
      <c r="P1593" t="str">
        <f t="shared" si="505"/>
        <v>Red</v>
      </c>
      <c r="Q1593" t="str">
        <f t="shared" si="506"/>
        <v>Green</v>
      </c>
      <c r="R1593" t="str">
        <f t="shared" si="507"/>
        <v>Red</v>
      </c>
      <c r="S1593" t="str">
        <f t="shared" si="508"/>
        <v>Green</v>
      </c>
      <c r="T1593" t="str">
        <f t="shared" si="509"/>
        <v>Green</v>
      </c>
      <c r="U1593" t="str">
        <f t="shared" si="510"/>
        <v>Red</v>
      </c>
      <c r="V1593" t="str">
        <f t="shared" si="511"/>
        <v>Red</v>
      </c>
      <c r="W1593" t="str">
        <f t="shared" si="512"/>
        <v>Green</v>
      </c>
      <c r="X1593" t="str">
        <f t="shared" si="513"/>
        <v>Green</v>
      </c>
      <c r="Y1593" t="str">
        <f t="shared" si="514"/>
        <v>Red</v>
      </c>
      <c r="Z1593" t="str">
        <f t="shared" si="515"/>
        <v>Red</v>
      </c>
      <c r="AA1593" t="str">
        <f t="shared" si="516"/>
        <v>Green</v>
      </c>
      <c r="AB1593" t="str">
        <f t="shared" si="517"/>
        <v>Green</v>
      </c>
      <c r="AC1593" t="str">
        <f t="shared" si="518"/>
        <v>Red</v>
      </c>
      <c r="AD1593" t="str">
        <f t="shared" si="519"/>
        <v>Green</v>
      </c>
    </row>
    <row r="1594" spans="1:30" x14ac:dyDescent="0.2">
      <c r="A1594" t="str">
        <f t="shared" si="520"/>
        <v>25/07/2026Central EspanolLiverpool Montevideo</v>
      </c>
      <c r="D1594" s="2">
        <v>46228</v>
      </c>
      <c r="E1594" s="3">
        <v>0.75</v>
      </c>
      <c r="F1594" t="s">
        <v>623</v>
      </c>
      <c r="G1594" t="s">
        <v>1320</v>
      </c>
      <c r="L1594" s="22" t="str">
        <f t="shared" si="521"/>
        <v>25/07/2026</v>
      </c>
      <c r="M1594" s="23">
        <f t="shared" si="522"/>
        <v>0.625</v>
      </c>
      <c r="N1594" t="str">
        <f t="shared" si="523"/>
        <v xml:space="preserve"> - </v>
      </c>
      <c r="O1594" t="str">
        <f t="shared" si="504"/>
        <v>Red</v>
      </c>
      <c r="P1594" t="str">
        <f t="shared" si="505"/>
        <v>Green</v>
      </c>
      <c r="Q1594" t="str">
        <f t="shared" si="506"/>
        <v>Red</v>
      </c>
      <c r="R1594" t="str">
        <f t="shared" si="507"/>
        <v>Green</v>
      </c>
      <c r="S1594" t="str">
        <f t="shared" si="508"/>
        <v>Green</v>
      </c>
      <c r="T1594" t="str">
        <f t="shared" si="509"/>
        <v>Red</v>
      </c>
      <c r="U1594" t="str">
        <f t="shared" si="510"/>
        <v>Red</v>
      </c>
      <c r="V1594" t="str">
        <f t="shared" si="511"/>
        <v>Green</v>
      </c>
      <c r="W1594" t="str">
        <f t="shared" si="512"/>
        <v>Red</v>
      </c>
      <c r="X1594" t="str">
        <f t="shared" si="513"/>
        <v>Red</v>
      </c>
      <c r="Y1594" t="str">
        <f t="shared" si="514"/>
        <v>Red</v>
      </c>
      <c r="Z1594" t="str">
        <f t="shared" si="515"/>
        <v>Red</v>
      </c>
      <c r="AA1594" t="str">
        <f t="shared" si="516"/>
        <v>Green</v>
      </c>
      <c r="AB1594" t="str">
        <f t="shared" si="517"/>
        <v>Green</v>
      </c>
      <c r="AC1594" t="str">
        <f t="shared" si="518"/>
        <v>Red</v>
      </c>
      <c r="AD1594" t="str">
        <f t="shared" si="519"/>
        <v>Green</v>
      </c>
    </row>
    <row r="1595" spans="1:30" x14ac:dyDescent="0.2">
      <c r="A1595" t="str">
        <f t="shared" si="520"/>
        <v>25/07/2026Defensor SportingCA Cerro</v>
      </c>
      <c r="D1595" s="2">
        <v>46228</v>
      </c>
      <c r="E1595" s="3">
        <v>0.75</v>
      </c>
      <c r="F1595" t="s">
        <v>676</v>
      </c>
      <c r="G1595" t="s">
        <v>3685</v>
      </c>
      <c r="L1595" s="22" t="str">
        <f t="shared" si="521"/>
        <v>25/07/2026</v>
      </c>
      <c r="M1595" s="23">
        <f t="shared" si="522"/>
        <v>0.625</v>
      </c>
      <c r="N1595" t="str">
        <f t="shared" si="523"/>
        <v xml:space="preserve"> - </v>
      </c>
      <c r="O1595" t="str">
        <f t="shared" si="504"/>
        <v>Red</v>
      </c>
      <c r="P1595" t="str">
        <f t="shared" si="505"/>
        <v>Green</v>
      </c>
      <c r="Q1595" t="str">
        <f t="shared" si="506"/>
        <v>Red</v>
      </c>
      <c r="R1595" t="str">
        <f t="shared" si="507"/>
        <v>Green</v>
      </c>
      <c r="S1595" t="str">
        <f t="shared" si="508"/>
        <v>Green</v>
      </c>
      <c r="T1595" t="str">
        <f t="shared" si="509"/>
        <v>Red</v>
      </c>
      <c r="U1595" t="str">
        <f t="shared" si="510"/>
        <v>Red</v>
      </c>
      <c r="V1595" t="str">
        <f t="shared" si="511"/>
        <v>Green</v>
      </c>
      <c r="W1595" t="str">
        <f t="shared" si="512"/>
        <v>Red</v>
      </c>
      <c r="X1595" t="str">
        <f t="shared" si="513"/>
        <v>Red</v>
      </c>
      <c r="Y1595" t="str">
        <f t="shared" si="514"/>
        <v>Red</v>
      </c>
      <c r="Z1595" t="str">
        <f t="shared" si="515"/>
        <v>Red</v>
      </c>
      <c r="AA1595" t="str">
        <f t="shared" si="516"/>
        <v>Green</v>
      </c>
      <c r="AB1595" t="str">
        <f t="shared" si="517"/>
        <v>Green</v>
      </c>
      <c r="AC1595" t="str">
        <f t="shared" si="518"/>
        <v>Red</v>
      </c>
      <c r="AD1595" t="str">
        <f t="shared" si="519"/>
        <v>Green</v>
      </c>
    </row>
    <row r="1596" spans="1:30" x14ac:dyDescent="0.2">
      <c r="A1596" t="str">
        <f t="shared" si="520"/>
        <v>25/07/2026TacuaremboCA River Plate</v>
      </c>
      <c r="D1596" s="2">
        <v>46228</v>
      </c>
      <c r="E1596" s="3">
        <v>0.75</v>
      </c>
      <c r="F1596" t="s">
        <v>3688</v>
      </c>
      <c r="G1596" t="s">
        <v>3691</v>
      </c>
      <c r="L1596" s="22" t="str">
        <f t="shared" si="521"/>
        <v>25/07/2026</v>
      </c>
      <c r="M1596" s="23">
        <f t="shared" si="522"/>
        <v>0.625</v>
      </c>
      <c r="N1596" t="str">
        <f t="shared" si="523"/>
        <v xml:space="preserve"> - </v>
      </c>
      <c r="O1596" t="str">
        <f t="shared" si="504"/>
        <v>Red</v>
      </c>
      <c r="P1596" t="str">
        <f t="shared" si="505"/>
        <v>Green</v>
      </c>
      <c r="Q1596" t="str">
        <f t="shared" si="506"/>
        <v>Red</v>
      </c>
      <c r="R1596" t="str">
        <f t="shared" si="507"/>
        <v>Green</v>
      </c>
      <c r="S1596" t="str">
        <f t="shared" si="508"/>
        <v>Green</v>
      </c>
      <c r="T1596" t="str">
        <f t="shared" si="509"/>
        <v>Red</v>
      </c>
      <c r="U1596" t="str">
        <f t="shared" si="510"/>
        <v>Red</v>
      </c>
      <c r="V1596" t="str">
        <f t="shared" si="511"/>
        <v>Green</v>
      </c>
      <c r="W1596" t="str">
        <f t="shared" si="512"/>
        <v>Red</v>
      </c>
      <c r="X1596" t="str">
        <f t="shared" si="513"/>
        <v>Red</v>
      </c>
      <c r="Y1596" t="str">
        <f t="shared" si="514"/>
        <v>Red</v>
      </c>
      <c r="Z1596" t="str">
        <f t="shared" si="515"/>
        <v>Red</v>
      </c>
      <c r="AA1596" t="str">
        <f t="shared" si="516"/>
        <v>Green</v>
      </c>
      <c r="AB1596" t="str">
        <f t="shared" si="517"/>
        <v>Green</v>
      </c>
      <c r="AC1596" t="str">
        <f t="shared" si="518"/>
        <v>Red</v>
      </c>
      <c r="AD1596" t="str">
        <f t="shared" si="519"/>
        <v>Green</v>
      </c>
    </row>
    <row r="1597" spans="1:30" x14ac:dyDescent="0.2">
      <c r="A1597" t="str">
        <f t="shared" si="520"/>
        <v>25/07/2026CadizCordoba</v>
      </c>
      <c r="D1597" s="2">
        <v>46228</v>
      </c>
      <c r="E1597" s="3">
        <v>0.75</v>
      </c>
      <c r="F1597" t="s">
        <v>1757</v>
      </c>
      <c r="G1597" t="s">
        <v>2097</v>
      </c>
      <c r="H1597">
        <v>0</v>
      </c>
      <c r="I1597">
        <v>0</v>
      </c>
      <c r="J1597">
        <v>0</v>
      </c>
      <c r="K1597">
        <v>1</v>
      </c>
      <c r="L1597" s="22" t="str">
        <f t="shared" si="521"/>
        <v>25/07/2026</v>
      </c>
      <c r="M1597" s="23">
        <f t="shared" si="522"/>
        <v>0.625</v>
      </c>
      <c r="N1597" t="str">
        <f t="shared" si="523"/>
        <v>0 - 1</v>
      </c>
      <c r="O1597" t="str">
        <f t="shared" si="504"/>
        <v>Red</v>
      </c>
      <c r="P1597" t="str">
        <f t="shared" si="505"/>
        <v>Red</v>
      </c>
      <c r="Q1597" t="str">
        <f t="shared" si="506"/>
        <v>Green</v>
      </c>
      <c r="R1597" t="str">
        <f t="shared" si="507"/>
        <v>Red</v>
      </c>
      <c r="S1597" t="str">
        <f t="shared" si="508"/>
        <v>Green</v>
      </c>
      <c r="T1597" t="str">
        <f t="shared" si="509"/>
        <v>Green</v>
      </c>
      <c r="U1597" t="str">
        <f t="shared" si="510"/>
        <v>Red</v>
      </c>
      <c r="V1597" t="str">
        <f t="shared" si="511"/>
        <v>Green</v>
      </c>
      <c r="W1597" t="str">
        <f t="shared" si="512"/>
        <v>Red</v>
      </c>
      <c r="X1597" t="str">
        <f t="shared" si="513"/>
        <v>Red</v>
      </c>
      <c r="Y1597" t="str">
        <f t="shared" si="514"/>
        <v>Red</v>
      </c>
      <c r="Z1597" t="str">
        <f t="shared" si="515"/>
        <v>Red</v>
      </c>
      <c r="AA1597" t="str">
        <f t="shared" si="516"/>
        <v>Green</v>
      </c>
      <c r="AB1597" t="str">
        <f t="shared" si="517"/>
        <v>Green</v>
      </c>
      <c r="AC1597" t="str">
        <f t="shared" si="518"/>
        <v>Red</v>
      </c>
      <c r="AD1597" t="str">
        <f t="shared" si="519"/>
        <v>Green</v>
      </c>
    </row>
    <row r="1598" spans="1:30" x14ac:dyDescent="0.2">
      <c r="A1598" t="str">
        <f t="shared" si="520"/>
        <v>25/07/2026CD AguilasAlmeria</v>
      </c>
      <c r="D1598" s="2">
        <v>46228</v>
      </c>
      <c r="E1598" s="3">
        <v>0.75</v>
      </c>
      <c r="F1598" t="s">
        <v>4000</v>
      </c>
      <c r="G1598" t="s">
        <v>4001</v>
      </c>
      <c r="H1598">
        <v>0</v>
      </c>
      <c r="I1598">
        <v>0</v>
      </c>
      <c r="J1598">
        <v>0</v>
      </c>
      <c r="K1598">
        <v>1</v>
      </c>
      <c r="L1598" s="22" t="str">
        <f t="shared" si="521"/>
        <v>25/07/2026</v>
      </c>
      <c r="M1598" s="23">
        <f t="shared" si="522"/>
        <v>0.625</v>
      </c>
      <c r="N1598" t="str">
        <f t="shared" si="523"/>
        <v>0 - 1</v>
      </c>
      <c r="O1598" t="str">
        <f t="shared" si="504"/>
        <v>Red</v>
      </c>
      <c r="P1598" t="str">
        <f t="shared" si="505"/>
        <v>Red</v>
      </c>
      <c r="Q1598" t="str">
        <f t="shared" si="506"/>
        <v>Green</v>
      </c>
      <c r="R1598" t="str">
        <f t="shared" si="507"/>
        <v>Red</v>
      </c>
      <c r="S1598" t="str">
        <f t="shared" si="508"/>
        <v>Green</v>
      </c>
      <c r="T1598" t="str">
        <f t="shared" si="509"/>
        <v>Green</v>
      </c>
      <c r="U1598" t="str">
        <f t="shared" si="510"/>
        <v>Red</v>
      </c>
      <c r="V1598" t="str">
        <f t="shared" si="511"/>
        <v>Green</v>
      </c>
      <c r="W1598" t="str">
        <f t="shared" si="512"/>
        <v>Red</v>
      </c>
      <c r="X1598" t="str">
        <f t="shared" si="513"/>
        <v>Red</v>
      </c>
      <c r="Y1598" t="str">
        <f t="shared" si="514"/>
        <v>Red</v>
      </c>
      <c r="Z1598" t="str">
        <f t="shared" si="515"/>
        <v>Red</v>
      </c>
      <c r="AA1598" t="str">
        <f t="shared" si="516"/>
        <v>Green</v>
      </c>
      <c r="AB1598" t="str">
        <f t="shared" si="517"/>
        <v>Green</v>
      </c>
      <c r="AC1598" t="str">
        <f t="shared" si="518"/>
        <v>Red</v>
      </c>
      <c r="AD1598" t="str">
        <f t="shared" si="519"/>
        <v>Green</v>
      </c>
    </row>
    <row r="1599" spans="1:30" x14ac:dyDescent="0.2">
      <c r="A1599" t="str">
        <f t="shared" si="520"/>
        <v>25/07/2026EstorilUniao Torreense</v>
      </c>
      <c r="D1599" s="2">
        <v>46228</v>
      </c>
      <c r="E1599" s="3">
        <v>0.75</v>
      </c>
      <c r="F1599" t="s">
        <v>4002</v>
      </c>
      <c r="G1599" t="s">
        <v>4003</v>
      </c>
      <c r="H1599">
        <v>0</v>
      </c>
      <c r="I1599">
        <v>0</v>
      </c>
      <c r="J1599">
        <v>0</v>
      </c>
      <c r="K1599">
        <v>0</v>
      </c>
      <c r="L1599" s="22" t="str">
        <f t="shared" si="521"/>
        <v>25/07/2026</v>
      </c>
      <c r="M1599" s="23">
        <f t="shared" si="522"/>
        <v>0.625</v>
      </c>
      <c r="N1599" t="str">
        <f t="shared" si="523"/>
        <v>0 - 0</v>
      </c>
      <c r="O1599" t="str">
        <f t="shared" si="504"/>
        <v>Red</v>
      </c>
      <c r="P1599" t="str">
        <f t="shared" si="505"/>
        <v>Green</v>
      </c>
      <c r="Q1599" t="str">
        <f t="shared" si="506"/>
        <v>Red</v>
      </c>
      <c r="R1599" t="str">
        <f t="shared" si="507"/>
        <v>Green</v>
      </c>
      <c r="S1599" t="str">
        <f t="shared" si="508"/>
        <v>Green</v>
      </c>
      <c r="T1599" t="str">
        <f t="shared" si="509"/>
        <v>Red</v>
      </c>
      <c r="U1599" t="str">
        <f t="shared" si="510"/>
        <v>Red</v>
      </c>
      <c r="V1599" t="str">
        <f t="shared" si="511"/>
        <v>Green</v>
      </c>
      <c r="W1599" t="str">
        <f t="shared" si="512"/>
        <v>Red</v>
      </c>
      <c r="X1599" t="str">
        <f t="shared" si="513"/>
        <v>Red</v>
      </c>
      <c r="Y1599" t="str">
        <f t="shared" si="514"/>
        <v>Red</v>
      </c>
      <c r="Z1599" t="str">
        <f t="shared" si="515"/>
        <v>Red</v>
      </c>
      <c r="AA1599" t="str">
        <f t="shared" si="516"/>
        <v>Green</v>
      </c>
      <c r="AB1599" t="str">
        <f t="shared" si="517"/>
        <v>Green</v>
      </c>
      <c r="AC1599" t="str">
        <f t="shared" si="518"/>
        <v>Red</v>
      </c>
      <c r="AD1599" t="str">
        <f t="shared" si="519"/>
        <v>Green</v>
      </c>
    </row>
    <row r="1600" spans="1:30" x14ac:dyDescent="0.2">
      <c r="A1600" t="str">
        <f t="shared" si="520"/>
        <v>25/07/2026Gimnastic de TarragonaFC Andorra</v>
      </c>
      <c r="D1600" s="2">
        <v>46228</v>
      </c>
      <c r="E1600" s="3">
        <v>0.75</v>
      </c>
      <c r="F1600" t="s">
        <v>4004</v>
      </c>
      <c r="G1600" t="s">
        <v>4005</v>
      </c>
      <c r="H1600">
        <v>0</v>
      </c>
      <c r="I1600">
        <v>1</v>
      </c>
      <c r="J1600">
        <v>0</v>
      </c>
      <c r="K1600">
        <v>2</v>
      </c>
      <c r="L1600" s="22" t="str">
        <f t="shared" si="521"/>
        <v>25/07/2026</v>
      </c>
      <c r="M1600" s="23">
        <f t="shared" si="522"/>
        <v>0.625</v>
      </c>
      <c r="N1600" t="str">
        <f t="shared" si="523"/>
        <v>0 - 2</v>
      </c>
      <c r="O1600" t="str">
        <f t="shared" si="504"/>
        <v>Red</v>
      </c>
      <c r="P1600" t="str">
        <f t="shared" si="505"/>
        <v>Red</v>
      </c>
      <c r="Q1600" t="str">
        <f t="shared" si="506"/>
        <v>Green</v>
      </c>
      <c r="R1600" t="str">
        <f t="shared" si="507"/>
        <v>Red</v>
      </c>
      <c r="S1600" t="str">
        <f t="shared" si="508"/>
        <v>Green</v>
      </c>
      <c r="T1600" t="str">
        <f t="shared" si="509"/>
        <v>Green</v>
      </c>
      <c r="U1600" t="str">
        <f t="shared" si="510"/>
        <v>Red</v>
      </c>
      <c r="V1600" t="str">
        <f t="shared" si="511"/>
        <v>Red</v>
      </c>
      <c r="W1600" t="str">
        <f t="shared" si="512"/>
        <v>Green</v>
      </c>
      <c r="X1600" t="str">
        <f t="shared" si="513"/>
        <v>Green</v>
      </c>
      <c r="Y1600" t="str">
        <f t="shared" si="514"/>
        <v>Green</v>
      </c>
      <c r="Z1600" t="str">
        <f t="shared" si="515"/>
        <v>Red</v>
      </c>
      <c r="AA1600" t="str">
        <f t="shared" si="516"/>
        <v>Green</v>
      </c>
      <c r="AB1600" t="str">
        <f t="shared" si="517"/>
        <v>Green</v>
      </c>
      <c r="AC1600" t="str">
        <f t="shared" si="518"/>
        <v>Red</v>
      </c>
      <c r="AD1600" t="str">
        <f t="shared" si="519"/>
        <v>Green</v>
      </c>
    </row>
    <row r="1601" spans="1:30" x14ac:dyDescent="0.2">
      <c r="A1601" t="str">
        <f t="shared" si="520"/>
        <v>25/07/2026GranadaReal Betis</v>
      </c>
      <c r="D1601" s="2">
        <v>46228</v>
      </c>
      <c r="E1601" s="3">
        <v>0.75</v>
      </c>
      <c r="F1601" t="s">
        <v>4006</v>
      </c>
      <c r="G1601" t="s">
        <v>1819</v>
      </c>
      <c r="H1601">
        <v>1</v>
      </c>
      <c r="I1601">
        <v>0</v>
      </c>
      <c r="J1601">
        <v>1</v>
      </c>
      <c r="K1601">
        <v>0</v>
      </c>
      <c r="L1601" s="22" t="str">
        <f t="shared" si="521"/>
        <v>25/07/2026</v>
      </c>
      <c r="M1601" s="23">
        <f t="shared" si="522"/>
        <v>0.625</v>
      </c>
      <c r="N1601" t="str">
        <f t="shared" si="523"/>
        <v>1 - 0</v>
      </c>
      <c r="O1601" t="str">
        <f t="shared" si="504"/>
        <v>Green</v>
      </c>
      <c r="P1601" t="str">
        <f t="shared" si="505"/>
        <v>Red</v>
      </c>
      <c r="Q1601" t="str">
        <f t="shared" si="506"/>
        <v>Red</v>
      </c>
      <c r="R1601" t="str">
        <f t="shared" si="507"/>
        <v>Green</v>
      </c>
      <c r="S1601" t="str">
        <f t="shared" si="508"/>
        <v>Red</v>
      </c>
      <c r="T1601" t="str">
        <f t="shared" si="509"/>
        <v>Green</v>
      </c>
      <c r="U1601" t="str">
        <f t="shared" si="510"/>
        <v>Green</v>
      </c>
      <c r="V1601" t="str">
        <f t="shared" si="511"/>
        <v>Red</v>
      </c>
      <c r="W1601" t="str">
        <f t="shared" si="512"/>
        <v>Red</v>
      </c>
      <c r="X1601" t="str">
        <f t="shared" si="513"/>
        <v>Green</v>
      </c>
      <c r="Y1601" t="str">
        <f t="shared" si="514"/>
        <v>Red</v>
      </c>
      <c r="Z1601" t="str">
        <f t="shared" si="515"/>
        <v>Red</v>
      </c>
      <c r="AA1601" t="str">
        <f t="shared" si="516"/>
        <v>Green</v>
      </c>
      <c r="AB1601" t="str">
        <f t="shared" si="517"/>
        <v>Green</v>
      </c>
      <c r="AC1601" t="str">
        <f t="shared" si="518"/>
        <v>Red</v>
      </c>
      <c r="AD1601" t="str">
        <f t="shared" si="519"/>
        <v>Green</v>
      </c>
    </row>
    <row r="1602" spans="1:30" x14ac:dyDescent="0.2">
      <c r="A1602" t="str">
        <f t="shared" si="520"/>
        <v>25/07/2026JuventusStandard Liege</v>
      </c>
      <c r="D1602" s="2">
        <v>46228</v>
      </c>
      <c r="E1602" s="3">
        <v>0.75</v>
      </c>
      <c r="F1602" t="s">
        <v>4007</v>
      </c>
      <c r="G1602" t="s">
        <v>4008</v>
      </c>
      <c r="H1602">
        <v>0</v>
      </c>
      <c r="I1602">
        <v>0</v>
      </c>
      <c r="J1602">
        <v>0</v>
      </c>
      <c r="K1602">
        <v>1</v>
      </c>
      <c r="L1602" s="22" t="str">
        <f t="shared" si="521"/>
        <v>25/07/2026</v>
      </c>
      <c r="M1602" s="23">
        <f t="shared" si="522"/>
        <v>0.625</v>
      </c>
      <c r="N1602" t="str">
        <f t="shared" si="523"/>
        <v>0 - 1</v>
      </c>
      <c r="O1602" t="str">
        <f t="shared" ref="O1602:O1665" si="524">IF($J1602&gt;$K1602,"Green","Red")</f>
        <v>Red</v>
      </c>
      <c r="P1602" t="str">
        <f t="shared" ref="P1602:P1665" si="525">IF($J1602=$K1602,"Green","Red")</f>
        <v>Red</v>
      </c>
      <c r="Q1602" t="str">
        <f t="shared" ref="Q1602:Q1665" si="526">IF($J1602&lt;$K1602,"Green","Red")</f>
        <v>Green</v>
      </c>
      <c r="R1602" t="str">
        <f t="shared" ref="R1602:R1665" si="527">IF($J1602&gt;=$K1602,"Green","Red")</f>
        <v>Red</v>
      </c>
      <c r="S1602" t="str">
        <f t="shared" ref="S1602:S1665" si="528">IF($J1602&lt;=$K1602,"Green","Red")</f>
        <v>Green</v>
      </c>
      <c r="T1602" t="str">
        <f t="shared" ref="T1602:T1665" si="529">IF(OR($J1602&gt;$K1602,$J1602&lt;$K1602),"Green","Red")</f>
        <v>Green</v>
      </c>
      <c r="U1602" t="str">
        <f t="shared" ref="U1602:U1665" si="530">IF($H1602&gt;$I1602,"Green","Red")</f>
        <v>Red</v>
      </c>
      <c r="V1602" t="str">
        <f t="shared" ref="V1602:V1665" si="531">IF($H1602=$I1602,"Green","Red")</f>
        <v>Green</v>
      </c>
      <c r="W1602" t="str">
        <f t="shared" ref="W1602:W1665" si="532">IF($H1602&lt;$I1602,"Green","Red")</f>
        <v>Red</v>
      </c>
      <c r="X1602" t="str">
        <f t="shared" ref="X1602:X1665" si="533">IF($H1602+$I1602&gt;0,"Green","Red")</f>
        <v>Red</v>
      </c>
      <c r="Y1602" t="str">
        <f t="shared" ref="Y1602:Y1665" si="534">IF($J1602+$K1602&gt;1.5,"Green","Red")</f>
        <v>Red</v>
      </c>
      <c r="Z1602" t="str">
        <f t="shared" ref="Z1602:Z1665" si="535">IF($J1602+$K1602&gt;2.5,"Green","Red")</f>
        <v>Red</v>
      </c>
      <c r="AA1602" t="str">
        <f t="shared" ref="AA1602:AA1665" si="536">IF($J1602+$K1602&lt;2.5,"Green","Red")</f>
        <v>Green</v>
      </c>
      <c r="AB1602" t="str">
        <f t="shared" ref="AB1602:AB1665" si="537">IF($J1602+$K1602&lt;3.5,"Green","Red")</f>
        <v>Green</v>
      </c>
      <c r="AC1602" t="str">
        <f t="shared" ref="AC1602:AC1665" si="538">IF(AND($J1602&gt;0,$K1602&gt;0),"Green","Red")</f>
        <v>Red</v>
      </c>
      <c r="AD1602" t="str">
        <f t="shared" ref="AD1602:AD1665" si="539">IF(OR($J1602=0,$K1602=0),"Green","Red")</f>
        <v>Green</v>
      </c>
    </row>
    <row r="1603" spans="1:30" x14ac:dyDescent="0.2">
      <c r="A1603" t="str">
        <f t="shared" si="520"/>
        <v>25/07/2026ValenciaCD Castellon</v>
      </c>
      <c r="D1603" s="2">
        <v>46228</v>
      </c>
      <c r="E1603" s="3">
        <v>0.75</v>
      </c>
      <c r="F1603" t="s">
        <v>1808</v>
      </c>
      <c r="G1603" t="s">
        <v>4009</v>
      </c>
      <c r="H1603">
        <v>0</v>
      </c>
      <c r="I1603">
        <v>0</v>
      </c>
      <c r="J1603">
        <v>1</v>
      </c>
      <c r="K1603">
        <v>2</v>
      </c>
      <c r="L1603" s="22" t="str">
        <f t="shared" si="521"/>
        <v>25/07/2026</v>
      </c>
      <c r="M1603" s="23">
        <f t="shared" si="522"/>
        <v>0.625</v>
      </c>
      <c r="N1603" t="str">
        <f t="shared" si="523"/>
        <v>1 - 2</v>
      </c>
      <c r="O1603" t="str">
        <f t="shared" si="524"/>
        <v>Red</v>
      </c>
      <c r="P1603" t="str">
        <f t="shared" si="525"/>
        <v>Red</v>
      </c>
      <c r="Q1603" t="str">
        <f t="shared" si="526"/>
        <v>Green</v>
      </c>
      <c r="R1603" t="str">
        <f t="shared" si="527"/>
        <v>Red</v>
      </c>
      <c r="S1603" t="str">
        <f t="shared" si="528"/>
        <v>Green</v>
      </c>
      <c r="T1603" t="str">
        <f t="shared" si="529"/>
        <v>Green</v>
      </c>
      <c r="U1603" t="str">
        <f t="shared" si="530"/>
        <v>Red</v>
      </c>
      <c r="V1603" t="str">
        <f t="shared" si="531"/>
        <v>Green</v>
      </c>
      <c r="W1603" t="str">
        <f t="shared" si="532"/>
        <v>Red</v>
      </c>
      <c r="X1603" t="str">
        <f t="shared" si="533"/>
        <v>Red</v>
      </c>
      <c r="Y1603" t="str">
        <f t="shared" si="534"/>
        <v>Green</v>
      </c>
      <c r="Z1603" t="str">
        <f t="shared" si="535"/>
        <v>Green</v>
      </c>
      <c r="AA1603" t="str">
        <f t="shared" si="536"/>
        <v>Red</v>
      </c>
      <c r="AB1603" t="str">
        <f t="shared" si="537"/>
        <v>Green</v>
      </c>
      <c r="AC1603" t="str">
        <f t="shared" si="538"/>
        <v>Green</v>
      </c>
      <c r="AD1603" t="str">
        <f t="shared" si="539"/>
        <v>Red</v>
      </c>
    </row>
    <row r="1604" spans="1:30" x14ac:dyDescent="0.2">
      <c r="A1604" t="str">
        <f t="shared" si="520"/>
        <v>25/07/2026Lokomotiv SofiaLevski</v>
      </c>
      <c r="D1604" s="2">
        <v>46228</v>
      </c>
      <c r="E1604" s="3">
        <v>0.76041666666666663</v>
      </c>
      <c r="F1604" t="s">
        <v>301</v>
      </c>
      <c r="G1604" t="s">
        <v>871</v>
      </c>
      <c r="H1604">
        <v>0</v>
      </c>
      <c r="I1604">
        <v>0</v>
      </c>
      <c r="J1604">
        <v>1</v>
      </c>
      <c r="K1604">
        <v>2</v>
      </c>
      <c r="L1604" s="22" t="str">
        <f t="shared" si="521"/>
        <v>25/07/2026</v>
      </c>
      <c r="M1604" s="23">
        <f t="shared" si="522"/>
        <v>0.63541666666666663</v>
      </c>
      <c r="N1604" t="str">
        <f t="shared" si="523"/>
        <v>1 - 2</v>
      </c>
      <c r="O1604" t="str">
        <f t="shared" si="524"/>
        <v>Red</v>
      </c>
      <c r="P1604" t="str">
        <f t="shared" si="525"/>
        <v>Red</v>
      </c>
      <c r="Q1604" t="str">
        <f t="shared" si="526"/>
        <v>Green</v>
      </c>
      <c r="R1604" t="str">
        <f t="shared" si="527"/>
        <v>Red</v>
      </c>
      <c r="S1604" t="str">
        <f t="shared" si="528"/>
        <v>Green</v>
      </c>
      <c r="T1604" t="str">
        <f t="shared" si="529"/>
        <v>Green</v>
      </c>
      <c r="U1604" t="str">
        <f t="shared" si="530"/>
        <v>Red</v>
      </c>
      <c r="V1604" t="str">
        <f t="shared" si="531"/>
        <v>Green</v>
      </c>
      <c r="W1604" t="str">
        <f t="shared" si="532"/>
        <v>Red</v>
      </c>
      <c r="X1604" t="str">
        <f t="shared" si="533"/>
        <v>Red</v>
      </c>
      <c r="Y1604" t="str">
        <f t="shared" si="534"/>
        <v>Green</v>
      </c>
      <c r="Z1604" t="str">
        <f t="shared" si="535"/>
        <v>Green</v>
      </c>
      <c r="AA1604" t="str">
        <f t="shared" si="536"/>
        <v>Red</v>
      </c>
      <c r="AB1604" t="str">
        <f t="shared" si="537"/>
        <v>Green</v>
      </c>
      <c r="AC1604" t="str">
        <f t="shared" si="538"/>
        <v>Green</v>
      </c>
      <c r="AD1604" t="str">
        <f t="shared" si="539"/>
        <v>Red</v>
      </c>
    </row>
    <row r="1605" spans="1:30" x14ac:dyDescent="0.2">
      <c r="A1605" t="str">
        <f t="shared" si="520"/>
        <v>25/07/2026Lech PoznanCracovia</v>
      </c>
      <c r="D1605" s="2">
        <v>46228</v>
      </c>
      <c r="E1605" s="3">
        <v>0.76041666666666663</v>
      </c>
      <c r="F1605" t="s">
        <v>361</v>
      </c>
      <c r="G1605" t="s">
        <v>3535</v>
      </c>
      <c r="H1605">
        <v>0</v>
      </c>
      <c r="I1605">
        <v>0</v>
      </c>
      <c r="J1605">
        <v>0</v>
      </c>
      <c r="K1605">
        <v>0</v>
      </c>
      <c r="L1605" s="22" t="str">
        <f t="shared" si="521"/>
        <v>25/07/2026</v>
      </c>
      <c r="M1605" s="23">
        <f t="shared" si="522"/>
        <v>0.63541666666666663</v>
      </c>
      <c r="N1605" t="str">
        <f t="shared" si="523"/>
        <v>0 - 0</v>
      </c>
      <c r="O1605" t="str">
        <f t="shared" si="524"/>
        <v>Red</v>
      </c>
      <c r="P1605" t="str">
        <f t="shared" si="525"/>
        <v>Green</v>
      </c>
      <c r="Q1605" t="str">
        <f t="shared" si="526"/>
        <v>Red</v>
      </c>
      <c r="R1605" t="str">
        <f t="shared" si="527"/>
        <v>Green</v>
      </c>
      <c r="S1605" t="str">
        <f t="shared" si="528"/>
        <v>Green</v>
      </c>
      <c r="T1605" t="str">
        <f t="shared" si="529"/>
        <v>Red</v>
      </c>
      <c r="U1605" t="str">
        <f t="shared" si="530"/>
        <v>Red</v>
      </c>
      <c r="V1605" t="str">
        <f t="shared" si="531"/>
        <v>Green</v>
      </c>
      <c r="W1605" t="str">
        <f t="shared" si="532"/>
        <v>Red</v>
      </c>
      <c r="X1605" t="str">
        <f t="shared" si="533"/>
        <v>Red</v>
      </c>
      <c r="Y1605" t="str">
        <f t="shared" si="534"/>
        <v>Red</v>
      </c>
      <c r="Z1605" t="str">
        <f t="shared" si="535"/>
        <v>Red</v>
      </c>
      <c r="AA1605" t="str">
        <f t="shared" si="536"/>
        <v>Green</v>
      </c>
      <c r="AB1605" t="str">
        <f t="shared" si="537"/>
        <v>Green</v>
      </c>
      <c r="AC1605" t="str">
        <f t="shared" si="538"/>
        <v>Red</v>
      </c>
      <c r="AD1605" t="str">
        <f t="shared" si="539"/>
        <v>Green</v>
      </c>
    </row>
    <row r="1606" spans="1:30" x14ac:dyDescent="0.2">
      <c r="A1606" t="str">
        <f t="shared" si="520"/>
        <v>25/07/2026NK MariborNK Brinje Grosuplje</v>
      </c>
      <c r="D1606" s="2">
        <v>46228</v>
      </c>
      <c r="E1606" s="3">
        <v>0.76041666666666663</v>
      </c>
      <c r="F1606" t="s">
        <v>3635</v>
      </c>
      <c r="G1606" t="s">
        <v>3636</v>
      </c>
      <c r="H1606">
        <v>1</v>
      </c>
      <c r="I1606">
        <v>0</v>
      </c>
      <c r="J1606">
        <v>3</v>
      </c>
      <c r="K1606">
        <v>0</v>
      </c>
      <c r="L1606" s="22" t="str">
        <f t="shared" si="521"/>
        <v>25/07/2026</v>
      </c>
      <c r="M1606" s="23">
        <f t="shared" si="522"/>
        <v>0.63541666666666663</v>
      </c>
      <c r="N1606" t="str">
        <f t="shared" si="523"/>
        <v>3 - 0</v>
      </c>
      <c r="O1606" t="str">
        <f t="shared" si="524"/>
        <v>Green</v>
      </c>
      <c r="P1606" t="str">
        <f t="shared" si="525"/>
        <v>Red</v>
      </c>
      <c r="Q1606" t="str">
        <f t="shared" si="526"/>
        <v>Red</v>
      </c>
      <c r="R1606" t="str">
        <f t="shared" si="527"/>
        <v>Green</v>
      </c>
      <c r="S1606" t="str">
        <f t="shared" si="528"/>
        <v>Red</v>
      </c>
      <c r="T1606" t="str">
        <f t="shared" si="529"/>
        <v>Green</v>
      </c>
      <c r="U1606" t="str">
        <f t="shared" si="530"/>
        <v>Green</v>
      </c>
      <c r="V1606" t="str">
        <f t="shared" si="531"/>
        <v>Red</v>
      </c>
      <c r="W1606" t="str">
        <f t="shared" si="532"/>
        <v>Red</v>
      </c>
      <c r="X1606" t="str">
        <f t="shared" si="533"/>
        <v>Green</v>
      </c>
      <c r="Y1606" t="str">
        <f t="shared" si="534"/>
        <v>Green</v>
      </c>
      <c r="Z1606" t="str">
        <f t="shared" si="535"/>
        <v>Green</v>
      </c>
      <c r="AA1606" t="str">
        <f t="shared" si="536"/>
        <v>Red</v>
      </c>
      <c r="AB1606" t="str">
        <f t="shared" si="537"/>
        <v>Green</v>
      </c>
      <c r="AC1606" t="str">
        <f t="shared" si="538"/>
        <v>Red</v>
      </c>
      <c r="AD1606" t="str">
        <f t="shared" si="539"/>
        <v>Green</v>
      </c>
    </row>
    <row r="1607" spans="1:30" x14ac:dyDescent="0.2">
      <c r="A1607" t="str">
        <f t="shared" si="520"/>
        <v>25/07/2026Deportivo ArmenioArsenal de Sarandi</v>
      </c>
      <c r="B1607" t="s">
        <v>806</v>
      </c>
      <c r="C1607" t="s">
        <v>2766</v>
      </c>
      <c r="D1607" s="2">
        <v>46228</v>
      </c>
      <c r="E1607" s="3">
        <v>0.77083333333333337</v>
      </c>
      <c r="F1607" t="s">
        <v>716</v>
      </c>
      <c r="G1607" t="s">
        <v>2775</v>
      </c>
      <c r="H1607">
        <v>0</v>
      </c>
      <c r="I1607">
        <v>0</v>
      </c>
      <c r="J1607">
        <v>0</v>
      </c>
      <c r="K1607">
        <v>0</v>
      </c>
      <c r="L1607" s="22" t="str">
        <f t="shared" si="521"/>
        <v>25/07/2026</v>
      </c>
      <c r="M1607" s="23">
        <f t="shared" si="522"/>
        <v>0.64583333333333337</v>
      </c>
      <c r="N1607" t="str">
        <f t="shared" si="523"/>
        <v>0 - 0</v>
      </c>
      <c r="O1607" t="str">
        <f t="shared" si="524"/>
        <v>Red</v>
      </c>
      <c r="P1607" t="str">
        <f t="shared" si="525"/>
        <v>Green</v>
      </c>
      <c r="Q1607" t="str">
        <f t="shared" si="526"/>
        <v>Red</v>
      </c>
      <c r="R1607" t="str">
        <f t="shared" si="527"/>
        <v>Green</v>
      </c>
      <c r="S1607" t="str">
        <f t="shared" si="528"/>
        <v>Green</v>
      </c>
      <c r="T1607" t="str">
        <f t="shared" si="529"/>
        <v>Red</v>
      </c>
      <c r="U1607" t="str">
        <f t="shared" si="530"/>
        <v>Red</v>
      </c>
      <c r="V1607" t="str">
        <f t="shared" si="531"/>
        <v>Green</v>
      </c>
      <c r="W1607" t="str">
        <f t="shared" si="532"/>
        <v>Red</v>
      </c>
      <c r="X1607" t="str">
        <f t="shared" si="533"/>
        <v>Red</v>
      </c>
      <c r="Y1607" t="str">
        <f t="shared" si="534"/>
        <v>Red</v>
      </c>
      <c r="Z1607" t="str">
        <f t="shared" si="535"/>
        <v>Red</v>
      </c>
      <c r="AA1607" t="str">
        <f t="shared" si="536"/>
        <v>Green</v>
      </c>
      <c r="AB1607" t="str">
        <f t="shared" si="537"/>
        <v>Green</v>
      </c>
      <c r="AC1607" t="str">
        <f t="shared" si="538"/>
        <v>Red</v>
      </c>
      <c r="AD1607" t="str">
        <f t="shared" si="539"/>
        <v>Green</v>
      </c>
    </row>
    <row r="1608" spans="1:30" x14ac:dyDescent="0.2">
      <c r="A1608" t="str">
        <f t="shared" si="520"/>
        <v>25/07/2026Costa BravaDeportivo Rincon</v>
      </c>
      <c r="B1608" t="s">
        <v>806</v>
      </c>
      <c r="C1608" t="s">
        <v>2238</v>
      </c>
      <c r="D1608" s="2">
        <v>46228</v>
      </c>
      <c r="E1608" s="3">
        <v>0.77083333333333337</v>
      </c>
      <c r="F1608" t="s">
        <v>2786</v>
      </c>
      <c r="G1608" t="s">
        <v>2787</v>
      </c>
      <c r="H1608">
        <v>0</v>
      </c>
      <c r="I1608">
        <v>0</v>
      </c>
      <c r="J1608">
        <v>0</v>
      </c>
      <c r="K1608">
        <v>1</v>
      </c>
      <c r="L1608" s="22" t="str">
        <f t="shared" si="521"/>
        <v>25/07/2026</v>
      </c>
      <c r="M1608" s="23">
        <f t="shared" si="522"/>
        <v>0.64583333333333337</v>
      </c>
      <c r="N1608" t="str">
        <f t="shared" si="523"/>
        <v>0 - 1</v>
      </c>
      <c r="O1608" t="str">
        <f t="shared" si="524"/>
        <v>Red</v>
      </c>
      <c r="P1608" t="str">
        <f t="shared" si="525"/>
        <v>Red</v>
      </c>
      <c r="Q1608" t="str">
        <f t="shared" si="526"/>
        <v>Green</v>
      </c>
      <c r="R1608" t="str">
        <f t="shared" si="527"/>
        <v>Red</v>
      </c>
      <c r="S1608" t="str">
        <f t="shared" si="528"/>
        <v>Green</v>
      </c>
      <c r="T1608" t="str">
        <f t="shared" si="529"/>
        <v>Green</v>
      </c>
      <c r="U1608" t="str">
        <f t="shared" si="530"/>
        <v>Red</v>
      </c>
      <c r="V1608" t="str">
        <f t="shared" si="531"/>
        <v>Green</v>
      </c>
      <c r="W1608" t="str">
        <f t="shared" si="532"/>
        <v>Red</v>
      </c>
      <c r="X1608" t="str">
        <f t="shared" si="533"/>
        <v>Red</v>
      </c>
      <c r="Y1608" t="str">
        <f t="shared" si="534"/>
        <v>Red</v>
      </c>
      <c r="Z1608" t="str">
        <f t="shared" si="535"/>
        <v>Red</v>
      </c>
      <c r="AA1608" t="str">
        <f t="shared" si="536"/>
        <v>Green</v>
      </c>
      <c r="AB1608" t="str">
        <f t="shared" si="537"/>
        <v>Green</v>
      </c>
      <c r="AC1608" t="str">
        <f t="shared" si="538"/>
        <v>Red</v>
      </c>
      <c r="AD1608" t="str">
        <f t="shared" si="539"/>
        <v>Green</v>
      </c>
    </row>
    <row r="1609" spans="1:30" x14ac:dyDescent="0.2">
      <c r="A1609" t="str">
        <f t="shared" si="520"/>
        <v>25/07/2026Portuguesa LondrinensePSTC PR</v>
      </c>
      <c r="B1609" t="s">
        <v>804</v>
      </c>
      <c r="D1609" s="2">
        <v>46228</v>
      </c>
      <c r="E1609" s="3">
        <v>0.77083333333333337</v>
      </c>
      <c r="F1609" t="s">
        <v>3059</v>
      </c>
      <c r="G1609" t="s">
        <v>3060</v>
      </c>
      <c r="H1609">
        <v>0</v>
      </c>
      <c r="I1609">
        <v>0</v>
      </c>
      <c r="J1609">
        <v>2</v>
      </c>
      <c r="K1609">
        <v>4</v>
      </c>
      <c r="L1609" s="22" t="str">
        <f t="shared" si="521"/>
        <v>25/07/2026</v>
      </c>
      <c r="M1609" s="23">
        <f t="shared" si="522"/>
        <v>0.64583333333333337</v>
      </c>
      <c r="N1609" t="str">
        <f t="shared" si="523"/>
        <v>2 - 4</v>
      </c>
      <c r="O1609" t="str">
        <f t="shared" si="524"/>
        <v>Red</v>
      </c>
      <c r="P1609" t="str">
        <f t="shared" si="525"/>
        <v>Red</v>
      </c>
      <c r="Q1609" t="str">
        <f t="shared" si="526"/>
        <v>Green</v>
      </c>
      <c r="R1609" t="str">
        <f t="shared" si="527"/>
        <v>Red</v>
      </c>
      <c r="S1609" t="str">
        <f t="shared" si="528"/>
        <v>Green</v>
      </c>
      <c r="T1609" t="str">
        <f t="shared" si="529"/>
        <v>Green</v>
      </c>
      <c r="U1609" t="str">
        <f t="shared" si="530"/>
        <v>Red</v>
      </c>
      <c r="V1609" t="str">
        <f t="shared" si="531"/>
        <v>Green</v>
      </c>
      <c r="W1609" t="str">
        <f t="shared" si="532"/>
        <v>Red</v>
      </c>
      <c r="X1609" t="str">
        <f t="shared" si="533"/>
        <v>Red</v>
      </c>
      <c r="Y1609" t="str">
        <f t="shared" si="534"/>
        <v>Green</v>
      </c>
      <c r="Z1609" t="str">
        <f t="shared" si="535"/>
        <v>Green</v>
      </c>
      <c r="AA1609" t="str">
        <f t="shared" si="536"/>
        <v>Red</v>
      </c>
      <c r="AB1609" t="str">
        <f t="shared" si="537"/>
        <v>Red</v>
      </c>
      <c r="AC1609" t="str">
        <f t="shared" si="538"/>
        <v>Green</v>
      </c>
      <c r="AD1609" t="str">
        <f t="shared" si="539"/>
        <v>Red</v>
      </c>
    </row>
    <row r="1610" spans="1:30" x14ac:dyDescent="0.2">
      <c r="A1610" t="str">
        <f t="shared" si="520"/>
        <v>25/07/2026Tupy GOTrindade AC</v>
      </c>
      <c r="B1610" t="s">
        <v>804</v>
      </c>
      <c r="D1610" s="2">
        <v>46228</v>
      </c>
      <c r="E1610" s="3">
        <v>0.77083333333333337</v>
      </c>
      <c r="F1610" t="s">
        <v>3061</v>
      </c>
      <c r="G1610" t="s">
        <v>3062</v>
      </c>
      <c r="H1610">
        <v>1</v>
      </c>
      <c r="I1610">
        <v>1</v>
      </c>
      <c r="J1610">
        <v>2</v>
      </c>
      <c r="K1610">
        <v>1</v>
      </c>
      <c r="L1610" s="22" t="str">
        <f t="shared" si="521"/>
        <v>25/07/2026</v>
      </c>
      <c r="M1610" s="23">
        <f t="shared" si="522"/>
        <v>0.64583333333333337</v>
      </c>
      <c r="N1610" t="str">
        <f t="shared" si="523"/>
        <v>2 - 1</v>
      </c>
      <c r="O1610" t="str">
        <f t="shared" si="524"/>
        <v>Green</v>
      </c>
      <c r="P1610" t="str">
        <f t="shared" si="525"/>
        <v>Red</v>
      </c>
      <c r="Q1610" t="str">
        <f t="shared" si="526"/>
        <v>Red</v>
      </c>
      <c r="R1610" t="str">
        <f t="shared" si="527"/>
        <v>Green</v>
      </c>
      <c r="S1610" t="str">
        <f t="shared" si="528"/>
        <v>Red</v>
      </c>
      <c r="T1610" t="str">
        <f t="shared" si="529"/>
        <v>Green</v>
      </c>
      <c r="U1610" t="str">
        <f t="shared" si="530"/>
        <v>Red</v>
      </c>
      <c r="V1610" t="str">
        <f t="shared" si="531"/>
        <v>Green</v>
      </c>
      <c r="W1610" t="str">
        <f t="shared" si="532"/>
        <v>Red</v>
      </c>
      <c r="X1610" t="str">
        <f t="shared" si="533"/>
        <v>Green</v>
      </c>
      <c r="Y1610" t="str">
        <f t="shared" si="534"/>
        <v>Green</v>
      </c>
      <c r="Z1610" t="str">
        <f t="shared" si="535"/>
        <v>Green</v>
      </c>
      <c r="AA1610" t="str">
        <f t="shared" si="536"/>
        <v>Red</v>
      </c>
      <c r="AB1610" t="str">
        <f t="shared" si="537"/>
        <v>Green</v>
      </c>
      <c r="AC1610" t="str">
        <f t="shared" si="538"/>
        <v>Green</v>
      </c>
      <c r="AD1610" t="str">
        <f t="shared" si="539"/>
        <v>Red</v>
      </c>
    </row>
    <row r="1611" spans="1:30" x14ac:dyDescent="0.2">
      <c r="A1611" t="str">
        <f t="shared" si="520"/>
        <v>25/07/2026Paysandu PA WomenCA Piauiense Women</v>
      </c>
      <c r="B1611" t="s">
        <v>804</v>
      </c>
      <c r="D1611" s="2">
        <v>46228</v>
      </c>
      <c r="E1611" s="3">
        <v>0.77083333333333337</v>
      </c>
      <c r="F1611" t="s">
        <v>3078</v>
      </c>
      <c r="G1611" t="s">
        <v>1869</v>
      </c>
      <c r="H1611">
        <v>1</v>
      </c>
      <c r="I1611">
        <v>0</v>
      </c>
      <c r="J1611">
        <v>2</v>
      </c>
      <c r="K1611">
        <v>1</v>
      </c>
      <c r="L1611" s="22" t="str">
        <f t="shared" si="521"/>
        <v>25/07/2026</v>
      </c>
      <c r="M1611" s="23">
        <f t="shared" si="522"/>
        <v>0.64583333333333337</v>
      </c>
      <c r="N1611" t="str">
        <f t="shared" si="523"/>
        <v>2 - 1</v>
      </c>
      <c r="O1611" t="str">
        <f t="shared" si="524"/>
        <v>Green</v>
      </c>
      <c r="P1611" t="str">
        <f t="shared" si="525"/>
        <v>Red</v>
      </c>
      <c r="Q1611" t="str">
        <f t="shared" si="526"/>
        <v>Red</v>
      </c>
      <c r="R1611" t="str">
        <f t="shared" si="527"/>
        <v>Green</v>
      </c>
      <c r="S1611" t="str">
        <f t="shared" si="528"/>
        <v>Red</v>
      </c>
      <c r="T1611" t="str">
        <f t="shared" si="529"/>
        <v>Green</v>
      </c>
      <c r="U1611" t="str">
        <f t="shared" si="530"/>
        <v>Green</v>
      </c>
      <c r="V1611" t="str">
        <f t="shared" si="531"/>
        <v>Red</v>
      </c>
      <c r="W1611" t="str">
        <f t="shared" si="532"/>
        <v>Red</v>
      </c>
      <c r="X1611" t="str">
        <f t="shared" si="533"/>
        <v>Green</v>
      </c>
      <c r="Y1611" t="str">
        <f t="shared" si="534"/>
        <v>Green</v>
      </c>
      <c r="Z1611" t="str">
        <f t="shared" si="535"/>
        <v>Green</v>
      </c>
      <c r="AA1611" t="str">
        <f t="shared" si="536"/>
        <v>Red</v>
      </c>
      <c r="AB1611" t="str">
        <f t="shared" si="537"/>
        <v>Green</v>
      </c>
      <c r="AC1611" t="str">
        <f t="shared" si="538"/>
        <v>Green</v>
      </c>
      <c r="AD1611" t="str">
        <f t="shared" si="539"/>
        <v>Red</v>
      </c>
    </row>
    <row r="1612" spans="1:30" x14ac:dyDescent="0.2">
      <c r="A1612" t="str">
        <f t="shared" si="520"/>
        <v>25/07/2026Union Espanola Guayaquil WomenColo Colo Women</v>
      </c>
      <c r="D1612" s="2">
        <v>46228</v>
      </c>
      <c r="E1612" s="3">
        <v>0.77083333333333337</v>
      </c>
      <c r="F1612" t="s">
        <v>3121</v>
      </c>
      <c r="G1612" t="s">
        <v>3122</v>
      </c>
      <c r="H1612">
        <v>0</v>
      </c>
      <c r="I1612">
        <v>0</v>
      </c>
      <c r="J1612">
        <v>0</v>
      </c>
      <c r="K1612">
        <v>2</v>
      </c>
      <c r="L1612" s="22" t="str">
        <f t="shared" si="521"/>
        <v>25/07/2026</v>
      </c>
      <c r="M1612" s="23">
        <f t="shared" si="522"/>
        <v>0.64583333333333337</v>
      </c>
      <c r="N1612" t="str">
        <f t="shared" si="523"/>
        <v>0 - 2</v>
      </c>
      <c r="O1612" t="str">
        <f t="shared" si="524"/>
        <v>Red</v>
      </c>
      <c r="P1612" t="str">
        <f t="shared" si="525"/>
        <v>Red</v>
      </c>
      <c r="Q1612" t="str">
        <f t="shared" si="526"/>
        <v>Green</v>
      </c>
      <c r="R1612" t="str">
        <f t="shared" si="527"/>
        <v>Red</v>
      </c>
      <c r="S1612" t="str">
        <f t="shared" si="528"/>
        <v>Green</v>
      </c>
      <c r="T1612" t="str">
        <f t="shared" si="529"/>
        <v>Green</v>
      </c>
      <c r="U1612" t="str">
        <f t="shared" si="530"/>
        <v>Red</v>
      </c>
      <c r="V1612" t="str">
        <f t="shared" si="531"/>
        <v>Green</v>
      </c>
      <c r="W1612" t="str">
        <f t="shared" si="532"/>
        <v>Red</v>
      </c>
      <c r="X1612" t="str">
        <f t="shared" si="533"/>
        <v>Red</v>
      </c>
      <c r="Y1612" t="str">
        <f t="shared" si="534"/>
        <v>Green</v>
      </c>
      <c r="Z1612" t="str">
        <f t="shared" si="535"/>
        <v>Red</v>
      </c>
      <c r="AA1612" t="str">
        <f t="shared" si="536"/>
        <v>Green</v>
      </c>
      <c r="AB1612" t="str">
        <f t="shared" si="537"/>
        <v>Green</v>
      </c>
      <c r="AC1612" t="str">
        <f t="shared" si="538"/>
        <v>Red</v>
      </c>
      <c r="AD1612" t="str">
        <f t="shared" si="539"/>
        <v>Green</v>
      </c>
    </row>
    <row r="1613" spans="1:30" x14ac:dyDescent="0.2">
      <c r="A1613" t="str">
        <f t="shared" si="520"/>
        <v>25/07/20269 de Octubre22 de Julio</v>
      </c>
      <c r="D1613" s="2">
        <v>46228</v>
      </c>
      <c r="E1613" s="3">
        <v>0.77083333333333337</v>
      </c>
      <c r="F1613" t="s">
        <v>1846</v>
      </c>
      <c r="G1613" t="s">
        <v>3191</v>
      </c>
      <c r="H1613">
        <v>0</v>
      </c>
      <c r="I1613">
        <v>0</v>
      </c>
      <c r="J1613">
        <v>1</v>
      </c>
      <c r="K1613">
        <v>0</v>
      </c>
      <c r="L1613" s="22" t="str">
        <f t="shared" si="521"/>
        <v>25/07/2026</v>
      </c>
      <c r="M1613" s="23">
        <f t="shared" si="522"/>
        <v>0.64583333333333337</v>
      </c>
      <c r="N1613" t="str">
        <f t="shared" si="523"/>
        <v>1 - 0</v>
      </c>
      <c r="O1613" t="str">
        <f t="shared" si="524"/>
        <v>Green</v>
      </c>
      <c r="P1613" t="str">
        <f t="shared" si="525"/>
        <v>Red</v>
      </c>
      <c r="Q1613" t="str">
        <f t="shared" si="526"/>
        <v>Red</v>
      </c>
      <c r="R1613" t="str">
        <f t="shared" si="527"/>
        <v>Green</v>
      </c>
      <c r="S1613" t="str">
        <f t="shared" si="528"/>
        <v>Red</v>
      </c>
      <c r="T1613" t="str">
        <f t="shared" si="529"/>
        <v>Green</v>
      </c>
      <c r="U1613" t="str">
        <f t="shared" si="530"/>
        <v>Red</v>
      </c>
      <c r="V1613" t="str">
        <f t="shared" si="531"/>
        <v>Green</v>
      </c>
      <c r="W1613" t="str">
        <f t="shared" si="532"/>
        <v>Red</v>
      </c>
      <c r="X1613" t="str">
        <f t="shared" si="533"/>
        <v>Red</v>
      </c>
      <c r="Y1613" t="str">
        <f t="shared" si="534"/>
        <v>Red</v>
      </c>
      <c r="Z1613" t="str">
        <f t="shared" si="535"/>
        <v>Red</v>
      </c>
      <c r="AA1613" t="str">
        <f t="shared" si="536"/>
        <v>Green</v>
      </c>
      <c r="AB1613" t="str">
        <f t="shared" si="537"/>
        <v>Green</v>
      </c>
      <c r="AC1613" t="str">
        <f t="shared" si="538"/>
        <v>Red</v>
      </c>
      <c r="AD1613" t="str">
        <f t="shared" si="539"/>
        <v>Green</v>
      </c>
    </row>
    <row r="1614" spans="1:30" x14ac:dyDescent="0.2">
      <c r="A1614" t="str">
        <f t="shared" si="520"/>
        <v>25/07/2026Longford TownWexford Youths</v>
      </c>
      <c r="D1614" s="2">
        <v>46228</v>
      </c>
      <c r="E1614" s="3">
        <v>0.77083333333333337</v>
      </c>
      <c r="F1614" t="s">
        <v>678</v>
      </c>
      <c r="G1614" t="s">
        <v>3367</v>
      </c>
      <c r="H1614">
        <v>0</v>
      </c>
      <c r="I1614">
        <v>1</v>
      </c>
      <c r="J1614">
        <v>1</v>
      </c>
      <c r="K1614">
        <v>2</v>
      </c>
      <c r="L1614" s="22" t="str">
        <f t="shared" si="521"/>
        <v>25/07/2026</v>
      </c>
      <c r="M1614" s="23">
        <f t="shared" si="522"/>
        <v>0.64583333333333337</v>
      </c>
      <c r="N1614" t="str">
        <f t="shared" si="523"/>
        <v>1 - 2</v>
      </c>
      <c r="O1614" t="str">
        <f t="shared" si="524"/>
        <v>Red</v>
      </c>
      <c r="P1614" t="str">
        <f t="shared" si="525"/>
        <v>Red</v>
      </c>
      <c r="Q1614" t="str">
        <f t="shared" si="526"/>
        <v>Green</v>
      </c>
      <c r="R1614" t="str">
        <f t="shared" si="527"/>
        <v>Red</v>
      </c>
      <c r="S1614" t="str">
        <f t="shared" si="528"/>
        <v>Green</v>
      </c>
      <c r="T1614" t="str">
        <f t="shared" si="529"/>
        <v>Green</v>
      </c>
      <c r="U1614" t="str">
        <f t="shared" si="530"/>
        <v>Red</v>
      </c>
      <c r="V1614" t="str">
        <f t="shared" si="531"/>
        <v>Red</v>
      </c>
      <c r="W1614" t="str">
        <f t="shared" si="532"/>
        <v>Green</v>
      </c>
      <c r="X1614" t="str">
        <f t="shared" si="533"/>
        <v>Green</v>
      </c>
      <c r="Y1614" t="str">
        <f t="shared" si="534"/>
        <v>Green</v>
      </c>
      <c r="Z1614" t="str">
        <f t="shared" si="535"/>
        <v>Green</v>
      </c>
      <c r="AA1614" t="str">
        <f t="shared" si="536"/>
        <v>Red</v>
      </c>
      <c r="AB1614" t="str">
        <f t="shared" si="537"/>
        <v>Green</v>
      </c>
      <c r="AC1614" t="str">
        <f t="shared" si="538"/>
        <v>Green</v>
      </c>
      <c r="AD1614" t="str">
        <f t="shared" si="539"/>
        <v>Red</v>
      </c>
    </row>
    <row r="1615" spans="1:30" x14ac:dyDescent="0.2">
      <c r="A1615" t="str">
        <f t="shared" si="520"/>
        <v>25/07/2026Sport PodbrezovaMFK Zemplin Michalovce</v>
      </c>
      <c r="D1615" s="2">
        <v>46228</v>
      </c>
      <c r="E1615" s="3">
        <v>0.77083333333333337</v>
      </c>
      <c r="F1615" t="s">
        <v>3621</v>
      </c>
      <c r="G1615" t="s">
        <v>3622</v>
      </c>
      <c r="H1615">
        <v>2</v>
      </c>
      <c r="I1615">
        <v>0</v>
      </c>
      <c r="J1615">
        <v>2</v>
      </c>
      <c r="K1615">
        <v>0</v>
      </c>
      <c r="L1615" s="22" t="str">
        <f t="shared" si="521"/>
        <v>25/07/2026</v>
      </c>
      <c r="M1615" s="23">
        <f t="shared" si="522"/>
        <v>0.64583333333333337</v>
      </c>
      <c r="N1615" t="str">
        <f t="shared" si="523"/>
        <v>2 - 0</v>
      </c>
      <c r="O1615" t="str">
        <f t="shared" si="524"/>
        <v>Green</v>
      </c>
      <c r="P1615" t="str">
        <f t="shared" si="525"/>
        <v>Red</v>
      </c>
      <c r="Q1615" t="str">
        <f t="shared" si="526"/>
        <v>Red</v>
      </c>
      <c r="R1615" t="str">
        <f t="shared" si="527"/>
        <v>Green</v>
      </c>
      <c r="S1615" t="str">
        <f t="shared" si="528"/>
        <v>Red</v>
      </c>
      <c r="T1615" t="str">
        <f t="shared" si="529"/>
        <v>Green</v>
      </c>
      <c r="U1615" t="str">
        <f t="shared" si="530"/>
        <v>Green</v>
      </c>
      <c r="V1615" t="str">
        <f t="shared" si="531"/>
        <v>Red</v>
      </c>
      <c r="W1615" t="str">
        <f t="shared" si="532"/>
        <v>Red</v>
      </c>
      <c r="X1615" t="str">
        <f t="shared" si="533"/>
        <v>Green</v>
      </c>
      <c r="Y1615" t="str">
        <f t="shared" si="534"/>
        <v>Green</v>
      </c>
      <c r="Z1615" t="str">
        <f t="shared" si="535"/>
        <v>Red</v>
      </c>
      <c r="AA1615" t="str">
        <f t="shared" si="536"/>
        <v>Green</v>
      </c>
      <c r="AB1615" t="str">
        <f t="shared" si="537"/>
        <v>Green</v>
      </c>
      <c r="AC1615" t="str">
        <f t="shared" si="538"/>
        <v>Red</v>
      </c>
      <c r="AD1615" t="str">
        <f t="shared" si="539"/>
        <v>Green</v>
      </c>
    </row>
    <row r="1616" spans="1:30" x14ac:dyDescent="0.2">
      <c r="A1616" t="str">
        <f t="shared" si="520"/>
        <v>25/07/2026LuzernFC Thun</v>
      </c>
      <c r="D1616" s="2">
        <v>46228</v>
      </c>
      <c r="E1616" s="3">
        <v>0.77083333333333337</v>
      </c>
      <c r="F1616" t="s">
        <v>3677</v>
      </c>
      <c r="G1616" t="s">
        <v>362</v>
      </c>
      <c r="H1616">
        <v>1</v>
      </c>
      <c r="I1616">
        <v>1</v>
      </c>
      <c r="J1616">
        <v>1</v>
      </c>
      <c r="K1616">
        <v>3</v>
      </c>
      <c r="L1616" s="22" t="str">
        <f t="shared" si="521"/>
        <v>25/07/2026</v>
      </c>
      <c r="M1616" s="23">
        <f t="shared" si="522"/>
        <v>0.64583333333333337</v>
      </c>
      <c r="N1616" t="str">
        <f t="shared" si="523"/>
        <v>1 - 3</v>
      </c>
      <c r="O1616" t="str">
        <f t="shared" si="524"/>
        <v>Red</v>
      </c>
      <c r="P1616" t="str">
        <f t="shared" si="525"/>
        <v>Red</v>
      </c>
      <c r="Q1616" t="str">
        <f t="shared" si="526"/>
        <v>Green</v>
      </c>
      <c r="R1616" t="str">
        <f t="shared" si="527"/>
        <v>Red</v>
      </c>
      <c r="S1616" t="str">
        <f t="shared" si="528"/>
        <v>Green</v>
      </c>
      <c r="T1616" t="str">
        <f t="shared" si="529"/>
        <v>Green</v>
      </c>
      <c r="U1616" t="str">
        <f t="shared" si="530"/>
        <v>Red</v>
      </c>
      <c r="V1616" t="str">
        <f t="shared" si="531"/>
        <v>Green</v>
      </c>
      <c r="W1616" t="str">
        <f t="shared" si="532"/>
        <v>Red</v>
      </c>
      <c r="X1616" t="str">
        <f t="shared" si="533"/>
        <v>Green</v>
      </c>
      <c r="Y1616" t="str">
        <f t="shared" si="534"/>
        <v>Green</v>
      </c>
      <c r="Z1616" t="str">
        <f t="shared" si="535"/>
        <v>Green</v>
      </c>
      <c r="AA1616" t="str">
        <f t="shared" si="536"/>
        <v>Red</v>
      </c>
      <c r="AB1616" t="str">
        <f t="shared" si="537"/>
        <v>Red</v>
      </c>
      <c r="AC1616" t="str">
        <f t="shared" si="538"/>
        <v>Green</v>
      </c>
      <c r="AD1616" t="str">
        <f t="shared" si="539"/>
        <v>Red</v>
      </c>
    </row>
    <row r="1617" spans="1:30" x14ac:dyDescent="0.2">
      <c r="A1617" t="str">
        <f t="shared" si="520"/>
        <v>25/07/2026SassuoloParma</v>
      </c>
      <c r="D1617" s="2">
        <v>46228</v>
      </c>
      <c r="E1617" s="3">
        <v>0.77083333333333337</v>
      </c>
      <c r="F1617" t="s">
        <v>1643</v>
      </c>
      <c r="G1617" t="s">
        <v>4010</v>
      </c>
      <c r="H1617">
        <v>0</v>
      </c>
      <c r="I1617">
        <v>0</v>
      </c>
      <c r="J1617">
        <v>0</v>
      </c>
      <c r="K1617">
        <v>0</v>
      </c>
      <c r="L1617" s="22" t="str">
        <f t="shared" si="521"/>
        <v>25/07/2026</v>
      </c>
      <c r="M1617" s="23">
        <f t="shared" si="522"/>
        <v>0.64583333333333337</v>
      </c>
      <c r="N1617" t="str">
        <f t="shared" si="523"/>
        <v>0 - 0</v>
      </c>
      <c r="O1617" t="str">
        <f t="shared" si="524"/>
        <v>Red</v>
      </c>
      <c r="P1617" t="str">
        <f t="shared" si="525"/>
        <v>Green</v>
      </c>
      <c r="Q1617" t="str">
        <f t="shared" si="526"/>
        <v>Red</v>
      </c>
      <c r="R1617" t="str">
        <f t="shared" si="527"/>
        <v>Green</v>
      </c>
      <c r="S1617" t="str">
        <f t="shared" si="528"/>
        <v>Green</v>
      </c>
      <c r="T1617" t="str">
        <f t="shared" si="529"/>
        <v>Red</v>
      </c>
      <c r="U1617" t="str">
        <f t="shared" si="530"/>
        <v>Red</v>
      </c>
      <c r="V1617" t="str">
        <f t="shared" si="531"/>
        <v>Green</v>
      </c>
      <c r="W1617" t="str">
        <f t="shared" si="532"/>
        <v>Red</v>
      </c>
      <c r="X1617" t="str">
        <f t="shared" si="533"/>
        <v>Red</v>
      </c>
      <c r="Y1617" t="str">
        <f t="shared" si="534"/>
        <v>Red</v>
      </c>
      <c r="Z1617" t="str">
        <f t="shared" si="535"/>
        <v>Red</v>
      </c>
      <c r="AA1617" t="str">
        <f t="shared" si="536"/>
        <v>Green</v>
      </c>
      <c r="AB1617" t="str">
        <f t="shared" si="537"/>
        <v>Green</v>
      </c>
      <c r="AC1617" t="str">
        <f t="shared" si="538"/>
        <v>Red</v>
      </c>
      <c r="AD1617" t="str">
        <f t="shared" si="539"/>
        <v>Green</v>
      </c>
    </row>
    <row r="1618" spans="1:30" x14ac:dyDescent="0.2">
      <c r="A1618" t="str">
        <f t="shared" si="520"/>
        <v>25/07/2026Sporting CPMonaco</v>
      </c>
      <c r="D1618" s="2">
        <v>46228</v>
      </c>
      <c r="E1618" s="3">
        <v>0.77083333333333337</v>
      </c>
      <c r="F1618" t="s">
        <v>1312</v>
      </c>
      <c r="G1618" t="s">
        <v>4011</v>
      </c>
      <c r="H1618">
        <v>0</v>
      </c>
      <c r="I1618">
        <v>0</v>
      </c>
      <c r="J1618">
        <v>2</v>
      </c>
      <c r="K1618">
        <v>0</v>
      </c>
      <c r="L1618" s="22" t="str">
        <f t="shared" si="521"/>
        <v>25/07/2026</v>
      </c>
      <c r="M1618" s="23">
        <f t="shared" si="522"/>
        <v>0.64583333333333337</v>
      </c>
      <c r="N1618" t="str">
        <f t="shared" si="523"/>
        <v>2 - 0</v>
      </c>
      <c r="O1618" t="str">
        <f t="shared" si="524"/>
        <v>Green</v>
      </c>
      <c r="P1618" t="str">
        <f t="shared" si="525"/>
        <v>Red</v>
      </c>
      <c r="Q1618" t="str">
        <f t="shared" si="526"/>
        <v>Red</v>
      </c>
      <c r="R1618" t="str">
        <f t="shared" si="527"/>
        <v>Green</v>
      </c>
      <c r="S1618" t="str">
        <f t="shared" si="528"/>
        <v>Red</v>
      </c>
      <c r="T1618" t="str">
        <f t="shared" si="529"/>
        <v>Green</v>
      </c>
      <c r="U1618" t="str">
        <f t="shared" si="530"/>
        <v>Red</v>
      </c>
      <c r="V1618" t="str">
        <f t="shared" si="531"/>
        <v>Green</v>
      </c>
      <c r="W1618" t="str">
        <f t="shared" si="532"/>
        <v>Red</v>
      </c>
      <c r="X1618" t="str">
        <f t="shared" si="533"/>
        <v>Red</v>
      </c>
      <c r="Y1618" t="str">
        <f t="shared" si="534"/>
        <v>Green</v>
      </c>
      <c r="Z1618" t="str">
        <f t="shared" si="535"/>
        <v>Red</v>
      </c>
      <c r="AA1618" t="str">
        <f t="shared" si="536"/>
        <v>Green</v>
      </c>
      <c r="AB1618" t="str">
        <f t="shared" si="537"/>
        <v>Green</v>
      </c>
      <c r="AC1618" t="str">
        <f t="shared" si="538"/>
        <v>Red</v>
      </c>
      <c r="AD1618" t="str">
        <f t="shared" si="539"/>
        <v>Green</v>
      </c>
    </row>
    <row r="1619" spans="1:30" x14ac:dyDescent="0.2">
      <c r="A1619" t="str">
        <f t="shared" si="520"/>
        <v>25/07/2026Wycombe WanderersYeovil Town</v>
      </c>
      <c r="D1619" s="2">
        <v>46228</v>
      </c>
      <c r="E1619" s="3">
        <v>0.78055555555555556</v>
      </c>
      <c r="F1619" t="s">
        <v>1428</v>
      </c>
      <c r="G1619" t="s">
        <v>4012</v>
      </c>
      <c r="H1619">
        <v>2</v>
      </c>
      <c r="I1619">
        <v>1</v>
      </c>
      <c r="J1619">
        <v>3</v>
      </c>
      <c r="K1619">
        <v>2</v>
      </c>
      <c r="L1619" s="22" t="str">
        <f t="shared" si="521"/>
        <v>25/07/2026</v>
      </c>
      <c r="M1619" s="23">
        <f t="shared" si="522"/>
        <v>0.65555555555555556</v>
      </c>
      <c r="N1619" t="str">
        <f t="shared" si="523"/>
        <v>3 - 2</v>
      </c>
      <c r="O1619" t="str">
        <f t="shared" si="524"/>
        <v>Green</v>
      </c>
      <c r="P1619" t="str">
        <f t="shared" si="525"/>
        <v>Red</v>
      </c>
      <c r="Q1619" t="str">
        <f t="shared" si="526"/>
        <v>Red</v>
      </c>
      <c r="R1619" t="str">
        <f t="shared" si="527"/>
        <v>Green</v>
      </c>
      <c r="S1619" t="str">
        <f t="shared" si="528"/>
        <v>Red</v>
      </c>
      <c r="T1619" t="str">
        <f t="shared" si="529"/>
        <v>Green</v>
      </c>
      <c r="U1619" t="str">
        <f t="shared" si="530"/>
        <v>Green</v>
      </c>
      <c r="V1619" t="str">
        <f t="shared" si="531"/>
        <v>Red</v>
      </c>
      <c r="W1619" t="str">
        <f t="shared" si="532"/>
        <v>Red</v>
      </c>
      <c r="X1619" t="str">
        <f t="shared" si="533"/>
        <v>Green</v>
      </c>
      <c r="Y1619" t="str">
        <f t="shared" si="534"/>
        <v>Green</v>
      </c>
      <c r="Z1619" t="str">
        <f t="shared" si="535"/>
        <v>Green</v>
      </c>
      <c r="AA1619" t="str">
        <f t="shared" si="536"/>
        <v>Red</v>
      </c>
      <c r="AB1619" t="str">
        <f t="shared" si="537"/>
        <v>Red</v>
      </c>
      <c r="AC1619" t="str">
        <f t="shared" si="538"/>
        <v>Green</v>
      </c>
      <c r="AD1619" t="str">
        <f t="shared" si="539"/>
        <v>Red</v>
      </c>
    </row>
    <row r="1620" spans="1:30" x14ac:dyDescent="0.2">
      <c r="A1620" t="str">
        <f t="shared" si="520"/>
        <v>25/07/2026Sligo FCDrogheda United</v>
      </c>
      <c r="D1620" s="2">
        <v>46228</v>
      </c>
      <c r="E1620" s="3">
        <v>0.78125</v>
      </c>
      <c r="F1620" t="s">
        <v>3366</v>
      </c>
      <c r="G1620" t="s">
        <v>681</v>
      </c>
      <c r="H1620">
        <v>2</v>
      </c>
      <c r="I1620">
        <v>1</v>
      </c>
      <c r="J1620">
        <v>2</v>
      </c>
      <c r="K1620">
        <v>2</v>
      </c>
      <c r="L1620" s="22" t="str">
        <f t="shared" si="521"/>
        <v>25/07/2026</v>
      </c>
      <c r="M1620" s="23">
        <f t="shared" si="522"/>
        <v>0.65625</v>
      </c>
      <c r="N1620" t="str">
        <f t="shared" si="523"/>
        <v>2 - 2</v>
      </c>
      <c r="O1620" t="str">
        <f t="shared" si="524"/>
        <v>Red</v>
      </c>
      <c r="P1620" t="str">
        <f t="shared" si="525"/>
        <v>Green</v>
      </c>
      <c r="Q1620" t="str">
        <f t="shared" si="526"/>
        <v>Red</v>
      </c>
      <c r="R1620" t="str">
        <f t="shared" si="527"/>
        <v>Green</v>
      </c>
      <c r="S1620" t="str">
        <f t="shared" si="528"/>
        <v>Green</v>
      </c>
      <c r="T1620" t="str">
        <f t="shared" si="529"/>
        <v>Red</v>
      </c>
      <c r="U1620" t="str">
        <f t="shared" si="530"/>
        <v>Green</v>
      </c>
      <c r="V1620" t="str">
        <f t="shared" si="531"/>
        <v>Red</v>
      </c>
      <c r="W1620" t="str">
        <f t="shared" si="532"/>
        <v>Red</v>
      </c>
      <c r="X1620" t="str">
        <f t="shared" si="533"/>
        <v>Green</v>
      </c>
      <c r="Y1620" t="str">
        <f t="shared" si="534"/>
        <v>Green</v>
      </c>
      <c r="Z1620" t="str">
        <f t="shared" si="535"/>
        <v>Green</v>
      </c>
      <c r="AA1620" t="str">
        <f t="shared" si="536"/>
        <v>Red</v>
      </c>
      <c r="AB1620" t="str">
        <f t="shared" si="537"/>
        <v>Red</v>
      </c>
      <c r="AC1620" t="str">
        <f t="shared" si="538"/>
        <v>Green</v>
      </c>
      <c r="AD1620" t="str">
        <f t="shared" si="539"/>
        <v>Red</v>
      </c>
    </row>
    <row r="1621" spans="1:30" x14ac:dyDescent="0.2">
      <c r="A1621" t="str">
        <f t="shared" si="520"/>
        <v>25/07/2026Atletico de RafaelaNueva Chicago</v>
      </c>
      <c r="B1621" t="s">
        <v>806</v>
      </c>
      <c r="C1621" t="s">
        <v>807</v>
      </c>
      <c r="D1621" s="2">
        <v>46228</v>
      </c>
      <c r="E1621" s="3">
        <v>0.79166666666666663</v>
      </c>
      <c r="F1621" t="s">
        <v>2763</v>
      </c>
      <c r="G1621" t="s">
        <v>683</v>
      </c>
      <c r="H1621">
        <v>0</v>
      </c>
      <c r="I1621">
        <v>0</v>
      </c>
      <c r="J1621">
        <v>1</v>
      </c>
      <c r="K1621">
        <v>0</v>
      </c>
      <c r="L1621" s="22" t="str">
        <f t="shared" si="521"/>
        <v>25/07/2026</v>
      </c>
      <c r="M1621" s="23">
        <f t="shared" si="522"/>
        <v>0.66666666666666663</v>
      </c>
      <c r="N1621" t="str">
        <f t="shared" si="523"/>
        <v>1 - 0</v>
      </c>
      <c r="O1621" t="str">
        <f t="shared" si="524"/>
        <v>Green</v>
      </c>
      <c r="P1621" t="str">
        <f t="shared" si="525"/>
        <v>Red</v>
      </c>
      <c r="Q1621" t="str">
        <f t="shared" si="526"/>
        <v>Red</v>
      </c>
      <c r="R1621" t="str">
        <f t="shared" si="527"/>
        <v>Green</v>
      </c>
      <c r="S1621" t="str">
        <f t="shared" si="528"/>
        <v>Red</v>
      </c>
      <c r="T1621" t="str">
        <f t="shared" si="529"/>
        <v>Green</v>
      </c>
      <c r="U1621" t="str">
        <f t="shared" si="530"/>
        <v>Red</v>
      </c>
      <c r="V1621" t="str">
        <f t="shared" si="531"/>
        <v>Green</v>
      </c>
      <c r="W1621" t="str">
        <f t="shared" si="532"/>
        <v>Red</v>
      </c>
      <c r="X1621" t="str">
        <f t="shared" si="533"/>
        <v>Red</v>
      </c>
      <c r="Y1621" t="str">
        <f t="shared" si="534"/>
        <v>Red</v>
      </c>
      <c r="Z1621" t="str">
        <f t="shared" si="535"/>
        <v>Red</v>
      </c>
      <c r="AA1621" t="str">
        <f t="shared" si="536"/>
        <v>Green</v>
      </c>
      <c r="AB1621" t="str">
        <f t="shared" si="537"/>
        <v>Green</v>
      </c>
      <c r="AC1621" t="str">
        <f t="shared" si="538"/>
        <v>Red</v>
      </c>
      <c r="AD1621" t="str">
        <f t="shared" si="539"/>
        <v>Green</v>
      </c>
    </row>
    <row r="1622" spans="1:30" x14ac:dyDescent="0.2">
      <c r="A1622" t="str">
        <f t="shared" si="520"/>
        <v>25/07/2026Always ReadySA Bulo Bulo</v>
      </c>
      <c r="D1622" s="2">
        <v>46228</v>
      </c>
      <c r="E1622" s="3">
        <v>0.79166666666666663</v>
      </c>
      <c r="F1622" t="s">
        <v>684</v>
      </c>
      <c r="G1622" t="s">
        <v>311</v>
      </c>
      <c r="H1622">
        <v>1</v>
      </c>
      <c r="I1622">
        <v>0</v>
      </c>
      <c r="J1622">
        <v>3</v>
      </c>
      <c r="K1622">
        <v>1</v>
      </c>
      <c r="L1622" s="22" t="str">
        <f t="shared" si="521"/>
        <v>25/07/2026</v>
      </c>
      <c r="M1622" s="23">
        <f t="shared" si="522"/>
        <v>0.66666666666666663</v>
      </c>
      <c r="N1622" t="str">
        <f t="shared" si="523"/>
        <v>3 - 1</v>
      </c>
      <c r="O1622" t="str">
        <f t="shared" si="524"/>
        <v>Green</v>
      </c>
      <c r="P1622" t="str">
        <f t="shared" si="525"/>
        <v>Red</v>
      </c>
      <c r="Q1622" t="str">
        <f t="shared" si="526"/>
        <v>Red</v>
      </c>
      <c r="R1622" t="str">
        <f t="shared" si="527"/>
        <v>Green</v>
      </c>
      <c r="S1622" t="str">
        <f t="shared" si="528"/>
        <v>Red</v>
      </c>
      <c r="T1622" t="str">
        <f t="shared" si="529"/>
        <v>Green</v>
      </c>
      <c r="U1622" t="str">
        <f t="shared" si="530"/>
        <v>Green</v>
      </c>
      <c r="V1622" t="str">
        <f t="shared" si="531"/>
        <v>Red</v>
      </c>
      <c r="W1622" t="str">
        <f t="shared" si="532"/>
        <v>Red</v>
      </c>
      <c r="X1622" t="str">
        <f t="shared" si="533"/>
        <v>Green</v>
      </c>
      <c r="Y1622" t="str">
        <f t="shared" si="534"/>
        <v>Green</v>
      </c>
      <c r="Z1622" t="str">
        <f t="shared" si="535"/>
        <v>Green</v>
      </c>
      <c r="AA1622" t="str">
        <f t="shared" si="536"/>
        <v>Red</v>
      </c>
      <c r="AB1622" t="str">
        <f t="shared" si="537"/>
        <v>Red</v>
      </c>
      <c r="AC1622" t="str">
        <f t="shared" si="538"/>
        <v>Green</v>
      </c>
      <c r="AD1622" t="str">
        <f t="shared" si="539"/>
        <v>Red</v>
      </c>
    </row>
    <row r="1623" spans="1:30" x14ac:dyDescent="0.2">
      <c r="A1623" t="str">
        <f t="shared" si="520"/>
        <v>25/07/2026IguatuNacional AM</v>
      </c>
      <c r="B1623" t="s">
        <v>804</v>
      </c>
      <c r="D1623" s="2">
        <v>46228</v>
      </c>
      <c r="E1623" s="3">
        <v>0.79166666666666663</v>
      </c>
      <c r="F1623" t="s">
        <v>686</v>
      </c>
      <c r="G1623" t="s">
        <v>3050</v>
      </c>
      <c r="H1623">
        <v>1</v>
      </c>
      <c r="I1623">
        <v>1</v>
      </c>
      <c r="J1623">
        <v>1</v>
      </c>
      <c r="K1623">
        <v>1</v>
      </c>
      <c r="L1623" s="22" t="str">
        <f t="shared" si="521"/>
        <v>25/07/2026</v>
      </c>
      <c r="M1623" s="23">
        <f t="shared" si="522"/>
        <v>0.66666666666666663</v>
      </c>
      <c r="N1623" t="str">
        <f t="shared" si="523"/>
        <v>1 - 1</v>
      </c>
      <c r="O1623" t="str">
        <f t="shared" si="524"/>
        <v>Red</v>
      </c>
      <c r="P1623" t="str">
        <f t="shared" si="525"/>
        <v>Green</v>
      </c>
      <c r="Q1623" t="str">
        <f t="shared" si="526"/>
        <v>Red</v>
      </c>
      <c r="R1623" t="str">
        <f t="shared" si="527"/>
        <v>Green</v>
      </c>
      <c r="S1623" t="str">
        <f t="shared" si="528"/>
        <v>Green</v>
      </c>
      <c r="T1623" t="str">
        <f t="shared" si="529"/>
        <v>Red</v>
      </c>
      <c r="U1623" t="str">
        <f t="shared" si="530"/>
        <v>Red</v>
      </c>
      <c r="V1623" t="str">
        <f t="shared" si="531"/>
        <v>Green</v>
      </c>
      <c r="W1623" t="str">
        <f t="shared" si="532"/>
        <v>Red</v>
      </c>
      <c r="X1623" t="str">
        <f t="shared" si="533"/>
        <v>Green</v>
      </c>
      <c r="Y1623" t="str">
        <f t="shared" si="534"/>
        <v>Green</v>
      </c>
      <c r="Z1623" t="str">
        <f t="shared" si="535"/>
        <v>Red</v>
      </c>
      <c r="AA1623" t="str">
        <f t="shared" si="536"/>
        <v>Green</v>
      </c>
      <c r="AB1623" t="str">
        <f t="shared" si="537"/>
        <v>Green</v>
      </c>
      <c r="AC1623" t="str">
        <f t="shared" si="538"/>
        <v>Green</v>
      </c>
      <c r="AD1623" t="str">
        <f t="shared" si="539"/>
        <v>Red</v>
      </c>
    </row>
    <row r="1624" spans="1:30" x14ac:dyDescent="0.2">
      <c r="A1624" t="str">
        <f t="shared" si="520"/>
        <v>25/07/2026Portuguesa SPUberlandia MG</v>
      </c>
      <c r="B1624" t="s">
        <v>804</v>
      </c>
      <c r="D1624" s="2">
        <v>46228</v>
      </c>
      <c r="E1624" s="3">
        <v>0.79166666666666663</v>
      </c>
      <c r="F1624" t="s">
        <v>3051</v>
      </c>
      <c r="G1624" t="s">
        <v>3052</v>
      </c>
      <c r="H1624">
        <v>0</v>
      </c>
      <c r="I1624">
        <v>0</v>
      </c>
      <c r="J1624">
        <v>1</v>
      </c>
      <c r="K1624">
        <v>0</v>
      </c>
      <c r="L1624" s="22" t="str">
        <f t="shared" si="521"/>
        <v>25/07/2026</v>
      </c>
      <c r="M1624" s="23">
        <f t="shared" si="522"/>
        <v>0.66666666666666663</v>
      </c>
      <c r="N1624" t="str">
        <f t="shared" si="523"/>
        <v>1 - 0</v>
      </c>
      <c r="O1624" t="str">
        <f t="shared" si="524"/>
        <v>Green</v>
      </c>
      <c r="P1624" t="str">
        <f t="shared" si="525"/>
        <v>Red</v>
      </c>
      <c r="Q1624" t="str">
        <f t="shared" si="526"/>
        <v>Red</v>
      </c>
      <c r="R1624" t="str">
        <f t="shared" si="527"/>
        <v>Green</v>
      </c>
      <c r="S1624" t="str">
        <f t="shared" si="528"/>
        <v>Red</v>
      </c>
      <c r="T1624" t="str">
        <f t="shared" si="529"/>
        <v>Green</v>
      </c>
      <c r="U1624" t="str">
        <f t="shared" si="530"/>
        <v>Red</v>
      </c>
      <c r="V1624" t="str">
        <f t="shared" si="531"/>
        <v>Green</v>
      </c>
      <c r="W1624" t="str">
        <f t="shared" si="532"/>
        <v>Red</v>
      </c>
      <c r="X1624" t="str">
        <f t="shared" si="533"/>
        <v>Red</v>
      </c>
      <c r="Y1624" t="str">
        <f t="shared" si="534"/>
        <v>Red</v>
      </c>
      <c r="Z1624" t="str">
        <f t="shared" si="535"/>
        <v>Red</v>
      </c>
      <c r="AA1624" t="str">
        <f t="shared" si="536"/>
        <v>Green</v>
      </c>
      <c r="AB1624" t="str">
        <f t="shared" si="537"/>
        <v>Green</v>
      </c>
      <c r="AC1624" t="str">
        <f t="shared" si="538"/>
        <v>Red</v>
      </c>
      <c r="AD1624" t="str">
        <f t="shared" si="539"/>
        <v>Green</v>
      </c>
    </row>
    <row r="1625" spans="1:30" x14ac:dyDescent="0.2">
      <c r="A1625" t="str">
        <f t="shared" si="520"/>
        <v>25/07/2026Democrata SLCA Patrocinense</v>
      </c>
      <c r="B1625" t="s">
        <v>804</v>
      </c>
      <c r="D1625" s="2">
        <v>46228</v>
      </c>
      <c r="E1625" s="3">
        <v>0.79166666666666663</v>
      </c>
      <c r="F1625" t="s">
        <v>3053</v>
      </c>
      <c r="G1625" t="s">
        <v>3054</v>
      </c>
      <c r="H1625">
        <v>0</v>
      </c>
      <c r="I1625">
        <v>0</v>
      </c>
      <c r="J1625">
        <v>2</v>
      </c>
      <c r="K1625">
        <v>1</v>
      </c>
      <c r="L1625" s="22" t="str">
        <f t="shared" si="521"/>
        <v>25/07/2026</v>
      </c>
      <c r="M1625" s="23">
        <f t="shared" si="522"/>
        <v>0.66666666666666663</v>
      </c>
      <c r="N1625" t="str">
        <f t="shared" si="523"/>
        <v>2 - 1</v>
      </c>
      <c r="O1625" t="str">
        <f t="shared" si="524"/>
        <v>Green</v>
      </c>
      <c r="P1625" t="str">
        <f t="shared" si="525"/>
        <v>Red</v>
      </c>
      <c r="Q1625" t="str">
        <f t="shared" si="526"/>
        <v>Red</v>
      </c>
      <c r="R1625" t="str">
        <f t="shared" si="527"/>
        <v>Green</v>
      </c>
      <c r="S1625" t="str">
        <f t="shared" si="528"/>
        <v>Red</v>
      </c>
      <c r="T1625" t="str">
        <f t="shared" si="529"/>
        <v>Green</v>
      </c>
      <c r="U1625" t="str">
        <f t="shared" si="530"/>
        <v>Red</v>
      </c>
      <c r="V1625" t="str">
        <f t="shared" si="531"/>
        <v>Green</v>
      </c>
      <c r="W1625" t="str">
        <f t="shared" si="532"/>
        <v>Red</v>
      </c>
      <c r="X1625" t="str">
        <f t="shared" si="533"/>
        <v>Red</v>
      </c>
      <c r="Y1625" t="str">
        <f t="shared" si="534"/>
        <v>Green</v>
      </c>
      <c r="Z1625" t="str">
        <f t="shared" si="535"/>
        <v>Green</v>
      </c>
      <c r="AA1625" t="str">
        <f t="shared" si="536"/>
        <v>Red</v>
      </c>
      <c r="AB1625" t="str">
        <f t="shared" si="537"/>
        <v>Green</v>
      </c>
      <c r="AC1625" t="str">
        <f t="shared" si="538"/>
        <v>Green</v>
      </c>
      <c r="AD1625" t="str">
        <f t="shared" si="539"/>
        <v>Red</v>
      </c>
    </row>
    <row r="1626" spans="1:30" x14ac:dyDescent="0.2">
      <c r="A1626" t="str">
        <f t="shared" si="520"/>
        <v>25/07/2026Gremio Anapolis GOMorrinhos FC</v>
      </c>
      <c r="B1626" t="s">
        <v>804</v>
      </c>
      <c r="D1626" s="2">
        <v>46228</v>
      </c>
      <c r="E1626" s="3">
        <v>0.79166666666666663</v>
      </c>
      <c r="F1626" t="s">
        <v>3063</v>
      </c>
      <c r="G1626" t="s">
        <v>3064</v>
      </c>
      <c r="H1626">
        <v>0</v>
      </c>
      <c r="I1626">
        <v>1</v>
      </c>
      <c r="J1626">
        <v>0</v>
      </c>
      <c r="K1626">
        <v>1</v>
      </c>
      <c r="L1626" s="22" t="str">
        <f t="shared" si="521"/>
        <v>25/07/2026</v>
      </c>
      <c r="M1626" s="23">
        <f t="shared" si="522"/>
        <v>0.66666666666666663</v>
      </c>
      <c r="N1626" t="str">
        <f t="shared" si="523"/>
        <v>0 - 1</v>
      </c>
      <c r="O1626" t="str">
        <f t="shared" si="524"/>
        <v>Red</v>
      </c>
      <c r="P1626" t="str">
        <f t="shared" si="525"/>
        <v>Red</v>
      </c>
      <c r="Q1626" t="str">
        <f t="shared" si="526"/>
        <v>Green</v>
      </c>
      <c r="R1626" t="str">
        <f t="shared" si="527"/>
        <v>Red</v>
      </c>
      <c r="S1626" t="str">
        <f t="shared" si="528"/>
        <v>Green</v>
      </c>
      <c r="T1626" t="str">
        <f t="shared" si="529"/>
        <v>Green</v>
      </c>
      <c r="U1626" t="str">
        <f t="shared" si="530"/>
        <v>Red</v>
      </c>
      <c r="V1626" t="str">
        <f t="shared" si="531"/>
        <v>Red</v>
      </c>
      <c r="W1626" t="str">
        <f t="shared" si="532"/>
        <v>Green</v>
      </c>
      <c r="X1626" t="str">
        <f t="shared" si="533"/>
        <v>Green</v>
      </c>
      <c r="Y1626" t="str">
        <f t="shared" si="534"/>
        <v>Red</v>
      </c>
      <c r="Z1626" t="str">
        <f t="shared" si="535"/>
        <v>Red</v>
      </c>
      <c r="AA1626" t="str">
        <f t="shared" si="536"/>
        <v>Green</v>
      </c>
      <c r="AB1626" t="str">
        <f t="shared" si="537"/>
        <v>Green</v>
      </c>
      <c r="AC1626" t="str">
        <f t="shared" si="538"/>
        <v>Red</v>
      </c>
      <c r="AD1626" t="str">
        <f t="shared" si="539"/>
        <v>Green</v>
      </c>
    </row>
    <row r="1627" spans="1:30" x14ac:dyDescent="0.2">
      <c r="A1627" t="str">
        <f t="shared" si="520"/>
        <v>25/07/2026EC TupyEstrela do Norte</v>
      </c>
      <c r="B1627" t="s">
        <v>804</v>
      </c>
      <c r="D1627" s="2">
        <v>46228</v>
      </c>
      <c r="E1627" s="3">
        <v>0.79166666666666663</v>
      </c>
      <c r="F1627" t="s">
        <v>438</v>
      </c>
      <c r="G1627" t="s">
        <v>1788</v>
      </c>
      <c r="H1627">
        <v>0</v>
      </c>
      <c r="I1627">
        <v>0</v>
      </c>
      <c r="J1627">
        <v>0</v>
      </c>
      <c r="K1627">
        <v>1</v>
      </c>
      <c r="L1627" s="22" t="str">
        <f t="shared" si="521"/>
        <v>25/07/2026</v>
      </c>
      <c r="M1627" s="23">
        <f t="shared" si="522"/>
        <v>0.66666666666666663</v>
      </c>
      <c r="N1627" t="str">
        <f t="shared" si="523"/>
        <v>0 - 1</v>
      </c>
      <c r="O1627" t="str">
        <f t="shared" si="524"/>
        <v>Red</v>
      </c>
      <c r="P1627" t="str">
        <f t="shared" si="525"/>
        <v>Red</v>
      </c>
      <c r="Q1627" t="str">
        <f t="shared" si="526"/>
        <v>Green</v>
      </c>
      <c r="R1627" t="str">
        <f t="shared" si="527"/>
        <v>Red</v>
      </c>
      <c r="S1627" t="str">
        <f t="shared" si="528"/>
        <v>Green</v>
      </c>
      <c r="T1627" t="str">
        <f t="shared" si="529"/>
        <v>Green</v>
      </c>
      <c r="U1627" t="str">
        <f t="shared" si="530"/>
        <v>Red</v>
      </c>
      <c r="V1627" t="str">
        <f t="shared" si="531"/>
        <v>Green</v>
      </c>
      <c r="W1627" t="str">
        <f t="shared" si="532"/>
        <v>Red</v>
      </c>
      <c r="X1627" t="str">
        <f t="shared" si="533"/>
        <v>Red</v>
      </c>
      <c r="Y1627" t="str">
        <f t="shared" si="534"/>
        <v>Red</v>
      </c>
      <c r="Z1627" t="str">
        <f t="shared" si="535"/>
        <v>Red</v>
      </c>
      <c r="AA1627" t="str">
        <f t="shared" si="536"/>
        <v>Green</v>
      </c>
      <c r="AB1627" t="str">
        <f t="shared" si="537"/>
        <v>Green</v>
      </c>
      <c r="AC1627" t="str">
        <f t="shared" si="538"/>
        <v>Red</v>
      </c>
      <c r="AD1627" t="str">
        <f t="shared" si="539"/>
        <v>Green</v>
      </c>
    </row>
    <row r="1628" spans="1:30" x14ac:dyDescent="0.2">
      <c r="A1628" t="str">
        <f t="shared" si="520"/>
        <v>25/07/2026Mixto MT WomenPalmeiras Women</v>
      </c>
      <c r="B1628" t="s">
        <v>804</v>
      </c>
      <c r="D1628" s="2">
        <v>46228</v>
      </c>
      <c r="E1628" s="3">
        <v>0.79166666666666663</v>
      </c>
      <c r="F1628" t="s">
        <v>3069</v>
      </c>
      <c r="G1628" t="s">
        <v>3070</v>
      </c>
      <c r="H1628">
        <v>0</v>
      </c>
      <c r="I1628">
        <v>0</v>
      </c>
      <c r="J1628">
        <v>0</v>
      </c>
      <c r="K1628">
        <v>0</v>
      </c>
      <c r="L1628" s="22" t="str">
        <f t="shared" si="521"/>
        <v>25/07/2026</v>
      </c>
      <c r="M1628" s="23">
        <f t="shared" si="522"/>
        <v>0.66666666666666663</v>
      </c>
      <c r="N1628" t="str">
        <f t="shared" si="523"/>
        <v>0 - 0</v>
      </c>
      <c r="O1628" t="str">
        <f t="shared" si="524"/>
        <v>Red</v>
      </c>
      <c r="P1628" t="str">
        <f t="shared" si="525"/>
        <v>Green</v>
      </c>
      <c r="Q1628" t="str">
        <f t="shared" si="526"/>
        <v>Red</v>
      </c>
      <c r="R1628" t="str">
        <f t="shared" si="527"/>
        <v>Green</v>
      </c>
      <c r="S1628" t="str">
        <f t="shared" si="528"/>
        <v>Green</v>
      </c>
      <c r="T1628" t="str">
        <f t="shared" si="529"/>
        <v>Red</v>
      </c>
      <c r="U1628" t="str">
        <f t="shared" si="530"/>
        <v>Red</v>
      </c>
      <c r="V1628" t="str">
        <f t="shared" si="531"/>
        <v>Green</v>
      </c>
      <c r="W1628" t="str">
        <f t="shared" si="532"/>
        <v>Red</v>
      </c>
      <c r="X1628" t="str">
        <f t="shared" si="533"/>
        <v>Red</v>
      </c>
      <c r="Y1628" t="str">
        <f t="shared" si="534"/>
        <v>Red</v>
      </c>
      <c r="Z1628" t="str">
        <f t="shared" si="535"/>
        <v>Red</v>
      </c>
      <c r="AA1628" t="str">
        <f t="shared" si="536"/>
        <v>Green</v>
      </c>
      <c r="AB1628" t="str">
        <f t="shared" si="537"/>
        <v>Green</v>
      </c>
      <c r="AC1628" t="str">
        <f t="shared" si="538"/>
        <v>Red</v>
      </c>
      <c r="AD1628" t="str">
        <f t="shared" si="539"/>
        <v>Green</v>
      </c>
    </row>
    <row r="1629" spans="1:30" x14ac:dyDescent="0.2">
      <c r="A1629" t="str">
        <f t="shared" si="520"/>
        <v>25/07/2026JC Futbol Clube AM Women3B Sport AM Women</v>
      </c>
      <c r="B1629" t="s">
        <v>804</v>
      </c>
      <c r="D1629" s="2">
        <v>46228</v>
      </c>
      <c r="E1629" s="3">
        <v>0.79166666666666663</v>
      </c>
      <c r="F1629" t="s">
        <v>3079</v>
      </c>
      <c r="G1629" t="s">
        <v>1317</v>
      </c>
      <c r="H1629">
        <v>0</v>
      </c>
      <c r="I1629">
        <v>3</v>
      </c>
      <c r="J1629">
        <v>0</v>
      </c>
      <c r="K1629">
        <v>4</v>
      </c>
      <c r="L1629" s="22" t="str">
        <f t="shared" si="521"/>
        <v>25/07/2026</v>
      </c>
      <c r="M1629" s="23">
        <f t="shared" si="522"/>
        <v>0.66666666666666663</v>
      </c>
      <c r="N1629" t="str">
        <f t="shared" si="523"/>
        <v>0 - 4</v>
      </c>
      <c r="O1629" t="str">
        <f t="shared" si="524"/>
        <v>Red</v>
      </c>
      <c r="P1629" t="str">
        <f t="shared" si="525"/>
        <v>Red</v>
      </c>
      <c r="Q1629" t="str">
        <f t="shared" si="526"/>
        <v>Green</v>
      </c>
      <c r="R1629" t="str">
        <f t="shared" si="527"/>
        <v>Red</v>
      </c>
      <c r="S1629" t="str">
        <f t="shared" si="528"/>
        <v>Green</v>
      </c>
      <c r="T1629" t="str">
        <f t="shared" si="529"/>
        <v>Green</v>
      </c>
      <c r="U1629" t="str">
        <f t="shared" si="530"/>
        <v>Red</v>
      </c>
      <c r="V1629" t="str">
        <f t="shared" si="531"/>
        <v>Red</v>
      </c>
      <c r="W1629" t="str">
        <f t="shared" si="532"/>
        <v>Green</v>
      </c>
      <c r="X1629" t="str">
        <f t="shared" si="533"/>
        <v>Green</v>
      </c>
      <c r="Y1629" t="str">
        <f t="shared" si="534"/>
        <v>Green</v>
      </c>
      <c r="Z1629" t="str">
        <f t="shared" si="535"/>
        <v>Green</v>
      </c>
      <c r="AA1629" t="str">
        <f t="shared" si="536"/>
        <v>Red</v>
      </c>
      <c r="AB1629" t="str">
        <f t="shared" si="537"/>
        <v>Red</v>
      </c>
      <c r="AC1629" t="str">
        <f t="shared" si="538"/>
        <v>Red</v>
      </c>
      <c r="AD1629" t="str">
        <f t="shared" si="539"/>
        <v>Green</v>
      </c>
    </row>
    <row r="1630" spans="1:30" x14ac:dyDescent="0.2">
      <c r="A1630" t="str">
        <f t="shared" si="520"/>
        <v>25/07/2026Sociedade Acao WomenPerolas Negras Women</v>
      </c>
      <c r="B1630" t="s">
        <v>804</v>
      </c>
      <c r="D1630" s="2">
        <v>46228</v>
      </c>
      <c r="E1630" s="3">
        <v>0.79166666666666663</v>
      </c>
      <c r="F1630" t="s">
        <v>3080</v>
      </c>
      <c r="G1630" t="s">
        <v>3081</v>
      </c>
      <c r="H1630">
        <v>0</v>
      </c>
      <c r="I1630">
        <v>0</v>
      </c>
      <c r="J1630">
        <v>0</v>
      </c>
      <c r="K1630">
        <v>0</v>
      </c>
      <c r="L1630" s="22" t="str">
        <f t="shared" si="521"/>
        <v>25/07/2026</v>
      </c>
      <c r="M1630" s="23">
        <f t="shared" si="522"/>
        <v>0.66666666666666663</v>
      </c>
      <c r="N1630" t="str">
        <f t="shared" si="523"/>
        <v>0 - 0</v>
      </c>
      <c r="O1630" t="str">
        <f t="shared" si="524"/>
        <v>Red</v>
      </c>
      <c r="P1630" t="str">
        <f t="shared" si="525"/>
        <v>Green</v>
      </c>
      <c r="Q1630" t="str">
        <f t="shared" si="526"/>
        <v>Red</v>
      </c>
      <c r="R1630" t="str">
        <f t="shared" si="527"/>
        <v>Green</v>
      </c>
      <c r="S1630" t="str">
        <f t="shared" si="528"/>
        <v>Green</v>
      </c>
      <c r="T1630" t="str">
        <f t="shared" si="529"/>
        <v>Red</v>
      </c>
      <c r="U1630" t="str">
        <f t="shared" si="530"/>
        <v>Red</v>
      </c>
      <c r="V1630" t="str">
        <f t="shared" si="531"/>
        <v>Green</v>
      </c>
      <c r="W1630" t="str">
        <f t="shared" si="532"/>
        <v>Red</v>
      </c>
      <c r="X1630" t="str">
        <f t="shared" si="533"/>
        <v>Red</v>
      </c>
      <c r="Y1630" t="str">
        <f t="shared" si="534"/>
        <v>Red</v>
      </c>
      <c r="Z1630" t="str">
        <f t="shared" si="535"/>
        <v>Red</v>
      </c>
      <c r="AA1630" t="str">
        <f t="shared" si="536"/>
        <v>Green</v>
      </c>
      <c r="AB1630" t="str">
        <f t="shared" si="537"/>
        <v>Green</v>
      </c>
      <c r="AC1630" t="str">
        <f t="shared" si="538"/>
        <v>Red</v>
      </c>
      <c r="AD1630" t="str">
        <f t="shared" si="539"/>
        <v>Green</v>
      </c>
    </row>
    <row r="1631" spans="1:30" x14ac:dyDescent="0.2">
      <c r="A1631" t="str">
        <f t="shared" si="520"/>
        <v>25/07/2026Coquimbo UnidoUniversidad de Concepcion</v>
      </c>
      <c r="D1631" s="2">
        <v>46228</v>
      </c>
      <c r="E1631" s="3">
        <v>0.79166666666666663</v>
      </c>
      <c r="F1631" t="s">
        <v>690</v>
      </c>
      <c r="G1631" t="s">
        <v>3114</v>
      </c>
      <c r="L1631" s="22" t="str">
        <f t="shared" si="521"/>
        <v>25/07/2026</v>
      </c>
      <c r="M1631" s="23">
        <f t="shared" si="522"/>
        <v>0.66666666666666663</v>
      </c>
      <c r="N1631" t="str">
        <f t="shared" si="523"/>
        <v xml:space="preserve"> - </v>
      </c>
      <c r="O1631" t="str">
        <f t="shared" si="524"/>
        <v>Red</v>
      </c>
      <c r="P1631" t="str">
        <f t="shared" si="525"/>
        <v>Green</v>
      </c>
      <c r="Q1631" t="str">
        <f t="shared" si="526"/>
        <v>Red</v>
      </c>
      <c r="R1631" t="str">
        <f t="shared" si="527"/>
        <v>Green</v>
      </c>
      <c r="S1631" t="str">
        <f t="shared" si="528"/>
        <v>Green</v>
      </c>
      <c r="T1631" t="str">
        <f t="shared" si="529"/>
        <v>Red</v>
      </c>
      <c r="U1631" t="str">
        <f t="shared" si="530"/>
        <v>Red</v>
      </c>
      <c r="V1631" t="str">
        <f t="shared" si="531"/>
        <v>Green</v>
      </c>
      <c r="W1631" t="str">
        <f t="shared" si="532"/>
        <v>Red</v>
      </c>
      <c r="X1631" t="str">
        <f t="shared" si="533"/>
        <v>Red</v>
      </c>
      <c r="Y1631" t="str">
        <f t="shared" si="534"/>
        <v>Red</v>
      </c>
      <c r="Z1631" t="str">
        <f t="shared" si="535"/>
        <v>Red</v>
      </c>
      <c r="AA1631" t="str">
        <f t="shared" si="536"/>
        <v>Green</v>
      </c>
      <c r="AB1631" t="str">
        <f t="shared" si="537"/>
        <v>Green</v>
      </c>
      <c r="AC1631" t="str">
        <f t="shared" si="538"/>
        <v>Red</v>
      </c>
      <c r="AD1631" t="str">
        <f t="shared" si="539"/>
        <v>Green</v>
      </c>
    </row>
    <row r="1632" spans="1:30" x14ac:dyDescent="0.2">
      <c r="A1632" t="str">
        <f t="shared" si="520"/>
        <v>25/07/2026Curico UnidoSan Luis Quillota</v>
      </c>
      <c r="D1632" s="2">
        <v>46228</v>
      </c>
      <c r="E1632" s="3">
        <v>0.79166666666666663</v>
      </c>
      <c r="F1632" t="s">
        <v>692</v>
      </c>
      <c r="G1632" t="s">
        <v>3117</v>
      </c>
      <c r="H1632">
        <v>0</v>
      </c>
      <c r="I1632">
        <v>1</v>
      </c>
      <c r="J1632">
        <v>1</v>
      </c>
      <c r="K1632">
        <v>2</v>
      </c>
      <c r="L1632" s="22" t="str">
        <f t="shared" si="521"/>
        <v>25/07/2026</v>
      </c>
      <c r="M1632" s="23">
        <f t="shared" si="522"/>
        <v>0.66666666666666663</v>
      </c>
      <c r="N1632" t="str">
        <f t="shared" si="523"/>
        <v>1 - 2</v>
      </c>
      <c r="O1632" t="str">
        <f t="shared" si="524"/>
        <v>Red</v>
      </c>
      <c r="P1632" t="str">
        <f t="shared" si="525"/>
        <v>Red</v>
      </c>
      <c r="Q1632" t="str">
        <f t="shared" si="526"/>
        <v>Green</v>
      </c>
      <c r="R1632" t="str">
        <f t="shared" si="527"/>
        <v>Red</v>
      </c>
      <c r="S1632" t="str">
        <f t="shared" si="528"/>
        <v>Green</v>
      </c>
      <c r="T1632" t="str">
        <f t="shared" si="529"/>
        <v>Green</v>
      </c>
      <c r="U1632" t="str">
        <f t="shared" si="530"/>
        <v>Red</v>
      </c>
      <c r="V1632" t="str">
        <f t="shared" si="531"/>
        <v>Red</v>
      </c>
      <c r="W1632" t="str">
        <f t="shared" si="532"/>
        <v>Green</v>
      </c>
      <c r="X1632" t="str">
        <f t="shared" si="533"/>
        <v>Green</v>
      </c>
      <c r="Y1632" t="str">
        <f t="shared" si="534"/>
        <v>Green</v>
      </c>
      <c r="Z1632" t="str">
        <f t="shared" si="535"/>
        <v>Green</v>
      </c>
      <c r="AA1632" t="str">
        <f t="shared" si="536"/>
        <v>Red</v>
      </c>
      <c r="AB1632" t="str">
        <f t="shared" si="537"/>
        <v>Green</v>
      </c>
      <c r="AC1632" t="str">
        <f t="shared" si="538"/>
        <v>Green</v>
      </c>
      <c r="AD1632" t="str">
        <f t="shared" si="539"/>
        <v>Red</v>
      </c>
    </row>
    <row r="1633" spans="1:30" x14ac:dyDescent="0.2">
      <c r="A1633" t="str">
        <f t="shared" si="520"/>
        <v>25/07/2026Santiago Wanderers WomenUniversidad de Chile Women</v>
      </c>
      <c r="D1633" s="2">
        <v>46228</v>
      </c>
      <c r="E1633" s="3">
        <v>0.79166666666666663</v>
      </c>
      <c r="F1633" t="s">
        <v>3119</v>
      </c>
      <c r="G1633" t="s">
        <v>3120</v>
      </c>
      <c r="L1633" s="22" t="str">
        <f t="shared" si="521"/>
        <v>25/07/2026</v>
      </c>
      <c r="M1633" s="23">
        <f t="shared" si="522"/>
        <v>0.66666666666666663</v>
      </c>
      <c r="N1633" t="str">
        <f t="shared" si="523"/>
        <v xml:space="preserve"> - </v>
      </c>
      <c r="O1633" t="str">
        <f t="shared" si="524"/>
        <v>Red</v>
      </c>
      <c r="P1633" t="str">
        <f t="shared" si="525"/>
        <v>Green</v>
      </c>
      <c r="Q1633" t="str">
        <f t="shared" si="526"/>
        <v>Red</v>
      </c>
      <c r="R1633" t="str">
        <f t="shared" si="527"/>
        <v>Green</v>
      </c>
      <c r="S1633" t="str">
        <f t="shared" si="528"/>
        <v>Green</v>
      </c>
      <c r="T1633" t="str">
        <f t="shared" si="529"/>
        <v>Red</v>
      </c>
      <c r="U1633" t="str">
        <f t="shared" si="530"/>
        <v>Red</v>
      </c>
      <c r="V1633" t="str">
        <f t="shared" si="531"/>
        <v>Green</v>
      </c>
      <c r="W1633" t="str">
        <f t="shared" si="532"/>
        <v>Red</v>
      </c>
      <c r="X1633" t="str">
        <f t="shared" si="533"/>
        <v>Red</v>
      </c>
      <c r="Y1633" t="str">
        <f t="shared" si="534"/>
        <v>Red</v>
      </c>
      <c r="Z1633" t="str">
        <f t="shared" si="535"/>
        <v>Red</v>
      </c>
      <c r="AA1633" t="str">
        <f t="shared" si="536"/>
        <v>Green</v>
      </c>
      <c r="AB1633" t="str">
        <f t="shared" si="537"/>
        <v>Green</v>
      </c>
      <c r="AC1633" t="str">
        <f t="shared" si="538"/>
        <v>Red</v>
      </c>
      <c r="AD1633" t="str">
        <f t="shared" si="539"/>
        <v>Green</v>
      </c>
    </row>
    <row r="1634" spans="1:30" x14ac:dyDescent="0.2">
      <c r="A1634" t="str">
        <f t="shared" si="520"/>
        <v>25/07/2026San Pedro (GTM)Club Xelaju</v>
      </c>
      <c r="D1634" s="2">
        <v>46228</v>
      </c>
      <c r="E1634" s="3">
        <v>0.79166666666666663</v>
      </c>
      <c r="F1634" t="s">
        <v>3293</v>
      </c>
      <c r="G1634" t="s">
        <v>3294</v>
      </c>
      <c r="H1634">
        <v>0</v>
      </c>
      <c r="I1634">
        <v>0</v>
      </c>
      <c r="J1634">
        <v>1</v>
      </c>
      <c r="K1634">
        <v>0</v>
      </c>
      <c r="L1634" s="22" t="str">
        <f t="shared" si="521"/>
        <v>25/07/2026</v>
      </c>
      <c r="M1634" s="23">
        <f t="shared" si="522"/>
        <v>0.66666666666666663</v>
      </c>
      <c r="N1634" t="str">
        <f t="shared" si="523"/>
        <v>1 - 0</v>
      </c>
      <c r="O1634" t="str">
        <f t="shared" si="524"/>
        <v>Green</v>
      </c>
      <c r="P1634" t="str">
        <f t="shared" si="525"/>
        <v>Red</v>
      </c>
      <c r="Q1634" t="str">
        <f t="shared" si="526"/>
        <v>Red</v>
      </c>
      <c r="R1634" t="str">
        <f t="shared" si="527"/>
        <v>Green</v>
      </c>
      <c r="S1634" t="str">
        <f t="shared" si="528"/>
        <v>Red</v>
      </c>
      <c r="T1634" t="str">
        <f t="shared" si="529"/>
        <v>Green</v>
      </c>
      <c r="U1634" t="str">
        <f t="shared" si="530"/>
        <v>Red</v>
      </c>
      <c r="V1634" t="str">
        <f t="shared" si="531"/>
        <v>Green</v>
      </c>
      <c r="W1634" t="str">
        <f t="shared" si="532"/>
        <v>Red</v>
      </c>
      <c r="X1634" t="str">
        <f t="shared" si="533"/>
        <v>Red</v>
      </c>
      <c r="Y1634" t="str">
        <f t="shared" si="534"/>
        <v>Red</v>
      </c>
      <c r="Z1634" t="str">
        <f t="shared" si="535"/>
        <v>Red</v>
      </c>
      <c r="AA1634" t="str">
        <f t="shared" si="536"/>
        <v>Green</v>
      </c>
      <c r="AB1634" t="str">
        <f t="shared" si="537"/>
        <v>Green</v>
      </c>
      <c r="AC1634" t="str">
        <f t="shared" si="538"/>
        <v>Red</v>
      </c>
      <c r="AD1634" t="str">
        <f t="shared" si="539"/>
        <v>Green</v>
      </c>
    </row>
    <row r="1635" spans="1:30" x14ac:dyDescent="0.2">
      <c r="A1635" t="str">
        <f t="shared" si="520"/>
        <v>25/07/2026CD RecoletaSportivo San Lorenzo</v>
      </c>
      <c r="D1635" s="2">
        <v>46228</v>
      </c>
      <c r="E1635" s="3">
        <v>0.79166666666666663</v>
      </c>
      <c r="F1635" t="s">
        <v>3516</v>
      </c>
      <c r="G1635" t="s">
        <v>695</v>
      </c>
      <c r="H1635">
        <v>0</v>
      </c>
      <c r="I1635">
        <v>1</v>
      </c>
      <c r="J1635">
        <v>1</v>
      </c>
      <c r="K1635">
        <v>1</v>
      </c>
      <c r="L1635" s="22" t="str">
        <f t="shared" si="521"/>
        <v>25/07/2026</v>
      </c>
      <c r="M1635" s="23">
        <f t="shared" si="522"/>
        <v>0.66666666666666663</v>
      </c>
      <c r="N1635" t="str">
        <f t="shared" si="523"/>
        <v>1 - 1</v>
      </c>
      <c r="O1635" t="str">
        <f t="shared" si="524"/>
        <v>Red</v>
      </c>
      <c r="P1635" t="str">
        <f t="shared" si="525"/>
        <v>Green</v>
      </c>
      <c r="Q1635" t="str">
        <f t="shared" si="526"/>
        <v>Red</v>
      </c>
      <c r="R1635" t="str">
        <f t="shared" si="527"/>
        <v>Green</v>
      </c>
      <c r="S1635" t="str">
        <f t="shared" si="528"/>
        <v>Green</v>
      </c>
      <c r="T1635" t="str">
        <f t="shared" si="529"/>
        <v>Red</v>
      </c>
      <c r="U1635" t="str">
        <f t="shared" si="530"/>
        <v>Red</v>
      </c>
      <c r="V1635" t="str">
        <f t="shared" si="531"/>
        <v>Red</v>
      </c>
      <c r="W1635" t="str">
        <f t="shared" si="532"/>
        <v>Green</v>
      </c>
      <c r="X1635" t="str">
        <f t="shared" si="533"/>
        <v>Green</v>
      </c>
      <c r="Y1635" t="str">
        <f t="shared" si="534"/>
        <v>Green</v>
      </c>
      <c r="Z1635" t="str">
        <f t="shared" si="535"/>
        <v>Red</v>
      </c>
      <c r="AA1635" t="str">
        <f t="shared" si="536"/>
        <v>Green</v>
      </c>
      <c r="AB1635" t="str">
        <f t="shared" si="537"/>
        <v>Green</v>
      </c>
      <c r="AC1635" t="str">
        <f t="shared" si="538"/>
        <v>Green</v>
      </c>
      <c r="AD1635" t="str">
        <f t="shared" si="539"/>
        <v>Red</v>
      </c>
    </row>
    <row r="1636" spans="1:30" x14ac:dyDescent="0.2">
      <c r="A1636" t="str">
        <f t="shared" si="520"/>
        <v>25/07/2026PortoAston Villa</v>
      </c>
      <c r="D1636" s="2">
        <v>46228</v>
      </c>
      <c r="E1636" s="3">
        <v>0.79166666666666663</v>
      </c>
      <c r="F1636" t="s">
        <v>1843</v>
      </c>
      <c r="G1636" t="s">
        <v>1520</v>
      </c>
      <c r="H1636">
        <v>2</v>
      </c>
      <c r="I1636">
        <v>1</v>
      </c>
      <c r="J1636">
        <v>2</v>
      </c>
      <c r="K1636">
        <v>1</v>
      </c>
      <c r="L1636" s="22" t="str">
        <f t="shared" si="521"/>
        <v>25/07/2026</v>
      </c>
      <c r="M1636" s="23">
        <f t="shared" si="522"/>
        <v>0.66666666666666663</v>
      </c>
      <c r="N1636" t="str">
        <f t="shared" si="523"/>
        <v>2 - 1</v>
      </c>
      <c r="O1636" t="str">
        <f t="shared" si="524"/>
        <v>Green</v>
      </c>
      <c r="P1636" t="str">
        <f t="shared" si="525"/>
        <v>Red</v>
      </c>
      <c r="Q1636" t="str">
        <f t="shared" si="526"/>
        <v>Red</v>
      </c>
      <c r="R1636" t="str">
        <f t="shared" si="527"/>
        <v>Green</v>
      </c>
      <c r="S1636" t="str">
        <f t="shared" si="528"/>
        <v>Red</v>
      </c>
      <c r="T1636" t="str">
        <f t="shared" si="529"/>
        <v>Green</v>
      </c>
      <c r="U1636" t="str">
        <f t="shared" si="530"/>
        <v>Green</v>
      </c>
      <c r="V1636" t="str">
        <f t="shared" si="531"/>
        <v>Red</v>
      </c>
      <c r="W1636" t="str">
        <f t="shared" si="532"/>
        <v>Red</v>
      </c>
      <c r="X1636" t="str">
        <f t="shared" si="533"/>
        <v>Green</v>
      </c>
      <c r="Y1636" t="str">
        <f t="shared" si="534"/>
        <v>Green</v>
      </c>
      <c r="Z1636" t="str">
        <f t="shared" si="535"/>
        <v>Green</v>
      </c>
      <c r="AA1636" t="str">
        <f t="shared" si="536"/>
        <v>Red</v>
      </c>
      <c r="AB1636" t="str">
        <f t="shared" si="537"/>
        <v>Green</v>
      </c>
      <c r="AC1636" t="str">
        <f t="shared" si="538"/>
        <v>Green</v>
      </c>
      <c r="AD1636" t="str">
        <f t="shared" si="539"/>
        <v>Red</v>
      </c>
    </row>
    <row r="1637" spans="1:30" x14ac:dyDescent="0.2">
      <c r="A1637" t="str">
        <f t="shared" si="520"/>
        <v>25/07/2026Universidad Catolica del Ecuador WomenEmelec Women</v>
      </c>
      <c r="D1637" s="2">
        <v>46228</v>
      </c>
      <c r="E1637" s="3">
        <v>0.8125</v>
      </c>
      <c r="F1637" t="s">
        <v>3200</v>
      </c>
      <c r="G1637" t="s">
        <v>3201</v>
      </c>
      <c r="H1637">
        <v>0</v>
      </c>
      <c r="I1637">
        <v>0</v>
      </c>
      <c r="J1637">
        <v>7</v>
      </c>
      <c r="K1637">
        <v>0</v>
      </c>
      <c r="L1637" s="22" t="str">
        <f t="shared" si="521"/>
        <v>25/07/2026</v>
      </c>
      <c r="M1637" s="23">
        <f t="shared" si="522"/>
        <v>0.6875</v>
      </c>
      <c r="N1637" t="str">
        <f t="shared" si="523"/>
        <v>7 - 0</v>
      </c>
      <c r="O1637" t="str">
        <f t="shared" si="524"/>
        <v>Green</v>
      </c>
      <c r="P1637" t="str">
        <f t="shared" si="525"/>
        <v>Red</v>
      </c>
      <c r="Q1637" t="str">
        <f t="shared" si="526"/>
        <v>Red</v>
      </c>
      <c r="R1637" t="str">
        <f t="shared" si="527"/>
        <v>Green</v>
      </c>
      <c r="S1637" t="str">
        <f t="shared" si="528"/>
        <v>Red</v>
      </c>
      <c r="T1637" t="str">
        <f t="shared" si="529"/>
        <v>Green</v>
      </c>
      <c r="U1637" t="str">
        <f t="shared" si="530"/>
        <v>Red</v>
      </c>
      <c r="V1637" t="str">
        <f t="shared" si="531"/>
        <v>Green</v>
      </c>
      <c r="W1637" t="str">
        <f t="shared" si="532"/>
        <v>Red</v>
      </c>
      <c r="X1637" t="str">
        <f t="shared" si="533"/>
        <v>Red</v>
      </c>
      <c r="Y1637" t="str">
        <f t="shared" si="534"/>
        <v>Green</v>
      </c>
      <c r="Z1637" t="str">
        <f t="shared" si="535"/>
        <v>Green</v>
      </c>
      <c r="AA1637" t="str">
        <f t="shared" si="536"/>
        <v>Red</v>
      </c>
      <c r="AB1637" t="str">
        <f t="shared" si="537"/>
        <v>Red</v>
      </c>
      <c r="AC1637" t="str">
        <f t="shared" si="538"/>
        <v>Red</v>
      </c>
      <c r="AD1637" t="str">
        <f t="shared" si="539"/>
        <v>Green</v>
      </c>
    </row>
    <row r="1638" spans="1:30" x14ac:dyDescent="0.2">
      <c r="A1638" t="str">
        <f t="shared" si="520"/>
        <v>25/07/2026Academia Puerto Cabello IIBarquisimeto</v>
      </c>
      <c r="D1638" s="2">
        <v>46228</v>
      </c>
      <c r="E1638" s="3">
        <v>0.8125</v>
      </c>
      <c r="F1638" t="s">
        <v>3729</v>
      </c>
      <c r="G1638" t="s">
        <v>3730</v>
      </c>
      <c r="H1638">
        <v>1</v>
      </c>
      <c r="I1638">
        <v>1</v>
      </c>
      <c r="J1638">
        <v>2</v>
      </c>
      <c r="K1638">
        <v>2</v>
      </c>
      <c r="L1638" s="22" t="str">
        <f t="shared" si="521"/>
        <v>25/07/2026</v>
      </c>
      <c r="M1638" s="23">
        <f t="shared" si="522"/>
        <v>0.6875</v>
      </c>
      <c r="N1638" t="str">
        <f t="shared" si="523"/>
        <v>2 - 2</v>
      </c>
      <c r="O1638" t="str">
        <f t="shared" si="524"/>
        <v>Red</v>
      </c>
      <c r="P1638" t="str">
        <f t="shared" si="525"/>
        <v>Green</v>
      </c>
      <c r="Q1638" t="str">
        <f t="shared" si="526"/>
        <v>Red</v>
      </c>
      <c r="R1638" t="str">
        <f t="shared" si="527"/>
        <v>Green</v>
      </c>
      <c r="S1638" t="str">
        <f t="shared" si="528"/>
        <v>Green</v>
      </c>
      <c r="T1638" t="str">
        <f t="shared" si="529"/>
        <v>Red</v>
      </c>
      <c r="U1638" t="str">
        <f t="shared" si="530"/>
        <v>Red</v>
      </c>
      <c r="V1638" t="str">
        <f t="shared" si="531"/>
        <v>Green</v>
      </c>
      <c r="W1638" t="str">
        <f t="shared" si="532"/>
        <v>Red</v>
      </c>
      <c r="X1638" t="str">
        <f t="shared" si="533"/>
        <v>Green</v>
      </c>
      <c r="Y1638" t="str">
        <f t="shared" si="534"/>
        <v>Green</v>
      </c>
      <c r="Z1638" t="str">
        <f t="shared" si="535"/>
        <v>Green</v>
      </c>
      <c r="AA1638" t="str">
        <f t="shared" si="536"/>
        <v>Red</v>
      </c>
      <c r="AB1638" t="str">
        <f t="shared" si="537"/>
        <v>Red</v>
      </c>
      <c r="AC1638" t="str">
        <f t="shared" si="538"/>
        <v>Green</v>
      </c>
      <c r="AD1638" t="str">
        <f t="shared" si="539"/>
        <v>Red</v>
      </c>
    </row>
    <row r="1639" spans="1:30" x14ac:dyDescent="0.2">
      <c r="A1639" t="str">
        <f t="shared" si="520"/>
        <v>25/07/2026Real Frontera FCUrena</v>
      </c>
      <c r="D1639" s="2">
        <v>46228</v>
      </c>
      <c r="E1639" s="3">
        <v>0.8125</v>
      </c>
      <c r="F1639" t="s">
        <v>3731</v>
      </c>
      <c r="G1639" t="s">
        <v>3732</v>
      </c>
      <c r="H1639">
        <v>0</v>
      </c>
      <c r="I1639">
        <v>3</v>
      </c>
      <c r="J1639">
        <v>1</v>
      </c>
      <c r="K1639">
        <v>5</v>
      </c>
      <c r="L1639" s="22" t="str">
        <f t="shared" si="521"/>
        <v>25/07/2026</v>
      </c>
      <c r="M1639" s="23">
        <f t="shared" si="522"/>
        <v>0.6875</v>
      </c>
      <c r="N1639" t="str">
        <f t="shared" si="523"/>
        <v>1 - 5</v>
      </c>
      <c r="O1639" t="str">
        <f t="shared" si="524"/>
        <v>Red</v>
      </c>
      <c r="P1639" t="str">
        <f t="shared" si="525"/>
        <v>Red</v>
      </c>
      <c r="Q1639" t="str">
        <f t="shared" si="526"/>
        <v>Green</v>
      </c>
      <c r="R1639" t="str">
        <f t="shared" si="527"/>
        <v>Red</v>
      </c>
      <c r="S1639" t="str">
        <f t="shared" si="528"/>
        <v>Green</v>
      </c>
      <c r="T1639" t="str">
        <f t="shared" si="529"/>
        <v>Green</v>
      </c>
      <c r="U1639" t="str">
        <f t="shared" si="530"/>
        <v>Red</v>
      </c>
      <c r="V1639" t="str">
        <f t="shared" si="531"/>
        <v>Red</v>
      </c>
      <c r="W1639" t="str">
        <f t="shared" si="532"/>
        <v>Green</v>
      </c>
      <c r="X1639" t="str">
        <f t="shared" si="533"/>
        <v>Green</v>
      </c>
      <c r="Y1639" t="str">
        <f t="shared" si="534"/>
        <v>Green</v>
      </c>
      <c r="Z1639" t="str">
        <f t="shared" si="535"/>
        <v>Green</v>
      </c>
      <c r="AA1639" t="str">
        <f t="shared" si="536"/>
        <v>Red</v>
      </c>
      <c r="AB1639" t="str">
        <f t="shared" si="537"/>
        <v>Red</v>
      </c>
      <c r="AC1639" t="str">
        <f t="shared" si="538"/>
        <v>Green</v>
      </c>
      <c r="AD1639" t="str">
        <f t="shared" si="539"/>
        <v>Red</v>
      </c>
    </row>
    <row r="1640" spans="1:30" x14ac:dyDescent="0.2">
      <c r="A1640" t="str">
        <f t="shared" si="520"/>
        <v>25/07/2026Newell's Old BoysTalleres de Cordoba</v>
      </c>
      <c r="B1640" t="s">
        <v>806</v>
      </c>
      <c r="C1640" t="s">
        <v>2229</v>
      </c>
      <c r="D1640" s="2">
        <v>46228</v>
      </c>
      <c r="E1640" s="3">
        <v>0.83333333333333337</v>
      </c>
      <c r="F1640" t="s">
        <v>696</v>
      </c>
      <c r="G1640" t="s">
        <v>2760</v>
      </c>
      <c r="H1640">
        <v>0</v>
      </c>
      <c r="I1640">
        <v>0</v>
      </c>
      <c r="J1640">
        <v>1</v>
      </c>
      <c r="K1640">
        <v>0</v>
      </c>
      <c r="L1640" s="22" t="str">
        <f t="shared" si="521"/>
        <v>25/07/2026</v>
      </c>
      <c r="M1640" s="23">
        <f t="shared" si="522"/>
        <v>0.70833333333333337</v>
      </c>
      <c r="N1640" t="str">
        <f t="shared" si="523"/>
        <v>1 - 0</v>
      </c>
      <c r="O1640" t="str">
        <f t="shared" si="524"/>
        <v>Green</v>
      </c>
      <c r="P1640" t="str">
        <f t="shared" si="525"/>
        <v>Red</v>
      </c>
      <c r="Q1640" t="str">
        <f t="shared" si="526"/>
        <v>Red</v>
      </c>
      <c r="R1640" t="str">
        <f t="shared" si="527"/>
        <v>Green</v>
      </c>
      <c r="S1640" t="str">
        <f t="shared" si="528"/>
        <v>Red</v>
      </c>
      <c r="T1640" t="str">
        <f t="shared" si="529"/>
        <v>Green</v>
      </c>
      <c r="U1640" t="str">
        <f t="shared" si="530"/>
        <v>Red</v>
      </c>
      <c r="V1640" t="str">
        <f t="shared" si="531"/>
        <v>Green</v>
      </c>
      <c r="W1640" t="str">
        <f t="shared" si="532"/>
        <v>Red</v>
      </c>
      <c r="X1640" t="str">
        <f t="shared" si="533"/>
        <v>Red</v>
      </c>
      <c r="Y1640" t="str">
        <f t="shared" si="534"/>
        <v>Red</v>
      </c>
      <c r="Z1640" t="str">
        <f t="shared" si="535"/>
        <v>Red</v>
      </c>
      <c r="AA1640" t="str">
        <f t="shared" si="536"/>
        <v>Green</v>
      </c>
      <c r="AB1640" t="str">
        <f t="shared" si="537"/>
        <v>Green</v>
      </c>
      <c r="AC1640" t="str">
        <f t="shared" si="538"/>
        <v>Red</v>
      </c>
      <c r="AD1640" t="str">
        <f t="shared" si="539"/>
        <v>Green</v>
      </c>
    </row>
    <row r="1641" spans="1:30" x14ac:dyDescent="0.2">
      <c r="A1641" t="str">
        <f t="shared" si="520"/>
        <v>25/07/2026CA AtlantaClub Almagro</v>
      </c>
      <c r="B1641" t="s">
        <v>806</v>
      </c>
      <c r="C1641" t="s">
        <v>807</v>
      </c>
      <c r="D1641" s="2">
        <v>46228</v>
      </c>
      <c r="E1641" s="3">
        <v>0.83333333333333337</v>
      </c>
      <c r="F1641" t="s">
        <v>328</v>
      </c>
      <c r="G1641" t="s">
        <v>374</v>
      </c>
      <c r="L1641" s="22" t="str">
        <f t="shared" si="521"/>
        <v>25/07/2026</v>
      </c>
      <c r="M1641" s="23">
        <f t="shared" si="522"/>
        <v>0.70833333333333337</v>
      </c>
      <c r="N1641" t="str">
        <f t="shared" si="523"/>
        <v xml:space="preserve"> - </v>
      </c>
      <c r="O1641" t="str">
        <f t="shared" si="524"/>
        <v>Red</v>
      </c>
      <c r="P1641" t="str">
        <f t="shared" si="525"/>
        <v>Green</v>
      </c>
      <c r="Q1641" t="str">
        <f t="shared" si="526"/>
        <v>Red</v>
      </c>
      <c r="R1641" t="str">
        <f t="shared" si="527"/>
        <v>Green</v>
      </c>
      <c r="S1641" t="str">
        <f t="shared" si="528"/>
        <v>Green</v>
      </c>
      <c r="T1641" t="str">
        <f t="shared" si="529"/>
        <v>Red</v>
      </c>
      <c r="U1641" t="str">
        <f t="shared" si="530"/>
        <v>Red</v>
      </c>
      <c r="V1641" t="str">
        <f t="shared" si="531"/>
        <v>Green</v>
      </c>
      <c r="W1641" t="str">
        <f t="shared" si="532"/>
        <v>Red</v>
      </c>
      <c r="X1641" t="str">
        <f t="shared" si="533"/>
        <v>Red</v>
      </c>
      <c r="Y1641" t="str">
        <f t="shared" si="534"/>
        <v>Red</v>
      </c>
      <c r="Z1641" t="str">
        <f t="shared" si="535"/>
        <v>Red</v>
      </c>
      <c r="AA1641" t="str">
        <f t="shared" si="536"/>
        <v>Green</v>
      </c>
      <c r="AB1641" t="str">
        <f t="shared" si="537"/>
        <v>Green</v>
      </c>
      <c r="AC1641" t="str">
        <f t="shared" si="538"/>
        <v>Red</v>
      </c>
      <c r="AD1641" t="str">
        <f t="shared" si="539"/>
        <v>Green</v>
      </c>
    </row>
    <row r="1642" spans="1:30" x14ac:dyDescent="0.2">
      <c r="A1642" t="str">
        <f t="shared" si="520"/>
        <v>25/07/2026Club AlmagroFerrocarril Midland</v>
      </c>
      <c r="B1642" t="s">
        <v>806</v>
      </c>
      <c r="C1642" t="s">
        <v>807</v>
      </c>
      <c r="D1642" s="2">
        <v>46228</v>
      </c>
      <c r="E1642" s="3">
        <v>0.83333333333333337</v>
      </c>
      <c r="F1642" t="s">
        <v>374</v>
      </c>
      <c r="G1642" t="s">
        <v>330</v>
      </c>
      <c r="L1642" s="22" t="str">
        <f t="shared" si="521"/>
        <v>25/07/2026</v>
      </c>
      <c r="M1642" s="23">
        <f t="shared" si="522"/>
        <v>0.70833333333333337</v>
      </c>
      <c r="N1642" t="str">
        <f t="shared" si="523"/>
        <v xml:space="preserve"> - </v>
      </c>
      <c r="O1642" t="str">
        <f t="shared" si="524"/>
        <v>Red</v>
      </c>
      <c r="P1642" t="str">
        <f t="shared" si="525"/>
        <v>Green</v>
      </c>
      <c r="Q1642" t="str">
        <f t="shared" si="526"/>
        <v>Red</v>
      </c>
      <c r="R1642" t="str">
        <f t="shared" si="527"/>
        <v>Green</v>
      </c>
      <c r="S1642" t="str">
        <f t="shared" si="528"/>
        <v>Green</v>
      </c>
      <c r="T1642" t="str">
        <f t="shared" si="529"/>
        <v>Red</v>
      </c>
      <c r="U1642" t="str">
        <f t="shared" si="530"/>
        <v>Red</v>
      </c>
      <c r="V1642" t="str">
        <f t="shared" si="531"/>
        <v>Green</v>
      </c>
      <c r="W1642" t="str">
        <f t="shared" si="532"/>
        <v>Red</v>
      </c>
      <c r="X1642" t="str">
        <f t="shared" si="533"/>
        <v>Red</v>
      </c>
      <c r="Y1642" t="str">
        <f t="shared" si="534"/>
        <v>Red</v>
      </c>
      <c r="Z1642" t="str">
        <f t="shared" si="535"/>
        <v>Red</v>
      </c>
      <c r="AA1642" t="str">
        <f t="shared" si="536"/>
        <v>Green</v>
      </c>
      <c r="AB1642" t="str">
        <f t="shared" si="537"/>
        <v>Green</v>
      </c>
      <c r="AC1642" t="str">
        <f t="shared" si="538"/>
        <v>Red</v>
      </c>
      <c r="AD1642" t="str">
        <f t="shared" si="539"/>
        <v>Green</v>
      </c>
    </row>
    <row r="1643" spans="1:30" x14ac:dyDescent="0.2">
      <c r="A1643" t="str">
        <f t="shared" si="520"/>
        <v>25/07/2026Club Atletico AcassusoClub Atletico Colon</v>
      </c>
      <c r="B1643" t="s">
        <v>806</v>
      </c>
      <c r="C1643" t="s">
        <v>807</v>
      </c>
      <c r="D1643" s="2">
        <v>46228</v>
      </c>
      <c r="E1643" s="3">
        <v>0.83333333333333337</v>
      </c>
      <c r="F1643" t="s">
        <v>337</v>
      </c>
      <c r="G1643" t="s">
        <v>2765</v>
      </c>
      <c r="L1643" s="22" t="str">
        <f t="shared" si="521"/>
        <v>25/07/2026</v>
      </c>
      <c r="M1643" s="23">
        <f t="shared" si="522"/>
        <v>0.70833333333333337</v>
      </c>
      <c r="N1643" t="str">
        <f t="shared" si="523"/>
        <v xml:space="preserve"> - </v>
      </c>
      <c r="O1643" t="str">
        <f t="shared" si="524"/>
        <v>Red</v>
      </c>
      <c r="P1643" t="str">
        <f t="shared" si="525"/>
        <v>Green</v>
      </c>
      <c r="Q1643" t="str">
        <f t="shared" si="526"/>
        <v>Red</v>
      </c>
      <c r="R1643" t="str">
        <f t="shared" si="527"/>
        <v>Green</v>
      </c>
      <c r="S1643" t="str">
        <f t="shared" si="528"/>
        <v>Green</v>
      </c>
      <c r="T1643" t="str">
        <f t="shared" si="529"/>
        <v>Red</v>
      </c>
      <c r="U1643" t="str">
        <f t="shared" si="530"/>
        <v>Red</v>
      </c>
      <c r="V1643" t="str">
        <f t="shared" si="531"/>
        <v>Green</v>
      </c>
      <c r="W1643" t="str">
        <f t="shared" si="532"/>
        <v>Red</v>
      </c>
      <c r="X1643" t="str">
        <f t="shared" si="533"/>
        <v>Red</v>
      </c>
      <c r="Y1643" t="str">
        <f t="shared" si="534"/>
        <v>Red</v>
      </c>
      <c r="Z1643" t="str">
        <f t="shared" si="535"/>
        <v>Red</v>
      </c>
      <c r="AA1643" t="str">
        <f t="shared" si="536"/>
        <v>Green</v>
      </c>
      <c r="AB1643" t="str">
        <f t="shared" si="537"/>
        <v>Green</v>
      </c>
      <c r="AC1643" t="str">
        <f t="shared" si="538"/>
        <v>Red</v>
      </c>
      <c r="AD1643" t="str">
        <f t="shared" si="539"/>
        <v>Green</v>
      </c>
    </row>
    <row r="1644" spans="1:30" x14ac:dyDescent="0.2">
      <c r="A1644" t="str">
        <f t="shared" si="520"/>
        <v>25/07/2026Nueva ChicagoSan Martin de Tucuman</v>
      </c>
      <c r="B1644" t="s">
        <v>806</v>
      </c>
      <c r="C1644" t="s">
        <v>807</v>
      </c>
      <c r="D1644" s="2">
        <v>46228</v>
      </c>
      <c r="E1644" s="3">
        <v>0.83333333333333337</v>
      </c>
      <c r="F1644" t="s">
        <v>683</v>
      </c>
      <c r="G1644" t="s">
        <v>703</v>
      </c>
      <c r="L1644" s="22" t="str">
        <f t="shared" si="521"/>
        <v>25/07/2026</v>
      </c>
      <c r="M1644" s="23">
        <f t="shared" si="522"/>
        <v>0.70833333333333337</v>
      </c>
      <c r="N1644" t="str">
        <f t="shared" si="523"/>
        <v xml:space="preserve"> - </v>
      </c>
      <c r="O1644" t="str">
        <f t="shared" si="524"/>
        <v>Red</v>
      </c>
      <c r="P1644" t="str">
        <f t="shared" si="525"/>
        <v>Green</v>
      </c>
      <c r="Q1644" t="str">
        <f t="shared" si="526"/>
        <v>Red</v>
      </c>
      <c r="R1644" t="str">
        <f t="shared" si="527"/>
        <v>Green</v>
      </c>
      <c r="S1644" t="str">
        <f t="shared" si="528"/>
        <v>Green</v>
      </c>
      <c r="T1644" t="str">
        <f t="shared" si="529"/>
        <v>Red</v>
      </c>
      <c r="U1644" t="str">
        <f t="shared" si="530"/>
        <v>Red</v>
      </c>
      <c r="V1644" t="str">
        <f t="shared" si="531"/>
        <v>Green</v>
      </c>
      <c r="W1644" t="str">
        <f t="shared" si="532"/>
        <v>Red</v>
      </c>
      <c r="X1644" t="str">
        <f t="shared" si="533"/>
        <v>Red</v>
      </c>
      <c r="Y1644" t="str">
        <f t="shared" si="534"/>
        <v>Red</v>
      </c>
      <c r="Z1644" t="str">
        <f t="shared" si="535"/>
        <v>Red</v>
      </c>
      <c r="AA1644" t="str">
        <f t="shared" si="536"/>
        <v>Green</v>
      </c>
      <c r="AB1644" t="str">
        <f t="shared" si="537"/>
        <v>Green</v>
      </c>
      <c r="AC1644" t="str">
        <f t="shared" si="538"/>
        <v>Red</v>
      </c>
      <c r="AD1644" t="str">
        <f t="shared" si="539"/>
        <v>Green</v>
      </c>
    </row>
    <row r="1645" spans="1:30" x14ac:dyDescent="0.2">
      <c r="A1645" t="str">
        <f t="shared" si="520"/>
        <v>25/07/2026San Martin de San JuanAtletico de Rafaela</v>
      </c>
      <c r="B1645" t="s">
        <v>806</v>
      </c>
      <c r="C1645" t="s">
        <v>807</v>
      </c>
      <c r="D1645" s="2">
        <v>46228</v>
      </c>
      <c r="E1645" s="3">
        <v>0.83333333333333337</v>
      </c>
      <c r="F1645" t="s">
        <v>333</v>
      </c>
      <c r="G1645" t="s">
        <v>2763</v>
      </c>
      <c r="L1645" s="22" t="str">
        <f t="shared" si="521"/>
        <v>25/07/2026</v>
      </c>
      <c r="M1645" s="23">
        <f t="shared" si="522"/>
        <v>0.70833333333333337</v>
      </c>
      <c r="N1645" t="str">
        <f t="shared" si="523"/>
        <v xml:space="preserve"> - </v>
      </c>
      <c r="O1645" t="str">
        <f t="shared" si="524"/>
        <v>Red</v>
      </c>
      <c r="P1645" t="str">
        <f t="shared" si="525"/>
        <v>Green</v>
      </c>
      <c r="Q1645" t="str">
        <f t="shared" si="526"/>
        <v>Red</v>
      </c>
      <c r="R1645" t="str">
        <f t="shared" si="527"/>
        <v>Green</v>
      </c>
      <c r="S1645" t="str">
        <f t="shared" si="528"/>
        <v>Green</v>
      </c>
      <c r="T1645" t="str">
        <f t="shared" si="529"/>
        <v>Red</v>
      </c>
      <c r="U1645" t="str">
        <f t="shared" si="530"/>
        <v>Red</v>
      </c>
      <c r="V1645" t="str">
        <f t="shared" si="531"/>
        <v>Green</v>
      </c>
      <c r="W1645" t="str">
        <f t="shared" si="532"/>
        <v>Red</v>
      </c>
      <c r="X1645" t="str">
        <f t="shared" si="533"/>
        <v>Red</v>
      </c>
      <c r="Y1645" t="str">
        <f t="shared" si="534"/>
        <v>Red</v>
      </c>
      <c r="Z1645" t="str">
        <f t="shared" si="535"/>
        <v>Red</v>
      </c>
      <c r="AA1645" t="str">
        <f t="shared" si="536"/>
        <v>Green</v>
      </c>
      <c r="AB1645" t="str">
        <f t="shared" si="537"/>
        <v>Green</v>
      </c>
      <c r="AC1645" t="str">
        <f t="shared" si="538"/>
        <v>Red</v>
      </c>
      <c r="AD1645" t="str">
        <f t="shared" si="539"/>
        <v>Green</v>
      </c>
    </row>
    <row r="1646" spans="1:30" x14ac:dyDescent="0.2">
      <c r="A1646" t="str">
        <f t="shared" si="520"/>
        <v>25/07/2026Ferroviaria SPMaranhao</v>
      </c>
      <c r="B1646" t="s">
        <v>804</v>
      </c>
      <c r="D1646" s="2">
        <v>46228</v>
      </c>
      <c r="E1646" s="3">
        <v>0.83333333333333337</v>
      </c>
      <c r="F1646" t="s">
        <v>3045</v>
      </c>
      <c r="G1646" t="s">
        <v>3046</v>
      </c>
      <c r="H1646">
        <v>0</v>
      </c>
      <c r="I1646">
        <v>0</v>
      </c>
      <c r="J1646">
        <v>0</v>
      </c>
      <c r="K1646">
        <v>0</v>
      </c>
      <c r="L1646" s="22" t="str">
        <f t="shared" si="521"/>
        <v>25/07/2026</v>
      </c>
      <c r="M1646" s="23">
        <f t="shared" si="522"/>
        <v>0.70833333333333337</v>
      </c>
      <c r="N1646" t="str">
        <f t="shared" si="523"/>
        <v>0 - 0</v>
      </c>
      <c r="O1646" t="str">
        <f t="shared" si="524"/>
        <v>Red</v>
      </c>
      <c r="P1646" t="str">
        <f t="shared" si="525"/>
        <v>Green</v>
      </c>
      <c r="Q1646" t="str">
        <f t="shared" si="526"/>
        <v>Red</v>
      </c>
      <c r="R1646" t="str">
        <f t="shared" si="527"/>
        <v>Green</v>
      </c>
      <c r="S1646" t="str">
        <f t="shared" si="528"/>
        <v>Green</v>
      </c>
      <c r="T1646" t="str">
        <f t="shared" si="529"/>
        <v>Red</v>
      </c>
      <c r="U1646" t="str">
        <f t="shared" si="530"/>
        <v>Red</v>
      </c>
      <c r="V1646" t="str">
        <f t="shared" si="531"/>
        <v>Green</v>
      </c>
      <c r="W1646" t="str">
        <f t="shared" si="532"/>
        <v>Red</v>
      </c>
      <c r="X1646" t="str">
        <f t="shared" si="533"/>
        <v>Red</v>
      </c>
      <c r="Y1646" t="str">
        <f t="shared" si="534"/>
        <v>Red</v>
      </c>
      <c r="Z1646" t="str">
        <f t="shared" si="535"/>
        <v>Red</v>
      </c>
      <c r="AA1646" t="str">
        <f t="shared" si="536"/>
        <v>Green</v>
      </c>
      <c r="AB1646" t="str">
        <f t="shared" si="537"/>
        <v>Green</v>
      </c>
      <c r="AC1646" t="str">
        <f t="shared" si="538"/>
        <v>Red</v>
      </c>
      <c r="AD1646" t="str">
        <f t="shared" si="539"/>
        <v>Green</v>
      </c>
    </row>
    <row r="1647" spans="1:30" x14ac:dyDescent="0.2">
      <c r="A1647" t="str">
        <f t="shared" ref="A1647:A1710" si="540">L1646&amp;F1647&amp;G1647</f>
        <v>25/07/2026Santa CruzFigueirense</v>
      </c>
      <c r="B1647" t="s">
        <v>804</v>
      </c>
      <c r="D1647" s="2">
        <v>46228</v>
      </c>
      <c r="E1647" s="3">
        <v>0.83333333333333337</v>
      </c>
      <c r="F1647" t="s">
        <v>731</v>
      </c>
      <c r="G1647" t="s">
        <v>732</v>
      </c>
      <c r="H1647">
        <v>0</v>
      </c>
      <c r="I1647">
        <v>1</v>
      </c>
      <c r="J1647">
        <v>0</v>
      </c>
      <c r="K1647">
        <v>1</v>
      </c>
      <c r="L1647" s="22" t="str">
        <f t="shared" ref="L1647:L1710" si="541">DAY(D1647)&amp;"/"&amp;"07"&amp;"/"&amp;YEAR(D1647)</f>
        <v>25/07/2026</v>
      </c>
      <c r="M1647" s="23">
        <f t="shared" ref="M1647:M1710" si="542">E1647-TIME(3,0,0)</f>
        <v>0.70833333333333337</v>
      </c>
      <c r="N1647" t="str">
        <f t="shared" ref="N1647:N1710" si="543">J1647&amp;" - "&amp;K1647</f>
        <v>0 - 1</v>
      </c>
      <c r="O1647" t="str">
        <f t="shared" si="524"/>
        <v>Red</v>
      </c>
      <c r="P1647" t="str">
        <f t="shared" si="525"/>
        <v>Red</v>
      </c>
      <c r="Q1647" t="str">
        <f t="shared" si="526"/>
        <v>Green</v>
      </c>
      <c r="R1647" t="str">
        <f t="shared" si="527"/>
        <v>Red</v>
      </c>
      <c r="S1647" t="str">
        <f t="shared" si="528"/>
        <v>Green</v>
      </c>
      <c r="T1647" t="str">
        <f t="shared" si="529"/>
        <v>Green</v>
      </c>
      <c r="U1647" t="str">
        <f t="shared" si="530"/>
        <v>Red</v>
      </c>
      <c r="V1647" t="str">
        <f t="shared" si="531"/>
        <v>Red</v>
      </c>
      <c r="W1647" t="str">
        <f t="shared" si="532"/>
        <v>Green</v>
      </c>
      <c r="X1647" t="str">
        <f t="shared" si="533"/>
        <v>Green</v>
      </c>
      <c r="Y1647" t="str">
        <f t="shared" si="534"/>
        <v>Red</v>
      </c>
      <c r="Z1647" t="str">
        <f t="shared" si="535"/>
        <v>Red</v>
      </c>
      <c r="AA1647" t="str">
        <f t="shared" si="536"/>
        <v>Green</v>
      </c>
      <c r="AB1647" t="str">
        <f t="shared" si="537"/>
        <v>Green</v>
      </c>
      <c r="AC1647" t="str">
        <f t="shared" si="538"/>
        <v>Red</v>
      </c>
      <c r="AD1647" t="str">
        <f t="shared" si="539"/>
        <v>Green</v>
      </c>
    </row>
    <row r="1648" spans="1:30" x14ac:dyDescent="0.2">
      <c r="A1648" t="str">
        <f t="shared" si="540"/>
        <v>25/07/2026Vila Real CELimoeiro</v>
      </c>
      <c r="B1648" t="s">
        <v>804</v>
      </c>
      <c r="D1648" s="2">
        <v>46228</v>
      </c>
      <c r="E1648" s="3">
        <v>0.83333333333333337</v>
      </c>
      <c r="F1648" t="s">
        <v>3057</v>
      </c>
      <c r="G1648" t="s">
        <v>3058</v>
      </c>
      <c r="H1648">
        <v>0</v>
      </c>
      <c r="I1648">
        <v>0</v>
      </c>
      <c r="J1648">
        <v>0</v>
      </c>
      <c r="K1648">
        <v>0</v>
      </c>
      <c r="L1648" s="22" t="str">
        <f t="shared" si="541"/>
        <v>25/07/2026</v>
      </c>
      <c r="M1648" s="23">
        <f t="shared" si="542"/>
        <v>0.70833333333333337</v>
      </c>
      <c r="N1648" t="str">
        <f t="shared" si="543"/>
        <v>0 - 0</v>
      </c>
      <c r="O1648" t="str">
        <f t="shared" si="524"/>
        <v>Red</v>
      </c>
      <c r="P1648" t="str">
        <f t="shared" si="525"/>
        <v>Green</v>
      </c>
      <c r="Q1648" t="str">
        <f t="shared" si="526"/>
        <v>Red</v>
      </c>
      <c r="R1648" t="str">
        <f t="shared" si="527"/>
        <v>Green</v>
      </c>
      <c r="S1648" t="str">
        <f t="shared" si="528"/>
        <v>Green</v>
      </c>
      <c r="T1648" t="str">
        <f t="shared" si="529"/>
        <v>Red</v>
      </c>
      <c r="U1648" t="str">
        <f t="shared" si="530"/>
        <v>Red</v>
      </c>
      <c r="V1648" t="str">
        <f t="shared" si="531"/>
        <v>Green</v>
      </c>
      <c r="W1648" t="str">
        <f t="shared" si="532"/>
        <v>Red</v>
      </c>
      <c r="X1648" t="str">
        <f t="shared" si="533"/>
        <v>Red</v>
      </c>
      <c r="Y1648" t="str">
        <f t="shared" si="534"/>
        <v>Red</v>
      </c>
      <c r="Z1648" t="str">
        <f t="shared" si="535"/>
        <v>Red</v>
      </c>
      <c r="AA1648" t="str">
        <f t="shared" si="536"/>
        <v>Green</v>
      </c>
      <c r="AB1648" t="str">
        <f t="shared" si="537"/>
        <v>Green</v>
      </c>
      <c r="AC1648" t="str">
        <f t="shared" si="538"/>
        <v>Red</v>
      </c>
      <c r="AD1648" t="str">
        <f t="shared" si="539"/>
        <v>Green</v>
      </c>
    </row>
    <row r="1649" spans="1:30" x14ac:dyDescent="0.2">
      <c r="A1649" t="str">
        <f t="shared" si="540"/>
        <v>25/07/2026Red Bull Bragantino WomenAtletico Mineiro Women</v>
      </c>
      <c r="B1649" t="s">
        <v>804</v>
      </c>
      <c r="D1649" s="2">
        <v>46228</v>
      </c>
      <c r="E1649" s="3">
        <v>0.83333333333333337</v>
      </c>
      <c r="F1649" t="s">
        <v>1865</v>
      </c>
      <c r="G1649" t="s">
        <v>1868</v>
      </c>
      <c r="H1649">
        <v>2</v>
      </c>
      <c r="I1649">
        <v>0</v>
      </c>
      <c r="J1649">
        <v>2</v>
      </c>
      <c r="K1649">
        <v>0</v>
      </c>
      <c r="L1649" s="22" t="str">
        <f t="shared" si="541"/>
        <v>25/07/2026</v>
      </c>
      <c r="M1649" s="23">
        <f t="shared" si="542"/>
        <v>0.70833333333333337</v>
      </c>
      <c r="N1649" t="str">
        <f t="shared" si="543"/>
        <v>2 - 0</v>
      </c>
      <c r="O1649" t="str">
        <f t="shared" si="524"/>
        <v>Green</v>
      </c>
      <c r="P1649" t="str">
        <f t="shared" si="525"/>
        <v>Red</v>
      </c>
      <c r="Q1649" t="str">
        <f t="shared" si="526"/>
        <v>Red</v>
      </c>
      <c r="R1649" t="str">
        <f t="shared" si="527"/>
        <v>Green</v>
      </c>
      <c r="S1649" t="str">
        <f t="shared" si="528"/>
        <v>Red</v>
      </c>
      <c r="T1649" t="str">
        <f t="shared" si="529"/>
        <v>Green</v>
      </c>
      <c r="U1649" t="str">
        <f t="shared" si="530"/>
        <v>Green</v>
      </c>
      <c r="V1649" t="str">
        <f t="shared" si="531"/>
        <v>Red</v>
      </c>
      <c r="W1649" t="str">
        <f t="shared" si="532"/>
        <v>Red</v>
      </c>
      <c r="X1649" t="str">
        <f t="shared" si="533"/>
        <v>Green</v>
      </c>
      <c r="Y1649" t="str">
        <f t="shared" si="534"/>
        <v>Green</v>
      </c>
      <c r="Z1649" t="str">
        <f t="shared" si="535"/>
        <v>Red</v>
      </c>
      <c r="AA1649" t="str">
        <f t="shared" si="536"/>
        <v>Green</v>
      </c>
      <c r="AB1649" t="str">
        <f t="shared" si="537"/>
        <v>Green</v>
      </c>
      <c r="AC1649" t="str">
        <f t="shared" si="538"/>
        <v>Red</v>
      </c>
      <c r="AD1649" t="str">
        <f t="shared" si="539"/>
        <v>Green</v>
      </c>
    </row>
    <row r="1650" spans="1:30" x14ac:dyDescent="0.2">
      <c r="A1650" t="str">
        <f t="shared" si="540"/>
        <v>25/07/2026Atletico Bucaramanga WomenLlaneros Women</v>
      </c>
      <c r="D1650" s="2">
        <v>46228</v>
      </c>
      <c r="E1650" s="3">
        <v>0.83333333333333337</v>
      </c>
      <c r="F1650" t="s">
        <v>3140</v>
      </c>
      <c r="G1650" t="s">
        <v>3141</v>
      </c>
      <c r="H1650">
        <v>1</v>
      </c>
      <c r="I1650">
        <v>0</v>
      </c>
      <c r="J1650">
        <v>3</v>
      </c>
      <c r="K1650">
        <v>0</v>
      </c>
      <c r="L1650" s="22" t="str">
        <f t="shared" si="541"/>
        <v>25/07/2026</v>
      </c>
      <c r="M1650" s="23">
        <f t="shared" si="542"/>
        <v>0.70833333333333337</v>
      </c>
      <c r="N1650" t="str">
        <f t="shared" si="543"/>
        <v>3 - 0</v>
      </c>
      <c r="O1650" t="str">
        <f t="shared" si="524"/>
        <v>Green</v>
      </c>
      <c r="P1650" t="str">
        <f t="shared" si="525"/>
        <v>Red</v>
      </c>
      <c r="Q1650" t="str">
        <f t="shared" si="526"/>
        <v>Red</v>
      </c>
      <c r="R1650" t="str">
        <f t="shared" si="527"/>
        <v>Green</v>
      </c>
      <c r="S1650" t="str">
        <f t="shared" si="528"/>
        <v>Red</v>
      </c>
      <c r="T1650" t="str">
        <f t="shared" si="529"/>
        <v>Green</v>
      </c>
      <c r="U1650" t="str">
        <f t="shared" si="530"/>
        <v>Green</v>
      </c>
      <c r="V1650" t="str">
        <f t="shared" si="531"/>
        <v>Red</v>
      </c>
      <c r="W1650" t="str">
        <f t="shared" si="532"/>
        <v>Red</v>
      </c>
      <c r="X1650" t="str">
        <f t="shared" si="533"/>
        <v>Green</v>
      </c>
      <c r="Y1650" t="str">
        <f t="shared" si="534"/>
        <v>Green</v>
      </c>
      <c r="Z1650" t="str">
        <f t="shared" si="535"/>
        <v>Green</v>
      </c>
      <c r="AA1650" t="str">
        <f t="shared" si="536"/>
        <v>Red</v>
      </c>
      <c r="AB1650" t="str">
        <f t="shared" si="537"/>
        <v>Green</v>
      </c>
      <c r="AC1650" t="str">
        <f t="shared" si="538"/>
        <v>Red</v>
      </c>
      <c r="AD1650" t="str">
        <f t="shared" si="539"/>
        <v>Green</v>
      </c>
    </row>
    <row r="1651" spans="1:30" x14ac:dyDescent="0.2">
      <c r="A1651" t="str">
        <f t="shared" si="540"/>
        <v>25/07/2026Universidad Cesar VallejoUnion Comercio</v>
      </c>
      <c r="D1651" s="2">
        <v>46228</v>
      </c>
      <c r="E1651" s="3">
        <v>0.83333333333333337</v>
      </c>
      <c r="F1651" t="s">
        <v>3526</v>
      </c>
      <c r="G1651" t="s">
        <v>3527</v>
      </c>
      <c r="H1651">
        <v>0</v>
      </c>
      <c r="I1651">
        <v>0</v>
      </c>
      <c r="J1651">
        <v>0</v>
      </c>
      <c r="K1651">
        <v>0</v>
      </c>
      <c r="L1651" s="22" t="str">
        <f t="shared" si="541"/>
        <v>25/07/2026</v>
      </c>
      <c r="M1651" s="23">
        <f t="shared" si="542"/>
        <v>0.70833333333333337</v>
      </c>
      <c r="N1651" t="str">
        <f t="shared" si="543"/>
        <v>0 - 0</v>
      </c>
      <c r="O1651" t="str">
        <f t="shared" si="524"/>
        <v>Red</v>
      </c>
      <c r="P1651" t="str">
        <f t="shared" si="525"/>
        <v>Green</v>
      </c>
      <c r="Q1651" t="str">
        <f t="shared" si="526"/>
        <v>Red</v>
      </c>
      <c r="R1651" t="str">
        <f t="shared" si="527"/>
        <v>Green</v>
      </c>
      <c r="S1651" t="str">
        <f t="shared" si="528"/>
        <v>Green</v>
      </c>
      <c r="T1651" t="str">
        <f t="shared" si="529"/>
        <v>Red</v>
      </c>
      <c r="U1651" t="str">
        <f t="shared" si="530"/>
        <v>Red</v>
      </c>
      <c r="V1651" t="str">
        <f t="shared" si="531"/>
        <v>Green</v>
      </c>
      <c r="W1651" t="str">
        <f t="shared" si="532"/>
        <v>Red</v>
      </c>
      <c r="X1651" t="str">
        <f t="shared" si="533"/>
        <v>Red</v>
      </c>
      <c r="Y1651" t="str">
        <f t="shared" si="534"/>
        <v>Red</v>
      </c>
      <c r="Z1651" t="str">
        <f t="shared" si="535"/>
        <v>Red</v>
      </c>
      <c r="AA1651" t="str">
        <f t="shared" si="536"/>
        <v>Green</v>
      </c>
      <c r="AB1651" t="str">
        <f t="shared" si="537"/>
        <v>Green</v>
      </c>
      <c r="AC1651" t="str">
        <f t="shared" si="538"/>
        <v>Red</v>
      </c>
      <c r="AD1651" t="str">
        <f t="shared" si="539"/>
        <v>Green</v>
      </c>
    </row>
    <row r="1652" spans="1:30" x14ac:dyDescent="0.2">
      <c r="A1652" t="str">
        <f t="shared" si="540"/>
        <v>25/07/2026YaracuyanosAtletico El Vigia</v>
      </c>
      <c r="D1652" s="2">
        <v>46228</v>
      </c>
      <c r="E1652" s="3">
        <v>0.83333333333333337</v>
      </c>
      <c r="F1652" t="s">
        <v>3733</v>
      </c>
      <c r="G1652" t="s">
        <v>3734</v>
      </c>
      <c r="H1652">
        <v>0</v>
      </c>
      <c r="I1652">
        <v>0</v>
      </c>
      <c r="J1652">
        <v>0</v>
      </c>
      <c r="K1652">
        <v>0</v>
      </c>
      <c r="L1652" s="22" t="str">
        <f t="shared" si="541"/>
        <v>25/07/2026</v>
      </c>
      <c r="M1652" s="23">
        <f t="shared" si="542"/>
        <v>0.70833333333333337</v>
      </c>
      <c r="N1652" t="str">
        <f t="shared" si="543"/>
        <v>0 - 0</v>
      </c>
      <c r="O1652" t="str">
        <f t="shared" si="524"/>
        <v>Red</v>
      </c>
      <c r="P1652" t="str">
        <f t="shared" si="525"/>
        <v>Green</v>
      </c>
      <c r="Q1652" t="str">
        <f t="shared" si="526"/>
        <v>Red</v>
      </c>
      <c r="R1652" t="str">
        <f t="shared" si="527"/>
        <v>Green</v>
      </c>
      <c r="S1652" t="str">
        <f t="shared" si="528"/>
        <v>Green</v>
      </c>
      <c r="T1652" t="str">
        <f t="shared" si="529"/>
        <v>Red</v>
      </c>
      <c r="U1652" t="str">
        <f t="shared" si="530"/>
        <v>Red</v>
      </c>
      <c r="V1652" t="str">
        <f t="shared" si="531"/>
        <v>Green</v>
      </c>
      <c r="W1652" t="str">
        <f t="shared" si="532"/>
        <v>Red</v>
      </c>
      <c r="X1652" t="str">
        <f t="shared" si="533"/>
        <v>Red</v>
      </c>
      <c r="Y1652" t="str">
        <f t="shared" si="534"/>
        <v>Red</v>
      </c>
      <c r="Z1652" t="str">
        <f t="shared" si="535"/>
        <v>Red</v>
      </c>
      <c r="AA1652" t="str">
        <f t="shared" si="536"/>
        <v>Green</v>
      </c>
      <c r="AB1652" t="str">
        <f t="shared" si="537"/>
        <v>Green</v>
      </c>
      <c r="AC1652" t="str">
        <f t="shared" si="538"/>
        <v>Red</v>
      </c>
      <c r="AD1652" t="str">
        <f t="shared" si="539"/>
        <v>Green</v>
      </c>
    </row>
    <row r="1653" spans="1:30" x14ac:dyDescent="0.2">
      <c r="A1653" t="str">
        <f t="shared" si="540"/>
        <v>25/07/2026Libertad Limpeno WomenCD Recoleta Women</v>
      </c>
      <c r="D1653" s="2">
        <v>46228</v>
      </c>
      <c r="E1653" s="3">
        <v>0.84375</v>
      </c>
      <c r="F1653" t="s">
        <v>3521</v>
      </c>
      <c r="G1653" t="s">
        <v>1294</v>
      </c>
      <c r="H1653">
        <v>0</v>
      </c>
      <c r="I1653">
        <v>0</v>
      </c>
      <c r="J1653">
        <v>4</v>
      </c>
      <c r="K1653">
        <v>0</v>
      </c>
      <c r="L1653" s="22" t="str">
        <f t="shared" si="541"/>
        <v>25/07/2026</v>
      </c>
      <c r="M1653" s="23">
        <f t="shared" si="542"/>
        <v>0.71875</v>
      </c>
      <c r="N1653" t="str">
        <f t="shared" si="543"/>
        <v>4 - 0</v>
      </c>
      <c r="O1653" t="str">
        <f t="shared" si="524"/>
        <v>Green</v>
      </c>
      <c r="P1653" t="str">
        <f t="shared" si="525"/>
        <v>Red</v>
      </c>
      <c r="Q1653" t="str">
        <f t="shared" si="526"/>
        <v>Red</v>
      </c>
      <c r="R1653" t="str">
        <f t="shared" si="527"/>
        <v>Green</v>
      </c>
      <c r="S1653" t="str">
        <f t="shared" si="528"/>
        <v>Red</v>
      </c>
      <c r="T1653" t="str">
        <f t="shared" si="529"/>
        <v>Green</v>
      </c>
      <c r="U1653" t="str">
        <f t="shared" si="530"/>
        <v>Red</v>
      </c>
      <c r="V1653" t="str">
        <f t="shared" si="531"/>
        <v>Green</v>
      </c>
      <c r="W1653" t="str">
        <f t="shared" si="532"/>
        <v>Red</v>
      </c>
      <c r="X1653" t="str">
        <f t="shared" si="533"/>
        <v>Red</v>
      </c>
      <c r="Y1653" t="str">
        <f t="shared" si="534"/>
        <v>Green</v>
      </c>
      <c r="Z1653" t="str">
        <f t="shared" si="535"/>
        <v>Green</v>
      </c>
      <c r="AA1653" t="str">
        <f t="shared" si="536"/>
        <v>Red</v>
      </c>
      <c r="AB1653" t="str">
        <f t="shared" si="537"/>
        <v>Red</v>
      </c>
      <c r="AC1653" t="str">
        <f t="shared" si="538"/>
        <v>Red</v>
      </c>
      <c r="AD1653" t="str">
        <f t="shared" si="539"/>
        <v>Green</v>
      </c>
    </row>
    <row r="1654" spans="1:30" x14ac:dyDescent="0.2">
      <c r="A1654" t="str">
        <f t="shared" si="540"/>
        <v>25/07/2026Juan Pablo IICienciano</v>
      </c>
      <c r="D1654" s="2">
        <v>46228</v>
      </c>
      <c r="E1654" s="3">
        <v>0.84375</v>
      </c>
      <c r="F1654" t="s">
        <v>3523</v>
      </c>
      <c r="G1654" t="s">
        <v>734</v>
      </c>
      <c r="H1654">
        <v>0</v>
      </c>
      <c r="I1654">
        <v>0</v>
      </c>
      <c r="J1654">
        <v>2</v>
      </c>
      <c r="K1654">
        <v>0</v>
      </c>
      <c r="L1654" s="22" t="str">
        <f t="shared" si="541"/>
        <v>25/07/2026</v>
      </c>
      <c r="M1654" s="23">
        <f t="shared" si="542"/>
        <v>0.71875</v>
      </c>
      <c r="N1654" t="str">
        <f t="shared" si="543"/>
        <v>2 - 0</v>
      </c>
      <c r="O1654" t="str">
        <f t="shared" si="524"/>
        <v>Green</v>
      </c>
      <c r="P1654" t="str">
        <f t="shared" si="525"/>
        <v>Red</v>
      </c>
      <c r="Q1654" t="str">
        <f t="shared" si="526"/>
        <v>Red</v>
      </c>
      <c r="R1654" t="str">
        <f t="shared" si="527"/>
        <v>Green</v>
      </c>
      <c r="S1654" t="str">
        <f t="shared" si="528"/>
        <v>Red</v>
      </c>
      <c r="T1654" t="str">
        <f t="shared" si="529"/>
        <v>Green</v>
      </c>
      <c r="U1654" t="str">
        <f t="shared" si="530"/>
        <v>Red</v>
      </c>
      <c r="V1654" t="str">
        <f t="shared" si="531"/>
        <v>Green</v>
      </c>
      <c r="W1654" t="str">
        <f t="shared" si="532"/>
        <v>Red</v>
      </c>
      <c r="X1654" t="str">
        <f t="shared" si="533"/>
        <v>Red</v>
      </c>
      <c r="Y1654" t="str">
        <f t="shared" si="534"/>
        <v>Green</v>
      </c>
      <c r="Z1654" t="str">
        <f t="shared" si="535"/>
        <v>Red</v>
      </c>
      <c r="AA1654" t="str">
        <f t="shared" si="536"/>
        <v>Green</v>
      </c>
      <c r="AB1654" t="str">
        <f t="shared" si="537"/>
        <v>Green</v>
      </c>
      <c r="AC1654" t="str">
        <f t="shared" si="538"/>
        <v>Red</v>
      </c>
      <c r="AD1654" t="str">
        <f t="shared" si="539"/>
        <v>Green</v>
      </c>
    </row>
    <row r="1655" spans="1:30" x14ac:dyDescent="0.2">
      <c r="A1655" t="str">
        <f t="shared" si="540"/>
        <v>25/07/2026Defensores Del Ilucan WomenUNSAAC Women</v>
      </c>
      <c r="D1655" s="2">
        <v>46228</v>
      </c>
      <c r="E1655" s="3">
        <v>0.84375</v>
      </c>
      <c r="F1655" t="s">
        <v>3530</v>
      </c>
      <c r="G1655" t="s">
        <v>3531</v>
      </c>
      <c r="H1655">
        <v>0</v>
      </c>
      <c r="I1655">
        <v>0</v>
      </c>
      <c r="J1655">
        <v>1</v>
      </c>
      <c r="K1655">
        <v>0</v>
      </c>
      <c r="L1655" s="22" t="str">
        <f t="shared" si="541"/>
        <v>25/07/2026</v>
      </c>
      <c r="M1655" s="23">
        <f t="shared" si="542"/>
        <v>0.71875</v>
      </c>
      <c r="N1655" t="str">
        <f t="shared" si="543"/>
        <v>1 - 0</v>
      </c>
      <c r="O1655" t="str">
        <f t="shared" si="524"/>
        <v>Green</v>
      </c>
      <c r="P1655" t="str">
        <f t="shared" si="525"/>
        <v>Red</v>
      </c>
      <c r="Q1655" t="str">
        <f t="shared" si="526"/>
        <v>Red</v>
      </c>
      <c r="R1655" t="str">
        <f t="shared" si="527"/>
        <v>Green</v>
      </c>
      <c r="S1655" t="str">
        <f t="shared" si="528"/>
        <v>Red</v>
      </c>
      <c r="T1655" t="str">
        <f t="shared" si="529"/>
        <v>Green</v>
      </c>
      <c r="U1655" t="str">
        <f t="shared" si="530"/>
        <v>Red</v>
      </c>
      <c r="V1655" t="str">
        <f t="shared" si="531"/>
        <v>Green</v>
      </c>
      <c r="W1655" t="str">
        <f t="shared" si="532"/>
        <v>Red</v>
      </c>
      <c r="X1655" t="str">
        <f t="shared" si="533"/>
        <v>Red</v>
      </c>
      <c r="Y1655" t="str">
        <f t="shared" si="534"/>
        <v>Red</v>
      </c>
      <c r="Z1655" t="str">
        <f t="shared" si="535"/>
        <v>Red</v>
      </c>
      <c r="AA1655" t="str">
        <f t="shared" si="536"/>
        <v>Green</v>
      </c>
      <c r="AB1655" t="str">
        <f t="shared" si="537"/>
        <v>Green</v>
      </c>
      <c r="AC1655" t="str">
        <f t="shared" si="538"/>
        <v>Red</v>
      </c>
      <c r="AD1655" t="str">
        <f t="shared" si="539"/>
        <v>Green</v>
      </c>
    </row>
    <row r="1656" spans="1:30" x14ac:dyDescent="0.2">
      <c r="A1656" t="str">
        <f t="shared" si="540"/>
        <v>25/07/2026UberabaMamore MG</v>
      </c>
      <c r="B1656" t="s">
        <v>804</v>
      </c>
      <c r="D1656" s="2">
        <v>46228</v>
      </c>
      <c r="E1656" s="3">
        <v>0.875</v>
      </c>
      <c r="F1656" t="s">
        <v>3055</v>
      </c>
      <c r="G1656" t="s">
        <v>3056</v>
      </c>
      <c r="H1656">
        <v>0</v>
      </c>
      <c r="I1656">
        <v>0</v>
      </c>
      <c r="J1656">
        <v>0</v>
      </c>
      <c r="K1656">
        <v>0</v>
      </c>
      <c r="L1656" s="22" t="str">
        <f t="shared" si="541"/>
        <v>25/07/2026</v>
      </c>
      <c r="M1656" s="23">
        <f t="shared" si="542"/>
        <v>0.75</v>
      </c>
      <c r="N1656" t="str">
        <f t="shared" si="543"/>
        <v>0 - 0</v>
      </c>
      <c r="O1656" t="str">
        <f t="shared" si="524"/>
        <v>Red</v>
      </c>
      <c r="P1656" t="str">
        <f t="shared" si="525"/>
        <v>Green</v>
      </c>
      <c r="Q1656" t="str">
        <f t="shared" si="526"/>
        <v>Red</v>
      </c>
      <c r="R1656" t="str">
        <f t="shared" si="527"/>
        <v>Green</v>
      </c>
      <c r="S1656" t="str">
        <f t="shared" si="528"/>
        <v>Green</v>
      </c>
      <c r="T1656" t="str">
        <f t="shared" si="529"/>
        <v>Red</v>
      </c>
      <c r="U1656" t="str">
        <f t="shared" si="530"/>
        <v>Red</v>
      </c>
      <c r="V1656" t="str">
        <f t="shared" si="531"/>
        <v>Green</v>
      </c>
      <c r="W1656" t="str">
        <f t="shared" si="532"/>
        <v>Red</v>
      </c>
      <c r="X1656" t="str">
        <f t="shared" si="533"/>
        <v>Red</v>
      </c>
      <c r="Y1656" t="str">
        <f t="shared" si="534"/>
        <v>Red</v>
      </c>
      <c r="Z1656" t="str">
        <f t="shared" si="535"/>
        <v>Red</v>
      </c>
      <c r="AA1656" t="str">
        <f t="shared" si="536"/>
        <v>Green</v>
      </c>
      <c r="AB1656" t="str">
        <f t="shared" si="537"/>
        <v>Green</v>
      </c>
      <c r="AC1656" t="str">
        <f t="shared" si="538"/>
        <v>Red</v>
      </c>
      <c r="AD1656" t="str">
        <f t="shared" si="539"/>
        <v>Green</v>
      </c>
    </row>
    <row r="1657" spans="1:30" x14ac:dyDescent="0.2">
      <c r="A1657" t="str">
        <f t="shared" si="540"/>
        <v>25/07/2026XV de NovembroComercial</v>
      </c>
      <c r="B1657" t="s">
        <v>804</v>
      </c>
      <c r="D1657" s="2">
        <v>46228</v>
      </c>
      <c r="E1657" s="3">
        <v>0.875</v>
      </c>
      <c r="F1657" t="s">
        <v>1863</v>
      </c>
      <c r="G1657" t="s">
        <v>1836</v>
      </c>
      <c r="H1657">
        <v>0</v>
      </c>
      <c r="I1657">
        <v>1</v>
      </c>
      <c r="J1657">
        <v>0</v>
      </c>
      <c r="K1657">
        <v>2</v>
      </c>
      <c r="L1657" s="22" t="str">
        <f t="shared" si="541"/>
        <v>25/07/2026</v>
      </c>
      <c r="M1657" s="23">
        <f t="shared" si="542"/>
        <v>0.75</v>
      </c>
      <c r="N1657" t="str">
        <f t="shared" si="543"/>
        <v>0 - 2</v>
      </c>
      <c r="O1657" t="str">
        <f t="shared" si="524"/>
        <v>Red</v>
      </c>
      <c r="P1657" t="str">
        <f t="shared" si="525"/>
        <v>Red</v>
      </c>
      <c r="Q1657" t="str">
        <f t="shared" si="526"/>
        <v>Green</v>
      </c>
      <c r="R1657" t="str">
        <f t="shared" si="527"/>
        <v>Red</v>
      </c>
      <c r="S1657" t="str">
        <f t="shared" si="528"/>
        <v>Green</v>
      </c>
      <c r="T1657" t="str">
        <f t="shared" si="529"/>
        <v>Green</v>
      </c>
      <c r="U1657" t="str">
        <f t="shared" si="530"/>
        <v>Red</v>
      </c>
      <c r="V1657" t="str">
        <f t="shared" si="531"/>
        <v>Red</v>
      </c>
      <c r="W1657" t="str">
        <f t="shared" si="532"/>
        <v>Green</v>
      </c>
      <c r="X1657" t="str">
        <f t="shared" si="533"/>
        <v>Green</v>
      </c>
      <c r="Y1657" t="str">
        <f t="shared" si="534"/>
        <v>Green</v>
      </c>
      <c r="Z1657" t="str">
        <f t="shared" si="535"/>
        <v>Red</v>
      </c>
      <c r="AA1657" t="str">
        <f t="shared" si="536"/>
        <v>Green</v>
      </c>
      <c r="AB1657" t="str">
        <f t="shared" si="537"/>
        <v>Green</v>
      </c>
      <c r="AC1657" t="str">
        <f t="shared" si="538"/>
        <v>Red</v>
      </c>
      <c r="AD1657" t="str">
        <f t="shared" si="539"/>
        <v>Green</v>
      </c>
    </row>
    <row r="1658" spans="1:30" x14ac:dyDescent="0.2">
      <c r="A1658" t="str">
        <f t="shared" si="540"/>
        <v>25/07/2026Universidad Catolica WomenPalestino Women</v>
      </c>
      <c r="D1658" s="2">
        <v>46228</v>
      </c>
      <c r="E1658" s="3">
        <v>0.875</v>
      </c>
      <c r="F1658" t="s">
        <v>3123</v>
      </c>
      <c r="G1658" t="s">
        <v>3124</v>
      </c>
      <c r="H1658">
        <v>0</v>
      </c>
      <c r="I1658">
        <v>0</v>
      </c>
      <c r="J1658">
        <v>5</v>
      </c>
      <c r="K1658">
        <v>0</v>
      </c>
      <c r="L1658" s="22" t="str">
        <f t="shared" si="541"/>
        <v>25/07/2026</v>
      </c>
      <c r="M1658" s="23">
        <f t="shared" si="542"/>
        <v>0.75</v>
      </c>
      <c r="N1658" t="str">
        <f t="shared" si="543"/>
        <v>5 - 0</v>
      </c>
      <c r="O1658" t="str">
        <f t="shared" si="524"/>
        <v>Green</v>
      </c>
      <c r="P1658" t="str">
        <f t="shared" si="525"/>
        <v>Red</v>
      </c>
      <c r="Q1658" t="str">
        <f t="shared" si="526"/>
        <v>Red</v>
      </c>
      <c r="R1658" t="str">
        <f t="shared" si="527"/>
        <v>Green</v>
      </c>
      <c r="S1658" t="str">
        <f t="shared" si="528"/>
        <v>Red</v>
      </c>
      <c r="T1658" t="str">
        <f t="shared" si="529"/>
        <v>Green</v>
      </c>
      <c r="U1658" t="str">
        <f t="shared" si="530"/>
        <v>Red</v>
      </c>
      <c r="V1658" t="str">
        <f t="shared" si="531"/>
        <v>Green</v>
      </c>
      <c r="W1658" t="str">
        <f t="shared" si="532"/>
        <v>Red</v>
      </c>
      <c r="X1658" t="str">
        <f t="shared" si="533"/>
        <v>Red</v>
      </c>
      <c r="Y1658" t="str">
        <f t="shared" si="534"/>
        <v>Green</v>
      </c>
      <c r="Z1658" t="str">
        <f t="shared" si="535"/>
        <v>Green</v>
      </c>
      <c r="AA1658" t="str">
        <f t="shared" si="536"/>
        <v>Red</v>
      </c>
      <c r="AB1658" t="str">
        <f t="shared" si="537"/>
        <v>Red</v>
      </c>
      <c r="AC1658" t="str">
        <f t="shared" si="538"/>
        <v>Red</v>
      </c>
      <c r="AD1658" t="str">
        <f t="shared" si="539"/>
        <v>Green</v>
      </c>
    </row>
    <row r="1659" spans="1:30" x14ac:dyDescent="0.2">
      <c r="A1659" t="str">
        <f t="shared" si="540"/>
        <v>25/07/2026Boyaca ChicoAtletico Nacional</v>
      </c>
      <c r="D1659" s="2">
        <v>46228</v>
      </c>
      <c r="E1659" s="3">
        <v>0.875</v>
      </c>
      <c r="F1659" t="s">
        <v>3137</v>
      </c>
      <c r="G1659" t="s">
        <v>416</v>
      </c>
      <c r="L1659" s="22" t="str">
        <f t="shared" si="541"/>
        <v>25/07/2026</v>
      </c>
      <c r="M1659" s="23">
        <f t="shared" si="542"/>
        <v>0.75</v>
      </c>
      <c r="N1659" t="str">
        <f t="shared" si="543"/>
        <v xml:space="preserve"> - </v>
      </c>
      <c r="O1659" t="str">
        <f t="shared" si="524"/>
        <v>Red</v>
      </c>
      <c r="P1659" t="str">
        <f t="shared" si="525"/>
        <v>Green</v>
      </c>
      <c r="Q1659" t="str">
        <f t="shared" si="526"/>
        <v>Red</v>
      </c>
      <c r="R1659" t="str">
        <f t="shared" si="527"/>
        <v>Green</v>
      </c>
      <c r="S1659" t="str">
        <f t="shared" si="528"/>
        <v>Green</v>
      </c>
      <c r="T1659" t="str">
        <f t="shared" si="529"/>
        <v>Red</v>
      </c>
      <c r="U1659" t="str">
        <f t="shared" si="530"/>
        <v>Red</v>
      </c>
      <c r="V1659" t="str">
        <f t="shared" si="531"/>
        <v>Green</v>
      </c>
      <c r="W1659" t="str">
        <f t="shared" si="532"/>
        <v>Red</v>
      </c>
      <c r="X1659" t="str">
        <f t="shared" si="533"/>
        <v>Red</v>
      </c>
      <c r="Y1659" t="str">
        <f t="shared" si="534"/>
        <v>Red</v>
      </c>
      <c r="Z1659" t="str">
        <f t="shared" si="535"/>
        <v>Red</v>
      </c>
      <c r="AA1659" t="str">
        <f t="shared" si="536"/>
        <v>Green</v>
      </c>
      <c r="AB1659" t="str">
        <f t="shared" si="537"/>
        <v>Green</v>
      </c>
      <c r="AC1659" t="str">
        <f t="shared" si="538"/>
        <v>Red</v>
      </c>
      <c r="AD1659" t="str">
        <f t="shared" si="539"/>
        <v>Green</v>
      </c>
    </row>
    <row r="1660" spans="1:30" x14ac:dyDescent="0.2">
      <c r="A1660" t="str">
        <f t="shared" si="540"/>
        <v>25/07/2026BogotaUnion Magdalena</v>
      </c>
      <c r="D1660" s="2">
        <v>46228</v>
      </c>
      <c r="E1660" s="3">
        <v>0.875</v>
      </c>
      <c r="F1660" t="s">
        <v>424</v>
      </c>
      <c r="G1660" t="s">
        <v>422</v>
      </c>
      <c r="H1660">
        <v>1</v>
      </c>
      <c r="I1660">
        <v>0</v>
      </c>
      <c r="J1660">
        <v>1</v>
      </c>
      <c r="K1660">
        <v>0</v>
      </c>
      <c r="L1660" s="22" t="str">
        <f t="shared" si="541"/>
        <v>25/07/2026</v>
      </c>
      <c r="M1660" s="23">
        <f t="shared" si="542"/>
        <v>0.75</v>
      </c>
      <c r="N1660" t="str">
        <f t="shared" si="543"/>
        <v>1 - 0</v>
      </c>
      <c r="O1660" t="str">
        <f t="shared" si="524"/>
        <v>Green</v>
      </c>
      <c r="P1660" t="str">
        <f t="shared" si="525"/>
        <v>Red</v>
      </c>
      <c r="Q1660" t="str">
        <f t="shared" si="526"/>
        <v>Red</v>
      </c>
      <c r="R1660" t="str">
        <f t="shared" si="527"/>
        <v>Green</v>
      </c>
      <c r="S1660" t="str">
        <f t="shared" si="528"/>
        <v>Red</v>
      </c>
      <c r="T1660" t="str">
        <f t="shared" si="529"/>
        <v>Green</v>
      </c>
      <c r="U1660" t="str">
        <f t="shared" si="530"/>
        <v>Green</v>
      </c>
      <c r="V1660" t="str">
        <f t="shared" si="531"/>
        <v>Red</v>
      </c>
      <c r="W1660" t="str">
        <f t="shared" si="532"/>
        <v>Red</v>
      </c>
      <c r="X1660" t="str">
        <f t="shared" si="533"/>
        <v>Green</v>
      </c>
      <c r="Y1660" t="str">
        <f t="shared" si="534"/>
        <v>Red</v>
      </c>
      <c r="Z1660" t="str">
        <f t="shared" si="535"/>
        <v>Red</v>
      </c>
      <c r="AA1660" t="str">
        <f t="shared" si="536"/>
        <v>Green</v>
      </c>
      <c r="AB1660" t="str">
        <f t="shared" si="537"/>
        <v>Green</v>
      </c>
      <c r="AC1660" t="str">
        <f t="shared" si="538"/>
        <v>Red</v>
      </c>
      <c r="AD1660" t="str">
        <f t="shared" si="539"/>
        <v>Green</v>
      </c>
    </row>
    <row r="1661" spans="1:30" x14ac:dyDescent="0.2">
      <c r="A1661" t="str">
        <f t="shared" si="540"/>
        <v>25/07/2026Cortulua WomenOrsomarso Women</v>
      </c>
      <c r="D1661" s="2">
        <v>46228</v>
      </c>
      <c r="E1661" s="3">
        <v>0.875</v>
      </c>
      <c r="F1661" t="s">
        <v>3142</v>
      </c>
      <c r="G1661" t="s">
        <v>3143</v>
      </c>
      <c r="H1661">
        <v>0</v>
      </c>
      <c r="I1661">
        <v>1</v>
      </c>
      <c r="J1661">
        <v>1</v>
      </c>
      <c r="K1661">
        <v>1</v>
      </c>
      <c r="L1661" s="22" t="str">
        <f t="shared" si="541"/>
        <v>25/07/2026</v>
      </c>
      <c r="M1661" s="23">
        <f t="shared" si="542"/>
        <v>0.75</v>
      </c>
      <c r="N1661" t="str">
        <f t="shared" si="543"/>
        <v>1 - 1</v>
      </c>
      <c r="O1661" t="str">
        <f t="shared" si="524"/>
        <v>Red</v>
      </c>
      <c r="P1661" t="str">
        <f t="shared" si="525"/>
        <v>Green</v>
      </c>
      <c r="Q1661" t="str">
        <f t="shared" si="526"/>
        <v>Red</v>
      </c>
      <c r="R1661" t="str">
        <f t="shared" si="527"/>
        <v>Green</v>
      </c>
      <c r="S1661" t="str">
        <f t="shared" si="528"/>
        <v>Green</v>
      </c>
      <c r="T1661" t="str">
        <f t="shared" si="529"/>
        <v>Red</v>
      </c>
      <c r="U1661" t="str">
        <f t="shared" si="530"/>
        <v>Red</v>
      </c>
      <c r="V1661" t="str">
        <f t="shared" si="531"/>
        <v>Red</v>
      </c>
      <c r="W1661" t="str">
        <f t="shared" si="532"/>
        <v>Green</v>
      </c>
      <c r="X1661" t="str">
        <f t="shared" si="533"/>
        <v>Green</v>
      </c>
      <c r="Y1661" t="str">
        <f t="shared" si="534"/>
        <v>Green</v>
      </c>
      <c r="Z1661" t="str">
        <f t="shared" si="535"/>
        <v>Red</v>
      </c>
      <c r="AA1661" t="str">
        <f t="shared" si="536"/>
        <v>Green</v>
      </c>
      <c r="AB1661" t="str">
        <f t="shared" si="537"/>
        <v>Green</v>
      </c>
      <c r="AC1661" t="str">
        <f t="shared" si="538"/>
        <v>Green</v>
      </c>
      <c r="AD1661" t="str">
        <f t="shared" si="539"/>
        <v>Red</v>
      </c>
    </row>
    <row r="1662" spans="1:30" x14ac:dyDescent="0.2">
      <c r="A1662" t="str">
        <f t="shared" si="540"/>
        <v>25/07/2026Atletico BalboaInter FA</v>
      </c>
      <c r="D1662" s="2">
        <v>46228</v>
      </c>
      <c r="E1662" s="3">
        <v>0.875</v>
      </c>
      <c r="F1662" t="s">
        <v>3202</v>
      </c>
      <c r="G1662" t="s">
        <v>3203</v>
      </c>
      <c r="H1662">
        <v>0</v>
      </c>
      <c r="I1662">
        <v>0</v>
      </c>
      <c r="J1662">
        <v>0</v>
      </c>
      <c r="K1662">
        <v>0</v>
      </c>
      <c r="L1662" s="22" t="str">
        <f t="shared" si="541"/>
        <v>25/07/2026</v>
      </c>
      <c r="M1662" s="23">
        <f t="shared" si="542"/>
        <v>0.75</v>
      </c>
      <c r="N1662" t="str">
        <f t="shared" si="543"/>
        <v>0 - 0</v>
      </c>
      <c r="O1662" t="str">
        <f t="shared" si="524"/>
        <v>Red</v>
      </c>
      <c r="P1662" t="str">
        <f t="shared" si="525"/>
        <v>Green</v>
      </c>
      <c r="Q1662" t="str">
        <f t="shared" si="526"/>
        <v>Red</v>
      </c>
      <c r="R1662" t="str">
        <f t="shared" si="527"/>
        <v>Green</v>
      </c>
      <c r="S1662" t="str">
        <f t="shared" si="528"/>
        <v>Green</v>
      </c>
      <c r="T1662" t="str">
        <f t="shared" si="529"/>
        <v>Red</v>
      </c>
      <c r="U1662" t="str">
        <f t="shared" si="530"/>
        <v>Red</v>
      </c>
      <c r="V1662" t="str">
        <f t="shared" si="531"/>
        <v>Green</v>
      </c>
      <c r="W1662" t="str">
        <f t="shared" si="532"/>
        <v>Red</v>
      </c>
      <c r="X1662" t="str">
        <f t="shared" si="533"/>
        <v>Red</v>
      </c>
      <c r="Y1662" t="str">
        <f t="shared" si="534"/>
        <v>Red</v>
      </c>
      <c r="Z1662" t="str">
        <f t="shared" si="535"/>
        <v>Red</v>
      </c>
      <c r="AA1662" t="str">
        <f t="shared" si="536"/>
        <v>Green</v>
      </c>
      <c r="AB1662" t="str">
        <f t="shared" si="537"/>
        <v>Green</v>
      </c>
      <c r="AC1662" t="str">
        <f t="shared" si="538"/>
        <v>Red</v>
      </c>
      <c r="AD1662" t="str">
        <f t="shared" si="539"/>
        <v>Green</v>
      </c>
    </row>
    <row r="1663" spans="1:30" x14ac:dyDescent="0.2">
      <c r="A1663" t="str">
        <f t="shared" si="540"/>
        <v>25/07/2026CD CacahuatiqueAD Isidro Metapan</v>
      </c>
      <c r="D1663" s="2">
        <v>46228</v>
      </c>
      <c r="E1663" s="3">
        <v>0.875</v>
      </c>
      <c r="F1663" t="s">
        <v>3204</v>
      </c>
      <c r="G1663" t="s">
        <v>3205</v>
      </c>
      <c r="H1663">
        <v>1</v>
      </c>
      <c r="I1663">
        <v>0</v>
      </c>
      <c r="J1663">
        <v>2</v>
      </c>
      <c r="K1663">
        <v>4</v>
      </c>
      <c r="L1663" s="22" t="str">
        <f t="shared" si="541"/>
        <v>25/07/2026</v>
      </c>
      <c r="M1663" s="23">
        <f t="shared" si="542"/>
        <v>0.75</v>
      </c>
      <c r="N1663" t="str">
        <f t="shared" si="543"/>
        <v>2 - 4</v>
      </c>
      <c r="O1663" t="str">
        <f t="shared" si="524"/>
        <v>Red</v>
      </c>
      <c r="P1663" t="str">
        <f t="shared" si="525"/>
        <v>Red</v>
      </c>
      <c r="Q1663" t="str">
        <f t="shared" si="526"/>
        <v>Green</v>
      </c>
      <c r="R1663" t="str">
        <f t="shared" si="527"/>
        <v>Red</v>
      </c>
      <c r="S1663" t="str">
        <f t="shared" si="528"/>
        <v>Green</v>
      </c>
      <c r="T1663" t="str">
        <f t="shared" si="529"/>
        <v>Green</v>
      </c>
      <c r="U1663" t="str">
        <f t="shared" si="530"/>
        <v>Green</v>
      </c>
      <c r="V1663" t="str">
        <f t="shared" si="531"/>
        <v>Red</v>
      </c>
      <c r="W1663" t="str">
        <f t="shared" si="532"/>
        <v>Red</v>
      </c>
      <c r="X1663" t="str">
        <f t="shared" si="533"/>
        <v>Green</v>
      </c>
      <c r="Y1663" t="str">
        <f t="shared" si="534"/>
        <v>Green</v>
      </c>
      <c r="Z1663" t="str">
        <f t="shared" si="535"/>
        <v>Green</v>
      </c>
      <c r="AA1663" t="str">
        <f t="shared" si="536"/>
        <v>Red</v>
      </c>
      <c r="AB1663" t="str">
        <f t="shared" si="537"/>
        <v>Red</v>
      </c>
      <c r="AC1663" t="str">
        <f t="shared" si="538"/>
        <v>Green</v>
      </c>
      <c r="AD1663" t="str">
        <f t="shared" si="539"/>
        <v>Red</v>
      </c>
    </row>
    <row r="1664" spans="1:30" x14ac:dyDescent="0.2">
      <c r="A1664" t="str">
        <f t="shared" si="540"/>
        <v>25/07/2026Aurora FCDeportivo Guastatoya</v>
      </c>
      <c r="D1664" s="2">
        <v>46228</v>
      </c>
      <c r="E1664" s="3">
        <v>0.875</v>
      </c>
      <c r="F1664" t="s">
        <v>3295</v>
      </c>
      <c r="G1664" t="s">
        <v>3296</v>
      </c>
      <c r="H1664">
        <v>0</v>
      </c>
      <c r="I1664">
        <v>0</v>
      </c>
      <c r="J1664">
        <v>0</v>
      </c>
      <c r="K1664">
        <v>1</v>
      </c>
      <c r="L1664" s="22" t="str">
        <f t="shared" si="541"/>
        <v>25/07/2026</v>
      </c>
      <c r="M1664" s="23">
        <f t="shared" si="542"/>
        <v>0.75</v>
      </c>
      <c r="N1664" t="str">
        <f t="shared" si="543"/>
        <v>0 - 1</v>
      </c>
      <c r="O1664" t="str">
        <f t="shared" si="524"/>
        <v>Red</v>
      </c>
      <c r="P1664" t="str">
        <f t="shared" si="525"/>
        <v>Red</v>
      </c>
      <c r="Q1664" t="str">
        <f t="shared" si="526"/>
        <v>Green</v>
      </c>
      <c r="R1664" t="str">
        <f t="shared" si="527"/>
        <v>Red</v>
      </c>
      <c r="S1664" t="str">
        <f t="shared" si="528"/>
        <v>Green</v>
      </c>
      <c r="T1664" t="str">
        <f t="shared" si="529"/>
        <v>Green</v>
      </c>
      <c r="U1664" t="str">
        <f t="shared" si="530"/>
        <v>Red</v>
      </c>
      <c r="V1664" t="str">
        <f t="shared" si="531"/>
        <v>Green</v>
      </c>
      <c r="W1664" t="str">
        <f t="shared" si="532"/>
        <v>Red</v>
      </c>
      <c r="X1664" t="str">
        <f t="shared" si="533"/>
        <v>Red</v>
      </c>
      <c r="Y1664" t="str">
        <f t="shared" si="534"/>
        <v>Red</v>
      </c>
      <c r="Z1664" t="str">
        <f t="shared" si="535"/>
        <v>Red</v>
      </c>
      <c r="AA1664" t="str">
        <f t="shared" si="536"/>
        <v>Green</v>
      </c>
      <c r="AB1664" t="str">
        <f t="shared" si="537"/>
        <v>Green</v>
      </c>
      <c r="AC1664" t="str">
        <f t="shared" si="538"/>
        <v>Red</v>
      </c>
      <c r="AD1664" t="str">
        <f t="shared" si="539"/>
        <v>Green</v>
      </c>
    </row>
    <row r="1665" spans="1:30" x14ac:dyDescent="0.2">
      <c r="A1665" t="str">
        <f t="shared" si="540"/>
        <v>25/07/2026AFF PalinDeportivo Sacachispas</v>
      </c>
      <c r="D1665" s="2">
        <v>46228</v>
      </c>
      <c r="E1665" s="3">
        <v>0.875</v>
      </c>
      <c r="F1665" t="s">
        <v>3299</v>
      </c>
      <c r="G1665" t="s">
        <v>3300</v>
      </c>
      <c r="H1665">
        <v>0</v>
      </c>
      <c r="I1665">
        <v>0</v>
      </c>
      <c r="J1665">
        <v>0</v>
      </c>
      <c r="K1665">
        <v>1</v>
      </c>
      <c r="L1665" s="22" t="str">
        <f t="shared" si="541"/>
        <v>25/07/2026</v>
      </c>
      <c r="M1665" s="23">
        <f t="shared" si="542"/>
        <v>0.75</v>
      </c>
      <c r="N1665" t="str">
        <f t="shared" si="543"/>
        <v>0 - 1</v>
      </c>
      <c r="O1665" t="str">
        <f t="shared" si="524"/>
        <v>Red</v>
      </c>
      <c r="P1665" t="str">
        <f t="shared" si="525"/>
        <v>Red</v>
      </c>
      <c r="Q1665" t="str">
        <f t="shared" si="526"/>
        <v>Green</v>
      </c>
      <c r="R1665" t="str">
        <f t="shared" si="527"/>
        <v>Red</v>
      </c>
      <c r="S1665" t="str">
        <f t="shared" si="528"/>
        <v>Green</v>
      </c>
      <c r="T1665" t="str">
        <f t="shared" si="529"/>
        <v>Green</v>
      </c>
      <c r="U1665" t="str">
        <f t="shared" si="530"/>
        <v>Red</v>
      </c>
      <c r="V1665" t="str">
        <f t="shared" si="531"/>
        <v>Green</v>
      </c>
      <c r="W1665" t="str">
        <f t="shared" si="532"/>
        <v>Red</v>
      </c>
      <c r="X1665" t="str">
        <f t="shared" si="533"/>
        <v>Red</v>
      </c>
      <c r="Y1665" t="str">
        <f t="shared" si="534"/>
        <v>Red</v>
      </c>
      <c r="Z1665" t="str">
        <f t="shared" si="535"/>
        <v>Red</v>
      </c>
      <c r="AA1665" t="str">
        <f t="shared" si="536"/>
        <v>Green</v>
      </c>
      <c r="AB1665" t="str">
        <f t="shared" si="537"/>
        <v>Green</v>
      </c>
      <c r="AC1665" t="str">
        <f t="shared" si="538"/>
        <v>Red</v>
      </c>
      <c r="AD1665" t="str">
        <f t="shared" si="539"/>
        <v>Green</v>
      </c>
    </row>
    <row r="1666" spans="1:30" x14ac:dyDescent="0.2">
      <c r="A1666" t="str">
        <f t="shared" si="540"/>
        <v>25/07/2026Cuba U20El Salvador U20</v>
      </c>
      <c r="D1666" s="2">
        <v>46228</v>
      </c>
      <c r="E1666" s="3">
        <v>0.875</v>
      </c>
      <c r="F1666" t="s">
        <v>3437</v>
      </c>
      <c r="G1666" t="s">
        <v>3438</v>
      </c>
      <c r="H1666">
        <v>2</v>
      </c>
      <c r="I1666">
        <v>0</v>
      </c>
      <c r="J1666">
        <v>3</v>
      </c>
      <c r="K1666">
        <v>0</v>
      </c>
      <c r="L1666" s="22" t="str">
        <f t="shared" si="541"/>
        <v>25/07/2026</v>
      </c>
      <c r="M1666" s="23">
        <f t="shared" si="542"/>
        <v>0.75</v>
      </c>
      <c r="N1666" t="str">
        <f t="shared" si="543"/>
        <v>3 - 0</v>
      </c>
      <c r="O1666" t="str">
        <f t="shared" ref="O1666:O1729" si="544">IF($J1666&gt;$K1666,"Green","Red")</f>
        <v>Green</v>
      </c>
      <c r="P1666" t="str">
        <f t="shared" ref="P1666:P1729" si="545">IF($J1666=$K1666,"Green","Red")</f>
        <v>Red</v>
      </c>
      <c r="Q1666" t="str">
        <f t="shared" ref="Q1666:Q1729" si="546">IF($J1666&lt;$K1666,"Green","Red")</f>
        <v>Red</v>
      </c>
      <c r="R1666" t="str">
        <f t="shared" ref="R1666:R1729" si="547">IF($J1666&gt;=$K1666,"Green","Red")</f>
        <v>Green</v>
      </c>
      <c r="S1666" t="str">
        <f t="shared" ref="S1666:S1729" si="548">IF($J1666&lt;=$K1666,"Green","Red")</f>
        <v>Red</v>
      </c>
      <c r="T1666" t="str">
        <f t="shared" ref="T1666:T1729" si="549">IF(OR($J1666&gt;$K1666,$J1666&lt;$K1666),"Green","Red")</f>
        <v>Green</v>
      </c>
      <c r="U1666" t="str">
        <f t="shared" ref="U1666:U1729" si="550">IF($H1666&gt;$I1666,"Green","Red")</f>
        <v>Green</v>
      </c>
      <c r="V1666" t="str">
        <f t="shared" ref="V1666:V1729" si="551">IF($H1666=$I1666,"Green","Red")</f>
        <v>Red</v>
      </c>
      <c r="W1666" t="str">
        <f t="shared" ref="W1666:W1729" si="552">IF($H1666&lt;$I1666,"Green","Red")</f>
        <v>Red</v>
      </c>
      <c r="X1666" t="str">
        <f t="shared" ref="X1666:X1729" si="553">IF($H1666+$I1666&gt;0,"Green","Red")</f>
        <v>Green</v>
      </c>
      <c r="Y1666" t="str">
        <f t="shared" ref="Y1666:Y1729" si="554">IF($J1666+$K1666&gt;1.5,"Green","Red")</f>
        <v>Green</v>
      </c>
      <c r="Z1666" t="str">
        <f t="shared" ref="Z1666:Z1729" si="555">IF($J1666+$K1666&gt;2.5,"Green","Red")</f>
        <v>Green</v>
      </c>
      <c r="AA1666" t="str">
        <f t="shared" ref="AA1666:AA1729" si="556">IF($J1666+$K1666&lt;2.5,"Green","Red")</f>
        <v>Red</v>
      </c>
      <c r="AB1666" t="str">
        <f t="shared" ref="AB1666:AB1729" si="557">IF($J1666+$K1666&lt;3.5,"Green","Red")</f>
        <v>Green</v>
      </c>
      <c r="AC1666" t="str">
        <f t="shared" ref="AC1666:AC1729" si="558">IF(AND($J1666&gt;0,$K1666&gt;0),"Green","Red")</f>
        <v>Red</v>
      </c>
      <c r="AD1666" t="str">
        <f t="shared" ref="AD1666:AD1729" si="559">IF(OR($J1666=0,$K1666=0),"Green","Red")</f>
        <v>Green</v>
      </c>
    </row>
    <row r="1667" spans="1:30" x14ac:dyDescent="0.2">
      <c r="A1667" t="str">
        <f t="shared" si="540"/>
        <v>25/07/2026Defensor SportingLiverpool Montevideo</v>
      </c>
      <c r="D1667" s="2">
        <v>46228</v>
      </c>
      <c r="E1667" s="3">
        <v>0.875</v>
      </c>
      <c r="F1667" t="s">
        <v>676</v>
      </c>
      <c r="G1667" t="s">
        <v>1320</v>
      </c>
      <c r="H1667">
        <v>1</v>
      </c>
      <c r="I1667">
        <v>2</v>
      </c>
      <c r="J1667">
        <v>1</v>
      </c>
      <c r="K1667">
        <v>2</v>
      </c>
      <c r="L1667" s="22" t="str">
        <f t="shared" si="541"/>
        <v>25/07/2026</v>
      </c>
      <c r="M1667" s="23">
        <f t="shared" si="542"/>
        <v>0.75</v>
      </c>
      <c r="N1667" t="str">
        <f t="shared" si="543"/>
        <v>1 - 2</v>
      </c>
      <c r="O1667" t="str">
        <f t="shared" si="544"/>
        <v>Red</v>
      </c>
      <c r="P1667" t="str">
        <f t="shared" si="545"/>
        <v>Red</v>
      </c>
      <c r="Q1667" t="str">
        <f t="shared" si="546"/>
        <v>Green</v>
      </c>
      <c r="R1667" t="str">
        <f t="shared" si="547"/>
        <v>Red</v>
      </c>
      <c r="S1667" t="str">
        <f t="shared" si="548"/>
        <v>Green</v>
      </c>
      <c r="T1667" t="str">
        <f t="shared" si="549"/>
        <v>Green</v>
      </c>
      <c r="U1667" t="str">
        <f t="shared" si="550"/>
        <v>Red</v>
      </c>
      <c r="V1667" t="str">
        <f t="shared" si="551"/>
        <v>Red</v>
      </c>
      <c r="W1667" t="str">
        <f t="shared" si="552"/>
        <v>Green</v>
      </c>
      <c r="X1667" t="str">
        <f t="shared" si="553"/>
        <v>Green</v>
      </c>
      <c r="Y1667" t="str">
        <f t="shared" si="554"/>
        <v>Green</v>
      </c>
      <c r="Z1667" t="str">
        <f t="shared" si="555"/>
        <v>Green</v>
      </c>
      <c r="AA1667" t="str">
        <f t="shared" si="556"/>
        <v>Red</v>
      </c>
      <c r="AB1667" t="str">
        <f t="shared" si="557"/>
        <v>Green</v>
      </c>
      <c r="AC1667" t="str">
        <f t="shared" si="558"/>
        <v>Green</v>
      </c>
      <c r="AD1667" t="str">
        <f t="shared" si="559"/>
        <v>Red</v>
      </c>
    </row>
    <row r="1668" spans="1:30" x14ac:dyDescent="0.2">
      <c r="A1668" t="str">
        <f t="shared" si="540"/>
        <v>25/07/2026Deportivo MaldonadoCA Juventud</v>
      </c>
      <c r="D1668" s="2">
        <v>46228</v>
      </c>
      <c r="E1668" s="3">
        <v>0.875</v>
      </c>
      <c r="F1668" t="s">
        <v>740</v>
      </c>
      <c r="G1668" t="s">
        <v>3686</v>
      </c>
      <c r="L1668" s="22" t="str">
        <f t="shared" si="541"/>
        <v>25/07/2026</v>
      </c>
      <c r="M1668" s="23">
        <f t="shared" si="542"/>
        <v>0.75</v>
      </c>
      <c r="N1668" t="str">
        <f t="shared" si="543"/>
        <v xml:space="preserve"> - </v>
      </c>
      <c r="O1668" t="str">
        <f t="shared" si="544"/>
        <v>Red</v>
      </c>
      <c r="P1668" t="str">
        <f t="shared" si="545"/>
        <v>Green</v>
      </c>
      <c r="Q1668" t="str">
        <f t="shared" si="546"/>
        <v>Red</v>
      </c>
      <c r="R1668" t="str">
        <f t="shared" si="547"/>
        <v>Green</v>
      </c>
      <c r="S1668" t="str">
        <f t="shared" si="548"/>
        <v>Green</v>
      </c>
      <c r="T1668" t="str">
        <f t="shared" si="549"/>
        <v>Red</v>
      </c>
      <c r="U1668" t="str">
        <f t="shared" si="550"/>
        <v>Red</v>
      </c>
      <c r="V1668" t="str">
        <f t="shared" si="551"/>
        <v>Green</v>
      </c>
      <c r="W1668" t="str">
        <f t="shared" si="552"/>
        <v>Red</v>
      </c>
      <c r="X1668" t="str">
        <f t="shared" si="553"/>
        <v>Red</v>
      </c>
      <c r="Y1668" t="str">
        <f t="shared" si="554"/>
        <v>Red</v>
      </c>
      <c r="Z1668" t="str">
        <f t="shared" si="555"/>
        <v>Red</v>
      </c>
      <c r="AA1668" t="str">
        <f t="shared" si="556"/>
        <v>Green</v>
      </c>
      <c r="AB1668" t="str">
        <f t="shared" si="557"/>
        <v>Green</v>
      </c>
      <c r="AC1668" t="str">
        <f t="shared" si="558"/>
        <v>Red</v>
      </c>
      <c r="AD1668" t="str">
        <f t="shared" si="559"/>
        <v>Green</v>
      </c>
    </row>
    <row r="1669" spans="1:30" x14ac:dyDescent="0.2">
      <c r="A1669" t="str">
        <f t="shared" si="540"/>
        <v>25/07/2026Plaza ColoniaMiramar Misiones</v>
      </c>
      <c r="D1669" s="2">
        <v>46228</v>
      </c>
      <c r="E1669" s="3">
        <v>0.875</v>
      </c>
      <c r="F1669" t="s">
        <v>3689</v>
      </c>
      <c r="G1669" t="s">
        <v>1204</v>
      </c>
      <c r="L1669" s="22" t="str">
        <f t="shared" si="541"/>
        <v>25/07/2026</v>
      </c>
      <c r="M1669" s="23">
        <f t="shared" si="542"/>
        <v>0.75</v>
      </c>
      <c r="N1669" t="str">
        <f t="shared" si="543"/>
        <v xml:space="preserve"> - </v>
      </c>
      <c r="O1669" t="str">
        <f t="shared" si="544"/>
        <v>Red</v>
      </c>
      <c r="P1669" t="str">
        <f t="shared" si="545"/>
        <v>Green</v>
      </c>
      <c r="Q1669" t="str">
        <f t="shared" si="546"/>
        <v>Red</v>
      </c>
      <c r="R1669" t="str">
        <f t="shared" si="547"/>
        <v>Green</v>
      </c>
      <c r="S1669" t="str">
        <f t="shared" si="548"/>
        <v>Green</v>
      </c>
      <c r="T1669" t="str">
        <f t="shared" si="549"/>
        <v>Red</v>
      </c>
      <c r="U1669" t="str">
        <f t="shared" si="550"/>
        <v>Red</v>
      </c>
      <c r="V1669" t="str">
        <f t="shared" si="551"/>
        <v>Green</v>
      </c>
      <c r="W1669" t="str">
        <f t="shared" si="552"/>
        <v>Red</v>
      </c>
      <c r="X1669" t="str">
        <f t="shared" si="553"/>
        <v>Red</v>
      </c>
      <c r="Y1669" t="str">
        <f t="shared" si="554"/>
        <v>Red</v>
      </c>
      <c r="Z1669" t="str">
        <f t="shared" si="555"/>
        <v>Red</v>
      </c>
      <c r="AA1669" t="str">
        <f t="shared" si="556"/>
        <v>Green</v>
      </c>
      <c r="AB1669" t="str">
        <f t="shared" si="557"/>
        <v>Green</v>
      </c>
      <c r="AC1669" t="str">
        <f t="shared" si="558"/>
        <v>Red</v>
      </c>
      <c r="AD1669" t="str">
        <f t="shared" si="559"/>
        <v>Green</v>
      </c>
    </row>
    <row r="1670" spans="1:30" x14ac:dyDescent="0.2">
      <c r="A1670" t="str">
        <f t="shared" si="540"/>
        <v>25/07/2026Inter Miami IIToronto FC II</v>
      </c>
      <c r="D1670" s="2">
        <v>46228</v>
      </c>
      <c r="E1670" s="3">
        <v>0.875</v>
      </c>
      <c r="F1670" t="s">
        <v>1871</v>
      </c>
      <c r="G1670" t="s">
        <v>739</v>
      </c>
      <c r="H1670">
        <v>1</v>
      </c>
      <c r="I1670">
        <v>1</v>
      </c>
      <c r="J1670">
        <v>2</v>
      </c>
      <c r="K1670">
        <v>1</v>
      </c>
      <c r="L1670" s="22" t="str">
        <f t="shared" si="541"/>
        <v>25/07/2026</v>
      </c>
      <c r="M1670" s="23">
        <f t="shared" si="542"/>
        <v>0.75</v>
      </c>
      <c r="N1670" t="str">
        <f t="shared" si="543"/>
        <v>2 - 1</v>
      </c>
      <c r="O1670" t="str">
        <f t="shared" si="544"/>
        <v>Green</v>
      </c>
      <c r="P1670" t="str">
        <f t="shared" si="545"/>
        <v>Red</v>
      </c>
      <c r="Q1670" t="str">
        <f t="shared" si="546"/>
        <v>Red</v>
      </c>
      <c r="R1670" t="str">
        <f t="shared" si="547"/>
        <v>Green</v>
      </c>
      <c r="S1670" t="str">
        <f t="shared" si="548"/>
        <v>Red</v>
      </c>
      <c r="T1670" t="str">
        <f t="shared" si="549"/>
        <v>Green</v>
      </c>
      <c r="U1670" t="str">
        <f t="shared" si="550"/>
        <v>Red</v>
      </c>
      <c r="V1670" t="str">
        <f t="shared" si="551"/>
        <v>Green</v>
      </c>
      <c r="W1670" t="str">
        <f t="shared" si="552"/>
        <v>Red</v>
      </c>
      <c r="X1670" t="str">
        <f t="shared" si="553"/>
        <v>Green</v>
      </c>
      <c r="Y1670" t="str">
        <f t="shared" si="554"/>
        <v>Green</v>
      </c>
      <c r="Z1670" t="str">
        <f t="shared" si="555"/>
        <v>Green</v>
      </c>
      <c r="AA1670" t="str">
        <f t="shared" si="556"/>
        <v>Red</v>
      </c>
      <c r="AB1670" t="str">
        <f t="shared" si="557"/>
        <v>Green</v>
      </c>
      <c r="AC1670" t="str">
        <f t="shared" si="558"/>
        <v>Green</v>
      </c>
      <c r="AD1670" t="str">
        <f t="shared" si="559"/>
        <v>Red</v>
      </c>
    </row>
    <row r="1671" spans="1:30" x14ac:dyDescent="0.2">
      <c r="A1671" t="str">
        <f t="shared" si="540"/>
        <v>25/07/2026Boston Legacy WomenKansas City Women</v>
      </c>
      <c r="D1671" s="2">
        <v>46228</v>
      </c>
      <c r="E1671" s="3">
        <v>0.875</v>
      </c>
      <c r="F1671" t="s">
        <v>3719</v>
      </c>
      <c r="G1671" t="s">
        <v>3720</v>
      </c>
      <c r="H1671">
        <v>1</v>
      </c>
      <c r="I1671">
        <v>0</v>
      </c>
      <c r="J1671">
        <v>1</v>
      </c>
      <c r="K1671">
        <v>0</v>
      </c>
      <c r="L1671" s="22" t="str">
        <f t="shared" si="541"/>
        <v>25/07/2026</v>
      </c>
      <c r="M1671" s="23">
        <f t="shared" si="542"/>
        <v>0.75</v>
      </c>
      <c r="N1671" t="str">
        <f t="shared" si="543"/>
        <v>1 - 0</v>
      </c>
      <c r="O1671" t="str">
        <f t="shared" si="544"/>
        <v>Green</v>
      </c>
      <c r="P1671" t="str">
        <f t="shared" si="545"/>
        <v>Red</v>
      </c>
      <c r="Q1671" t="str">
        <f t="shared" si="546"/>
        <v>Red</v>
      </c>
      <c r="R1671" t="str">
        <f t="shared" si="547"/>
        <v>Green</v>
      </c>
      <c r="S1671" t="str">
        <f t="shared" si="548"/>
        <v>Red</v>
      </c>
      <c r="T1671" t="str">
        <f t="shared" si="549"/>
        <v>Green</v>
      </c>
      <c r="U1671" t="str">
        <f t="shared" si="550"/>
        <v>Green</v>
      </c>
      <c r="V1671" t="str">
        <f t="shared" si="551"/>
        <v>Red</v>
      </c>
      <c r="W1671" t="str">
        <f t="shared" si="552"/>
        <v>Red</v>
      </c>
      <c r="X1671" t="str">
        <f t="shared" si="553"/>
        <v>Green</v>
      </c>
      <c r="Y1671" t="str">
        <f t="shared" si="554"/>
        <v>Red</v>
      </c>
      <c r="Z1671" t="str">
        <f t="shared" si="555"/>
        <v>Red</v>
      </c>
      <c r="AA1671" t="str">
        <f t="shared" si="556"/>
        <v>Green</v>
      </c>
      <c r="AB1671" t="str">
        <f t="shared" si="557"/>
        <v>Green</v>
      </c>
      <c r="AC1671" t="str">
        <f t="shared" si="558"/>
        <v>Red</v>
      </c>
      <c r="AD1671" t="str">
        <f t="shared" si="559"/>
        <v>Green</v>
      </c>
    </row>
    <row r="1672" spans="1:30" x14ac:dyDescent="0.2">
      <c r="A1672" t="str">
        <f t="shared" si="540"/>
        <v>25/07/2026Deportivo LaraCA Barinas</v>
      </c>
      <c r="D1672" s="2">
        <v>46228</v>
      </c>
      <c r="E1672" s="3">
        <v>0.875</v>
      </c>
      <c r="F1672" t="s">
        <v>3735</v>
      </c>
      <c r="G1672" t="s">
        <v>3736</v>
      </c>
      <c r="H1672">
        <v>0</v>
      </c>
      <c r="I1672">
        <v>1</v>
      </c>
      <c r="J1672">
        <v>4</v>
      </c>
      <c r="K1672">
        <v>1</v>
      </c>
      <c r="L1672" s="22" t="str">
        <f t="shared" si="541"/>
        <v>25/07/2026</v>
      </c>
      <c r="M1672" s="23">
        <f t="shared" si="542"/>
        <v>0.75</v>
      </c>
      <c r="N1672" t="str">
        <f t="shared" si="543"/>
        <v>4 - 1</v>
      </c>
      <c r="O1672" t="str">
        <f t="shared" si="544"/>
        <v>Green</v>
      </c>
      <c r="P1672" t="str">
        <f t="shared" si="545"/>
        <v>Red</v>
      </c>
      <c r="Q1672" t="str">
        <f t="shared" si="546"/>
        <v>Red</v>
      </c>
      <c r="R1672" t="str">
        <f t="shared" si="547"/>
        <v>Green</v>
      </c>
      <c r="S1672" t="str">
        <f t="shared" si="548"/>
        <v>Red</v>
      </c>
      <c r="T1672" t="str">
        <f t="shared" si="549"/>
        <v>Green</v>
      </c>
      <c r="U1672" t="str">
        <f t="shared" si="550"/>
        <v>Red</v>
      </c>
      <c r="V1672" t="str">
        <f t="shared" si="551"/>
        <v>Red</v>
      </c>
      <c r="W1672" t="str">
        <f t="shared" si="552"/>
        <v>Green</v>
      </c>
      <c r="X1672" t="str">
        <f t="shared" si="553"/>
        <v>Green</v>
      </c>
      <c r="Y1672" t="str">
        <f t="shared" si="554"/>
        <v>Green</v>
      </c>
      <c r="Z1672" t="str">
        <f t="shared" si="555"/>
        <v>Green</v>
      </c>
      <c r="AA1672" t="str">
        <f t="shared" si="556"/>
        <v>Red</v>
      </c>
      <c r="AB1672" t="str">
        <f t="shared" si="557"/>
        <v>Red</v>
      </c>
      <c r="AC1672" t="str">
        <f t="shared" si="558"/>
        <v>Green</v>
      </c>
      <c r="AD1672" t="str">
        <f t="shared" si="559"/>
        <v>Red</v>
      </c>
    </row>
    <row r="1673" spans="1:30" x14ac:dyDescent="0.2">
      <c r="A1673" t="str">
        <f t="shared" si="540"/>
        <v>25/07/2026Independiente MedellinDeportivo Pasto</v>
      </c>
      <c r="D1673" s="2">
        <v>46228</v>
      </c>
      <c r="E1673" s="3">
        <v>0.87847222222222221</v>
      </c>
      <c r="F1673" t="s">
        <v>1860</v>
      </c>
      <c r="G1673" t="s">
        <v>423</v>
      </c>
      <c r="H1673">
        <v>2</v>
      </c>
      <c r="I1673">
        <v>2</v>
      </c>
      <c r="J1673">
        <v>3</v>
      </c>
      <c r="K1673">
        <v>2</v>
      </c>
      <c r="L1673" s="22" t="str">
        <f t="shared" si="541"/>
        <v>25/07/2026</v>
      </c>
      <c r="M1673" s="23">
        <f t="shared" si="542"/>
        <v>0.75347222222222221</v>
      </c>
      <c r="N1673" t="str">
        <f t="shared" si="543"/>
        <v>3 - 2</v>
      </c>
      <c r="O1673" t="str">
        <f t="shared" si="544"/>
        <v>Green</v>
      </c>
      <c r="P1673" t="str">
        <f t="shared" si="545"/>
        <v>Red</v>
      </c>
      <c r="Q1673" t="str">
        <f t="shared" si="546"/>
        <v>Red</v>
      </c>
      <c r="R1673" t="str">
        <f t="shared" si="547"/>
        <v>Green</v>
      </c>
      <c r="S1673" t="str">
        <f t="shared" si="548"/>
        <v>Red</v>
      </c>
      <c r="T1673" t="str">
        <f t="shared" si="549"/>
        <v>Green</v>
      </c>
      <c r="U1673" t="str">
        <f t="shared" si="550"/>
        <v>Red</v>
      </c>
      <c r="V1673" t="str">
        <f t="shared" si="551"/>
        <v>Green</v>
      </c>
      <c r="W1673" t="str">
        <f t="shared" si="552"/>
        <v>Red</v>
      </c>
      <c r="X1673" t="str">
        <f t="shared" si="553"/>
        <v>Green</v>
      </c>
      <c r="Y1673" t="str">
        <f t="shared" si="554"/>
        <v>Green</v>
      </c>
      <c r="Z1673" t="str">
        <f t="shared" si="555"/>
        <v>Green</v>
      </c>
      <c r="AA1673" t="str">
        <f t="shared" si="556"/>
        <v>Red</v>
      </c>
      <c r="AB1673" t="str">
        <f t="shared" si="557"/>
        <v>Red</v>
      </c>
      <c r="AC1673" t="str">
        <f t="shared" si="558"/>
        <v>Green</v>
      </c>
      <c r="AD1673" t="str">
        <f t="shared" si="559"/>
        <v>Red</v>
      </c>
    </row>
    <row r="1674" spans="1:30" x14ac:dyDescent="0.2">
      <c r="A1674" t="str">
        <f t="shared" si="540"/>
        <v>25/07/2026GuabiraReal Oruro</v>
      </c>
      <c r="D1674" s="2">
        <v>46228</v>
      </c>
      <c r="E1674" s="3">
        <v>0.88541666666666663</v>
      </c>
      <c r="F1674" t="s">
        <v>3044</v>
      </c>
      <c r="G1674" t="s">
        <v>267</v>
      </c>
      <c r="H1674">
        <v>3</v>
      </c>
      <c r="I1674">
        <v>1</v>
      </c>
      <c r="J1674">
        <v>4</v>
      </c>
      <c r="K1674">
        <v>1</v>
      </c>
      <c r="L1674" s="22" t="str">
        <f t="shared" si="541"/>
        <v>25/07/2026</v>
      </c>
      <c r="M1674" s="23">
        <f t="shared" si="542"/>
        <v>0.76041666666666663</v>
      </c>
      <c r="N1674" t="str">
        <f t="shared" si="543"/>
        <v>4 - 1</v>
      </c>
      <c r="O1674" t="str">
        <f t="shared" si="544"/>
        <v>Green</v>
      </c>
      <c r="P1674" t="str">
        <f t="shared" si="545"/>
        <v>Red</v>
      </c>
      <c r="Q1674" t="str">
        <f t="shared" si="546"/>
        <v>Red</v>
      </c>
      <c r="R1674" t="str">
        <f t="shared" si="547"/>
        <v>Green</v>
      </c>
      <c r="S1674" t="str">
        <f t="shared" si="548"/>
        <v>Red</v>
      </c>
      <c r="T1674" t="str">
        <f t="shared" si="549"/>
        <v>Green</v>
      </c>
      <c r="U1674" t="str">
        <f t="shared" si="550"/>
        <v>Green</v>
      </c>
      <c r="V1674" t="str">
        <f t="shared" si="551"/>
        <v>Red</v>
      </c>
      <c r="W1674" t="str">
        <f t="shared" si="552"/>
        <v>Red</v>
      </c>
      <c r="X1674" t="str">
        <f t="shared" si="553"/>
        <v>Green</v>
      </c>
      <c r="Y1674" t="str">
        <f t="shared" si="554"/>
        <v>Green</v>
      </c>
      <c r="Z1674" t="str">
        <f t="shared" si="555"/>
        <v>Green</v>
      </c>
      <c r="AA1674" t="str">
        <f t="shared" si="556"/>
        <v>Red</v>
      </c>
      <c r="AB1674" t="str">
        <f t="shared" si="557"/>
        <v>Red</v>
      </c>
      <c r="AC1674" t="str">
        <f t="shared" si="558"/>
        <v>Green</v>
      </c>
      <c r="AD1674" t="str">
        <f t="shared" si="559"/>
        <v>Red</v>
      </c>
    </row>
    <row r="1675" spans="1:30" x14ac:dyDescent="0.2">
      <c r="A1675" t="str">
        <f t="shared" si="540"/>
        <v>25/07/2026Athletico ParanaenseInternacional</v>
      </c>
      <c r="B1675" t="s">
        <v>804</v>
      </c>
      <c r="C1675" t="s">
        <v>805</v>
      </c>
      <c r="D1675" s="2">
        <v>46228</v>
      </c>
      <c r="E1675" s="3">
        <v>0.89583333333333337</v>
      </c>
      <c r="F1675" t="s">
        <v>878</v>
      </c>
      <c r="G1675" t="s">
        <v>67</v>
      </c>
      <c r="H1675">
        <v>1</v>
      </c>
      <c r="I1675">
        <v>0</v>
      </c>
      <c r="J1675">
        <v>2</v>
      </c>
      <c r="K1675">
        <v>0</v>
      </c>
      <c r="L1675" s="22" t="str">
        <f t="shared" si="541"/>
        <v>25/07/2026</v>
      </c>
      <c r="M1675" s="23">
        <f t="shared" si="542"/>
        <v>0.77083333333333337</v>
      </c>
      <c r="N1675" t="str">
        <f t="shared" si="543"/>
        <v>2 - 0</v>
      </c>
      <c r="O1675" t="str">
        <f t="shared" si="544"/>
        <v>Green</v>
      </c>
      <c r="P1675" t="str">
        <f t="shared" si="545"/>
        <v>Red</v>
      </c>
      <c r="Q1675" t="str">
        <f t="shared" si="546"/>
        <v>Red</v>
      </c>
      <c r="R1675" t="str">
        <f t="shared" si="547"/>
        <v>Green</v>
      </c>
      <c r="S1675" t="str">
        <f t="shared" si="548"/>
        <v>Red</v>
      </c>
      <c r="T1675" t="str">
        <f t="shared" si="549"/>
        <v>Green</v>
      </c>
      <c r="U1675" t="str">
        <f t="shared" si="550"/>
        <v>Green</v>
      </c>
      <c r="V1675" t="str">
        <f t="shared" si="551"/>
        <v>Red</v>
      </c>
      <c r="W1675" t="str">
        <f t="shared" si="552"/>
        <v>Red</v>
      </c>
      <c r="X1675" t="str">
        <f t="shared" si="553"/>
        <v>Green</v>
      </c>
      <c r="Y1675" t="str">
        <f t="shared" si="554"/>
        <v>Green</v>
      </c>
      <c r="Z1675" t="str">
        <f t="shared" si="555"/>
        <v>Red</v>
      </c>
      <c r="AA1675" t="str">
        <f t="shared" si="556"/>
        <v>Green</v>
      </c>
      <c r="AB1675" t="str">
        <f t="shared" si="557"/>
        <v>Green</v>
      </c>
      <c r="AC1675" t="str">
        <f t="shared" si="558"/>
        <v>Red</v>
      </c>
      <c r="AD1675" t="str">
        <f t="shared" si="559"/>
        <v>Green</v>
      </c>
    </row>
    <row r="1676" spans="1:30" x14ac:dyDescent="0.2">
      <c r="A1676" t="str">
        <f t="shared" si="540"/>
        <v>25/07/2026SantosChapecoense</v>
      </c>
      <c r="B1676" t="s">
        <v>804</v>
      </c>
      <c r="C1676" t="s">
        <v>805</v>
      </c>
      <c r="D1676" s="2">
        <v>46228</v>
      </c>
      <c r="E1676" s="3">
        <v>0.89583333333333337</v>
      </c>
      <c r="F1676" t="s">
        <v>744</v>
      </c>
      <c r="G1676" t="s">
        <v>65</v>
      </c>
      <c r="H1676">
        <v>1</v>
      </c>
      <c r="I1676">
        <v>0</v>
      </c>
      <c r="J1676">
        <v>2</v>
      </c>
      <c r="K1676">
        <v>2</v>
      </c>
      <c r="L1676" s="22" t="str">
        <f t="shared" si="541"/>
        <v>25/07/2026</v>
      </c>
      <c r="M1676" s="23">
        <f t="shared" si="542"/>
        <v>0.77083333333333337</v>
      </c>
      <c r="N1676" t="str">
        <f t="shared" si="543"/>
        <v>2 - 2</v>
      </c>
      <c r="O1676" t="str">
        <f t="shared" si="544"/>
        <v>Red</v>
      </c>
      <c r="P1676" t="str">
        <f t="shared" si="545"/>
        <v>Green</v>
      </c>
      <c r="Q1676" t="str">
        <f t="shared" si="546"/>
        <v>Red</v>
      </c>
      <c r="R1676" t="str">
        <f t="shared" si="547"/>
        <v>Green</v>
      </c>
      <c r="S1676" t="str">
        <f t="shared" si="548"/>
        <v>Green</v>
      </c>
      <c r="T1676" t="str">
        <f t="shared" si="549"/>
        <v>Red</v>
      </c>
      <c r="U1676" t="str">
        <f t="shared" si="550"/>
        <v>Green</v>
      </c>
      <c r="V1676" t="str">
        <f t="shared" si="551"/>
        <v>Red</v>
      </c>
      <c r="W1676" t="str">
        <f t="shared" si="552"/>
        <v>Red</v>
      </c>
      <c r="X1676" t="str">
        <f t="shared" si="553"/>
        <v>Green</v>
      </c>
      <c r="Y1676" t="str">
        <f t="shared" si="554"/>
        <v>Green</v>
      </c>
      <c r="Z1676" t="str">
        <f t="shared" si="555"/>
        <v>Green</v>
      </c>
      <c r="AA1676" t="str">
        <f t="shared" si="556"/>
        <v>Red</v>
      </c>
      <c r="AB1676" t="str">
        <f t="shared" si="557"/>
        <v>Red</v>
      </c>
      <c r="AC1676" t="str">
        <f t="shared" si="558"/>
        <v>Green</v>
      </c>
      <c r="AD1676" t="str">
        <f t="shared" si="559"/>
        <v>Red</v>
      </c>
    </row>
    <row r="1677" spans="1:30" x14ac:dyDescent="0.2">
      <c r="A1677" t="str">
        <f t="shared" si="540"/>
        <v>25/07/2026Confianca SEItabaiana SE</v>
      </c>
      <c r="B1677" t="s">
        <v>804</v>
      </c>
      <c r="D1677" s="2">
        <v>46228</v>
      </c>
      <c r="E1677" s="3">
        <v>0.89583333333333337</v>
      </c>
      <c r="F1677" t="s">
        <v>3047</v>
      </c>
      <c r="G1677" t="s">
        <v>3048</v>
      </c>
      <c r="H1677">
        <v>0</v>
      </c>
      <c r="I1677">
        <v>1</v>
      </c>
      <c r="J1677">
        <v>1</v>
      </c>
      <c r="K1677">
        <v>1</v>
      </c>
      <c r="L1677" s="22" t="str">
        <f t="shared" si="541"/>
        <v>25/07/2026</v>
      </c>
      <c r="M1677" s="23">
        <f t="shared" si="542"/>
        <v>0.77083333333333337</v>
      </c>
      <c r="N1677" t="str">
        <f t="shared" si="543"/>
        <v>1 - 1</v>
      </c>
      <c r="O1677" t="str">
        <f t="shared" si="544"/>
        <v>Red</v>
      </c>
      <c r="P1677" t="str">
        <f t="shared" si="545"/>
        <v>Green</v>
      </c>
      <c r="Q1677" t="str">
        <f t="shared" si="546"/>
        <v>Red</v>
      </c>
      <c r="R1677" t="str">
        <f t="shared" si="547"/>
        <v>Green</v>
      </c>
      <c r="S1677" t="str">
        <f t="shared" si="548"/>
        <v>Green</v>
      </c>
      <c r="T1677" t="str">
        <f t="shared" si="549"/>
        <v>Red</v>
      </c>
      <c r="U1677" t="str">
        <f t="shared" si="550"/>
        <v>Red</v>
      </c>
      <c r="V1677" t="str">
        <f t="shared" si="551"/>
        <v>Red</v>
      </c>
      <c r="W1677" t="str">
        <f t="shared" si="552"/>
        <v>Green</v>
      </c>
      <c r="X1677" t="str">
        <f t="shared" si="553"/>
        <v>Green</v>
      </c>
      <c r="Y1677" t="str">
        <f t="shared" si="554"/>
        <v>Green</v>
      </c>
      <c r="Z1677" t="str">
        <f t="shared" si="555"/>
        <v>Red</v>
      </c>
      <c r="AA1677" t="str">
        <f t="shared" si="556"/>
        <v>Green</v>
      </c>
      <c r="AB1677" t="str">
        <f t="shared" si="557"/>
        <v>Green</v>
      </c>
      <c r="AC1677" t="str">
        <f t="shared" si="558"/>
        <v>Green</v>
      </c>
      <c r="AD1677" t="str">
        <f t="shared" si="559"/>
        <v>Red</v>
      </c>
    </row>
    <row r="1678" spans="1:30" x14ac:dyDescent="0.2">
      <c r="A1678" t="str">
        <f t="shared" si="540"/>
        <v>25/07/2026HuachipatoCobresal</v>
      </c>
      <c r="D1678" s="2">
        <v>46228</v>
      </c>
      <c r="E1678" s="3">
        <v>0.89583333333333337</v>
      </c>
      <c r="F1678" t="s">
        <v>747</v>
      </c>
      <c r="G1678" t="s">
        <v>748</v>
      </c>
      <c r="H1678">
        <v>1</v>
      </c>
      <c r="I1678">
        <v>0</v>
      </c>
      <c r="J1678">
        <v>3</v>
      </c>
      <c r="K1678">
        <v>3</v>
      </c>
      <c r="L1678" s="22" t="str">
        <f t="shared" si="541"/>
        <v>25/07/2026</v>
      </c>
      <c r="M1678" s="23">
        <f t="shared" si="542"/>
        <v>0.77083333333333337</v>
      </c>
      <c r="N1678" t="str">
        <f t="shared" si="543"/>
        <v>3 - 3</v>
      </c>
      <c r="O1678" t="str">
        <f t="shared" si="544"/>
        <v>Red</v>
      </c>
      <c r="P1678" t="str">
        <f t="shared" si="545"/>
        <v>Green</v>
      </c>
      <c r="Q1678" t="str">
        <f t="shared" si="546"/>
        <v>Red</v>
      </c>
      <c r="R1678" t="str">
        <f t="shared" si="547"/>
        <v>Green</v>
      </c>
      <c r="S1678" t="str">
        <f t="shared" si="548"/>
        <v>Green</v>
      </c>
      <c r="T1678" t="str">
        <f t="shared" si="549"/>
        <v>Red</v>
      </c>
      <c r="U1678" t="str">
        <f t="shared" si="550"/>
        <v>Green</v>
      </c>
      <c r="V1678" t="str">
        <f t="shared" si="551"/>
        <v>Red</v>
      </c>
      <c r="W1678" t="str">
        <f t="shared" si="552"/>
        <v>Red</v>
      </c>
      <c r="X1678" t="str">
        <f t="shared" si="553"/>
        <v>Green</v>
      </c>
      <c r="Y1678" t="str">
        <f t="shared" si="554"/>
        <v>Green</v>
      </c>
      <c r="Z1678" t="str">
        <f t="shared" si="555"/>
        <v>Green</v>
      </c>
      <c r="AA1678" t="str">
        <f t="shared" si="556"/>
        <v>Red</v>
      </c>
      <c r="AB1678" t="str">
        <f t="shared" si="557"/>
        <v>Red</v>
      </c>
      <c r="AC1678" t="str">
        <f t="shared" si="558"/>
        <v>Green</v>
      </c>
      <c r="AD1678" t="str">
        <f t="shared" si="559"/>
        <v>Red</v>
      </c>
    </row>
    <row r="1679" spans="1:30" x14ac:dyDescent="0.2">
      <c r="A1679" t="str">
        <f t="shared" si="540"/>
        <v>25/07/2026CobreloaDeportes Santa Cruz</v>
      </c>
      <c r="D1679" s="2">
        <v>46228</v>
      </c>
      <c r="E1679" s="3">
        <v>0.89583333333333337</v>
      </c>
      <c r="F1679" t="s">
        <v>749</v>
      </c>
      <c r="G1679" t="s">
        <v>3118</v>
      </c>
      <c r="H1679">
        <v>2</v>
      </c>
      <c r="I1679">
        <v>1</v>
      </c>
      <c r="J1679">
        <v>4</v>
      </c>
      <c r="K1679">
        <v>2</v>
      </c>
      <c r="L1679" s="22" t="str">
        <f t="shared" si="541"/>
        <v>25/07/2026</v>
      </c>
      <c r="M1679" s="23">
        <f t="shared" si="542"/>
        <v>0.77083333333333337</v>
      </c>
      <c r="N1679" t="str">
        <f t="shared" si="543"/>
        <v>4 - 2</v>
      </c>
      <c r="O1679" t="str">
        <f t="shared" si="544"/>
        <v>Green</v>
      </c>
      <c r="P1679" t="str">
        <f t="shared" si="545"/>
        <v>Red</v>
      </c>
      <c r="Q1679" t="str">
        <f t="shared" si="546"/>
        <v>Red</v>
      </c>
      <c r="R1679" t="str">
        <f t="shared" si="547"/>
        <v>Green</v>
      </c>
      <c r="S1679" t="str">
        <f t="shared" si="548"/>
        <v>Red</v>
      </c>
      <c r="T1679" t="str">
        <f t="shared" si="549"/>
        <v>Green</v>
      </c>
      <c r="U1679" t="str">
        <f t="shared" si="550"/>
        <v>Green</v>
      </c>
      <c r="V1679" t="str">
        <f t="shared" si="551"/>
        <v>Red</v>
      </c>
      <c r="W1679" t="str">
        <f t="shared" si="552"/>
        <v>Red</v>
      </c>
      <c r="X1679" t="str">
        <f t="shared" si="553"/>
        <v>Green</v>
      </c>
      <c r="Y1679" t="str">
        <f t="shared" si="554"/>
        <v>Green</v>
      </c>
      <c r="Z1679" t="str">
        <f t="shared" si="555"/>
        <v>Green</v>
      </c>
      <c r="AA1679" t="str">
        <f t="shared" si="556"/>
        <v>Red</v>
      </c>
      <c r="AB1679" t="str">
        <f t="shared" si="557"/>
        <v>Red</v>
      </c>
      <c r="AC1679" t="str">
        <f t="shared" si="558"/>
        <v>Green</v>
      </c>
      <c r="AD1679" t="str">
        <f t="shared" si="559"/>
        <v>Red</v>
      </c>
    </row>
    <row r="1680" spans="1:30" x14ac:dyDescent="0.2">
      <c r="A1680" t="str">
        <f t="shared" si="540"/>
        <v>25/07/2026Junior FC WomenMillonarios FC Women</v>
      </c>
      <c r="D1680" s="2">
        <v>46228</v>
      </c>
      <c r="E1680" s="3">
        <v>0.89583333333333337</v>
      </c>
      <c r="F1680" t="s">
        <v>3144</v>
      </c>
      <c r="G1680" t="s">
        <v>3145</v>
      </c>
      <c r="H1680">
        <v>0</v>
      </c>
      <c r="I1680">
        <v>0</v>
      </c>
      <c r="J1680">
        <v>0</v>
      </c>
      <c r="K1680">
        <v>0</v>
      </c>
      <c r="L1680" s="22" t="str">
        <f t="shared" si="541"/>
        <v>25/07/2026</v>
      </c>
      <c r="M1680" s="23">
        <f t="shared" si="542"/>
        <v>0.77083333333333337</v>
      </c>
      <c r="N1680" t="str">
        <f t="shared" si="543"/>
        <v>0 - 0</v>
      </c>
      <c r="O1680" t="str">
        <f t="shared" si="544"/>
        <v>Red</v>
      </c>
      <c r="P1680" t="str">
        <f t="shared" si="545"/>
        <v>Green</v>
      </c>
      <c r="Q1680" t="str">
        <f t="shared" si="546"/>
        <v>Red</v>
      </c>
      <c r="R1680" t="str">
        <f t="shared" si="547"/>
        <v>Green</v>
      </c>
      <c r="S1680" t="str">
        <f t="shared" si="548"/>
        <v>Green</v>
      </c>
      <c r="T1680" t="str">
        <f t="shared" si="549"/>
        <v>Red</v>
      </c>
      <c r="U1680" t="str">
        <f t="shared" si="550"/>
        <v>Red</v>
      </c>
      <c r="V1680" t="str">
        <f t="shared" si="551"/>
        <v>Green</v>
      </c>
      <c r="W1680" t="str">
        <f t="shared" si="552"/>
        <v>Red</v>
      </c>
      <c r="X1680" t="str">
        <f t="shared" si="553"/>
        <v>Red</v>
      </c>
      <c r="Y1680" t="str">
        <f t="shared" si="554"/>
        <v>Red</v>
      </c>
      <c r="Z1680" t="str">
        <f t="shared" si="555"/>
        <v>Red</v>
      </c>
      <c r="AA1680" t="str">
        <f t="shared" si="556"/>
        <v>Green</v>
      </c>
      <c r="AB1680" t="str">
        <f t="shared" si="557"/>
        <v>Green</v>
      </c>
      <c r="AC1680" t="str">
        <f t="shared" si="558"/>
        <v>Red</v>
      </c>
      <c r="AD1680" t="str">
        <f t="shared" si="559"/>
        <v>Green</v>
      </c>
    </row>
    <row r="1681" spans="1:30" x14ac:dyDescent="0.2">
      <c r="A1681" t="str">
        <f t="shared" si="540"/>
        <v>25/07/2026Club Sportivo AmelianoClub Nacional</v>
      </c>
      <c r="D1681" s="2">
        <v>46228</v>
      </c>
      <c r="E1681" s="3">
        <v>0.89583333333333337</v>
      </c>
      <c r="F1681" t="s">
        <v>3517</v>
      </c>
      <c r="G1681" t="s">
        <v>3518</v>
      </c>
      <c r="H1681">
        <v>0</v>
      </c>
      <c r="I1681">
        <v>0</v>
      </c>
      <c r="J1681">
        <v>1</v>
      </c>
      <c r="K1681">
        <v>1</v>
      </c>
      <c r="L1681" s="22" t="str">
        <f t="shared" si="541"/>
        <v>25/07/2026</v>
      </c>
      <c r="M1681" s="23">
        <f t="shared" si="542"/>
        <v>0.77083333333333337</v>
      </c>
      <c r="N1681" t="str">
        <f t="shared" si="543"/>
        <v>1 - 1</v>
      </c>
      <c r="O1681" t="str">
        <f t="shared" si="544"/>
        <v>Red</v>
      </c>
      <c r="P1681" t="str">
        <f t="shared" si="545"/>
        <v>Green</v>
      </c>
      <c r="Q1681" t="str">
        <f t="shared" si="546"/>
        <v>Red</v>
      </c>
      <c r="R1681" t="str">
        <f t="shared" si="547"/>
        <v>Green</v>
      </c>
      <c r="S1681" t="str">
        <f t="shared" si="548"/>
        <v>Green</v>
      </c>
      <c r="T1681" t="str">
        <f t="shared" si="549"/>
        <v>Red</v>
      </c>
      <c r="U1681" t="str">
        <f t="shared" si="550"/>
        <v>Red</v>
      </c>
      <c r="V1681" t="str">
        <f t="shared" si="551"/>
        <v>Green</v>
      </c>
      <c r="W1681" t="str">
        <f t="shared" si="552"/>
        <v>Red</v>
      </c>
      <c r="X1681" t="str">
        <f t="shared" si="553"/>
        <v>Red</v>
      </c>
      <c r="Y1681" t="str">
        <f t="shared" si="554"/>
        <v>Green</v>
      </c>
      <c r="Z1681" t="str">
        <f t="shared" si="555"/>
        <v>Red</v>
      </c>
      <c r="AA1681" t="str">
        <f t="shared" si="556"/>
        <v>Green</v>
      </c>
      <c r="AB1681" t="str">
        <f t="shared" si="557"/>
        <v>Green</v>
      </c>
      <c r="AC1681" t="str">
        <f t="shared" si="558"/>
        <v>Green</v>
      </c>
      <c r="AD1681" t="str">
        <f t="shared" si="559"/>
        <v>Red</v>
      </c>
    </row>
    <row r="1682" spans="1:30" x14ac:dyDescent="0.2">
      <c r="A1682" t="str">
        <f t="shared" si="540"/>
        <v>25/07/2026San Martin de TucumanCA Temperley</v>
      </c>
      <c r="B1682" t="s">
        <v>806</v>
      </c>
      <c r="C1682" t="s">
        <v>807</v>
      </c>
      <c r="D1682" s="2">
        <v>46228</v>
      </c>
      <c r="E1682" s="3">
        <v>0.91666666666666663</v>
      </c>
      <c r="F1682" t="s">
        <v>703</v>
      </c>
      <c r="G1682" t="s">
        <v>2764</v>
      </c>
      <c r="H1682">
        <v>0</v>
      </c>
      <c r="I1682">
        <v>1</v>
      </c>
      <c r="J1682">
        <v>1</v>
      </c>
      <c r="K1682">
        <v>2</v>
      </c>
      <c r="L1682" s="22" t="str">
        <f t="shared" si="541"/>
        <v>25/07/2026</v>
      </c>
      <c r="M1682" s="23">
        <f t="shared" si="542"/>
        <v>0.79166666666666663</v>
      </c>
      <c r="N1682" t="str">
        <f t="shared" si="543"/>
        <v>1 - 2</v>
      </c>
      <c r="O1682" t="str">
        <f t="shared" si="544"/>
        <v>Red</v>
      </c>
      <c r="P1682" t="str">
        <f t="shared" si="545"/>
        <v>Red</v>
      </c>
      <c r="Q1682" t="str">
        <f t="shared" si="546"/>
        <v>Green</v>
      </c>
      <c r="R1682" t="str">
        <f t="shared" si="547"/>
        <v>Red</v>
      </c>
      <c r="S1682" t="str">
        <f t="shared" si="548"/>
        <v>Green</v>
      </c>
      <c r="T1682" t="str">
        <f t="shared" si="549"/>
        <v>Green</v>
      </c>
      <c r="U1682" t="str">
        <f t="shared" si="550"/>
        <v>Red</v>
      </c>
      <c r="V1682" t="str">
        <f t="shared" si="551"/>
        <v>Red</v>
      </c>
      <c r="W1682" t="str">
        <f t="shared" si="552"/>
        <v>Green</v>
      </c>
      <c r="X1682" t="str">
        <f t="shared" si="553"/>
        <v>Green</v>
      </c>
      <c r="Y1682" t="str">
        <f t="shared" si="554"/>
        <v>Green</v>
      </c>
      <c r="Z1682" t="str">
        <f t="shared" si="555"/>
        <v>Green</v>
      </c>
      <c r="AA1682" t="str">
        <f t="shared" si="556"/>
        <v>Red</v>
      </c>
      <c r="AB1682" t="str">
        <f t="shared" si="557"/>
        <v>Green</v>
      </c>
      <c r="AC1682" t="str">
        <f t="shared" si="558"/>
        <v>Green</v>
      </c>
      <c r="AD1682" t="str">
        <f t="shared" si="559"/>
        <v>Red</v>
      </c>
    </row>
    <row r="1683" spans="1:30" x14ac:dyDescent="0.2">
      <c r="A1683" t="str">
        <f t="shared" si="540"/>
        <v>25/07/2026Deportivo MerloCA Villa San Carlos</v>
      </c>
      <c r="B1683" t="s">
        <v>806</v>
      </c>
      <c r="C1683" t="s">
        <v>2766</v>
      </c>
      <c r="D1683" s="2">
        <v>46228</v>
      </c>
      <c r="E1683" s="3">
        <v>0.91666666666666663</v>
      </c>
      <c r="F1683" t="s">
        <v>2776</v>
      </c>
      <c r="G1683" t="s">
        <v>2777</v>
      </c>
      <c r="H1683">
        <v>1</v>
      </c>
      <c r="I1683">
        <v>1</v>
      </c>
      <c r="J1683">
        <v>1</v>
      </c>
      <c r="K1683">
        <v>2</v>
      </c>
      <c r="L1683" s="22" t="str">
        <f t="shared" si="541"/>
        <v>25/07/2026</v>
      </c>
      <c r="M1683" s="23">
        <f t="shared" si="542"/>
        <v>0.79166666666666663</v>
      </c>
      <c r="N1683" t="str">
        <f t="shared" si="543"/>
        <v>1 - 2</v>
      </c>
      <c r="O1683" t="str">
        <f t="shared" si="544"/>
        <v>Red</v>
      </c>
      <c r="P1683" t="str">
        <f t="shared" si="545"/>
        <v>Red</v>
      </c>
      <c r="Q1683" t="str">
        <f t="shared" si="546"/>
        <v>Green</v>
      </c>
      <c r="R1683" t="str">
        <f t="shared" si="547"/>
        <v>Red</v>
      </c>
      <c r="S1683" t="str">
        <f t="shared" si="548"/>
        <v>Green</v>
      </c>
      <c r="T1683" t="str">
        <f t="shared" si="549"/>
        <v>Green</v>
      </c>
      <c r="U1683" t="str">
        <f t="shared" si="550"/>
        <v>Red</v>
      </c>
      <c r="V1683" t="str">
        <f t="shared" si="551"/>
        <v>Green</v>
      </c>
      <c r="W1683" t="str">
        <f t="shared" si="552"/>
        <v>Red</v>
      </c>
      <c r="X1683" t="str">
        <f t="shared" si="553"/>
        <v>Green</v>
      </c>
      <c r="Y1683" t="str">
        <f t="shared" si="554"/>
        <v>Green</v>
      </c>
      <c r="Z1683" t="str">
        <f t="shared" si="555"/>
        <v>Green</v>
      </c>
      <c r="AA1683" t="str">
        <f t="shared" si="556"/>
        <v>Red</v>
      </c>
      <c r="AB1683" t="str">
        <f t="shared" si="557"/>
        <v>Green</v>
      </c>
      <c r="AC1683" t="str">
        <f t="shared" si="558"/>
        <v>Green</v>
      </c>
      <c r="AD1683" t="str">
        <f t="shared" si="559"/>
        <v>Red</v>
      </c>
    </row>
    <row r="1684" spans="1:30" x14ac:dyDescent="0.2">
      <c r="A1684" t="str">
        <f t="shared" si="540"/>
        <v>25/07/2026Volta RedondaAnapolis GO</v>
      </c>
      <c r="B1684" t="s">
        <v>804</v>
      </c>
      <c r="D1684" s="2">
        <v>46228</v>
      </c>
      <c r="E1684" s="3">
        <v>0.91666666666666663</v>
      </c>
      <c r="F1684" t="s">
        <v>308</v>
      </c>
      <c r="G1684" t="s">
        <v>3049</v>
      </c>
      <c r="H1684">
        <v>1</v>
      </c>
      <c r="I1684">
        <v>1</v>
      </c>
      <c r="J1684">
        <v>1</v>
      </c>
      <c r="K1684">
        <v>4</v>
      </c>
      <c r="L1684" s="22" t="str">
        <f t="shared" si="541"/>
        <v>25/07/2026</v>
      </c>
      <c r="M1684" s="23">
        <f t="shared" si="542"/>
        <v>0.79166666666666663</v>
      </c>
      <c r="N1684" t="str">
        <f t="shared" si="543"/>
        <v>1 - 4</v>
      </c>
      <c r="O1684" t="str">
        <f t="shared" si="544"/>
        <v>Red</v>
      </c>
      <c r="P1684" t="str">
        <f t="shared" si="545"/>
        <v>Red</v>
      </c>
      <c r="Q1684" t="str">
        <f t="shared" si="546"/>
        <v>Green</v>
      </c>
      <c r="R1684" t="str">
        <f t="shared" si="547"/>
        <v>Red</v>
      </c>
      <c r="S1684" t="str">
        <f t="shared" si="548"/>
        <v>Green</v>
      </c>
      <c r="T1684" t="str">
        <f t="shared" si="549"/>
        <v>Green</v>
      </c>
      <c r="U1684" t="str">
        <f t="shared" si="550"/>
        <v>Red</v>
      </c>
      <c r="V1684" t="str">
        <f t="shared" si="551"/>
        <v>Green</v>
      </c>
      <c r="W1684" t="str">
        <f t="shared" si="552"/>
        <v>Red</v>
      </c>
      <c r="X1684" t="str">
        <f t="shared" si="553"/>
        <v>Green</v>
      </c>
      <c r="Y1684" t="str">
        <f t="shared" si="554"/>
        <v>Green</v>
      </c>
      <c r="Z1684" t="str">
        <f t="shared" si="555"/>
        <v>Green</v>
      </c>
      <c r="AA1684" t="str">
        <f t="shared" si="556"/>
        <v>Red</v>
      </c>
      <c r="AB1684" t="str">
        <f t="shared" si="557"/>
        <v>Red</v>
      </c>
      <c r="AC1684" t="str">
        <f t="shared" si="558"/>
        <v>Green</v>
      </c>
      <c r="AD1684" t="str">
        <f t="shared" si="559"/>
        <v>Red</v>
      </c>
    </row>
    <row r="1685" spans="1:30" x14ac:dyDescent="0.2">
      <c r="A1685" t="str">
        <f t="shared" si="540"/>
        <v>25/07/2026Primavera SPOeste</v>
      </c>
      <c r="B1685" t="s">
        <v>804</v>
      </c>
      <c r="D1685" s="2">
        <v>46228</v>
      </c>
      <c r="E1685" s="3">
        <v>0.91666666666666663</v>
      </c>
      <c r="F1685" t="s">
        <v>3066</v>
      </c>
      <c r="G1685" t="s">
        <v>3067</v>
      </c>
      <c r="H1685">
        <v>2</v>
      </c>
      <c r="I1685">
        <v>0</v>
      </c>
      <c r="J1685">
        <v>2</v>
      </c>
      <c r="K1685">
        <v>0</v>
      </c>
      <c r="L1685" s="22" t="str">
        <f t="shared" si="541"/>
        <v>25/07/2026</v>
      </c>
      <c r="M1685" s="23">
        <f t="shared" si="542"/>
        <v>0.79166666666666663</v>
      </c>
      <c r="N1685" t="str">
        <f t="shared" si="543"/>
        <v>2 - 0</v>
      </c>
      <c r="O1685" t="str">
        <f t="shared" si="544"/>
        <v>Green</v>
      </c>
      <c r="P1685" t="str">
        <f t="shared" si="545"/>
        <v>Red</v>
      </c>
      <c r="Q1685" t="str">
        <f t="shared" si="546"/>
        <v>Red</v>
      </c>
      <c r="R1685" t="str">
        <f t="shared" si="547"/>
        <v>Green</v>
      </c>
      <c r="S1685" t="str">
        <f t="shared" si="548"/>
        <v>Red</v>
      </c>
      <c r="T1685" t="str">
        <f t="shared" si="549"/>
        <v>Green</v>
      </c>
      <c r="U1685" t="str">
        <f t="shared" si="550"/>
        <v>Green</v>
      </c>
      <c r="V1685" t="str">
        <f t="shared" si="551"/>
        <v>Red</v>
      </c>
      <c r="W1685" t="str">
        <f t="shared" si="552"/>
        <v>Red</v>
      </c>
      <c r="X1685" t="str">
        <f t="shared" si="553"/>
        <v>Green</v>
      </c>
      <c r="Y1685" t="str">
        <f t="shared" si="554"/>
        <v>Green</v>
      </c>
      <c r="Z1685" t="str">
        <f t="shared" si="555"/>
        <v>Red</v>
      </c>
      <c r="AA1685" t="str">
        <f t="shared" si="556"/>
        <v>Green</v>
      </c>
      <c r="AB1685" t="str">
        <f t="shared" si="557"/>
        <v>Green</v>
      </c>
      <c r="AC1685" t="str">
        <f t="shared" si="558"/>
        <v>Red</v>
      </c>
      <c r="AD1685" t="str">
        <f t="shared" si="559"/>
        <v>Green</v>
      </c>
    </row>
    <row r="1686" spans="1:30" x14ac:dyDescent="0.2">
      <c r="A1686" t="str">
        <f t="shared" si="540"/>
        <v>25/07/2026Sao Jose Esporte ClubeEC Sao Bernardo SP</v>
      </c>
      <c r="B1686" t="s">
        <v>804</v>
      </c>
      <c r="D1686" s="2">
        <v>46228</v>
      </c>
      <c r="E1686" s="3">
        <v>0.91666666666666663</v>
      </c>
      <c r="F1686" t="s">
        <v>305</v>
      </c>
      <c r="G1686" t="s">
        <v>3068</v>
      </c>
      <c r="H1686">
        <v>1</v>
      </c>
      <c r="I1686">
        <v>0</v>
      </c>
      <c r="J1686">
        <v>2</v>
      </c>
      <c r="K1686">
        <v>1</v>
      </c>
      <c r="L1686" s="22" t="str">
        <f t="shared" si="541"/>
        <v>25/07/2026</v>
      </c>
      <c r="M1686" s="23">
        <f t="shared" si="542"/>
        <v>0.79166666666666663</v>
      </c>
      <c r="N1686" t="str">
        <f t="shared" si="543"/>
        <v>2 - 1</v>
      </c>
      <c r="O1686" t="str">
        <f t="shared" si="544"/>
        <v>Green</v>
      </c>
      <c r="P1686" t="str">
        <f t="shared" si="545"/>
        <v>Red</v>
      </c>
      <c r="Q1686" t="str">
        <f t="shared" si="546"/>
        <v>Red</v>
      </c>
      <c r="R1686" t="str">
        <f t="shared" si="547"/>
        <v>Green</v>
      </c>
      <c r="S1686" t="str">
        <f t="shared" si="548"/>
        <v>Red</v>
      </c>
      <c r="T1686" t="str">
        <f t="shared" si="549"/>
        <v>Green</v>
      </c>
      <c r="U1686" t="str">
        <f t="shared" si="550"/>
        <v>Green</v>
      </c>
      <c r="V1686" t="str">
        <f t="shared" si="551"/>
        <v>Red</v>
      </c>
      <c r="W1686" t="str">
        <f t="shared" si="552"/>
        <v>Red</v>
      </c>
      <c r="X1686" t="str">
        <f t="shared" si="553"/>
        <v>Green</v>
      </c>
      <c r="Y1686" t="str">
        <f t="shared" si="554"/>
        <v>Green</v>
      </c>
      <c r="Z1686" t="str">
        <f t="shared" si="555"/>
        <v>Green</v>
      </c>
      <c r="AA1686" t="str">
        <f t="shared" si="556"/>
        <v>Red</v>
      </c>
      <c r="AB1686" t="str">
        <f t="shared" si="557"/>
        <v>Green</v>
      </c>
      <c r="AC1686" t="str">
        <f t="shared" si="558"/>
        <v>Green</v>
      </c>
      <c r="AD1686" t="str">
        <f t="shared" si="559"/>
        <v>Red</v>
      </c>
    </row>
    <row r="1687" spans="1:30" x14ac:dyDescent="0.2">
      <c r="A1687" t="str">
        <f t="shared" si="540"/>
        <v>25/07/2026Corinthians U20Itapirense U20</v>
      </c>
      <c r="B1687" t="s">
        <v>804</v>
      </c>
      <c r="D1687" s="2">
        <v>46228</v>
      </c>
      <c r="E1687" s="3">
        <v>0.91666666666666663</v>
      </c>
      <c r="F1687" t="s">
        <v>3099</v>
      </c>
      <c r="G1687" t="s">
        <v>3100</v>
      </c>
      <c r="H1687">
        <v>3</v>
      </c>
      <c r="I1687">
        <v>0</v>
      </c>
      <c r="J1687">
        <v>4</v>
      </c>
      <c r="K1687">
        <v>0</v>
      </c>
      <c r="L1687" s="22" t="str">
        <f t="shared" si="541"/>
        <v>25/07/2026</v>
      </c>
      <c r="M1687" s="23">
        <f t="shared" si="542"/>
        <v>0.79166666666666663</v>
      </c>
      <c r="N1687" t="str">
        <f t="shared" si="543"/>
        <v>4 - 0</v>
      </c>
      <c r="O1687" t="str">
        <f t="shared" si="544"/>
        <v>Green</v>
      </c>
      <c r="P1687" t="str">
        <f t="shared" si="545"/>
        <v>Red</v>
      </c>
      <c r="Q1687" t="str">
        <f t="shared" si="546"/>
        <v>Red</v>
      </c>
      <c r="R1687" t="str">
        <f t="shared" si="547"/>
        <v>Green</v>
      </c>
      <c r="S1687" t="str">
        <f t="shared" si="548"/>
        <v>Red</v>
      </c>
      <c r="T1687" t="str">
        <f t="shared" si="549"/>
        <v>Green</v>
      </c>
      <c r="U1687" t="str">
        <f t="shared" si="550"/>
        <v>Green</v>
      </c>
      <c r="V1687" t="str">
        <f t="shared" si="551"/>
        <v>Red</v>
      </c>
      <c r="W1687" t="str">
        <f t="shared" si="552"/>
        <v>Red</v>
      </c>
      <c r="X1687" t="str">
        <f t="shared" si="553"/>
        <v>Green</v>
      </c>
      <c r="Y1687" t="str">
        <f t="shared" si="554"/>
        <v>Green</v>
      </c>
      <c r="Z1687" t="str">
        <f t="shared" si="555"/>
        <v>Green</v>
      </c>
      <c r="AA1687" t="str">
        <f t="shared" si="556"/>
        <v>Red</v>
      </c>
      <c r="AB1687" t="str">
        <f t="shared" si="557"/>
        <v>Red</v>
      </c>
      <c r="AC1687" t="str">
        <f t="shared" si="558"/>
        <v>Red</v>
      </c>
      <c r="AD1687" t="str">
        <f t="shared" si="559"/>
        <v>Green</v>
      </c>
    </row>
    <row r="1688" spans="1:30" x14ac:dyDescent="0.2">
      <c r="A1688" t="str">
        <f t="shared" si="540"/>
        <v>25/07/2026Tlaxcala FCUniversidad de Guadalajara</v>
      </c>
      <c r="D1688" s="2">
        <v>46228</v>
      </c>
      <c r="E1688" s="3">
        <v>0.91666666666666663</v>
      </c>
      <c r="F1688" t="s">
        <v>3411</v>
      </c>
      <c r="G1688" t="s">
        <v>3412</v>
      </c>
      <c r="H1688">
        <v>0</v>
      </c>
      <c r="I1688">
        <v>2</v>
      </c>
      <c r="J1688">
        <v>2</v>
      </c>
      <c r="K1688">
        <v>4</v>
      </c>
      <c r="L1688" s="22" t="str">
        <f t="shared" si="541"/>
        <v>25/07/2026</v>
      </c>
      <c r="M1688" s="23">
        <f t="shared" si="542"/>
        <v>0.79166666666666663</v>
      </c>
      <c r="N1688" t="str">
        <f t="shared" si="543"/>
        <v>2 - 4</v>
      </c>
      <c r="O1688" t="str">
        <f t="shared" si="544"/>
        <v>Red</v>
      </c>
      <c r="P1688" t="str">
        <f t="shared" si="545"/>
        <v>Red</v>
      </c>
      <c r="Q1688" t="str">
        <f t="shared" si="546"/>
        <v>Green</v>
      </c>
      <c r="R1688" t="str">
        <f t="shared" si="547"/>
        <v>Red</v>
      </c>
      <c r="S1688" t="str">
        <f t="shared" si="548"/>
        <v>Green</v>
      </c>
      <c r="T1688" t="str">
        <f t="shared" si="549"/>
        <v>Green</v>
      </c>
      <c r="U1688" t="str">
        <f t="shared" si="550"/>
        <v>Red</v>
      </c>
      <c r="V1688" t="str">
        <f t="shared" si="551"/>
        <v>Red</v>
      </c>
      <c r="W1688" t="str">
        <f t="shared" si="552"/>
        <v>Green</v>
      </c>
      <c r="X1688" t="str">
        <f t="shared" si="553"/>
        <v>Green</v>
      </c>
      <c r="Y1688" t="str">
        <f t="shared" si="554"/>
        <v>Green</v>
      </c>
      <c r="Z1688" t="str">
        <f t="shared" si="555"/>
        <v>Green</v>
      </c>
      <c r="AA1688" t="str">
        <f t="shared" si="556"/>
        <v>Red</v>
      </c>
      <c r="AB1688" t="str">
        <f t="shared" si="557"/>
        <v>Red</v>
      </c>
      <c r="AC1688" t="str">
        <f t="shared" si="558"/>
        <v>Green</v>
      </c>
      <c r="AD1688" t="str">
        <f t="shared" si="559"/>
        <v>Red</v>
      </c>
    </row>
    <row r="1689" spans="1:30" x14ac:dyDescent="0.2">
      <c r="A1689" t="str">
        <f t="shared" si="540"/>
        <v>25/07/2026LiverpoolSunderland</v>
      </c>
      <c r="D1689" s="2">
        <v>46228</v>
      </c>
      <c r="E1689" s="3">
        <v>0.91666666666666663</v>
      </c>
      <c r="F1689" t="s">
        <v>624</v>
      </c>
      <c r="G1689" t="s">
        <v>4013</v>
      </c>
      <c r="H1689">
        <v>1</v>
      </c>
      <c r="I1689">
        <v>1</v>
      </c>
      <c r="J1689">
        <v>4</v>
      </c>
      <c r="K1689">
        <v>2</v>
      </c>
      <c r="L1689" s="22" t="str">
        <f t="shared" si="541"/>
        <v>25/07/2026</v>
      </c>
      <c r="M1689" s="23">
        <f t="shared" si="542"/>
        <v>0.79166666666666663</v>
      </c>
      <c r="N1689" t="str">
        <f t="shared" si="543"/>
        <v>4 - 2</v>
      </c>
      <c r="O1689" t="str">
        <f t="shared" si="544"/>
        <v>Green</v>
      </c>
      <c r="P1689" t="str">
        <f t="shared" si="545"/>
        <v>Red</v>
      </c>
      <c r="Q1689" t="str">
        <f t="shared" si="546"/>
        <v>Red</v>
      </c>
      <c r="R1689" t="str">
        <f t="shared" si="547"/>
        <v>Green</v>
      </c>
      <c r="S1689" t="str">
        <f t="shared" si="548"/>
        <v>Red</v>
      </c>
      <c r="T1689" t="str">
        <f t="shared" si="549"/>
        <v>Green</v>
      </c>
      <c r="U1689" t="str">
        <f t="shared" si="550"/>
        <v>Red</v>
      </c>
      <c r="V1689" t="str">
        <f t="shared" si="551"/>
        <v>Green</v>
      </c>
      <c r="W1689" t="str">
        <f t="shared" si="552"/>
        <v>Red</v>
      </c>
      <c r="X1689" t="str">
        <f t="shared" si="553"/>
        <v>Green</v>
      </c>
      <c r="Y1689" t="str">
        <f t="shared" si="554"/>
        <v>Green</v>
      </c>
      <c r="Z1689" t="str">
        <f t="shared" si="555"/>
        <v>Green</v>
      </c>
      <c r="AA1689" t="str">
        <f t="shared" si="556"/>
        <v>Red</v>
      </c>
      <c r="AB1689" t="str">
        <f t="shared" si="557"/>
        <v>Red</v>
      </c>
      <c r="AC1689" t="str">
        <f t="shared" si="558"/>
        <v>Green</v>
      </c>
      <c r="AD1689" t="str">
        <f t="shared" si="559"/>
        <v>Red</v>
      </c>
    </row>
    <row r="1690" spans="1:30" x14ac:dyDescent="0.2">
      <c r="A1690" t="str">
        <f t="shared" si="540"/>
        <v>25/07/2026River PlateBarracas Central</v>
      </c>
      <c r="B1690" t="s">
        <v>806</v>
      </c>
      <c r="C1690" t="s">
        <v>2229</v>
      </c>
      <c r="D1690" s="2">
        <v>46228</v>
      </c>
      <c r="E1690" s="3">
        <v>0.92708333333333337</v>
      </c>
      <c r="F1690" t="s">
        <v>754</v>
      </c>
      <c r="G1690" t="s">
        <v>755</v>
      </c>
      <c r="H1690">
        <v>0</v>
      </c>
      <c r="I1690">
        <v>1</v>
      </c>
      <c r="J1690">
        <v>0</v>
      </c>
      <c r="K1690">
        <v>1</v>
      </c>
      <c r="L1690" s="22" t="str">
        <f t="shared" si="541"/>
        <v>25/07/2026</v>
      </c>
      <c r="M1690" s="23">
        <f t="shared" si="542"/>
        <v>0.80208333333333337</v>
      </c>
      <c r="N1690" t="str">
        <f t="shared" si="543"/>
        <v>0 - 1</v>
      </c>
      <c r="O1690" t="str">
        <f t="shared" si="544"/>
        <v>Red</v>
      </c>
      <c r="P1690" t="str">
        <f t="shared" si="545"/>
        <v>Red</v>
      </c>
      <c r="Q1690" t="str">
        <f t="shared" si="546"/>
        <v>Green</v>
      </c>
      <c r="R1690" t="str">
        <f t="shared" si="547"/>
        <v>Red</v>
      </c>
      <c r="S1690" t="str">
        <f t="shared" si="548"/>
        <v>Green</v>
      </c>
      <c r="T1690" t="str">
        <f t="shared" si="549"/>
        <v>Green</v>
      </c>
      <c r="U1690" t="str">
        <f t="shared" si="550"/>
        <v>Red</v>
      </c>
      <c r="V1690" t="str">
        <f t="shared" si="551"/>
        <v>Red</v>
      </c>
      <c r="W1690" t="str">
        <f t="shared" si="552"/>
        <v>Green</v>
      </c>
      <c r="X1690" t="str">
        <f t="shared" si="553"/>
        <v>Green</v>
      </c>
      <c r="Y1690" t="str">
        <f t="shared" si="554"/>
        <v>Red</v>
      </c>
      <c r="Z1690" t="str">
        <f t="shared" si="555"/>
        <v>Red</v>
      </c>
      <c r="AA1690" t="str">
        <f t="shared" si="556"/>
        <v>Green</v>
      </c>
      <c r="AB1690" t="str">
        <f t="shared" si="557"/>
        <v>Green</v>
      </c>
      <c r="AC1690" t="str">
        <f t="shared" si="558"/>
        <v>Red</v>
      </c>
      <c r="AD1690" t="str">
        <f t="shared" si="559"/>
        <v>Green</v>
      </c>
    </row>
    <row r="1691" spans="1:30" x14ac:dyDescent="0.2">
      <c r="A1691" t="str">
        <f t="shared" si="540"/>
        <v>25/07/2026CS 2 de Mayo WomenNational Humaita Women</v>
      </c>
      <c r="D1691" s="2">
        <v>46228</v>
      </c>
      <c r="E1691" s="3">
        <v>0.9375</v>
      </c>
      <c r="F1691" t="s">
        <v>1667</v>
      </c>
      <c r="G1691" t="s">
        <v>3522</v>
      </c>
      <c r="H1691">
        <v>0</v>
      </c>
      <c r="I1691">
        <v>0</v>
      </c>
      <c r="J1691">
        <v>2</v>
      </c>
      <c r="K1691">
        <v>3</v>
      </c>
      <c r="L1691" s="22" t="str">
        <f t="shared" si="541"/>
        <v>25/07/2026</v>
      </c>
      <c r="M1691" s="23">
        <f t="shared" si="542"/>
        <v>0.8125</v>
      </c>
      <c r="N1691" t="str">
        <f t="shared" si="543"/>
        <v>2 - 3</v>
      </c>
      <c r="O1691" t="str">
        <f t="shared" si="544"/>
        <v>Red</v>
      </c>
      <c r="P1691" t="str">
        <f t="shared" si="545"/>
        <v>Red</v>
      </c>
      <c r="Q1691" t="str">
        <f t="shared" si="546"/>
        <v>Green</v>
      </c>
      <c r="R1691" t="str">
        <f t="shared" si="547"/>
        <v>Red</v>
      </c>
      <c r="S1691" t="str">
        <f t="shared" si="548"/>
        <v>Green</v>
      </c>
      <c r="T1691" t="str">
        <f t="shared" si="549"/>
        <v>Green</v>
      </c>
      <c r="U1691" t="str">
        <f t="shared" si="550"/>
        <v>Red</v>
      </c>
      <c r="V1691" t="str">
        <f t="shared" si="551"/>
        <v>Green</v>
      </c>
      <c r="W1691" t="str">
        <f t="shared" si="552"/>
        <v>Red</v>
      </c>
      <c r="X1691" t="str">
        <f t="shared" si="553"/>
        <v>Red</v>
      </c>
      <c r="Y1691" t="str">
        <f t="shared" si="554"/>
        <v>Green</v>
      </c>
      <c r="Z1691" t="str">
        <f t="shared" si="555"/>
        <v>Green</v>
      </c>
      <c r="AA1691" t="str">
        <f t="shared" si="556"/>
        <v>Red</v>
      </c>
      <c r="AB1691" t="str">
        <f t="shared" si="557"/>
        <v>Red</v>
      </c>
      <c r="AC1691" t="str">
        <f t="shared" si="558"/>
        <v>Green</v>
      </c>
      <c r="AD1691" t="str">
        <f t="shared" si="559"/>
        <v>Red</v>
      </c>
    </row>
    <row r="1692" spans="1:30" x14ac:dyDescent="0.2">
      <c r="A1692" t="str">
        <f t="shared" si="540"/>
        <v>25/07/2026New York Red BullsCharlotte FC</v>
      </c>
      <c r="D1692" s="2">
        <v>46228</v>
      </c>
      <c r="E1692" s="3">
        <v>0.9375</v>
      </c>
      <c r="F1692" t="s">
        <v>60</v>
      </c>
      <c r="G1692" t="s">
        <v>63</v>
      </c>
      <c r="H1692">
        <v>0</v>
      </c>
      <c r="I1692">
        <v>2</v>
      </c>
      <c r="J1692">
        <v>0</v>
      </c>
      <c r="K1692">
        <v>2</v>
      </c>
      <c r="L1692" s="22" t="str">
        <f t="shared" si="541"/>
        <v>25/07/2026</v>
      </c>
      <c r="M1692" s="23">
        <f t="shared" si="542"/>
        <v>0.8125</v>
      </c>
      <c r="N1692" t="str">
        <f t="shared" si="543"/>
        <v>0 - 2</v>
      </c>
      <c r="O1692" t="str">
        <f t="shared" si="544"/>
        <v>Red</v>
      </c>
      <c r="P1692" t="str">
        <f t="shared" si="545"/>
        <v>Red</v>
      </c>
      <c r="Q1692" t="str">
        <f t="shared" si="546"/>
        <v>Green</v>
      </c>
      <c r="R1692" t="str">
        <f t="shared" si="547"/>
        <v>Red</v>
      </c>
      <c r="S1692" t="str">
        <f t="shared" si="548"/>
        <v>Green</v>
      </c>
      <c r="T1692" t="str">
        <f t="shared" si="549"/>
        <v>Green</v>
      </c>
      <c r="U1692" t="str">
        <f t="shared" si="550"/>
        <v>Red</v>
      </c>
      <c r="V1692" t="str">
        <f t="shared" si="551"/>
        <v>Red</v>
      </c>
      <c r="W1692" t="str">
        <f t="shared" si="552"/>
        <v>Green</v>
      </c>
      <c r="X1692" t="str">
        <f t="shared" si="553"/>
        <v>Green</v>
      </c>
      <c r="Y1692" t="str">
        <f t="shared" si="554"/>
        <v>Green</v>
      </c>
      <c r="Z1692" t="str">
        <f t="shared" si="555"/>
        <v>Red</v>
      </c>
      <c r="AA1692" t="str">
        <f t="shared" si="556"/>
        <v>Green</v>
      </c>
      <c r="AB1692" t="str">
        <f t="shared" si="557"/>
        <v>Green</v>
      </c>
      <c r="AC1692" t="str">
        <f t="shared" si="558"/>
        <v>Red</v>
      </c>
      <c r="AD1692" t="str">
        <f t="shared" si="559"/>
        <v>Green</v>
      </c>
    </row>
    <row r="1693" spans="1:30" x14ac:dyDescent="0.2">
      <c r="A1693" t="str">
        <f t="shared" si="540"/>
        <v>25/07/2026CS CartaginesInter San Carlos</v>
      </c>
      <c r="D1693" s="2">
        <v>46228</v>
      </c>
      <c r="E1693" s="3">
        <v>0.95833333333333337</v>
      </c>
      <c r="F1693" t="s">
        <v>3146</v>
      </c>
      <c r="G1693" t="s">
        <v>3147</v>
      </c>
      <c r="H1693">
        <v>1</v>
      </c>
      <c r="I1693">
        <v>0</v>
      </c>
      <c r="J1693">
        <v>3</v>
      </c>
      <c r="K1693">
        <v>1</v>
      </c>
      <c r="L1693" s="22" t="str">
        <f t="shared" si="541"/>
        <v>25/07/2026</v>
      </c>
      <c r="M1693" s="23">
        <f t="shared" si="542"/>
        <v>0.83333333333333337</v>
      </c>
      <c r="N1693" t="str">
        <f t="shared" si="543"/>
        <v>3 - 1</v>
      </c>
      <c r="O1693" t="str">
        <f t="shared" si="544"/>
        <v>Green</v>
      </c>
      <c r="P1693" t="str">
        <f t="shared" si="545"/>
        <v>Red</v>
      </c>
      <c r="Q1693" t="str">
        <f t="shared" si="546"/>
        <v>Red</v>
      </c>
      <c r="R1693" t="str">
        <f t="shared" si="547"/>
        <v>Green</v>
      </c>
      <c r="S1693" t="str">
        <f t="shared" si="548"/>
        <v>Red</v>
      </c>
      <c r="T1693" t="str">
        <f t="shared" si="549"/>
        <v>Green</v>
      </c>
      <c r="U1693" t="str">
        <f t="shared" si="550"/>
        <v>Green</v>
      </c>
      <c r="V1693" t="str">
        <f t="shared" si="551"/>
        <v>Red</v>
      </c>
      <c r="W1693" t="str">
        <f t="shared" si="552"/>
        <v>Red</v>
      </c>
      <c r="X1693" t="str">
        <f t="shared" si="553"/>
        <v>Green</v>
      </c>
      <c r="Y1693" t="str">
        <f t="shared" si="554"/>
        <v>Green</v>
      </c>
      <c r="Z1693" t="str">
        <f t="shared" si="555"/>
        <v>Green</v>
      </c>
      <c r="AA1693" t="str">
        <f t="shared" si="556"/>
        <v>Red</v>
      </c>
      <c r="AB1693" t="str">
        <f t="shared" si="557"/>
        <v>Red</v>
      </c>
      <c r="AC1693" t="str">
        <f t="shared" si="558"/>
        <v>Green</v>
      </c>
      <c r="AD1693" t="str">
        <f t="shared" si="559"/>
        <v>Red</v>
      </c>
    </row>
    <row r="1694" spans="1:30" x14ac:dyDescent="0.2">
      <c r="A1694" t="str">
        <f t="shared" si="540"/>
        <v>25/07/2026VenadosAlebrijes de Oaxaca</v>
      </c>
      <c r="D1694" s="2">
        <v>46228</v>
      </c>
      <c r="E1694" s="3">
        <v>0.95833333333333337</v>
      </c>
      <c r="F1694" t="s">
        <v>3413</v>
      </c>
      <c r="G1694" t="s">
        <v>3414</v>
      </c>
      <c r="H1694">
        <v>0</v>
      </c>
      <c r="I1694">
        <v>0</v>
      </c>
      <c r="J1694">
        <v>3</v>
      </c>
      <c r="K1694">
        <v>0</v>
      </c>
      <c r="L1694" s="22" t="str">
        <f t="shared" si="541"/>
        <v>25/07/2026</v>
      </c>
      <c r="M1694" s="23">
        <f t="shared" si="542"/>
        <v>0.83333333333333337</v>
      </c>
      <c r="N1694" t="str">
        <f t="shared" si="543"/>
        <v>3 - 0</v>
      </c>
      <c r="O1694" t="str">
        <f t="shared" si="544"/>
        <v>Green</v>
      </c>
      <c r="P1694" t="str">
        <f t="shared" si="545"/>
        <v>Red</v>
      </c>
      <c r="Q1694" t="str">
        <f t="shared" si="546"/>
        <v>Red</v>
      </c>
      <c r="R1694" t="str">
        <f t="shared" si="547"/>
        <v>Green</v>
      </c>
      <c r="S1694" t="str">
        <f t="shared" si="548"/>
        <v>Red</v>
      </c>
      <c r="T1694" t="str">
        <f t="shared" si="549"/>
        <v>Green</v>
      </c>
      <c r="U1694" t="str">
        <f t="shared" si="550"/>
        <v>Red</v>
      </c>
      <c r="V1694" t="str">
        <f t="shared" si="551"/>
        <v>Green</v>
      </c>
      <c r="W1694" t="str">
        <f t="shared" si="552"/>
        <v>Red</v>
      </c>
      <c r="X1694" t="str">
        <f t="shared" si="553"/>
        <v>Red</v>
      </c>
      <c r="Y1694" t="str">
        <f t="shared" si="554"/>
        <v>Green</v>
      </c>
      <c r="Z1694" t="str">
        <f t="shared" si="555"/>
        <v>Green</v>
      </c>
      <c r="AA1694" t="str">
        <f t="shared" si="556"/>
        <v>Red</v>
      </c>
      <c r="AB1694" t="str">
        <f t="shared" si="557"/>
        <v>Green</v>
      </c>
      <c r="AC1694" t="str">
        <f t="shared" si="558"/>
        <v>Red</v>
      </c>
      <c r="AD1694" t="str">
        <f t="shared" si="559"/>
        <v>Green</v>
      </c>
    </row>
    <row r="1695" spans="1:30" x14ac:dyDescent="0.2">
      <c r="A1695" t="str">
        <f t="shared" si="540"/>
        <v>25/07/2026Birmingham LegionNew Mexico</v>
      </c>
      <c r="D1695" s="2">
        <v>46228</v>
      </c>
      <c r="E1695" s="3">
        <v>0.95833333333333337</v>
      </c>
      <c r="F1695" t="s">
        <v>3692</v>
      </c>
      <c r="G1695" t="s">
        <v>3693</v>
      </c>
      <c r="L1695" s="22" t="str">
        <f t="shared" si="541"/>
        <v>25/07/2026</v>
      </c>
      <c r="M1695" s="23">
        <f t="shared" si="542"/>
        <v>0.83333333333333337</v>
      </c>
      <c r="N1695" t="str">
        <f t="shared" si="543"/>
        <v xml:space="preserve"> - </v>
      </c>
      <c r="O1695" t="str">
        <f t="shared" si="544"/>
        <v>Red</v>
      </c>
      <c r="P1695" t="str">
        <f t="shared" si="545"/>
        <v>Green</v>
      </c>
      <c r="Q1695" t="str">
        <f t="shared" si="546"/>
        <v>Red</v>
      </c>
      <c r="R1695" t="str">
        <f t="shared" si="547"/>
        <v>Green</v>
      </c>
      <c r="S1695" t="str">
        <f t="shared" si="548"/>
        <v>Green</v>
      </c>
      <c r="T1695" t="str">
        <f t="shared" si="549"/>
        <v>Red</v>
      </c>
      <c r="U1695" t="str">
        <f t="shared" si="550"/>
        <v>Red</v>
      </c>
      <c r="V1695" t="str">
        <f t="shared" si="551"/>
        <v>Green</v>
      </c>
      <c r="W1695" t="str">
        <f t="shared" si="552"/>
        <v>Red</v>
      </c>
      <c r="X1695" t="str">
        <f t="shared" si="553"/>
        <v>Red</v>
      </c>
      <c r="Y1695" t="str">
        <f t="shared" si="554"/>
        <v>Red</v>
      </c>
      <c r="Z1695" t="str">
        <f t="shared" si="555"/>
        <v>Red</v>
      </c>
      <c r="AA1695" t="str">
        <f t="shared" si="556"/>
        <v>Green</v>
      </c>
      <c r="AB1695" t="str">
        <f t="shared" si="557"/>
        <v>Green</v>
      </c>
      <c r="AC1695" t="str">
        <f t="shared" si="558"/>
        <v>Red</v>
      </c>
      <c r="AD1695" t="str">
        <f t="shared" si="559"/>
        <v>Green</v>
      </c>
    </row>
    <row r="1696" spans="1:30" x14ac:dyDescent="0.2">
      <c r="A1696" t="str">
        <f t="shared" si="540"/>
        <v>25/07/2026Brooklyn FCSan Antonio FC</v>
      </c>
      <c r="D1696" s="2">
        <v>46228</v>
      </c>
      <c r="E1696" s="3">
        <v>0.95833333333333337</v>
      </c>
      <c r="F1696" t="s">
        <v>758</v>
      </c>
      <c r="G1696" t="s">
        <v>759</v>
      </c>
      <c r="H1696">
        <v>0</v>
      </c>
      <c r="I1696">
        <v>1</v>
      </c>
      <c r="J1696">
        <v>0</v>
      </c>
      <c r="K1696">
        <v>1</v>
      </c>
      <c r="L1696" s="22" t="str">
        <f t="shared" si="541"/>
        <v>25/07/2026</v>
      </c>
      <c r="M1696" s="23">
        <f t="shared" si="542"/>
        <v>0.83333333333333337</v>
      </c>
      <c r="N1696" t="str">
        <f t="shared" si="543"/>
        <v>0 - 1</v>
      </c>
      <c r="O1696" t="str">
        <f t="shared" si="544"/>
        <v>Red</v>
      </c>
      <c r="P1696" t="str">
        <f t="shared" si="545"/>
        <v>Red</v>
      </c>
      <c r="Q1696" t="str">
        <f t="shared" si="546"/>
        <v>Green</v>
      </c>
      <c r="R1696" t="str">
        <f t="shared" si="547"/>
        <v>Red</v>
      </c>
      <c r="S1696" t="str">
        <f t="shared" si="548"/>
        <v>Green</v>
      </c>
      <c r="T1696" t="str">
        <f t="shared" si="549"/>
        <v>Green</v>
      </c>
      <c r="U1696" t="str">
        <f t="shared" si="550"/>
        <v>Red</v>
      </c>
      <c r="V1696" t="str">
        <f t="shared" si="551"/>
        <v>Red</v>
      </c>
      <c r="W1696" t="str">
        <f t="shared" si="552"/>
        <v>Green</v>
      </c>
      <c r="X1696" t="str">
        <f t="shared" si="553"/>
        <v>Green</v>
      </c>
      <c r="Y1696" t="str">
        <f t="shared" si="554"/>
        <v>Red</v>
      </c>
      <c r="Z1696" t="str">
        <f t="shared" si="555"/>
        <v>Red</v>
      </c>
      <c r="AA1696" t="str">
        <f t="shared" si="556"/>
        <v>Green</v>
      </c>
      <c r="AB1696" t="str">
        <f t="shared" si="557"/>
        <v>Green</v>
      </c>
      <c r="AC1696" t="str">
        <f t="shared" si="558"/>
        <v>Red</v>
      </c>
      <c r="AD1696" t="str">
        <f t="shared" si="559"/>
        <v>Green</v>
      </c>
    </row>
    <row r="1697" spans="1:30" x14ac:dyDescent="0.2">
      <c r="A1697" t="str">
        <f t="shared" si="540"/>
        <v>25/07/2026Detroit City FCLas Vegas Lights</v>
      </c>
      <c r="D1697" s="2">
        <v>46228</v>
      </c>
      <c r="E1697" s="3">
        <v>0.95833333333333337</v>
      </c>
      <c r="F1697" t="s">
        <v>760</v>
      </c>
      <c r="G1697" t="s">
        <v>3694</v>
      </c>
      <c r="H1697">
        <v>0</v>
      </c>
      <c r="I1697">
        <v>1</v>
      </c>
      <c r="J1697">
        <v>0</v>
      </c>
      <c r="K1697">
        <v>1</v>
      </c>
      <c r="L1697" s="22" t="str">
        <f t="shared" si="541"/>
        <v>25/07/2026</v>
      </c>
      <c r="M1697" s="23">
        <f t="shared" si="542"/>
        <v>0.83333333333333337</v>
      </c>
      <c r="N1697" t="str">
        <f t="shared" si="543"/>
        <v>0 - 1</v>
      </c>
      <c r="O1697" t="str">
        <f t="shared" si="544"/>
        <v>Red</v>
      </c>
      <c r="P1697" t="str">
        <f t="shared" si="545"/>
        <v>Red</v>
      </c>
      <c r="Q1697" t="str">
        <f t="shared" si="546"/>
        <v>Green</v>
      </c>
      <c r="R1697" t="str">
        <f t="shared" si="547"/>
        <v>Red</v>
      </c>
      <c r="S1697" t="str">
        <f t="shared" si="548"/>
        <v>Green</v>
      </c>
      <c r="T1697" t="str">
        <f t="shared" si="549"/>
        <v>Green</v>
      </c>
      <c r="U1697" t="str">
        <f t="shared" si="550"/>
        <v>Red</v>
      </c>
      <c r="V1697" t="str">
        <f t="shared" si="551"/>
        <v>Red</v>
      </c>
      <c r="W1697" t="str">
        <f t="shared" si="552"/>
        <v>Green</v>
      </c>
      <c r="X1697" t="str">
        <f t="shared" si="553"/>
        <v>Green</v>
      </c>
      <c r="Y1697" t="str">
        <f t="shared" si="554"/>
        <v>Red</v>
      </c>
      <c r="Z1697" t="str">
        <f t="shared" si="555"/>
        <v>Red</v>
      </c>
      <c r="AA1697" t="str">
        <f t="shared" si="556"/>
        <v>Green</v>
      </c>
      <c r="AB1697" t="str">
        <f t="shared" si="557"/>
        <v>Green</v>
      </c>
      <c r="AC1697" t="str">
        <f t="shared" si="558"/>
        <v>Red</v>
      </c>
      <c r="AD1697" t="str">
        <f t="shared" si="559"/>
        <v>Green</v>
      </c>
    </row>
    <row r="1698" spans="1:30" x14ac:dyDescent="0.2">
      <c r="A1698" t="str">
        <f t="shared" si="540"/>
        <v>25/07/2026Indy ElevenLoudoun United</v>
      </c>
      <c r="D1698" s="2">
        <v>46228</v>
      </c>
      <c r="E1698" s="3">
        <v>0.95833333333333337</v>
      </c>
      <c r="F1698" t="s">
        <v>762</v>
      </c>
      <c r="G1698" t="s">
        <v>3695</v>
      </c>
      <c r="H1698">
        <v>0</v>
      </c>
      <c r="I1698">
        <v>0</v>
      </c>
      <c r="J1698">
        <v>0</v>
      </c>
      <c r="K1698">
        <v>1</v>
      </c>
      <c r="L1698" s="22" t="str">
        <f t="shared" si="541"/>
        <v>25/07/2026</v>
      </c>
      <c r="M1698" s="23">
        <f t="shared" si="542"/>
        <v>0.83333333333333337</v>
      </c>
      <c r="N1698" t="str">
        <f t="shared" si="543"/>
        <v>0 - 1</v>
      </c>
      <c r="O1698" t="str">
        <f t="shared" si="544"/>
        <v>Red</v>
      </c>
      <c r="P1698" t="str">
        <f t="shared" si="545"/>
        <v>Red</v>
      </c>
      <c r="Q1698" t="str">
        <f t="shared" si="546"/>
        <v>Green</v>
      </c>
      <c r="R1698" t="str">
        <f t="shared" si="547"/>
        <v>Red</v>
      </c>
      <c r="S1698" t="str">
        <f t="shared" si="548"/>
        <v>Green</v>
      </c>
      <c r="T1698" t="str">
        <f t="shared" si="549"/>
        <v>Green</v>
      </c>
      <c r="U1698" t="str">
        <f t="shared" si="550"/>
        <v>Red</v>
      </c>
      <c r="V1698" t="str">
        <f t="shared" si="551"/>
        <v>Green</v>
      </c>
      <c r="W1698" t="str">
        <f t="shared" si="552"/>
        <v>Red</v>
      </c>
      <c r="X1698" t="str">
        <f t="shared" si="553"/>
        <v>Red</v>
      </c>
      <c r="Y1698" t="str">
        <f t="shared" si="554"/>
        <v>Red</v>
      </c>
      <c r="Z1698" t="str">
        <f t="shared" si="555"/>
        <v>Red</v>
      </c>
      <c r="AA1698" t="str">
        <f t="shared" si="556"/>
        <v>Green</v>
      </c>
      <c r="AB1698" t="str">
        <f t="shared" si="557"/>
        <v>Green</v>
      </c>
      <c r="AC1698" t="str">
        <f t="shared" si="558"/>
        <v>Red</v>
      </c>
      <c r="AD1698" t="str">
        <f t="shared" si="559"/>
        <v>Green</v>
      </c>
    </row>
    <row r="1699" spans="1:30" x14ac:dyDescent="0.2">
      <c r="A1699" t="str">
        <f t="shared" si="540"/>
        <v>25/07/2026Miami FCTampa Bay Rowdies</v>
      </c>
      <c r="D1699" s="2">
        <v>46228</v>
      </c>
      <c r="E1699" s="3">
        <v>0.95833333333333337</v>
      </c>
      <c r="F1699" t="s">
        <v>82</v>
      </c>
      <c r="G1699" t="s">
        <v>764</v>
      </c>
      <c r="H1699">
        <v>1</v>
      </c>
      <c r="I1699">
        <v>2</v>
      </c>
      <c r="J1699">
        <v>2</v>
      </c>
      <c r="K1699">
        <v>3</v>
      </c>
      <c r="L1699" s="22" t="str">
        <f t="shared" si="541"/>
        <v>25/07/2026</v>
      </c>
      <c r="M1699" s="23">
        <f t="shared" si="542"/>
        <v>0.83333333333333337</v>
      </c>
      <c r="N1699" t="str">
        <f t="shared" si="543"/>
        <v>2 - 3</v>
      </c>
      <c r="O1699" t="str">
        <f t="shared" si="544"/>
        <v>Red</v>
      </c>
      <c r="P1699" t="str">
        <f t="shared" si="545"/>
        <v>Red</v>
      </c>
      <c r="Q1699" t="str">
        <f t="shared" si="546"/>
        <v>Green</v>
      </c>
      <c r="R1699" t="str">
        <f t="shared" si="547"/>
        <v>Red</v>
      </c>
      <c r="S1699" t="str">
        <f t="shared" si="548"/>
        <v>Green</v>
      </c>
      <c r="T1699" t="str">
        <f t="shared" si="549"/>
        <v>Green</v>
      </c>
      <c r="U1699" t="str">
        <f t="shared" si="550"/>
        <v>Red</v>
      </c>
      <c r="V1699" t="str">
        <f t="shared" si="551"/>
        <v>Red</v>
      </c>
      <c r="W1699" t="str">
        <f t="shared" si="552"/>
        <v>Green</v>
      </c>
      <c r="X1699" t="str">
        <f t="shared" si="553"/>
        <v>Green</v>
      </c>
      <c r="Y1699" t="str">
        <f t="shared" si="554"/>
        <v>Green</v>
      </c>
      <c r="Z1699" t="str">
        <f t="shared" si="555"/>
        <v>Green</v>
      </c>
      <c r="AA1699" t="str">
        <f t="shared" si="556"/>
        <v>Red</v>
      </c>
      <c r="AB1699" t="str">
        <f t="shared" si="557"/>
        <v>Red</v>
      </c>
      <c r="AC1699" t="str">
        <f t="shared" si="558"/>
        <v>Green</v>
      </c>
      <c r="AD1699" t="str">
        <f t="shared" si="559"/>
        <v>Red</v>
      </c>
    </row>
    <row r="1700" spans="1:30" x14ac:dyDescent="0.2">
      <c r="A1700" t="str">
        <f t="shared" si="540"/>
        <v>25/07/2026Pittsburgh RiverhoundsRhode Island</v>
      </c>
      <c r="D1700" s="2">
        <v>46228</v>
      </c>
      <c r="E1700" s="3">
        <v>0.95833333333333337</v>
      </c>
      <c r="F1700" t="s">
        <v>765</v>
      </c>
      <c r="G1700" t="s">
        <v>3696</v>
      </c>
      <c r="H1700">
        <v>0</v>
      </c>
      <c r="I1700">
        <v>0</v>
      </c>
      <c r="J1700">
        <v>0</v>
      </c>
      <c r="K1700">
        <v>1</v>
      </c>
      <c r="L1700" s="22" t="str">
        <f t="shared" si="541"/>
        <v>25/07/2026</v>
      </c>
      <c r="M1700" s="23">
        <f t="shared" si="542"/>
        <v>0.83333333333333337</v>
      </c>
      <c r="N1700" t="str">
        <f t="shared" si="543"/>
        <v>0 - 1</v>
      </c>
      <c r="O1700" t="str">
        <f t="shared" si="544"/>
        <v>Red</v>
      </c>
      <c r="P1700" t="str">
        <f t="shared" si="545"/>
        <v>Red</v>
      </c>
      <c r="Q1700" t="str">
        <f t="shared" si="546"/>
        <v>Green</v>
      </c>
      <c r="R1700" t="str">
        <f t="shared" si="547"/>
        <v>Red</v>
      </c>
      <c r="S1700" t="str">
        <f t="shared" si="548"/>
        <v>Green</v>
      </c>
      <c r="T1700" t="str">
        <f t="shared" si="549"/>
        <v>Green</v>
      </c>
      <c r="U1700" t="str">
        <f t="shared" si="550"/>
        <v>Red</v>
      </c>
      <c r="V1700" t="str">
        <f t="shared" si="551"/>
        <v>Green</v>
      </c>
      <c r="W1700" t="str">
        <f t="shared" si="552"/>
        <v>Red</v>
      </c>
      <c r="X1700" t="str">
        <f t="shared" si="553"/>
        <v>Red</v>
      </c>
      <c r="Y1700" t="str">
        <f t="shared" si="554"/>
        <v>Red</v>
      </c>
      <c r="Z1700" t="str">
        <f t="shared" si="555"/>
        <v>Red</v>
      </c>
      <c r="AA1700" t="str">
        <f t="shared" si="556"/>
        <v>Green</v>
      </c>
      <c r="AB1700" t="str">
        <f t="shared" si="557"/>
        <v>Green</v>
      </c>
      <c r="AC1700" t="str">
        <f t="shared" si="558"/>
        <v>Red</v>
      </c>
      <c r="AD1700" t="str">
        <f t="shared" si="559"/>
        <v>Green</v>
      </c>
    </row>
    <row r="1701" spans="1:30" x14ac:dyDescent="0.2">
      <c r="A1701" t="str">
        <f t="shared" si="540"/>
        <v>25/07/2026Charlotte IndependenceRichmond Kickers</v>
      </c>
      <c r="D1701" s="2">
        <v>46228</v>
      </c>
      <c r="E1701" s="3">
        <v>0.95833333333333337</v>
      </c>
      <c r="F1701" t="s">
        <v>1884</v>
      </c>
      <c r="G1701" t="s">
        <v>3703</v>
      </c>
      <c r="H1701">
        <v>2</v>
      </c>
      <c r="I1701">
        <v>0</v>
      </c>
      <c r="J1701">
        <v>3</v>
      </c>
      <c r="K1701">
        <v>1</v>
      </c>
      <c r="L1701" s="22" t="str">
        <f t="shared" si="541"/>
        <v>25/07/2026</v>
      </c>
      <c r="M1701" s="23">
        <f t="shared" si="542"/>
        <v>0.83333333333333337</v>
      </c>
      <c r="N1701" t="str">
        <f t="shared" si="543"/>
        <v>3 - 1</v>
      </c>
      <c r="O1701" t="str">
        <f t="shared" si="544"/>
        <v>Green</v>
      </c>
      <c r="P1701" t="str">
        <f t="shared" si="545"/>
        <v>Red</v>
      </c>
      <c r="Q1701" t="str">
        <f t="shared" si="546"/>
        <v>Red</v>
      </c>
      <c r="R1701" t="str">
        <f t="shared" si="547"/>
        <v>Green</v>
      </c>
      <c r="S1701" t="str">
        <f t="shared" si="548"/>
        <v>Red</v>
      </c>
      <c r="T1701" t="str">
        <f t="shared" si="549"/>
        <v>Green</v>
      </c>
      <c r="U1701" t="str">
        <f t="shared" si="550"/>
        <v>Green</v>
      </c>
      <c r="V1701" t="str">
        <f t="shared" si="551"/>
        <v>Red</v>
      </c>
      <c r="W1701" t="str">
        <f t="shared" si="552"/>
        <v>Red</v>
      </c>
      <c r="X1701" t="str">
        <f t="shared" si="553"/>
        <v>Green</v>
      </c>
      <c r="Y1701" t="str">
        <f t="shared" si="554"/>
        <v>Green</v>
      </c>
      <c r="Z1701" t="str">
        <f t="shared" si="555"/>
        <v>Green</v>
      </c>
      <c r="AA1701" t="str">
        <f t="shared" si="556"/>
        <v>Red</v>
      </c>
      <c r="AB1701" t="str">
        <f t="shared" si="557"/>
        <v>Red</v>
      </c>
      <c r="AC1701" t="str">
        <f t="shared" si="558"/>
        <v>Green</v>
      </c>
      <c r="AD1701" t="str">
        <f t="shared" si="559"/>
        <v>Red</v>
      </c>
    </row>
    <row r="1702" spans="1:30" x14ac:dyDescent="0.2">
      <c r="A1702" t="str">
        <f t="shared" si="540"/>
        <v>25/07/2026Chattanooga Red Wolves FCOne Knoxville SC</v>
      </c>
      <c r="D1702" s="2">
        <v>46228</v>
      </c>
      <c r="E1702" s="3">
        <v>0.95833333333333337</v>
      </c>
      <c r="F1702" t="s">
        <v>3704</v>
      </c>
      <c r="G1702" t="s">
        <v>3705</v>
      </c>
      <c r="H1702">
        <v>0</v>
      </c>
      <c r="I1702">
        <v>0</v>
      </c>
      <c r="J1702">
        <v>1</v>
      </c>
      <c r="K1702">
        <v>0</v>
      </c>
      <c r="L1702" s="22" t="str">
        <f t="shared" si="541"/>
        <v>25/07/2026</v>
      </c>
      <c r="M1702" s="23">
        <f t="shared" si="542"/>
        <v>0.83333333333333337</v>
      </c>
      <c r="N1702" t="str">
        <f t="shared" si="543"/>
        <v>1 - 0</v>
      </c>
      <c r="O1702" t="str">
        <f t="shared" si="544"/>
        <v>Green</v>
      </c>
      <c r="P1702" t="str">
        <f t="shared" si="545"/>
        <v>Red</v>
      </c>
      <c r="Q1702" t="str">
        <f t="shared" si="546"/>
        <v>Red</v>
      </c>
      <c r="R1702" t="str">
        <f t="shared" si="547"/>
        <v>Green</v>
      </c>
      <c r="S1702" t="str">
        <f t="shared" si="548"/>
        <v>Red</v>
      </c>
      <c r="T1702" t="str">
        <f t="shared" si="549"/>
        <v>Green</v>
      </c>
      <c r="U1702" t="str">
        <f t="shared" si="550"/>
        <v>Red</v>
      </c>
      <c r="V1702" t="str">
        <f t="shared" si="551"/>
        <v>Green</v>
      </c>
      <c r="W1702" t="str">
        <f t="shared" si="552"/>
        <v>Red</v>
      </c>
      <c r="X1702" t="str">
        <f t="shared" si="553"/>
        <v>Red</v>
      </c>
      <c r="Y1702" t="str">
        <f t="shared" si="554"/>
        <v>Red</v>
      </c>
      <c r="Z1702" t="str">
        <f t="shared" si="555"/>
        <v>Red</v>
      </c>
      <c r="AA1702" t="str">
        <f t="shared" si="556"/>
        <v>Green</v>
      </c>
      <c r="AB1702" t="str">
        <f t="shared" si="557"/>
        <v>Green</v>
      </c>
      <c r="AC1702" t="str">
        <f t="shared" si="558"/>
        <v>Red</v>
      </c>
      <c r="AD1702" t="str">
        <f t="shared" si="559"/>
        <v>Green</v>
      </c>
    </row>
    <row r="1703" spans="1:30" x14ac:dyDescent="0.2">
      <c r="A1703" t="str">
        <f t="shared" si="540"/>
        <v>25/07/2026Forward MadisonFC Naples</v>
      </c>
      <c r="D1703" s="2">
        <v>46228</v>
      </c>
      <c r="E1703" s="3">
        <v>0.95833333333333337</v>
      </c>
      <c r="F1703" t="s">
        <v>3706</v>
      </c>
      <c r="G1703" t="s">
        <v>3707</v>
      </c>
      <c r="H1703">
        <v>1</v>
      </c>
      <c r="I1703">
        <v>0</v>
      </c>
      <c r="J1703">
        <v>3</v>
      </c>
      <c r="K1703">
        <v>1</v>
      </c>
      <c r="L1703" s="22" t="str">
        <f t="shared" si="541"/>
        <v>25/07/2026</v>
      </c>
      <c r="M1703" s="23">
        <f t="shared" si="542"/>
        <v>0.83333333333333337</v>
      </c>
      <c r="N1703" t="str">
        <f t="shared" si="543"/>
        <v>3 - 1</v>
      </c>
      <c r="O1703" t="str">
        <f t="shared" si="544"/>
        <v>Green</v>
      </c>
      <c r="P1703" t="str">
        <f t="shared" si="545"/>
        <v>Red</v>
      </c>
      <c r="Q1703" t="str">
        <f t="shared" si="546"/>
        <v>Red</v>
      </c>
      <c r="R1703" t="str">
        <f t="shared" si="547"/>
        <v>Green</v>
      </c>
      <c r="S1703" t="str">
        <f t="shared" si="548"/>
        <v>Red</v>
      </c>
      <c r="T1703" t="str">
        <f t="shared" si="549"/>
        <v>Green</v>
      </c>
      <c r="U1703" t="str">
        <f t="shared" si="550"/>
        <v>Green</v>
      </c>
      <c r="V1703" t="str">
        <f t="shared" si="551"/>
        <v>Red</v>
      </c>
      <c r="W1703" t="str">
        <f t="shared" si="552"/>
        <v>Red</v>
      </c>
      <c r="X1703" t="str">
        <f t="shared" si="553"/>
        <v>Green</v>
      </c>
      <c r="Y1703" t="str">
        <f t="shared" si="554"/>
        <v>Green</v>
      </c>
      <c r="Z1703" t="str">
        <f t="shared" si="555"/>
        <v>Green</v>
      </c>
      <c r="AA1703" t="str">
        <f t="shared" si="556"/>
        <v>Red</v>
      </c>
      <c r="AB1703" t="str">
        <f t="shared" si="557"/>
        <v>Red</v>
      </c>
      <c r="AC1703" t="str">
        <f t="shared" si="558"/>
        <v>Green</v>
      </c>
      <c r="AD1703" t="str">
        <f t="shared" si="559"/>
        <v>Red</v>
      </c>
    </row>
    <row r="1704" spans="1:30" x14ac:dyDescent="0.2">
      <c r="A1704" t="str">
        <f t="shared" si="540"/>
        <v>25/07/2026New York CosmosAC Boise</v>
      </c>
      <c r="D1704" s="2">
        <v>46228</v>
      </c>
      <c r="E1704" s="3">
        <v>0.95833333333333337</v>
      </c>
      <c r="F1704" t="s">
        <v>1875</v>
      </c>
      <c r="G1704" t="s">
        <v>3708</v>
      </c>
      <c r="H1704">
        <v>0</v>
      </c>
      <c r="I1704">
        <v>0</v>
      </c>
      <c r="J1704">
        <v>1</v>
      </c>
      <c r="K1704">
        <v>2</v>
      </c>
      <c r="L1704" s="22" t="str">
        <f t="shared" si="541"/>
        <v>25/07/2026</v>
      </c>
      <c r="M1704" s="23">
        <f t="shared" si="542"/>
        <v>0.83333333333333337</v>
      </c>
      <c r="N1704" t="str">
        <f t="shared" si="543"/>
        <v>1 - 2</v>
      </c>
      <c r="O1704" t="str">
        <f t="shared" si="544"/>
        <v>Red</v>
      </c>
      <c r="P1704" t="str">
        <f t="shared" si="545"/>
        <v>Red</v>
      </c>
      <c r="Q1704" t="str">
        <f t="shared" si="546"/>
        <v>Green</v>
      </c>
      <c r="R1704" t="str">
        <f t="shared" si="547"/>
        <v>Red</v>
      </c>
      <c r="S1704" t="str">
        <f t="shared" si="548"/>
        <v>Green</v>
      </c>
      <c r="T1704" t="str">
        <f t="shared" si="549"/>
        <v>Green</v>
      </c>
      <c r="U1704" t="str">
        <f t="shared" si="550"/>
        <v>Red</v>
      </c>
      <c r="V1704" t="str">
        <f t="shared" si="551"/>
        <v>Green</v>
      </c>
      <c r="W1704" t="str">
        <f t="shared" si="552"/>
        <v>Red</v>
      </c>
      <c r="X1704" t="str">
        <f t="shared" si="553"/>
        <v>Red</v>
      </c>
      <c r="Y1704" t="str">
        <f t="shared" si="554"/>
        <v>Green</v>
      </c>
      <c r="Z1704" t="str">
        <f t="shared" si="555"/>
        <v>Green</v>
      </c>
      <c r="AA1704" t="str">
        <f t="shared" si="556"/>
        <v>Red</v>
      </c>
      <c r="AB1704" t="str">
        <f t="shared" si="557"/>
        <v>Green</v>
      </c>
      <c r="AC1704" t="str">
        <f t="shared" si="558"/>
        <v>Green</v>
      </c>
      <c r="AD1704" t="str">
        <f t="shared" si="559"/>
        <v>Red</v>
      </c>
    </row>
    <row r="1705" spans="1:30" x14ac:dyDescent="0.2">
      <c r="A1705" t="str">
        <f t="shared" si="540"/>
        <v>25/07/2026Union Omaha SCSouth Georgia Tormenta FC</v>
      </c>
      <c r="D1705" s="2">
        <v>46228</v>
      </c>
      <c r="E1705" s="3">
        <v>0.95833333333333337</v>
      </c>
      <c r="F1705" t="s">
        <v>1873</v>
      </c>
      <c r="G1705" t="s">
        <v>3709</v>
      </c>
      <c r="L1705" s="22" t="str">
        <f t="shared" si="541"/>
        <v>25/07/2026</v>
      </c>
      <c r="M1705" s="23">
        <f t="shared" si="542"/>
        <v>0.83333333333333337</v>
      </c>
      <c r="N1705" t="str">
        <f t="shared" si="543"/>
        <v xml:space="preserve"> - </v>
      </c>
      <c r="O1705" t="str">
        <f t="shared" si="544"/>
        <v>Red</v>
      </c>
      <c r="P1705" t="str">
        <f t="shared" si="545"/>
        <v>Green</v>
      </c>
      <c r="Q1705" t="str">
        <f t="shared" si="546"/>
        <v>Red</v>
      </c>
      <c r="R1705" t="str">
        <f t="shared" si="547"/>
        <v>Green</v>
      </c>
      <c r="S1705" t="str">
        <f t="shared" si="548"/>
        <v>Green</v>
      </c>
      <c r="T1705" t="str">
        <f t="shared" si="549"/>
        <v>Red</v>
      </c>
      <c r="U1705" t="str">
        <f t="shared" si="550"/>
        <v>Red</v>
      </c>
      <c r="V1705" t="str">
        <f t="shared" si="551"/>
        <v>Green</v>
      </c>
      <c r="W1705" t="str">
        <f t="shared" si="552"/>
        <v>Red</v>
      </c>
      <c r="X1705" t="str">
        <f t="shared" si="553"/>
        <v>Red</v>
      </c>
      <c r="Y1705" t="str">
        <f t="shared" si="554"/>
        <v>Red</v>
      </c>
      <c r="Z1705" t="str">
        <f t="shared" si="555"/>
        <v>Red</v>
      </c>
      <c r="AA1705" t="str">
        <f t="shared" si="556"/>
        <v>Green</v>
      </c>
      <c r="AB1705" t="str">
        <f t="shared" si="557"/>
        <v>Green</v>
      </c>
      <c r="AC1705" t="str">
        <f t="shared" si="558"/>
        <v>Red</v>
      </c>
      <c r="AD1705" t="str">
        <f t="shared" si="559"/>
        <v>Green</v>
      </c>
    </row>
    <row r="1706" spans="1:30" x14ac:dyDescent="0.2">
      <c r="A1706" t="str">
        <f t="shared" si="540"/>
        <v>25/07/2026Chattanooga FCPhiladelphia Union II</v>
      </c>
      <c r="D1706" s="2">
        <v>46228</v>
      </c>
      <c r="E1706" s="3">
        <v>0.95833333333333337</v>
      </c>
      <c r="F1706" t="s">
        <v>767</v>
      </c>
      <c r="G1706" t="s">
        <v>768</v>
      </c>
      <c r="H1706">
        <v>2</v>
      </c>
      <c r="I1706">
        <v>0</v>
      </c>
      <c r="J1706">
        <v>4</v>
      </c>
      <c r="K1706">
        <v>0</v>
      </c>
      <c r="L1706" s="22" t="str">
        <f t="shared" si="541"/>
        <v>25/07/2026</v>
      </c>
      <c r="M1706" s="23">
        <f t="shared" si="542"/>
        <v>0.83333333333333337</v>
      </c>
      <c r="N1706" t="str">
        <f t="shared" si="543"/>
        <v>4 - 0</v>
      </c>
      <c r="O1706" t="str">
        <f t="shared" si="544"/>
        <v>Green</v>
      </c>
      <c r="P1706" t="str">
        <f t="shared" si="545"/>
        <v>Red</v>
      </c>
      <c r="Q1706" t="str">
        <f t="shared" si="546"/>
        <v>Red</v>
      </c>
      <c r="R1706" t="str">
        <f t="shared" si="547"/>
        <v>Green</v>
      </c>
      <c r="S1706" t="str">
        <f t="shared" si="548"/>
        <v>Red</v>
      </c>
      <c r="T1706" t="str">
        <f t="shared" si="549"/>
        <v>Green</v>
      </c>
      <c r="U1706" t="str">
        <f t="shared" si="550"/>
        <v>Green</v>
      </c>
      <c r="V1706" t="str">
        <f t="shared" si="551"/>
        <v>Red</v>
      </c>
      <c r="W1706" t="str">
        <f t="shared" si="552"/>
        <v>Red</v>
      </c>
      <c r="X1706" t="str">
        <f t="shared" si="553"/>
        <v>Green</v>
      </c>
      <c r="Y1706" t="str">
        <f t="shared" si="554"/>
        <v>Green</v>
      </c>
      <c r="Z1706" t="str">
        <f t="shared" si="555"/>
        <v>Green</v>
      </c>
      <c r="AA1706" t="str">
        <f t="shared" si="556"/>
        <v>Red</v>
      </c>
      <c r="AB1706" t="str">
        <f t="shared" si="557"/>
        <v>Red</v>
      </c>
      <c r="AC1706" t="str">
        <f t="shared" si="558"/>
        <v>Red</v>
      </c>
      <c r="AD1706" t="str">
        <f t="shared" si="559"/>
        <v>Green</v>
      </c>
    </row>
    <row r="1707" spans="1:30" x14ac:dyDescent="0.2">
      <c r="A1707" t="str">
        <f t="shared" si="540"/>
        <v>25/07/2026Bristol RhythmNew Haven United</v>
      </c>
      <c r="D1707" s="2">
        <v>46228</v>
      </c>
      <c r="E1707" s="3">
        <v>0.95833333333333337</v>
      </c>
      <c r="F1707" t="s">
        <v>3717</v>
      </c>
      <c r="G1707" t="s">
        <v>3718</v>
      </c>
      <c r="H1707">
        <v>0</v>
      </c>
      <c r="I1707">
        <v>0</v>
      </c>
      <c r="J1707">
        <v>2</v>
      </c>
      <c r="K1707">
        <v>0</v>
      </c>
      <c r="L1707" s="22" t="str">
        <f t="shared" si="541"/>
        <v>25/07/2026</v>
      </c>
      <c r="M1707" s="23">
        <f t="shared" si="542"/>
        <v>0.83333333333333337</v>
      </c>
      <c r="N1707" t="str">
        <f t="shared" si="543"/>
        <v>2 - 0</v>
      </c>
      <c r="O1707" t="str">
        <f t="shared" si="544"/>
        <v>Green</v>
      </c>
      <c r="P1707" t="str">
        <f t="shared" si="545"/>
        <v>Red</v>
      </c>
      <c r="Q1707" t="str">
        <f t="shared" si="546"/>
        <v>Red</v>
      </c>
      <c r="R1707" t="str">
        <f t="shared" si="547"/>
        <v>Green</v>
      </c>
      <c r="S1707" t="str">
        <f t="shared" si="548"/>
        <v>Red</v>
      </c>
      <c r="T1707" t="str">
        <f t="shared" si="549"/>
        <v>Green</v>
      </c>
      <c r="U1707" t="str">
        <f t="shared" si="550"/>
        <v>Red</v>
      </c>
      <c r="V1707" t="str">
        <f t="shared" si="551"/>
        <v>Green</v>
      </c>
      <c r="W1707" t="str">
        <f t="shared" si="552"/>
        <v>Red</v>
      </c>
      <c r="X1707" t="str">
        <f t="shared" si="553"/>
        <v>Red</v>
      </c>
      <c r="Y1707" t="str">
        <f t="shared" si="554"/>
        <v>Green</v>
      </c>
      <c r="Z1707" t="str">
        <f t="shared" si="555"/>
        <v>Red</v>
      </c>
      <c r="AA1707" t="str">
        <f t="shared" si="556"/>
        <v>Green</v>
      </c>
      <c r="AB1707" t="str">
        <f t="shared" si="557"/>
        <v>Green</v>
      </c>
      <c r="AC1707" t="str">
        <f t="shared" si="558"/>
        <v>Red</v>
      </c>
      <c r="AD1707" t="str">
        <f t="shared" si="559"/>
        <v>Green</v>
      </c>
    </row>
    <row r="1708" spans="1:30" x14ac:dyDescent="0.2">
      <c r="A1708" t="str">
        <f t="shared" si="540"/>
        <v>25/07/2026GuadalajaraFC Juarez</v>
      </c>
      <c r="D1708" s="2">
        <v>46228</v>
      </c>
      <c r="E1708" s="3">
        <v>0.96319444444444446</v>
      </c>
      <c r="F1708" t="s">
        <v>3406</v>
      </c>
      <c r="G1708" t="s">
        <v>3407</v>
      </c>
      <c r="H1708">
        <v>0</v>
      </c>
      <c r="I1708">
        <v>0</v>
      </c>
      <c r="J1708">
        <v>1</v>
      </c>
      <c r="K1708">
        <v>0</v>
      </c>
      <c r="L1708" s="22" t="str">
        <f t="shared" si="541"/>
        <v>25/07/2026</v>
      </c>
      <c r="M1708" s="23">
        <f t="shared" si="542"/>
        <v>0.83819444444444446</v>
      </c>
      <c r="N1708" t="str">
        <f t="shared" si="543"/>
        <v>1 - 0</v>
      </c>
      <c r="O1708" t="str">
        <f t="shared" si="544"/>
        <v>Green</v>
      </c>
      <c r="P1708" t="str">
        <f t="shared" si="545"/>
        <v>Red</v>
      </c>
      <c r="Q1708" t="str">
        <f t="shared" si="546"/>
        <v>Red</v>
      </c>
      <c r="R1708" t="str">
        <f t="shared" si="547"/>
        <v>Green</v>
      </c>
      <c r="S1708" t="str">
        <f t="shared" si="548"/>
        <v>Red</v>
      </c>
      <c r="T1708" t="str">
        <f t="shared" si="549"/>
        <v>Green</v>
      </c>
      <c r="U1708" t="str">
        <f t="shared" si="550"/>
        <v>Red</v>
      </c>
      <c r="V1708" t="str">
        <f t="shared" si="551"/>
        <v>Green</v>
      </c>
      <c r="W1708" t="str">
        <f t="shared" si="552"/>
        <v>Red</v>
      </c>
      <c r="X1708" t="str">
        <f t="shared" si="553"/>
        <v>Red</v>
      </c>
      <c r="Y1708" t="str">
        <f t="shared" si="554"/>
        <v>Red</v>
      </c>
      <c r="Z1708" t="str">
        <f t="shared" si="555"/>
        <v>Red</v>
      </c>
      <c r="AA1708" t="str">
        <f t="shared" si="556"/>
        <v>Green</v>
      </c>
      <c r="AB1708" t="str">
        <f t="shared" si="557"/>
        <v>Green</v>
      </c>
      <c r="AC1708" t="str">
        <f t="shared" si="558"/>
        <v>Red</v>
      </c>
      <c r="AD1708" t="str">
        <f t="shared" si="559"/>
        <v>Green</v>
      </c>
    </row>
    <row r="1709" spans="1:30" x14ac:dyDescent="0.2">
      <c r="A1709" t="str">
        <f t="shared" si="540"/>
        <v>25/07/2026Millonarios FCAtletico Bucaramanga</v>
      </c>
      <c r="D1709" s="2">
        <v>46228</v>
      </c>
      <c r="E1709" s="3">
        <v>0.96527777777777779</v>
      </c>
      <c r="F1709" t="s">
        <v>3138</v>
      </c>
      <c r="G1709" t="s">
        <v>3139</v>
      </c>
      <c r="H1709">
        <v>0</v>
      </c>
      <c r="I1709">
        <v>0</v>
      </c>
      <c r="J1709">
        <v>0</v>
      </c>
      <c r="K1709">
        <v>1</v>
      </c>
      <c r="L1709" s="22" t="str">
        <f t="shared" si="541"/>
        <v>25/07/2026</v>
      </c>
      <c r="M1709" s="23">
        <f t="shared" si="542"/>
        <v>0.84027777777777779</v>
      </c>
      <c r="N1709" t="str">
        <f t="shared" si="543"/>
        <v>0 - 1</v>
      </c>
      <c r="O1709" t="str">
        <f t="shared" si="544"/>
        <v>Red</v>
      </c>
      <c r="P1709" t="str">
        <f t="shared" si="545"/>
        <v>Red</v>
      </c>
      <c r="Q1709" t="str">
        <f t="shared" si="546"/>
        <v>Green</v>
      </c>
      <c r="R1709" t="str">
        <f t="shared" si="547"/>
        <v>Red</v>
      </c>
      <c r="S1709" t="str">
        <f t="shared" si="548"/>
        <v>Green</v>
      </c>
      <c r="T1709" t="str">
        <f t="shared" si="549"/>
        <v>Green</v>
      </c>
      <c r="U1709" t="str">
        <f t="shared" si="550"/>
        <v>Red</v>
      </c>
      <c r="V1709" t="str">
        <f t="shared" si="551"/>
        <v>Green</v>
      </c>
      <c r="W1709" t="str">
        <f t="shared" si="552"/>
        <v>Red</v>
      </c>
      <c r="X1709" t="str">
        <f t="shared" si="553"/>
        <v>Red</v>
      </c>
      <c r="Y1709" t="str">
        <f t="shared" si="554"/>
        <v>Red</v>
      </c>
      <c r="Z1709" t="str">
        <f t="shared" si="555"/>
        <v>Red</v>
      </c>
      <c r="AA1709" t="str">
        <f t="shared" si="556"/>
        <v>Green</v>
      </c>
      <c r="AB1709" t="str">
        <f t="shared" si="557"/>
        <v>Green</v>
      </c>
      <c r="AC1709" t="str">
        <f t="shared" si="558"/>
        <v>Red</v>
      </c>
      <c r="AD1709" t="str">
        <f t="shared" si="559"/>
        <v>Green</v>
      </c>
    </row>
    <row r="1710" spans="1:30" x14ac:dyDescent="0.2">
      <c r="A1710" t="str">
        <f t="shared" si="540"/>
        <v>25/07/2026AlianzaUMECIT</v>
      </c>
      <c r="D1710" s="2">
        <v>46228</v>
      </c>
      <c r="E1710" s="3">
        <v>0.96875</v>
      </c>
      <c r="F1710" t="s">
        <v>1212</v>
      </c>
      <c r="G1710" t="s">
        <v>774</v>
      </c>
      <c r="H1710">
        <v>0</v>
      </c>
      <c r="I1710">
        <v>0</v>
      </c>
      <c r="J1710">
        <v>0</v>
      </c>
      <c r="K1710">
        <v>0</v>
      </c>
      <c r="L1710" s="22" t="str">
        <f t="shared" si="541"/>
        <v>25/07/2026</v>
      </c>
      <c r="M1710" s="23">
        <f t="shared" si="542"/>
        <v>0.84375</v>
      </c>
      <c r="N1710" t="str">
        <f t="shared" si="543"/>
        <v>0 - 0</v>
      </c>
      <c r="O1710" t="str">
        <f t="shared" si="544"/>
        <v>Red</v>
      </c>
      <c r="P1710" t="str">
        <f t="shared" si="545"/>
        <v>Green</v>
      </c>
      <c r="Q1710" t="str">
        <f t="shared" si="546"/>
        <v>Red</v>
      </c>
      <c r="R1710" t="str">
        <f t="shared" si="547"/>
        <v>Green</v>
      </c>
      <c r="S1710" t="str">
        <f t="shared" si="548"/>
        <v>Green</v>
      </c>
      <c r="T1710" t="str">
        <f t="shared" si="549"/>
        <v>Red</v>
      </c>
      <c r="U1710" t="str">
        <f t="shared" si="550"/>
        <v>Red</v>
      </c>
      <c r="V1710" t="str">
        <f t="shared" si="551"/>
        <v>Green</v>
      </c>
      <c r="W1710" t="str">
        <f t="shared" si="552"/>
        <v>Red</v>
      </c>
      <c r="X1710" t="str">
        <f t="shared" si="553"/>
        <v>Red</v>
      </c>
      <c r="Y1710" t="str">
        <f t="shared" si="554"/>
        <v>Red</v>
      </c>
      <c r="Z1710" t="str">
        <f t="shared" si="555"/>
        <v>Red</v>
      </c>
      <c r="AA1710" t="str">
        <f t="shared" si="556"/>
        <v>Green</v>
      </c>
      <c r="AB1710" t="str">
        <f t="shared" si="557"/>
        <v>Green</v>
      </c>
      <c r="AC1710" t="str">
        <f t="shared" si="558"/>
        <v>Red</v>
      </c>
      <c r="AD1710" t="str">
        <f t="shared" si="559"/>
        <v>Green</v>
      </c>
    </row>
    <row r="1711" spans="1:30" x14ac:dyDescent="0.2">
      <c r="A1711" t="str">
        <f t="shared" ref="A1711:A1772" si="560">L1710&amp;F1711&amp;G1711</f>
        <v>25/07/2026Columbus CrewFC Cincinnati</v>
      </c>
      <c r="D1711" s="2">
        <v>46228</v>
      </c>
      <c r="E1711" s="3">
        <v>0.96875</v>
      </c>
      <c r="F1711" t="s">
        <v>860</v>
      </c>
      <c r="G1711" t="s">
        <v>53</v>
      </c>
      <c r="H1711">
        <v>2</v>
      </c>
      <c r="I1711">
        <v>1</v>
      </c>
      <c r="J1711">
        <v>2</v>
      </c>
      <c r="K1711">
        <v>1</v>
      </c>
      <c r="L1711" s="22" t="str">
        <f t="shared" ref="L1711:L1772" si="561">DAY(D1711)&amp;"/"&amp;"07"&amp;"/"&amp;YEAR(D1711)</f>
        <v>25/07/2026</v>
      </c>
      <c r="M1711" s="23">
        <f t="shared" ref="M1711:M1772" si="562">E1711-TIME(3,0,0)</f>
        <v>0.84375</v>
      </c>
      <c r="N1711" t="str">
        <f t="shared" ref="N1711:N1772" si="563">J1711&amp;" - "&amp;K1711</f>
        <v>2 - 1</v>
      </c>
      <c r="O1711" t="str">
        <f t="shared" si="544"/>
        <v>Green</v>
      </c>
      <c r="P1711" t="str">
        <f t="shared" si="545"/>
        <v>Red</v>
      </c>
      <c r="Q1711" t="str">
        <f t="shared" si="546"/>
        <v>Red</v>
      </c>
      <c r="R1711" t="str">
        <f t="shared" si="547"/>
        <v>Green</v>
      </c>
      <c r="S1711" t="str">
        <f t="shared" si="548"/>
        <v>Red</v>
      </c>
      <c r="T1711" t="str">
        <f t="shared" si="549"/>
        <v>Green</v>
      </c>
      <c r="U1711" t="str">
        <f t="shared" si="550"/>
        <v>Green</v>
      </c>
      <c r="V1711" t="str">
        <f t="shared" si="551"/>
        <v>Red</v>
      </c>
      <c r="W1711" t="str">
        <f t="shared" si="552"/>
        <v>Red</v>
      </c>
      <c r="X1711" t="str">
        <f t="shared" si="553"/>
        <v>Green</v>
      </c>
      <c r="Y1711" t="str">
        <f t="shared" si="554"/>
        <v>Green</v>
      </c>
      <c r="Z1711" t="str">
        <f t="shared" si="555"/>
        <v>Green</v>
      </c>
      <c r="AA1711" t="str">
        <f t="shared" si="556"/>
        <v>Red</v>
      </c>
      <c r="AB1711" t="str">
        <f t="shared" si="557"/>
        <v>Green</v>
      </c>
      <c r="AC1711" t="str">
        <f t="shared" si="558"/>
        <v>Green</v>
      </c>
      <c r="AD1711" t="str">
        <f t="shared" si="559"/>
        <v>Red</v>
      </c>
    </row>
    <row r="1712" spans="1:30" x14ac:dyDescent="0.2">
      <c r="A1712" t="str">
        <f t="shared" si="560"/>
        <v>25/07/2026Vasco Da Gama RJMirassol SP</v>
      </c>
      <c r="B1712" t="s">
        <v>804</v>
      </c>
      <c r="C1712" t="s">
        <v>805</v>
      </c>
      <c r="D1712" s="2">
        <v>46228</v>
      </c>
      <c r="E1712" s="3">
        <v>0.97916666666666663</v>
      </c>
      <c r="F1712" t="s">
        <v>1861</v>
      </c>
      <c r="G1712" t="s">
        <v>2759</v>
      </c>
      <c r="H1712">
        <v>0</v>
      </c>
      <c r="I1712">
        <v>1</v>
      </c>
      <c r="J1712">
        <v>1</v>
      </c>
      <c r="K1712">
        <v>1</v>
      </c>
      <c r="L1712" s="22" t="str">
        <f t="shared" si="561"/>
        <v>25/07/2026</v>
      </c>
      <c r="M1712" s="23">
        <f t="shared" si="562"/>
        <v>0.85416666666666663</v>
      </c>
      <c r="N1712" t="str">
        <f t="shared" si="563"/>
        <v>1 - 1</v>
      </c>
      <c r="O1712" t="str">
        <f t="shared" si="544"/>
        <v>Red</v>
      </c>
      <c r="P1712" t="str">
        <f t="shared" si="545"/>
        <v>Green</v>
      </c>
      <c r="Q1712" t="str">
        <f t="shared" si="546"/>
        <v>Red</v>
      </c>
      <c r="R1712" t="str">
        <f t="shared" si="547"/>
        <v>Green</v>
      </c>
      <c r="S1712" t="str">
        <f t="shared" si="548"/>
        <v>Green</v>
      </c>
      <c r="T1712" t="str">
        <f t="shared" si="549"/>
        <v>Red</v>
      </c>
      <c r="U1712" t="str">
        <f t="shared" si="550"/>
        <v>Red</v>
      </c>
      <c r="V1712" t="str">
        <f t="shared" si="551"/>
        <v>Red</v>
      </c>
      <c r="W1712" t="str">
        <f t="shared" si="552"/>
        <v>Green</v>
      </c>
      <c r="X1712" t="str">
        <f t="shared" si="553"/>
        <v>Green</v>
      </c>
      <c r="Y1712" t="str">
        <f t="shared" si="554"/>
        <v>Green</v>
      </c>
      <c r="Z1712" t="str">
        <f t="shared" si="555"/>
        <v>Red</v>
      </c>
      <c r="AA1712" t="str">
        <f t="shared" si="556"/>
        <v>Green</v>
      </c>
      <c r="AB1712" t="str">
        <f t="shared" si="557"/>
        <v>Green</v>
      </c>
      <c r="AC1712" t="str">
        <f t="shared" si="558"/>
        <v>Green</v>
      </c>
      <c r="AD1712" t="str">
        <f t="shared" si="559"/>
        <v>Red</v>
      </c>
    </row>
    <row r="1713" spans="1:30" x14ac:dyDescent="0.2">
      <c r="A1713" t="str">
        <f t="shared" si="560"/>
        <v>25/07/2026Independiente PetroleroOriente Petrolero</v>
      </c>
      <c r="D1713" s="2">
        <v>46228</v>
      </c>
      <c r="E1713" s="3">
        <v>0.97916666666666663</v>
      </c>
      <c r="F1713" t="s">
        <v>236</v>
      </c>
      <c r="G1713" t="s">
        <v>775</v>
      </c>
      <c r="H1713">
        <v>0</v>
      </c>
      <c r="I1713">
        <v>1</v>
      </c>
      <c r="J1713">
        <v>1</v>
      </c>
      <c r="K1713">
        <v>2</v>
      </c>
      <c r="L1713" s="22" t="str">
        <f t="shared" si="561"/>
        <v>25/07/2026</v>
      </c>
      <c r="M1713" s="23">
        <f t="shared" si="562"/>
        <v>0.85416666666666663</v>
      </c>
      <c r="N1713" t="str">
        <f t="shared" si="563"/>
        <v>1 - 2</v>
      </c>
      <c r="O1713" t="str">
        <f t="shared" si="544"/>
        <v>Red</v>
      </c>
      <c r="P1713" t="str">
        <f t="shared" si="545"/>
        <v>Red</v>
      </c>
      <c r="Q1713" t="str">
        <f t="shared" si="546"/>
        <v>Green</v>
      </c>
      <c r="R1713" t="str">
        <f t="shared" si="547"/>
        <v>Red</v>
      </c>
      <c r="S1713" t="str">
        <f t="shared" si="548"/>
        <v>Green</v>
      </c>
      <c r="T1713" t="str">
        <f t="shared" si="549"/>
        <v>Green</v>
      </c>
      <c r="U1713" t="str">
        <f t="shared" si="550"/>
        <v>Red</v>
      </c>
      <c r="V1713" t="str">
        <f t="shared" si="551"/>
        <v>Red</v>
      </c>
      <c r="W1713" t="str">
        <f t="shared" si="552"/>
        <v>Green</v>
      </c>
      <c r="X1713" t="str">
        <f t="shared" si="553"/>
        <v>Green</v>
      </c>
      <c r="Y1713" t="str">
        <f t="shared" si="554"/>
        <v>Green</v>
      </c>
      <c r="Z1713" t="str">
        <f t="shared" si="555"/>
        <v>Green</v>
      </c>
      <c r="AA1713" t="str">
        <f t="shared" si="556"/>
        <v>Red</v>
      </c>
      <c r="AB1713" t="str">
        <f t="shared" si="557"/>
        <v>Green</v>
      </c>
      <c r="AC1713" t="str">
        <f t="shared" si="558"/>
        <v>Green</v>
      </c>
      <c r="AD1713" t="str">
        <f t="shared" si="559"/>
        <v>Red</v>
      </c>
    </row>
    <row r="1714" spans="1:30" x14ac:dyDescent="0.2">
      <c r="A1714" t="str">
        <f t="shared" si="560"/>
        <v>25/07/2026DC UnitedToronto FC</v>
      </c>
      <c r="D1714" s="2">
        <v>46228</v>
      </c>
      <c r="E1714" s="3">
        <v>0.97916666666666663</v>
      </c>
      <c r="F1714" t="s">
        <v>76</v>
      </c>
      <c r="G1714" t="s">
        <v>58</v>
      </c>
      <c r="H1714">
        <v>1</v>
      </c>
      <c r="I1714">
        <v>0</v>
      </c>
      <c r="J1714">
        <v>2</v>
      </c>
      <c r="K1714">
        <v>1</v>
      </c>
      <c r="L1714" s="22" t="str">
        <f t="shared" si="561"/>
        <v>25/07/2026</v>
      </c>
      <c r="M1714" s="23">
        <f t="shared" si="562"/>
        <v>0.85416666666666663</v>
      </c>
      <c r="N1714" t="str">
        <f t="shared" si="563"/>
        <v>2 - 1</v>
      </c>
      <c r="O1714" t="str">
        <f t="shared" si="544"/>
        <v>Green</v>
      </c>
      <c r="P1714" t="str">
        <f t="shared" si="545"/>
        <v>Red</v>
      </c>
      <c r="Q1714" t="str">
        <f t="shared" si="546"/>
        <v>Red</v>
      </c>
      <c r="R1714" t="str">
        <f t="shared" si="547"/>
        <v>Green</v>
      </c>
      <c r="S1714" t="str">
        <f t="shared" si="548"/>
        <v>Red</v>
      </c>
      <c r="T1714" t="str">
        <f t="shared" si="549"/>
        <v>Green</v>
      </c>
      <c r="U1714" t="str">
        <f t="shared" si="550"/>
        <v>Green</v>
      </c>
      <c r="V1714" t="str">
        <f t="shared" si="551"/>
        <v>Red</v>
      </c>
      <c r="W1714" t="str">
        <f t="shared" si="552"/>
        <v>Red</v>
      </c>
      <c r="X1714" t="str">
        <f t="shared" si="553"/>
        <v>Green</v>
      </c>
      <c r="Y1714" t="str">
        <f t="shared" si="554"/>
        <v>Green</v>
      </c>
      <c r="Z1714" t="str">
        <f t="shared" si="555"/>
        <v>Green</v>
      </c>
      <c r="AA1714" t="str">
        <f t="shared" si="556"/>
        <v>Red</v>
      </c>
      <c r="AB1714" t="str">
        <f t="shared" si="557"/>
        <v>Green</v>
      </c>
      <c r="AC1714" t="str">
        <f t="shared" si="558"/>
        <v>Green</v>
      </c>
      <c r="AD1714" t="str">
        <f t="shared" si="559"/>
        <v>Red</v>
      </c>
    </row>
    <row r="1715" spans="1:30" x14ac:dyDescent="0.2">
      <c r="A1715" t="str">
        <f t="shared" si="560"/>
        <v>25/07/2026Montreal ImpactInter Miami CF</v>
      </c>
      <c r="D1715" s="2">
        <v>46228</v>
      </c>
      <c r="E1715" s="3">
        <v>0.97916666666666663</v>
      </c>
      <c r="F1715" t="s">
        <v>864</v>
      </c>
      <c r="G1715" t="s">
        <v>55</v>
      </c>
      <c r="H1715">
        <v>0</v>
      </c>
      <c r="I1715">
        <v>0</v>
      </c>
      <c r="J1715">
        <v>0</v>
      </c>
      <c r="K1715">
        <v>1</v>
      </c>
      <c r="L1715" s="22" t="str">
        <f t="shared" si="561"/>
        <v>25/07/2026</v>
      </c>
      <c r="M1715" s="23">
        <f t="shared" si="562"/>
        <v>0.85416666666666663</v>
      </c>
      <c r="N1715" t="str">
        <f t="shared" si="563"/>
        <v>0 - 1</v>
      </c>
      <c r="O1715" t="str">
        <f t="shared" si="544"/>
        <v>Red</v>
      </c>
      <c r="P1715" t="str">
        <f t="shared" si="545"/>
        <v>Red</v>
      </c>
      <c r="Q1715" t="str">
        <f t="shared" si="546"/>
        <v>Green</v>
      </c>
      <c r="R1715" t="str">
        <f t="shared" si="547"/>
        <v>Red</v>
      </c>
      <c r="S1715" t="str">
        <f t="shared" si="548"/>
        <v>Green</v>
      </c>
      <c r="T1715" t="str">
        <f t="shared" si="549"/>
        <v>Green</v>
      </c>
      <c r="U1715" t="str">
        <f t="shared" si="550"/>
        <v>Red</v>
      </c>
      <c r="V1715" t="str">
        <f t="shared" si="551"/>
        <v>Green</v>
      </c>
      <c r="W1715" t="str">
        <f t="shared" si="552"/>
        <v>Red</v>
      </c>
      <c r="X1715" t="str">
        <f t="shared" si="553"/>
        <v>Red</v>
      </c>
      <c r="Y1715" t="str">
        <f t="shared" si="554"/>
        <v>Red</v>
      </c>
      <c r="Z1715" t="str">
        <f t="shared" si="555"/>
        <v>Red</v>
      </c>
      <c r="AA1715" t="str">
        <f t="shared" si="556"/>
        <v>Green</v>
      </c>
      <c r="AB1715" t="str">
        <f t="shared" si="557"/>
        <v>Green</v>
      </c>
      <c r="AC1715" t="str">
        <f t="shared" si="558"/>
        <v>Red</v>
      </c>
      <c r="AD1715" t="str">
        <f t="shared" si="559"/>
        <v>Green</v>
      </c>
    </row>
    <row r="1716" spans="1:30" x14ac:dyDescent="0.2">
      <c r="A1716" t="str">
        <f t="shared" si="560"/>
        <v>25/07/2026New England RevolutionAtlanta United</v>
      </c>
      <c r="D1716" s="2">
        <v>46228</v>
      </c>
      <c r="E1716" s="3">
        <v>0.97916666666666663</v>
      </c>
      <c r="F1716" t="s">
        <v>57</v>
      </c>
      <c r="G1716" t="s">
        <v>862</v>
      </c>
      <c r="H1716">
        <v>2</v>
      </c>
      <c r="I1716">
        <v>0</v>
      </c>
      <c r="J1716">
        <v>4</v>
      </c>
      <c r="K1716">
        <v>1</v>
      </c>
      <c r="L1716" s="22" t="str">
        <f t="shared" si="561"/>
        <v>25/07/2026</v>
      </c>
      <c r="M1716" s="23">
        <f t="shared" si="562"/>
        <v>0.85416666666666663</v>
      </c>
      <c r="N1716" t="str">
        <f t="shared" si="563"/>
        <v>4 - 1</v>
      </c>
      <c r="O1716" t="str">
        <f t="shared" si="544"/>
        <v>Green</v>
      </c>
      <c r="P1716" t="str">
        <f t="shared" si="545"/>
        <v>Red</v>
      </c>
      <c r="Q1716" t="str">
        <f t="shared" si="546"/>
        <v>Red</v>
      </c>
      <c r="R1716" t="str">
        <f t="shared" si="547"/>
        <v>Green</v>
      </c>
      <c r="S1716" t="str">
        <f t="shared" si="548"/>
        <v>Red</v>
      </c>
      <c r="T1716" t="str">
        <f t="shared" si="549"/>
        <v>Green</v>
      </c>
      <c r="U1716" t="str">
        <f t="shared" si="550"/>
        <v>Green</v>
      </c>
      <c r="V1716" t="str">
        <f t="shared" si="551"/>
        <v>Red</v>
      </c>
      <c r="W1716" t="str">
        <f t="shared" si="552"/>
        <v>Red</v>
      </c>
      <c r="X1716" t="str">
        <f t="shared" si="553"/>
        <v>Green</v>
      </c>
      <c r="Y1716" t="str">
        <f t="shared" si="554"/>
        <v>Green</v>
      </c>
      <c r="Z1716" t="str">
        <f t="shared" si="555"/>
        <v>Green</v>
      </c>
      <c r="AA1716" t="str">
        <f t="shared" si="556"/>
        <v>Red</v>
      </c>
      <c r="AB1716" t="str">
        <f t="shared" si="557"/>
        <v>Red</v>
      </c>
      <c r="AC1716" t="str">
        <f t="shared" si="558"/>
        <v>Green</v>
      </c>
      <c r="AD1716" t="str">
        <f t="shared" si="559"/>
        <v>Red</v>
      </c>
    </row>
    <row r="1717" spans="1:30" x14ac:dyDescent="0.2">
      <c r="A1717" t="str">
        <f t="shared" si="560"/>
        <v>25/07/2026New York CityChicago Fire</v>
      </c>
      <c r="D1717" s="2">
        <v>46228</v>
      </c>
      <c r="E1717" s="3">
        <v>0.97916666666666663</v>
      </c>
      <c r="F1717" t="s">
        <v>861</v>
      </c>
      <c r="G1717" t="s">
        <v>56</v>
      </c>
      <c r="H1717">
        <v>3</v>
      </c>
      <c r="I1717">
        <v>1</v>
      </c>
      <c r="J1717">
        <v>3</v>
      </c>
      <c r="K1717">
        <v>1</v>
      </c>
      <c r="L1717" s="22" t="str">
        <f t="shared" si="561"/>
        <v>25/07/2026</v>
      </c>
      <c r="M1717" s="23">
        <f t="shared" si="562"/>
        <v>0.85416666666666663</v>
      </c>
      <c r="N1717" t="str">
        <f t="shared" si="563"/>
        <v>3 - 1</v>
      </c>
      <c r="O1717" t="str">
        <f t="shared" si="544"/>
        <v>Green</v>
      </c>
      <c r="P1717" t="str">
        <f t="shared" si="545"/>
        <v>Red</v>
      </c>
      <c r="Q1717" t="str">
        <f t="shared" si="546"/>
        <v>Red</v>
      </c>
      <c r="R1717" t="str">
        <f t="shared" si="547"/>
        <v>Green</v>
      </c>
      <c r="S1717" t="str">
        <f t="shared" si="548"/>
        <v>Red</v>
      </c>
      <c r="T1717" t="str">
        <f t="shared" si="549"/>
        <v>Green</v>
      </c>
      <c r="U1717" t="str">
        <f t="shared" si="550"/>
        <v>Green</v>
      </c>
      <c r="V1717" t="str">
        <f t="shared" si="551"/>
        <v>Red</v>
      </c>
      <c r="W1717" t="str">
        <f t="shared" si="552"/>
        <v>Red</v>
      </c>
      <c r="X1717" t="str">
        <f t="shared" si="553"/>
        <v>Green</v>
      </c>
      <c r="Y1717" t="str">
        <f t="shared" si="554"/>
        <v>Green</v>
      </c>
      <c r="Z1717" t="str">
        <f t="shared" si="555"/>
        <v>Green</v>
      </c>
      <c r="AA1717" t="str">
        <f t="shared" si="556"/>
        <v>Red</v>
      </c>
      <c r="AB1717" t="str">
        <f t="shared" si="557"/>
        <v>Red</v>
      </c>
      <c r="AC1717" t="str">
        <f t="shared" si="558"/>
        <v>Green</v>
      </c>
      <c r="AD1717" t="str">
        <f t="shared" si="559"/>
        <v>Red</v>
      </c>
    </row>
    <row r="1718" spans="1:30" x14ac:dyDescent="0.2">
      <c r="A1718" t="str">
        <f t="shared" si="560"/>
        <v>25/07/2026Philadelphia UnionSeattle Sounders FC</v>
      </c>
      <c r="D1718" s="2">
        <v>46228</v>
      </c>
      <c r="E1718" s="3">
        <v>0.97916666666666663</v>
      </c>
      <c r="F1718" t="s">
        <v>59</v>
      </c>
      <c r="G1718" t="s">
        <v>74</v>
      </c>
      <c r="H1718">
        <v>1</v>
      </c>
      <c r="I1718">
        <v>0</v>
      </c>
      <c r="J1718">
        <v>1</v>
      </c>
      <c r="K1718">
        <v>0</v>
      </c>
      <c r="L1718" s="22" t="str">
        <f t="shared" si="561"/>
        <v>25/07/2026</v>
      </c>
      <c r="M1718" s="23">
        <f t="shared" si="562"/>
        <v>0.85416666666666663</v>
      </c>
      <c r="N1718" t="str">
        <f t="shared" si="563"/>
        <v>1 - 0</v>
      </c>
      <c r="O1718" t="str">
        <f t="shared" si="544"/>
        <v>Green</v>
      </c>
      <c r="P1718" t="str">
        <f t="shared" si="545"/>
        <v>Red</v>
      </c>
      <c r="Q1718" t="str">
        <f t="shared" si="546"/>
        <v>Red</v>
      </c>
      <c r="R1718" t="str">
        <f t="shared" si="547"/>
        <v>Green</v>
      </c>
      <c r="S1718" t="str">
        <f t="shared" si="548"/>
        <v>Red</v>
      </c>
      <c r="T1718" t="str">
        <f t="shared" si="549"/>
        <v>Green</v>
      </c>
      <c r="U1718" t="str">
        <f t="shared" si="550"/>
        <v>Green</v>
      </c>
      <c r="V1718" t="str">
        <f t="shared" si="551"/>
        <v>Red</v>
      </c>
      <c r="W1718" t="str">
        <f t="shared" si="552"/>
        <v>Red</v>
      </c>
      <c r="X1718" t="str">
        <f t="shared" si="553"/>
        <v>Green</v>
      </c>
      <c r="Y1718" t="str">
        <f t="shared" si="554"/>
        <v>Red</v>
      </c>
      <c r="Z1718" t="str">
        <f t="shared" si="555"/>
        <v>Red</v>
      </c>
      <c r="AA1718" t="str">
        <f t="shared" si="556"/>
        <v>Green</v>
      </c>
      <c r="AB1718" t="str">
        <f t="shared" si="557"/>
        <v>Green</v>
      </c>
      <c r="AC1718" t="str">
        <f t="shared" si="558"/>
        <v>Red</v>
      </c>
      <c r="AD1718" t="str">
        <f t="shared" si="559"/>
        <v>Green</v>
      </c>
    </row>
    <row r="1719" spans="1:30" x14ac:dyDescent="0.2">
      <c r="A1719" t="str">
        <f t="shared" si="560"/>
        <v>25/07/2026Carolina CoreChicago Fire II</v>
      </c>
      <c r="D1719" s="2">
        <v>46228</v>
      </c>
      <c r="E1719" s="3">
        <v>0.97916666666666663</v>
      </c>
      <c r="F1719" t="s">
        <v>1870</v>
      </c>
      <c r="G1719" t="s">
        <v>778</v>
      </c>
      <c r="H1719">
        <v>0</v>
      </c>
      <c r="I1719">
        <v>3</v>
      </c>
      <c r="J1719">
        <v>1</v>
      </c>
      <c r="K1719">
        <v>5</v>
      </c>
      <c r="L1719" s="22" t="str">
        <f t="shared" si="561"/>
        <v>25/07/2026</v>
      </c>
      <c r="M1719" s="23">
        <f t="shared" si="562"/>
        <v>0.85416666666666663</v>
      </c>
      <c r="N1719" t="str">
        <f t="shared" si="563"/>
        <v>1 - 5</v>
      </c>
      <c r="O1719" t="str">
        <f t="shared" si="544"/>
        <v>Red</v>
      </c>
      <c r="P1719" t="str">
        <f t="shared" si="545"/>
        <v>Red</v>
      </c>
      <c r="Q1719" t="str">
        <f t="shared" si="546"/>
        <v>Green</v>
      </c>
      <c r="R1719" t="str">
        <f t="shared" si="547"/>
        <v>Red</v>
      </c>
      <c r="S1719" t="str">
        <f t="shared" si="548"/>
        <v>Green</v>
      </c>
      <c r="T1719" t="str">
        <f t="shared" si="549"/>
        <v>Green</v>
      </c>
      <c r="U1719" t="str">
        <f t="shared" si="550"/>
        <v>Red</v>
      </c>
      <c r="V1719" t="str">
        <f t="shared" si="551"/>
        <v>Red</v>
      </c>
      <c r="W1719" t="str">
        <f t="shared" si="552"/>
        <v>Green</v>
      </c>
      <c r="X1719" t="str">
        <f t="shared" si="553"/>
        <v>Green</v>
      </c>
      <c r="Y1719" t="str">
        <f t="shared" si="554"/>
        <v>Green</v>
      </c>
      <c r="Z1719" t="str">
        <f t="shared" si="555"/>
        <v>Green</v>
      </c>
      <c r="AA1719" t="str">
        <f t="shared" si="556"/>
        <v>Red</v>
      </c>
      <c r="AB1719" t="str">
        <f t="shared" si="557"/>
        <v>Red</v>
      </c>
      <c r="AC1719" t="str">
        <f t="shared" si="558"/>
        <v>Green</v>
      </c>
      <c r="AD1719" t="str">
        <f t="shared" si="559"/>
        <v>Red</v>
      </c>
    </row>
    <row r="1720" spans="1:30" x14ac:dyDescent="0.2">
      <c r="A1720" t="str">
        <f t="shared" si="560"/>
        <v>25/07/2026LeedsWrexham</v>
      </c>
      <c r="D1720" s="2">
        <v>46228</v>
      </c>
      <c r="E1720" s="3">
        <v>0.97916666666666663</v>
      </c>
      <c r="F1720" t="s">
        <v>4014</v>
      </c>
      <c r="G1720" t="s">
        <v>4015</v>
      </c>
      <c r="H1720">
        <v>2</v>
      </c>
      <c r="I1720">
        <v>2</v>
      </c>
      <c r="J1720">
        <v>2</v>
      </c>
      <c r="K1720">
        <v>3</v>
      </c>
      <c r="L1720" s="22" t="str">
        <f t="shared" si="561"/>
        <v>25/07/2026</v>
      </c>
      <c r="M1720" s="23">
        <f t="shared" si="562"/>
        <v>0.85416666666666663</v>
      </c>
      <c r="N1720" t="str">
        <f t="shared" si="563"/>
        <v>2 - 3</v>
      </c>
      <c r="O1720" t="str">
        <f t="shared" si="544"/>
        <v>Red</v>
      </c>
      <c r="P1720" t="str">
        <f t="shared" si="545"/>
        <v>Red</v>
      </c>
      <c r="Q1720" t="str">
        <f t="shared" si="546"/>
        <v>Green</v>
      </c>
      <c r="R1720" t="str">
        <f t="shared" si="547"/>
        <v>Red</v>
      </c>
      <c r="S1720" t="str">
        <f t="shared" si="548"/>
        <v>Green</v>
      </c>
      <c r="T1720" t="str">
        <f t="shared" si="549"/>
        <v>Green</v>
      </c>
      <c r="U1720" t="str">
        <f t="shared" si="550"/>
        <v>Red</v>
      </c>
      <c r="V1720" t="str">
        <f t="shared" si="551"/>
        <v>Green</v>
      </c>
      <c r="W1720" t="str">
        <f t="shared" si="552"/>
        <v>Red</v>
      </c>
      <c r="X1720" t="str">
        <f t="shared" si="553"/>
        <v>Green</v>
      </c>
      <c r="Y1720" t="str">
        <f t="shared" si="554"/>
        <v>Green</v>
      </c>
      <c r="Z1720" t="str">
        <f t="shared" si="555"/>
        <v>Green</v>
      </c>
      <c r="AA1720" t="str">
        <f t="shared" si="556"/>
        <v>Red</v>
      </c>
      <c r="AB1720" t="str">
        <f t="shared" si="557"/>
        <v>Red</v>
      </c>
      <c r="AC1720" t="str">
        <f t="shared" si="558"/>
        <v>Green</v>
      </c>
      <c r="AD1720" t="str">
        <f t="shared" si="559"/>
        <v>Red</v>
      </c>
    </row>
    <row r="1721" spans="1:30" x14ac:dyDescent="0.2">
      <c r="A1721" t="str">
        <f t="shared" si="560"/>
        <v>25/07/2026North Carolina WomenUtah Royals Women</v>
      </c>
      <c r="D1721" s="2">
        <v>46228</v>
      </c>
      <c r="E1721" s="3">
        <v>0.98958333333333337</v>
      </c>
      <c r="F1721" t="s">
        <v>3721</v>
      </c>
      <c r="G1721" t="s">
        <v>3722</v>
      </c>
      <c r="H1721">
        <v>0</v>
      </c>
      <c r="I1721">
        <v>2</v>
      </c>
      <c r="J1721">
        <v>1</v>
      </c>
      <c r="K1721">
        <v>4</v>
      </c>
      <c r="L1721" s="22" t="str">
        <f t="shared" si="561"/>
        <v>25/07/2026</v>
      </c>
      <c r="M1721" s="23">
        <f t="shared" si="562"/>
        <v>0.86458333333333337</v>
      </c>
      <c r="N1721" t="str">
        <f t="shared" si="563"/>
        <v>1 - 4</v>
      </c>
      <c r="O1721" t="str">
        <f t="shared" si="544"/>
        <v>Red</v>
      </c>
      <c r="P1721" t="str">
        <f t="shared" si="545"/>
        <v>Red</v>
      </c>
      <c r="Q1721" t="str">
        <f t="shared" si="546"/>
        <v>Green</v>
      </c>
      <c r="R1721" t="str">
        <f t="shared" si="547"/>
        <v>Red</v>
      </c>
      <c r="S1721" t="str">
        <f t="shared" si="548"/>
        <v>Green</v>
      </c>
      <c r="T1721" t="str">
        <f t="shared" si="549"/>
        <v>Green</v>
      </c>
      <c r="U1721" t="str">
        <f t="shared" si="550"/>
        <v>Red</v>
      </c>
      <c r="V1721" t="str">
        <f t="shared" si="551"/>
        <v>Red</v>
      </c>
      <c r="W1721" t="str">
        <f t="shared" si="552"/>
        <v>Green</v>
      </c>
      <c r="X1721" t="str">
        <f t="shared" si="553"/>
        <v>Green</v>
      </c>
      <c r="Y1721" t="str">
        <f t="shared" si="554"/>
        <v>Green</v>
      </c>
      <c r="Z1721" t="str">
        <f t="shared" si="555"/>
        <v>Green</v>
      </c>
      <c r="AA1721" t="str">
        <f t="shared" si="556"/>
        <v>Red</v>
      </c>
      <c r="AB1721" t="str">
        <f t="shared" si="557"/>
        <v>Red</v>
      </c>
      <c r="AC1721" t="str">
        <f t="shared" si="558"/>
        <v>Green</v>
      </c>
      <c r="AD1721" t="str">
        <f t="shared" si="559"/>
        <v>Red</v>
      </c>
    </row>
    <row r="1722" spans="1:30" x14ac:dyDescent="0.2">
      <c r="A1722" t="str">
        <f t="shared" si="560"/>
        <v>25/07/2026CD Uni Catolica SantiagoCD La Serena</v>
      </c>
      <c r="D1722" s="2">
        <v>46229</v>
      </c>
      <c r="E1722" s="3">
        <v>0</v>
      </c>
      <c r="F1722" t="s">
        <v>3115</v>
      </c>
      <c r="G1722" t="s">
        <v>3116</v>
      </c>
      <c r="H1722">
        <v>2</v>
      </c>
      <c r="I1722">
        <v>0</v>
      </c>
      <c r="J1722">
        <v>3</v>
      </c>
      <c r="K1722">
        <v>3</v>
      </c>
      <c r="L1722" s="30" t="str">
        <f t="shared" ref="L1722:L1759" si="564">DAY(D1722)-1&amp;"/"&amp;"07"&amp;"/"&amp;YEAR(D1722)</f>
        <v>25/07/2026</v>
      </c>
      <c r="M1722" s="31">
        <f t="shared" ref="M1722:M1759" si="565">E1722-TIME(3,0,0)+TIME(12,0,0)+TIME(12,0,0)</f>
        <v>0.875</v>
      </c>
      <c r="N1722" t="str">
        <f t="shared" si="563"/>
        <v>3 - 3</v>
      </c>
      <c r="O1722" t="str">
        <f t="shared" si="544"/>
        <v>Red</v>
      </c>
      <c r="P1722" t="str">
        <f t="shared" si="545"/>
        <v>Green</v>
      </c>
      <c r="Q1722" t="str">
        <f t="shared" si="546"/>
        <v>Red</v>
      </c>
      <c r="R1722" t="str">
        <f t="shared" si="547"/>
        <v>Green</v>
      </c>
      <c r="S1722" t="str">
        <f t="shared" si="548"/>
        <v>Green</v>
      </c>
      <c r="T1722" t="str">
        <f t="shared" si="549"/>
        <v>Red</v>
      </c>
      <c r="U1722" t="str">
        <f t="shared" si="550"/>
        <v>Green</v>
      </c>
      <c r="V1722" t="str">
        <f t="shared" si="551"/>
        <v>Red</v>
      </c>
      <c r="W1722" t="str">
        <f t="shared" si="552"/>
        <v>Red</v>
      </c>
      <c r="X1722" t="str">
        <f t="shared" si="553"/>
        <v>Green</v>
      </c>
      <c r="Y1722" t="str">
        <f t="shared" si="554"/>
        <v>Green</v>
      </c>
      <c r="Z1722" t="str">
        <f t="shared" si="555"/>
        <v>Green</v>
      </c>
      <c r="AA1722" t="str">
        <f t="shared" si="556"/>
        <v>Red</v>
      </c>
      <c r="AB1722" t="str">
        <f t="shared" si="557"/>
        <v>Red</v>
      </c>
      <c r="AC1722" t="str">
        <f t="shared" si="558"/>
        <v>Green</v>
      </c>
      <c r="AD1722" t="str">
        <f t="shared" si="559"/>
        <v>Red</v>
      </c>
    </row>
    <row r="1723" spans="1:30" x14ac:dyDescent="0.2">
      <c r="A1723" t="str">
        <f t="shared" si="560"/>
        <v>25/07/2026Real CartagenaReal Santander</v>
      </c>
      <c r="D1723" s="2">
        <v>46229</v>
      </c>
      <c r="E1723" s="3">
        <v>0</v>
      </c>
      <c r="F1723" t="s">
        <v>428</v>
      </c>
      <c r="G1723" t="s">
        <v>781</v>
      </c>
      <c r="H1723">
        <v>3</v>
      </c>
      <c r="I1723">
        <v>1</v>
      </c>
      <c r="J1723">
        <v>5</v>
      </c>
      <c r="K1723">
        <v>1</v>
      </c>
      <c r="L1723" s="30" t="str">
        <f t="shared" si="564"/>
        <v>25/07/2026</v>
      </c>
      <c r="M1723" s="31">
        <f t="shared" si="565"/>
        <v>0.875</v>
      </c>
      <c r="N1723" t="str">
        <f t="shared" si="563"/>
        <v>5 - 1</v>
      </c>
      <c r="O1723" t="str">
        <f t="shared" si="544"/>
        <v>Green</v>
      </c>
      <c r="P1723" t="str">
        <f t="shared" si="545"/>
        <v>Red</v>
      </c>
      <c r="Q1723" t="str">
        <f t="shared" si="546"/>
        <v>Red</v>
      </c>
      <c r="R1723" t="str">
        <f t="shared" si="547"/>
        <v>Green</v>
      </c>
      <c r="S1723" t="str">
        <f t="shared" si="548"/>
        <v>Red</v>
      </c>
      <c r="T1723" t="str">
        <f t="shared" si="549"/>
        <v>Green</v>
      </c>
      <c r="U1723" t="str">
        <f t="shared" si="550"/>
        <v>Green</v>
      </c>
      <c r="V1723" t="str">
        <f t="shared" si="551"/>
        <v>Red</v>
      </c>
      <c r="W1723" t="str">
        <f t="shared" si="552"/>
        <v>Red</v>
      </c>
      <c r="X1723" t="str">
        <f t="shared" si="553"/>
        <v>Green</v>
      </c>
      <c r="Y1723" t="str">
        <f t="shared" si="554"/>
        <v>Green</v>
      </c>
      <c r="Z1723" t="str">
        <f t="shared" si="555"/>
        <v>Green</v>
      </c>
      <c r="AA1723" t="str">
        <f t="shared" si="556"/>
        <v>Red</v>
      </c>
      <c r="AB1723" t="str">
        <f t="shared" si="557"/>
        <v>Red</v>
      </c>
      <c r="AC1723" t="str">
        <f t="shared" si="558"/>
        <v>Green</v>
      </c>
      <c r="AD1723" t="str">
        <f t="shared" si="559"/>
        <v>Red</v>
      </c>
    </row>
    <row r="1724" spans="1:30" x14ac:dyDescent="0.2">
      <c r="A1724" t="str">
        <f t="shared" si="560"/>
        <v>25/07/2026Tecnico UniversitarioManta FC</v>
      </c>
      <c r="D1724" s="2">
        <v>46229</v>
      </c>
      <c r="E1724" s="3">
        <v>0</v>
      </c>
      <c r="F1724" t="s">
        <v>38</v>
      </c>
      <c r="G1724" t="s">
        <v>61</v>
      </c>
      <c r="H1724">
        <v>0</v>
      </c>
      <c r="I1724">
        <v>0</v>
      </c>
      <c r="J1724">
        <v>1</v>
      </c>
      <c r="K1724">
        <v>0</v>
      </c>
      <c r="L1724" s="30" t="str">
        <f t="shared" si="564"/>
        <v>25/07/2026</v>
      </c>
      <c r="M1724" s="31">
        <f t="shared" si="565"/>
        <v>0.875</v>
      </c>
      <c r="N1724" t="str">
        <f t="shared" si="563"/>
        <v>1 - 0</v>
      </c>
      <c r="O1724" t="str">
        <f t="shared" si="544"/>
        <v>Green</v>
      </c>
      <c r="P1724" t="str">
        <f t="shared" si="545"/>
        <v>Red</v>
      </c>
      <c r="Q1724" t="str">
        <f t="shared" si="546"/>
        <v>Red</v>
      </c>
      <c r="R1724" t="str">
        <f t="shared" si="547"/>
        <v>Green</v>
      </c>
      <c r="S1724" t="str">
        <f t="shared" si="548"/>
        <v>Red</v>
      </c>
      <c r="T1724" t="str">
        <f t="shared" si="549"/>
        <v>Green</v>
      </c>
      <c r="U1724" t="str">
        <f t="shared" si="550"/>
        <v>Red</v>
      </c>
      <c r="V1724" t="str">
        <f t="shared" si="551"/>
        <v>Green</v>
      </c>
      <c r="W1724" t="str">
        <f t="shared" si="552"/>
        <v>Red</v>
      </c>
      <c r="X1724" t="str">
        <f t="shared" si="553"/>
        <v>Red</v>
      </c>
      <c r="Y1724" t="str">
        <f t="shared" si="554"/>
        <v>Red</v>
      </c>
      <c r="Z1724" t="str">
        <f t="shared" si="555"/>
        <v>Red</v>
      </c>
      <c r="AA1724" t="str">
        <f t="shared" si="556"/>
        <v>Green</v>
      </c>
      <c r="AB1724" t="str">
        <f t="shared" si="557"/>
        <v>Green</v>
      </c>
      <c r="AC1724" t="str">
        <f t="shared" si="558"/>
        <v>Red</v>
      </c>
      <c r="AD1724" t="str">
        <f t="shared" si="559"/>
        <v>Green</v>
      </c>
    </row>
    <row r="1725" spans="1:30" x14ac:dyDescent="0.2">
      <c r="A1725" t="str">
        <f t="shared" si="560"/>
        <v>25/07/2026CD IncaAlianza El Salvador</v>
      </c>
      <c r="D1725" s="2">
        <v>46229</v>
      </c>
      <c r="E1725" s="3">
        <v>0</v>
      </c>
      <c r="F1725" t="s">
        <v>3206</v>
      </c>
      <c r="G1725" t="s">
        <v>3207</v>
      </c>
      <c r="H1725">
        <v>0</v>
      </c>
      <c r="I1725">
        <v>1</v>
      </c>
      <c r="J1725">
        <v>1</v>
      </c>
      <c r="K1725">
        <v>3</v>
      </c>
      <c r="L1725" s="30" t="str">
        <f t="shared" si="564"/>
        <v>25/07/2026</v>
      </c>
      <c r="M1725" s="31">
        <f t="shared" si="565"/>
        <v>0.875</v>
      </c>
      <c r="N1725" t="str">
        <f t="shared" si="563"/>
        <v>1 - 3</v>
      </c>
      <c r="O1725" t="str">
        <f t="shared" si="544"/>
        <v>Red</v>
      </c>
      <c r="P1725" t="str">
        <f t="shared" si="545"/>
        <v>Red</v>
      </c>
      <c r="Q1725" t="str">
        <f t="shared" si="546"/>
        <v>Green</v>
      </c>
      <c r="R1725" t="str">
        <f t="shared" si="547"/>
        <v>Red</v>
      </c>
      <c r="S1725" t="str">
        <f t="shared" si="548"/>
        <v>Green</v>
      </c>
      <c r="T1725" t="str">
        <f t="shared" si="549"/>
        <v>Green</v>
      </c>
      <c r="U1725" t="str">
        <f t="shared" si="550"/>
        <v>Red</v>
      </c>
      <c r="V1725" t="str">
        <f t="shared" si="551"/>
        <v>Red</v>
      </c>
      <c r="W1725" t="str">
        <f t="shared" si="552"/>
        <v>Green</v>
      </c>
      <c r="X1725" t="str">
        <f t="shared" si="553"/>
        <v>Green</v>
      </c>
      <c r="Y1725" t="str">
        <f t="shared" si="554"/>
        <v>Green</v>
      </c>
      <c r="Z1725" t="str">
        <f t="shared" si="555"/>
        <v>Green</v>
      </c>
      <c r="AA1725" t="str">
        <f t="shared" si="556"/>
        <v>Red</v>
      </c>
      <c r="AB1725" t="str">
        <f t="shared" si="557"/>
        <v>Red</v>
      </c>
      <c r="AC1725" t="str">
        <f t="shared" si="558"/>
        <v>Green</v>
      </c>
      <c r="AD1725" t="str">
        <f t="shared" si="559"/>
        <v>Red</v>
      </c>
    </row>
    <row r="1726" spans="1:30" x14ac:dyDescent="0.2">
      <c r="A1726" t="str">
        <f t="shared" si="560"/>
        <v>25/07/2026LanusSan Lorenzo</v>
      </c>
      <c r="B1726" t="s">
        <v>806</v>
      </c>
      <c r="C1726" t="s">
        <v>2229</v>
      </c>
      <c r="D1726" s="2">
        <v>46229</v>
      </c>
      <c r="E1726" s="3">
        <v>2.0833333333333332E-2</v>
      </c>
      <c r="F1726" t="s">
        <v>1878</v>
      </c>
      <c r="G1726" t="s">
        <v>783</v>
      </c>
      <c r="H1726">
        <v>0</v>
      </c>
      <c r="I1726">
        <v>0</v>
      </c>
      <c r="J1726">
        <v>1</v>
      </c>
      <c r="K1726">
        <v>0</v>
      </c>
      <c r="L1726" s="30" t="str">
        <f t="shared" si="564"/>
        <v>25/07/2026</v>
      </c>
      <c r="M1726" s="31">
        <f t="shared" si="565"/>
        <v>0.89583333333333326</v>
      </c>
      <c r="N1726" t="str">
        <f t="shared" si="563"/>
        <v>1 - 0</v>
      </c>
      <c r="O1726" t="str">
        <f t="shared" si="544"/>
        <v>Green</v>
      </c>
      <c r="P1726" t="str">
        <f t="shared" si="545"/>
        <v>Red</v>
      </c>
      <c r="Q1726" t="str">
        <f t="shared" si="546"/>
        <v>Red</v>
      </c>
      <c r="R1726" t="str">
        <f t="shared" si="547"/>
        <v>Green</v>
      </c>
      <c r="S1726" t="str">
        <f t="shared" si="548"/>
        <v>Red</v>
      </c>
      <c r="T1726" t="str">
        <f t="shared" si="549"/>
        <v>Green</v>
      </c>
      <c r="U1726" t="str">
        <f t="shared" si="550"/>
        <v>Red</v>
      </c>
      <c r="V1726" t="str">
        <f t="shared" si="551"/>
        <v>Green</v>
      </c>
      <c r="W1726" t="str">
        <f t="shared" si="552"/>
        <v>Red</v>
      </c>
      <c r="X1726" t="str">
        <f t="shared" si="553"/>
        <v>Red</v>
      </c>
      <c r="Y1726" t="str">
        <f t="shared" si="554"/>
        <v>Red</v>
      </c>
      <c r="Z1726" t="str">
        <f t="shared" si="555"/>
        <v>Red</v>
      </c>
      <c r="AA1726" t="str">
        <f t="shared" si="556"/>
        <v>Green</v>
      </c>
      <c r="AB1726" t="str">
        <f t="shared" si="557"/>
        <v>Green</v>
      </c>
      <c r="AC1726" t="str">
        <f t="shared" si="558"/>
        <v>Red</v>
      </c>
      <c r="AD1726" t="str">
        <f t="shared" si="559"/>
        <v>Green</v>
      </c>
    </row>
    <row r="1727" spans="1:30" x14ac:dyDescent="0.2">
      <c r="A1727" t="str">
        <f t="shared" si="560"/>
        <v>25/07/2026Cashmere TechnicalMiramar Rangers</v>
      </c>
      <c r="D1727" s="2">
        <v>46229</v>
      </c>
      <c r="E1727" s="3">
        <v>2.0833333333333332E-2</v>
      </c>
      <c r="F1727" t="s">
        <v>3431</v>
      </c>
      <c r="G1727" t="s">
        <v>3432</v>
      </c>
      <c r="H1727">
        <v>1</v>
      </c>
      <c r="I1727">
        <v>0</v>
      </c>
      <c r="J1727">
        <v>2</v>
      </c>
      <c r="K1727">
        <v>1</v>
      </c>
      <c r="L1727" s="30" t="str">
        <f t="shared" si="564"/>
        <v>25/07/2026</v>
      </c>
      <c r="M1727" s="31">
        <f t="shared" si="565"/>
        <v>0.89583333333333326</v>
      </c>
      <c r="N1727" t="str">
        <f t="shared" si="563"/>
        <v>2 - 1</v>
      </c>
      <c r="O1727" t="str">
        <f t="shared" si="544"/>
        <v>Green</v>
      </c>
      <c r="P1727" t="str">
        <f t="shared" si="545"/>
        <v>Red</v>
      </c>
      <c r="Q1727" t="str">
        <f t="shared" si="546"/>
        <v>Red</v>
      </c>
      <c r="R1727" t="str">
        <f t="shared" si="547"/>
        <v>Green</v>
      </c>
      <c r="S1727" t="str">
        <f t="shared" si="548"/>
        <v>Red</v>
      </c>
      <c r="T1727" t="str">
        <f t="shared" si="549"/>
        <v>Green</v>
      </c>
      <c r="U1727" t="str">
        <f t="shared" si="550"/>
        <v>Green</v>
      </c>
      <c r="V1727" t="str">
        <f t="shared" si="551"/>
        <v>Red</v>
      </c>
      <c r="W1727" t="str">
        <f t="shared" si="552"/>
        <v>Red</v>
      </c>
      <c r="X1727" t="str">
        <f t="shared" si="553"/>
        <v>Green</v>
      </c>
      <c r="Y1727" t="str">
        <f t="shared" si="554"/>
        <v>Green</v>
      </c>
      <c r="Z1727" t="str">
        <f t="shared" si="555"/>
        <v>Green</v>
      </c>
      <c r="AA1727" t="str">
        <f t="shared" si="556"/>
        <v>Red</v>
      </c>
      <c r="AB1727" t="str">
        <f t="shared" si="557"/>
        <v>Green</v>
      </c>
      <c r="AC1727" t="str">
        <f t="shared" si="558"/>
        <v>Green</v>
      </c>
      <c r="AD1727" t="str">
        <f t="shared" si="559"/>
        <v>Red</v>
      </c>
    </row>
    <row r="1728" spans="1:30" x14ac:dyDescent="0.2">
      <c r="A1728" t="str">
        <f t="shared" si="560"/>
        <v>25/07/2026Houston DynamoAustin FC</v>
      </c>
      <c r="D1728" s="2">
        <v>46229</v>
      </c>
      <c r="E1728" s="3">
        <v>2.0833333333333332E-2</v>
      </c>
      <c r="F1728" t="s">
        <v>75</v>
      </c>
      <c r="G1728" t="s">
        <v>73</v>
      </c>
      <c r="H1728">
        <v>3</v>
      </c>
      <c r="I1728">
        <v>0</v>
      </c>
      <c r="J1728">
        <v>3</v>
      </c>
      <c r="K1728">
        <v>0</v>
      </c>
      <c r="L1728" s="30" t="str">
        <f t="shared" si="564"/>
        <v>25/07/2026</v>
      </c>
      <c r="M1728" s="31">
        <f t="shared" si="565"/>
        <v>0.89583333333333326</v>
      </c>
      <c r="N1728" t="str">
        <f t="shared" si="563"/>
        <v>3 - 0</v>
      </c>
      <c r="O1728" t="str">
        <f t="shared" si="544"/>
        <v>Green</v>
      </c>
      <c r="P1728" t="str">
        <f t="shared" si="545"/>
        <v>Red</v>
      </c>
      <c r="Q1728" t="str">
        <f t="shared" si="546"/>
        <v>Red</v>
      </c>
      <c r="R1728" t="str">
        <f t="shared" si="547"/>
        <v>Green</v>
      </c>
      <c r="S1728" t="str">
        <f t="shared" si="548"/>
        <v>Red</v>
      </c>
      <c r="T1728" t="str">
        <f t="shared" si="549"/>
        <v>Green</v>
      </c>
      <c r="U1728" t="str">
        <f t="shared" si="550"/>
        <v>Green</v>
      </c>
      <c r="V1728" t="str">
        <f t="shared" si="551"/>
        <v>Red</v>
      </c>
      <c r="W1728" t="str">
        <f t="shared" si="552"/>
        <v>Red</v>
      </c>
      <c r="X1728" t="str">
        <f t="shared" si="553"/>
        <v>Green</v>
      </c>
      <c r="Y1728" t="str">
        <f t="shared" si="554"/>
        <v>Green</v>
      </c>
      <c r="Z1728" t="str">
        <f t="shared" si="555"/>
        <v>Green</v>
      </c>
      <c r="AA1728" t="str">
        <f t="shared" si="556"/>
        <v>Red</v>
      </c>
      <c r="AB1728" t="str">
        <f t="shared" si="557"/>
        <v>Green</v>
      </c>
      <c r="AC1728" t="str">
        <f t="shared" si="558"/>
        <v>Red</v>
      </c>
      <c r="AD1728" t="str">
        <f t="shared" si="559"/>
        <v>Green</v>
      </c>
    </row>
    <row r="1729" spans="1:30" x14ac:dyDescent="0.2">
      <c r="A1729" t="str">
        <f t="shared" si="560"/>
        <v>25/07/2026Minnesota UnitedVancouver Whitecaps</v>
      </c>
      <c r="D1729" s="2">
        <v>46229</v>
      </c>
      <c r="E1729" s="3">
        <v>2.0833333333333332E-2</v>
      </c>
      <c r="F1729" t="s">
        <v>865</v>
      </c>
      <c r="G1729" t="s">
        <v>54</v>
      </c>
      <c r="H1729">
        <v>0</v>
      </c>
      <c r="I1729">
        <v>0</v>
      </c>
      <c r="J1729">
        <v>0</v>
      </c>
      <c r="K1729">
        <v>0</v>
      </c>
      <c r="L1729" s="30" t="str">
        <f t="shared" si="564"/>
        <v>25/07/2026</v>
      </c>
      <c r="M1729" s="31">
        <f t="shared" si="565"/>
        <v>0.89583333333333326</v>
      </c>
      <c r="N1729" t="str">
        <f t="shared" si="563"/>
        <v>0 - 0</v>
      </c>
      <c r="O1729" t="str">
        <f t="shared" si="544"/>
        <v>Red</v>
      </c>
      <c r="P1729" t="str">
        <f t="shared" si="545"/>
        <v>Green</v>
      </c>
      <c r="Q1729" t="str">
        <f t="shared" si="546"/>
        <v>Red</v>
      </c>
      <c r="R1729" t="str">
        <f t="shared" si="547"/>
        <v>Green</v>
      </c>
      <c r="S1729" t="str">
        <f t="shared" si="548"/>
        <v>Green</v>
      </c>
      <c r="T1729" t="str">
        <f t="shared" si="549"/>
        <v>Red</v>
      </c>
      <c r="U1729" t="str">
        <f t="shared" si="550"/>
        <v>Red</v>
      </c>
      <c r="V1729" t="str">
        <f t="shared" si="551"/>
        <v>Green</v>
      </c>
      <c r="W1729" t="str">
        <f t="shared" si="552"/>
        <v>Red</v>
      </c>
      <c r="X1729" t="str">
        <f t="shared" si="553"/>
        <v>Red</v>
      </c>
      <c r="Y1729" t="str">
        <f t="shared" si="554"/>
        <v>Red</v>
      </c>
      <c r="Z1729" t="str">
        <f t="shared" si="555"/>
        <v>Red</v>
      </c>
      <c r="AA1729" t="str">
        <f t="shared" si="556"/>
        <v>Green</v>
      </c>
      <c r="AB1729" t="str">
        <f t="shared" si="557"/>
        <v>Green</v>
      </c>
      <c r="AC1729" t="str">
        <f t="shared" si="558"/>
        <v>Red</v>
      </c>
      <c r="AD1729" t="str">
        <f t="shared" si="559"/>
        <v>Green</v>
      </c>
    </row>
    <row r="1730" spans="1:30" x14ac:dyDescent="0.2">
      <c r="A1730" t="str">
        <f t="shared" si="560"/>
        <v>25/07/2026Saint Louis CityColorado Rapids</v>
      </c>
      <c r="D1730" s="2">
        <v>46229</v>
      </c>
      <c r="E1730" s="3">
        <v>2.0833333333333332E-2</v>
      </c>
      <c r="F1730" t="s">
        <v>866</v>
      </c>
      <c r="G1730" t="s">
        <v>85</v>
      </c>
      <c r="H1730">
        <v>0</v>
      </c>
      <c r="I1730">
        <v>0</v>
      </c>
      <c r="J1730">
        <v>1</v>
      </c>
      <c r="K1730">
        <v>0</v>
      </c>
      <c r="L1730" s="30" t="str">
        <f t="shared" si="564"/>
        <v>25/07/2026</v>
      </c>
      <c r="M1730" s="31">
        <f t="shared" si="565"/>
        <v>0.89583333333333326</v>
      </c>
      <c r="N1730" t="str">
        <f t="shared" si="563"/>
        <v>1 - 0</v>
      </c>
      <c r="O1730" t="str">
        <f t="shared" ref="O1730:O1772" si="566">IF($J1730&gt;$K1730,"Green","Red")</f>
        <v>Green</v>
      </c>
      <c r="P1730" t="str">
        <f t="shared" ref="P1730:P1772" si="567">IF($J1730=$K1730,"Green","Red")</f>
        <v>Red</v>
      </c>
      <c r="Q1730" t="str">
        <f t="shared" ref="Q1730:Q1772" si="568">IF($J1730&lt;$K1730,"Green","Red")</f>
        <v>Red</v>
      </c>
      <c r="R1730" t="str">
        <f t="shared" ref="R1730:R1772" si="569">IF($J1730&gt;=$K1730,"Green","Red")</f>
        <v>Green</v>
      </c>
      <c r="S1730" t="str">
        <f t="shared" ref="S1730:S1772" si="570">IF($J1730&lt;=$K1730,"Green","Red")</f>
        <v>Red</v>
      </c>
      <c r="T1730" t="str">
        <f t="shared" ref="T1730:T1772" si="571">IF(OR($J1730&gt;$K1730,$J1730&lt;$K1730),"Green","Red")</f>
        <v>Green</v>
      </c>
      <c r="U1730" t="str">
        <f t="shared" ref="U1730:U1772" si="572">IF($H1730&gt;$I1730,"Green","Red")</f>
        <v>Red</v>
      </c>
      <c r="V1730" t="str">
        <f t="shared" ref="V1730:V1772" si="573">IF($H1730=$I1730,"Green","Red")</f>
        <v>Green</v>
      </c>
      <c r="W1730" t="str">
        <f t="shared" ref="W1730:W1772" si="574">IF($H1730&lt;$I1730,"Green","Red")</f>
        <v>Red</v>
      </c>
      <c r="X1730" t="str">
        <f t="shared" ref="X1730:X1772" si="575">IF($H1730+$I1730&gt;0,"Green","Red")</f>
        <v>Red</v>
      </c>
      <c r="Y1730" t="str">
        <f t="shared" ref="Y1730:Y1772" si="576">IF($J1730+$K1730&gt;1.5,"Green","Red")</f>
        <v>Red</v>
      </c>
      <c r="Z1730" t="str">
        <f t="shared" ref="Z1730:Z1772" si="577">IF($J1730+$K1730&gt;2.5,"Green","Red")</f>
        <v>Red</v>
      </c>
      <c r="AA1730" t="str">
        <f t="shared" ref="AA1730:AA1772" si="578">IF($J1730+$K1730&lt;2.5,"Green","Red")</f>
        <v>Green</v>
      </c>
      <c r="AB1730" t="str">
        <f t="shared" ref="AB1730:AB1772" si="579">IF($J1730+$K1730&lt;3.5,"Green","Red")</f>
        <v>Green</v>
      </c>
      <c r="AC1730" t="str">
        <f t="shared" ref="AC1730:AC1772" si="580">IF(AND($J1730&gt;0,$K1730&gt;0),"Green","Red")</f>
        <v>Red</v>
      </c>
      <c r="AD1730" t="str">
        <f t="shared" ref="AD1730:AD1772" si="581">IF(OR($J1730=0,$K1730=0),"Green","Red")</f>
        <v>Green</v>
      </c>
    </row>
    <row r="1731" spans="1:30" x14ac:dyDescent="0.2">
      <c r="A1731" t="str">
        <f t="shared" si="560"/>
        <v>25/07/2026Tulsa RoughnecksLexington SC</v>
      </c>
      <c r="D1731" s="2">
        <v>46229</v>
      </c>
      <c r="E1731" s="3">
        <v>2.0833333333333332E-2</v>
      </c>
      <c r="F1731" t="s">
        <v>3697</v>
      </c>
      <c r="G1731" t="s">
        <v>47</v>
      </c>
      <c r="H1731">
        <v>0</v>
      </c>
      <c r="I1731">
        <v>0</v>
      </c>
      <c r="J1731">
        <v>0</v>
      </c>
      <c r="K1731">
        <v>0</v>
      </c>
      <c r="L1731" s="30" t="str">
        <f t="shared" si="564"/>
        <v>25/07/2026</v>
      </c>
      <c r="M1731" s="31">
        <f t="shared" si="565"/>
        <v>0.89583333333333326</v>
      </c>
      <c r="N1731" t="str">
        <f t="shared" si="563"/>
        <v>0 - 0</v>
      </c>
      <c r="O1731" t="str">
        <f t="shared" si="566"/>
        <v>Red</v>
      </c>
      <c r="P1731" t="str">
        <f t="shared" si="567"/>
        <v>Green</v>
      </c>
      <c r="Q1731" t="str">
        <f t="shared" si="568"/>
        <v>Red</v>
      </c>
      <c r="R1731" t="str">
        <f t="shared" si="569"/>
        <v>Green</v>
      </c>
      <c r="S1731" t="str">
        <f t="shared" si="570"/>
        <v>Green</v>
      </c>
      <c r="T1731" t="str">
        <f t="shared" si="571"/>
        <v>Red</v>
      </c>
      <c r="U1731" t="str">
        <f t="shared" si="572"/>
        <v>Red</v>
      </c>
      <c r="V1731" t="str">
        <f t="shared" si="573"/>
        <v>Green</v>
      </c>
      <c r="W1731" t="str">
        <f t="shared" si="574"/>
        <v>Red</v>
      </c>
      <c r="X1731" t="str">
        <f t="shared" si="575"/>
        <v>Red</v>
      </c>
      <c r="Y1731" t="str">
        <f t="shared" si="576"/>
        <v>Red</v>
      </c>
      <c r="Z1731" t="str">
        <f t="shared" si="577"/>
        <v>Red</v>
      </c>
      <c r="AA1731" t="str">
        <f t="shared" si="578"/>
        <v>Green</v>
      </c>
      <c r="AB1731" t="str">
        <f t="shared" si="579"/>
        <v>Green</v>
      </c>
      <c r="AC1731" t="str">
        <f t="shared" si="580"/>
        <v>Red</v>
      </c>
      <c r="AD1731" t="str">
        <f t="shared" si="581"/>
        <v>Green</v>
      </c>
    </row>
    <row r="1732" spans="1:30" x14ac:dyDescent="0.2">
      <c r="A1732" t="str">
        <f t="shared" si="560"/>
        <v>25/07/2026Corpus Christi FCGreenville Triumph</v>
      </c>
      <c r="D1732" s="2">
        <v>46229</v>
      </c>
      <c r="E1732" s="3">
        <v>2.0833333333333332E-2</v>
      </c>
      <c r="F1732" t="s">
        <v>3710</v>
      </c>
      <c r="G1732" t="s">
        <v>3711</v>
      </c>
      <c r="H1732">
        <v>1</v>
      </c>
      <c r="I1732">
        <v>0</v>
      </c>
      <c r="J1732">
        <v>1</v>
      </c>
      <c r="K1732">
        <v>0</v>
      </c>
      <c r="L1732" s="30" t="str">
        <f t="shared" si="564"/>
        <v>25/07/2026</v>
      </c>
      <c r="M1732" s="31">
        <f t="shared" si="565"/>
        <v>0.89583333333333326</v>
      </c>
      <c r="N1732" t="str">
        <f t="shared" si="563"/>
        <v>1 - 0</v>
      </c>
      <c r="O1732" t="str">
        <f t="shared" si="566"/>
        <v>Green</v>
      </c>
      <c r="P1732" t="str">
        <f t="shared" si="567"/>
        <v>Red</v>
      </c>
      <c r="Q1732" t="str">
        <f t="shared" si="568"/>
        <v>Red</v>
      </c>
      <c r="R1732" t="str">
        <f t="shared" si="569"/>
        <v>Green</v>
      </c>
      <c r="S1732" t="str">
        <f t="shared" si="570"/>
        <v>Red</v>
      </c>
      <c r="T1732" t="str">
        <f t="shared" si="571"/>
        <v>Green</v>
      </c>
      <c r="U1732" t="str">
        <f t="shared" si="572"/>
        <v>Green</v>
      </c>
      <c r="V1732" t="str">
        <f t="shared" si="573"/>
        <v>Red</v>
      </c>
      <c r="W1732" t="str">
        <f t="shared" si="574"/>
        <v>Red</v>
      </c>
      <c r="X1732" t="str">
        <f t="shared" si="575"/>
        <v>Green</v>
      </c>
      <c r="Y1732" t="str">
        <f t="shared" si="576"/>
        <v>Red</v>
      </c>
      <c r="Z1732" t="str">
        <f t="shared" si="577"/>
        <v>Red</v>
      </c>
      <c r="AA1732" t="str">
        <f t="shared" si="578"/>
        <v>Green</v>
      </c>
      <c r="AB1732" t="str">
        <f t="shared" si="579"/>
        <v>Green</v>
      </c>
      <c r="AC1732" t="str">
        <f t="shared" si="580"/>
        <v>Red</v>
      </c>
      <c r="AD1732" t="str">
        <f t="shared" si="581"/>
        <v>Green</v>
      </c>
    </row>
    <row r="1733" spans="1:30" x14ac:dyDescent="0.2">
      <c r="A1733" t="str">
        <f t="shared" si="560"/>
        <v>25/07/2026North Texas SCLos Angeles FC II</v>
      </c>
      <c r="D1733" s="2">
        <v>46229</v>
      </c>
      <c r="E1733" s="3">
        <v>3.125E-2</v>
      </c>
      <c r="F1733" t="s">
        <v>785</v>
      </c>
      <c r="G1733" t="s">
        <v>786</v>
      </c>
      <c r="H1733">
        <v>0</v>
      </c>
      <c r="I1733">
        <v>2</v>
      </c>
      <c r="J1733">
        <v>2</v>
      </c>
      <c r="K1733">
        <v>2</v>
      </c>
      <c r="L1733" s="30" t="str">
        <f t="shared" si="564"/>
        <v>25/07/2026</v>
      </c>
      <c r="M1733" s="31">
        <f t="shared" si="565"/>
        <v>0.90625</v>
      </c>
      <c r="N1733" t="str">
        <f t="shared" si="563"/>
        <v>2 - 2</v>
      </c>
      <c r="O1733" t="str">
        <f t="shared" si="566"/>
        <v>Red</v>
      </c>
      <c r="P1733" t="str">
        <f t="shared" si="567"/>
        <v>Green</v>
      </c>
      <c r="Q1733" t="str">
        <f t="shared" si="568"/>
        <v>Red</v>
      </c>
      <c r="R1733" t="str">
        <f t="shared" si="569"/>
        <v>Green</v>
      </c>
      <c r="S1733" t="str">
        <f t="shared" si="570"/>
        <v>Green</v>
      </c>
      <c r="T1733" t="str">
        <f t="shared" si="571"/>
        <v>Red</v>
      </c>
      <c r="U1733" t="str">
        <f t="shared" si="572"/>
        <v>Red</v>
      </c>
      <c r="V1733" t="str">
        <f t="shared" si="573"/>
        <v>Red</v>
      </c>
      <c r="W1733" t="str">
        <f t="shared" si="574"/>
        <v>Green</v>
      </c>
      <c r="X1733" t="str">
        <f t="shared" si="575"/>
        <v>Green</v>
      </c>
      <c r="Y1733" t="str">
        <f t="shared" si="576"/>
        <v>Green</v>
      </c>
      <c r="Z1733" t="str">
        <f t="shared" si="577"/>
        <v>Green</v>
      </c>
      <c r="AA1733" t="str">
        <f t="shared" si="578"/>
        <v>Red</v>
      </c>
      <c r="AB1733" t="str">
        <f t="shared" si="579"/>
        <v>Red</v>
      </c>
      <c r="AC1733" t="str">
        <f t="shared" si="580"/>
        <v>Green</v>
      </c>
      <c r="AD1733" t="str">
        <f t="shared" si="581"/>
        <v>Red</v>
      </c>
    </row>
    <row r="1734" spans="1:30" x14ac:dyDescent="0.2">
      <c r="A1734" t="str">
        <f t="shared" si="560"/>
        <v>25/07/2026Orlando CityNashville FC</v>
      </c>
      <c r="D1734" s="2">
        <v>46229</v>
      </c>
      <c r="E1734" s="3">
        <v>3.1944444444444442E-2</v>
      </c>
      <c r="F1734" t="s">
        <v>868</v>
      </c>
      <c r="G1734" t="s">
        <v>863</v>
      </c>
      <c r="H1734">
        <v>0</v>
      </c>
      <c r="I1734">
        <v>0</v>
      </c>
      <c r="J1734">
        <v>1</v>
      </c>
      <c r="K1734">
        <v>0</v>
      </c>
      <c r="L1734" s="30" t="str">
        <f t="shared" si="564"/>
        <v>25/07/2026</v>
      </c>
      <c r="M1734" s="31">
        <f t="shared" si="565"/>
        <v>0.90694444444444444</v>
      </c>
      <c r="N1734" t="str">
        <f t="shared" si="563"/>
        <v>1 - 0</v>
      </c>
      <c r="O1734" t="str">
        <f t="shared" si="566"/>
        <v>Green</v>
      </c>
      <c r="P1734" t="str">
        <f t="shared" si="567"/>
        <v>Red</v>
      </c>
      <c r="Q1734" t="str">
        <f t="shared" si="568"/>
        <v>Red</v>
      </c>
      <c r="R1734" t="str">
        <f t="shared" si="569"/>
        <v>Green</v>
      </c>
      <c r="S1734" t="str">
        <f t="shared" si="570"/>
        <v>Red</v>
      </c>
      <c r="T1734" t="str">
        <f t="shared" si="571"/>
        <v>Green</v>
      </c>
      <c r="U1734" t="str">
        <f t="shared" si="572"/>
        <v>Red</v>
      </c>
      <c r="V1734" t="str">
        <f t="shared" si="573"/>
        <v>Green</v>
      </c>
      <c r="W1734" t="str">
        <f t="shared" si="574"/>
        <v>Red</v>
      </c>
      <c r="X1734" t="str">
        <f t="shared" si="575"/>
        <v>Red</v>
      </c>
      <c r="Y1734" t="str">
        <f t="shared" si="576"/>
        <v>Red</v>
      </c>
      <c r="Z1734" t="str">
        <f t="shared" si="577"/>
        <v>Red</v>
      </c>
      <c r="AA1734" t="str">
        <f t="shared" si="578"/>
        <v>Green</v>
      </c>
      <c r="AB1734" t="str">
        <f t="shared" si="579"/>
        <v>Green</v>
      </c>
      <c r="AC1734" t="str">
        <f t="shared" si="580"/>
        <v>Red</v>
      </c>
      <c r="AD1734" t="str">
        <f t="shared" si="581"/>
        <v>Green</v>
      </c>
    </row>
    <row r="1735" spans="1:30" x14ac:dyDescent="0.2">
      <c r="A1735" t="str">
        <f t="shared" si="560"/>
        <v>25/07/2026Deportivo MalacatecoCoban Imperial</v>
      </c>
      <c r="D1735" s="2">
        <v>46229</v>
      </c>
      <c r="E1735" s="3">
        <v>4.1666666666666664E-2</v>
      </c>
      <c r="F1735" t="s">
        <v>3297</v>
      </c>
      <c r="G1735" t="s">
        <v>3298</v>
      </c>
      <c r="H1735">
        <v>0</v>
      </c>
      <c r="I1735">
        <v>1</v>
      </c>
      <c r="J1735">
        <v>1</v>
      </c>
      <c r="K1735">
        <v>1</v>
      </c>
      <c r="L1735" s="30" t="str">
        <f t="shared" si="564"/>
        <v>25/07/2026</v>
      </c>
      <c r="M1735" s="31">
        <f t="shared" si="565"/>
        <v>0.91666666666666663</v>
      </c>
      <c r="N1735" t="str">
        <f t="shared" si="563"/>
        <v>1 - 1</v>
      </c>
      <c r="O1735" t="str">
        <f t="shared" si="566"/>
        <v>Red</v>
      </c>
      <c r="P1735" t="str">
        <f t="shared" si="567"/>
        <v>Green</v>
      </c>
      <c r="Q1735" t="str">
        <f t="shared" si="568"/>
        <v>Red</v>
      </c>
      <c r="R1735" t="str">
        <f t="shared" si="569"/>
        <v>Green</v>
      </c>
      <c r="S1735" t="str">
        <f t="shared" si="570"/>
        <v>Green</v>
      </c>
      <c r="T1735" t="str">
        <f t="shared" si="571"/>
        <v>Red</v>
      </c>
      <c r="U1735" t="str">
        <f t="shared" si="572"/>
        <v>Red</v>
      </c>
      <c r="V1735" t="str">
        <f t="shared" si="573"/>
        <v>Red</v>
      </c>
      <c r="W1735" t="str">
        <f t="shared" si="574"/>
        <v>Green</v>
      </c>
      <c r="X1735" t="str">
        <f t="shared" si="575"/>
        <v>Green</v>
      </c>
      <c r="Y1735" t="str">
        <f t="shared" si="576"/>
        <v>Green</v>
      </c>
      <c r="Z1735" t="str">
        <f t="shared" si="577"/>
        <v>Red</v>
      </c>
      <c r="AA1735" t="str">
        <f t="shared" si="578"/>
        <v>Green</v>
      </c>
      <c r="AB1735" t="str">
        <f t="shared" si="579"/>
        <v>Green</v>
      </c>
      <c r="AC1735" t="str">
        <f t="shared" si="580"/>
        <v>Green</v>
      </c>
      <c r="AD1735" t="str">
        <f t="shared" si="581"/>
        <v>Red</v>
      </c>
    </row>
    <row r="1736" spans="1:30" x14ac:dyDescent="0.2">
      <c r="A1736" t="str">
        <f t="shared" si="560"/>
        <v>25/07/2026San BenitoCD Mictlan</v>
      </c>
      <c r="D1736" s="2">
        <v>46229</v>
      </c>
      <c r="E1736" s="3">
        <v>4.1666666666666664E-2</v>
      </c>
      <c r="F1736" t="s">
        <v>3301</v>
      </c>
      <c r="G1736" t="s">
        <v>3302</v>
      </c>
      <c r="H1736">
        <v>0</v>
      </c>
      <c r="I1736">
        <v>0</v>
      </c>
      <c r="J1736">
        <v>0</v>
      </c>
      <c r="K1736">
        <v>0</v>
      </c>
      <c r="L1736" s="30" t="str">
        <f t="shared" si="564"/>
        <v>25/07/2026</v>
      </c>
      <c r="M1736" s="31">
        <f t="shared" si="565"/>
        <v>0.91666666666666663</v>
      </c>
      <c r="N1736" t="str">
        <f t="shared" si="563"/>
        <v>0 - 0</v>
      </c>
      <c r="O1736" t="str">
        <f t="shared" si="566"/>
        <v>Red</v>
      </c>
      <c r="P1736" t="str">
        <f t="shared" si="567"/>
        <v>Green</v>
      </c>
      <c r="Q1736" t="str">
        <f t="shared" si="568"/>
        <v>Red</v>
      </c>
      <c r="R1736" t="str">
        <f t="shared" si="569"/>
        <v>Green</v>
      </c>
      <c r="S1736" t="str">
        <f t="shared" si="570"/>
        <v>Green</v>
      </c>
      <c r="T1736" t="str">
        <f t="shared" si="571"/>
        <v>Red</v>
      </c>
      <c r="U1736" t="str">
        <f t="shared" si="572"/>
        <v>Red</v>
      </c>
      <c r="V1736" t="str">
        <f t="shared" si="573"/>
        <v>Green</v>
      </c>
      <c r="W1736" t="str">
        <f t="shared" si="574"/>
        <v>Red</v>
      </c>
      <c r="X1736" t="str">
        <f t="shared" si="575"/>
        <v>Red</v>
      </c>
      <c r="Y1736" t="str">
        <f t="shared" si="576"/>
        <v>Red</v>
      </c>
      <c r="Z1736" t="str">
        <f t="shared" si="577"/>
        <v>Red</v>
      </c>
      <c r="AA1736" t="str">
        <f t="shared" si="578"/>
        <v>Green</v>
      </c>
      <c r="AB1736" t="str">
        <f t="shared" si="579"/>
        <v>Green</v>
      </c>
      <c r="AC1736" t="str">
        <f t="shared" si="580"/>
        <v>Red</v>
      </c>
      <c r="AD1736" t="str">
        <f t="shared" si="581"/>
        <v>Green</v>
      </c>
    </row>
    <row r="1737" spans="1:30" x14ac:dyDescent="0.2">
      <c r="A1737" t="str">
        <f t="shared" si="560"/>
        <v>25/07/2026Atletico MoreliaCA La Paz</v>
      </c>
      <c r="D1737" s="2">
        <v>46229</v>
      </c>
      <c r="E1737" s="3">
        <v>4.1666666666666664E-2</v>
      </c>
      <c r="F1737" t="s">
        <v>3415</v>
      </c>
      <c r="G1737" t="s">
        <v>3416</v>
      </c>
      <c r="H1737">
        <v>0</v>
      </c>
      <c r="I1737">
        <v>2</v>
      </c>
      <c r="J1737">
        <v>4</v>
      </c>
      <c r="K1737">
        <v>2</v>
      </c>
      <c r="L1737" s="30" t="str">
        <f t="shared" si="564"/>
        <v>25/07/2026</v>
      </c>
      <c r="M1737" s="31">
        <f t="shared" si="565"/>
        <v>0.91666666666666663</v>
      </c>
      <c r="N1737" t="str">
        <f t="shared" si="563"/>
        <v>4 - 2</v>
      </c>
      <c r="O1737" t="str">
        <f t="shared" si="566"/>
        <v>Green</v>
      </c>
      <c r="P1737" t="str">
        <f t="shared" si="567"/>
        <v>Red</v>
      </c>
      <c r="Q1737" t="str">
        <f t="shared" si="568"/>
        <v>Red</v>
      </c>
      <c r="R1737" t="str">
        <f t="shared" si="569"/>
        <v>Green</v>
      </c>
      <c r="S1737" t="str">
        <f t="shared" si="570"/>
        <v>Red</v>
      </c>
      <c r="T1737" t="str">
        <f t="shared" si="571"/>
        <v>Green</v>
      </c>
      <c r="U1737" t="str">
        <f t="shared" si="572"/>
        <v>Red</v>
      </c>
      <c r="V1737" t="str">
        <f t="shared" si="573"/>
        <v>Red</v>
      </c>
      <c r="W1737" t="str">
        <f t="shared" si="574"/>
        <v>Green</v>
      </c>
      <c r="X1737" t="str">
        <f t="shared" si="575"/>
        <v>Green</v>
      </c>
      <c r="Y1737" t="str">
        <f t="shared" si="576"/>
        <v>Green</v>
      </c>
      <c r="Z1737" t="str">
        <f t="shared" si="577"/>
        <v>Green</v>
      </c>
      <c r="AA1737" t="str">
        <f t="shared" si="578"/>
        <v>Red</v>
      </c>
      <c r="AB1737" t="str">
        <f t="shared" si="579"/>
        <v>Red</v>
      </c>
      <c r="AC1737" t="str">
        <f t="shared" si="580"/>
        <v>Green</v>
      </c>
      <c r="AD1737" t="str">
        <f t="shared" si="581"/>
        <v>Red</v>
      </c>
    </row>
    <row r="1738" spans="1:30" x14ac:dyDescent="0.2">
      <c r="A1738" t="str">
        <f t="shared" si="560"/>
        <v>25/07/2026Dorados de SinaloaArmadillos Cancun</v>
      </c>
      <c r="D1738" s="2">
        <v>46229</v>
      </c>
      <c r="E1738" s="3">
        <v>4.1666666666666664E-2</v>
      </c>
      <c r="F1738" t="s">
        <v>3417</v>
      </c>
      <c r="G1738" t="s">
        <v>3418</v>
      </c>
      <c r="L1738" s="30" t="str">
        <f t="shared" si="564"/>
        <v>25/07/2026</v>
      </c>
      <c r="M1738" s="31">
        <f t="shared" si="565"/>
        <v>0.91666666666666663</v>
      </c>
      <c r="N1738" t="str">
        <f t="shared" si="563"/>
        <v xml:space="preserve"> - </v>
      </c>
      <c r="O1738" t="str">
        <f t="shared" si="566"/>
        <v>Red</v>
      </c>
      <c r="P1738" t="str">
        <f t="shared" si="567"/>
        <v>Green</v>
      </c>
      <c r="Q1738" t="str">
        <f t="shared" si="568"/>
        <v>Red</v>
      </c>
      <c r="R1738" t="str">
        <f t="shared" si="569"/>
        <v>Green</v>
      </c>
      <c r="S1738" t="str">
        <f t="shared" si="570"/>
        <v>Green</v>
      </c>
      <c r="T1738" t="str">
        <f t="shared" si="571"/>
        <v>Red</v>
      </c>
      <c r="U1738" t="str">
        <f t="shared" si="572"/>
        <v>Red</v>
      </c>
      <c r="V1738" t="str">
        <f t="shared" si="573"/>
        <v>Green</v>
      </c>
      <c r="W1738" t="str">
        <f t="shared" si="574"/>
        <v>Red</v>
      </c>
      <c r="X1738" t="str">
        <f t="shared" si="575"/>
        <v>Red</v>
      </c>
      <c r="Y1738" t="str">
        <f t="shared" si="576"/>
        <v>Red</v>
      </c>
      <c r="Z1738" t="str">
        <f t="shared" si="577"/>
        <v>Red</v>
      </c>
      <c r="AA1738" t="str">
        <f t="shared" si="578"/>
        <v>Green</v>
      </c>
      <c r="AB1738" t="str">
        <f t="shared" si="579"/>
        <v>Green</v>
      </c>
      <c r="AC1738" t="str">
        <f t="shared" si="580"/>
        <v>Red</v>
      </c>
      <c r="AD1738" t="str">
        <f t="shared" si="581"/>
        <v>Green</v>
      </c>
    </row>
    <row r="1739" spans="1:30" x14ac:dyDescent="0.2">
      <c r="A1739" t="str">
        <f t="shared" si="560"/>
        <v>25/07/2026Tampico MaderoPiratas FC</v>
      </c>
      <c r="D1739" s="2">
        <v>46229</v>
      </c>
      <c r="E1739" s="3">
        <v>4.1666666666666664E-2</v>
      </c>
      <c r="F1739" t="s">
        <v>3419</v>
      </c>
      <c r="G1739" t="s">
        <v>3420</v>
      </c>
      <c r="H1739">
        <v>0</v>
      </c>
      <c r="I1739">
        <v>0</v>
      </c>
      <c r="J1739">
        <v>0</v>
      </c>
      <c r="K1739">
        <v>0</v>
      </c>
      <c r="L1739" s="30" t="str">
        <f t="shared" si="564"/>
        <v>25/07/2026</v>
      </c>
      <c r="M1739" s="31">
        <f t="shared" si="565"/>
        <v>0.91666666666666663</v>
      </c>
      <c r="N1739" t="str">
        <f t="shared" si="563"/>
        <v>0 - 0</v>
      </c>
      <c r="O1739" t="str">
        <f t="shared" si="566"/>
        <v>Red</v>
      </c>
      <c r="P1739" t="str">
        <f t="shared" si="567"/>
        <v>Green</v>
      </c>
      <c r="Q1739" t="str">
        <f t="shared" si="568"/>
        <v>Red</v>
      </c>
      <c r="R1739" t="str">
        <f t="shared" si="569"/>
        <v>Green</v>
      </c>
      <c r="S1739" t="str">
        <f t="shared" si="570"/>
        <v>Green</v>
      </c>
      <c r="T1739" t="str">
        <f t="shared" si="571"/>
        <v>Red</v>
      </c>
      <c r="U1739" t="str">
        <f t="shared" si="572"/>
        <v>Red</v>
      </c>
      <c r="V1739" t="str">
        <f t="shared" si="573"/>
        <v>Green</v>
      </c>
      <c r="W1739" t="str">
        <f t="shared" si="574"/>
        <v>Red</v>
      </c>
      <c r="X1739" t="str">
        <f t="shared" si="575"/>
        <v>Red</v>
      </c>
      <c r="Y1739" t="str">
        <f t="shared" si="576"/>
        <v>Red</v>
      </c>
      <c r="Z1739" t="str">
        <f t="shared" si="577"/>
        <v>Red</v>
      </c>
      <c r="AA1739" t="str">
        <f t="shared" si="578"/>
        <v>Green</v>
      </c>
      <c r="AB1739" t="str">
        <f t="shared" si="579"/>
        <v>Green</v>
      </c>
      <c r="AC1739" t="str">
        <f t="shared" si="580"/>
        <v>Red</v>
      </c>
      <c r="AD1739" t="str">
        <f t="shared" si="581"/>
        <v>Green</v>
      </c>
    </row>
    <row r="1740" spans="1:30" x14ac:dyDescent="0.2">
      <c r="A1740" t="str">
        <f t="shared" si="560"/>
        <v>25/07/2026Deportivo TolucaCruz Azul</v>
      </c>
      <c r="D1740" s="2">
        <v>46229</v>
      </c>
      <c r="E1740" s="3">
        <v>4.1666666666666664E-2</v>
      </c>
      <c r="F1740" t="s">
        <v>1372</v>
      </c>
      <c r="G1740" t="s">
        <v>1370</v>
      </c>
      <c r="H1740">
        <v>1</v>
      </c>
      <c r="I1740">
        <v>1</v>
      </c>
      <c r="J1740">
        <v>1</v>
      </c>
      <c r="K1740">
        <v>3</v>
      </c>
      <c r="L1740" s="30" t="str">
        <f t="shared" si="564"/>
        <v>25/07/2026</v>
      </c>
      <c r="M1740" s="31">
        <f t="shared" si="565"/>
        <v>0.91666666666666663</v>
      </c>
      <c r="N1740" t="str">
        <f t="shared" si="563"/>
        <v>1 - 3</v>
      </c>
      <c r="O1740" t="str">
        <f t="shared" si="566"/>
        <v>Red</v>
      </c>
      <c r="P1740" t="str">
        <f t="shared" si="567"/>
        <v>Red</v>
      </c>
      <c r="Q1740" t="str">
        <f t="shared" si="568"/>
        <v>Green</v>
      </c>
      <c r="R1740" t="str">
        <f t="shared" si="569"/>
        <v>Red</v>
      </c>
      <c r="S1740" t="str">
        <f t="shared" si="570"/>
        <v>Green</v>
      </c>
      <c r="T1740" t="str">
        <f t="shared" si="571"/>
        <v>Green</v>
      </c>
      <c r="U1740" t="str">
        <f t="shared" si="572"/>
        <v>Red</v>
      </c>
      <c r="V1740" t="str">
        <f t="shared" si="573"/>
        <v>Green</v>
      </c>
      <c r="W1740" t="str">
        <f t="shared" si="574"/>
        <v>Red</v>
      </c>
      <c r="X1740" t="str">
        <f t="shared" si="575"/>
        <v>Green</v>
      </c>
      <c r="Y1740" t="str">
        <f t="shared" si="576"/>
        <v>Green</v>
      </c>
      <c r="Z1740" t="str">
        <f t="shared" si="577"/>
        <v>Green</v>
      </c>
      <c r="AA1740" t="str">
        <f t="shared" si="578"/>
        <v>Red</v>
      </c>
      <c r="AB1740" t="str">
        <f t="shared" si="579"/>
        <v>Red</v>
      </c>
      <c r="AC1740" t="str">
        <f t="shared" si="580"/>
        <v>Green</v>
      </c>
      <c r="AD1740" t="str">
        <f t="shared" si="581"/>
        <v>Red</v>
      </c>
    </row>
    <row r="1741" spans="1:30" x14ac:dyDescent="0.2">
      <c r="A1741" t="str">
        <f t="shared" si="560"/>
        <v>25/07/2026Hibiscus CoastNapier City Rovers</v>
      </c>
      <c r="D1741" s="2">
        <v>46229</v>
      </c>
      <c r="E1741" s="3">
        <v>4.1666666666666664E-2</v>
      </c>
      <c r="F1741" t="s">
        <v>3433</v>
      </c>
      <c r="G1741" t="s">
        <v>3434</v>
      </c>
      <c r="H1741">
        <v>2</v>
      </c>
      <c r="I1741">
        <v>4</v>
      </c>
      <c r="J1741">
        <v>2</v>
      </c>
      <c r="K1741">
        <v>5</v>
      </c>
      <c r="L1741" s="30" t="str">
        <f t="shared" si="564"/>
        <v>25/07/2026</v>
      </c>
      <c r="M1741" s="31">
        <f t="shared" si="565"/>
        <v>0.91666666666666663</v>
      </c>
      <c r="N1741" t="str">
        <f t="shared" si="563"/>
        <v>2 - 5</v>
      </c>
      <c r="O1741" t="str">
        <f t="shared" si="566"/>
        <v>Red</v>
      </c>
      <c r="P1741" t="str">
        <f t="shared" si="567"/>
        <v>Red</v>
      </c>
      <c r="Q1741" t="str">
        <f t="shared" si="568"/>
        <v>Green</v>
      </c>
      <c r="R1741" t="str">
        <f t="shared" si="569"/>
        <v>Red</v>
      </c>
      <c r="S1741" t="str">
        <f t="shared" si="570"/>
        <v>Green</v>
      </c>
      <c r="T1741" t="str">
        <f t="shared" si="571"/>
        <v>Green</v>
      </c>
      <c r="U1741" t="str">
        <f t="shared" si="572"/>
        <v>Red</v>
      </c>
      <c r="V1741" t="str">
        <f t="shared" si="573"/>
        <v>Red</v>
      </c>
      <c r="W1741" t="str">
        <f t="shared" si="574"/>
        <v>Green</v>
      </c>
      <c r="X1741" t="str">
        <f t="shared" si="575"/>
        <v>Green</v>
      </c>
      <c r="Y1741" t="str">
        <f t="shared" si="576"/>
        <v>Green</v>
      </c>
      <c r="Z1741" t="str">
        <f t="shared" si="577"/>
        <v>Green</v>
      </c>
      <c r="AA1741" t="str">
        <f t="shared" si="578"/>
        <v>Red</v>
      </c>
      <c r="AB1741" t="str">
        <f t="shared" si="579"/>
        <v>Red</v>
      </c>
      <c r="AC1741" t="str">
        <f t="shared" si="580"/>
        <v>Green</v>
      </c>
      <c r="AD1741" t="str">
        <f t="shared" si="581"/>
        <v>Red</v>
      </c>
    </row>
    <row r="1742" spans="1:30" x14ac:dyDescent="0.2">
      <c r="A1742" t="str">
        <f t="shared" si="560"/>
        <v>25/07/2026FBC MelgarSporting Cristal</v>
      </c>
      <c r="D1742" s="2">
        <v>46229</v>
      </c>
      <c r="E1742" s="3">
        <v>4.1666666666666664E-2</v>
      </c>
      <c r="F1742" t="s">
        <v>3524</v>
      </c>
      <c r="G1742" t="s">
        <v>791</v>
      </c>
      <c r="H1742">
        <v>1</v>
      </c>
      <c r="I1742">
        <v>0</v>
      </c>
      <c r="J1742">
        <v>2</v>
      </c>
      <c r="K1742">
        <v>1</v>
      </c>
      <c r="L1742" s="30" t="str">
        <f t="shared" si="564"/>
        <v>25/07/2026</v>
      </c>
      <c r="M1742" s="31">
        <f t="shared" si="565"/>
        <v>0.91666666666666663</v>
      </c>
      <c r="N1742" t="str">
        <f t="shared" si="563"/>
        <v>2 - 1</v>
      </c>
      <c r="O1742" t="str">
        <f t="shared" si="566"/>
        <v>Green</v>
      </c>
      <c r="P1742" t="str">
        <f t="shared" si="567"/>
        <v>Red</v>
      </c>
      <c r="Q1742" t="str">
        <f t="shared" si="568"/>
        <v>Red</v>
      </c>
      <c r="R1742" t="str">
        <f t="shared" si="569"/>
        <v>Green</v>
      </c>
      <c r="S1742" t="str">
        <f t="shared" si="570"/>
        <v>Red</v>
      </c>
      <c r="T1742" t="str">
        <f t="shared" si="571"/>
        <v>Green</v>
      </c>
      <c r="U1742" t="str">
        <f t="shared" si="572"/>
        <v>Green</v>
      </c>
      <c r="V1742" t="str">
        <f t="shared" si="573"/>
        <v>Red</v>
      </c>
      <c r="W1742" t="str">
        <f t="shared" si="574"/>
        <v>Red</v>
      </c>
      <c r="X1742" t="str">
        <f t="shared" si="575"/>
        <v>Green</v>
      </c>
      <c r="Y1742" t="str">
        <f t="shared" si="576"/>
        <v>Green</v>
      </c>
      <c r="Z1742" t="str">
        <f t="shared" si="577"/>
        <v>Green</v>
      </c>
      <c r="AA1742" t="str">
        <f t="shared" si="578"/>
        <v>Red</v>
      </c>
      <c r="AB1742" t="str">
        <f t="shared" si="579"/>
        <v>Green</v>
      </c>
      <c r="AC1742" t="str">
        <f t="shared" si="580"/>
        <v>Green</v>
      </c>
      <c r="AD1742" t="str">
        <f t="shared" si="581"/>
        <v>Red</v>
      </c>
    </row>
    <row r="1743" spans="1:30" x14ac:dyDescent="0.2">
      <c r="A1743" t="str">
        <f t="shared" si="560"/>
        <v>25/07/2026Colorado SwitchbacksCharleston Battery</v>
      </c>
      <c r="D1743" s="2">
        <v>46229</v>
      </c>
      <c r="E1743" s="3">
        <v>4.1666666666666664E-2</v>
      </c>
      <c r="F1743" t="s">
        <v>1882</v>
      </c>
      <c r="G1743" t="s">
        <v>787</v>
      </c>
      <c r="H1743">
        <v>0</v>
      </c>
      <c r="I1743">
        <v>0</v>
      </c>
      <c r="J1743">
        <v>2</v>
      </c>
      <c r="K1743">
        <v>1</v>
      </c>
      <c r="L1743" s="30" t="str">
        <f t="shared" si="564"/>
        <v>25/07/2026</v>
      </c>
      <c r="M1743" s="31">
        <f t="shared" si="565"/>
        <v>0.91666666666666663</v>
      </c>
      <c r="N1743" t="str">
        <f t="shared" si="563"/>
        <v>2 - 1</v>
      </c>
      <c r="O1743" t="str">
        <f t="shared" si="566"/>
        <v>Green</v>
      </c>
      <c r="P1743" t="str">
        <f t="shared" si="567"/>
        <v>Red</v>
      </c>
      <c r="Q1743" t="str">
        <f t="shared" si="568"/>
        <v>Red</v>
      </c>
      <c r="R1743" t="str">
        <f t="shared" si="569"/>
        <v>Green</v>
      </c>
      <c r="S1743" t="str">
        <f t="shared" si="570"/>
        <v>Red</v>
      </c>
      <c r="T1743" t="str">
        <f t="shared" si="571"/>
        <v>Green</v>
      </c>
      <c r="U1743" t="str">
        <f t="shared" si="572"/>
        <v>Red</v>
      </c>
      <c r="V1743" t="str">
        <f t="shared" si="573"/>
        <v>Green</v>
      </c>
      <c r="W1743" t="str">
        <f t="shared" si="574"/>
        <v>Red</v>
      </c>
      <c r="X1743" t="str">
        <f t="shared" si="575"/>
        <v>Red</v>
      </c>
      <c r="Y1743" t="str">
        <f t="shared" si="576"/>
        <v>Green</v>
      </c>
      <c r="Z1743" t="str">
        <f t="shared" si="577"/>
        <v>Green</v>
      </c>
      <c r="AA1743" t="str">
        <f t="shared" si="578"/>
        <v>Red</v>
      </c>
      <c r="AB1743" t="str">
        <f t="shared" si="579"/>
        <v>Green</v>
      </c>
      <c r="AC1743" t="str">
        <f t="shared" si="580"/>
        <v>Green</v>
      </c>
      <c r="AD1743" t="str">
        <f t="shared" si="581"/>
        <v>Red</v>
      </c>
    </row>
    <row r="1744" spans="1:30" x14ac:dyDescent="0.2">
      <c r="A1744" t="str">
        <f t="shared" si="560"/>
        <v>25/07/2026El Paso LocomotiveSporting Jacksonville</v>
      </c>
      <c r="D1744" s="2">
        <v>46229</v>
      </c>
      <c r="E1744" s="3">
        <v>4.1666666666666664E-2</v>
      </c>
      <c r="F1744" t="s">
        <v>3698</v>
      </c>
      <c r="G1744" t="s">
        <v>3699</v>
      </c>
      <c r="H1744">
        <v>1</v>
      </c>
      <c r="I1744">
        <v>0</v>
      </c>
      <c r="J1744">
        <v>2</v>
      </c>
      <c r="K1744">
        <v>0</v>
      </c>
      <c r="L1744" s="30" t="str">
        <f t="shared" si="564"/>
        <v>25/07/2026</v>
      </c>
      <c r="M1744" s="31">
        <f t="shared" si="565"/>
        <v>0.91666666666666663</v>
      </c>
      <c r="N1744" t="str">
        <f t="shared" si="563"/>
        <v>2 - 0</v>
      </c>
      <c r="O1744" t="str">
        <f t="shared" si="566"/>
        <v>Green</v>
      </c>
      <c r="P1744" t="str">
        <f t="shared" si="567"/>
        <v>Red</v>
      </c>
      <c r="Q1744" t="str">
        <f t="shared" si="568"/>
        <v>Red</v>
      </c>
      <c r="R1744" t="str">
        <f t="shared" si="569"/>
        <v>Green</v>
      </c>
      <c r="S1744" t="str">
        <f t="shared" si="570"/>
        <v>Red</v>
      </c>
      <c r="T1744" t="str">
        <f t="shared" si="571"/>
        <v>Green</v>
      </c>
      <c r="U1744" t="str">
        <f t="shared" si="572"/>
        <v>Green</v>
      </c>
      <c r="V1744" t="str">
        <f t="shared" si="573"/>
        <v>Red</v>
      </c>
      <c r="W1744" t="str">
        <f t="shared" si="574"/>
        <v>Red</v>
      </c>
      <c r="X1744" t="str">
        <f t="shared" si="575"/>
        <v>Green</v>
      </c>
      <c r="Y1744" t="str">
        <f t="shared" si="576"/>
        <v>Green</v>
      </c>
      <c r="Z1744" t="str">
        <f t="shared" si="577"/>
        <v>Red</v>
      </c>
      <c r="AA1744" t="str">
        <f t="shared" si="578"/>
        <v>Green</v>
      </c>
      <c r="AB1744" t="str">
        <f t="shared" si="579"/>
        <v>Green</v>
      </c>
      <c r="AC1744" t="str">
        <f t="shared" si="580"/>
        <v>Red</v>
      </c>
      <c r="AD1744" t="str">
        <f t="shared" si="581"/>
        <v>Green</v>
      </c>
    </row>
    <row r="1745" spans="1:30" x14ac:dyDescent="0.2">
      <c r="A1745" t="str">
        <f t="shared" si="560"/>
        <v>25/07/2026Spokane Velocity FCFort Wayne</v>
      </c>
      <c r="D1745" s="2">
        <v>46229</v>
      </c>
      <c r="E1745" s="3">
        <v>4.1666666666666664E-2</v>
      </c>
      <c r="F1745" t="s">
        <v>1883</v>
      </c>
      <c r="G1745" t="s">
        <v>3712</v>
      </c>
      <c r="H1745">
        <v>0</v>
      </c>
      <c r="I1745">
        <v>1</v>
      </c>
      <c r="J1745">
        <v>3</v>
      </c>
      <c r="K1745">
        <v>1</v>
      </c>
      <c r="L1745" s="30" t="str">
        <f t="shared" si="564"/>
        <v>25/07/2026</v>
      </c>
      <c r="M1745" s="31">
        <f t="shared" si="565"/>
        <v>0.91666666666666663</v>
      </c>
      <c r="N1745" t="str">
        <f t="shared" si="563"/>
        <v>3 - 1</v>
      </c>
      <c r="O1745" t="str">
        <f t="shared" si="566"/>
        <v>Green</v>
      </c>
      <c r="P1745" t="str">
        <f t="shared" si="567"/>
        <v>Red</v>
      </c>
      <c r="Q1745" t="str">
        <f t="shared" si="568"/>
        <v>Red</v>
      </c>
      <c r="R1745" t="str">
        <f t="shared" si="569"/>
        <v>Green</v>
      </c>
      <c r="S1745" t="str">
        <f t="shared" si="570"/>
        <v>Red</v>
      </c>
      <c r="T1745" t="str">
        <f t="shared" si="571"/>
        <v>Green</v>
      </c>
      <c r="U1745" t="str">
        <f t="shared" si="572"/>
        <v>Red</v>
      </c>
      <c r="V1745" t="str">
        <f t="shared" si="573"/>
        <v>Red</v>
      </c>
      <c r="W1745" t="str">
        <f t="shared" si="574"/>
        <v>Green</v>
      </c>
      <c r="X1745" t="str">
        <f t="shared" si="575"/>
        <v>Green</v>
      </c>
      <c r="Y1745" t="str">
        <f t="shared" si="576"/>
        <v>Green</v>
      </c>
      <c r="Z1745" t="str">
        <f t="shared" si="577"/>
        <v>Green</v>
      </c>
      <c r="AA1745" t="str">
        <f t="shared" si="578"/>
        <v>Red</v>
      </c>
      <c r="AB1745" t="str">
        <f t="shared" si="579"/>
        <v>Red</v>
      </c>
      <c r="AC1745" t="str">
        <f t="shared" si="580"/>
        <v>Green</v>
      </c>
      <c r="AD1745" t="str">
        <f t="shared" si="581"/>
        <v>Red</v>
      </c>
    </row>
    <row r="1746" spans="1:30" x14ac:dyDescent="0.2">
      <c r="A1746" t="str">
        <f t="shared" si="560"/>
        <v>25/07/2026Deportes TolimaJunior FC</v>
      </c>
      <c r="D1746" s="2">
        <v>46229</v>
      </c>
      <c r="E1746" s="3">
        <v>5.2083333333333336E-2</v>
      </c>
      <c r="F1746" t="s">
        <v>419</v>
      </c>
      <c r="G1746" t="s">
        <v>1880</v>
      </c>
      <c r="H1746">
        <v>2</v>
      </c>
      <c r="I1746">
        <v>0</v>
      </c>
      <c r="J1746">
        <v>2</v>
      </c>
      <c r="K1746">
        <v>1</v>
      </c>
      <c r="L1746" s="30" t="str">
        <f t="shared" si="564"/>
        <v>25/07/2026</v>
      </c>
      <c r="M1746" s="31">
        <f t="shared" si="565"/>
        <v>0.92708333333333337</v>
      </c>
      <c r="N1746" t="str">
        <f t="shared" si="563"/>
        <v>2 - 1</v>
      </c>
      <c r="O1746" t="str">
        <f t="shared" si="566"/>
        <v>Green</v>
      </c>
      <c r="P1746" t="str">
        <f t="shared" si="567"/>
        <v>Red</v>
      </c>
      <c r="Q1746" t="str">
        <f t="shared" si="568"/>
        <v>Red</v>
      </c>
      <c r="R1746" t="str">
        <f t="shared" si="569"/>
        <v>Green</v>
      </c>
      <c r="S1746" t="str">
        <f t="shared" si="570"/>
        <v>Red</v>
      </c>
      <c r="T1746" t="str">
        <f t="shared" si="571"/>
        <v>Green</v>
      </c>
      <c r="U1746" t="str">
        <f t="shared" si="572"/>
        <v>Green</v>
      </c>
      <c r="V1746" t="str">
        <f t="shared" si="573"/>
        <v>Red</v>
      </c>
      <c r="W1746" t="str">
        <f t="shared" si="574"/>
        <v>Red</v>
      </c>
      <c r="X1746" t="str">
        <f t="shared" si="575"/>
        <v>Green</v>
      </c>
      <c r="Y1746" t="str">
        <f t="shared" si="576"/>
        <v>Green</v>
      </c>
      <c r="Z1746" t="str">
        <f t="shared" si="577"/>
        <v>Green</v>
      </c>
      <c r="AA1746" t="str">
        <f t="shared" si="578"/>
        <v>Red</v>
      </c>
      <c r="AB1746" t="str">
        <f t="shared" si="579"/>
        <v>Green</v>
      </c>
      <c r="AC1746" t="str">
        <f t="shared" si="580"/>
        <v>Green</v>
      </c>
      <c r="AD1746" t="str">
        <f t="shared" si="581"/>
        <v>Red</v>
      </c>
    </row>
    <row r="1747" spans="1:30" x14ac:dyDescent="0.2">
      <c r="A1747" t="str">
        <f t="shared" si="560"/>
        <v>25/07/2026Nelson SuburbsAuckland United</v>
      </c>
      <c r="D1747" s="2">
        <v>46229</v>
      </c>
      <c r="E1747" s="3">
        <v>6.25E-2</v>
      </c>
      <c r="F1747" t="s">
        <v>3435</v>
      </c>
      <c r="G1747" t="s">
        <v>3436</v>
      </c>
      <c r="H1747">
        <v>0</v>
      </c>
      <c r="I1747">
        <v>1</v>
      </c>
      <c r="J1747">
        <v>2</v>
      </c>
      <c r="K1747">
        <v>1</v>
      </c>
      <c r="L1747" s="30" t="str">
        <f t="shared" si="564"/>
        <v>25/07/2026</v>
      </c>
      <c r="M1747" s="31">
        <f t="shared" si="565"/>
        <v>0.9375</v>
      </c>
      <c r="N1747" t="str">
        <f t="shared" si="563"/>
        <v>2 - 1</v>
      </c>
      <c r="O1747" t="str">
        <f t="shared" si="566"/>
        <v>Green</v>
      </c>
      <c r="P1747" t="str">
        <f t="shared" si="567"/>
        <v>Red</v>
      </c>
      <c r="Q1747" t="str">
        <f t="shared" si="568"/>
        <v>Red</v>
      </c>
      <c r="R1747" t="str">
        <f t="shared" si="569"/>
        <v>Green</v>
      </c>
      <c r="S1747" t="str">
        <f t="shared" si="570"/>
        <v>Red</v>
      </c>
      <c r="T1747" t="str">
        <f t="shared" si="571"/>
        <v>Green</v>
      </c>
      <c r="U1747" t="str">
        <f t="shared" si="572"/>
        <v>Red</v>
      </c>
      <c r="V1747" t="str">
        <f t="shared" si="573"/>
        <v>Red</v>
      </c>
      <c r="W1747" t="str">
        <f t="shared" si="574"/>
        <v>Green</v>
      </c>
      <c r="X1747" t="str">
        <f t="shared" si="575"/>
        <v>Green</v>
      </c>
      <c r="Y1747" t="str">
        <f t="shared" si="576"/>
        <v>Green</v>
      </c>
      <c r="Z1747" t="str">
        <f t="shared" si="577"/>
        <v>Green</v>
      </c>
      <c r="AA1747" t="str">
        <f t="shared" si="578"/>
        <v>Red</v>
      </c>
      <c r="AB1747" t="str">
        <f t="shared" si="579"/>
        <v>Green</v>
      </c>
      <c r="AC1747" t="str">
        <f t="shared" si="580"/>
        <v>Green</v>
      </c>
      <c r="AD1747" t="str">
        <f t="shared" si="581"/>
        <v>Red</v>
      </c>
    </row>
    <row r="1748" spans="1:30" x14ac:dyDescent="0.2">
      <c r="A1748" t="str">
        <f t="shared" si="560"/>
        <v>25/07/2026Union Deportivo UniversitarioSan Francisco FC</v>
      </c>
      <c r="D1748" s="2">
        <v>46229</v>
      </c>
      <c r="E1748" s="3">
        <v>6.25E-2</v>
      </c>
      <c r="F1748" t="s">
        <v>3515</v>
      </c>
      <c r="G1748" t="s">
        <v>794</v>
      </c>
      <c r="H1748">
        <v>0</v>
      </c>
      <c r="I1748">
        <v>2</v>
      </c>
      <c r="J1748">
        <v>1</v>
      </c>
      <c r="K1748">
        <v>2</v>
      </c>
      <c r="L1748" s="30" t="str">
        <f t="shared" si="564"/>
        <v>25/07/2026</v>
      </c>
      <c r="M1748" s="31">
        <f t="shared" si="565"/>
        <v>0.9375</v>
      </c>
      <c r="N1748" t="str">
        <f t="shared" si="563"/>
        <v>1 - 2</v>
      </c>
      <c r="O1748" t="str">
        <f t="shared" si="566"/>
        <v>Red</v>
      </c>
      <c r="P1748" t="str">
        <f t="shared" si="567"/>
        <v>Red</v>
      </c>
      <c r="Q1748" t="str">
        <f t="shared" si="568"/>
        <v>Green</v>
      </c>
      <c r="R1748" t="str">
        <f t="shared" si="569"/>
        <v>Red</v>
      </c>
      <c r="S1748" t="str">
        <f t="shared" si="570"/>
        <v>Green</v>
      </c>
      <c r="T1748" t="str">
        <f t="shared" si="571"/>
        <v>Green</v>
      </c>
      <c r="U1748" t="str">
        <f t="shared" si="572"/>
        <v>Red</v>
      </c>
      <c r="V1748" t="str">
        <f t="shared" si="573"/>
        <v>Red</v>
      </c>
      <c r="W1748" t="str">
        <f t="shared" si="574"/>
        <v>Green</v>
      </c>
      <c r="X1748" t="str">
        <f t="shared" si="575"/>
        <v>Green</v>
      </c>
      <c r="Y1748" t="str">
        <f t="shared" si="576"/>
        <v>Green</v>
      </c>
      <c r="Z1748" t="str">
        <f t="shared" si="577"/>
        <v>Green</v>
      </c>
      <c r="AA1748" t="str">
        <f t="shared" si="578"/>
        <v>Red</v>
      </c>
      <c r="AB1748" t="str">
        <f t="shared" si="579"/>
        <v>Green</v>
      </c>
      <c r="AC1748" t="str">
        <f t="shared" si="580"/>
        <v>Green</v>
      </c>
      <c r="AD1748" t="str">
        <f t="shared" si="581"/>
        <v>Red</v>
      </c>
    </row>
    <row r="1749" spans="1:30" x14ac:dyDescent="0.2">
      <c r="A1749" t="str">
        <f t="shared" si="560"/>
        <v>25/07/2026San Diego FCDallas</v>
      </c>
      <c r="D1749" s="2">
        <v>46229</v>
      </c>
      <c r="E1749" s="3">
        <v>6.25E-2</v>
      </c>
      <c r="F1749" t="s">
        <v>86</v>
      </c>
      <c r="G1749" t="s">
        <v>867</v>
      </c>
      <c r="H1749">
        <v>0</v>
      </c>
      <c r="I1749">
        <v>0</v>
      </c>
      <c r="J1749">
        <v>1</v>
      </c>
      <c r="K1749">
        <v>0</v>
      </c>
      <c r="L1749" s="30" t="str">
        <f t="shared" si="564"/>
        <v>25/07/2026</v>
      </c>
      <c r="M1749" s="31">
        <f t="shared" si="565"/>
        <v>0.9375</v>
      </c>
      <c r="N1749" t="str">
        <f t="shared" si="563"/>
        <v>1 - 0</v>
      </c>
      <c r="O1749" t="str">
        <f t="shared" si="566"/>
        <v>Green</v>
      </c>
      <c r="P1749" t="str">
        <f t="shared" si="567"/>
        <v>Red</v>
      </c>
      <c r="Q1749" t="str">
        <f t="shared" si="568"/>
        <v>Red</v>
      </c>
      <c r="R1749" t="str">
        <f t="shared" si="569"/>
        <v>Green</v>
      </c>
      <c r="S1749" t="str">
        <f t="shared" si="570"/>
        <v>Red</v>
      </c>
      <c r="T1749" t="str">
        <f t="shared" si="571"/>
        <v>Green</v>
      </c>
      <c r="U1749" t="str">
        <f t="shared" si="572"/>
        <v>Red</v>
      </c>
      <c r="V1749" t="str">
        <f t="shared" si="573"/>
        <v>Green</v>
      </c>
      <c r="W1749" t="str">
        <f t="shared" si="574"/>
        <v>Red</v>
      </c>
      <c r="X1749" t="str">
        <f t="shared" si="575"/>
        <v>Red</v>
      </c>
      <c r="Y1749" t="str">
        <f t="shared" si="576"/>
        <v>Red</v>
      </c>
      <c r="Z1749" t="str">
        <f t="shared" si="577"/>
        <v>Red</v>
      </c>
      <c r="AA1749" t="str">
        <f t="shared" si="578"/>
        <v>Green</v>
      </c>
      <c r="AB1749" t="str">
        <f t="shared" si="579"/>
        <v>Green</v>
      </c>
      <c r="AC1749" t="str">
        <f t="shared" si="580"/>
        <v>Red</v>
      </c>
      <c r="AD1749" t="str">
        <f t="shared" si="581"/>
        <v>Green</v>
      </c>
    </row>
    <row r="1750" spans="1:30" x14ac:dyDescent="0.2">
      <c r="A1750" t="str">
        <f t="shared" si="560"/>
        <v>25/07/2026Sporting San JoseLD Alajuelense</v>
      </c>
      <c r="D1750" s="2">
        <v>46229</v>
      </c>
      <c r="E1750" s="3">
        <v>8.3333333333333329E-2</v>
      </c>
      <c r="F1750" t="s">
        <v>3148</v>
      </c>
      <c r="G1750" t="s">
        <v>3149</v>
      </c>
      <c r="H1750">
        <v>1</v>
      </c>
      <c r="I1750">
        <v>0</v>
      </c>
      <c r="J1750">
        <v>1</v>
      </c>
      <c r="K1750">
        <v>1</v>
      </c>
      <c r="L1750" s="30" t="str">
        <f t="shared" si="564"/>
        <v>25/07/2026</v>
      </c>
      <c r="M1750" s="31">
        <f t="shared" si="565"/>
        <v>0.95833333333333326</v>
      </c>
      <c r="N1750" t="str">
        <f t="shared" si="563"/>
        <v>1 - 1</v>
      </c>
      <c r="O1750" t="str">
        <f t="shared" si="566"/>
        <v>Red</v>
      </c>
      <c r="P1750" t="str">
        <f t="shared" si="567"/>
        <v>Green</v>
      </c>
      <c r="Q1750" t="str">
        <f t="shared" si="568"/>
        <v>Red</v>
      </c>
      <c r="R1750" t="str">
        <f t="shared" si="569"/>
        <v>Green</v>
      </c>
      <c r="S1750" t="str">
        <f t="shared" si="570"/>
        <v>Green</v>
      </c>
      <c r="T1750" t="str">
        <f t="shared" si="571"/>
        <v>Red</v>
      </c>
      <c r="U1750" t="str">
        <f t="shared" si="572"/>
        <v>Green</v>
      </c>
      <c r="V1750" t="str">
        <f t="shared" si="573"/>
        <v>Red</v>
      </c>
      <c r="W1750" t="str">
        <f t="shared" si="574"/>
        <v>Red</v>
      </c>
      <c r="X1750" t="str">
        <f t="shared" si="575"/>
        <v>Green</v>
      </c>
      <c r="Y1750" t="str">
        <f t="shared" si="576"/>
        <v>Green</v>
      </c>
      <c r="Z1750" t="str">
        <f t="shared" si="577"/>
        <v>Red</v>
      </c>
      <c r="AA1750" t="str">
        <f t="shared" si="578"/>
        <v>Green</v>
      </c>
      <c r="AB1750" t="str">
        <f t="shared" si="579"/>
        <v>Green</v>
      </c>
      <c r="AC1750" t="str">
        <f t="shared" si="580"/>
        <v>Green</v>
      </c>
      <c r="AD1750" t="str">
        <f t="shared" si="581"/>
        <v>Red</v>
      </c>
    </row>
    <row r="1751" spans="1:30" x14ac:dyDescent="0.2">
      <c r="A1751" t="str">
        <f t="shared" si="560"/>
        <v>25/07/2026QuicheJuventud Copalera</v>
      </c>
      <c r="D1751" s="2">
        <v>46229</v>
      </c>
      <c r="E1751" s="3">
        <v>8.3333333333333329E-2</v>
      </c>
      <c r="F1751" t="s">
        <v>3303</v>
      </c>
      <c r="G1751" t="s">
        <v>3304</v>
      </c>
      <c r="H1751">
        <v>0</v>
      </c>
      <c r="I1751">
        <v>0</v>
      </c>
      <c r="J1751">
        <v>0</v>
      </c>
      <c r="K1751">
        <v>0</v>
      </c>
      <c r="L1751" s="30" t="str">
        <f t="shared" si="564"/>
        <v>25/07/2026</v>
      </c>
      <c r="M1751" s="31">
        <f t="shared" si="565"/>
        <v>0.95833333333333326</v>
      </c>
      <c r="N1751" t="str">
        <f t="shared" si="563"/>
        <v>0 - 0</v>
      </c>
      <c r="O1751" t="str">
        <f t="shared" si="566"/>
        <v>Red</v>
      </c>
      <c r="P1751" t="str">
        <f t="shared" si="567"/>
        <v>Green</v>
      </c>
      <c r="Q1751" t="str">
        <f t="shared" si="568"/>
        <v>Red</v>
      </c>
      <c r="R1751" t="str">
        <f t="shared" si="569"/>
        <v>Green</v>
      </c>
      <c r="S1751" t="str">
        <f t="shared" si="570"/>
        <v>Green</v>
      </c>
      <c r="T1751" t="str">
        <f t="shared" si="571"/>
        <v>Red</v>
      </c>
      <c r="U1751" t="str">
        <f t="shared" si="572"/>
        <v>Red</v>
      </c>
      <c r="V1751" t="str">
        <f t="shared" si="573"/>
        <v>Green</v>
      </c>
      <c r="W1751" t="str">
        <f t="shared" si="574"/>
        <v>Red</v>
      </c>
      <c r="X1751" t="str">
        <f t="shared" si="575"/>
        <v>Red</v>
      </c>
      <c r="Y1751" t="str">
        <f t="shared" si="576"/>
        <v>Red</v>
      </c>
      <c r="Z1751" t="str">
        <f t="shared" si="577"/>
        <v>Red</v>
      </c>
      <c r="AA1751" t="str">
        <f t="shared" si="578"/>
        <v>Green</v>
      </c>
      <c r="AB1751" t="str">
        <f t="shared" si="579"/>
        <v>Green</v>
      </c>
      <c r="AC1751" t="str">
        <f t="shared" si="580"/>
        <v>Red</v>
      </c>
      <c r="AD1751" t="str">
        <f t="shared" si="581"/>
        <v>Green</v>
      </c>
    </row>
    <row r="1752" spans="1:30" x14ac:dyDescent="0.2">
      <c r="A1752" t="str">
        <f t="shared" si="560"/>
        <v>25/07/2026USA U20Haiti U20</v>
      </c>
      <c r="D1752" s="2">
        <v>46229</v>
      </c>
      <c r="E1752" s="3">
        <v>8.3333333333333329E-2</v>
      </c>
      <c r="F1752" t="s">
        <v>3439</v>
      </c>
      <c r="G1752" t="s">
        <v>3440</v>
      </c>
      <c r="H1752">
        <v>1</v>
      </c>
      <c r="I1752">
        <v>0</v>
      </c>
      <c r="J1752">
        <v>3</v>
      </c>
      <c r="K1752">
        <v>0</v>
      </c>
      <c r="L1752" s="30" t="str">
        <f t="shared" si="564"/>
        <v>25/07/2026</v>
      </c>
      <c r="M1752" s="31">
        <f t="shared" si="565"/>
        <v>0.95833333333333326</v>
      </c>
      <c r="N1752" t="str">
        <f t="shared" si="563"/>
        <v>3 - 0</v>
      </c>
      <c r="O1752" t="str">
        <f t="shared" si="566"/>
        <v>Green</v>
      </c>
      <c r="P1752" t="str">
        <f t="shared" si="567"/>
        <v>Red</v>
      </c>
      <c r="Q1752" t="str">
        <f t="shared" si="568"/>
        <v>Red</v>
      </c>
      <c r="R1752" t="str">
        <f t="shared" si="569"/>
        <v>Green</v>
      </c>
      <c r="S1752" t="str">
        <f t="shared" si="570"/>
        <v>Red</v>
      </c>
      <c r="T1752" t="str">
        <f t="shared" si="571"/>
        <v>Green</v>
      </c>
      <c r="U1752" t="str">
        <f t="shared" si="572"/>
        <v>Green</v>
      </c>
      <c r="V1752" t="str">
        <f t="shared" si="573"/>
        <v>Red</v>
      </c>
      <c r="W1752" t="str">
        <f t="shared" si="574"/>
        <v>Red</v>
      </c>
      <c r="X1752" t="str">
        <f t="shared" si="575"/>
        <v>Green</v>
      </c>
      <c r="Y1752" t="str">
        <f t="shared" si="576"/>
        <v>Green</v>
      </c>
      <c r="Z1752" t="str">
        <f t="shared" si="577"/>
        <v>Green</v>
      </c>
      <c r="AA1752" t="str">
        <f t="shared" si="578"/>
        <v>Red</v>
      </c>
      <c r="AB1752" t="str">
        <f t="shared" si="579"/>
        <v>Green</v>
      </c>
      <c r="AC1752" t="str">
        <f t="shared" si="580"/>
        <v>Red</v>
      </c>
      <c r="AD1752" t="str">
        <f t="shared" si="581"/>
        <v>Green</v>
      </c>
    </row>
    <row r="1753" spans="1:30" x14ac:dyDescent="0.2">
      <c r="A1753" t="str">
        <f t="shared" si="560"/>
        <v>25/07/2026Monterey BayOrange County Blues</v>
      </c>
      <c r="D1753" s="2">
        <v>46229</v>
      </c>
      <c r="E1753" s="3">
        <v>8.3333333333333329E-2</v>
      </c>
      <c r="F1753" t="s">
        <v>3700</v>
      </c>
      <c r="G1753" t="s">
        <v>3701</v>
      </c>
      <c r="H1753">
        <v>0</v>
      </c>
      <c r="I1753">
        <v>0</v>
      </c>
      <c r="J1753">
        <v>1</v>
      </c>
      <c r="K1753">
        <v>2</v>
      </c>
      <c r="L1753" s="30" t="str">
        <f t="shared" si="564"/>
        <v>25/07/2026</v>
      </c>
      <c r="M1753" s="31">
        <f t="shared" si="565"/>
        <v>0.95833333333333326</v>
      </c>
      <c r="N1753" t="str">
        <f t="shared" si="563"/>
        <v>1 - 2</v>
      </c>
      <c r="O1753" t="str">
        <f t="shared" si="566"/>
        <v>Red</v>
      </c>
      <c r="P1753" t="str">
        <f t="shared" si="567"/>
        <v>Red</v>
      </c>
      <c r="Q1753" t="str">
        <f t="shared" si="568"/>
        <v>Green</v>
      </c>
      <c r="R1753" t="str">
        <f t="shared" si="569"/>
        <v>Red</v>
      </c>
      <c r="S1753" t="str">
        <f t="shared" si="570"/>
        <v>Green</v>
      </c>
      <c r="T1753" t="str">
        <f t="shared" si="571"/>
        <v>Green</v>
      </c>
      <c r="U1753" t="str">
        <f t="shared" si="572"/>
        <v>Red</v>
      </c>
      <c r="V1753" t="str">
        <f t="shared" si="573"/>
        <v>Green</v>
      </c>
      <c r="W1753" t="str">
        <f t="shared" si="574"/>
        <v>Red</v>
      </c>
      <c r="X1753" t="str">
        <f t="shared" si="575"/>
        <v>Red</v>
      </c>
      <c r="Y1753" t="str">
        <f t="shared" si="576"/>
        <v>Green</v>
      </c>
      <c r="Z1753" t="str">
        <f t="shared" si="577"/>
        <v>Green</v>
      </c>
      <c r="AA1753" t="str">
        <f t="shared" si="578"/>
        <v>Red</v>
      </c>
      <c r="AB1753" t="str">
        <f t="shared" si="579"/>
        <v>Green</v>
      </c>
      <c r="AC1753" t="str">
        <f t="shared" si="580"/>
        <v>Green</v>
      </c>
      <c r="AD1753" t="str">
        <f t="shared" si="581"/>
        <v>Red</v>
      </c>
    </row>
    <row r="1754" spans="1:30" x14ac:dyDescent="0.2">
      <c r="A1754" t="str">
        <f t="shared" si="560"/>
        <v>25/07/2026Oakland RootsSacramento Republic</v>
      </c>
      <c r="D1754" s="2">
        <v>46229</v>
      </c>
      <c r="E1754" s="3">
        <v>8.3333333333333329E-2</v>
      </c>
      <c r="F1754" t="s">
        <v>48</v>
      </c>
      <c r="G1754" t="s">
        <v>3702</v>
      </c>
      <c r="H1754">
        <v>1</v>
      </c>
      <c r="I1754">
        <v>1</v>
      </c>
      <c r="J1754">
        <v>1</v>
      </c>
      <c r="K1754">
        <v>3</v>
      </c>
      <c r="L1754" s="30" t="str">
        <f t="shared" si="564"/>
        <v>25/07/2026</v>
      </c>
      <c r="M1754" s="31">
        <f t="shared" si="565"/>
        <v>0.95833333333333326</v>
      </c>
      <c r="N1754" t="str">
        <f t="shared" si="563"/>
        <v>1 - 3</v>
      </c>
      <c r="O1754" t="str">
        <f t="shared" si="566"/>
        <v>Red</v>
      </c>
      <c r="P1754" t="str">
        <f t="shared" si="567"/>
        <v>Red</v>
      </c>
      <c r="Q1754" t="str">
        <f t="shared" si="568"/>
        <v>Green</v>
      </c>
      <c r="R1754" t="str">
        <f t="shared" si="569"/>
        <v>Red</v>
      </c>
      <c r="S1754" t="str">
        <f t="shared" si="570"/>
        <v>Green</v>
      </c>
      <c r="T1754" t="str">
        <f t="shared" si="571"/>
        <v>Green</v>
      </c>
      <c r="U1754" t="str">
        <f t="shared" si="572"/>
        <v>Red</v>
      </c>
      <c r="V1754" t="str">
        <f t="shared" si="573"/>
        <v>Green</v>
      </c>
      <c r="W1754" t="str">
        <f t="shared" si="574"/>
        <v>Red</v>
      </c>
      <c r="X1754" t="str">
        <f t="shared" si="575"/>
        <v>Green</v>
      </c>
      <c r="Y1754" t="str">
        <f t="shared" si="576"/>
        <v>Green</v>
      </c>
      <c r="Z1754" t="str">
        <f t="shared" si="577"/>
        <v>Green</v>
      </c>
      <c r="AA1754" t="str">
        <f t="shared" si="578"/>
        <v>Red</v>
      </c>
      <c r="AB1754" t="str">
        <f t="shared" si="579"/>
        <v>Red</v>
      </c>
      <c r="AC1754" t="str">
        <f t="shared" si="580"/>
        <v>Green</v>
      </c>
      <c r="AD1754" t="str">
        <f t="shared" si="581"/>
        <v>Red</v>
      </c>
    </row>
    <row r="1755" spans="1:30" x14ac:dyDescent="0.2">
      <c r="A1755" t="str">
        <f t="shared" si="560"/>
        <v>25/07/2026L.A Galaxy IIThe Town</v>
      </c>
      <c r="D1755" s="2">
        <v>46229</v>
      </c>
      <c r="E1755" s="3">
        <v>8.3333333333333329E-2</v>
      </c>
      <c r="F1755" t="s">
        <v>3714</v>
      </c>
      <c r="G1755" t="s">
        <v>770</v>
      </c>
      <c r="H1755">
        <v>0</v>
      </c>
      <c r="I1755">
        <v>0</v>
      </c>
      <c r="J1755">
        <v>3</v>
      </c>
      <c r="K1755">
        <v>0</v>
      </c>
      <c r="L1755" s="30" t="str">
        <f t="shared" si="564"/>
        <v>25/07/2026</v>
      </c>
      <c r="M1755" s="31">
        <f t="shared" si="565"/>
        <v>0.95833333333333326</v>
      </c>
      <c r="N1755" t="str">
        <f t="shared" si="563"/>
        <v>3 - 0</v>
      </c>
      <c r="O1755" t="str">
        <f t="shared" si="566"/>
        <v>Green</v>
      </c>
      <c r="P1755" t="str">
        <f t="shared" si="567"/>
        <v>Red</v>
      </c>
      <c r="Q1755" t="str">
        <f t="shared" si="568"/>
        <v>Red</v>
      </c>
      <c r="R1755" t="str">
        <f t="shared" si="569"/>
        <v>Green</v>
      </c>
      <c r="S1755" t="str">
        <f t="shared" si="570"/>
        <v>Red</v>
      </c>
      <c r="T1755" t="str">
        <f t="shared" si="571"/>
        <v>Green</v>
      </c>
      <c r="U1755" t="str">
        <f t="shared" si="572"/>
        <v>Red</v>
      </c>
      <c r="V1755" t="str">
        <f t="shared" si="573"/>
        <v>Green</v>
      </c>
      <c r="W1755" t="str">
        <f t="shared" si="574"/>
        <v>Red</v>
      </c>
      <c r="X1755" t="str">
        <f t="shared" si="575"/>
        <v>Red</v>
      </c>
      <c r="Y1755" t="str">
        <f t="shared" si="576"/>
        <v>Green</v>
      </c>
      <c r="Z1755" t="str">
        <f t="shared" si="577"/>
        <v>Green</v>
      </c>
      <c r="AA1755" t="str">
        <f t="shared" si="578"/>
        <v>Red</v>
      </c>
      <c r="AB1755" t="str">
        <f t="shared" si="579"/>
        <v>Green</v>
      </c>
      <c r="AC1755" t="str">
        <f t="shared" si="580"/>
        <v>Red</v>
      </c>
      <c r="AD1755" t="str">
        <f t="shared" si="581"/>
        <v>Green</v>
      </c>
    </row>
    <row r="1756" spans="1:30" x14ac:dyDescent="0.2">
      <c r="A1756" t="str">
        <f t="shared" si="560"/>
        <v>25/07/2026Los Angeles FCSporting Kansas City</v>
      </c>
      <c r="D1756" s="2">
        <v>46229</v>
      </c>
      <c r="E1756" s="3">
        <v>0.10416666666666667</v>
      </c>
      <c r="F1756" t="s">
        <v>89</v>
      </c>
      <c r="G1756" t="s">
        <v>79</v>
      </c>
      <c r="H1756">
        <v>3</v>
      </c>
      <c r="I1756">
        <v>0</v>
      </c>
      <c r="J1756">
        <v>4</v>
      </c>
      <c r="K1756">
        <v>0</v>
      </c>
      <c r="L1756" s="30" t="str">
        <f t="shared" si="564"/>
        <v>25/07/2026</v>
      </c>
      <c r="M1756" s="31">
        <f t="shared" si="565"/>
        <v>0.97916666666666674</v>
      </c>
      <c r="N1756" t="str">
        <f t="shared" si="563"/>
        <v>4 - 0</v>
      </c>
      <c r="O1756" t="str">
        <f t="shared" si="566"/>
        <v>Green</v>
      </c>
      <c r="P1756" t="str">
        <f t="shared" si="567"/>
        <v>Red</v>
      </c>
      <c r="Q1756" t="str">
        <f t="shared" si="568"/>
        <v>Red</v>
      </c>
      <c r="R1756" t="str">
        <f t="shared" si="569"/>
        <v>Green</v>
      </c>
      <c r="S1756" t="str">
        <f t="shared" si="570"/>
        <v>Red</v>
      </c>
      <c r="T1756" t="str">
        <f t="shared" si="571"/>
        <v>Green</v>
      </c>
      <c r="U1756" t="str">
        <f t="shared" si="572"/>
        <v>Green</v>
      </c>
      <c r="V1756" t="str">
        <f t="shared" si="573"/>
        <v>Red</v>
      </c>
      <c r="W1756" t="str">
        <f t="shared" si="574"/>
        <v>Red</v>
      </c>
      <c r="X1756" t="str">
        <f t="shared" si="575"/>
        <v>Green</v>
      </c>
      <c r="Y1756" t="str">
        <f t="shared" si="576"/>
        <v>Green</v>
      </c>
      <c r="Z1756" t="str">
        <f t="shared" si="577"/>
        <v>Green</v>
      </c>
      <c r="AA1756" t="str">
        <f t="shared" si="578"/>
        <v>Red</v>
      </c>
      <c r="AB1756" t="str">
        <f t="shared" si="579"/>
        <v>Red</v>
      </c>
      <c r="AC1756" t="str">
        <f t="shared" si="580"/>
        <v>Red</v>
      </c>
      <c r="AD1756" t="str">
        <f t="shared" si="581"/>
        <v>Green</v>
      </c>
    </row>
    <row r="1757" spans="1:30" x14ac:dyDescent="0.2">
      <c r="A1757" t="str">
        <f t="shared" si="560"/>
        <v>25/07/2026Portland TimbersReal Salt Lake</v>
      </c>
      <c r="D1757" s="2">
        <v>46229</v>
      </c>
      <c r="E1757" s="3">
        <v>0.10416666666666667</v>
      </c>
      <c r="F1757" t="s">
        <v>91</v>
      </c>
      <c r="G1757" t="s">
        <v>90</v>
      </c>
      <c r="H1757">
        <v>0</v>
      </c>
      <c r="I1757">
        <v>1</v>
      </c>
      <c r="J1757">
        <v>2</v>
      </c>
      <c r="K1757">
        <v>1</v>
      </c>
      <c r="L1757" s="30" t="str">
        <f t="shared" si="564"/>
        <v>25/07/2026</v>
      </c>
      <c r="M1757" s="31">
        <f t="shared" si="565"/>
        <v>0.97916666666666674</v>
      </c>
      <c r="N1757" t="str">
        <f t="shared" si="563"/>
        <v>2 - 1</v>
      </c>
      <c r="O1757" t="str">
        <f t="shared" si="566"/>
        <v>Green</v>
      </c>
      <c r="P1757" t="str">
        <f t="shared" si="567"/>
        <v>Red</v>
      </c>
      <c r="Q1757" t="str">
        <f t="shared" si="568"/>
        <v>Red</v>
      </c>
      <c r="R1757" t="str">
        <f t="shared" si="569"/>
        <v>Green</v>
      </c>
      <c r="S1757" t="str">
        <f t="shared" si="570"/>
        <v>Red</v>
      </c>
      <c r="T1757" t="str">
        <f t="shared" si="571"/>
        <v>Green</v>
      </c>
      <c r="U1757" t="str">
        <f t="shared" si="572"/>
        <v>Red</v>
      </c>
      <c r="V1757" t="str">
        <f t="shared" si="573"/>
        <v>Red</v>
      </c>
      <c r="W1757" t="str">
        <f t="shared" si="574"/>
        <v>Green</v>
      </c>
      <c r="X1757" t="str">
        <f t="shared" si="575"/>
        <v>Green</v>
      </c>
      <c r="Y1757" t="str">
        <f t="shared" si="576"/>
        <v>Green</v>
      </c>
      <c r="Z1757" t="str">
        <f t="shared" si="577"/>
        <v>Green</v>
      </c>
      <c r="AA1757" t="str">
        <f t="shared" si="578"/>
        <v>Red</v>
      </c>
      <c r="AB1757" t="str">
        <f t="shared" si="579"/>
        <v>Green</v>
      </c>
      <c r="AC1757" t="str">
        <f t="shared" si="580"/>
        <v>Green</v>
      </c>
      <c r="AD1757" t="str">
        <f t="shared" si="581"/>
        <v>Red</v>
      </c>
    </row>
    <row r="1758" spans="1:30" x14ac:dyDescent="0.2">
      <c r="A1758" t="str">
        <f t="shared" si="560"/>
        <v>25/07/2026San Jose EarthquakesLA Galaxy</v>
      </c>
      <c r="D1758" s="2">
        <v>46229</v>
      </c>
      <c r="E1758" s="3">
        <v>0.10416666666666667</v>
      </c>
      <c r="F1758" t="s">
        <v>93</v>
      </c>
      <c r="G1758" t="s">
        <v>87</v>
      </c>
      <c r="H1758">
        <v>0</v>
      </c>
      <c r="I1758">
        <v>1</v>
      </c>
      <c r="J1758">
        <v>1</v>
      </c>
      <c r="K1758">
        <v>1</v>
      </c>
      <c r="L1758" s="30" t="str">
        <f t="shared" si="564"/>
        <v>25/07/2026</v>
      </c>
      <c r="M1758" s="31">
        <f t="shared" si="565"/>
        <v>0.97916666666666674</v>
      </c>
      <c r="N1758" t="str">
        <f t="shared" si="563"/>
        <v>1 - 1</v>
      </c>
      <c r="O1758" t="str">
        <f t="shared" si="566"/>
        <v>Red</v>
      </c>
      <c r="P1758" t="str">
        <f t="shared" si="567"/>
        <v>Green</v>
      </c>
      <c r="Q1758" t="str">
        <f t="shared" si="568"/>
        <v>Red</v>
      </c>
      <c r="R1758" t="str">
        <f t="shared" si="569"/>
        <v>Green</v>
      </c>
      <c r="S1758" t="str">
        <f t="shared" si="570"/>
        <v>Green</v>
      </c>
      <c r="T1758" t="str">
        <f t="shared" si="571"/>
        <v>Red</v>
      </c>
      <c r="U1758" t="str">
        <f t="shared" si="572"/>
        <v>Red</v>
      </c>
      <c r="V1758" t="str">
        <f t="shared" si="573"/>
        <v>Red</v>
      </c>
      <c r="W1758" t="str">
        <f t="shared" si="574"/>
        <v>Green</v>
      </c>
      <c r="X1758" t="str">
        <f t="shared" si="575"/>
        <v>Green</v>
      </c>
      <c r="Y1758" t="str">
        <f t="shared" si="576"/>
        <v>Green</v>
      </c>
      <c r="Z1758" t="str">
        <f t="shared" si="577"/>
        <v>Red</v>
      </c>
      <c r="AA1758" t="str">
        <f t="shared" si="578"/>
        <v>Green</v>
      </c>
      <c r="AB1758" t="str">
        <f t="shared" si="579"/>
        <v>Green</v>
      </c>
      <c r="AC1758" t="str">
        <f t="shared" si="580"/>
        <v>Green</v>
      </c>
      <c r="AD1758" t="str">
        <f t="shared" si="581"/>
        <v>Red</v>
      </c>
    </row>
    <row r="1759" spans="1:30" x14ac:dyDescent="0.2">
      <c r="A1759" t="str">
        <f t="shared" si="560"/>
        <v>25/07/2026Phoenix Rising FCHartford Athletic</v>
      </c>
      <c r="D1759" s="2">
        <v>46229</v>
      </c>
      <c r="E1759" s="3">
        <v>0.10416666666666667</v>
      </c>
      <c r="F1759" t="s">
        <v>798</v>
      </c>
      <c r="G1759" t="s">
        <v>799</v>
      </c>
      <c r="H1759">
        <v>0</v>
      </c>
      <c r="I1759">
        <v>0</v>
      </c>
      <c r="J1759">
        <v>0</v>
      </c>
      <c r="K1759">
        <v>0</v>
      </c>
      <c r="L1759" s="30" t="str">
        <f t="shared" si="564"/>
        <v>25/07/2026</v>
      </c>
      <c r="M1759" s="31">
        <f t="shared" si="565"/>
        <v>0.97916666666666674</v>
      </c>
      <c r="N1759" t="str">
        <f t="shared" si="563"/>
        <v>0 - 0</v>
      </c>
      <c r="O1759" t="str">
        <f t="shared" si="566"/>
        <v>Red</v>
      </c>
      <c r="P1759" t="str">
        <f t="shared" si="567"/>
        <v>Green</v>
      </c>
      <c r="Q1759" t="str">
        <f t="shared" si="568"/>
        <v>Red</v>
      </c>
      <c r="R1759" t="str">
        <f t="shared" si="569"/>
        <v>Green</v>
      </c>
      <c r="S1759" t="str">
        <f t="shared" si="570"/>
        <v>Green</v>
      </c>
      <c r="T1759" t="str">
        <f t="shared" si="571"/>
        <v>Red</v>
      </c>
      <c r="U1759" t="str">
        <f t="shared" si="572"/>
        <v>Red</v>
      </c>
      <c r="V1759" t="str">
        <f t="shared" si="573"/>
        <v>Green</v>
      </c>
      <c r="W1759" t="str">
        <f t="shared" si="574"/>
        <v>Red</v>
      </c>
      <c r="X1759" t="str">
        <f t="shared" si="575"/>
        <v>Red</v>
      </c>
      <c r="Y1759" t="str">
        <f t="shared" si="576"/>
        <v>Red</v>
      </c>
      <c r="Z1759" t="str">
        <f t="shared" si="577"/>
        <v>Red</v>
      </c>
      <c r="AA1759" t="str">
        <f t="shared" si="578"/>
        <v>Green</v>
      </c>
      <c r="AB1759" t="str">
        <f t="shared" si="579"/>
        <v>Green</v>
      </c>
      <c r="AC1759" t="str">
        <f t="shared" si="580"/>
        <v>Red</v>
      </c>
      <c r="AD1759" t="str">
        <f t="shared" si="581"/>
        <v>Green</v>
      </c>
    </row>
    <row r="1760" spans="1:30" x14ac:dyDescent="0.2">
      <c r="A1760" t="str">
        <f t="shared" si="560"/>
        <v>25/07/2026Edgeworth FCHamilton Olympic</v>
      </c>
      <c r="B1760" t="s">
        <v>810</v>
      </c>
      <c r="C1760" t="s">
        <v>893</v>
      </c>
      <c r="D1760" s="2">
        <v>46229</v>
      </c>
      <c r="E1760" s="3">
        <v>0.125</v>
      </c>
      <c r="F1760" t="s">
        <v>2804</v>
      </c>
      <c r="G1760" t="s">
        <v>894</v>
      </c>
      <c r="H1760">
        <v>1</v>
      </c>
      <c r="I1760">
        <v>0</v>
      </c>
      <c r="J1760">
        <v>2</v>
      </c>
      <c r="K1760">
        <v>0</v>
      </c>
      <c r="L1760" s="22" t="str">
        <f t="shared" si="561"/>
        <v>26/07/2026</v>
      </c>
      <c r="M1760" s="23">
        <f t="shared" si="562"/>
        <v>0</v>
      </c>
      <c r="N1760" t="str">
        <f t="shared" si="563"/>
        <v>2 - 0</v>
      </c>
      <c r="O1760" t="str">
        <f t="shared" si="566"/>
        <v>Green</v>
      </c>
      <c r="P1760" t="str">
        <f t="shared" si="567"/>
        <v>Red</v>
      </c>
      <c r="Q1760" t="str">
        <f t="shared" si="568"/>
        <v>Red</v>
      </c>
      <c r="R1760" t="str">
        <f t="shared" si="569"/>
        <v>Green</v>
      </c>
      <c r="S1760" t="str">
        <f t="shared" si="570"/>
        <v>Red</v>
      </c>
      <c r="T1760" t="str">
        <f t="shared" si="571"/>
        <v>Green</v>
      </c>
      <c r="U1760" t="str">
        <f t="shared" si="572"/>
        <v>Green</v>
      </c>
      <c r="V1760" t="str">
        <f t="shared" si="573"/>
        <v>Red</v>
      </c>
      <c r="W1760" t="str">
        <f t="shared" si="574"/>
        <v>Red</v>
      </c>
      <c r="X1760" t="str">
        <f t="shared" si="575"/>
        <v>Green</v>
      </c>
      <c r="Y1760" t="str">
        <f t="shared" si="576"/>
        <v>Green</v>
      </c>
      <c r="Z1760" t="str">
        <f t="shared" si="577"/>
        <v>Red</v>
      </c>
      <c r="AA1760" t="str">
        <f t="shared" si="578"/>
        <v>Green</v>
      </c>
      <c r="AB1760" t="str">
        <f t="shared" si="579"/>
        <v>Green</v>
      </c>
      <c r="AC1760" t="str">
        <f t="shared" si="580"/>
        <v>Red</v>
      </c>
      <c r="AD1760" t="str">
        <f t="shared" si="581"/>
        <v>Green</v>
      </c>
    </row>
    <row r="1761" spans="1:30" x14ac:dyDescent="0.2">
      <c r="A1761" t="str">
        <f t="shared" si="560"/>
        <v>26/07/2026South CardiffDudley Redhead</v>
      </c>
      <c r="B1761" t="s">
        <v>810</v>
      </c>
      <c r="D1761" s="2">
        <v>46229</v>
      </c>
      <c r="E1761" s="3">
        <v>0.125</v>
      </c>
      <c r="F1761" t="s">
        <v>2888</v>
      </c>
      <c r="G1761" t="s">
        <v>2889</v>
      </c>
      <c r="H1761">
        <v>0</v>
      </c>
      <c r="I1761">
        <v>0</v>
      </c>
      <c r="J1761">
        <v>0</v>
      </c>
      <c r="K1761">
        <v>0</v>
      </c>
      <c r="L1761" s="22" t="str">
        <f t="shared" si="561"/>
        <v>26/07/2026</v>
      </c>
      <c r="M1761" s="23">
        <f t="shared" si="562"/>
        <v>0</v>
      </c>
      <c r="N1761" t="str">
        <f t="shared" si="563"/>
        <v>0 - 0</v>
      </c>
      <c r="O1761" t="str">
        <f t="shared" si="566"/>
        <v>Red</v>
      </c>
      <c r="P1761" t="str">
        <f t="shared" si="567"/>
        <v>Green</v>
      </c>
      <c r="Q1761" t="str">
        <f t="shared" si="568"/>
        <v>Red</v>
      </c>
      <c r="R1761" t="str">
        <f t="shared" si="569"/>
        <v>Green</v>
      </c>
      <c r="S1761" t="str">
        <f t="shared" si="570"/>
        <v>Green</v>
      </c>
      <c r="T1761" t="str">
        <f t="shared" si="571"/>
        <v>Red</v>
      </c>
      <c r="U1761" t="str">
        <f t="shared" si="572"/>
        <v>Red</v>
      </c>
      <c r="V1761" t="str">
        <f t="shared" si="573"/>
        <v>Green</v>
      </c>
      <c r="W1761" t="str">
        <f t="shared" si="574"/>
        <v>Red</v>
      </c>
      <c r="X1761" t="str">
        <f t="shared" si="575"/>
        <v>Red</v>
      </c>
      <c r="Y1761" t="str">
        <f t="shared" si="576"/>
        <v>Red</v>
      </c>
      <c r="Z1761" t="str">
        <f t="shared" si="577"/>
        <v>Red</v>
      </c>
      <c r="AA1761" t="str">
        <f t="shared" si="578"/>
        <v>Green</v>
      </c>
      <c r="AB1761" t="str">
        <f t="shared" si="579"/>
        <v>Green</v>
      </c>
      <c r="AC1761" t="str">
        <f t="shared" si="580"/>
        <v>Red</v>
      </c>
      <c r="AD1761" t="str">
        <f t="shared" si="581"/>
        <v>Green</v>
      </c>
    </row>
    <row r="1762" spans="1:30" x14ac:dyDescent="0.2">
      <c r="A1762" t="str">
        <f t="shared" si="560"/>
        <v>26/07/2026West Wallsend SCToronto Awaba FC</v>
      </c>
      <c r="B1762" t="s">
        <v>810</v>
      </c>
      <c r="D1762" s="2">
        <v>46229</v>
      </c>
      <c r="E1762" s="3">
        <v>0.125</v>
      </c>
      <c r="F1762" t="s">
        <v>2890</v>
      </c>
      <c r="G1762" t="s">
        <v>2891</v>
      </c>
      <c r="H1762">
        <v>0</v>
      </c>
      <c r="I1762">
        <v>0</v>
      </c>
      <c r="J1762">
        <v>0</v>
      </c>
      <c r="K1762">
        <v>2</v>
      </c>
      <c r="L1762" s="22" t="str">
        <f t="shared" si="561"/>
        <v>26/07/2026</v>
      </c>
      <c r="M1762" s="23">
        <f t="shared" si="562"/>
        <v>0</v>
      </c>
      <c r="N1762" t="str">
        <f t="shared" si="563"/>
        <v>0 - 2</v>
      </c>
      <c r="O1762" t="str">
        <f t="shared" si="566"/>
        <v>Red</v>
      </c>
      <c r="P1762" t="str">
        <f t="shared" si="567"/>
        <v>Red</v>
      </c>
      <c r="Q1762" t="str">
        <f t="shared" si="568"/>
        <v>Green</v>
      </c>
      <c r="R1762" t="str">
        <f t="shared" si="569"/>
        <v>Red</v>
      </c>
      <c r="S1762" t="str">
        <f t="shared" si="570"/>
        <v>Green</v>
      </c>
      <c r="T1762" t="str">
        <f t="shared" si="571"/>
        <v>Green</v>
      </c>
      <c r="U1762" t="str">
        <f t="shared" si="572"/>
        <v>Red</v>
      </c>
      <c r="V1762" t="str">
        <f t="shared" si="573"/>
        <v>Green</v>
      </c>
      <c r="W1762" t="str">
        <f t="shared" si="574"/>
        <v>Red</v>
      </c>
      <c r="X1762" t="str">
        <f t="shared" si="575"/>
        <v>Red</v>
      </c>
      <c r="Y1762" t="str">
        <f t="shared" si="576"/>
        <v>Green</v>
      </c>
      <c r="Z1762" t="str">
        <f t="shared" si="577"/>
        <v>Red</v>
      </c>
      <c r="AA1762" t="str">
        <f t="shared" si="578"/>
        <v>Green</v>
      </c>
      <c r="AB1762" t="str">
        <f t="shared" si="579"/>
        <v>Green</v>
      </c>
      <c r="AC1762" t="str">
        <f t="shared" si="580"/>
        <v>Red</v>
      </c>
      <c r="AD1762" t="str">
        <f t="shared" si="581"/>
        <v>Green</v>
      </c>
    </row>
    <row r="1763" spans="1:30" x14ac:dyDescent="0.2">
      <c r="A1763" t="str">
        <f t="shared" si="560"/>
        <v>26/07/2026Wallsend FC ReservesCessnock City Reserves</v>
      </c>
      <c r="B1763" t="s">
        <v>810</v>
      </c>
      <c r="D1763" s="2">
        <v>46229</v>
      </c>
      <c r="E1763" s="3">
        <v>0.125</v>
      </c>
      <c r="F1763" t="s">
        <v>2892</v>
      </c>
      <c r="G1763" t="s">
        <v>2893</v>
      </c>
      <c r="H1763">
        <v>2</v>
      </c>
      <c r="I1763">
        <v>0</v>
      </c>
      <c r="J1763">
        <v>5</v>
      </c>
      <c r="K1763">
        <v>1</v>
      </c>
      <c r="L1763" s="22" t="str">
        <f t="shared" si="561"/>
        <v>26/07/2026</v>
      </c>
      <c r="M1763" s="23">
        <f t="shared" si="562"/>
        <v>0</v>
      </c>
      <c r="N1763" t="str">
        <f t="shared" si="563"/>
        <v>5 - 1</v>
      </c>
      <c r="O1763" t="str">
        <f t="shared" si="566"/>
        <v>Green</v>
      </c>
      <c r="P1763" t="str">
        <f t="shared" si="567"/>
        <v>Red</v>
      </c>
      <c r="Q1763" t="str">
        <f t="shared" si="568"/>
        <v>Red</v>
      </c>
      <c r="R1763" t="str">
        <f t="shared" si="569"/>
        <v>Green</v>
      </c>
      <c r="S1763" t="str">
        <f t="shared" si="570"/>
        <v>Red</v>
      </c>
      <c r="T1763" t="str">
        <f t="shared" si="571"/>
        <v>Green</v>
      </c>
      <c r="U1763" t="str">
        <f t="shared" si="572"/>
        <v>Green</v>
      </c>
      <c r="V1763" t="str">
        <f t="shared" si="573"/>
        <v>Red</v>
      </c>
      <c r="W1763" t="str">
        <f t="shared" si="574"/>
        <v>Red</v>
      </c>
      <c r="X1763" t="str">
        <f t="shared" si="575"/>
        <v>Green</v>
      </c>
      <c r="Y1763" t="str">
        <f t="shared" si="576"/>
        <v>Green</v>
      </c>
      <c r="Z1763" t="str">
        <f t="shared" si="577"/>
        <v>Green</v>
      </c>
      <c r="AA1763" t="str">
        <f t="shared" si="578"/>
        <v>Red</v>
      </c>
      <c r="AB1763" t="str">
        <f t="shared" si="579"/>
        <v>Red</v>
      </c>
      <c r="AC1763" t="str">
        <f t="shared" si="580"/>
        <v>Green</v>
      </c>
      <c r="AD1763" t="str">
        <f t="shared" si="581"/>
        <v>Red</v>
      </c>
    </row>
    <row r="1764" spans="1:30" x14ac:dyDescent="0.2">
      <c r="A1764" t="str">
        <f t="shared" si="560"/>
        <v>26/07/2026West Wallsend SC ReservesToronto Awaba FC Reserves</v>
      </c>
      <c r="B1764" t="s">
        <v>810</v>
      </c>
      <c r="D1764" s="2">
        <v>46229</v>
      </c>
      <c r="E1764" s="3">
        <v>0.125</v>
      </c>
      <c r="F1764" t="s">
        <v>2894</v>
      </c>
      <c r="G1764" t="s">
        <v>2895</v>
      </c>
      <c r="L1764" s="22" t="str">
        <f t="shared" si="561"/>
        <v>26/07/2026</v>
      </c>
      <c r="M1764" s="23">
        <f t="shared" si="562"/>
        <v>0</v>
      </c>
      <c r="N1764" t="str">
        <f t="shared" si="563"/>
        <v xml:space="preserve"> - </v>
      </c>
      <c r="O1764" t="str">
        <f t="shared" si="566"/>
        <v>Red</v>
      </c>
      <c r="P1764" t="str">
        <f t="shared" si="567"/>
        <v>Green</v>
      </c>
      <c r="Q1764" t="str">
        <f t="shared" si="568"/>
        <v>Red</v>
      </c>
      <c r="R1764" t="str">
        <f t="shared" si="569"/>
        <v>Green</v>
      </c>
      <c r="S1764" t="str">
        <f t="shared" si="570"/>
        <v>Green</v>
      </c>
      <c r="T1764" t="str">
        <f t="shared" si="571"/>
        <v>Red</v>
      </c>
      <c r="U1764" t="str">
        <f t="shared" si="572"/>
        <v>Red</v>
      </c>
      <c r="V1764" t="str">
        <f t="shared" si="573"/>
        <v>Green</v>
      </c>
      <c r="W1764" t="str">
        <f t="shared" si="574"/>
        <v>Red</v>
      </c>
      <c r="X1764" t="str">
        <f t="shared" si="575"/>
        <v>Red</v>
      </c>
      <c r="Y1764" t="str">
        <f t="shared" si="576"/>
        <v>Red</v>
      </c>
      <c r="Z1764" t="str">
        <f t="shared" si="577"/>
        <v>Red</v>
      </c>
      <c r="AA1764" t="str">
        <f t="shared" si="578"/>
        <v>Green</v>
      </c>
      <c r="AB1764" t="str">
        <f t="shared" si="579"/>
        <v>Green</v>
      </c>
      <c r="AC1764" t="str">
        <f t="shared" si="580"/>
        <v>Red</v>
      </c>
      <c r="AD1764" t="str">
        <f t="shared" si="581"/>
        <v>Green</v>
      </c>
    </row>
    <row r="1765" spans="1:30" x14ac:dyDescent="0.2">
      <c r="A1765" t="str">
        <f t="shared" si="560"/>
        <v>26/07/2026Kahibah FC ReservesBelmont Swansea United SC Reserves</v>
      </c>
      <c r="B1765" t="s">
        <v>810</v>
      </c>
      <c r="D1765" s="2">
        <v>46229</v>
      </c>
      <c r="E1765" s="3">
        <v>0.125</v>
      </c>
      <c r="F1765" t="s">
        <v>897</v>
      </c>
      <c r="G1765" t="s">
        <v>387</v>
      </c>
      <c r="L1765" s="22" t="str">
        <f t="shared" si="561"/>
        <v>26/07/2026</v>
      </c>
      <c r="M1765" s="23">
        <f t="shared" si="562"/>
        <v>0</v>
      </c>
      <c r="N1765" t="str">
        <f t="shared" si="563"/>
        <v xml:space="preserve"> - </v>
      </c>
      <c r="O1765" t="str">
        <f t="shared" si="566"/>
        <v>Red</v>
      </c>
      <c r="P1765" t="str">
        <f t="shared" si="567"/>
        <v>Green</v>
      </c>
      <c r="Q1765" t="str">
        <f t="shared" si="568"/>
        <v>Red</v>
      </c>
      <c r="R1765" t="str">
        <f t="shared" si="569"/>
        <v>Green</v>
      </c>
      <c r="S1765" t="str">
        <f t="shared" si="570"/>
        <v>Green</v>
      </c>
      <c r="T1765" t="str">
        <f t="shared" si="571"/>
        <v>Red</v>
      </c>
      <c r="U1765" t="str">
        <f t="shared" si="572"/>
        <v>Red</v>
      </c>
      <c r="V1765" t="str">
        <f t="shared" si="573"/>
        <v>Green</v>
      </c>
      <c r="W1765" t="str">
        <f t="shared" si="574"/>
        <v>Red</v>
      </c>
      <c r="X1765" t="str">
        <f t="shared" si="575"/>
        <v>Red</v>
      </c>
      <c r="Y1765" t="str">
        <f t="shared" si="576"/>
        <v>Red</v>
      </c>
      <c r="Z1765" t="str">
        <f t="shared" si="577"/>
        <v>Red</v>
      </c>
      <c r="AA1765" t="str">
        <f t="shared" si="578"/>
        <v>Green</v>
      </c>
      <c r="AB1765" t="str">
        <f t="shared" si="579"/>
        <v>Green</v>
      </c>
      <c r="AC1765" t="str">
        <f t="shared" si="580"/>
        <v>Red</v>
      </c>
      <c r="AD1765" t="str">
        <f t="shared" si="581"/>
        <v>Green</v>
      </c>
    </row>
    <row r="1766" spans="1:30" x14ac:dyDescent="0.2">
      <c r="A1766" t="str">
        <f t="shared" si="560"/>
        <v>26/07/2026Newcastle Olympic WomenBroadmeadow Magic Women</v>
      </c>
      <c r="B1766" t="s">
        <v>810</v>
      </c>
      <c r="D1766" s="2">
        <v>46229</v>
      </c>
      <c r="E1766" s="3">
        <v>0.125</v>
      </c>
      <c r="F1766" t="s">
        <v>2949</v>
      </c>
      <c r="G1766" t="s">
        <v>2950</v>
      </c>
      <c r="H1766">
        <v>0</v>
      </c>
      <c r="I1766">
        <v>2</v>
      </c>
      <c r="J1766">
        <v>0</v>
      </c>
      <c r="K1766">
        <v>6</v>
      </c>
      <c r="L1766" s="22" t="str">
        <f t="shared" si="561"/>
        <v>26/07/2026</v>
      </c>
      <c r="M1766" s="23">
        <f t="shared" si="562"/>
        <v>0</v>
      </c>
      <c r="N1766" t="str">
        <f t="shared" si="563"/>
        <v>0 - 6</v>
      </c>
      <c r="O1766" t="str">
        <f t="shared" si="566"/>
        <v>Red</v>
      </c>
      <c r="P1766" t="str">
        <f t="shared" si="567"/>
        <v>Red</v>
      </c>
      <c r="Q1766" t="str">
        <f t="shared" si="568"/>
        <v>Green</v>
      </c>
      <c r="R1766" t="str">
        <f t="shared" si="569"/>
        <v>Red</v>
      </c>
      <c r="S1766" t="str">
        <f t="shared" si="570"/>
        <v>Green</v>
      </c>
      <c r="T1766" t="str">
        <f t="shared" si="571"/>
        <v>Green</v>
      </c>
      <c r="U1766" t="str">
        <f t="shared" si="572"/>
        <v>Red</v>
      </c>
      <c r="V1766" t="str">
        <f t="shared" si="573"/>
        <v>Red</v>
      </c>
      <c r="W1766" t="str">
        <f t="shared" si="574"/>
        <v>Green</v>
      </c>
      <c r="X1766" t="str">
        <f t="shared" si="575"/>
        <v>Green</v>
      </c>
      <c r="Y1766" t="str">
        <f t="shared" si="576"/>
        <v>Green</v>
      </c>
      <c r="Z1766" t="str">
        <f t="shared" si="577"/>
        <v>Green</v>
      </c>
      <c r="AA1766" t="str">
        <f t="shared" si="578"/>
        <v>Red</v>
      </c>
      <c r="AB1766" t="str">
        <f t="shared" si="579"/>
        <v>Red</v>
      </c>
      <c r="AC1766" t="str">
        <f t="shared" si="580"/>
        <v>Red</v>
      </c>
      <c r="AD1766" t="str">
        <f t="shared" si="581"/>
        <v>Green</v>
      </c>
    </row>
    <row r="1767" spans="1:30" x14ac:dyDescent="0.2">
      <c r="A1767" t="str">
        <f t="shared" si="560"/>
        <v>26/07/2026Rockdale City Suns U20Sutherland Sharks U20</v>
      </c>
      <c r="B1767" t="s">
        <v>810</v>
      </c>
      <c r="D1767" s="2">
        <v>46229</v>
      </c>
      <c r="E1767" s="3">
        <v>0.125</v>
      </c>
      <c r="F1767" t="s">
        <v>2985</v>
      </c>
      <c r="G1767" t="s">
        <v>2986</v>
      </c>
      <c r="H1767">
        <v>1</v>
      </c>
      <c r="I1767">
        <v>0</v>
      </c>
      <c r="J1767">
        <v>1</v>
      </c>
      <c r="K1767">
        <v>2</v>
      </c>
      <c r="L1767" s="22" t="str">
        <f t="shared" si="561"/>
        <v>26/07/2026</v>
      </c>
      <c r="M1767" s="23">
        <f t="shared" si="562"/>
        <v>0</v>
      </c>
      <c r="N1767" t="str">
        <f t="shared" si="563"/>
        <v>1 - 2</v>
      </c>
      <c r="O1767" t="str">
        <f t="shared" si="566"/>
        <v>Red</v>
      </c>
      <c r="P1767" t="str">
        <f t="shared" si="567"/>
        <v>Red</v>
      </c>
      <c r="Q1767" t="str">
        <f t="shared" si="568"/>
        <v>Green</v>
      </c>
      <c r="R1767" t="str">
        <f t="shared" si="569"/>
        <v>Red</v>
      </c>
      <c r="S1767" t="str">
        <f t="shared" si="570"/>
        <v>Green</v>
      </c>
      <c r="T1767" t="str">
        <f t="shared" si="571"/>
        <v>Green</v>
      </c>
      <c r="U1767" t="str">
        <f t="shared" si="572"/>
        <v>Green</v>
      </c>
      <c r="V1767" t="str">
        <f t="shared" si="573"/>
        <v>Red</v>
      </c>
      <c r="W1767" t="str">
        <f t="shared" si="574"/>
        <v>Red</v>
      </c>
      <c r="X1767" t="str">
        <f t="shared" si="575"/>
        <v>Green</v>
      </c>
      <c r="Y1767" t="str">
        <f t="shared" si="576"/>
        <v>Green</v>
      </c>
      <c r="Z1767" t="str">
        <f t="shared" si="577"/>
        <v>Green</v>
      </c>
      <c r="AA1767" t="str">
        <f t="shared" si="578"/>
        <v>Red</v>
      </c>
      <c r="AB1767" t="str">
        <f t="shared" si="579"/>
        <v>Green</v>
      </c>
      <c r="AC1767" t="str">
        <f t="shared" si="580"/>
        <v>Green</v>
      </c>
      <c r="AD1767" t="str">
        <f t="shared" si="581"/>
        <v>Red</v>
      </c>
    </row>
    <row r="1768" spans="1:30" x14ac:dyDescent="0.2">
      <c r="A1768" t="str">
        <f t="shared" si="560"/>
        <v>26/07/2026Wollongong Wolves U20Blacktown City U20</v>
      </c>
      <c r="B1768" t="s">
        <v>810</v>
      </c>
      <c r="D1768" s="2">
        <v>46229</v>
      </c>
      <c r="E1768" s="3">
        <v>0.125</v>
      </c>
      <c r="F1768" t="s">
        <v>2987</v>
      </c>
      <c r="G1768" t="s">
        <v>2988</v>
      </c>
      <c r="H1768">
        <v>0</v>
      </c>
      <c r="I1768">
        <v>1</v>
      </c>
      <c r="J1768">
        <v>0</v>
      </c>
      <c r="K1768">
        <v>2</v>
      </c>
      <c r="L1768" s="22" t="str">
        <f t="shared" si="561"/>
        <v>26/07/2026</v>
      </c>
      <c r="M1768" s="23">
        <f t="shared" si="562"/>
        <v>0</v>
      </c>
      <c r="N1768" t="str">
        <f t="shared" si="563"/>
        <v>0 - 2</v>
      </c>
      <c r="O1768" t="str">
        <f t="shared" si="566"/>
        <v>Red</v>
      </c>
      <c r="P1768" t="str">
        <f t="shared" si="567"/>
        <v>Red</v>
      </c>
      <c r="Q1768" t="str">
        <f t="shared" si="568"/>
        <v>Green</v>
      </c>
      <c r="R1768" t="str">
        <f t="shared" si="569"/>
        <v>Red</v>
      </c>
      <c r="S1768" t="str">
        <f t="shared" si="570"/>
        <v>Green</v>
      </c>
      <c r="T1768" t="str">
        <f t="shared" si="571"/>
        <v>Green</v>
      </c>
      <c r="U1768" t="str">
        <f t="shared" si="572"/>
        <v>Red</v>
      </c>
      <c r="V1768" t="str">
        <f t="shared" si="573"/>
        <v>Red</v>
      </c>
      <c r="W1768" t="str">
        <f t="shared" si="574"/>
        <v>Green</v>
      </c>
      <c r="X1768" t="str">
        <f t="shared" si="575"/>
        <v>Green</v>
      </c>
      <c r="Y1768" t="str">
        <f t="shared" si="576"/>
        <v>Green</v>
      </c>
      <c r="Z1768" t="str">
        <f t="shared" si="577"/>
        <v>Red</v>
      </c>
      <c r="AA1768" t="str">
        <f t="shared" si="578"/>
        <v>Green</v>
      </c>
      <c r="AB1768" t="str">
        <f t="shared" si="579"/>
        <v>Green</v>
      </c>
      <c r="AC1768" t="str">
        <f t="shared" si="580"/>
        <v>Red</v>
      </c>
      <c r="AD1768" t="str">
        <f t="shared" si="581"/>
        <v>Green</v>
      </c>
    </row>
    <row r="1769" spans="1:30" x14ac:dyDescent="0.2">
      <c r="A1769" t="str">
        <f t="shared" si="560"/>
        <v>26/07/2026Santos LagunaClub Atlas</v>
      </c>
      <c r="D1769" s="2">
        <v>46229</v>
      </c>
      <c r="E1769" s="3">
        <v>0.125</v>
      </c>
      <c r="F1769" t="s">
        <v>3408</v>
      </c>
      <c r="G1769" t="s">
        <v>3409</v>
      </c>
      <c r="H1769">
        <v>0</v>
      </c>
      <c r="I1769">
        <v>0</v>
      </c>
      <c r="J1769">
        <v>0</v>
      </c>
      <c r="K1769">
        <v>1</v>
      </c>
      <c r="L1769" s="22" t="str">
        <f t="shared" si="561"/>
        <v>26/07/2026</v>
      </c>
      <c r="M1769" s="23">
        <f t="shared" si="562"/>
        <v>0</v>
      </c>
      <c r="N1769" t="str">
        <f t="shared" si="563"/>
        <v>0 - 1</v>
      </c>
      <c r="O1769" t="str">
        <f t="shared" si="566"/>
        <v>Red</v>
      </c>
      <c r="P1769" t="str">
        <f t="shared" si="567"/>
        <v>Red</v>
      </c>
      <c r="Q1769" t="str">
        <f t="shared" si="568"/>
        <v>Green</v>
      </c>
      <c r="R1769" t="str">
        <f t="shared" si="569"/>
        <v>Red</v>
      </c>
      <c r="S1769" t="str">
        <f t="shared" si="570"/>
        <v>Green</v>
      </c>
      <c r="T1769" t="str">
        <f t="shared" si="571"/>
        <v>Green</v>
      </c>
      <c r="U1769" t="str">
        <f t="shared" si="572"/>
        <v>Red</v>
      </c>
      <c r="V1769" t="str">
        <f t="shared" si="573"/>
        <v>Green</v>
      </c>
      <c r="W1769" t="str">
        <f t="shared" si="574"/>
        <v>Red</v>
      </c>
      <c r="X1769" t="str">
        <f t="shared" si="575"/>
        <v>Red</v>
      </c>
      <c r="Y1769" t="str">
        <f t="shared" si="576"/>
        <v>Red</v>
      </c>
      <c r="Z1769" t="str">
        <f t="shared" si="577"/>
        <v>Red</v>
      </c>
      <c r="AA1769" t="str">
        <f t="shared" si="578"/>
        <v>Green</v>
      </c>
      <c r="AB1769" t="str">
        <f t="shared" si="579"/>
        <v>Green</v>
      </c>
      <c r="AC1769" t="str">
        <f t="shared" si="580"/>
        <v>Red</v>
      </c>
      <c r="AD1769" t="str">
        <f t="shared" si="581"/>
        <v>Green</v>
      </c>
    </row>
    <row r="1770" spans="1:30" x14ac:dyDescent="0.2">
      <c r="A1770" t="str">
        <f t="shared" si="560"/>
        <v>26/07/2026Tigres UANLAtletico San Luis</v>
      </c>
      <c r="D1770" s="2">
        <v>46229</v>
      </c>
      <c r="E1770" s="3">
        <v>0.125</v>
      </c>
      <c r="F1770" t="s">
        <v>933</v>
      </c>
      <c r="G1770" t="s">
        <v>3410</v>
      </c>
      <c r="H1770">
        <v>1</v>
      </c>
      <c r="I1770">
        <v>1</v>
      </c>
      <c r="J1770">
        <v>2</v>
      </c>
      <c r="K1770">
        <v>2</v>
      </c>
      <c r="L1770" s="22" t="str">
        <f t="shared" si="561"/>
        <v>26/07/2026</v>
      </c>
      <c r="M1770" s="23">
        <f t="shared" si="562"/>
        <v>0</v>
      </c>
      <c r="N1770" t="str">
        <f t="shared" si="563"/>
        <v>2 - 2</v>
      </c>
      <c r="O1770" t="str">
        <f t="shared" si="566"/>
        <v>Red</v>
      </c>
      <c r="P1770" t="str">
        <f t="shared" si="567"/>
        <v>Green</v>
      </c>
      <c r="Q1770" t="str">
        <f t="shared" si="568"/>
        <v>Red</v>
      </c>
      <c r="R1770" t="str">
        <f t="shared" si="569"/>
        <v>Green</v>
      </c>
      <c r="S1770" t="str">
        <f t="shared" si="570"/>
        <v>Green</v>
      </c>
      <c r="T1770" t="str">
        <f t="shared" si="571"/>
        <v>Red</v>
      </c>
      <c r="U1770" t="str">
        <f t="shared" si="572"/>
        <v>Red</v>
      </c>
      <c r="V1770" t="str">
        <f t="shared" si="573"/>
        <v>Green</v>
      </c>
      <c r="W1770" t="str">
        <f t="shared" si="574"/>
        <v>Red</v>
      </c>
      <c r="X1770" t="str">
        <f t="shared" si="575"/>
        <v>Green</v>
      </c>
      <c r="Y1770" t="str">
        <f t="shared" si="576"/>
        <v>Green</v>
      </c>
      <c r="Z1770" t="str">
        <f t="shared" si="577"/>
        <v>Green</v>
      </c>
      <c r="AA1770" t="str">
        <f t="shared" si="578"/>
        <v>Red</v>
      </c>
      <c r="AB1770" t="str">
        <f t="shared" si="579"/>
        <v>Red</v>
      </c>
      <c r="AC1770" t="str">
        <f t="shared" si="580"/>
        <v>Green</v>
      </c>
      <c r="AD1770" t="str">
        <f t="shared" si="581"/>
        <v>Red</v>
      </c>
    </row>
    <row r="1771" spans="1:30" x14ac:dyDescent="0.2">
      <c r="A1771" t="str">
        <f t="shared" si="560"/>
        <v>26/07/2026AV AltaWestchester SC</v>
      </c>
      <c r="D1771" s="2">
        <v>46229</v>
      </c>
      <c r="E1771" s="3">
        <v>0.125</v>
      </c>
      <c r="F1771" t="s">
        <v>3713</v>
      </c>
      <c r="G1771" t="s">
        <v>1874</v>
      </c>
      <c r="H1771">
        <v>0</v>
      </c>
      <c r="I1771">
        <v>0</v>
      </c>
      <c r="J1771">
        <v>0</v>
      </c>
      <c r="K1771">
        <v>0</v>
      </c>
      <c r="L1771" s="22" t="str">
        <f t="shared" si="561"/>
        <v>26/07/2026</v>
      </c>
      <c r="M1771" s="23">
        <f t="shared" si="562"/>
        <v>0</v>
      </c>
      <c r="N1771" t="str">
        <f t="shared" si="563"/>
        <v>0 - 0</v>
      </c>
      <c r="O1771" t="str">
        <f t="shared" si="566"/>
        <v>Red</v>
      </c>
      <c r="P1771" t="str">
        <f t="shared" si="567"/>
        <v>Green</v>
      </c>
      <c r="Q1771" t="str">
        <f t="shared" si="568"/>
        <v>Red</v>
      </c>
      <c r="R1771" t="str">
        <f t="shared" si="569"/>
        <v>Green</v>
      </c>
      <c r="S1771" t="str">
        <f t="shared" si="570"/>
        <v>Green</v>
      </c>
      <c r="T1771" t="str">
        <f t="shared" si="571"/>
        <v>Red</v>
      </c>
      <c r="U1771" t="str">
        <f t="shared" si="572"/>
        <v>Red</v>
      </c>
      <c r="V1771" t="str">
        <f t="shared" si="573"/>
        <v>Green</v>
      </c>
      <c r="W1771" t="str">
        <f t="shared" si="574"/>
        <v>Red</v>
      </c>
      <c r="X1771" t="str">
        <f t="shared" si="575"/>
        <v>Red</v>
      </c>
      <c r="Y1771" t="str">
        <f t="shared" si="576"/>
        <v>Red</v>
      </c>
      <c r="Z1771" t="str">
        <f t="shared" si="577"/>
        <v>Red</v>
      </c>
      <c r="AA1771" t="str">
        <f t="shared" si="578"/>
        <v>Green</v>
      </c>
      <c r="AB1771" t="str">
        <f t="shared" si="579"/>
        <v>Green</v>
      </c>
      <c r="AC1771" t="str">
        <f t="shared" si="580"/>
        <v>Red</v>
      </c>
      <c r="AD1771" t="str">
        <f t="shared" si="581"/>
        <v>Green</v>
      </c>
    </row>
    <row r="1772" spans="1:30" x14ac:dyDescent="0.2">
      <c r="A1772" t="str">
        <f t="shared" si="560"/>
        <v>26/07/2026Auckland FCTottenham</v>
      </c>
      <c r="D1772" s="2">
        <v>46229</v>
      </c>
      <c r="E1772" s="3">
        <v>0.125</v>
      </c>
      <c r="F1772" t="s">
        <v>4016</v>
      </c>
      <c r="G1772" t="s">
        <v>1725</v>
      </c>
      <c r="H1772">
        <v>0</v>
      </c>
      <c r="I1772">
        <v>1</v>
      </c>
      <c r="J1772">
        <v>0</v>
      </c>
      <c r="K1772">
        <v>2</v>
      </c>
      <c r="L1772" s="22" t="str">
        <f t="shared" si="561"/>
        <v>26/07/2026</v>
      </c>
      <c r="M1772" s="23">
        <f t="shared" si="562"/>
        <v>0</v>
      </c>
      <c r="N1772" t="str">
        <f t="shared" si="563"/>
        <v>0 - 2</v>
      </c>
      <c r="O1772" t="str">
        <f t="shared" si="566"/>
        <v>Red</v>
      </c>
      <c r="P1772" t="str">
        <f t="shared" si="567"/>
        <v>Red</v>
      </c>
      <c r="Q1772" t="str">
        <f t="shared" si="568"/>
        <v>Green</v>
      </c>
      <c r="R1772" t="str">
        <f t="shared" si="569"/>
        <v>Red</v>
      </c>
      <c r="S1772" t="str">
        <f t="shared" si="570"/>
        <v>Green</v>
      </c>
      <c r="T1772" t="str">
        <f t="shared" si="571"/>
        <v>Green</v>
      </c>
      <c r="U1772" t="str">
        <f t="shared" si="572"/>
        <v>Red</v>
      </c>
      <c r="V1772" t="str">
        <f t="shared" si="573"/>
        <v>Red</v>
      </c>
      <c r="W1772" t="str">
        <f t="shared" si="574"/>
        <v>Green</v>
      </c>
      <c r="X1772" t="str">
        <f t="shared" si="575"/>
        <v>Green</v>
      </c>
      <c r="Y1772" t="str">
        <f t="shared" si="576"/>
        <v>Green</v>
      </c>
      <c r="Z1772" t="str">
        <f t="shared" si="577"/>
        <v>Red</v>
      </c>
      <c r="AA1772" t="str">
        <f t="shared" si="578"/>
        <v>Green</v>
      </c>
      <c r="AB1772" t="str">
        <f t="shared" si="579"/>
        <v>Green</v>
      </c>
      <c r="AC1772" t="str">
        <f t="shared" si="580"/>
        <v>Red</v>
      </c>
      <c r="AD1772" t="str">
        <f t="shared" si="581"/>
        <v>Green</v>
      </c>
    </row>
    <row r="1773" spans="1:30" x14ac:dyDescent="0.2">
      <c r="A1773" s="48"/>
      <c r="B1773" s="48"/>
      <c r="C1773" s="48"/>
      <c r="D1773" s="48"/>
      <c r="E1773" s="48"/>
    </row>
  </sheetData>
  <autoFilter ref="A1:AD1" xr:uid="{2F82443A-C45A-4803-B471-E97A0AB3DE22}"/>
  <sortState xmlns:xlrd2="http://schemas.microsoft.com/office/spreadsheetml/2017/richdata2" ref="A879:AD1773">
    <sortCondition ref="D879:D1773"/>
    <sortCondition ref="E879:E177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6C352-3DE9-4C93-A883-9D93887D916B}">
  <dimension ref="A1:E737"/>
  <sheetViews>
    <sheetView workbookViewId="0">
      <pane ySplit="1" topLeftCell="A315" activePane="bottomLeft" state="frozen"/>
      <selection pane="bottomLeft" activeCell="A656" sqref="A656"/>
    </sheetView>
  </sheetViews>
  <sheetFormatPr baseColWidth="10" defaultColWidth="8.83203125" defaultRowHeight="15" x14ac:dyDescent="0.2"/>
  <cols>
    <col min="1" max="2" width="22.5" bestFit="1" customWidth="1"/>
    <col min="5" max="5" width="20.33203125" style="1" bestFit="1" customWidth="1"/>
    <col min="7" max="8" width="23.5" bestFit="1" customWidth="1"/>
  </cols>
  <sheetData>
    <row r="1" spans="1:5" x14ac:dyDescent="0.2">
      <c r="A1" t="s">
        <v>2105</v>
      </c>
      <c r="B1" t="s">
        <v>2106</v>
      </c>
    </row>
    <row r="2" spans="1:5" x14ac:dyDescent="0.2">
      <c r="A2" t="s">
        <v>233</v>
      </c>
      <c r="B2" t="s">
        <v>397</v>
      </c>
      <c r="C2" t="str">
        <f>A2&amp;B2</f>
        <v>América-MGAmerica Mineiro</v>
      </c>
      <c r="E2"/>
    </row>
    <row r="3" spans="1:5" x14ac:dyDescent="0.2">
      <c r="A3" t="s">
        <v>230</v>
      </c>
      <c r="B3" t="s">
        <v>373</v>
      </c>
      <c r="C3" t="str">
        <f t="shared" ref="C3:C45" si="0">A3&amp;B3</f>
        <v>Atlético-MGAtletico Mineiro</v>
      </c>
      <c r="E3"/>
    </row>
    <row r="4" spans="1:5" x14ac:dyDescent="0.2">
      <c r="A4" t="s">
        <v>232</v>
      </c>
      <c r="B4" t="s">
        <v>396</v>
      </c>
      <c r="C4" t="str">
        <f t="shared" si="0"/>
        <v>AvaíAvai</v>
      </c>
      <c r="E4"/>
    </row>
    <row r="5" spans="1:5" x14ac:dyDescent="0.2">
      <c r="A5" t="s">
        <v>231</v>
      </c>
      <c r="B5" t="s">
        <v>231</v>
      </c>
      <c r="C5" t="str">
        <f t="shared" si="0"/>
        <v>BahiaBahia</v>
      </c>
      <c r="E5"/>
    </row>
    <row r="6" spans="1:5" x14ac:dyDescent="0.2">
      <c r="A6" t="s">
        <v>239</v>
      </c>
      <c r="B6" t="s">
        <v>432</v>
      </c>
      <c r="C6" t="str">
        <f t="shared" si="0"/>
        <v>Barcelona S.C.Barcelona SC</v>
      </c>
      <c r="E6"/>
    </row>
    <row r="7" spans="1:5" x14ac:dyDescent="0.2">
      <c r="A7" t="s">
        <v>31</v>
      </c>
      <c r="B7" t="s">
        <v>31</v>
      </c>
      <c r="C7" t="str">
        <f t="shared" si="0"/>
        <v>Bodo/GlimtBodo/Glimt</v>
      </c>
      <c r="E7"/>
    </row>
    <row r="8" spans="1:5" x14ac:dyDescent="0.2">
      <c r="A8" t="s">
        <v>263</v>
      </c>
      <c r="B8" t="s">
        <v>263</v>
      </c>
      <c r="C8" t="str">
        <f t="shared" si="0"/>
        <v>BreidablikBreidablik</v>
      </c>
      <c r="E8"/>
    </row>
    <row r="9" spans="1:5" x14ac:dyDescent="0.2">
      <c r="A9" t="s">
        <v>25</v>
      </c>
      <c r="B9" t="s">
        <v>1596</v>
      </c>
      <c r="C9" t="str">
        <f t="shared" si="0"/>
        <v>BucheonBucheon 1995</v>
      </c>
      <c r="E9"/>
    </row>
    <row r="10" spans="1:5" x14ac:dyDescent="0.2">
      <c r="A10" t="s">
        <v>214</v>
      </c>
      <c r="B10" t="s">
        <v>1335</v>
      </c>
      <c r="C10" t="str">
        <f t="shared" si="0"/>
        <v>Canberra JuventusGungahlin Juventus U23</v>
      </c>
      <c r="E10"/>
    </row>
    <row r="11" spans="1:5" x14ac:dyDescent="0.2">
      <c r="A11" t="s">
        <v>41</v>
      </c>
      <c r="B11" t="s">
        <v>912</v>
      </c>
      <c r="C11" t="str">
        <f t="shared" si="0"/>
        <v>CearáCeara</v>
      </c>
      <c r="E11"/>
    </row>
    <row r="12" spans="1:5" x14ac:dyDescent="0.2">
      <c r="A12" t="s">
        <v>228</v>
      </c>
      <c r="B12" t="s">
        <v>429</v>
      </c>
      <c r="C12" t="str">
        <f t="shared" si="0"/>
        <v>Club Atletico LibertadLibertad Loja</v>
      </c>
      <c r="E12"/>
    </row>
    <row r="13" spans="1:5" x14ac:dyDescent="0.2">
      <c r="A13" t="s">
        <v>39</v>
      </c>
      <c r="B13" t="s">
        <v>875</v>
      </c>
      <c r="C13" t="str">
        <f t="shared" si="0"/>
        <v>CoritibaCoritiba PR</v>
      </c>
      <c r="E13"/>
    </row>
    <row r="14" spans="1:5" x14ac:dyDescent="0.2">
      <c r="A14" t="s">
        <v>42</v>
      </c>
      <c r="B14" t="s">
        <v>913</v>
      </c>
      <c r="C14" t="str">
        <f t="shared" si="0"/>
        <v>CRBClube de Regatas Brasil</v>
      </c>
      <c r="E14"/>
    </row>
    <row r="15" spans="1:5" x14ac:dyDescent="0.2">
      <c r="A15" t="s">
        <v>235</v>
      </c>
      <c r="B15" t="s">
        <v>399</v>
      </c>
      <c r="C15" t="str">
        <f t="shared" si="0"/>
        <v>CriciúmaCriciuma</v>
      </c>
      <c r="E15"/>
    </row>
    <row r="16" spans="1:5" x14ac:dyDescent="0.2">
      <c r="A16" t="s">
        <v>68</v>
      </c>
      <c r="B16" t="s">
        <v>68</v>
      </c>
      <c r="C16" t="str">
        <f t="shared" si="0"/>
        <v>CruzeiroCruzeiro</v>
      </c>
      <c r="E16"/>
    </row>
    <row r="17" spans="1:5" x14ac:dyDescent="0.2">
      <c r="A17" t="s">
        <v>229</v>
      </c>
      <c r="B17" t="s">
        <v>430</v>
      </c>
      <c r="C17" t="str">
        <f t="shared" si="0"/>
        <v>DelfinDelfin SC</v>
      </c>
      <c r="E17"/>
    </row>
    <row r="18" spans="1:5" x14ac:dyDescent="0.2">
      <c r="A18" t="s">
        <v>226</v>
      </c>
      <c r="B18" t="s">
        <v>1418</v>
      </c>
      <c r="C18" t="str">
        <f t="shared" si="0"/>
        <v>Falkenbergs FFFalkenberg</v>
      </c>
      <c r="E18"/>
    </row>
    <row r="19" spans="1:5" x14ac:dyDescent="0.2">
      <c r="A19" t="s">
        <v>244</v>
      </c>
      <c r="B19" t="s">
        <v>296</v>
      </c>
      <c r="C19" t="str">
        <f t="shared" si="0"/>
        <v>FC IlvesIlves</v>
      </c>
      <c r="E19"/>
    </row>
    <row r="20" spans="1:5" x14ac:dyDescent="0.2">
      <c r="A20" t="s">
        <v>251</v>
      </c>
      <c r="B20" t="s">
        <v>251</v>
      </c>
      <c r="C20" t="str">
        <f t="shared" si="0"/>
        <v>FC LahtiFC Lahti</v>
      </c>
      <c r="E20"/>
    </row>
    <row r="21" spans="1:5" x14ac:dyDescent="0.2">
      <c r="A21" t="s">
        <v>27</v>
      </c>
      <c r="B21" t="s">
        <v>27</v>
      </c>
      <c r="C21" t="str">
        <f t="shared" si="0"/>
        <v>FC SeoulFC Seoul</v>
      </c>
      <c r="E21"/>
    </row>
    <row r="22" spans="1:5" x14ac:dyDescent="0.2">
      <c r="A22" t="s">
        <v>262</v>
      </c>
      <c r="B22" t="s">
        <v>293</v>
      </c>
      <c r="C22" t="str">
        <f t="shared" si="0"/>
        <v>FH HafnarfjordurHafnarfjordur</v>
      </c>
      <c r="E22"/>
    </row>
    <row r="23" spans="1:5" x14ac:dyDescent="0.2">
      <c r="A23" t="s">
        <v>245</v>
      </c>
      <c r="B23" t="s">
        <v>291</v>
      </c>
      <c r="C23" t="str">
        <f t="shared" si="0"/>
        <v>FK JelgavaJelgava</v>
      </c>
      <c r="E23"/>
    </row>
    <row r="24" spans="1:5" x14ac:dyDescent="0.2">
      <c r="A24" t="s">
        <v>140</v>
      </c>
      <c r="B24" t="s">
        <v>369</v>
      </c>
      <c r="C24" t="str">
        <f t="shared" si="0"/>
        <v>FK Kauno Zalgiris IIKauno Zalgiris</v>
      </c>
      <c r="E24"/>
    </row>
    <row r="25" spans="1:5" x14ac:dyDescent="0.2">
      <c r="A25" t="s">
        <v>247</v>
      </c>
      <c r="B25" t="s">
        <v>247</v>
      </c>
      <c r="C25" t="str">
        <f t="shared" si="0"/>
        <v>FK Transinvest IIFK Transinvest II</v>
      </c>
      <c r="E25"/>
    </row>
    <row r="26" spans="1:5" x14ac:dyDescent="0.2">
      <c r="A26" t="s">
        <v>254</v>
      </c>
      <c r="B26" t="s">
        <v>289</v>
      </c>
      <c r="C26" t="str">
        <f t="shared" si="0"/>
        <v>FK Tukums 2000/TSS IIFK Tukums 2000 II</v>
      </c>
      <c r="E26"/>
    </row>
    <row r="27" spans="1:5" x14ac:dyDescent="0.2">
      <c r="A27" t="s">
        <v>66</v>
      </c>
      <c r="B27" t="s">
        <v>876</v>
      </c>
      <c r="C27" t="str">
        <f t="shared" si="0"/>
        <v>FlamengoFlamengo RJ</v>
      </c>
      <c r="E27"/>
    </row>
    <row r="28" spans="1:5" x14ac:dyDescent="0.2">
      <c r="A28" t="s">
        <v>241</v>
      </c>
      <c r="B28" t="s">
        <v>401</v>
      </c>
      <c r="C28" t="str">
        <f t="shared" si="0"/>
        <v>FortalezaFortaleza EC</v>
      </c>
      <c r="E28"/>
    </row>
    <row r="29" spans="1:5" x14ac:dyDescent="0.2">
      <c r="A29" t="s">
        <v>260</v>
      </c>
      <c r="B29" t="s">
        <v>268</v>
      </c>
      <c r="C29" t="str">
        <f t="shared" si="0"/>
        <v>GIF SundsvallSundsvall</v>
      </c>
      <c r="E29"/>
    </row>
    <row r="30" spans="1:5" x14ac:dyDescent="0.2">
      <c r="A30" t="s">
        <v>49</v>
      </c>
      <c r="B30" t="s">
        <v>915</v>
      </c>
      <c r="C30" t="str">
        <f t="shared" si="0"/>
        <v>GoiásGoias</v>
      </c>
      <c r="E30"/>
    </row>
    <row r="31" spans="1:5" x14ac:dyDescent="0.2">
      <c r="A31" t="s">
        <v>29</v>
      </c>
      <c r="B31" t="s">
        <v>1598</v>
      </c>
      <c r="C31" t="str">
        <f t="shared" si="0"/>
        <v>Gwangju FCGwangju</v>
      </c>
      <c r="E31"/>
    </row>
    <row r="32" spans="1:5" x14ac:dyDescent="0.2">
      <c r="A32" t="s">
        <v>144</v>
      </c>
      <c r="B32" t="s">
        <v>144</v>
      </c>
      <c r="C32" t="str">
        <f t="shared" si="0"/>
        <v>Hegelmann LitauenHegelmann Litauen</v>
      </c>
      <c r="E32"/>
    </row>
    <row r="33" spans="1:5" x14ac:dyDescent="0.2">
      <c r="A33" t="s">
        <v>162</v>
      </c>
      <c r="B33" t="s">
        <v>292</v>
      </c>
      <c r="C33" t="str">
        <f t="shared" si="0"/>
        <v>HK KopavogurKopavogs</v>
      </c>
      <c r="E33"/>
    </row>
    <row r="34" spans="1:5" x14ac:dyDescent="0.2">
      <c r="A34" t="s">
        <v>264</v>
      </c>
      <c r="B34" t="s">
        <v>264</v>
      </c>
      <c r="C34" t="str">
        <f t="shared" si="0"/>
        <v>IA AkranesIA Akranes</v>
      </c>
      <c r="E34"/>
    </row>
    <row r="35" spans="1:5" x14ac:dyDescent="0.2">
      <c r="A35" t="s">
        <v>265</v>
      </c>
      <c r="B35" t="s">
        <v>265</v>
      </c>
      <c r="C35" t="str">
        <f t="shared" si="0"/>
        <v>IF VestriIF Vestri</v>
      </c>
      <c r="E35"/>
    </row>
    <row r="36" spans="1:5" x14ac:dyDescent="0.2">
      <c r="A36" t="s">
        <v>37</v>
      </c>
      <c r="B36" t="s">
        <v>37</v>
      </c>
      <c r="C36" t="str">
        <f t="shared" si="0"/>
        <v>Independiente del ValleIndependiente del Valle</v>
      </c>
      <c r="E36"/>
    </row>
    <row r="37" spans="1:5" x14ac:dyDescent="0.2">
      <c r="A37" t="s">
        <v>216</v>
      </c>
      <c r="B37" t="s">
        <v>216</v>
      </c>
      <c r="C37" t="str">
        <f t="shared" si="0"/>
        <v>Jeju UnitedJeju United</v>
      </c>
      <c r="E37"/>
    </row>
    <row r="38" spans="1:5" x14ac:dyDescent="0.2">
      <c r="A38" t="s">
        <v>168</v>
      </c>
      <c r="B38" t="s">
        <v>168</v>
      </c>
      <c r="C38" t="str">
        <f t="shared" si="0"/>
        <v>KeflavikKeflavik</v>
      </c>
      <c r="E38"/>
    </row>
    <row r="39" spans="1:5" x14ac:dyDescent="0.2">
      <c r="A39" t="s">
        <v>33</v>
      </c>
      <c r="B39" t="s">
        <v>33</v>
      </c>
      <c r="C39" t="str">
        <f t="shared" si="0"/>
        <v>LillestromLillestrom</v>
      </c>
      <c r="E39"/>
    </row>
    <row r="40" spans="1:5" x14ac:dyDescent="0.2">
      <c r="A40" t="s">
        <v>72</v>
      </c>
      <c r="B40" t="s">
        <v>916</v>
      </c>
      <c r="C40" t="str">
        <f t="shared" si="0"/>
        <v>LondrinaLondrina EC</v>
      </c>
      <c r="E40"/>
    </row>
    <row r="41" spans="1:5" x14ac:dyDescent="0.2">
      <c r="A41" t="s">
        <v>35</v>
      </c>
      <c r="B41" t="s">
        <v>1840</v>
      </c>
      <c r="C41" t="str">
        <f t="shared" si="0"/>
        <v>MacaraCSD Macara</v>
      </c>
      <c r="E41"/>
    </row>
    <row r="42" spans="1:5" x14ac:dyDescent="0.2">
      <c r="A42" t="s">
        <v>257</v>
      </c>
      <c r="B42" t="s">
        <v>340</v>
      </c>
      <c r="C42" t="str">
        <f t="shared" si="0"/>
        <v>Malmo FFMalmo</v>
      </c>
      <c r="E42"/>
    </row>
    <row r="43" spans="1:5" x14ac:dyDescent="0.2">
      <c r="A43" t="s">
        <v>117</v>
      </c>
      <c r="B43" t="s">
        <v>117</v>
      </c>
      <c r="C43" t="str">
        <f t="shared" si="0"/>
        <v>Mushuc RunaMushuc Runa</v>
      </c>
      <c r="E43"/>
    </row>
    <row r="44" spans="1:5" x14ac:dyDescent="0.2">
      <c r="A44" t="s">
        <v>266</v>
      </c>
      <c r="B44" t="s">
        <v>309</v>
      </c>
      <c r="C44" t="str">
        <f t="shared" si="0"/>
        <v>Nacional PotosíNacional Potosi</v>
      </c>
      <c r="E44"/>
    </row>
    <row r="45" spans="1:5" x14ac:dyDescent="0.2">
      <c r="A45" t="s">
        <v>71</v>
      </c>
      <c r="B45" t="s">
        <v>71</v>
      </c>
      <c r="C45" t="str">
        <f t="shared" si="0"/>
        <v>NauticoNautico</v>
      </c>
      <c r="E45"/>
    </row>
    <row r="46" spans="1:5" x14ac:dyDescent="0.2">
      <c r="A46" t="s">
        <v>18</v>
      </c>
      <c r="B46" t="s">
        <v>894</v>
      </c>
      <c r="C46" t="str">
        <f t="shared" ref="C46:C84" si="1">A46&amp;B46</f>
        <v>Newcastle Olympic FCHamilton Olympic</v>
      </c>
      <c r="E46"/>
    </row>
    <row r="47" spans="1:5" x14ac:dyDescent="0.2">
      <c r="A47" t="s">
        <v>259</v>
      </c>
      <c r="B47" t="s">
        <v>269</v>
      </c>
      <c r="C47" t="str">
        <f t="shared" si="1"/>
        <v>Norrby IFNorrby</v>
      </c>
      <c r="E47"/>
    </row>
    <row r="48" spans="1:5" x14ac:dyDescent="0.2">
      <c r="A48" t="s">
        <v>234</v>
      </c>
      <c r="B48" t="s">
        <v>398</v>
      </c>
      <c r="C48" t="str">
        <f t="shared" si="1"/>
        <v>NovorizontinoNovorizontino SP</v>
      </c>
      <c r="E48"/>
    </row>
    <row r="49" spans="1:5" x14ac:dyDescent="0.2">
      <c r="A49" t="s">
        <v>43</v>
      </c>
      <c r="B49" t="s">
        <v>914</v>
      </c>
      <c r="C49" t="str">
        <f t="shared" si="1"/>
        <v>Operário-PROperario PR</v>
      </c>
      <c r="E49"/>
    </row>
    <row r="50" spans="1:5" x14ac:dyDescent="0.2">
      <c r="A50" t="s">
        <v>102</v>
      </c>
      <c r="B50" t="s">
        <v>300</v>
      </c>
      <c r="C50" t="str">
        <f t="shared" si="1"/>
        <v>OrenseOrense SC</v>
      </c>
      <c r="E50"/>
    </row>
    <row r="51" spans="1:5" x14ac:dyDescent="0.2">
      <c r="A51" t="s">
        <v>146</v>
      </c>
      <c r="B51" t="s">
        <v>146</v>
      </c>
      <c r="C51" t="str">
        <f t="shared" si="1"/>
        <v>Orgryte ISOrgryte IS</v>
      </c>
      <c r="E51"/>
    </row>
    <row r="52" spans="1:5" x14ac:dyDescent="0.2">
      <c r="A52" t="s">
        <v>40</v>
      </c>
      <c r="B52" t="s">
        <v>40</v>
      </c>
      <c r="C52" t="str">
        <f t="shared" si="1"/>
        <v>PalmeirasPalmeiras</v>
      </c>
      <c r="E52"/>
    </row>
    <row r="53" spans="1:5" x14ac:dyDescent="0.2">
      <c r="A53" t="s">
        <v>44</v>
      </c>
      <c r="B53" t="s">
        <v>44</v>
      </c>
      <c r="C53" t="str">
        <f t="shared" si="1"/>
        <v>Ponte PretaPonte Preta</v>
      </c>
      <c r="E53"/>
    </row>
    <row r="54" spans="1:5" x14ac:dyDescent="0.2">
      <c r="A54" t="s">
        <v>237</v>
      </c>
      <c r="B54" t="s">
        <v>395</v>
      </c>
      <c r="C54" t="str">
        <f t="shared" si="1"/>
        <v>Real PotosíReal Potosi</v>
      </c>
      <c r="E54"/>
    </row>
    <row r="55" spans="1:5" x14ac:dyDescent="0.2">
      <c r="A55" t="s">
        <v>246</v>
      </c>
      <c r="B55" t="s">
        <v>290</v>
      </c>
      <c r="C55" t="str">
        <f t="shared" si="1"/>
        <v>Rigas FSRigas Futbola Skola</v>
      </c>
      <c r="E55"/>
    </row>
    <row r="56" spans="1:5" x14ac:dyDescent="0.2">
      <c r="A56" t="s">
        <v>69</v>
      </c>
      <c r="B56" t="s">
        <v>877</v>
      </c>
      <c r="C56" t="str">
        <f t="shared" si="1"/>
        <v>São PauloSao Paulo</v>
      </c>
      <c r="E56"/>
    </row>
    <row r="57" spans="1:5" x14ac:dyDescent="0.2">
      <c r="A57" t="s">
        <v>253</v>
      </c>
      <c r="B57" t="s">
        <v>253</v>
      </c>
      <c r="C57" t="str">
        <f t="shared" si="1"/>
        <v>SC GrobinasSC Grobinas</v>
      </c>
      <c r="E57"/>
    </row>
    <row r="58" spans="1:5" x14ac:dyDescent="0.2">
      <c r="A58" t="s">
        <v>142</v>
      </c>
      <c r="B58" t="s">
        <v>357</v>
      </c>
      <c r="C58" t="str">
        <f t="shared" si="1"/>
        <v>SJKKuopio PS</v>
      </c>
      <c r="E58"/>
    </row>
    <row r="59" spans="1:5" x14ac:dyDescent="0.2">
      <c r="A59" t="s">
        <v>252</v>
      </c>
      <c r="B59" t="s">
        <v>252</v>
      </c>
      <c r="C59" t="str">
        <f t="shared" si="1"/>
        <v>SK Super NovaSK Super Nova</v>
      </c>
      <c r="E59"/>
    </row>
    <row r="60" spans="1:5" x14ac:dyDescent="0.2">
      <c r="A60" t="s">
        <v>50</v>
      </c>
      <c r="B60" t="s">
        <v>50</v>
      </c>
      <c r="C60" t="str">
        <f t="shared" si="1"/>
        <v>Sport RecifeSport Recife</v>
      </c>
      <c r="E60"/>
    </row>
    <row r="61" spans="1:5" x14ac:dyDescent="0.2">
      <c r="A61" t="s">
        <v>243</v>
      </c>
      <c r="B61" t="s">
        <v>297</v>
      </c>
      <c r="C61" t="str">
        <f t="shared" si="1"/>
        <v>TPSTurku PS</v>
      </c>
      <c r="E61"/>
    </row>
    <row r="62" spans="1:5" x14ac:dyDescent="0.2">
      <c r="A62" t="s">
        <v>238</v>
      </c>
      <c r="B62" t="s">
        <v>431</v>
      </c>
      <c r="C62" t="str">
        <f t="shared" si="1"/>
        <v>U. CatólicaCD Uni Catolica del Ecuador</v>
      </c>
      <c r="E62"/>
    </row>
    <row r="63" spans="1:5" x14ac:dyDescent="0.2">
      <c r="A63" t="s">
        <v>220</v>
      </c>
      <c r="B63" t="s">
        <v>1416</v>
      </c>
      <c r="C63" t="str">
        <f t="shared" si="1"/>
        <v>Ulsan HDUlsan Hyundai</v>
      </c>
      <c r="E63"/>
    </row>
    <row r="64" spans="1:5" x14ac:dyDescent="0.2">
      <c r="A64" t="s">
        <v>83</v>
      </c>
      <c r="B64" t="s">
        <v>83</v>
      </c>
      <c r="C64" t="str">
        <f t="shared" si="1"/>
        <v>Vancouver Whitecaps IIVancouver Whitecaps II</v>
      </c>
      <c r="E64"/>
    </row>
    <row r="65" spans="1:5" x14ac:dyDescent="0.2">
      <c r="A65" t="s">
        <v>167</v>
      </c>
      <c r="B65" t="s">
        <v>167</v>
      </c>
      <c r="C65" t="str">
        <f t="shared" si="1"/>
        <v>Vikingur ReykjavikVikingur Reykjavik</v>
      </c>
      <c r="E65"/>
    </row>
    <row r="66" spans="1:5" x14ac:dyDescent="0.2">
      <c r="A66" t="s">
        <v>240</v>
      </c>
      <c r="B66" t="s">
        <v>400</v>
      </c>
      <c r="C66" t="str">
        <f t="shared" si="1"/>
        <v>Vila Nova-GOVila Nova GO</v>
      </c>
      <c r="E66"/>
    </row>
    <row r="67" spans="1:5" x14ac:dyDescent="0.2">
      <c r="A67" t="s">
        <v>96</v>
      </c>
      <c r="B67" t="s">
        <v>96</v>
      </c>
      <c r="C67" t="str">
        <f t="shared" si="1"/>
        <v>New England Revolution IINew England Revolution II</v>
      </c>
      <c r="E67"/>
    </row>
    <row r="68" spans="1:5" x14ac:dyDescent="0.2">
      <c r="A68" t="s">
        <v>98</v>
      </c>
      <c r="B68" t="s">
        <v>98</v>
      </c>
      <c r="C68" t="str">
        <f t="shared" si="1"/>
        <v>Leiknir ReykjavikLeiknir Reykjavik</v>
      </c>
      <c r="E68"/>
    </row>
    <row r="69" spans="1:5" x14ac:dyDescent="0.2">
      <c r="A69" t="s">
        <v>100</v>
      </c>
      <c r="B69" t="s">
        <v>2000</v>
      </c>
      <c r="C69" t="str">
        <f t="shared" si="1"/>
        <v>Leones FCCD Leones Del Norte</v>
      </c>
    </row>
    <row r="70" spans="1:5" x14ac:dyDescent="0.2">
      <c r="A70" t="s">
        <v>104</v>
      </c>
      <c r="B70" t="s">
        <v>1973</v>
      </c>
      <c r="C70" t="str">
        <f t="shared" si="1"/>
        <v>Belgrano de CórdobaBelgrano</v>
      </c>
      <c r="E70"/>
    </row>
    <row r="71" spans="1:5" x14ac:dyDescent="0.2">
      <c r="A71" t="s">
        <v>106</v>
      </c>
      <c r="B71" t="s">
        <v>1974</v>
      </c>
      <c r="C71" t="str">
        <f t="shared" si="1"/>
        <v>Sarmiento de JunínSarmiento</v>
      </c>
      <c r="E71"/>
    </row>
    <row r="72" spans="1:5" x14ac:dyDescent="0.2">
      <c r="A72" t="s">
        <v>108</v>
      </c>
      <c r="B72" t="s">
        <v>1971</v>
      </c>
      <c r="C72" t="str">
        <f t="shared" si="1"/>
        <v>BotafogoBotafogo RJ</v>
      </c>
      <c r="E72"/>
    </row>
    <row r="73" spans="1:5" x14ac:dyDescent="0.2">
      <c r="A73" t="s">
        <v>110</v>
      </c>
      <c r="B73" t="s">
        <v>110</v>
      </c>
      <c r="C73" t="str">
        <f t="shared" si="1"/>
        <v>CorinthiansCorinthians</v>
      </c>
      <c r="E73"/>
    </row>
    <row r="74" spans="1:5" x14ac:dyDescent="0.2">
      <c r="A74" t="s">
        <v>112</v>
      </c>
      <c r="B74" t="s">
        <v>1981</v>
      </c>
      <c r="C74" t="str">
        <f t="shared" si="1"/>
        <v>Athletic ClubAthletic Club MG</v>
      </c>
      <c r="E74"/>
    </row>
    <row r="75" spans="1:5" x14ac:dyDescent="0.2">
      <c r="A75" t="s">
        <v>114</v>
      </c>
      <c r="B75" t="s">
        <v>1983</v>
      </c>
      <c r="C75" t="str">
        <f t="shared" si="1"/>
        <v>CuiabáCuiaba</v>
      </c>
      <c r="E75"/>
    </row>
    <row r="76" spans="1:5" x14ac:dyDescent="0.2">
      <c r="A76" t="s">
        <v>116</v>
      </c>
      <c r="B76" t="s">
        <v>116</v>
      </c>
      <c r="C76" t="str">
        <f t="shared" si="1"/>
        <v>EmelecEmelec</v>
      </c>
      <c r="E76"/>
    </row>
    <row r="77" spans="1:5" x14ac:dyDescent="0.2">
      <c r="A77" t="s">
        <v>118</v>
      </c>
      <c r="B77" t="s">
        <v>118</v>
      </c>
      <c r="C77" t="str">
        <f t="shared" si="1"/>
        <v>Botafogo SPBotafogo SP</v>
      </c>
      <c r="E77"/>
    </row>
    <row r="78" spans="1:5" x14ac:dyDescent="0.2">
      <c r="A78" t="s">
        <v>120</v>
      </c>
      <c r="B78" t="s">
        <v>1975</v>
      </c>
      <c r="C78" t="str">
        <f t="shared" si="1"/>
        <v>Defensa y JusticiaDefensa Y Justicia</v>
      </c>
      <c r="E78"/>
    </row>
    <row r="79" spans="1:5" x14ac:dyDescent="0.2">
      <c r="A79" t="s">
        <v>139</v>
      </c>
      <c r="B79" t="s">
        <v>1912</v>
      </c>
      <c r="C79" t="str">
        <f t="shared" si="1"/>
        <v>FK TaurasFK Panevezys</v>
      </c>
      <c r="E79"/>
    </row>
    <row r="80" spans="1:5" x14ac:dyDescent="0.2">
      <c r="A80" t="s">
        <v>141</v>
      </c>
      <c r="B80" t="s">
        <v>1647</v>
      </c>
      <c r="C80" t="str">
        <f t="shared" si="1"/>
        <v>FF JaroFF Jaro II</v>
      </c>
      <c r="E80"/>
    </row>
    <row r="81" spans="1:5" x14ac:dyDescent="0.2">
      <c r="A81" t="s">
        <v>143</v>
      </c>
      <c r="B81" t="s">
        <v>1930</v>
      </c>
      <c r="C81" t="str">
        <f t="shared" si="1"/>
        <v>FK SiauliaiVMFD Zalgiris</v>
      </c>
      <c r="E81"/>
    </row>
    <row r="82" spans="1:5" x14ac:dyDescent="0.2">
      <c r="A82" t="s">
        <v>145</v>
      </c>
      <c r="B82" t="s">
        <v>1438</v>
      </c>
      <c r="C82" t="str">
        <f t="shared" si="1"/>
        <v>Vasteras SKVSK Arhus</v>
      </c>
      <c r="E82"/>
    </row>
    <row r="83" spans="1:5" x14ac:dyDescent="0.2">
      <c r="A83" t="s">
        <v>161</v>
      </c>
      <c r="C83" t="str">
        <f t="shared" si="1"/>
        <v>Njardvik</v>
      </c>
    </row>
    <row r="84" spans="1:5" x14ac:dyDescent="0.2">
      <c r="A84" t="s">
        <v>187</v>
      </c>
      <c r="B84" t="s">
        <v>1607</v>
      </c>
      <c r="C84" t="str">
        <f t="shared" si="1"/>
        <v>AuroraArouca</v>
      </c>
      <c r="E84"/>
    </row>
    <row r="85" spans="1:5" x14ac:dyDescent="0.2">
      <c r="A85" t="s">
        <v>931</v>
      </c>
      <c r="B85" t="s">
        <v>896</v>
      </c>
      <c r="C85" t="str">
        <f t="shared" ref="C85:C122" si="2">A85&amp;B85</f>
        <v>Edgeworth EaglesEdgeworth Eagles Reserves</v>
      </c>
    </row>
    <row r="86" spans="1:5" x14ac:dyDescent="0.2">
      <c r="A86" t="s">
        <v>933</v>
      </c>
      <c r="B86" t="s">
        <v>1324</v>
      </c>
      <c r="C86" t="str">
        <f t="shared" si="2"/>
        <v>Tigres UANLClub Atletico Tigre</v>
      </c>
    </row>
    <row r="87" spans="1:5" x14ac:dyDescent="0.2">
      <c r="A87" t="s">
        <v>935</v>
      </c>
      <c r="B87" t="s">
        <v>2107</v>
      </c>
      <c r="C87" t="str">
        <f t="shared" si="2"/>
        <v>Rockdale Ilinden FCRockdale not found</v>
      </c>
    </row>
    <row r="88" spans="1:5" x14ac:dyDescent="0.2">
      <c r="A88" t="s">
        <v>937</v>
      </c>
      <c r="B88" t="s">
        <v>1817</v>
      </c>
      <c r="C88" t="str">
        <f t="shared" si="2"/>
        <v>Wollongong WolvesWolves</v>
      </c>
    </row>
    <row r="89" spans="1:5" x14ac:dyDescent="0.2">
      <c r="A89" t="s">
        <v>939</v>
      </c>
      <c r="B89" t="s">
        <v>897</v>
      </c>
      <c r="C89" t="str">
        <f t="shared" si="2"/>
        <v>Kahibah FCKahibah FC Reserves</v>
      </c>
    </row>
    <row r="90" spans="1:5" x14ac:dyDescent="0.2">
      <c r="A90" t="s">
        <v>941</v>
      </c>
      <c r="C90" t="str">
        <f t="shared" si="2"/>
        <v>Shanxi Chongde Ronghai</v>
      </c>
    </row>
    <row r="91" spans="1:5" x14ac:dyDescent="0.2">
      <c r="A91" t="s">
        <v>943</v>
      </c>
      <c r="C91" t="str">
        <f t="shared" si="2"/>
        <v>Xiamen Feilu</v>
      </c>
    </row>
    <row r="92" spans="1:5" x14ac:dyDescent="0.2">
      <c r="A92" t="s">
        <v>945</v>
      </c>
      <c r="B92" t="s">
        <v>408</v>
      </c>
      <c r="C92" t="str">
        <f t="shared" si="2"/>
        <v>Shanghai Port ReservesShanghai Greenland Shenhua</v>
      </c>
    </row>
    <row r="93" spans="1:5" x14ac:dyDescent="0.2">
      <c r="A93" t="s">
        <v>948</v>
      </c>
      <c r="C93" t="str">
        <f t="shared" si="2"/>
        <v>Yenisey Krasnoyarsk</v>
      </c>
    </row>
    <row r="94" spans="1:5" x14ac:dyDescent="0.2">
      <c r="A94" t="s">
        <v>950</v>
      </c>
      <c r="C94" t="str">
        <f t="shared" si="2"/>
        <v>Yanbian Longding</v>
      </c>
    </row>
    <row r="95" spans="1:5" x14ac:dyDescent="0.2">
      <c r="A95" t="s">
        <v>26</v>
      </c>
      <c r="B95" t="s">
        <v>1597</v>
      </c>
      <c r="C95" t="str">
        <f t="shared" si="2"/>
        <v>FC AnyangAnyang</v>
      </c>
    </row>
    <row r="96" spans="1:5" x14ac:dyDescent="0.2">
      <c r="A96" t="s">
        <v>221</v>
      </c>
      <c r="B96" t="s">
        <v>1417</v>
      </c>
      <c r="C96" t="str">
        <f t="shared" si="2"/>
        <v>Incheon UtdIncheon United</v>
      </c>
    </row>
    <row r="97" spans="1:3" x14ac:dyDescent="0.2">
      <c r="A97" t="s">
        <v>952</v>
      </c>
      <c r="B97" t="s">
        <v>1842</v>
      </c>
      <c r="C97" t="str">
        <f t="shared" si="2"/>
        <v>Gimpo FCGil Vicente</v>
      </c>
    </row>
    <row r="98" spans="1:3" x14ac:dyDescent="0.2">
      <c r="A98" t="s">
        <v>954</v>
      </c>
      <c r="C98" t="str">
        <f t="shared" si="2"/>
        <v>Paju Frontier FC</v>
      </c>
    </row>
    <row r="99" spans="1:3" x14ac:dyDescent="0.2">
      <c r="A99" t="s">
        <v>414</v>
      </c>
      <c r="B99" t="s">
        <v>414</v>
      </c>
      <c r="C99" t="str">
        <f t="shared" si="2"/>
        <v>Yunnan YukunYunnan Yukun</v>
      </c>
    </row>
    <row r="100" spans="1:3" x14ac:dyDescent="0.2">
      <c r="A100" t="s">
        <v>957</v>
      </c>
      <c r="C100" t="str">
        <f t="shared" si="2"/>
        <v>Dalian K'un City</v>
      </c>
    </row>
    <row r="101" spans="1:3" x14ac:dyDescent="0.2">
      <c r="A101" t="s">
        <v>959</v>
      </c>
      <c r="C101" t="str">
        <f t="shared" si="2"/>
        <v>Guangxi Hengchen</v>
      </c>
    </row>
    <row r="102" spans="1:3" x14ac:dyDescent="0.2">
      <c r="A102" t="s">
        <v>961</v>
      </c>
      <c r="C102" t="str">
        <f t="shared" si="2"/>
        <v>Guangdong Mingtu</v>
      </c>
    </row>
    <row r="103" spans="1:3" x14ac:dyDescent="0.2">
      <c r="A103" t="s">
        <v>963</v>
      </c>
      <c r="C103" t="str">
        <f t="shared" si="2"/>
        <v>Hubei Istar</v>
      </c>
    </row>
    <row r="104" spans="1:3" x14ac:dyDescent="0.2">
      <c r="A104" t="s">
        <v>966</v>
      </c>
      <c r="B104" t="s">
        <v>966</v>
      </c>
      <c r="C104" t="str">
        <f t="shared" si="2"/>
        <v>Gazovik OrenburgGazovik Orenburg</v>
      </c>
    </row>
    <row r="105" spans="1:3" x14ac:dyDescent="0.2">
      <c r="A105" t="s">
        <v>968</v>
      </c>
      <c r="B105" t="s">
        <v>415</v>
      </c>
      <c r="C105" t="str">
        <f t="shared" si="2"/>
        <v>Chengdu RongchengChengdu Qianbao</v>
      </c>
    </row>
    <row r="106" spans="1:3" x14ac:dyDescent="0.2">
      <c r="A106" t="s">
        <v>970</v>
      </c>
      <c r="B106" t="s">
        <v>411</v>
      </c>
      <c r="C106" t="str">
        <f t="shared" si="2"/>
        <v>Shandong TaishanShandong Luneng Taishan</v>
      </c>
    </row>
    <row r="107" spans="1:3" x14ac:dyDescent="0.2">
      <c r="A107" t="s">
        <v>973</v>
      </c>
      <c r="C107" t="str">
        <f t="shared" si="2"/>
        <v>BSG Chemie Leipzig</v>
      </c>
    </row>
    <row r="108" spans="1:3" x14ac:dyDescent="0.2">
      <c r="A108" t="s">
        <v>975</v>
      </c>
      <c r="B108" t="s">
        <v>1539</v>
      </c>
      <c r="C108" t="str">
        <f t="shared" si="2"/>
        <v>Carl Zeiss JenaCarlisle United</v>
      </c>
    </row>
    <row r="109" spans="1:3" x14ac:dyDescent="0.2">
      <c r="A109" t="s">
        <v>977</v>
      </c>
      <c r="C109" t="str">
        <f t="shared" si="2"/>
        <v>Greifswalder SV 04</v>
      </c>
    </row>
    <row r="110" spans="1:3" x14ac:dyDescent="0.2">
      <c r="A110" t="s">
        <v>979</v>
      </c>
      <c r="C110" t="str">
        <f t="shared" si="2"/>
        <v>Tobol Kostanay</v>
      </c>
    </row>
    <row r="111" spans="1:3" x14ac:dyDescent="0.2">
      <c r="A111" t="s">
        <v>981</v>
      </c>
      <c r="B111" t="s">
        <v>1921</v>
      </c>
      <c r="C111" t="str">
        <f t="shared" si="2"/>
        <v>ZhejiangZira IK</v>
      </c>
    </row>
    <row r="112" spans="1:3" x14ac:dyDescent="0.2">
      <c r="A112" t="s">
        <v>983</v>
      </c>
      <c r="B112" t="s">
        <v>983</v>
      </c>
      <c r="C112" t="str">
        <f t="shared" si="2"/>
        <v>SonderjyskeSonderjyske</v>
      </c>
    </row>
    <row r="113" spans="1:3" x14ac:dyDescent="0.2">
      <c r="A113" t="s">
        <v>986</v>
      </c>
      <c r="C113" t="str">
        <f t="shared" si="2"/>
        <v>Hobro IK</v>
      </c>
    </row>
    <row r="114" spans="1:3" x14ac:dyDescent="0.2">
      <c r="A114" t="s">
        <v>988</v>
      </c>
      <c r="B114" t="s">
        <v>1777</v>
      </c>
      <c r="C114" t="str">
        <f t="shared" si="2"/>
        <v>FC InterInter Turku</v>
      </c>
    </row>
    <row r="115" spans="1:3" x14ac:dyDescent="0.2">
      <c r="A115" t="s">
        <v>992</v>
      </c>
      <c r="B115" t="s">
        <v>1930</v>
      </c>
      <c r="C115" t="str">
        <f t="shared" si="2"/>
        <v>FK VilniusVMFD Zalgiris</v>
      </c>
    </row>
    <row r="116" spans="1:3" x14ac:dyDescent="0.2">
      <c r="A116" t="s">
        <v>994</v>
      </c>
      <c r="B116" t="s">
        <v>994</v>
      </c>
      <c r="C116" t="str">
        <f t="shared" si="2"/>
        <v>FC UfaFC Ufa</v>
      </c>
    </row>
    <row r="117" spans="1:3" x14ac:dyDescent="0.2">
      <c r="A117" t="s">
        <v>996</v>
      </c>
      <c r="B117" t="s">
        <v>1291</v>
      </c>
      <c r="C117" t="str">
        <f t="shared" si="2"/>
        <v>BrommapojkarnaBrommapojkarna U19</v>
      </c>
    </row>
    <row r="118" spans="1:3" x14ac:dyDescent="0.2">
      <c r="A118" t="s">
        <v>998</v>
      </c>
      <c r="B118" t="s">
        <v>1462</v>
      </c>
      <c r="C118" t="str">
        <f t="shared" si="2"/>
        <v>SiriusSirnitz</v>
      </c>
    </row>
    <row r="119" spans="1:3" x14ac:dyDescent="0.2">
      <c r="A119" t="s">
        <v>1001</v>
      </c>
      <c r="C119" t="str">
        <f t="shared" si="2"/>
        <v>FC Probiy Horodenka</v>
      </c>
    </row>
    <row r="120" spans="1:3" x14ac:dyDescent="0.2">
      <c r="A120" t="s">
        <v>1003</v>
      </c>
      <c r="C120" t="str">
        <f t="shared" si="2"/>
        <v>FK Kulykiv-Bilka</v>
      </c>
    </row>
    <row r="121" spans="1:3" x14ac:dyDescent="0.2">
      <c r="A121" t="s">
        <v>1005</v>
      </c>
      <c r="C121" t="str">
        <f t="shared" si="2"/>
        <v>Kolos Kovalivka II</v>
      </c>
    </row>
    <row r="122" spans="1:3" x14ac:dyDescent="0.2">
      <c r="A122" t="s">
        <v>1008</v>
      </c>
      <c r="B122" t="s">
        <v>1008</v>
      </c>
      <c r="C122" t="str">
        <f t="shared" si="2"/>
        <v>Huracan DPAHuracan DPA</v>
      </c>
    </row>
    <row r="123" spans="1:3" x14ac:dyDescent="0.2">
      <c r="A123" t="s">
        <v>1010</v>
      </c>
      <c r="B123" t="s">
        <v>1938</v>
      </c>
      <c r="C123" t="str">
        <f t="shared" ref="C123:C184" si="3">A123&amp;B123</f>
        <v>SK BrannBrann</v>
      </c>
    </row>
    <row r="124" spans="1:3" x14ac:dyDescent="0.2">
      <c r="A124" t="s">
        <v>1013</v>
      </c>
      <c r="C124" t="str">
        <f t="shared" si="3"/>
        <v>Termalica Nieciecza</v>
      </c>
    </row>
    <row r="125" spans="1:3" x14ac:dyDescent="0.2">
      <c r="A125" t="s">
        <v>1016</v>
      </c>
      <c r="B125" t="s">
        <v>1016</v>
      </c>
      <c r="C125" t="str">
        <f t="shared" si="3"/>
        <v>Rakow CzestochowaRakow Czestochowa</v>
      </c>
    </row>
    <row r="126" spans="1:3" x14ac:dyDescent="0.2">
      <c r="A126" t="s">
        <v>1018</v>
      </c>
      <c r="B126" t="s">
        <v>2003</v>
      </c>
      <c r="C126" t="str">
        <f t="shared" si="3"/>
        <v>FC Elimai SemeyFC Helios Tartu</v>
      </c>
    </row>
    <row r="127" spans="1:3" x14ac:dyDescent="0.2">
      <c r="A127" t="s">
        <v>1020</v>
      </c>
      <c r="C127" t="str">
        <f t="shared" si="3"/>
        <v>FK Leningradets</v>
      </c>
    </row>
    <row r="128" spans="1:3" x14ac:dyDescent="0.2">
      <c r="A128" t="s">
        <v>1022</v>
      </c>
      <c r="B128" t="s">
        <v>1555</v>
      </c>
      <c r="C128" t="str">
        <f t="shared" si="3"/>
        <v>LjungskileLiversedge</v>
      </c>
    </row>
    <row r="129" spans="1:3" x14ac:dyDescent="0.2">
      <c r="A129" t="s">
        <v>1025</v>
      </c>
      <c r="B129" t="s">
        <v>1861</v>
      </c>
      <c r="C129" t="str">
        <f t="shared" si="3"/>
        <v>Vasas SCVasco Da Gama RJ</v>
      </c>
    </row>
    <row r="130" spans="1:3" x14ac:dyDescent="0.2">
      <c r="A130" t="s">
        <v>1027</v>
      </c>
      <c r="B130" t="s">
        <v>2063</v>
      </c>
      <c r="C130" t="str">
        <f t="shared" si="3"/>
        <v>FC AstanaAstana U21</v>
      </c>
    </row>
    <row r="131" spans="1:3" x14ac:dyDescent="0.2">
      <c r="A131" t="s">
        <v>1029</v>
      </c>
      <c r="B131" t="s">
        <v>870</v>
      </c>
      <c r="C131" t="str">
        <f t="shared" si="3"/>
        <v>Kairat AlmatyKairat</v>
      </c>
    </row>
    <row r="132" spans="1:3" x14ac:dyDescent="0.2">
      <c r="A132" t="s">
        <v>1031</v>
      </c>
      <c r="B132" t="s">
        <v>1942</v>
      </c>
      <c r="C132" t="str">
        <f t="shared" si="3"/>
        <v>FC CopenhagenCopenhagen</v>
      </c>
    </row>
    <row r="133" spans="1:3" x14ac:dyDescent="0.2">
      <c r="A133" t="s">
        <v>1034</v>
      </c>
      <c r="B133" t="s">
        <v>1409</v>
      </c>
      <c r="C133" t="str">
        <f t="shared" si="3"/>
        <v>St MirrenSt. Mirren</v>
      </c>
    </row>
    <row r="134" spans="1:3" x14ac:dyDescent="0.2">
      <c r="A134" t="s">
        <v>1036</v>
      </c>
      <c r="B134" t="s">
        <v>1036</v>
      </c>
      <c r="C134" t="str">
        <f t="shared" si="3"/>
        <v>HJK HelsinkiHJK Helsinki</v>
      </c>
    </row>
    <row r="135" spans="1:3" x14ac:dyDescent="0.2">
      <c r="A135" t="s">
        <v>1037</v>
      </c>
      <c r="B135" t="s">
        <v>301</v>
      </c>
      <c r="C135" t="str">
        <f t="shared" si="3"/>
        <v>Lokomotiv MoscowLokomotiv Sofia</v>
      </c>
    </row>
    <row r="136" spans="1:3" x14ac:dyDescent="0.2">
      <c r="A136" t="s">
        <v>1039</v>
      </c>
      <c r="B136" t="s">
        <v>1725</v>
      </c>
      <c r="C136" t="str">
        <f t="shared" si="3"/>
        <v>Torpedo MoscowTottenham</v>
      </c>
    </row>
    <row r="137" spans="1:3" x14ac:dyDescent="0.2">
      <c r="A137" t="s">
        <v>1041</v>
      </c>
      <c r="C137" t="str">
        <f t="shared" si="3"/>
        <v>Racing (U)</v>
      </c>
    </row>
    <row r="138" spans="1:3" x14ac:dyDescent="0.2">
      <c r="A138" t="s">
        <v>1044</v>
      </c>
      <c r="B138" t="s">
        <v>272</v>
      </c>
      <c r="C138" t="str">
        <f t="shared" si="3"/>
        <v>Sepsi Sfantu GheorgheSepsi OSK</v>
      </c>
    </row>
    <row r="139" spans="1:3" x14ac:dyDescent="0.2">
      <c r="A139" t="s">
        <v>1046</v>
      </c>
      <c r="B139" t="s">
        <v>1935</v>
      </c>
      <c r="C139" t="str">
        <f t="shared" si="3"/>
        <v>GAISGAIS Gothenburg</v>
      </c>
    </row>
    <row r="140" spans="1:3" x14ac:dyDescent="0.2">
      <c r="A140" t="s">
        <v>1049</v>
      </c>
      <c r="B140" t="s">
        <v>2066</v>
      </c>
      <c r="C140" t="str">
        <f t="shared" si="3"/>
        <v>FK Kaspyi AktauFK Kaspyi Aktau U21</v>
      </c>
    </row>
    <row r="141" spans="1:3" x14ac:dyDescent="0.2">
      <c r="A141" t="s">
        <v>1051</v>
      </c>
      <c r="B141" t="s">
        <v>862</v>
      </c>
      <c r="C141" t="str">
        <f t="shared" si="3"/>
        <v>Atlanta United 2Atlanta United</v>
      </c>
    </row>
    <row r="142" spans="1:3" x14ac:dyDescent="0.2">
      <c r="A142" t="s">
        <v>1053</v>
      </c>
      <c r="B142" t="s">
        <v>1433</v>
      </c>
      <c r="C142" t="str">
        <f t="shared" si="3"/>
        <v>FC Politehnica ChisinauACS ASU Politehnica Timisoara</v>
      </c>
    </row>
    <row r="143" spans="1:3" x14ac:dyDescent="0.2">
      <c r="A143" t="s">
        <v>1055</v>
      </c>
      <c r="C143" t="str">
        <f t="shared" si="3"/>
        <v>KFUM</v>
      </c>
    </row>
    <row r="144" spans="1:3" x14ac:dyDescent="0.2">
      <c r="A144" t="s">
        <v>1057</v>
      </c>
      <c r="B144" t="s">
        <v>1057</v>
      </c>
      <c r="C144" t="str">
        <f t="shared" si="3"/>
        <v>SandefjordSandefjord</v>
      </c>
    </row>
    <row r="145" spans="1:3" x14ac:dyDescent="0.2">
      <c r="A145" t="s">
        <v>1058</v>
      </c>
      <c r="C145" t="str">
        <f t="shared" si="3"/>
        <v>Sarpsborg FK</v>
      </c>
    </row>
    <row r="146" spans="1:3" x14ac:dyDescent="0.2">
      <c r="A146" t="s">
        <v>1059</v>
      </c>
      <c r="B146" t="s">
        <v>1059</v>
      </c>
      <c r="C146" t="str">
        <f t="shared" si="3"/>
        <v>AsaneAsane</v>
      </c>
    </row>
    <row r="147" spans="1:3" x14ac:dyDescent="0.2">
      <c r="A147" t="s">
        <v>1061</v>
      </c>
      <c r="B147" t="s">
        <v>1709</v>
      </c>
      <c r="C147" t="str">
        <f t="shared" si="3"/>
        <v>MossMSV Duisburg</v>
      </c>
    </row>
    <row r="148" spans="1:3" x14ac:dyDescent="0.2">
      <c r="A148" t="s">
        <v>1063</v>
      </c>
      <c r="B148" t="s">
        <v>1063</v>
      </c>
      <c r="C148" t="str">
        <f t="shared" si="3"/>
        <v>Sandnes UlfSandnes Ulf</v>
      </c>
    </row>
    <row r="149" spans="1:3" x14ac:dyDescent="0.2">
      <c r="A149" t="s">
        <v>1065</v>
      </c>
      <c r="B149" t="s">
        <v>1423</v>
      </c>
      <c r="C149" t="str">
        <f t="shared" si="3"/>
        <v>SogndalSogdiana Jizzakh</v>
      </c>
    </row>
    <row r="150" spans="1:3" x14ac:dyDescent="0.2">
      <c r="A150" t="s">
        <v>1067</v>
      </c>
      <c r="B150" t="s">
        <v>1067</v>
      </c>
      <c r="C150" t="str">
        <f t="shared" si="3"/>
        <v>StrommenStrommen</v>
      </c>
    </row>
    <row r="151" spans="1:3" x14ac:dyDescent="0.2">
      <c r="A151" t="s">
        <v>1069</v>
      </c>
      <c r="C151" t="str">
        <f t="shared" si="3"/>
        <v>Unia Skierniewice</v>
      </c>
    </row>
    <row r="152" spans="1:3" x14ac:dyDescent="0.2">
      <c r="A152" t="s">
        <v>1071</v>
      </c>
      <c r="B152" t="s">
        <v>1071</v>
      </c>
      <c r="C152" t="str">
        <f t="shared" si="3"/>
        <v>PFC SochiPFC Sochi</v>
      </c>
    </row>
    <row r="153" spans="1:3" x14ac:dyDescent="0.2">
      <c r="A153" t="s">
        <v>1074</v>
      </c>
      <c r="B153" t="s">
        <v>1074</v>
      </c>
      <c r="C153" t="str">
        <f t="shared" si="3"/>
        <v>CA AtenasCA Atenas</v>
      </c>
    </row>
    <row r="154" spans="1:3" x14ac:dyDescent="0.2">
      <c r="A154" t="s">
        <v>1077</v>
      </c>
      <c r="B154" t="s">
        <v>1485</v>
      </c>
      <c r="C154" t="str">
        <f t="shared" si="3"/>
        <v>Widzew LodzWoking</v>
      </c>
    </row>
    <row r="155" spans="1:3" x14ac:dyDescent="0.2">
      <c r="A155" t="s">
        <v>1079</v>
      </c>
      <c r="C155" t="str">
        <f t="shared" si="3"/>
        <v>FK Transinvest</v>
      </c>
    </row>
    <row r="156" spans="1:3" x14ac:dyDescent="0.2">
      <c r="A156" t="s">
        <v>1082</v>
      </c>
      <c r="C156" t="str">
        <f t="shared" si="3"/>
        <v>Cherno More Varna</v>
      </c>
    </row>
    <row r="157" spans="1:3" x14ac:dyDescent="0.2">
      <c r="A157" t="s">
        <v>1084</v>
      </c>
      <c r="C157" t="str">
        <f t="shared" si="3"/>
        <v>AC Horsens</v>
      </c>
    </row>
    <row r="158" spans="1:3" x14ac:dyDescent="0.2">
      <c r="A158" t="s">
        <v>1087</v>
      </c>
      <c r="B158" t="s">
        <v>1087</v>
      </c>
      <c r="C158" t="str">
        <f t="shared" si="3"/>
        <v>NK BravoNK Bravo</v>
      </c>
    </row>
    <row r="159" spans="1:3" x14ac:dyDescent="0.2">
      <c r="A159" t="s">
        <v>1089</v>
      </c>
      <c r="B159" t="s">
        <v>1089</v>
      </c>
      <c r="C159" t="str">
        <f t="shared" si="3"/>
        <v>Debreceni VSCDebreceni VSC</v>
      </c>
    </row>
    <row r="160" spans="1:3" x14ac:dyDescent="0.2">
      <c r="A160" t="s">
        <v>1091</v>
      </c>
      <c r="B160" t="s">
        <v>1091</v>
      </c>
      <c r="C160" t="str">
        <f t="shared" si="3"/>
        <v>FK AudaFK Auda</v>
      </c>
    </row>
    <row r="161" spans="1:3" x14ac:dyDescent="0.2">
      <c r="A161" t="s">
        <v>1093</v>
      </c>
      <c r="C161" t="str">
        <f t="shared" si="3"/>
        <v>Banga Gargzdai</v>
      </c>
    </row>
    <row r="162" spans="1:3" x14ac:dyDescent="0.2">
      <c r="A162" t="s">
        <v>1095</v>
      </c>
      <c r="B162" t="s">
        <v>652</v>
      </c>
      <c r="C162" t="str">
        <f t="shared" si="3"/>
        <v>Puerto MonttPuerto Nuevo</v>
      </c>
    </row>
    <row r="163" spans="1:3" x14ac:dyDescent="0.2">
      <c r="A163" t="s">
        <v>1097</v>
      </c>
      <c r="C163" t="str">
        <f t="shared" si="3"/>
        <v>Rangers de Talca</v>
      </c>
    </row>
    <row r="164" spans="1:3" x14ac:dyDescent="0.2">
      <c r="A164" t="s">
        <v>1099</v>
      </c>
      <c r="C164" t="str">
        <f t="shared" si="3"/>
        <v>FK Rubin Kazan</v>
      </c>
    </row>
    <row r="165" spans="1:3" x14ac:dyDescent="0.2">
      <c r="A165" t="s">
        <v>1101</v>
      </c>
      <c r="C165" t="str">
        <f t="shared" si="3"/>
        <v>FC Real Sireti</v>
      </c>
    </row>
    <row r="166" spans="1:3" x14ac:dyDescent="0.2">
      <c r="A166" t="s">
        <v>1103</v>
      </c>
      <c r="C166" t="str">
        <f t="shared" si="3"/>
        <v>Sheriff Tiraspol</v>
      </c>
    </row>
    <row r="167" spans="1:3" x14ac:dyDescent="0.2">
      <c r="A167" t="s">
        <v>371</v>
      </c>
      <c r="B167" t="s">
        <v>371</v>
      </c>
      <c r="C167" t="str">
        <f t="shared" si="3"/>
        <v>Red Star BelgradeRed Star Belgrade</v>
      </c>
    </row>
    <row r="168" spans="1:3" x14ac:dyDescent="0.2">
      <c r="A168" t="s">
        <v>1107</v>
      </c>
      <c r="C168" t="str">
        <f t="shared" si="3"/>
        <v>Aalesund</v>
      </c>
    </row>
    <row r="169" spans="1:3" x14ac:dyDescent="0.2">
      <c r="A169" t="s">
        <v>1108</v>
      </c>
      <c r="C169" t="str">
        <f t="shared" si="3"/>
        <v>Puszcza Niepolomice</v>
      </c>
    </row>
    <row r="170" spans="1:3" x14ac:dyDescent="0.2">
      <c r="A170" t="s">
        <v>1110</v>
      </c>
      <c r="B170" t="s">
        <v>274</v>
      </c>
      <c r="C170" t="str">
        <f t="shared" si="3"/>
        <v>FK Csikszereda Miercurea CiucCsikszereda Miercurea Ciuc</v>
      </c>
    </row>
    <row r="171" spans="1:3" x14ac:dyDescent="0.2">
      <c r="A171" t="s">
        <v>1112</v>
      </c>
      <c r="C171" t="str">
        <f t="shared" si="3"/>
        <v>Atlético Tucumán</v>
      </c>
    </row>
    <row r="172" spans="1:3" x14ac:dyDescent="0.2">
      <c r="A172" t="s">
        <v>1113</v>
      </c>
      <c r="C172" t="str">
        <f t="shared" si="3"/>
        <v>Agropecuario</v>
      </c>
    </row>
    <row r="173" spans="1:3" x14ac:dyDescent="0.2">
      <c r="A173" t="s">
        <v>1114</v>
      </c>
      <c r="C173" t="str">
        <f t="shared" si="3"/>
        <v>All Boys</v>
      </c>
    </row>
    <row r="174" spans="1:3" x14ac:dyDescent="0.2">
      <c r="A174" t="s">
        <v>1115</v>
      </c>
      <c r="C174" t="str">
        <f t="shared" si="3"/>
        <v>Deportivo Morón</v>
      </c>
    </row>
    <row r="175" spans="1:3" x14ac:dyDescent="0.2">
      <c r="A175" t="s">
        <v>334</v>
      </c>
      <c r="B175" t="s">
        <v>334</v>
      </c>
      <c r="C175" t="str">
        <f t="shared" si="3"/>
        <v>Los AndesLos Andes</v>
      </c>
    </row>
    <row r="176" spans="1:3" x14ac:dyDescent="0.2">
      <c r="A176" t="s">
        <v>1117</v>
      </c>
      <c r="C176" t="str">
        <f t="shared" si="3"/>
        <v>Atletico Ottawa</v>
      </c>
    </row>
    <row r="177" spans="1:3" x14ac:dyDescent="0.2">
      <c r="A177" t="s">
        <v>1119</v>
      </c>
      <c r="B177" t="s">
        <v>1946</v>
      </c>
      <c r="C177" t="str">
        <f t="shared" si="3"/>
        <v>PaksiPaksi SE</v>
      </c>
    </row>
    <row r="178" spans="1:3" x14ac:dyDescent="0.2">
      <c r="A178" t="s">
        <v>1121</v>
      </c>
      <c r="C178" t="str">
        <f t="shared" si="3"/>
        <v>UTC</v>
      </c>
    </row>
    <row r="179" spans="1:3" x14ac:dyDescent="0.2">
      <c r="A179" t="s">
        <v>1123</v>
      </c>
      <c r="B179" t="s">
        <v>2048</v>
      </c>
      <c r="C179" t="str">
        <f t="shared" si="3"/>
        <v>Albion FCAlftanes</v>
      </c>
    </row>
    <row r="180" spans="1:3" x14ac:dyDescent="0.2">
      <c r="A180" t="s">
        <v>1125</v>
      </c>
      <c r="B180" t="s">
        <v>2097</v>
      </c>
      <c r="C180" t="str">
        <f t="shared" si="3"/>
        <v>CerritoCordoba</v>
      </c>
    </row>
    <row r="181" spans="1:3" x14ac:dyDescent="0.2">
      <c r="A181" t="s">
        <v>1126</v>
      </c>
      <c r="B181" t="s">
        <v>301</v>
      </c>
      <c r="C181" t="str">
        <f t="shared" si="3"/>
        <v>Lokomotiv PlovdivLokomotiv Sofia</v>
      </c>
    </row>
    <row r="182" spans="1:3" x14ac:dyDescent="0.2">
      <c r="A182" t="s">
        <v>103</v>
      </c>
      <c r="B182" t="s">
        <v>2001</v>
      </c>
      <c r="C182" t="str">
        <f t="shared" si="3"/>
        <v>AucasSD Aucas</v>
      </c>
    </row>
    <row r="183" spans="1:3" x14ac:dyDescent="0.2">
      <c r="A183" t="s">
        <v>1128</v>
      </c>
      <c r="B183" t="s">
        <v>1963</v>
      </c>
      <c r="C183" t="str">
        <f t="shared" si="3"/>
        <v>FC KoperKoper</v>
      </c>
    </row>
    <row r="184" spans="1:3" x14ac:dyDescent="0.2">
      <c r="A184" t="s">
        <v>1130</v>
      </c>
      <c r="B184" t="s">
        <v>1482</v>
      </c>
      <c r="C184" t="str">
        <f t="shared" si="3"/>
        <v>Wisla KrakowWalsall</v>
      </c>
    </row>
    <row r="185" spans="1:3" x14ac:dyDescent="0.2">
      <c r="A185" t="s">
        <v>1132</v>
      </c>
      <c r="B185" t="s">
        <v>324</v>
      </c>
      <c r="C185" t="str">
        <f t="shared" ref="C185:C247" si="4">A185&amp;B185</f>
        <v>San MiguelCA San Miguel</v>
      </c>
    </row>
    <row r="186" spans="1:3" x14ac:dyDescent="0.2">
      <c r="A186" t="s">
        <v>1133</v>
      </c>
      <c r="C186" t="str">
        <f t="shared" si="4"/>
        <v>FK Radnicki 1923</v>
      </c>
    </row>
    <row r="187" spans="1:3" x14ac:dyDescent="0.2">
      <c r="A187" t="s">
        <v>1135</v>
      </c>
      <c r="C187" t="str">
        <f t="shared" si="4"/>
        <v>Mladost Lucani</v>
      </c>
    </row>
    <row r="188" spans="1:3" x14ac:dyDescent="0.2">
      <c r="A188" t="s">
        <v>1137</v>
      </c>
      <c r="B188" t="s">
        <v>326</v>
      </c>
      <c r="C188" t="str">
        <f t="shared" si="4"/>
        <v>Gimnasia y Esgrima de JujuyGimnasia Jujuy</v>
      </c>
    </row>
    <row r="189" spans="1:3" x14ac:dyDescent="0.2">
      <c r="A189" t="s">
        <v>1139</v>
      </c>
      <c r="C189" t="str">
        <f t="shared" si="4"/>
        <v>Mitre (SE)</v>
      </c>
    </row>
    <row r="190" spans="1:3" x14ac:dyDescent="0.2">
      <c r="A190" t="s">
        <v>327</v>
      </c>
      <c r="B190" t="s">
        <v>327</v>
      </c>
      <c r="C190" t="str">
        <f t="shared" si="4"/>
        <v>QuilmesQuilmes</v>
      </c>
    </row>
    <row r="191" spans="1:3" x14ac:dyDescent="0.2">
      <c r="A191" t="s">
        <v>1142</v>
      </c>
      <c r="C191" t="str">
        <f t="shared" si="4"/>
        <v>Racing de Cordoba</v>
      </c>
    </row>
    <row r="192" spans="1:3" x14ac:dyDescent="0.2">
      <c r="A192" t="s">
        <v>113</v>
      </c>
      <c r="B192" t="s">
        <v>1982</v>
      </c>
      <c r="C192" t="str">
        <f t="shared" si="4"/>
        <v>Sao Bernardo SPSao Bernardo FC SP</v>
      </c>
    </row>
    <row r="193" spans="1:3" x14ac:dyDescent="0.2">
      <c r="A193" t="s">
        <v>1144</v>
      </c>
      <c r="B193" t="s">
        <v>1691</v>
      </c>
      <c r="C193" t="str">
        <f t="shared" si="4"/>
        <v>BrusqueBrest</v>
      </c>
    </row>
    <row r="194" spans="1:3" x14ac:dyDescent="0.2">
      <c r="A194" t="s">
        <v>1146</v>
      </c>
      <c r="B194" t="s">
        <v>2040</v>
      </c>
      <c r="C194" t="str">
        <f t="shared" si="4"/>
        <v>Ypiranga-RSYPA</v>
      </c>
    </row>
    <row r="195" spans="1:3" x14ac:dyDescent="0.2">
      <c r="A195" t="s">
        <v>1148</v>
      </c>
      <c r="B195" t="s">
        <v>303</v>
      </c>
      <c r="C195" t="str">
        <f t="shared" si="4"/>
        <v>CSACSKA</v>
      </c>
    </row>
    <row r="196" spans="1:3" x14ac:dyDescent="0.2">
      <c r="A196" t="s">
        <v>1150</v>
      </c>
      <c r="C196" t="str">
        <f t="shared" si="4"/>
        <v>Gama</v>
      </c>
    </row>
    <row r="197" spans="1:3" x14ac:dyDescent="0.2">
      <c r="A197" t="s">
        <v>1152</v>
      </c>
      <c r="C197" t="str">
        <f t="shared" si="4"/>
        <v>Nublense</v>
      </c>
    </row>
    <row r="198" spans="1:3" x14ac:dyDescent="0.2">
      <c r="A198" t="s">
        <v>1154</v>
      </c>
      <c r="B198" t="s">
        <v>417</v>
      </c>
      <c r="C198" t="str">
        <f t="shared" si="4"/>
        <v>Internacional de BogotaInter Bogota</v>
      </c>
    </row>
    <row r="199" spans="1:3" x14ac:dyDescent="0.2">
      <c r="A199" t="s">
        <v>1156</v>
      </c>
      <c r="C199" t="str">
        <f t="shared" si="4"/>
        <v>Olimpia</v>
      </c>
    </row>
    <row r="200" spans="1:3" x14ac:dyDescent="0.2">
      <c r="A200" t="s">
        <v>1158</v>
      </c>
      <c r="C200" t="str">
        <f t="shared" si="4"/>
        <v>FK Macva Sabac</v>
      </c>
    </row>
    <row r="201" spans="1:3" x14ac:dyDescent="0.2">
      <c r="A201" t="s">
        <v>1160</v>
      </c>
      <c r="B201" t="s">
        <v>1361</v>
      </c>
      <c r="C201" t="str">
        <f t="shared" si="4"/>
        <v>Fram ReykjavikFylkir</v>
      </c>
    </row>
    <row r="202" spans="1:3" x14ac:dyDescent="0.2">
      <c r="A202" t="s">
        <v>1162</v>
      </c>
      <c r="B202" t="s">
        <v>377</v>
      </c>
      <c r="C202" t="str">
        <f t="shared" si="4"/>
        <v>Godoy Cruz de MendozaGodoy Cruz</v>
      </c>
    </row>
    <row r="203" spans="1:3" x14ac:dyDescent="0.2">
      <c r="A203" t="s">
        <v>1163</v>
      </c>
      <c r="C203" t="str">
        <f t="shared" si="4"/>
        <v>ABC</v>
      </c>
    </row>
    <row r="204" spans="1:3" x14ac:dyDescent="0.2">
      <c r="A204" t="s">
        <v>1165</v>
      </c>
      <c r="B204" t="s">
        <v>1637</v>
      </c>
      <c r="C204" t="str">
        <f t="shared" si="4"/>
        <v>ASAAS Avellino</v>
      </c>
    </row>
    <row r="205" spans="1:3" x14ac:dyDescent="0.2">
      <c r="A205" t="s">
        <v>1167</v>
      </c>
      <c r="B205" t="s">
        <v>330</v>
      </c>
      <c r="C205" t="str">
        <f t="shared" si="4"/>
        <v>FerroviárioFerrocarril Midland</v>
      </c>
    </row>
    <row r="206" spans="1:3" x14ac:dyDescent="0.2">
      <c r="A206" t="s">
        <v>1169</v>
      </c>
      <c r="B206" t="s">
        <v>1461</v>
      </c>
      <c r="C206" t="str">
        <f t="shared" si="4"/>
        <v>TrezeTreibach</v>
      </c>
    </row>
    <row r="207" spans="1:3" x14ac:dyDescent="0.2">
      <c r="A207" t="s">
        <v>1171</v>
      </c>
      <c r="B207" t="s">
        <v>1872</v>
      </c>
      <c r="C207" t="str">
        <f t="shared" si="4"/>
        <v>Portland Timbers 2Portland Hearts of Pine</v>
      </c>
    </row>
    <row r="208" spans="1:3" x14ac:dyDescent="0.2">
      <c r="A208" t="s">
        <v>1173</v>
      </c>
      <c r="B208" t="s">
        <v>380</v>
      </c>
      <c r="C208" t="str">
        <f t="shared" si="4"/>
        <v>Estudiantes La PlataEstudiantes de La Plata</v>
      </c>
    </row>
    <row r="209" spans="1:3" x14ac:dyDescent="0.2">
      <c r="A209" t="s">
        <v>1175</v>
      </c>
      <c r="B209" t="s">
        <v>734</v>
      </c>
      <c r="C209" t="str">
        <f t="shared" si="4"/>
        <v>Comerciantes UnidosCienciano</v>
      </c>
    </row>
    <row r="210" spans="1:3" x14ac:dyDescent="0.2">
      <c r="A210" t="s">
        <v>375</v>
      </c>
      <c r="B210" t="s">
        <v>375</v>
      </c>
      <c r="C210" t="str">
        <f t="shared" si="4"/>
        <v>Gimnasia y TiroGimnasia y Tiro</v>
      </c>
    </row>
    <row r="211" spans="1:3" x14ac:dyDescent="0.2">
      <c r="A211" t="s">
        <v>1178</v>
      </c>
      <c r="C211" t="str">
        <f t="shared" si="4"/>
        <v>Inter Toronto</v>
      </c>
    </row>
    <row r="212" spans="1:3" x14ac:dyDescent="0.2">
      <c r="A212" t="s">
        <v>1180</v>
      </c>
      <c r="B212" t="s">
        <v>1535</v>
      </c>
      <c r="C212" t="str">
        <f t="shared" si="4"/>
        <v>Patriotas F.C.Peterborough United</v>
      </c>
    </row>
    <row r="213" spans="1:3" x14ac:dyDescent="0.2">
      <c r="A213" t="s">
        <v>1182</v>
      </c>
      <c r="B213" t="s">
        <v>1435</v>
      </c>
      <c r="C213" t="str">
        <f t="shared" si="4"/>
        <v>Herrera FCHertha BSC</v>
      </c>
    </row>
    <row r="214" spans="1:3" x14ac:dyDescent="0.2">
      <c r="A214" t="s">
        <v>1184</v>
      </c>
      <c r="B214" t="s">
        <v>991</v>
      </c>
      <c r="C214" t="str">
        <f t="shared" si="4"/>
        <v>Rionegro ÁguilasRiga FC</v>
      </c>
    </row>
    <row r="215" spans="1:3" x14ac:dyDescent="0.2">
      <c r="A215" t="s">
        <v>1185</v>
      </c>
      <c r="B215" t="s">
        <v>1885</v>
      </c>
      <c r="C215" t="str">
        <f t="shared" si="4"/>
        <v>BolívarClub Bolivar</v>
      </c>
    </row>
    <row r="216" spans="1:3" x14ac:dyDescent="0.2">
      <c r="A216" t="s">
        <v>1186</v>
      </c>
      <c r="B216" t="s">
        <v>1879</v>
      </c>
      <c r="C216" t="str">
        <f t="shared" si="4"/>
        <v>BragantinoRed Bull Bragantino</v>
      </c>
    </row>
    <row r="217" spans="1:3" x14ac:dyDescent="0.2">
      <c r="A217" t="s">
        <v>1187</v>
      </c>
      <c r="B217" t="s">
        <v>1886</v>
      </c>
      <c r="C217" t="str">
        <f t="shared" si="4"/>
        <v>GrêmioGremio RS</v>
      </c>
    </row>
    <row r="218" spans="1:3" x14ac:dyDescent="0.2">
      <c r="A218" t="s">
        <v>1189</v>
      </c>
      <c r="C218" t="str">
        <f t="shared" si="4"/>
        <v>Caxias do Sul</v>
      </c>
    </row>
    <row r="219" spans="1:3" x14ac:dyDescent="0.2">
      <c r="A219" t="s">
        <v>1191</v>
      </c>
      <c r="B219" t="s">
        <v>928</v>
      </c>
      <c r="C219" t="str">
        <f t="shared" si="4"/>
        <v>Audax ItalianoAudax Sao Mateus</v>
      </c>
    </row>
    <row r="220" spans="1:3" x14ac:dyDescent="0.2">
      <c r="A220" t="s">
        <v>1193</v>
      </c>
      <c r="C220" t="str">
        <f t="shared" si="4"/>
        <v>San Marcos De Arica</v>
      </c>
    </row>
    <row r="221" spans="1:3" x14ac:dyDescent="0.2">
      <c r="A221" t="s">
        <v>1195</v>
      </c>
      <c r="B221" t="s">
        <v>1859</v>
      </c>
      <c r="C221" t="str">
        <f t="shared" si="4"/>
        <v>GuaraníGuairena FC</v>
      </c>
    </row>
    <row r="222" spans="1:3" x14ac:dyDescent="0.2">
      <c r="A222" t="s">
        <v>1197</v>
      </c>
      <c r="C222" t="str">
        <f t="shared" si="4"/>
        <v>Orsomarso SC</v>
      </c>
    </row>
    <row r="223" spans="1:3" x14ac:dyDescent="0.2">
      <c r="A223" t="s">
        <v>1199</v>
      </c>
      <c r="C223" t="str">
        <f t="shared" si="4"/>
        <v>CT United</v>
      </c>
    </row>
    <row r="224" spans="1:3" x14ac:dyDescent="0.2">
      <c r="A224" t="s">
        <v>1201</v>
      </c>
      <c r="C224" t="str">
        <f t="shared" si="4"/>
        <v>FC Cincinnati II</v>
      </c>
    </row>
    <row r="225" spans="1:3" x14ac:dyDescent="0.2">
      <c r="A225" t="s">
        <v>1202</v>
      </c>
      <c r="C225" t="str">
        <f t="shared" si="4"/>
        <v>Deportivo Riestra</v>
      </c>
    </row>
    <row r="226" spans="1:3" x14ac:dyDescent="0.2">
      <c r="A226" t="s">
        <v>111</v>
      </c>
      <c r="B226" t="s">
        <v>1970</v>
      </c>
      <c r="C226" t="str">
        <f t="shared" si="4"/>
        <v>RemoClube Do Remo</v>
      </c>
    </row>
    <row r="227" spans="1:3" x14ac:dyDescent="0.2">
      <c r="A227" t="s">
        <v>1204</v>
      </c>
      <c r="C227" t="str">
        <f t="shared" si="4"/>
        <v>Miramar Misiones</v>
      </c>
    </row>
    <row r="228" spans="1:3" x14ac:dyDescent="0.2">
      <c r="A228" t="s">
        <v>1206</v>
      </c>
      <c r="C228" t="str">
        <f t="shared" si="4"/>
        <v>Houston Dynamo II</v>
      </c>
    </row>
    <row r="229" spans="1:3" x14ac:dyDescent="0.2">
      <c r="A229" t="s">
        <v>1207</v>
      </c>
      <c r="C229" t="str">
        <f t="shared" si="4"/>
        <v>Orlando City II</v>
      </c>
    </row>
    <row r="230" spans="1:3" x14ac:dyDescent="0.2">
      <c r="A230" t="s">
        <v>1209</v>
      </c>
      <c r="C230" t="str">
        <f t="shared" si="4"/>
        <v>St Louis City II</v>
      </c>
    </row>
    <row r="231" spans="1:3" x14ac:dyDescent="0.2">
      <c r="A231" t="s">
        <v>1210</v>
      </c>
      <c r="B231" t="s">
        <v>1587</v>
      </c>
      <c r="C231" t="str">
        <f t="shared" si="4"/>
        <v>NecaxaNK Krka</v>
      </c>
    </row>
    <row r="232" spans="1:3" x14ac:dyDescent="0.2">
      <c r="A232" t="s">
        <v>1212</v>
      </c>
      <c r="C232" t="str">
        <f t="shared" si="4"/>
        <v>Alianza</v>
      </c>
    </row>
    <row r="233" spans="1:3" x14ac:dyDescent="0.2">
      <c r="A233" t="s">
        <v>1213</v>
      </c>
      <c r="C233" t="str">
        <f t="shared" si="4"/>
        <v>Veraguas CD</v>
      </c>
    </row>
    <row r="234" spans="1:3" x14ac:dyDescent="0.2">
      <c r="A234" t="s">
        <v>1215</v>
      </c>
      <c r="B234" t="s">
        <v>2108</v>
      </c>
      <c r="C234" t="str">
        <f t="shared" si="4"/>
        <v>BloomingBlumenau</v>
      </c>
    </row>
    <row r="235" spans="1:3" x14ac:dyDescent="0.2">
      <c r="A235" t="s">
        <v>1217</v>
      </c>
      <c r="B235" t="s">
        <v>1622</v>
      </c>
      <c r="C235" t="str">
        <f t="shared" si="4"/>
        <v>Amazonas FCAmiens</v>
      </c>
    </row>
    <row r="236" spans="1:3" x14ac:dyDescent="0.2">
      <c r="A236" t="s">
        <v>1220</v>
      </c>
      <c r="B236" t="s">
        <v>1583</v>
      </c>
      <c r="C236" t="str">
        <f t="shared" si="4"/>
        <v>UNAN ManaguaManica Diamonds</v>
      </c>
    </row>
    <row r="237" spans="1:3" x14ac:dyDescent="0.2">
      <c r="A237" t="s">
        <v>1222</v>
      </c>
      <c r="B237" t="s">
        <v>280</v>
      </c>
      <c r="C237" t="str">
        <f t="shared" si="4"/>
        <v>Deportivo GarcilasoDeportivo Capiata</v>
      </c>
    </row>
    <row r="238" spans="1:3" x14ac:dyDescent="0.2">
      <c r="A238" t="s">
        <v>1224</v>
      </c>
      <c r="B238" t="s">
        <v>1652</v>
      </c>
      <c r="C238" t="str">
        <f t="shared" si="4"/>
        <v>Deportes ConcepcionConcarneau</v>
      </c>
    </row>
    <row r="239" spans="1:3" x14ac:dyDescent="0.2">
      <c r="A239" t="s">
        <v>1226</v>
      </c>
      <c r="B239" t="s">
        <v>1465</v>
      </c>
      <c r="C239" t="str">
        <f t="shared" si="4"/>
        <v>PachucaPau</v>
      </c>
    </row>
    <row r="240" spans="1:3" x14ac:dyDescent="0.2">
      <c r="A240" t="s">
        <v>425</v>
      </c>
      <c r="B240" t="s">
        <v>425</v>
      </c>
      <c r="C240" t="str">
        <f t="shared" si="4"/>
        <v>Once CaldasOnce Caldas</v>
      </c>
    </row>
    <row r="241" spans="1:3" x14ac:dyDescent="0.2">
      <c r="A241" t="s">
        <v>1229</v>
      </c>
      <c r="B241" t="s">
        <v>1314</v>
      </c>
      <c r="C241" t="str">
        <f t="shared" si="4"/>
        <v>Tacoma DefianceTorque</v>
      </c>
    </row>
    <row r="242" spans="1:3" x14ac:dyDescent="0.2">
      <c r="A242" t="s">
        <v>1232</v>
      </c>
      <c r="C242" t="str">
        <f t="shared" si="4"/>
        <v>Qingdao Red Lions</v>
      </c>
    </row>
    <row r="243" spans="1:3" x14ac:dyDescent="0.2">
      <c r="A243" t="s">
        <v>1234</v>
      </c>
      <c r="B243" t="s">
        <v>910</v>
      </c>
      <c r="C243" t="str">
        <f t="shared" si="4"/>
        <v>Tukums 2000Tuggeranong United U23</v>
      </c>
    </row>
    <row r="244" spans="1:3" x14ac:dyDescent="0.2">
      <c r="A244" t="s">
        <v>1235</v>
      </c>
      <c r="B244" t="s">
        <v>1926</v>
      </c>
      <c r="C244" t="str">
        <f t="shared" si="4"/>
        <v>Valmiera FCValletta</v>
      </c>
    </row>
    <row r="245" spans="1:3" x14ac:dyDescent="0.2">
      <c r="A245" t="s">
        <v>1237</v>
      </c>
      <c r="B245" t="s">
        <v>1910</v>
      </c>
      <c r="C245" t="str">
        <f t="shared" si="4"/>
        <v>CFR Cluj-NapocaCFR Cluj</v>
      </c>
    </row>
    <row r="246" spans="1:3" x14ac:dyDescent="0.2">
      <c r="A246" t="s">
        <v>1240</v>
      </c>
      <c r="B246" t="s">
        <v>1924</v>
      </c>
      <c r="C246" t="str">
        <f t="shared" si="4"/>
        <v>Dunav RuseDunajska Streda</v>
      </c>
    </row>
    <row r="247" spans="1:3" x14ac:dyDescent="0.2">
      <c r="A247" t="s">
        <v>1242</v>
      </c>
      <c r="B247" t="s">
        <v>2007</v>
      </c>
      <c r="C247" t="str">
        <f t="shared" si="4"/>
        <v>JK Nomme United IIJK Nomme United</v>
      </c>
    </row>
    <row r="248" spans="1:3" x14ac:dyDescent="0.2">
      <c r="A248" t="s">
        <v>1245</v>
      </c>
      <c r="B248" t="s">
        <v>1654</v>
      </c>
      <c r="C248" t="str">
        <f t="shared" ref="C248:C309" si="5">A248&amp;B248</f>
        <v>Metta/LUMetz</v>
      </c>
    </row>
    <row r="249" spans="1:3" x14ac:dyDescent="0.2">
      <c r="A249" t="s">
        <v>1246</v>
      </c>
      <c r="B249" t="s">
        <v>1829</v>
      </c>
      <c r="C249" t="str">
        <f t="shared" si="5"/>
        <v>Randers FCRangers</v>
      </c>
    </row>
    <row r="250" spans="1:3" x14ac:dyDescent="0.2">
      <c r="A250" t="s">
        <v>1248</v>
      </c>
      <c r="B250" t="s">
        <v>1490</v>
      </c>
      <c r="C250" t="str">
        <f t="shared" si="5"/>
        <v>RosenborgRotherham United</v>
      </c>
    </row>
    <row r="251" spans="1:3" x14ac:dyDescent="0.2">
      <c r="A251" t="s">
        <v>1250</v>
      </c>
      <c r="B251" t="s">
        <v>1566</v>
      </c>
      <c r="C251" t="str">
        <f t="shared" si="5"/>
        <v>StabaekStamford</v>
      </c>
    </row>
    <row r="252" spans="1:3" x14ac:dyDescent="0.2">
      <c r="A252" t="s">
        <v>1252</v>
      </c>
      <c r="B252" t="s">
        <v>1429</v>
      </c>
      <c r="C252" t="str">
        <f t="shared" si="5"/>
        <v>Zaglebie LubinZlatibor Cajetina</v>
      </c>
    </row>
    <row r="253" spans="1:3" x14ac:dyDescent="0.2">
      <c r="A253" t="s">
        <v>1254</v>
      </c>
      <c r="C253" t="str">
        <f t="shared" si="5"/>
        <v>Miedz Legnica</v>
      </c>
    </row>
    <row r="254" spans="1:3" x14ac:dyDescent="0.2">
      <c r="A254" t="s">
        <v>1256</v>
      </c>
      <c r="B254" t="s">
        <v>2109</v>
      </c>
      <c r="C254" t="str">
        <f t="shared" si="5"/>
        <v>Kamaz Nab ChelnyKAPYLAN PALLO</v>
      </c>
    </row>
    <row r="255" spans="1:3" x14ac:dyDescent="0.2">
      <c r="A255" t="s">
        <v>1257</v>
      </c>
      <c r="B255" t="s">
        <v>1257</v>
      </c>
      <c r="C255" t="str">
        <f t="shared" si="5"/>
        <v>BK HackenBK Hacken</v>
      </c>
    </row>
    <row r="256" spans="1:3" x14ac:dyDescent="0.2">
      <c r="A256" t="s">
        <v>1259</v>
      </c>
      <c r="B256" t="s">
        <v>1483</v>
      </c>
      <c r="C256" t="str">
        <f t="shared" si="5"/>
        <v>Orebro SKOldham</v>
      </c>
    </row>
    <row r="257" spans="1:3" x14ac:dyDescent="0.2">
      <c r="A257" t="s">
        <v>1261</v>
      </c>
      <c r="B257" t="s">
        <v>1470</v>
      </c>
      <c r="C257" t="str">
        <f t="shared" si="5"/>
        <v>Osters IFOxford United</v>
      </c>
    </row>
    <row r="258" spans="1:3" x14ac:dyDescent="0.2">
      <c r="A258" t="s">
        <v>1264</v>
      </c>
      <c r="B258" t="s">
        <v>303</v>
      </c>
      <c r="C258" t="str">
        <f t="shared" si="5"/>
        <v>CSKA SofiaCSKA</v>
      </c>
    </row>
    <row r="259" spans="1:3" x14ac:dyDescent="0.2">
      <c r="A259" t="s">
        <v>1265</v>
      </c>
      <c r="B259" t="s">
        <v>1747</v>
      </c>
      <c r="C259" t="str">
        <f t="shared" si="5"/>
        <v>FC BotosaniBohemian</v>
      </c>
    </row>
    <row r="260" spans="1:3" x14ac:dyDescent="0.2">
      <c r="A260" t="s">
        <v>1266</v>
      </c>
      <c r="B260" t="s">
        <v>1854</v>
      </c>
      <c r="C260" t="str">
        <f t="shared" si="5"/>
        <v>San Jose de OruroSan Antonio Cotacachi</v>
      </c>
    </row>
    <row r="261" spans="1:3" x14ac:dyDescent="0.2">
      <c r="A261" t="s">
        <v>1268</v>
      </c>
      <c r="B261" t="s">
        <v>2046</v>
      </c>
      <c r="C261" t="str">
        <f t="shared" si="5"/>
        <v>KA AkureyriKA Hafnarfjordur</v>
      </c>
    </row>
    <row r="262" spans="1:3" x14ac:dyDescent="0.2">
      <c r="A262" t="s">
        <v>426</v>
      </c>
      <c r="B262" t="s">
        <v>426</v>
      </c>
      <c r="C262" t="str">
        <f t="shared" si="5"/>
        <v>EnvigadoEnvigado</v>
      </c>
    </row>
    <row r="263" spans="1:3" x14ac:dyDescent="0.2">
      <c r="A263" t="s">
        <v>101</v>
      </c>
      <c r="B263" t="s">
        <v>101</v>
      </c>
      <c r="C263" t="str">
        <f t="shared" si="5"/>
        <v>Guayaquil City FCGuayaquil City FC</v>
      </c>
    </row>
    <row r="264" spans="1:3" x14ac:dyDescent="0.2">
      <c r="A264" t="s">
        <v>1271</v>
      </c>
      <c r="B264" t="s">
        <v>1465</v>
      </c>
      <c r="C264" t="str">
        <f t="shared" si="5"/>
        <v>Paysandu FCPau</v>
      </c>
    </row>
    <row r="265" spans="1:3" x14ac:dyDescent="0.2">
      <c r="A265" t="s">
        <v>115</v>
      </c>
      <c r="B265" t="s">
        <v>1984</v>
      </c>
      <c r="C265" t="str">
        <f t="shared" si="5"/>
        <v>Atlético-GOAtletico Goianiense</v>
      </c>
    </row>
    <row r="266" spans="1:3" x14ac:dyDescent="0.2">
      <c r="A266" t="s">
        <v>1273</v>
      </c>
      <c r="B266" t="s">
        <v>1320</v>
      </c>
      <c r="C266" t="str">
        <f t="shared" si="5"/>
        <v>Montevideo CityLiverpool Montevideo</v>
      </c>
    </row>
    <row r="267" spans="1:3" x14ac:dyDescent="0.2">
      <c r="A267" t="s">
        <v>1275</v>
      </c>
      <c r="B267" t="s">
        <v>1329</v>
      </c>
      <c r="C267" t="str">
        <f t="shared" si="5"/>
        <v>FlorestaFloriana</v>
      </c>
    </row>
    <row r="268" spans="1:3" x14ac:dyDescent="0.2">
      <c r="A268" t="s">
        <v>1277</v>
      </c>
      <c r="B268" t="s">
        <v>924</v>
      </c>
      <c r="C268" t="str">
        <f t="shared" si="5"/>
        <v>GuaraniGuarani SC</v>
      </c>
    </row>
    <row r="269" spans="1:3" x14ac:dyDescent="0.2">
      <c r="A269" t="s">
        <v>1279</v>
      </c>
      <c r="B269" t="s">
        <v>1380</v>
      </c>
      <c r="C269" t="str">
        <f t="shared" si="5"/>
        <v>Unión EspañolaUnion de Touarga</v>
      </c>
    </row>
    <row r="270" spans="1:3" x14ac:dyDescent="0.2">
      <c r="A270" t="s">
        <v>36</v>
      </c>
      <c r="B270" t="s">
        <v>1841</v>
      </c>
      <c r="C270" t="str">
        <f t="shared" si="5"/>
        <v>Club Deportivo CuencaDeportivo Cuenca</v>
      </c>
    </row>
    <row r="271" spans="1:3" x14ac:dyDescent="0.2">
      <c r="A271" t="s">
        <v>1281</v>
      </c>
      <c r="B271" t="s">
        <v>1976</v>
      </c>
      <c r="C271" t="str">
        <f t="shared" si="5"/>
        <v>Atlético FCAtletico Argentino</v>
      </c>
    </row>
    <row r="272" spans="1:3" x14ac:dyDescent="0.2">
      <c r="A272" t="s">
        <v>1283</v>
      </c>
      <c r="B272" t="s">
        <v>1314</v>
      </c>
      <c r="C272" t="str">
        <f t="shared" si="5"/>
        <v>Tauro FCTorque</v>
      </c>
    </row>
    <row r="273" spans="1:5" x14ac:dyDescent="0.2">
      <c r="A273" t="s">
        <v>188</v>
      </c>
      <c r="B273" t="s">
        <v>310</v>
      </c>
      <c r="C273" t="str">
        <f t="shared" si="5"/>
        <v>Academia de Balompie BolivianoABB</v>
      </c>
    </row>
    <row r="274" spans="1:5" x14ac:dyDescent="0.2">
      <c r="A274" t="s">
        <v>215</v>
      </c>
      <c r="B274" t="s">
        <v>1336</v>
      </c>
      <c r="C274" t="str">
        <f t="shared" si="5"/>
        <v>Canberra Croatia FCCanberra Croatia U23</v>
      </c>
    </row>
    <row r="275" spans="1:5" x14ac:dyDescent="0.2">
      <c r="A275" t="s">
        <v>217</v>
      </c>
      <c r="B275" t="s">
        <v>1413</v>
      </c>
      <c r="C275" t="str">
        <f t="shared" si="5"/>
        <v>Gangwon FCGangwon</v>
      </c>
    </row>
    <row r="276" spans="1:5" x14ac:dyDescent="0.2">
      <c r="A276" t="s">
        <v>225</v>
      </c>
      <c r="B276" t="s">
        <v>1369</v>
      </c>
      <c r="C276" t="str">
        <f t="shared" si="5"/>
        <v>FK Zalgiris Vilnius IIVMFD Zalgiris Vilnius II</v>
      </c>
    </row>
    <row r="277" spans="1:5" x14ac:dyDescent="0.2">
      <c r="A277" t="s">
        <v>227</v>
      </c>
      <c r="B277" t="s">
        <v>227</v>
      </c>
      <c r="C277" t="str">
        <f t="shared" si="5"/>
        <v>HelsingborgHelsingborg</v>
      </c>
    </row>
    <row r="278" spans="1:5" x14ac:dyDescent="0.2">
      <c r="A278" t="s">
        <v>19</v>
      </c>
      <c r="B278" t="s">
        <v>19</v>
      </c>
      <c r="C278" t="str">
        <f t="shared" si="5"/>
        <v>Belmont Swansea United SCBelmont Swansea United SC</v>
      </c>
    </row>
    <row r="279" spans="1:5" x14ac:dyDescent="0.2">
      <c r="A279" t="s">
        <v>32</v>
      </c>
      <c r="B279" t="s">
        <v>1754</v>
      </c>
      <c r="C279" t="str">
        <f t="shared" si="5"/>
        <v>Ham-KamHamKam</v>
      </c>
    </row>
    <row r="280" spans="1:5" x14ac:dyDescent="0.2">
      <c r="A280" t="s">
        <v>34</v>
      </c>
      <c r="B280" t="s">
        <v>1753</v>
      </c>
      <c r="C280" t="str">
        <f t="shared" si="5"/>
        <v>Viking FKViking</v>
      </c>
    </row>
    <row r="281" spans="1:5" x14ac:dyDescent="0.2">
      <c r="A281" t="s">
        <v>62</v>
      </c>
      <c r="B281" t="s">
        <v>62</v>
      </c>
      <c r="C281" t="str">
        <f t="shared" si="5"/>
        <v>LDU QuitoLDU Quito</v>
      </c>
    </row>
    <row r="282" spans="1:5" x14ac:dyDescent="0.2">
      <c r="A282" t="s">
        <v>84</v>
      </c>
      <c r="B282" t="s">
        <v>84</v>
      </c>
      <c r="C282" t="str">
        <f t="shared" si="5"/>
        <v>Austin FC IIAustin FC II</v>
      </c>
    </row>
    <row r="283" spans="1:5" x14ac:dyDescent="0.2">
      <c r="A283" s="7" t="s">
        <v>97</v>
      </c>
      <c r="B283" t="s">
        <v>2071</v>
      </c>
      <c r="C283" t="str">
        <f t="shared" si="5"/>
        <v>New York City FC IINew York City II</v>
      </c>
      <c r="E283" s="49" t="s">
        <v>4019</v>
      </c>
    </row>
    <row r="284" spans="1:5" x14ac:dyDescent="0.2">
      <c r="A284" s="8" t="s">
        <v>99</v>
      </c>
      <c r="B284" t="s">
        <v>2045</v>
      </c>
      <c r="C284" t="str">
        <f t="shared" si="5"/>
        <v xml:space="preserve">Throttur ReykjavikThrottur </v>
      </c>
    </row>
    <row r="285" spans="1:5" x14ac:dyDescent="0.2">
      <c r="A285" s="7" t="s">
        <v>105</v>
      </c>
      <c r="B285" t="s">
        <v>105</v>
      </c>
      <c r="C285" t="str">
        <f t="shared" si="5"/>
        <v>Rosario CentralRosario Central</v>
      </c>
    </row>
    <row r="286" spans="1:5" x14ac:dyDescent="0.2">
      <c r="A286" s="8" t="s">
        <v>107</v>
      </c>
      <c r="B286" t="s">
        <v>107</v>
      </c>
      <c r="C286" t="str">
        <f t="shared" si="5"/>
        <v>Argentinos JuniorsArgentinos Juniors</v>
      </c>
    </row>
    <row r="287" spans="1:5" x14ac:dyDescent="0.2">
      <c r="A287" s="7" t="s">
        <v>109</v>
      </c>
      <c r="B287" t="s">
        <v>1972</v>
      </c>
      <c r="C287" t="str">
        <f t="shared" si="5"/>
        <v>VitóriaVitoria BA</v>
      </c>
    </row>
    <row r="288" spans="1:5" x14ac:dyDescent="0.2">
      <c r="A288" s="8" t="s">
        <v>119</v>
      </c>
      <c r="B288" t="s">
        <v>1985</v>
      </c>
      <c r="C288" t="str">
        <f t="shared" si="5"/>
        <v>JuventudeEC Juventude</v>
      </c>
    </row>
    <row r="289" spans="1:3" x14ac:dyDescent="0.2">
      <c r="A289" s="7" t="s">
        <v>121</v>
      </c>
      <c r="B289" t="s">
        <v>121</v>
      </c>
      <c r="C289" t="str">
        <f t="shared" si="5"/>
        <v>AldosiviAldosivi</v>
      </c>
    </row>
    <row r="290" spans="1:3" x14ac:dyDescent="0.2">
      <c r="A290" s="7" t="s">
        <v>125</v>
      </c>
      <c r="B290" t="s">
        <v>2252</v>
      </c>
      <c r="C290" t="str">
        <f t="shared" si="5"/>
        <v>Green GullyGreen Gully SC</v>
      </c>
    </row>
    <row r="291" spans="1:3" x14ac:dyDescent="0.2">
      <c r="A291" s="8" t="s">
        <v>127</v>
      </c>
      <c r="B291" t="s">
        <v>392</v>
      </c>
      <c r="C291" t="str">
        <f t="shared" si="5"/>
        <v>Heidelberg UtdHeidelberg United</v>
      </c>
    </row>
    <row r="292" spans="1:3" x14ac:dyDescent="0.2">
      <c r="A292" s="8" t="s">
        <v>123</v>
      </c>
      <c r="B292" t="s">
        <v>2250</v>
      </c>
      <c r="C292" t="str">
        <f t="shared" si="5"/>
        <v>Manly UtdManly United</v>
      </c>
    </row>
    <row r="293" spans="1:3" x14ac:dyDescent="0.2">
      <c r="A293" s="7" t="s">
        <v>129</v>
      </c>
      <c r="B293" t="s">
        <v>129</v>
      </c>
      <c r="C293" t="str">
        <f t="shared" si="5"/>
        <v>St Albans SaintsSt Albans Saints</v>
      </c>
    </row>
    <row r="294" spans="1:3" x14ac:dyDescent="0.2">
      <c r="A294" s="8" t="s">
        <v>131</v>
      </c>
      <c r="B294" t="s">
        <v>131</v>
      </c>
      <c r="C294" t="str">
        <f t="shared" si="5"/>
        <v>Oakleigh CannonsOakleigh Cannons</v>
      </c>
    </row>
    <row r="295" spans="1:3" x14ac:dyDescent="0.2">
      <c r="A295" s="8" t="s">
        <v>135</v>
      </c>
      <c r="B295" t="s">
        <v>2588</v>
      </c>
      <c r="C295" t="str">
        <f t="shared" si="5"/>
        <v>Gimhae FC 2008Gimhae City</v>
      </c>
    </row>
    <row r="296" spans="1:3" x14ac:dyDescent="0.2">
      <c r="A296" s="7" t="s">
        <v>133</v>
      </c>
      <c r="B296" t="s">
        <v>133</v>
      </c>
      <c r="C296" t="str">
        <f t="shared" si="5"/>
        <v>Preston LionsPreston Lions</v>
      </c>
    </row>
    <row r="297" spans="1:3" x14ac:dyDescent="0.2">
      <c r="A297" s="7" t="s">
        <v>137</v>
      </c>
      <c r="B297" t="s">
        <v>2589</v>
      </c>
      <c r="C297" t="str">
        <f t="shared" si="5"/>
        <v>Seoul E-Land FCSeoul E-Land</v>
      </c>
    </row>
    <row r="298" spans="1:3" x14ac:dyDescent="0.2">
      <c r="A298" s="8" t="s">
        <v>147</v>
      </c>
      <c r="B298" t="s">
        <v>147</v>
      </c>
      <c r="C298" t="str">
        <f t="shared" si="5"/>
        <v>VolsungurVolsungur</v>
      </c>
    </row>
    <row r="299" spans="1:3" x14ac:dyDescent="0.2">
      <c r="A299" s="7" t="s">
        <v>149</v>
      </c>
      <c r="B299" t="s">
        <v>149</v>
      </c>
      <c r="C299" t="str">
        <f t="shared" si="5"/>
        <v>Cobh RamblersCobh Ramblers</v>
      </c>
    </row>
    <row r="300" spans="1:3" x14ac:dyDescent="0.2">
      <c r="A300" s="8" t="s">
        <v>151</v>
      </c>
      <c r="B300" t="s">
        <v>151</v>
      </c>
      <c r="C300" t="str">
        <f t="shared" si="5"/>
        <v>Kerry FCKerry FC</v>
      </c>
    </row>
    <row r="301" spans="1:3" x14ac:dyDescent="0.2">
      <c r="A301" s="7" t="s">
        <v>153</v>
      </c>
      <c r="B301" t="s">
        <v>2499</v>
      </c>
      <c r="C301" t="str">
        <f t="shared" si="5"/>
        <v>Treaty United FCTreaty United</v>
      </c>
    </row>
    <row r="302" spans="1:3" x14ac:dyDescent="0.2">
      <c r="A302" s="8" t="s">
        <v>155</v>
      </c>
      <c r="B302" t="s">
        <v>2500</v>
      </c>
      <c r="C302" t="str">
        <f t="shared" si="5"/>
        <v>UCDUC Dublin</v>
      </c>
    </row>
    <row r="303" spans="1:3" x14ac:dyDescent="0.2">
      <c r="A303" s="8" t="s">
        <v>159</v>
      </c>
      <c r="B303" t="s">
        <v>2542</v>
      </c>
      <c r="C303" t="str">
        <f t="shared" si="5"/>
        <v>2 de MayoCS 2 de Mayo</v>
      </c>
    </row>
    <row r="304" spans="1:3" x14ac:dyDescent="0.2">
      <c r="A304" s="7" t="s">
        <v>157</v>
      </c>
      <c r="B304" t="s">
        <v>2497</v>
      </c>
      <c r="C304" t="str">
        <f t="shared" si="5"/>
        <v>St PatricksSt Patrick's Athletic</v>
      </c>
    </row>
    <row r="305" spans="1:3" x14ac:dyDescent="0.2">
      <c r="A305" s="8" t="s">
        <v>163</v>
      </c>
      <c r="B305" t="s">
        <v>2489</v>
      </c>
      <c r="C305" t="str">
        <f t="shared" si="5"/>
        <v xml:space="preserve">FjolnirFjolnir </v>
      </c>
    </row>
    <row r="306" spans="1:3" x14ac:dyDescent="0.2">
      <c r="A306" s="7" t="s">
        <v>165</v>
      </c>
      <c r="B306" t="s">
        <v>2230</v>
      </c>
      <c r="C306" t="str">
        <f t="shared" si="5"/>
        <v>Gimnasia (M)Gimnasia Mendoza</v>
      </c>
    </row>
    <row r="307" spans="1:3" x14ac:dyDescent="0.2">
      <c r="A307" s="8" t="s">
        <v>171</v>
      </c>
      <c r="B307" t="s">
        <v>171</v>
      </c>
      <c r="C307" t="str">
        <f t="shared" si="5"/>
        <v>Alianza AtleticoAlianza Atletico</v>
      </c>
    </row>
    <row r="308" spans="1:3" x14ac:dyDescent="0.2">
      <c r="A308" s="7" t="s">
        <v>169</v>
      </c>
      <c r="B308" t="s">
        <v>169</v>
      </c>
      <c r="C308" t="str">
        <f t="shared" si="5"/>
        <v>Hviti RiddarinnHviti Riddarinn</v>
      </c>
    </row>
    <row r="309" spans="1:3" x14ac:dyDescent="0.2">
      <c r="A309" s="7" t="s">
        <v>173</v>
      </c>
      <c r="B309" t="s">
        <v>420</v>
      </c>
      <c r="C309" t="str">
        <f t="shared" si="5"/>
        <v>Deportes QuindíoDeportes Quindio</v>
      </c>
    </row>
    <row r="310" spans="1:3" x14ac:dyDescent="0.2">
      <c r="A310" s="8" t="s">
        <v>175</v>
      </c>
      <c r="B310" t="s">
        <v>2543</v>
      </c>
      <c r="C310" t="str">
        <f t="shared" ref="C310:C373" si="6">A310&amp;B310</f>
        <v>Cerro PorteñoCerro Porteno</v>
      </c>
    </row>
    <row r="311" spans="1:3" x14ac:dyDescent="0.2">
      <c r="A311" s="7" t="s">
        <v>181</v>
      </c>
      <c r="B311" t="s">
        <v>181</v>
      </c>
      <c r="C311" t="str">
        <f t="shared" si="6"/>
        <v>HFX WanderersHFX Wanderers</v>
      </c>
    </row>
    <row r="312" spans="1:3" x14ac:dyDescent="0.2">
      <c r="A312" s="7" t="s">
        <v>177</v>
      </c>
      <c r="B312" t="s">
        <v>2232</v>
      </c>
      <c r="C312" t="str">
        <f t="shared" si="6"/>
        <v>Racing ClubRacing Avellaneda</v>
      </c>
    </row>
    <row r="313" spans="1:3" x14ac:dyDescent="0.2">
      <c r="A313" s="8" t="s">
        <v>183</v>
      </c>
      <c r="B313" t="s">
        <v>2391</v>
      </c>
      <c r="C313" t="str">
        <f t="shared" si="6"/>
        <v>Unión La CaleraUnion La Calera</v>
      </c>
    </row>
    <row r="314" spans="1:3" x14ac:dyDescent="0.2">
      <c r="A314" s="8" t="s">
        <v>179</v>
      </c>
      <c r="B314" t="s">
        <v>2233</v>
      </c>
      <c r="C314" t="str">
        <f t="shared" si="6"/>
        <v>Vélez SarsfieldVelez Sarsfield</v>
      </c>
    </row>
    <row r="315" spans="1:3" x14ac:dyDescent="0.2">
      <c r="A315" s="7" t="s">
        <v>185</v>
      </c>
      <c r="B315" t="s">
        <v>1323</v>
      </c>
      <c r="C315" t="str">
        <f t="shared" si="6"/>
        <v>NacionalNacional De Football</v>
      </c>
    </row>
    <row r="316" spans="1:3" x14ac:dyDescent="0.2">
      <c r="A316" s="8" t="s">
        <v>191</v>
      </c>
      <c r="B316" t="s">
        <v>191</v>
      </c>
      <c r="C316" t="str">
        <f t="shared" si="6"/>
        <v>New York Red Bulls IINew York Red Bulls II</v>
      </c>
    </row>
    <row r="317" spans="1:3" x14ac:dyDescent="0.2">
      <c r="A317" s="7" t="s">
        <v>189</v>
      </c>
      <c r="B317" t="s">
        <v>189</v>
      </c>
      <c r="C317" t="str">
        <f t="shared" si="6"/>
        <v>Tigres FCTigres FC</v>
      </c>
    </row>
    <row r="318" spans="1:3" x14ac:dyDescent="0.2">
      <c r="A318" s="7" t="s">
        <v>193</v>
      </c>
      <c r="B318" t="s">
        <v>193</v>
      </c>
      <c r="C318" t="str">
        <f t="shared" si="6"/>
        <v>LlanerosLlaneros</v>
      </c>
    </row>
    <row r="319" spans="1:3" x14ac:dyDescent="0.2">
      <c r="A319" s="8" t="s">
        <v>195</v>
      </c>
      <c r="C319" t="str">
        <f t="shared" si="6"/>
        <v>Birmingham Legion FC</v>
      </c>
    </row>
    <row r="320" spans="1:3" x14ac:dyDescent="0.2">
      <c r="A320" s="7" t="s">
        <v>197</v>
      </c>
      <c r="B320" t="s">
        <v>2235</v>
      </c>
      <c r="C320" t="str">
        <f t="shared" si="6"/>
        <v>HuracánAtletico Huracan</v>
      </c>
    </row>
    <row r="321" spans="1:3" x14ac:dyDescent="0.2">
      <c r="A321" s="8" t="s">
        <v>199</v>
      </c>
      <c r="B321" t="s">
        <v>2236</v>
      </c>
      <c r="C321" t="str">
        <f t="shared" si="6"/>
        <v>PlatenseCA Platense</v>
      </c>
    </row>
    <row r="322" spans="1:3" x14ac:dyDescent="0.2">
      <c r="A322" s="7" t="s">
        <v>201</v>
      </c>
      <c r="B322" t="s">
        <v>201</v>
      </c>
      <c r="C322" t="str">
        <f t="shared" si="6"/>
        <v>Colo ColoColo Colo</v>
      </c>
    </row>
    <row r="323" spans="1:3" x14ac:dyDescent="0.2">
      <c r="A323" s="8" t="s">
        <v>203</v>
      </c>
      <c r="B323" t="s">
        <v>203</v>
      </c>
      <c r="C323" t="str">
        <f t="shared" si="6"/>
        <v>Deportes IquiqueDeportes Iquique</v>
      </c>
    </row>
    <row r="324" spans="1:3" x14ac:dyDescent="0.2">
      <c r="A324" s="7" t="s">
        <v>205</v>
      </c>
      <c r="B324" t="s">
        <v>205</v>
      </c>
      <c r="C324" t="str">
        <f t="shared" si="6"/>
        <v>Deportivo CaliDeportivo Cali</v>
      </c>
    </row>
    <row r="325" spans="1:3" x14ac:dyDescent="0.2">
      <c r="A325" s="8" t="s">
        <v>207</v>
      </c>
      <c r="B325" t="s">
        <v>2541</v>
      </c>
      <c r="C325" t="str">
        <f t="shared" si="6"/>
        <v>CD Arabe UnidoArabe Unido</v>
      </c>
    </row>
    <row r="326" spans="1:3" x14ac:dyDescent="0.2">
      <c r="A326" s="7" t="s">
        <v>209</v>
      </c>
      <c r="B326" t="s">
        <v>209</v>
      </c>
      <c r="C326" t="str">
        <f t="shared" si="6"/>
        <v>Universitario de DeportesUniversitario de Deportes</v>
      </c>
    </row>
    <row r="327" spans="1:3" x14ac:dyDescent="0.2">
      <c r="A327" s="8" t="s">
        <v>211</v>
      </c>
      <c r="B327" t="s">
        <v>2390</v>
      </c>
      <c r="C327" t="str">
        <f t="shared" si="6"/>
        <v>Vancouver FCVancouver Langley</v>
      </c>
    </row>
    <row r="328" spans="1:3" x14ac:dyDescent="0.2">
      <c r="A328" s="7" t="s">
        <v>126</v>
      </c>
      <c r="B328" t="s">
        <v>126</v>
      </c>
      <c r="C328" t="str">
        <f t="shared" si="6"/>
        <v>Dandenong CityDandenong City</v>
      </c>
    </row>
    <row r="329" spans="1:3" x14ac:dyDescent="0.2">
      <c r="A329" s="8" t="s">
        <v>128</v>
      </c>
      <c r="B329" t="s">
        <v>2253</v>
      </c>
      <c r="C329" t="str">
        <f t="shared" si="6"/>
        <v>Caroline Springs George Cross FCSunshine George Cross</v>
      </c>
    </row>
    <row r="330" spans="1:3" x14ac:dyDescent="0.2">
      <c r="A330" s="8" t="s">
        <v>124</v>
      </c>
      <c r="B330" t="s">
        <v>124</v>
      </c>
      <c r="C330" t="str">
        <f t="shared" si="6"/>
        <v>Sydney OlympicSydney Olympic</v>
      </c>
    </row>
    <row r="331" spans="1:3" x14ac:dyDescent="0.2">
      <c r="A331" s="7" t="s">
        <v>130</v>
      </c>
      <c r="B331" t="s">
        <v>130</v>
      </c>
      <c r="C331" t="str">
        <f t="shared" si="6"/>
        <v>Hume CityHume City</v>
      </c>
    </row>
    <row r="332" spans="1:3" x14ac:dyDescent="0.2">
      <c r="A332" s="8" t="s">
        <v>132</v>
      </c>
      <c r="B332" t="s">
        <v>2254</v>
      </c>
      <c r="C332" t="str">
        <f t="shared" si="6"/>
        <v>South MelbourneSouth Melbourne FC</v>
      </c>
    </row>
    <row r="333" spans="1:3" x14ac:dyDescent="0.2">
      <c r="A333" s="8" t="s">
        <v>136</v>
      </c>
      <c r="B333" t="s">
        <v>136</v>
      </c>
      <c r="C333" t="str">
        <f t="shared" si="6"/>
        <v>Chungbuk CheongjuChungbuk Cheongju</v>
      </c>
    </row>
    <row r="334" spans="1:3" x14ac:dyDescent="0.2">
      <c r="A334" s="7" t="s">
        <v>134</v>
      </c>
      <c r="B334" t="s">
        <v>134</v>
      </c>
      <c r="C334" t="str">
        <f t="shared" si="6"/>
        <v>Bentleigh GreensBentleigh Greens</v>
      </c>
    </row>
    <row r="335" spans="1:3" x14ac:dyDescent="0.2">
      <c r="A335" s="7" t="s">
        <v>138</v>
      </c>
      <c r="B335" t="s">
        <v>138</v>
      </c>
      <c r="C335" t="str">
        <f t="shared" si="6"/>
        <v>Cheonan CityCheonan City</v>
      </c>
    </row>
    <row r="336" spans="1:3" x14ac:dyDescent="0.2">
      <c r="A336" s="8" t="s">
        <v>148</v>
      </c>
      <c r="B336" t="s">
        <v>148</v>
      </c>
      <c r="C336" t="str">
        <f t="shared" si="6"/>
        <v>GrindavikGrindavik</v>
      </c>
    </row>
    <row r="337" spans="1:3" x14ac:dyDescent="0.2">
      <c r="A337" s="7" t="s">
        <v>150</v>
      </c>
      <c r="B337" t="s">
        <v>2498</v>
      </c>
      <c r="C337" t="str">
        <f t="shared" si="6"/>
        <v>BrayBray Wanderers</v>
      </c>
    </row>
    <row r="338" spans="1:3" x14ac:dyDescent="0.2">
      <c r="A338" s="8" t="s">
        <v>152</v>
      </c>
      <c r="B338" t="s">
        <v>152</v>
      </c>
      <c r="C338" t="str">
        <f t="shared" si="6"/>
        <v>Finn HarpsFinn Harps</v>
      </c>
    </row>
    <row r="339" spans="1:3" x14ac:dyDescent="0.2">
      <c r="A339" s="7" t="s">
        <v>154</v>
      </c>
      <c r="B339" t="s">
        <v>154</v>
      </c>
      <c r="C339" t="str">
        <f t="shared" si="6"/>
        <v>Athlone TownAthlone Town</v>
      </c>
    </row>
    <row r="340" spans="1:3" x14ac:dyDescent="0.2">
      <c r="A340" s="8" t="s">
        <v>156</v>
      </c>
      <c r="B340" t="s">
        <v>2501</v>
      </c>
      <c r="C340" t="str">
        <f t="shared" si="6"/>
        <v>CorkCork City</v>
      </c>
    </row>
    <row r="341" spans="1:3" x14ac:dyDescent="0.2">
      <c r="A341" s="8" t="s">
        <v>160</v>
      </c>
      <c r="B341" t="s">
        <v>160</v>
      </c>
      <c r="C341" t="str">
        <f t="shared" si="6"/>
        <v>Rubio NuRubio Nu</v>
      </c>
    </row>
    <row r="342" spans="1:3" x14ac:dyDescent="0.2">
      <c r="A342" s="7" t="s">
        <v>158</v>
      </c>
      <c r="B342" t="s">
        <v>158</v>
      </c>
      <c r="C342" t="str">
        <f t="shared" si="6"/>
        <v>DundalkDundalk</v>
      </c>
    </row>
    <row r="343" spans="1:3" x14ac:dyDescent="0.2">
      <c r="A343" s="8" t="s">
        <v>164</v>
      </c>
      <c r="B343" t="s">
        <v>164</v>
      </c>
      <c r="C343" t="str">
        <f t="shared" si="6"/>
        <v>HaukarHaukar</v>
      </c>
    </row>
    <row r="344" spans="1:3" x14ac:dyDescent="0.2">
      <c r="A344" s="7" t="s">
        <v>166</v>
      </c>
      <c r="B344" t="s">
        <v>2231</v>
      </c>
      <c r="C344" t="str">
        <f t="shared" si="6"/>
        <v>Ctral. Córdoba SECentral Cordoba SDE</v>
      </c>
    </row>
    <row r="345" spans="1:3" x14ac:dyDescent="0.2">
      <c r="A345" s="8" t="s">
        <v>172</v>
      </c>
      <c r="B345" t="s">
        <v>2545</v>
      </c>
      <c r="C345" t="str">
        <f t="shared" si="6"/>
        <v>CD Los ChankasCSD Santa Rosa</v>
      </c>
    </row>
    <row r="346" spans="1:3" x14ac:dyDescent="0.2">
      <c r="A346" s="7" t="s">
        <v>170</v>
      </c>
      <c r="B346" t="s">
        <v>170</v>
      </c>
      <c r="C346" t="str">
        <f t="shared" si="6"/>
        <v>KariKari</v>
      </c>
    </row>
    <row r="347" spans="1:3" x14ac:dyDescent="0.2">
      <c r="A347" s="7" t="s">
        <v>174</v>
      </c>
      <c r="B347" t="s">
        <v>2396</v>
      </c>
      <c r="C347" t="str">
        <f t="shared" si="6"/>
        <v>Boca Juniors De CaliUniversitario Popayan</v>
      </c>
    </row>
    <row r="348" spans="1:3" x14ac:dyDescent="0.2">
      <c r="A348" s="8" t="s">
        <v>176</v>
      </c>
      <c r="B348" t="s">
        <v>176</v>
      </c>
      <c r="C348" t="str">
        <f t="shared" si="6"/>
        <v>Sportivo TrinidenseSportivo Trinidense</v>
      </c>
    </row>
    <row r="349" spans="1:3" x14ac:dyDescent="0.2">
      <c r="A349" s="7" t="s">
        <v>182</v>
      </c>
      <c r="B349" t="s">
        <v>182</v>
      </c>
      <c r="C349" t="str">
        <f t="shared" si="6"/>
        <v>Supra du QuebecSupra du Quebec</v>
      </c>
    </row>
    <row r="350" spans="1:3" x14ac:dyDescent="0.2">
      <c r="A350" s="7" t="s">
        <v>178</v>
      </c>
      <c r="B350" t="s">
        <v>178</v>
      </c>
      <c r="C350" t="str">
        <f t="shared" si="6"/>
        <v>Gimnasia La PlataGimnasia La Plata</v>
      </c>
    </row>
    <row r="351" spans="1:3" x14ac:dyDescent="0.2">
      <c r="A351" s="8" t="s">
        <v>184</v>
      </c>
      <c r="B351" t="s">
        <v>2392</v>
      </c>
      <c r="C351" t="str">
        <f t="shared" si="6"/>
        <v>Everton CDEverton de Vina</v>
      </c>
    </row>
    <row r="352" spans="1:3" x14ac:dyDescent="0.2">
      <c r="A352" s="8" t="s">
        <v>180</v>
      </c>
      <c r="B352" t="s">
        <v>2234</v>
      </c>
      <c r="C352" t="str">
        <f t="shared" si="6"/>
        <v>Instituto de CórdobaInstituto de Cordoba</v>
      </c>
    </row>
    <row r="353" spans="1:3" x14ac:dyDescent="0.2">
      <c r="A353" s="7" t="s">
        <v>186</v>
      </c>
      <c r="B353" t="s">
        <v>2614</v>
      </c>
      <c r="C353" t="str">
        <f t="shared" si="6"/>
        <v>ProgresoClub Atletico Progreso</v>
      </c>
    </row>
    <row r="354" spans="1:3" x14ac:dyDescent="0.2">
      <c r="A354" s="8" t="s">
        <v>192</v>
      </c>
      <c r="B354" t="s">
        <v>192</v>
      </c>
      <c r="C354" t="str">
        <f t="shared" si="6"/>
        <v>Crown LegacyCrown Legacy</v>
      </c>
    </row>
    <row r="355" spans="1:3" x14ac:dyDescent="0.2">
      <c r="A355" s="7" t="s">
        <v>190</v>
      </c>
      <c r="B355" t="s">
        <v>100</v>
      </c>
      <c r="C355" t="str">
        <f t="shared" si="6"/>
        <v>Itagui LeonesLeones FC</v>
      </c>
    </row>
    <row r="356" spans="1:3" x14ac:dyDescent="0.2">
      <c r="A356" s="7" t="s">
        <v>194</v>
      </c>
      <c r="B356" t="s">
        <v>194</v>
      </c>
      <c r="C356" t="str">
        <f t="shared" si="6"/>
        <v>Deportivo PereiraDeportivo Pereira</v>
      </c>
    </row>
    <row r="357" spans="1:3" x14ac:dyDescent="0.2">
      <c r="A357" s="8" t="s">
        <v>196</v>
      </c>
      <c r="C357" t="str">
        <f t="shared" si="6"/>
        <v>New Mexico United</v>
      </c>
    </row>
    <row r="358" spans="1:3" x14ac:dyDescent="0.2">
      <c r="A358" s="7" t="s">
        <v>198</v>
      </c>
      <c r="B358" t="s">
        <v>198</v>
      </c>
      <c r="C358" t="str">
        <f t="shared" si="6"/>
        <v>BanfieldBanfield</v>
      </c>
    </row>
    <row r="359" spans="1:3" x14ac:dyDescent="0.2">
      <c r="A359" s="8" t="s">
        <v>200</v>
      </c>
      <c r="B359" t="s">
        <v>2237</v>
      </c>
      <c r="C359" t="str">
        <f t="shared" si="6"/>
        <v>Unión de Santa FeUnion de Santa Fe</v>
      </c>
    </row>
    <row r="360" spans="1:3" x14ac:dyDescent="0.2">
      <c r="A360" s="7" t="s">
        <v>202</v>
      </c>
      <c r="B360" t="s">
        <v>202</v>
      </c>
      <c r="C360" t="str">
        <f t="shared" si="6"/>
        <v>Deportes LimacheDeportes Limache</v>
      </c>
    </row>
    <row r="361" spans="1:3" x14ac:dyDescent="0.2">
      <c r="A361" s="8" t="s">
        <v>204</v>
      </c>
      <c r="B361" t="s">
        <v>204</v>
      </c>
      <c r="C361" t="str">
        <f t="shared" si="6"/>
        <v>Deportes TemucoDeportes Temuco</v>
      </c>
    </row>
    <row r="362" spans="1:3" x14ac:dyDescent="0.2">
      <c r="A362" s="7" t="s">
        <v>206</v>
      </c>
      <c r="B362" t="s">
        <v>2395</v>
      </c>
      <c r="C362" t="str">
        <f t="shared" si="6"/>
        <v>Jaguares de CórdobaJaguares de Cordoba</v>
      </c>
    </row>
    <row r="363" spans="1:3" x14ac:dyDescent="0.2">
      <c r="A363" s="8" t="s">
        <v>208</v>
      </c>
      <c r="B363" t="s">
        <v>208</v>
      </c>
      <c r="C363" t="str">
        <f t="shared" si="6"/>
        <v>Plaza AmadorPlaza Amador</v>
      </c>
    </row>
    <row r="364" spans="1:3" x14ac:dyDescent="0.2">
      <c r="A364" s="7" t="s">
        <v>210</v>
      </c>
      <c r="B364" t="s">
        <v>210</v>
      </c>
      <c r="C364" t="str">
        <f t="shared" si="6"/>
        <v>Cusco FCCusco FC</v>
      </c>
    </row>
    <row r="365" spans="1:3" x14ac:dyDescent="0.2">
      <c r="A365" s="8" t="s">
        <v>212</v>
      </c>
      <c r="B365" t="s">
        <v>212</v>
      </c>
      <c r="C365" t="str">
        <f t="shared" si="6"/>
        <v>Cavalry FCCavalry FC</v>
      </c>
    </row>
    <row r="366" spans="1:3" x14ac:dyDescent="0.2">
      <c r="A366" s="7" t="s">
        <v>491</v>
      </c>
      <c r="B366" t="s">
        <v>491</v>
      </c>
      <c r="C366" t="str">
        <f t="shared" si="6"/>
        <v>Cooks Hill UnitedCooks Hill United</v>
      </c>
    </row>
    <row r="367" spans="1:3" x14ac:dyDescent="0.2">
      <c r="A367" s="8" t="s">
        <v>493</v>
      </c>
      <c r="B367" t="s">
        <v>493</v>
      </c>
      <c r="C367" t="str">
        <f t="shared" si="6"/>
        <v>Canberra OlympicCanberra Olympic</v>
      </c>
    </row>
    <row r="368" spans="1:3" x14ac:dyDescent="0.2">
      <c r="A368" s="7" t="s">
        <v>24</v>
      </c>
      <c r="B368" t="s">
        <v>24</v>
      </c>
      <c r="C368" t="str">
        <f t="shared" si="6"/>
        <v>Launceston UnitedLaunceston United</v>
      </c>
    </row>
    <row r="369" spans="1:3" x14ac:dyDescent="0.2">
      <c r="A369" s="8" t="s">
        <v>496</v>
      </c>
      <c r="B369" t="s">
        <v>496</v>
      </c>
      <c r="C369" t="str">
        <f t="shared" si="6"/>
        <v>Riverside OlympicRiverside Olympic</v>
      </c>
    </row>
    <row r="370" spans="1:3" x14ac:dyDescent="0.2">
      <c r="A370" s="8" t="s">
        <v>499</v>
      </c>
      <c r="B370" t="s">
        <v>499</v>
      </c>
      <c r="C370" t="str">
        <f t="shared" si="6"/>
        <v>Adelaide CityAdelaide City</v>
      </c>
    </row>
    <row r="371" spans="1:3" x14ac:dyDescent="0.2">
      <c r="A371" s="7" t="s">
        <v>497</v>
      </c>
      <c r="B371" t="s">
        <v>497</v>
      </c>
      <c r="C371" t="str">
        <f t="shared" si="6"/>
        <v>Brindabella Blues FCBrindabella Blues FC</v>
      </c>
    </row>
    <row r="372" spans="1:3" x14ac:dyDescent="0.2">
      <c r="A372" s="7" t="s">
        <v>501</v>
      </c>
      <c r="B372" t="s">
        <v>2806</v>
      </c>
      <c r="C372" t="str">
        <f t="shared" si="6"/>
        <v>Croydon FCCroydon Kings</v>
      </c>
    </row>
    <row r="373" spans="1:3" x14ac:dyDescent="0.2">
      <c r="A373" s="8" t="s">
        <v>503</v>
      </c>
      <c r="B373" t="s">
        <v>2810</v>
      </c>
      <c r="C373" t="str">
        <f t="shared" si="6"/>
        <v>Melbourne City FC 2Melbourne City Reserves</v>
      </c>
    </row>
    <row r="374" spans="1:3" x14ac:dyDescent="0.2">
      <c r="A374" s="7" t="s">
        <v>505</v>
      </c>
      <c r="B374" t="s">
        <v>505</v>
      </c>
      <c r="C374" t="str">
        <f t="shared" ref="C374:C437" si="7">A374&amp;B374</f>
        <v>Adelaide CometsAdelaide Comets</v>
      </c>
    </row>
    <row r="375" spans="1:3" x14ac:dyDescent="0.2">
      <c r="A375" s="8" t="s">
        <v>507</v>
      </c>
      <c r="B375" t="s">
        <v>2808</v>
      </c>
      <c r="C375" t="str">
        <f t="shared" si="7"/>
        <v>Adelaide United NPLAdelaide United U21</v>
      </c>
    </row>
    <row r="376" spans="1:3" x14ac:dyDescent="0.2">
      <c r="A376" s="7" t="s">
        <v>509</v>
      </c>
      <c r="B376" t="s">
        <v>509</v>
      </c>
      <c r="C376" t="str">
        <f t="shared" si="7"/>
        <v>Para Hills KnightsPara Hills Knights</v>
      </c>
    </row>
    <row r="377" spans="1:3" x14ac:dyDescent="0.2">
      <c r="A377" s="8" t="s">
        <v>511</v>
      </c>
      <c r="B377" t="s">
        <v>511</v>
      </c>
      <c r="C377" t="str">
        <f t="shared" si="7"/>
        <v>Belconnen UnitedBelconnen United</v>
      </c>
    </row>
    <row r="378" spans="1:3" x14ac:dyDescent="0.2">
      <c r="A378" s="7" t="s">
        <v>513</v>
      </c>
      <c r="B378" t="s">
        <v>513</v>
      </c>
      <c r="C378" t="str">
        <f t="shared" si="7"/>
        <v>Maitland FCMaitland FC</v>
      </c>
    </row>
    <row r="379" spans="1:3" x14ac:dyDescent="0.2">
      <c r="A379" s="8" t="s">
        <v>515</v>
      </c>
      <c r="B379" t="s">
        <v>515</v>
      </c>
      <c r="C379" t="str">
        <f t="shared" si="7"/>
        <v>Valentine PhoenixValentine Phoenix</v>
      </c>
    </row>
    <row r="380" spans="1:3" x14ac:dyDescent="0.2">
      <c r="A380" s="8" t="s">
        <v>519</v>
      </c>
      <c r="B380" t="s">
        <v>519</v>
      </c>
      <c r="C380" t="str">
        <f t="shared" si="7"/>
        <v>Dandenong ThunderDandenong Thunder</v>
      </c>
    </row>
    <row r="381" spans="1:3" x14ac:dyDescent="0.2">
      <c r="A381" s="7" t="s">
        <v>522</v>
      </c>
      <c r="B381" t="s">
        <v>522</v>
      </c>
      <c r="C381" t="str">
        <f t="shared" si="7"/>
        <v>Perth Glory U21Perth Glory U21</v>
      </c>
    </row>
    <row r="382" spans="1:3" x14ac:dyDescent="0.2">
      <c r="A382" s="8" t="s">
        <v>524</v>
      </c>
      <c r="B382" t="s">
        <v>2812</v>
      </c>
      <c r="C382" t="str">
        <f t="shared" si="7"/>
        <v>Perth RedStar FCPerth RedStar</v>
      </c>
    </row>
    <row r="383" spans="1:3" x14ac:dyDescent="0.2">
      <c r="A383" s="7" t="s">
        <v>526</v>
      </c>
      <c r="B383" t="s">
        <v>2813</v>
      </c>
      <c r="C383" t="str">
        <f t="shared" si="7"/>
        <v>Perth SCPerth Azzurri</v>
      </c>
    </row>
    <row r="384" spans="1:3" x14ac:dyDescent="0.2">
      <c r="A384" s="7" t="s">
        <v>517</v>
      </c>
      <c r="B384" t="s">
        <v>2794</v>
      </c>
      <c r="C384" t="str">
        <f t="shared" si="7"/>
        <v>SD RaidersSD Raiders FC</v>
      </c>
    </row>
    <row r="385" spans="1:3" x14ac:dyDescent="0.2">
      <c r="A385" s="8" t="s">
        <v>527</v>
      </c>
      <c r="B385" t="s">
        <v>2815</v>
      </c>
      <c r="C385" t="str">
        <f t="shared" si="7"/>
        <v>Stirling MacedoniaStirling Lions</v>
      </c>
    </row>
    <row r="386" spans="1:3" x14ac:dyDescent="0.2">
      <c r="A386" s="7" t="s">
        <v>529</v>
      </c>
      <c r="B386" t="s">
        <v>529</v>
      </c>
      <c r="C386" t="str">
        <f t="shared" si="7"/>
        <v>Western KnightsWestern Knights</v>
      </c>
    </row>
    <row r="387" spans="1:3" x14ac:dyDescent="0.2">
      <c r="A387" s="8" t="s">
        <v>531</v>
      </c>
      <c r="B387" t="s">
        <v>2795</v>
      </c>
      <c r="C387" t="str">
        <f t="shared" si="7"/>
        <v>NWS Spirit FCSpirit FC</v>
      </c>
    </row>
    <row r="388" spans="1:3" x14ac:dyDescent="0.2">
      <c r="A388" s="8" t="s">
        <v>534</v>
      </c>
      <c r="B388" t="s">
        <v>2796</v>
      </c>
      <c r="C388" t="str">
        <f t="shared" si="7"/>
        <v>Apia L TigersAPIA Leichhardt Tigers</v>
      </c>
    </row>
    <row r="389" spans="1:3" x14ac:dyDescent="0.2">
      <c r="A389" s="7" t="s">
        <v>533</v>
      </c>
      <c r="B389" t="s">
        <v>903</v>
      </c>
      <c r="C389" t="str">
        <f t="shared" si="7"/>
        <v>Tigers FCCooma</v>
      </c>
    </row>
    <row r="390" spans="1:3" x14ac:dyDescent="0.2">
      <c r="A390" s="7" t="s">
        <v>537</v>
      </c>
      <c r="B390" t="s">
        <v>537</v>
      </c>
      <c r="C390" t="str">
        <f t="shared" si="7"/>
        <v>Gold Coast KnightsGold Coast Knights</v>
      </c>
    </row>
    <row r="391" spans="1:3" x14ac:dyDescent="0.2">
      <c r="A391" s="8" t="s">
        <v>539</v>
      </c>
      <c r="B391" t="s">
        <v>2798</v>
      </c>
      <c r="C391" t="str">
        <f t="shared" si="7"/>
        <v>St George SaintsSt George</v>
      </c>
    </row>
    <row r="392" spans="1:3" x14ac:dyDescent="0.2">
      <c r="A392" s="7" t="s">
        <v>541</v>
      </c>
      <c r="B392" t="s">
        <v>2800</v>
      </c>
      <c r="C392" t="str">
        <f t="shared" si="7"/>
        <v>St George City FASt George City</v>
      </c>
    </row>
    <row r="393" spans="1:3" x14ac:dyDescent="0.2">
      <c r="A393" s="7" t="s">
        <v>402</v>
      </c>
      <c r="B393" t="s">
        <v>402</v>
      </c>
      <c r="C393" t="str">
        <f t="shared" si="7"/>
        <v>Dalian KeweiDalian Kewei</v>
      </c>
    </row>
    <row r="394" spans="1:3" x14ac:dyDescent="0.2">
      <c r="A394" s="8" t="s">
        <v>544</v>
      </c>
      <c r="B394" t="s">
        <v>409</v>
      </c>
      <c r="C394" t="str">
        <f t="shared" si="7"/>
        <v>Qingdao HainiuQingdao Jonoon</v>
      </c>
    </row>
    <row r="395" spans="1:3" x14ac:dyDescent="0.2">
      <c r="A395" s="8" t="s">
        <v>548</v>
      </c>
      <c r="B395" t="s">
        <v>2809</v>
      </c>
      <c r="C395" t="str">
        <f t="shared" si="7"/>
        <v>MetrostarsNorth Eastern MetroStars</v>
      </c>
    </row>
    <row r="396" spans="1:3" x14ac:dyDescent="0.2">
      <c r="A396" s="7" t="s">
        <v>550</v>
      </c>
      <c r="B396" t="s">
        <v>3637</v>
      </c>
      <c r="C396" t="str">
        <f t="shared" si="7"/>
        <v>Busan I ParkBusan IPark</v>
      </c>
    </row>
    <row r="397" spans="1:3" x14ac:dyDescent="0.2">
      <c r="A397" s="8" t="s">
        <v>552</v>
      </c>
      <c r="B397" t="s">
        <v>3639</v>
      </c>
      <c r="C397" t="str">
        <f t="shared" si="7"/>
        <v>Daegu FCDaegu</v>
      </c>
    </row>
    <row r="398" spans="1:3" x14ac:dyDescent="0.2">
      <c r="A398" s="7" t="s">
        <v>30</v>
      </c>
      <c r="B398" t="s">
        <v>1599</v>
      </c>
      <c r="C398" t="str">
        <f t="shared" si="7"/>
        <v>Gimcheon Sangmu FCSangju Sangmu</v>
      </c>
    </row>
    <row r="399" spans="1:3" x14ac:dyDescent="0.2">
      <c r="A399" s="7" t="s">
        <v>554</v>
      </c>
      <c r="B399" t="s">
        <v>3640</v>
      </c>
      <c r="C399" t="str">
        <f t="shared" si="7"/>
        <v>Hwaseong FCHwaseong</v>
      </c>
    </row>
    <row r="400" spans="1:3" x14ac:dyDescent="0.2">
      <c r="A400" s="8" t="s">
        <v>556</v>
      </c>
      <c r="B400" t="s">
        <v>556</v>
      </c>
      <c r="C400" t="str">
        <f t="shared" si="7"/>
        <v>Jeonnam DragonsJeonnam Dragons</v>
      </c>
    </row>
    <row r="401" spans="1:3" x14ac:dyDescent="0.2">
      <c r="A401" s="8" t="s">
        <v>28</v>
      </c>
      <c r="B401" t="s">
        <v>28</v>
      </c>
      <c r="C401" t="str">
        <f t="shared" si="7"/>
        <v>Pohang SteelersPohang Steelers</v>
      </c>
    </row>
    <row r="402" spans="1:3" x14ac:dyDescent="0.2">
      <c r="A402" s="7" t="s">
        <v>559</v>
      </c>
      <c r="B402" t="s">
        <v>559</v>
      </c>
      <c r="C402" t="str">
        <f t="shared" si="7"/>
        <v>Changchun YataiChangchun Yatai</v>
      </c>
    </row>
    <row r="403" spans="1:3" x14ac:dyDescent="0.2">
      <c r="A403" s="8" t="s">
        <v>570</v>
      </c>
      <c r="B403" t="s">
        <v>3388</v>
      </c>
      <c r="C403" t="str">
        <f t="shared" si="7"/>
        <v>FK Smiltene/BJSSFK Smiltene</v>
      </c>
    </row>
    <row r="404" spans="1:3" x14ac:dyDescent="0.2">
      <c r="A404" s="8" t="s">
        <v>565</v>
      </c>
      <c r="B404" t="s">
        <v>3132</v>
      </c>
      <c r="C404" t="str">
        <f t="shared" si="7"/>
        <v>Guangzhou DandelionGuangzhou Dandelion Alpha</v>
      </c>
    </row>
    <row r="405" spans="1:3" x14ac:dyDescent="0.2">
      <c r="A405" s="8" t="s">
        <v>561</v>
      </c>
      <c r="B405" t="s">
        <v>3127</v>
      </c>
      <c r="C405" t="str">
        <f t="shared" si="7"/>
        <v>Ningbo Professional FCNingbo Professional</v>
      </c>
    </row>
    <row r="406" spans="1:3" x14ac:dyDescent="0.2">
      <c r="A406" s="7" t="s">
        <v>563</v>
      </c>
      <c r="B406" t="s">
        <v>1601</v>
      </c>
      <c r="C406" t="str">
        <f t="shared" si="7"/>
        <v>Shaanxi UnionShaanxi Union FC</v>
      </c>
    </row>
    <row r="407" spans="1:3" x14ac:dyDescent="0.2">
      <c r="A407" s="7" t="s">
        <v>567</v>
      </c>
      <c r="B407" t="s">
        <v>3134</v>
      </c>
      <c r="C407" t="str">
        <f t="shared" si="7"/>
        <v>Shandong Taishan ReservesShandong Luneng Taishan Reserves</v>
      </c>
    </row>
    <row r="408" spans="1:3" x14ac:dyDescent="0.2">
      <c r="A408" s="7" t="s">
        <v>571</v>
      </c>
      <c r="B408" t="s">
        <v>571</v>
      </c>
      <c r="C408" t="str">
        <f t="shared" si="7"/>
        <v>Foshan NanshiFoshan Nanshi</v>
      </c>
    </row>
    <row r="409" spans="1:3" x14ac:dyDescent="0.2">
      <c r="A409" s="7" t="s">
        <v>575</v>
      </c>
      <c r="B409" t="s">
        <v>3135</v>
      </c>
      <c r="C409" t="str">
        <f t="shared" si="7"/>
        <v>Guizhou Zhucheng AthleticGuizhou Zhicheng</v>
      </c>
    </row>
    <row r="410" spans="1:3" x14ac:dyDescent="0.2">
      <c r="A410" s="8" t="s">
        <v>577</v>
      </c>
      <c r="B410" t="s">
        <v>3136</v>
      </c>
      <c r="C410" t="str">
        <f t="shared" si="7"/>
        <v>Jiangxi LushanJiangxi Liansheng FC</v>
      </c>
    </row>
    <row r="411" spans="1:3" x14ac:dyDescent="0.2">
      <c r="A411" s="7" t="s">
        <v>579</v>
      </c>
      <c r="B411" t="s">
        <v>1600</v>
      </c>
      <c r="C411" t="str">
        <f t="shared" si="7"/>
        <v>Lanzhou Longyuan AthleticRizhao Yuqi</v>
      </c>
    </row>
    <row r="412" spans="1:3" x14ac:dyDescent="0.2">
      <c r="A412" s="8" t="s">
        <v>573</v>
      </c>
      <c r="B412" t="s">
        <v>3130</v>
      </c>
      <c r="C412" t="str">
        <f t="shared" si="7"/>
        <v>Shijiazhuang Gongfu FCHebei KungFu</v>
      </c>
    </row>
    <row r="413" spans="1:3" x14ac:dyDescent="0.2">
      <c r="A413" s="8" t="s">
        <v>581</v>
      </c>
      <c r="B413" t="s">
        <v>3126</v>
      </c>
      <c r="C413" t="str">
        <f t="shared" si="7"/>
        <v>Liaoning IronmanLiaoning Tieren</v>
      </c>
    </row>
    <row r="414" spans="1:3" x14ac:dyDescent="0.2">
      <c r="A414" s="7" t="s">
        <v>404</v>
      </c>
      <c r="B414" t="s">
        <v>404</v>
      </c>
      <c r="C414" t="str">
        <f t="shared" si="7"/>
        <v>Shanghai PortShanghai Port</v>
      </c>
    </row>
    <row r="415" spans="1:3" x14ac:dyDescent="0.2">
      <c r="A415" s="8" t="s">
        <v>587</v>
      </c>
      <c r="B415" t="s">
        <v>3213</v>
      </c>
      <c r="C415" t="str">
        <f t="shared" si="7"/>
        <v>FC HakaHaka</v>
      </c>
    </row>
    <row r="416" spans="1:3" x14ac:dyDescent="0.2">
      <c r="A416" s="7" t="s">
        <v>588</v>
      </c>
      <c r="B416" t="s">
        <v>588</v>
      </c>
      <c r="C416" t="str">
        <f t="shared" si="7"/>
        <v>FK AtmosferaFK Atmosfera</v>
      </c>
    </row>
    <row r="417" spans="1:3" x14ac:dyDescent="0.2">
      <c r="A417" s="8" t="s">
        <v>585</v>
      </c>
      <c r="B417" t="s">
        <v>3385</v>
      </c>
      <c r="C417" t="str">
        <f t="shared" si="7"/>
        <v>FK UlytauUlytau FC</v>
      </c>
    </row>
    <row r="418" spans="1:3" x14ac:dyDescent="0.2">
      <c r="A418" s="7" t="s">
        <v>410</v>
      </c>
      <c r="B418" t="s">
        <v>410</v>
      </c>
      <c r="C418" t="str">
        <f t="shared" si="7"/>
        <v>Wuhan Three TownsWuhan Three Towns</v>
      </c>
    </row>
    <row r="419" spans="1:3" x14ac:dyDescent="0.2">
      <c r="A419" s="7" t="s">
        <v>598</v>
      </c>
      <c r="B419" t="s">
        <v>2758</v>
      </c>
      <c r="C419" t="str">
        <f t="shared" si="7"/>
        <v>DegerforsDegerfors IF</v>
      </c>
    </row>
    <row r="420" spans="1:3" x14ac:dyDescent="0.2">
      <c r="A420" s="8" t="s">
        <v>599</v>
      </c>
      <c r="B420" t="s">
        <v>599</v>
      </c>
      <c r="C420" t="str">
        <f t="shared" si="7"/>
        <v>IFK VarnamoIFK Varnamo</v>
      </c>
    </row>
    <row r="421" spans="1:3" x14ac:dyDescent="0.2">
      <c r="A421" s="7" t="s">
        <v>591</v>
      </c>
      <c r="B421" t="s">
        <v>591</v>
      </c>
      <c r="C421" t="str">
        <f t="shared" si="7"/>
        <v>JaPSJaPS</v>
      </c>
    </row>
    <row r="422" spans="1:3" x14ac:dyDescent="0.2">
      <c r="A422" s="8" t="s">
        <v>596</v>
      </c>
      <c r="B422" t="s">
        <v>3389</v>
      </c>
      <c r="C422" t="str">
        <f t="shared" si="7"/>
        <v>JDFS AlbertsDSVK Tractors</v>
      </c>
    </row>
    <row r="423" spans="1:3" x14ac:dyDescent="0.2">
      <c r="A423" s="8" t="s">
        <v>592</v>
      </c>
      <c r="B423" t="s">
        <v>3214</v>
      </c>
      <c r="C423" t="str">
        <f t="shared" si="7"/>
        <v>MPMikkelin Palloilijat</v>
      </c>
    </row>
    <row r="424" spans="1:3" x14ac:dyDescent="0.2">
      <c r="A424" s="7" t="s">
        <v>594</v>
      </c>
      <c r="B424" t="s">
        <v>3215</v>
      </c>
      <c r="C424" t="str">
        <f t="shared" si="7"/>
        <v>SJK IISeinajoen JK II</v>
      </c>
    </row>
    <row r="425" spans="1:3" x14ac:dyDescent="0.2">
      <c r="A425" s="8" t="s">
        <v>589</v>
      </c>
      <c r="B425" t="s">
        <v>3384</v>
      </c>
      <c r="C425" t="str">
        <f t="shared" si="7"/>
        <v>ZhetysuFC Zhetysu</v>
      </c>
    </row>
    <row r="426" spans="1:3" x14ac:dyDescent="0.2">
      <c r="A426" s="7" t="s">
        <v>250</v>
      </c>
      <c r="B426" t="s">
        <v>250</v>
      </c>
      <c r="C426" t="str">
        <f t="shared" si="7"/>
        <v>IFK MariehamnIFK Mariehamn</v>
      </c>
    </row>
    <row r="427" spans="1:3" x14ac:dyDescent="0.2">
      <c r="A427" s="7" t="s">
        <v>604</v>
      </c>
      <c r="B427" t="s">
        <v>604</v>
      </c>
      <c r="C427" t="str">
        <f t="shared" si="7"/>
        <v>AftureldingAfturelding</v>
      </c>
    </row>
    <row r="428" spans="1:3" x14ac:dyDescent="0.2">
      <c r="A428" s="7" t="s">
        <v>608</v>
      </c>
      <c r="B428" t="s">
        <v>3349</v>
      </c>
      <c r="C428" t="str">
        <f t="shared" si="7"/>
        <v>FjardabyggdKFA Austfjarda</v>
      </c>
    </row>
    <row r="429" spans="1:3" x14ac:dyDescent="0.2">
      <c r="A429" s="8" t="s">
        <v>610</v>
      </c>
      <c r="B429" t="s">
        <v>3390</v>
      </c>
      <c r="C429" t="str">
        <f t="shared" si="7"/>
        <v>FK Beitar Riga/MarinersBeitar Riga Mariners</v>
      </c>
    </row>
    <row r="430" spans="1:3" x14ac:dyDescent="0.2">
      <c r="A430" s="7" t="s">
        <v>248</v>
      </c>
      <c r="B430" t="s">
        <v>282</v>
      </c>
      <c r="C430" t="str">
        <f t="shared" si="7"/>
        <v>FK Neptunas KlaipedaNeptunas Klaipeda</v>
      </c>
    </row>
    <row r="431" spans="1:3" x14ac:dyDescent="0.2">
      <c r="A431" s="8" t="s">
        <v>606</v>
      </c>
      <c r="B431" t="s">
        <v>606</v>
      </c>
      <c r="C431" t="str">
        <f t="shared" si="7"/>
        <v>IR ReykjavikIR Reykjavik</v>
      </c>
    </row>
    <row r="432" spans="1:3" x14ac:dyDescent="0.2">
      <c r="A432" s="8" t="s">
        <v>613</v>
      </c>
      <c r="B432" t="s">
        <v>613</v>
      </c>
      <c r="C432" t="str">
        <f t="shared" si="7"/>
        <v>Kristiansund BKKristiansund BK</v>
      </c>
    </row>
    <row r="433" spans="1:3" x14ac:dyDescent="0.2">
      <c r="A433" s="8" t="s">
        <v>602</v>
      </c>
      <c r="B433" t="s">
        <v>357</v>
      </c>
      <c r="C433" t="str">
        <f t="shared" si="7"/>
        <v>KuPS KuopioKuopio PS</v>
      </c>
    </row>
    <row r="434" spans="1:3" x14ac:dyDescent="0.2">
      <c r="A434" s="7" t="s">
        <v>623</v>
      </c>
      <c r="B434" t="s">
        <v>623</v>
      </c>
      <c r="C434" t="str">
        <f t="shared" si="7"/>
        <v>Central EspanolCentral Espanol</v>
      </c>
    </row>
    <row r="435" spans="1:3" x14ac:dyDescent="0.2">
      <c r="A435" s="7" t="s">
        <v>615</v>
      </c>
      <c r="B435" t="s">
        <v>3386</v>
      </c>
      <c r="C435" t="str">
        <f t="shared" si="7"/>
        <v>FK AktobeAktobe</v>
      </c>
    </row>
    <row r="436" spans="1:3" x14ac:dyDescent="0.2">
      <c r="A436" s="8" t="s">
        <v>621</v>
      </c>
      <c r="B436" t="s">
        <v>621</v>
      </c>
      <c r="C436" t="str">
        <f t="shared" si="7"/>
        <v>FK BabrungasFK Babrungas</v>
      </c>
    </row>
    <row r="437" spans="1:3" x14ac:dyDescent="0.2">
      <c r="A437" s="8" t="s">
        <v>617</v>
      </c>
      <c r="B437" t="s">
        <v>3217</v>
      </c>
      <c r="C437" t="str">
        <f t="shared" si="7"/>
        <v>PK-35PK-35 VJS</v>
      </c>
    </row>
    <row r="438" spans="1:3" x14ac:dyDescent="0.2">
      <c r="A438" s="7" t="s">
        <v>619</v>
      </c>
      <c r="B438" t="s">
        <v>3392</v>
      </c>
      <c r="C438" t="str">
        <f t="shared" ref="C438:C499" si="8">A438&amp;B438</f>
        <v>Rezeknes FARezeknes BJSS</v>
      </c>
    </row>
    <row r="439" spans="1:3" x14ac:dyDescent="0.2">
      <c r="A439" s="8" t="s">
        <v>256</v>
      </c>
      <c r="B439" t="s">
        <v>341</v>
      </c>
      <c r="C439" t="str">
        <f t="shared" si="8"/>
        <v>Kalmar FFKalmar</v>
      </c>
    </row>
    <row r="440" spans="1:3" x14ac:dyDescent="0.2">
      <c r="A440" s="7" t="s">
        <v>631</v>
      </c>
      <c r="B440" t="s">
        <v>631</v>
      </c>
      <c r="C440" t="str">
        <f t="shared" si="8"/>
        <v>Dalvik/ReynirDalvik/Reynir</v>
      </c>
    </row>
    <row r="441" spans="1:3" x14ac:dyDescent="0.2">
      <c r="A441" s="7" t="s">
        <v>635</v>
      </c>
      <c r="B441" t="s">
        <v>369</v>
      </c>
      <c r="C441" t="str">
        <f t="shared" si="8"/>
        <v>FK Kauno ZalgirisKauno Zalgiris</v>
      </c>
    </row>
    <row r="442" spans="1:3" x14ac:dyDescent="0.2">
      <c r="A442" s="8" t="s">
        <v>629</v>
      </c>
      <c r="B442" t="s">
        <v>3364</v>
      </c>
      <c r="C442" t="str">
        <f t="shared" si="8"/>
        <v>Galway UnitedGalway FC</v>
      </c>
    </row>
    <row r="443" spans="1:3" x14ac:dyDescent="0.2">
      <c r="A443" s="7" t="s">
        <v>627</v>
      </c>
      <c r="B443" t="s">
        <v>3208</v>
      </c>
      <c r="C443" t="str">
        <f t="shared" si="8"/>
        <v>JK Nomme Kalju IINomme Kalju II</v>
      </c>
    </row>
    <row r="444" spans="1:3" x14ac:dyDescent="0.2">
      <c r="A444" s="8" t="s">
        <v>636</v>
      </c>
      <c r="B444" t="s">
        <v>636</v>
      </c>
      <c r="C444" t="str">
        <f t="shared" si="8"/>
        <v>Lietava JonavaLietava Jonava</v>
      </c>
    </row>
    <row r="445" spans="1:3" x14ac:dyDescent="0.2">
      <c r="A445" s="8" t="s">
        <v>633</v>
      </c>
      <c r="B445" t="s">
        <v>3352</v>
      </c>
      <c r="C445" t="str">
        <f t="shared" si="8"/>
        <v>Magni GrenivikMagni</v>
      </c>
    </row>
    <row r="446" spans="1:3" x14ac:dyDescent="0.2">
      <c r="A446" s="7" t="s">
        <v>639</v>
      </c>
      <c r="B446" t="s">
        <v>639</v>
      </c>
      <c r="C446" t="str">
        <f t="shared" si="8"/>
        <v>StromsgodsetStromsgodset</v>
      </c>
    </row>
    <row r="447" spans="1:3" x14ac:dyDescent="0.2">
      <c r="A447" s="8" t="s">
        <v>641</v>
      </c>
      <c r="B447" t="s">
        <v>641</v>
      </c>
      <c r="C447" t="str">
        <f t="shared" si="8"/>
        <v>Santiago WanderersSantiago Wanderers</v>
      </c>
    </row>
    <row r="448" spans="1:3" x14ac:dyDescent="0.2">
      <c r="A448" s="7" t="s">
        <v>643</v>
      </c>
      <c r="B448" t="s">
        <v>643</v>
      </c>
      <c r="C448" t="str">
        <f t="shared" si="8"/>
        <v>Kormakur/HvotKormakur/Hvot</v>
      </c>
    </row>
    <row r="449" spans="1:3" x14ac:dyDescent="0.2">
      <c r="A449" s="8" t="s">
        <v>645</v>
      </c>
      <c r="B449" t="s">
        <v>645</v>
      </c>
      <c r="C449" t="str">
        <f t="shared" si="8"/>
        <v>Estudiantes Rio CuartoEstudiantes Rio Cuarto</v>
      </c>
    </row>
    <row r="450" spans="1:3" x14ac:dyDescent="0.2">
      <c r="A450" s="8" t="s">
        <v>651</v>
      </c>
      <c r="C450" t="str">
        <f t="shared" si="8"/>
        <v>Argentino Rosario</v>
      </c>
    </row>
    <row r="451" spans="1:3" x14ac:dyDescent="0.2">
      <c r="A451" s="7" t="s">
        <v>653</v>
      </c>
      <c r="B451" t="s">
        <v>319</v>
      </c>
      <c r="C451" t="str">
        <f t="shared" si="8"/>
        <v>AtlasCA Atlas</v>
      </c>
    </row>
    <row r="452" spans="1:3" x14ac:dyDescent="0.2">
      <c r="A452" s="8" t="s">
        <v>655</v>
      </c>
      <c r="C452" t="str">
        <f t="shared" si="8"/>
        <v>Barracas Bolívar</v>
      </c>
    </row>
    <row r="453" spans="1:3" x14ac:dyDescent="0.2">
      <c r="A453" s="7" t="s">
        <v>321</v>
      </c>
      <c r="B453" t="s">
        <v>321</v>
      </c>
      <c r="C453" t="str">
        <f t="shared" si="8"/>
        <v>BerazateguiBerazategui</v>
      </c>
    </row>
    <row r="454" spans="1:3" x14ac:dyDescent="0.2">
      <c r="A454" s="8" t="s">
        <v>658</v>
      </c>
      <c r="B454" t="s">
        <v>2782</v>
      </c>
      <c r="C454" t="str">
        <f t="shared" si="8"/>
        <v>CañuelasCanuelas FC</v>
      </c>
    </row>
    <row r="455" spans="1:3" x14ac:dyDescent="0.2">
      <c r="A455" s="8" t="s">
        <v>676</v>
      </c>
      <c r="B455" t="s">
        <v>676</v>
      </c>
      <c r="C455" t="str">
        <f t="shared" si="8"/>
        <v>Defensor SportingDefensor Sporting</v>
      </c>
    </row>
    <row r="456" spans="1:3" x14ac:dyDescent="0.2">
      <c r="A456" s="7" t="s">
        <v>660</v>
      </c>
      <c r="B456" t="s">
        <v>313</v>
      </c>
      <c r="C456" t="str">
        <f t="shared" si="8"/>
        <v>Estrella del Sur Alejandro KornEstrella del Sur</v>
      </c>
    </row>
    <row r="457" spans="1:3" x14ac:dyDescent="0.2">
      <c r="A457" s="7" t="s">
        <v>648</v>
      </c>
      <c r="B457" t="s">
        <v>2761</v>
      </c>
      <c r="C457" t="str">
        <f t="shared" si="8"/>
        <v>Estudiantes de CaserosEstudiantes de BA</v>
      </c>
    </row>
    <row r="458" spans="1:3" x14ac:dyDescent="0.2">
      <c r="A458" s="8" t="s">
        <v>661</v>
      </c>
      <c r="C458" t="str">
        <f t="shared" si="8"/>
        <v>Fénix</v>
      </c>
    </row>
    <row r="459" spans="1:3" x14ac:dyDescent="0.2">
      <c r="A459" s="7" t="s">
        <v>663</v>
      </c>
      <c r="C459" t="str">
        <f t="shared" si="8"/>
        <v>General La Madrid</v>
      </c>
    </row>
    <row r="460" spans="1:3" x14ac:dyDescent="0.2">
      <c r="A460" s="8" t="s">
        <v>672</v>
      </c>
      <c r="B460" t="s">
        <v>672</v>
      </c>
      <c r="C460" t="str">
        <f t="shared" si="8"/>
        <v>HaugesundHaugesund</v>
      </c>
    </row>
    <row r="461" spans="1:3" x14ac:dyDescent="0.2">
      <c r="A461" s="8" t="s">
        <v>379</v>
      </c>
      <c r="C461" t="str">
        <f t="shared" si="8"/>
        <v>Juventud Unida San Miguel</v>
      </c>
    </row>
    <row r="462" spans="1:3" x14ac:dyDescent="0.2">
      <c r="A462" s="7" t="s">
        <v>316</v>
      </c>
      <c r="B462" t="s">
        <v>316</v>
      </c>
      <c r="C462" t="str">
        <f t="shared" si="8"/>
        <v>Leones de RosarioLeones de Rosario</v>
      </c>
    </row>
    <row r="463" spans="1:3" x14ac:dyDescent="0.2">
      <c r="A463" s="8" t="s">
        <v>667</v>
      </c>
      <c r="B463" s="48" t="s">
        <v>2779</v>
      </c>
      <c r="C463" t="str">
        <f t="shared" si="8"/>
        <v>LuganoCA Lugano</v>
      </c>
    </row>
    <row r="464" spans="1:3" x14ac:dyDescent="0.2">
      <c r="A464" s="7" t="s">
        <v>668</v>
      </c>
      <c r="C464" t="str">
        <f t="shared" si="8"/>
        <v>Luján</v>
      </c>
    </row>
    <row r="465" spans="1:3" x14ac:dyDescent="0.2">
      <c r="A465" s="8" t="s">
        <v>318</v>
      </c>
      <c r="C465" t="str">
        <f t="shared" si="8"/>
        <v>Sacachispas</v>
      </c>
    </row>
    <row r="466" spans="1:3" x14ac:dyDescent="0.2">
      <c r="A466" s="7" t="s">
        <v>674</v>
      </c>
      <c r="B466" t="s">
        <v>674</v>
      </c>
      <c r="C466" t="str">
        <f t="shared" si="8"/>
        <v>Sport HuancayoSport Huancayo</v>
      </c>
    </row>
    <row r="467" spans="1:3" x14ac:dyDescent="0.2">
      <c r="A467" s="7" t="s">
        <v>670</v>
      </c>
      <c r="C467" t="str">
        <f t="shared" si="8"/>
        <v>Victoriano Arenas</v>
      </c>
    </row>
    <row r="468" spans="1:3" x14ac:dyDescent="0.2">
      <c r="A468" s="7" t="s">
        <v>678</v>
      </c>
      <c r="B468" t="s">
        <v>678</v>
      </c>
      <c r="C468" t="str">
        <f t="shared" si="8"/>
        <v>Longford TownLongford Town</v>
      </c>
    </row>
    <row r="469" spans="1:3" x14ac:dyDescent="0.2">
      <c r="A469" s="8" t="s">
        <v>680</v>
      </c>
      <c r="B469" t="s">
        <v>3366</v>
      </c>
      <c r="C469" t="str">
        <f t="shared" si="8"/>
        <v>SligoSligo FC</v>
      </c>
    </row>
    <row r="470" spans="1:3" x14ac:dyDescent="0.2">
      <c r="A470" s="8" t="s">
        <v>684</v>
      </c>
      <c r="B470" t="s">
        <v>684</v>
      </c>
      <c r="C470" t="str">
        <f t="shared" si="8"/>
        <v>Always ReadyAlways Ready</v>
      </c>
    </row>
    <row r="471" spans="1:3" x14ac:dyDescent="0.2">
      <c r="A471" s="7" t="s">
        <v>690</v>
      </c>
      <c r="B471" t="s">
        <v>690</v>
      </c>
      <c r="C471" t="str">
        <f t="shared" si="8"/>
        <v>Coquimbo UnidoCoquimbo Unido</v>
      </c>
    </row>
    <row r="472" spans="1:3" x14ac:dyDescent="0.2">
      <c r="A472" s="8" t="s">
        <v>692</v>
      </c>
      <c r="B472" t="s">
        <v>692</v>
      </c>
      <c r="C472" t="str">
        <f t="shared" si="8"/>
        <v>Curico UnidoCurico Unido</v>
      </c>
    </row>
    <row r="473" spans="1:3" x14ac:dyDescent="0.2">
      <c r="A473" s="7" t="s">
        <v>694</v>
      </c>
      <c r="B473" t="s">
        <v>3516</v>
      </c>
      <c r="C473" t="str">
        <f t="shared" si="8"/>
        <v>Deportivo RecoletaCD Recoleta</v>
      </c>
    </row>
    <row r="474" spans="1:3" x14ac:dyDescent="0.2">
      <c r="A474" s="7" t="s">
        <v>686</v>
      </c>
      <c r="B474" t="s">
        <v>686</v>
      </c>
      <c r="C474" t="str">
        <f t="shared" si="8"/>
        <v>IguatuIguatu</v>
      </c>
    </row>
    <row r="475" spans="1:3" x14ac:dyDescent="0.2">
      <c r="A475" s="8" t="s">
        <v>688</v>
      </c>
      <c r="B475" t="s">
        <v>3051</v>
      </c>
      <c r="C475" t="str">
        <f t="shared" si="8"/>
        <v>PortuguesaPortuguesa SP</v>
      </c>
    </row>
    <row r="476" spans="1:3" x14ac:dyDescent="0.2">
      <c r="A476" s="7" t="s">
        <v>698</v>
      </c>
      <c r="B476" t="s">
        <v>337</v>
      </c>
      <c r="C476" t="str">
        <f t="shared" si="8"/>
        <v>AcassusoClub Atletico Acassuso</v>
      </c>
    </row>
    <row r="477" spans="1:3" x14ac:dyDescent="0.2">
      <c r="A477" s="8" t="s">
        <v>700</v>
      </c>
      <c r="B477" t="s">
        <v>374</v>
      </c>
      <c r="C477" t="str">
        <f t="shared" si="8"/>
        <v>AlmagroClub Almagro</v>
      </c>
    </row>
    <row r="478" spans="1:3" x14ac:dyDescent="0.2">
      <c r="A478" s="8" t="s">
        <v>706</v>
      </c>
      <c r="B478" t="s">
        <v>706</v>
      </c>
      <c r="C478" t="str">
        <f t="shared" si="8"/>
        <v>Argentino QuilmesArgentino Quilmes</v>
      </c>
    </row>
    <row r="479" spans="1:3" x14ac:dyDescent="0.2">
      <c r="A479" s="7" t="s">
        <v>702</v>
      </c>
      <c r="B479" t="s">
        <v>328</v>
      </c>
      <c r="C479" t="str">
        <f t="shared" si="8"/>
        <v>AtlantaCA Atlanta</v>
      </c>
    </row>
    <row r="480" spans="1:3" x14ac:dyDescent="0.2">
      <c r="A480" s="7" t="s">
        <v>708</v>
      </c>
      <c r="B480" t="s">
        <v>708</v>
      </c>
      <c r="C480" t="str">
        <f t="shared" si="8"/>
        <v>Atletico CamionerosAtletico Camioneros</v>
      </c>
    </row>
    <row r="481" spans="1:3" x14ac:dyDescent="0.2">
      <c r="A481" s="8" t="s">
        <v>710</v>
      </c>
      <c r="B481" t="s">
        <v>2773</v>
      </c>
      <c r="C481" t="str">
        <f t="shared" si="8"/>
        <v>Brown de AdroguéClub Atl√©tico Brown</v>
      </c>
    </row>
    <row r="482" spans="1:3" x14ac:dyDescent="0.2">
      <c r="A482" s="7" t="s">
        <v>712</v>
      </c>
      <c r="B482" t="s">
        <v>2774</v>
      </c>
      <c r="C482" t="str">
        <f t="shared" si="8"/>
        <v>Comunicaciones (Mercedes)Club Comunicaciones</v>
      </c>
    </row>
    <row r="483" spans="1:3" x14ac:dyDescent="0.2">
      <c r="A483" s="8" t="s">
        <v>714</v>
      </c>
      <c r="B483" t="s">
        <v>714</v>
      </c>
      <c r="C483" t="str">
        <f t="shared" si="8"/>
        <v>Defensores UnidosDefensores Unidos</v>
      </c>
    </row>
    <row r="484" spans="1:3" x14ac:dyDescent="0.2">
      <c r="A484" s="7" t="s">
        <v>716</v>
      </c>
      <c r="B484" t="s">
        <v>716</v>
      </c>
      <c r="C484" t="str">
        <f t="shared" si="8"/>
        <v>Deportivo ArmenioDeportivo Armenio</v>
      </c>
    </row>
    <row r="485" spans="1:3" x14ac:dyDescent="0.2">
      <c r="A485" s="8" t="s">
        <v>718</v>
      </c>
      <c r="C485" t="str">
        <f t="shared" si="8"/>
        <v>Deportivo Laferrere</v>
      </c>
    </row>
    <row r="486" spans="1:3" x14ac:dyDescent="0.2">
      <c r="A486" s="7" t="s">
        <v>720</v>
      </c>
      <c r="B486" t="s">
        <v>2767</v>
      </c>
      <c r="C486" t="str">
        <f t="shared" si="8"/>
        <v>Dock SudSportivo Dock Sud</v>
      </c>
    </row>
    <row r="487" spans="1:3" x14ac:dyDescent="0.2">
      <c r="A487" s="7" t="s">
        <v>729</v>
      </c>
      <c r="B487" t="s">
        <v>3045</v>
      </c>
      <c r="C487" t="str">
        <f t="shared" si="8"/>
        <v>FerroviáriaFerroviaria SP</v>
      </c>
    </row>
    <row r="488" spans="1:3" x14ac:dyDescent="0.2">
      <c r="A488" s="8" t="s">
        <v>722</v>
      </c>
      <c r="B488" t="s">
        <v>722</v>
      </c>
      <c r="C488" t="str">
        <f t="shared" si="8"/>
        <v>FlandriaFlandria</v>
      </c>
    </row>
    <row r="489" spans="1:3" x14ac:dyDescent="0.2">
      <c r="A489" s="7" t="s">
        <v>724</v>
      </c>
      <c r="C489" t="str">
        <f t="shared" si="8"/>
        <v>Ituzaingó</v>
      </c>
    </row>
    <row r="490" spans="1:3" x14ac:dyDescent="0.2">
      <c r="A490" s="8" t="s">
        <v>726</v>
      </c>
      <c r="B490" t="s">
        <v>2776</v>
      </c>
      <c r="C490" t="str">
        <f t="shared" si="8"/>
        <v>MerloDeportivo Merlo</v>
      </c>
    </row>
    <row r="491" spans="1:3" x14ac:dyDescent="0.2">
      <c r="A491" s="8" t="s">
        <v>696</v>
      </c>
      <c r="B491" t="s">
        <v>696</v>
      </c>
      <c r="C491" t="str">
        <f t="shared" si="8"/>
        <v>Newell's Old BoysNewell's Old Boys</v>
      </c>
    </row>
    <row r="492" spans="1:3" x14ac:dyDescent="0.2">
      <c r="A492" s="7" t="s">
        <v>704</v>
      </c>
      <c r="B492" t="s">
        <v>333</v>
      </c>
      <c r="C492" t="str">
        <f t="shared" si="8"/>
        <v>San Martin SJSan Martin de San Juan</v>
      </c>
    </row>
    <row r="493" spans="1:3" x14ac:dyDescent="0.2">
      <c r="A493" s="8" t="s">
        <v>731</v>
      </c>
      <c r="B493" t="s">
        <v>731</v>
      </c>
      <c r="C493" t="str">
        <f t="shared" si="8"/>
        <v>Santa CruzSanta Cruz</v>
      </c>
    </row>
    <row r="494" spans="1:3" x14ac:dyDescent="0.2">
      <c r="A494" s="7" t="s">
        <v>733</v>
      </c>
      <c r="B494" t="s">
        <v>3523</v>
      </c>
      <c r="C494" t="str">
        <f t="shared" si="8"/>
        <v>Juan Pablo II CollegeJuan Pablo II</v>
      </c>
    </row>
    <row r="495" spans="1:3" x14ac:dyDescent="0.2">
      <c r="A495" s="7" t="s">
        <v>737</v>
      </c>
      <c r="B495" t="s">
        <v>424</v>
      </c>
      <c r="C495" t="str">
        <f t="shared" si="8"/>
        <v>Bogotá FCBogota</v>
      </c>
    </row>
    <row r="496" spans="1:3" x14ac:dyDescent="0.2">
      <c r="A496" s="8" t="s">
        <v>735</v>
      </c>
      <c r="B496" t="s">
        <v>3137</v>
      </c>
      <c r="C496" t="str">
        <f t="shared" si="8"/>
        <v>Boyacá Chicó FCBoyaca Chico</v>
      </c>
    </row>
    <row r="497" spans="1:3" x14ac:dyDescent="0.2">
      <c r="A497" s="7" t="s">
        <v>740</v>
      </c>
      <c r="B497" t="s">
        <v>740</v>
      </c>
      <c r="C497" t="str">
        <f t="shared" si="8"/>
        <v>Deportivo MaldonadoDeportivo Maldonado</v>
      </c>
    </row>
    <row r="498" spans="1:3" x14ac:dyDescent="0.2">
      <c r="A498" s="8" t="s">
        <v>46</v>
      </c>
      <c r="B498" t="s">
        <v>1871</v>
      </c>
      <c r="C498" t="str">
        <f t="shared" si="8"/>
        <v>Inter Miami CF IIInter Miami II</v>
      </c>
    </row>
    <row r="499" spans="1:3" x14ac:dyDescent="0.2">
      <c r="A499" s="8" t="s">
        <v>742</v>
      </c>
      <c r="B499" t="s">
        <v>1860</v>
      </c>
      <c r="C499" t="str">
        <f t="shared" si="8"/>
        <v>Independiente MedellínIndependiente Medellin</v>
      </c>
    </row>
    <row r="500" spans="1:3" x14ac:dyDescent="0.2">
      <c r="A500" s="7" t="s">
        <v>743</v>
      </c>
      <c r="B500" t="s">
        <v>3044</v>
      </c>
      <c r="C500" t="str">
        <f t="shared" ref="C500:C562" si="9">A500&amp;B500</f>
        <v>GuabiráGuabira</v>
      </c>
    </row>
    <row r="501" spans="1:3" x14ac:dyDescent="0.2">
      <c r="A501" s="8" t="s">
        <v>70</v>
      </c>
      <c r="B501" t="s">
        <v>878</v>
      </c>
      <c r="C501" t="str">
        <f t="shared" si="9"/>
        <v>Athletico-PRAthletico Paranaense</v>
      </c>
    </row>
    <row r="502" spans="1:3" x14ac:dyDescent="0.2">
      <c r="A502" s="8" t="s">
        <v>749</v>
      </c>
      <c r="B502" t="s">
        <v>749</v>
      </c>
      <c r="C502" t="str">
        <f t="shared" si="9"/>
        <v>CobreloaCobreloa</v>
      </c>
    </row>
    <row r="503" spans="1:3" x14ac:dyDescent="0.2">
      <c r="A503" s="8" t="s">
        <v>745</v>
      </c>
      <c r="B503" t="s">
        <v>3047</v>
      </c>
      <c r="C503" t="str">
        <f t="shared" si="9"/>
        <v>ConfiançaConfianca SE</v>
      </c>
    </row>
    <row r="504" spans="1:3" x14ac:dyDescent="0.2">
      <c r="A504" s="7" t="s">
        <v>747</v>
      </c>
      <c r="B504" t="s">
        <v>747</v>
      </c>
      <c r="C504" t="str">
        <f t="shared" si="9"/>
        <v>HuachipatoHuachipato</v>
      </c>
    </row>
    <row r="505" spans="1:3" x14ac:dyDescent="0.2">
      <c r="A505" s="7" t="s">
        <v>744</v>
      </c>
      <c r="B505" t="s">
        <v>744</v>
      </c>
      <c r="C505" t="str">
        <f t="shared" si="9"/>
        <v>SantosSantos</v>
      </c>
    </row>
    <row r="506" spans="1:3" x14ac:dyDescent="0.2">
      <c r="A506" s="7" t="s">
        <v>751</v>
      </c>
      <c r="B506" t="s">
        <v>3517</v>
      </c>
      <c r="C506" t="str">
        <f t="shared" si="9"/>
        <v>Sportivo AmelianoClub Sportivo Ameliano</v>
      </c>
    </row>
    <row r="507" spans="1:3" x14ac:dyDescent="0.2">
      <c r="A507" s="7" t="s">
        <v>308</v>
      </c>
      <c r="B507" t="s">
        <v>308</v>
      </c>
      <c r="C507" t="str">
        <f t="shared" si="9"/>
        <v>Volta RedondaVolta Redonda</v>
      </c>
    </row>
    <row r="508" spans="1:3" x14ac:dyDescent="0.2">
      <c r="A508" s="8" t="s">
        <v>754</v>
      </c>
      <c r="B508" t="s">
        <v>754</v>
      </c>
      <c r="C508" t="str">
        <f t="shared" si="9"/>
        <v>River PlateRiver Plate</v>
      </c>
    </row>
    <row r="509" spans="1:3" x14ac:dyDescent="0.2">
      <c r="A509" s="7" t="s">
        <v>60</v>
      </c>
      <c r="B509" t="s">
        <v>60</v>
      </c>
      <c r="C509" t="str">
        <f t="shared" si="9"/>
        <v>New York Red BullsNew York Red Bulls</v>
      </c>
    </row>
    <row r="510" spans="1:3" x14ac:dyDescent="0.2">
      <c r="A510" s="8" t="s">
        <v>756</v>
      </c>
      <c r="B510" t="s">
        <v>756</v>
      </c>
      <c r="C510" t="str">
        <f t="shared" si="9"/>
        <v>Sport BoysSport Boys</v>
      </c>
    </row>
    <row r="511" spans="1:3" x14ac:dyDescent="0.2">
      <c r="A511" s="8" t="s">
        <v>758</v>
      </c>
      <c r="B511" t="s">
        <v>758</v>
      </c>
      <c r="C511" t="str">
        <f t="shared" si="9"/>
        <v>Brooklyn FCBrooklyn FC</v>
      </c>
    </row>
    <row r="512" spans="1:3" x14ac:dyDescent="0.2">
      <c r="A512" s="7" t="s">
        <v>767</v>
      </c>
      <c r="B512" t="s">
        <v>767</v>
      </c>
      <c r="C512" t="str">
        <f t="shared" si="9"/>
        <v>Chattanooga FCChattanooga FC</v>
      </c>
    </row>
    <row r="513" spans="1:3" x14ac:dyDescent="0.2">
      <c r="A513" s="7" t="s">
        <v>51</v>
      </c>
      <c r="B513" t="s">
        <v>860</v>
      </c>
      <c r="C513" t="str">
        <f t="shared" si="9"/>
        <v>Columbus Crew SCColumbus Crew</v>
      </c>
    </row>
    <row r="514" spans="1:3" x14ac:dyDescent="0.2">
      <c r="A514" s="7" t="s">
        <v>760</v>
      </c>
      <c r="B514" t="s">
        <v>760</v>
      </c>
      <c r="C514" t="str">
        <f t="shared" si="9"/>
        <v>Detroit City FCDetroit City FC</v>
      </c>
    </row>
    <row r="515" spans="1:3" x14ac:dyDescent="0.2">
      <c r="A515" s="8" t="s">
        <v>762</v>
      </c>
      <c r="B515" t="s">
        <v>762</v>
      </c>
      <c r="C515" t="str">
        <f t="shared" si="9"/>
        <v>Indy ElevenIndy Eleven</v>
      </c>
    </row>
    <row r="516" spans="1:3" x14ac:dyDescent="0.2">
      <c r="A516" s="8" t="s">
        <v>769</v>
      </c>
      <c r="B516" t="s">
        <v>3714</v>
      </c>
      <c r="C516" t="str">
        <f t="shared" si="9"/>
        <v>LA Galaxy IIL.A Galaxy II</v>
      </c>
    </row>
    <row r="517" spans="1:3" x14ac:dyDescent="0.2">
      <c r="A517" s="7" t="s">
        <v>82</v>
      </c>
      <c r="B517" t="s">
        <v>82</v>
      </c>
      <c r="C517" t="str">
        <f t="shared" si="9"/>
        <v>Miami FCMiami FC</v>
      </c>
    </row>
    <row r="518" spans="1:3" x14ac:dyDescent="0.2">
      <c r="A518" s="8" t="s">
        <v>765</v>
      </c>
      <c r="B518" t="s">
        <v>765</v>
      </c>
      <c r="C518" t="str">
        <f t="shared" si="9"/>
        <v>Pittsburgh RiverhoundsPittsburgh Riverhounds</v>
      </c>
    </row>
    <row r="519" spans="1:3" x14ac:dyDescent="0.2">
      <c r="A519" s="7" t="s">
        <v>771</v>
      </c>
      <c r="B519" t="s">
        <v>3138</v>
      </c>
      <c r="C519" t="str">
        <f t="shared" si="9"/>
        <v>MillonariosMillonarios FC</v>
      </c>
    </row>
    <row r="520" spans="1:3" x14ac:dyDescent="0.2">
      <c r="A520" s="8" t="s">
        <v>773</v>
      </c>
      <c r="B520" t="s">
        <v>1212</v>
      </c>
      <c r="C520" t="str">
        <f t="shared" si="9"/>
        <v>Alianza FC PanamaAlianza</v>
      </c>
    </row>
    <row r="521" spans="1:3" x14ac:dyDescent="0.2">
      <c r="A521" s="7" t="s">
        <v>45</v>
      </c>
      <c r="B521" t="s">
        <v>1870</v>
      </c>
      <c r="C521" t="str">
        <f t="shared" si="9"/>
        <v>Carolina Core FCCarolina Core</v>
      </c>
    </row>
    <row r="522" spans="1:3" x14ac:dyDescent="0.2">
      <c r="A522" s="7" t="s">
        <v>78</v>
      </c>
      <c r="B522" t="s">
        <v>864</v>
      </c>
      <c r="C522" t="str">
        <f t="shared" si="9"/>
        <v>CF MontrealMontreal Impact</v>
      </c>
    </row>
    <row r="523" spans="1:3" x14ac:dyDescent="0.2">
      <c r="A523" s="8" t="s">
        <v>76</v>
      </c>
      <c r="B523" t="s">
        <v>76</v>
      </c>
      <c r="C523" t="str">
        <f t="shared" si="9"/>
        <v>DC UnitedDC United</v>
      </c>
    </row>
    <row r="524" spans="1:3" x14ac:dyDescent="0.2">
      <c r="A524" s="7" t="s">
        <v>236</v>
      </c>
      <c r="B524" t="s">
        <v>236</v>
      </c>
      <c r="C524" t="str">
        <f t="shared" si="9"/>
        <v>Independiente PetroleroIndependiente Petrolero</v>
      </c>
    </row>
    <row r="525" spans="1:3" x14ac:dyDescent="0.2">
      <c r="A525" s="7" t="s">
        <v>57</v>
      </c>
      <c r="B525" t="s">
        <v>57</v>
      </c>
      <c r="C525" t="str">
        <f t="shared" si="9"/>
        <v>New England RevolutionNew England Revolution</v>
      </c>
    </row>
    <row r="526" spans="1:3" x14ac:dyDescent="0.2">
      <c r="A526" s="8" t="s">
        <v>52</v>
      </c>
      <c r="B526" t="s">
        <v>861</v>
      </c>
      <c r="C526" t="str">
        <f t="shared" si="9"/>
        <v>New York City FCNew York City</v>
      </c>
    </row>
    <row r="527" spans="1:3" x14ac:dyDescent="0.2">
      <c r="A527" s="7" t="s">
        <v>94</v>
      </c>
      <c r="B527" t="s">
        <v>868</v>
      </c>
      <c r="C527" t="str">
        <f t="shared" si="9"/>
        <v>Orlando City SCOrlando City</v>
      </c>
    </row>
    <row r="528" spans="1:3" x14ac:dyDescent="0.2">
      <c r="A528" s="8" t="s">
        <v>59</v>
      </c>
      <c r="B528" t="s">
        <v>59</v>
      </c>
      <c r="C528" t="str">
        <f t="shared" si="9"/>
        <v>Philadelphia UnionPhiladelphia Union</v>
      </c>
    </row>
    <row r="529" spans="1:3" x14ac:dyDescent="0.2">
      <c r="A529" s="8" t="s">
        <v>776</v>
      </c>
      <c r="B529" t="s">
        <v>1861</v>
      </c>
      <c r="C529" t="str">
        <f t="shared" si="9"/>
        <v>VascoVasco Da Gama RJ</v>
      </c>
    </row>
    <row r="530" spans="1:3" x14ac:dyDescent="0.2">
      <c r="A530" s="7" t="s">
        <v>428</v>
      </c>
      <c r="B530" t="s">
        <v>428</v>
      </c>
      <c r="C530" t="str">
        <f t="shared" si="9"/>
        <v>Real CartagenaReal Cartagena</v>
      </c>
    </row>
    <row r="531" spans="1:3" x14ac:dyDescent="0.2">
      <c r="A531" s="8" t="s">
        <v>38</v>
      </c>
      <c r="B531" t="s">
        <v>38</v>
      </c>
      <c r="C531" t="str">
        <f t="shared" si="9"/>
        <v>Tecnico UniversitarioTecnico Universitario</v>
      </c>
    </row>
    <row r="532" spans="1:3" x14ac:dyDescent="0.2">
      <c r="A532" s="8" t="s">
        <v>779</v>
      </c>
      <c r="B532" t="s">
        <v>3115</v>
      </c>
      <c r="C532" t="str">
        <f t="shared" si="9"/>
        <v>Universidad CatólicaCD Uni Catolica Santiago</v>
      </c>
    </row>
    <row r="533" spans="1:3" x14ac:dyDescent="0.2">
      <c r="A533" s="8" t="s">
        <v>75</v>
      </c>
      <c r="B533" t="s">
        <v>75</v>
      </c>
      <c r="C533" t="str">
        <f t="shared" si="9"/>
        <v>Houston DynamoHouston Dynamo</v>
      </c>
    </row>
    <row r="534" spans="1:3" x14ac:dyDescent="0.2">
      <c r="A534" s="7" t="s">
        <v>782</v>
      </c>
      <c r="B534" t="s">
        <v>1878</v>
      </c>
      <c r="C534" t="str">
        <f t="shared" si="9"/>
        <v>LanúsLanus</v>
      </c>
    </row>
    <row r="535" spans="1:3" x14ac:dyDescent="0.2">
      <c r="A535" s="7" t="s">
        <v>80</v>
      </c>
      <c r="B535" t="s">
        <v>865</v>
      </c>
      <c r="C535" t="str">
        <f t="shared" si="9"/>
        <v>Minnesota United FCMinnesota United</v>
      </c>
    </row>
    <row r="536" spans="1:3" x14ac:dyDescent="0.2">
      <c r="A536" s="8" t="s">
        <v>88</v>
      </c>
      <c r="B536" t="s">
        <v>866</v>
      </c>
      <c r="C536" t="str">
        <f t="shared" si="9"/>
        <v>St. Louis City SCSaint Louis City</v>
      </c>
    </row>
    <row r="537" spans="1:3" x14ac:dyDescent="0.2">
      <c r="A537" s="7" t="s">
        <v>784</v>
      </c>
      <c r="B537" t="s">
        <v>3697</v>
      </c>
      <c r="C537" t="str">
        <f t="shared" si="9"/>
        <v>TulsaTulsa Roughnecks</v>
      </c>
    </row>
    <row r="538" spans="1:3" x14ac:dyDescent="0.2">
      <c r="A538" s="8" t="s">
        <v>785</v>
      </c>
      <c r="B538" t="s">
        <v>785</v>
      </c>
      <c r="C538" t="str">
        <f t="shared" si="9"/>
        <v>North Texas SCNorth Texas SC</v>
      </c>
    </row>
    <row r="539" spans="1:3" x14ac:dyDescent="0.2">
      <c r="A539" s="7" t="s">
        <v>81</v>
      </c>
      <c r="B539" t="s">
        <v>1882</v>
      </c>
      <c r="C539" t="str">
        <f t="shared" si="9"/>
        <v>Colorado Springs Switchbacks FCColorado Switchbacks</v>
      </c>
    </row>
    <row r="540" spans="1:3" x14ac:dyDescent="0.2">
      <c r="A540" s="8" t="s">
        <v>788</v>
      </c>
      <c r="B540" t="s">
        <v>3698</v>
      </c>
      <c r="C540" t="str">
        <f t="shared" si="9"/>
        <v>El Paso Locomotive FCEl Paso Locomotive</v>
      </c>
    </row>
    <row r="541" spans="1:3" x14ac:dyDescent="0.2">
      <c r="A541" s="7" t="s">
        <v>790</v>
      </c>
      <c r="B541" t="s">
        <v>3524</v>
      </c>
      <c r="C541" t="str">
        <f t="shared" si="9"/>
        <v>MelgarFBC Melgar</v>
      </c>
    </row>
    <row r="542" spans="1:3" x14ac:dyDescent="0.2">
      <c r="A542" s="8" t="s">
        <v>419</v>
      </c>
      <c r="B542" t="s">
        <v>419</v>
      </c>
      <c r="C542" t="str">
        <f t="shared" si="9"/>
        <v>Deportes TolimaDeportes Tolima</v>
      </c>
    </row>
    <row r="543" spans="1:3" x14ac:dyDescent="0.2">
      <c r="A543" s="8" t="s">
        <v>793</v>
      </c>
      <c r="B543" t="s">
        <v>3515</v>
      </c>
      <c r="C543" t="str">
        <f t="shared" si="9"/>
        <v>CD UniversitarioUnion Deportivo Universitario</v>
      </c>
    </row>
    <row r="544" spans="1:3" x14ac:dyDescent="0.2">
      <c r="A544" s="7" t="s">
        <v>86</v>
      </c>
      <c r="B544" t="s">
        <v>86</v>
      </c>
      <c r="C544" t="str">
        <f t="shared" si="9"/>
        <v>San Diego FCSan Diego FC</v>
      </c>
    </row>
    <row r="545" spans="1:3" x14ac:dyDescent="0.2">
      <c r="A545" s="7" t="s">
        <v>795</v>
      </c>
      <c r="B545" t="s">
        <v>3700</v>
      </c>
      <c r="C545" t="str">
        <f t="shared" si="9"/>
        <v>Monterey Bay FCMonterey Bay</v>
      </c>
    </row>
    <row r="546" spans="1:3" x14ac:dyDescent="0.2">
      <c r="A546" s="8" t="s">
        <v>48</v>
      </c>
      <c r="B546" t="s">
        <v>48</v>
      </c>
      <c r="C546" t="str">
        <f t="shared" si="9"/>
        <v>Oakland RootsOakland Roots</v>
      </c>
    </row>
    <row r="547" spans="1:3" x14ac:dyDescent="0.2">
      <c r="A547" s="7" t="s">
        <v>89</v>
      </c>
      <c r="B547" t="s">
        <v>89</v>
      </c>
      <c r="C547" t="str">
        <f t="shared" si="9"/>
        <v>Los Angeles FCLos Angeles FC</v>
      </c>
    </row>
    <row r="548" spans="1:3" x14ac:dyDescent="0.2">
      <c r="A548" s="8" t="s">
        <v>798</v>
      </c>
      <c r="B548" t="s">
        <v>798</v>
      </c>
      <c r="C548" t="str">
        <f t="shared" si="9"/>
        <v>Phoenix Rising FCPhoenix Rising FC</v>
      </c>
    </row>
    <row r="549" spans="1:3" x14ac:dyDescent="0.2">
      <c r="A549" s="8" t="s">
        <v>91</v>
      </c>
      <c r="B549" t="s">
        <v>91</v>
      </c>
      <c r="C549" t="str">
        <f t="shared" si="9"/>
        <v>Portland TimbersPortland Timbers</v>
      </c>
    </row>
    <row r="550" spans="1:3" x14ac:dyDescent="0.2">
      <c r="A550" s="7" t="s">
        <v>93</v>
      </c>
      <c r="B550" t="s">
        <v>93</v>
      </c>
      <c r="C550" t="str">
        <f t="shared" si="9"/>
        <v>San Jose EarthquakesSan Jose Earthquakes</v>
      </c>
    </row>
    <row r="551" spans="1:3" x14ac:dyDescent="0.2">
      <c r="A551" s="7" t="s">
        <v>492</v>
      </c>
      <c r="B551" t="s">
        <v>492</v>
      </c>
      <c r="C551" t="str">
        <f t="shared" si="9"/>
        <v>Lambton JaffasLambton Jaffas</v>
      </c>
    </row>
    <row r="552" spans="1:3" x14ac:dyDescent="0.2">
      <c r="A552" s="8" t="s">
        <v>494</v>
      </c>
      <c r="B552" t="s">
        <v>2793</v>
      </c>
      <c r="C552" t="str">
        <f t="shared" si="9"/>
        <v>Queanbeyan CityQueanbeyan City FC</v>
      </c>
    </row>
    <row r="553" spans="1:3" x14ac:dyDescent="0.2">
      <c r="A553" s="7" t="s">
        <v>495</v>
      </c>
      <c r="B553" t="s">
        <v>495</v>
      </c>
      <c r="C553" t="str">
        <f t="shared" si="9"/>
        <v>Devonport CityDevonport City</v>
      </c>
    </row>
    <row r="554" spans="1:3" x14ac:dyDescent="0.2">
      <c r="A554" s="8" t="s">
        <v>23</v>
      </c>
      <c r="B554" t="s">
        <v>23</v>
      </c>
      <c r="C554" t="str">
        <f t="shared" si="9"/>
        <v>Launceston CityLaunceston City</v>
      </c>
    </row>
    <row r="555" spans="1:3" x14ac:dyDescent="0.2">
      <c r="A555" s="8" t="s">
        <v>500</v>
      </c>
      <c r="B555" t="s">
        <v>500</v>
      </c>
      <c r="C555" t="str">
        <f t="shared" si="9"/>
        <v>West Torrens BirkallaWest Torrens Birkalla</v>
      </c>
    </row>
    <row r="556" spans="1:3" x14ac:dyDescent="0.2">
      <c r="A556" s="7" t="s">
        <v>22</v>
      </c>
      <c r="B556" t="s">
        <v>22</v>
      </c>
      <c r="C556" t="str">
        <f t="shared" si="9"/>
        <v>Canberra White EaglesCanberra White Eagles</v>
      </c>
    </row>
    <row r="557" spans="1:3" x14ac:dyDescent="0.2">
      <c r="A557" s="7" t="s">
        <v>502</v>
      </c>
      <c r="B557" t="s">
        <v>502</v>
      </c>
      <c r="C557" t="str">
        <f t="shared" si="9"/>
        <v>Campbelltown CityCampbelltown City</v>
      </c>
    </row>
    <row r="558" spans="1:3" x14ac:dyDescent="0.2">
      <c r="A558" s="8" t="s">
        <v>504</v>
      </c>
      <c r="B558" t="s">
        <v>2811</v>
      </c>
      <c r="C558" t="str">
        <f t="shared" si="9"/>
        <v>AvondaleAvondale Heights</v>
      </c>
    </row>
    <row r="559" spans="1:3" x14ac:dyDescent="0.2">
      <c r="A559" s="7" t="s">
        <v>506</v>
      </c>
      <c r="B559" t="s">
        <v>2807</v>
      </c>
      <c r="C559" t="str">
        <f t="shared" si="9"/>
        <v>White City FK BeogradWhite City</v>
      </c>
    </row>
    <row r="560" spans="1:3" x14ac:dyDescent="0.2">
      <c r="A560" s="8" t="s">
        <v>508</v>
      </c>
      <c r="B560" t="s">
        <v>508</v>
      </c>
      <c r="C560" t="str">
        <f t="shared" si="9"/>
        <v>Sturt LionsSturt Lions</v>
      </c>
    </row>
    <row r="561" spans="1:3" x14ac:dyDescent="0.2">
      <c r="A561" s="7" t="s">
        <v>510</v>
      </c>
      <c r="B561" t="s">
        <v>1287</v>
      </c>
      <c r="C561" t="str">
        <f t="shared" si="9"/>
        <v>PlayfordPlayford City</v>
      </c>
    </row>
    <row r="562" spans="1:3" x14ac:dyDescent="0.2">
      <c r="A562" s="8" t="s">
        <v>512</v>
      </c>
      <c r="B562" t="s">
        <v>512</v>
      </c>
      <c r="C562" t="str">
        <f t="shared" si="9"/>
        <v>O'Connor KnightsO'Connor Knights</v>
      </c>
    </row>
    <row r="563" spans="1:3" x14ac:dyDescent="0.2">
      <c r="A563" s="7" t="s">
        <v>514</v>
      </c>
      <c r="B563" t="s">
        <v>514</v>
      </c>
      <c r="C563" t="str">
        <f t="shared" ref="C563:C626" si="10">A563&amp;B563</f>
        <v>Broadmeadow MagicBroadmeadow Magic</v>
      </c>
    </row>
    <row r="564" spans="1:3" x14ac:dyDescent="0.2">
      <c r="A564" s="8" t="s">
        <v>516</v>
      </c>
      <c r="B564" t="s">
        <v>2803</v>
      </c>
      <c r="C564" t="str">
        <f t="shared" si="10"/>
        <v>Charlestown AzzurriCharlestown City Blues</v>
      </c>
    </row>
    <row r="565" spans="1:3" x14ac:dyDescent="0.2">
      <c r="A565" s="8" t="s">
        <v>520</v>
      </c>
      <c r="B565" t="s">
        <v>520</v>
      </c>
      <c r="C565" t="str">
        <f t="shared" si="10"/>
        <v>Altona MagicAltona Magic</v>
      </c>
    </row>
    <row r="566" spans="1:3" x14ac:dyDescent="0.2">
      <c r="A566" s="7" t="s">
        <v>523</v>
      </c>
      <c r="B566" t="s">
        <v>523</v>
      </c>
      <c r="C566" t="str">
        <f t="shared" si="10"/>
        <v>Dianella White EaglesDianella White Eagles</v>
      </c>
    </row>
    <row r="567" spans="1:3" x14ac:dyDescent="0.2">
      <c r="A567" s="8" t="s">
        <v>525</v>
      </c>
      <c r="B567" t="s">
        <v>525</v>
      </c>
      <c r="C567" t="str">
        <f t="shared" si="10"/>
        <v>BalcattaBalcatta</v>
      </c>
    </row>
    <row r="568" spans="1:3" x14ac:dyDescent="0.2">
      <c r="A568" s="7" t="s">
        <v>393</v>
      </c>
      <c r="B568" t="s">
        <v>393</v>
      </c>
      <c r="C568" t="str">
        <f t="shared" si="10"/>
        <v>Bayswater CityBayswater City</v>
      </c>
    </row>
    <row r="569" spans="1:3" x14ac:dyDescent="0.2">
      <c r="A569" s="7" t="s">
        <v>518</v>
      </c>
      <c r="B569" t="s">
        <v>518</v>
      </c>
      <c r="C569" t="str">
        <f t="shared" si="10"/>
        <v>Marconi StallionsMarconi Stallions</v>
      </c>
    </row>
    <row r="570" spans="1:3" x14ac:dyDescent="0.2">
      <c r="A570" s="8" t="s">
        <v>528</v>
      </c>
      <c r="B570" t="s">
        <v>528</v>
      </c>
      <c r="C570" t="str">
        <f t="shared" si="10"/>
        <v>ArmadaleArmadale</v>
      </c>
    </row>
    <row r="571" spans="1:3" x14ac:dyDescent="0.2">
      <c r="A571" s="7" t="s">
        <v>530</v>
      </c>
      <c r="B571" t="s">
        <v>2816</v>
      </c>
      <c r="C571" t="str">
        <f t="shared" si="10"/>
        <v>Olympic KingswayOlympic Kingsway SC</v>
      </c>
    </row>
    <row r="572" spans="1:3" x14ac:dyDescent="0.2">
      <c r="A572" s="8" t="s">
        <v>532</v>
      </c>
      <c r="B572" t="s">
        <v>532</v>
      </c>
      <c r="C572" t="str">
        <f t="shared" si="10"/>
        <v>Western Sydney Wanderers U21Western Sydney Wanderers U21</v>
      </c>
    </row>
    <row r="573" spans="1:3" x14ac:dyDescent="0.2">
      <c r="A573" s="8" t="s">
        <v>535</v>
      </c>
      <c r="B573" t="s">
        <v>2797</v>
      </c>
      <c r="C573" t="str">
        <f t="shared" si="10"/>
        <v>University NSWUNSW</v>
      </c>
    </row>
    <row r="574" spans="1:3" x14ac:dyDescent="0.2">
      <c r="A574" s="7" t="s">
        <v>21</v>
      </c>
      <c r="B574" t="s">
        <v>892</v>
      </c>
      <c r="C574" t="str">
        <f t="shared" si="10"/>
        <v>Tuggeranong UtdTuggeranong United</v>
      </c>
    </row>
    <row r="575" spans="1:3" x14ac:dyDescent="0.2">
      <c r="A575" s="7" t="s">
        <v>538</v>
      </c>
      <c r="B575" t="s">
        <v>2805</v>
      </c>
      <c r="C575" t="str">
        <f t="shared" si="10"/>
        <v>Gold Coast UtdGold Coast United</v>
      </c>
    </row>
    <row r="576" spans="1:3" x14ac:dyDescent="0.2">
      <c r="A576" s="8" t="s">
        <v>540</v>
      </c>
      <c r="B576" t="s">
        <v>2799</v>
      </c>
      <c r="C576" t="str">
        <f t="shared" si="10"/>
        <v>Sydney FC U21Sydney U21</v>
      </c>
    </row>
    <row r="577" spans="1:3" x14ac:dyDescent="0.2">
      <c r="A577" s="7" t="s">
        <v>542</v>
      </c>
      <c r="B577" t="s">
        <v>542</v>
      </c>
      <c r="C577" t="str">
        <f t="shared" si="10"/>
        <v>Sydney United 58Sydney United 58</v>
      </c>
    </row>
    <row r="578" spans="1:3" x14ac:dyDescent="0.2">
      <c r="A578" s="7" t="s">
        <v>547</v>
      </c>
      <c r="B578" t="s">
        <v>3131</v>
      </c>
      <c r="C578" t="str">
        <f t="shared" si="10"/>
        <v>Dalian Young Boy ReservesDalian Yingbo Reserves</v>
      </c>
    </row>
    <row r="579" spans="1:3" x14ac:dyDescent="0.2">
      <c r="A579" s="8" t="s">
        <v>545</v>
      </c>
      <c r="B579" t="s">
        <v>3125</v>
      </c>
      <c r="C579" t="str">
        <f t="shared" si="10"/>
        <v>Tianjin Jinmen TigersTianjin Teda</v>
      </c>
    </row>
    <row r="580" spans="1:3" x14ac:dyDescent="0.2">
      <c r="A580" s="8" t="s">
        <v>549</v>
      </c>
      <c r="B580" t="s">
        <v>549</v>
      </c>
      <c r="C580" t="str">
        <f t="shared" si="10"/>
        <v>West AdelaideWest Adelaide</v>
      </c>
    </row>
    <row r="581" spans="1:3" x14ac:dyDescent="0.2">
      <c r="A581" s="7" t="s">
        <v>551</v>
      </c>
      <c r="B581" t="s">
        <v>3638</v>
      </c>
      <c r="C581" t="str">
        <f t="shared" si="10"/>
        <v>Suwon BluewingsSuwon Samsung Bluewings</v>
      </c>
    </row>
    <row r="582" spans="1:3" x14ac:dyDescent="0.2">
      <c r="A582" s="8" t="s">
        <v>553</v>
      </c>
      <c r="B582" t="s">
        <v>553</v>
      </c>
      <c r="C582" t="str">
        <f t="shared" si="10"/>
        <v>Suwon FCSuwon FC</v>
      </c>
    </row>
    <row r="583" spans="1:3" x14ac:dyDescent="0.2">
      <c r="A583" s="7" t="s">
        <v>219</v>
      </c>
      <c r="B583" t="s">
        <v>1415</v>
      </c>
      <c r="C583" t="str">
        <f t="shared" si="10"/>
        <v>Daejeon Hana CitizenDaejeon Citizen</v>
      </c>
    </row>
    <row r="584" spans="1:3" x14ac:dyDescent="0.2">
      <c r="A584" s="7" t="s">
        <v>555</v>
      </c>
      <c r="B584" t="s">
        <v>3641</v>
      </c>
      <c r="C584" t="str">
        <f t="shared" si="10"/>
        <v>Chungnam Asan FCAnsan Police</v>
      </c>
    </row>
    <row r="585" spans="1:3" x14ac:dyDescent="0.2">
      <c r="A585" s="8" t="s">
        <v>557</v>
      </c>
      <c r="B585" t="s">
        <v>3642</v>
      </c>
      <c r="C585" t="str">
        <f t="shared" si="10"/>
        <v>Gyeongnam FCGyeongnam</v>
      </c>
    </row>
    <row r="586" spans="1:3" x14ac:dyDescent="0.2">
      <c r="A586" s="8" t="s">
        <v>218</v>
      </c>
      <c r="B586" t="s">
        <v>1414</v>
      </c>
      <c r="C586" t="str">
        <f t="shared" si="10"/>
        <v>Jeonbuk MotorsJeonbuk Hyundai Motors</v>
      </c>
    </row>
    <row r="587" spans="1:3" x14ac:dyDescent="0.2">
      <c r="A587" s="7" t="s">
        <v>560</v>
      </c>
      <c r="B587" t="s">
        <v>560</v>
      </c>
      <c r="C587" t="str">
        <f t="shared" si="10"/>
        <v>Nanjing CityNanjing City</v>
      </c>
    </row>
    <row r="588" spans="1:3" x14ac:dyDescent="0.2">
      <c r="A588" s="8" t="s">
        <v>255</v>
      </c>
      <c r="B588" t="s">
        <v>288</v>
      </c>
      <c r="C588" t="str">
        <f t="shared" si="10"/>
        <v>RFS IIRigas Futbola Skola II</v>
      </c>
    </row>
    <row r="589" spans="1:3" x14ac:dyDescent="0.2">
      <c r="A589" s="8" t="s">
        <v>566</v>
      </c>
      <c r="B589" t="s">
        <v>3133</v>
      </c>
      <c r="C589" t="str">
        <f t="shared" si="10"/>
        <v>Wenzhou FCYichun Grand Tiger</v>
      </c>
    </row>
    <row r="590" spans="1:3" x14ac:dyDescent="0.2">
      <c r="A590" s="8" t="s">
        <v>562</v>
      </c>
      <c r="B590" t="s">
        <v>3128</v>
      </c>
      <c r="C590" t="str">
        <f t="shared" si="10"/>
        <v>Guangdong GZ-PowerGuandong GZ-Power FC</v>
      </c>
    </row>
    <row r="591" spans="1:3" x14ac:dyDescent="0.2">
      <c r="A591" s="7" t="s">
        <v>564</v>
      </c>
      <c r="B591" t="s">
        <v>564</v>
      </c>
      <c r="C591" t="str">
        <f t="shared" si="10"/>
        <v>Shenzhen JuniorsShenzhen Juniors</v>
      </c>
    </row>
    <row r="592" spans="1:3" x14ac:dyDescent="0.2">
      <c r="A592" s="7" t="s">
        <v>568</v>
      </c>
      <c r="B592" t="s">
        <v>568</v>
      </c>
      <c r="C592" t="str">
        <f t="shared" si="10"/>
        <v>Changchun XiduChangchun Xidu</v>
      </c>
    </row>
    <row r="593" spans="1:3" x14ac:dyDescent="0.2">
      <c r="A593" s="7" t="s">
        <v>572</v>
      </c>
      <c r="B593" t="s">
        <v>3129</v>
      </c>
      <c r="C593" t="str">
        <f t="shared" si="10"/>
        <v>Wuxi WugoWuxi Wugou</v>
      </c>
    </row>
    <row r="594" spans="1:3" x14ac:dyDescent="0.2">
      <c r="A594" s="7" t="s">
        <v>576</v>
      </c>
      <c r="B594" t="s">
        <v>576</v>
      </c>
      <c r="C594" t="str">
        <f t="shared" si="10"/>
        <v>Ganzhou RuishiGanzhou Ruishi</v>
      </c>
    </row>
    <row r="595" spans="1:3" x14ac:dyDescent="0.2">
      <c r="A595" s="8" t="s">
        <v>578</v>
      </c>
      <c r="B595" t="s">
        <v>578</v>
      </c>
      <c r="C595" t="str">
        <f t="shared" si="10"/>
        <v>Shenzhen 2028Shenzhen 2028</v>
      </c>
    </row>
    <row r="596" spans="1:3" x14ac:dyDescent="0.2">
      <c r="A596" s="7" t="s">
        <v>580</v>
      </c>
      <c r="B596" t="s">
        <v>580</v>
      </c>
      <c r="C596" t="str">
        <f t="shared" si="10"/>
        <v>Shanghai SegendaShanghai Segenda</v>
      </c>
    </row>
    <row r="597" spans="1:3" x14ac:dyDescent="0.2">
      <c r="A597" s="8" t="s">
        <v>574</v>
      </c>
      <c r="B597" t="s">
        <v>574</v>
      </c>
      <c r="C597" t="str">
        <f t="shared" si="10"/>
        <v>Nantong ZhiyunNantong Zhiyun</v>
      </c>
    </row>
    <row r="598" spans="1:3" x14ac:dyDescent="0.2">
      <c r="A598" s="8" t="s">
        <v>582</v>
      </c>
      <c r="B598" t="s">
        <v>407</v>
      </c>
      <c r="C598" t="str">
        <f t="shared" si="10"/>
        <v>Qingdao West CoastQingdao Kangtine</v>
      </c>
    </row>
    <row r="599" spans="1:3" x14ac:dyDescent="0.2">
      <c r="A599" s="7" t="s">
        <v>583</v>
      </c>
      <c r="B599" t="s">
        <v>408</v>
      </c>
      <c r="C599" t="str">
        <f t="shared" si="10"/>
        <v>Shanghai ShenhuaShanghai Greenland Shenhua</v>
      </c>
    </row>
    <row r="600" spans="1:3" x14ac:dyDescent="0.2">
      <c r="A600" s="8" t="s">
        <v>222</v>
      </c>
      <c r="B600" t="s">
        <v>1343</v>
      </c>
      <c r="C600" t="str">
        <f t="shared" si="10"/>
        <v>KaPaKapylan Pallo</v>
      </c>
    </row>
    <row r="601" spans="1:3" x14ac:dyDescent="0.2">
      <c r="A601" s="7" t="s">
        <v>224</v>
      </c>
      <c r="B601" t="s">
        <v>1368</v>
      </c>
      <c r="C601" t="str">
        <f t="shared" si="10"/>
        <v>FC Hegelmann IIHegelmann Litauen II</v>
      </c>
    </row>
    <row r="602" spans="1:3" x14ac:dyDescent="0.2">
      <c r="A602" s="8" t="s">
        <v>586</v>
      </c>
      <c r="B602" t="s">
        <v>586</v>
      </c>
      <c r="C602" t="str">
        <f t="shared" si="10"/>
        <v>Irtysh PavlodarIrtysh Pavlodar</v>
      </c>
    </row>
    <row r="603" spans="1:3" x14ac:dyDescent="0.2">
      <c r="A603" s="7" t="s">
        <v>406</v>
      </c>
      <c r="B603" t="s">
        <v>406</v>
      </c>
      <c r="C603" t="str">
        <f t="shared" si="10"/>
        <v>Chongqing TonglianglongChongqing Tonglianglong</v>
      </c>
    </row>
    <row r="604" spans="1:3" x14ac:dyDescent="0.2">
      <c r="A604" s="7" t="s">
        <v>258</v>
      </c>
      <c r="B604" t="s">
        <v>258</v>
      </c>
      <c r="C604" t="str">
        <f t="shared" si="10"/>
        <v>Djurgardens IFDjurgardens IF</v>
      </c>
    </row>
    <row r="605" spans="1:3" x14ac:dyDescent="0.2">
      <c r="A605" s="8" t="s">
        <v>600</v>
      </c>
      <c r="B605" t="s">
        <v>600</v>
      </c>
      <c r="C605" t="str">
        <f t="shared" si="10"/>
        <v>IK BrageIK Brage</v>
      </c>
    </row>
    <row r="606" spans="1:3" x14ac:dyDescent="0.2">
      <c r="A606" s="7" t="s">
        <v>223</v>
      </c>
      <c r="B606" t="s">
        <v>1344</v>
      </c>
      <c r="C606" t="str">
        <f t="shared" si="10"/>
        <v>Klubi-04Klubi 04</v>
      </c>
    </row>
    <row r="607" spans="1:3" x14ac:dyDescent="0.2">
      <c r="A607" s="8" t="s">
        <v>597</v>
      </c>
      <c r="B607" t="s">
        <v>597</v>
      </c>
      <c r="C607" t="str">
        <f t="shared" si="10"/>
        <v>SK Super Nova IISK Super Nova II</v>
      </c>
    </row>
    <row r="608" spans="1:3" x14ac:dyDescent="0.2">
      <c r="A608" s="8" t="s">
        <v>593</v>
      </c>
      <c r="B608" t="s">
        <v>593</v>
      </c>
      <c r="C608" t="str">
        <f t="shared" si="10"/>
        <v>KTPKTP</v>
      </c>
    </row>
    <row r="609" spans="1:3" x14ac:dyDescent="0.2">
      <c r="A609" s="7" t="s">
        <v>595</v>
      </c>
      <c r="B609" t="s">
        <v>3216</v>
      </c>
      <c r="C609" t="str">
        <f t="shared" si="10"/>
        <v>Ekenas IFEIF</v>
      </c>
    </row>
    <row r="610" spans="1:3" x14ac:dyDescent="0.2">
      <c r="A610" s="8" t="s">
        <v>590</v>
      </c>
      <c r="B610" t="s">
        <v>590</v>
      </c>
      <c r="C610" t="str">
        <f t="shared" si="10"/>
        <v>FK KyzylzharFK Kyzylzhar</v>
      </c>
    </row>
    <row r="611" spans="1:3" x14ac:dyDescent="0.2">
      <c r="A611" s="7" t="s">
        <v>601</v>
      </c>
      <c r="B611" t="s">
        <v>601</v>
      </c>
      <c r="C611" t="str">
        <f t="shared" si="10"/>
        <v>AC OuluAC Oulu</v>
      </c>
    </row>
    <row r="612" spans="1:3" x14ac:dyDescent="0.2">
      <c r="A612" s="7" t="s">
        <v>605</v>
      </c>
      <c r="B612" t="s">
        <v>605</v>
      </c>
      <c r="C612" t="str">
        <f t="shared" si="10"/>
        <v>Grotta SeltjarnarnesGrotta Seltjarnarnes</v>
      </c>
    </row>
    <row r="613" spans="1:3" x14ac:dyDescent="0.2">
      <c r="A613" s="7" t="s">
        <v>609</v>
      </c>
      <c r="B613" t="s">
        <v>3350</v>
      </c>
      <c r="C613" t="str">
        <f t="shared" si="10"/>
        <v>Throttur VogumThrottur Vogar</v>
      </c>
    </row>
    <row r="614" spans="1:3" x14ac:dyDescent="0.2">
      <c r="A614" s="8" t="s">
        <v>611</v>
      </c>
      <c r="B614" t="s">
        <v>3391</v>
      </c>
      <c r="C614" t="str">
        <f t="shared" si="10"/>
        <v>JFK VentspilsVentspils</v>
      </c>
    </row>
    <row r="615" spans="1:3" x14ac:dyDescent="0.2">
      <c r="A615" s="7" t="s">
        <v>612</v>
      </c>
      <c r="B615" t="s">
        <v>3396</v>
      </c>
      <c r="C615" t="str">
        <f t="shared" si="10"/>
        <v>FK Siauliai IIFC Siauliai II</v>
      </c>
    </row>
    <row r="616" spans="1:3" x14ac:dyDescent="0.2">
      <c r="A616" s="8" t="s">
        <v>607</v>
      </c>
      <c r="B616" t="s">
        <v>1361</v>
      </c>
      <c r="C616" t="str">
        <f t="shared" si="10"/>
        <v>Fylkir ReykjavikFylkir</v>
      </c>
    </row>
    <row r="617" spans="1:3" x14ac:dyDescent="0.2">
      <c r="A617" s="8" t="s">
        <v>614</v>
      </c>
      <c r="B617" t="s">
        <v>614</v>
      </c>
      <c r="C617" t="str">
        <f t="shared" si="10"/>
        <v>IK StartIK Start</v>
      </c>
    </row>
    <row r="618" spans="1:3" x14ac:dyDescent="0.2">
      <c r="A618" s="8" t="s">
        <v>603</v>
      </c>
      <c r="B618" t="s">
        <v>3212</v>
      </c>
      <c r="C618" t="str">
        <f t="shared" si="10"/>
        <v>VPS VaasaVaasa PS</v>
      </c>
    </row>
    <row r="619" spans="1:3" x14ac:dyDescent="0.2">
      <c r="A619" s="7" t="s">
        <v>624</v>
      </c>
      <c r="B619" t="s">
        <v>1320</v>
      </c>
      <c r="C619" t="str">
        <f t="shared" si="10"/>
        <v>LiverpoolLiverpool Montevideo</v>
      </c>
    </row>
    <row r="620" spans="1:3" x14ac:dyDescent="0.2">
      <c r="A620" s="7" t="s">
        <v>616</v>
      </c>
      <c r="B620" t="s">
        <v>3387</v>
      </c>
      <c r="C620" t="str">
        <f t="shared" si="10"/>
        <v>Okzhetpes KokshetauOkzhetpes</v>
      </c>
    </row>
    <row r="621" spans="1:3" x14ac:dyDescent="0.2">
      <c r="A621" s="8" t="s">
        <v>622</v>
      </c>
      <c r="B621" t="s">
        <v>3397</v>
      </c>
      <c r="C621" t="str">
        <f t="shared" si="10"/>
        <v>FK EkranasEkranas</v>
      </c>
    </row>
    <row r="622" spans="1:3" x14ac:dyDescent="0.2">
      <c r="A622" s="8" t="s">
        <v>618</v>
      </c>
      <c r="B622" t="s">
        <v>618</v>
      </c>
      <c r="C622" t="str">
        <f t="shared" si="10"/>
        <v>JippoJippo</v>
      </c>
    </row>
    <row r="623" spans="1:3" x14ac:dyDescent="0.2">
      <c r="A623" s="7" t="s">
        <v>620</v>
      </c>
      <c r="B623" t="s">
        <v>620</v>
      </c>
      <c r="C623" t="str">
        <f t="shared" si="10"/>
        <v>Marupes SCMarupes SC</v>
      </c>
    </row>
    <row r="624" spans="1:3" x14ac:dyDescent="0.2">
      <c r="A624" s="8" t="s">
        <v>625</v>
      </c>
      <c r="B624" t="s">
        <v>355</v>
      </c>
      <c r="C624" t="str">
        <f t="shared" si="10"/>
        <v>Mjallby AIFMjallby</v>
      </c>
    </row>
    <row r="625" spans="1:3" x14ac:dyDescent="0.2">
      <c r="A625" s="7" t="s">
        <v>632</v>
      </c>
      <c r="B625" t="s">
        <v>632</v>
      </c>
      <c r="C625" t="str">
        <f t="shared" si="10"/>
        <v>Vikingur OlafsvikVikingur Olafsvik</v>
      </c>
    </row>
    <row r="626" spans="1:3" x14ac:dyDescent="0.2">
      <c r="A626" s="7" t="s">
        <v>249</v>
      </c>
      <c r="B626" t="s">
        <v>283</v>
      </c>
      <c r="C626" t="str">
        <f t="shared" si="10"/>
        <v>Suduva MarijampoleFK Suduva Marijampole</v>
      </c>
    </row>
    <row r="627" spans="1:3" x14ac:dyDescent="0.2">
      <c r="A627" s="8" t="s">
        <v>630</v>
      </c>
      <c r="B627" t="s">
        <v>3365</v>
      </c>
      <c r="C627" t="str">
        <f t="shared" ref="C627:C689" si="11">A627&amp;B627</f>
        <v>WaterfordWaterford United</v>
      </c>
    </row>
    <row r="628" spans="1:3" x14ac:dyDescent="0.2">
      <c r="A628" s="7" t="s">
        <v>628</v>
      </c>
      <c r="B628" t="s">
        <v>1672</v>
      </c>
      <c r="C628" t="str">
        <f t="shared" si="11"/>
        <v>FC Flora Tallinn IIFlora Tallinn II</v>
      </c>
    </row>
    <row r="629" spans="1:3" x14ac:dyDescent="0.2">
      <c r="A629" s="8" t="s">
        <v>637</v>
      </c>
      <c r="B629" t="s">
        <v>637</v>
      </c>
      <c r="C629" t="str">
        <f t="shared" si="11"/>
        <v>Garliava KaunasGarliava Kaunas</v>
      </c>
    </row>
    <row r="630" spans="1:3" x14ac:dyDescent="0.2">
      <c r="A630" s="8" t="s">
        <v>634</v>
      </c>
      <c r="B630" t="s">
        <v>634</v>
      </c>
      <c r="C630" t="str">
        <f t="shared" si="11"/>
        <v>KFG GardabaerKFG Gardabaer</v>
      </c>
    </row>
    <row r="631" spans="1:3" x14ac:dyDescent="0.2">
      <c r="A631" s="7" t="s">
        <v>640</v>
      </c>
      <c r="B631" t="s">
        <v>3444</v>
      </c>
      <c r="C631" t="str">
        <f t="shared" si="11"/>
        <v>Lyn 1896Lyn</v>
      </c>
    </row>
    <row r="632" spans="1:3" x14ac:dyDescent="0.2">
      <c r="A632" s="8" t="s">
        <v>642</v>
      </c>
      <c r="B632" t="s">
        <v>642</v>
      </c>
      <c r="C632" t="str">
        <f t="shared" si="11"/>
        <v>Union San FelipeUnion San Felipe</v>
      </c>
    </row>
    <row r="633" spans="1:3" x14ac:dyDescent="0.2">
      <c r="A633" s="7" t="s">
        <v>644</v>
      </c>
      <c r="B633" t="s">
        <v>3351</v>
      </c>
      <c r="C633" t="str">
        <f t="shared" si="11"/>
        <v>UMF SelfossSelfoss</v>
      </c>
    </row>
    <row r="634" spans="1:3" x14ac:dyDescent="0.2">
      <c r="A634" s="8" t="s">
        <v>646</v>
      </c>
      <c r="B634" t="s">
        <v>1324</v>
      </c>
      <c r="C634" t="str">
        <f t="shared" si="11"/>
        <v>TigreClub Atletico Tigre</v>
      </c>
    </row>
    <row r="635" spans="1:3" x14ac:dyDescent="0.2">
      <c r="A635" s="8" t="s">
        <v>652</v>
      </c>
      <c r="C635" t="str">
        <f t="shared" si="11"/>
        <v>Puerto Nuevo</v>
      </c>
    </row>
    <row r="636" spans="1:3" x14ac:dyDescent="0.2">
      <c r="A636" s="7" t="s">
        <v>654</v>
      </c>
      <c r="B636" t="s">
        <v>2778</v>
      </c>
      <c r="C636" t="str">
        <f t="shared" si="11"/>
        <v>Deportivo EspañolDeportivo Espanol</v>
      </c>
    </row>
    <row r="637" spans="1:3" x14ac:dyDescent="0.2">
      <c r="A637" s="8" t="s">
        <v>656</v>
      </c>
      <c r="C637" t="str">
        <f t="shared" si="11"/>
        <v>El Porvenir</v>
      </c>
    </row>
    <row r="638" spans="1:3" x14ac:dyDescent="0.2">
      <c r="A638" s="7" t="s">
        <v>657</v>
      </c>
      <c r="B638" t="s">
        <v>657</v>
      </c>
      <c r="C638" t="str">
        <f t="shared" si="11"/>
        <v>Club MercedesClub Mercedes</v>
      </c>
    </row>
    <row r="639" spans="1:3" x14ac:dyDescent="0.2">
      <c r="A639" s="8" t="s">
        <v>659</v>
      </c>
      <c r="B639" t="s">
        <v>2783</v>
      </c>
      <c r="C639" t="str">
        <f t="shared" si="11"/>
        <v>Deportivo MuñizDeportivo Muniz</v>
      </c>
    </row>
    <row r="640" spans="1:3" x14ac:dyDescent="0.2">
      <c r="A640" s="8" t="s">
        <v>677</v>
      </c>
      <c r="B640" t="s">
        <v>3685</v>
      </c>
      <c r="C640" t="str">
        <f t="shared" si="11"/>
        <v>CerroCA Cerro</v>
      </c>
    </row>
    <row r="641" spans="1:3" x14ac:dyDescent="0.2">
      <c r="A641" s="7" t="s">
        <v>315</v>
      </c>
      <c r="B641" t="s">
        <v>315</v>
      </c>
      <c r="C641" t="str">
        <f t="shared" si="11"/>
        <v>Deportivo ParaguayoDeportivo Paraguayo</v>
      </c>
    </row>
    <row r="642" spans="1:3" x14ac:dyDescent="0.2">
      <c r="A642" s="7" t="s">
        <v>649</v>
      </c>
      <c r="B642" t="s">
        <v>2762</v>
      </c>
      <c r="C642" t="str">
        <f t="shared" si="11"/>
        <v>Club Ciudad de BolivarCiudad de Bolivar</v>
      </c>
    </row>
    <row r="643" spans="1:3" x14ac:dyDescent="0.2">
      <c r="A643" s="8" t="s">
        <v>662</v>
      </c>
      <c r="C643" t="str">
        <f t="shared" si="11"/>
        <v>Yupanqui</v>
      </c>
    </row>
    <row r="644" spans="1:3" x14ac:dyDescent="0.2">
      <c r="A644" s="7" t="s">
        <v>664</v>
      </c>
      <c r="C644" t="str">
        <f t="shared" si="11"/>
        <v>Claypole</v>
      </c>
    </row>
    <row r="645" spans="1:3" x14ac:dyDescent="0.2">
      <c r="A645" s="8" t="s">
        <v>673</v>
      </c>
      <c r="B645" t="s">
        <v>673</v>
      </c>
      <c r="C645" t="str">
        <f t="shared" si="11"/>
        <v>BryneBryne</v>
      </c>
    </row>
    <row r="646" spans="1:3" x14ac:dyDescent="0.2">
      <c r="A646" s="8" t="s">
        <v>665</v>
      </c>
      <c r="C646" t="str">
        <f t="shared" si="11"/>
        <v>Defensores Cambaceres</v>
      </c>
    </row>
    <row r="647" spans="1:3" x14ac:dyDescent="0.2">
      <c r="A647" s="7" t="s">
        <v>666</v>
      </c>
      <c r="B647" t="s">
        <v>320</v>
      </c>
      <c r="C647" t="str">
        <f t="shared" si="11"/>
        <v>Central Córdoba de RosarioCentral Cordoba de Rosario</v>
      </c>
    </row>
    <row r="648" spans="1:3" x14ac:dyDescent="0.2">
      <c r="A648" s="8" t="s">
        <v>317</v>
      </c>
      <c r="B648" t="s">
        <v>317</v>
      </c>
      <c r="C648" t="str">
        <f t="shared" si="11"/>
        <v>Centro EspanolCentro Espanol</v>
      </c>
    </row>
    <row r="649" spans="1:3" x14ac:dyDescent="0.2">
      <c r="A649" s="7" t="s">
        <v>314</v>
      </c>
      <c r="C649" t="str">
        <f t="shared" si="11"/>
        <v>Central Ballester</v>
      </c>
    </row>
    <row r="650" spans="1:3" x14ac:dyDescent="0.2">
      <c r="A650" s="8" t="s">
        <v>669</v>
      </c>
      <c r="C650" t="str">
        <f t="shared" si="11"/>
        <v>Leandro Nicéforo Alem</v>
      </c>
    </row>
    <row r="651" spans="1:3" x14ac:dyDescent="0.2">
      <c r="A651" s="7" t="s">
        <v>675</v>
      </c>
      <c r="B651" t="s">
        <v>675</v>
      </c>
      <c r="C651" t="str">
        <f t="shared" si="11"/>
        <v>Atletico GrauAtletico Grau</v>
      </c>
    </row>
    <row r="652" spans="1:3" x14ac:dyDescent="0.2">
      <c r="A652" s="7" t="s">
        <v>671</v>
      </c>
      <c r="C652" t="str">
        <f t="shared" si="11"/>
        <v>Justo José Urquiza</v>
      </c>
    </row>
    <row r="653" spans="1:3" x14ac:dyDescent="0.2">
      <c r="A653" s="7" t="s">
        <v>679</v>
      </c>
      <c r="B653" t="s">
        <v>3367</v>
      </c>
      <c r="C653" t="str">
        <f t="shared" si="11"/>
        <v>Wexford FCWexford Youths</v>
      </c>
    </row>
    <row r="654" spans="1:3" x14ac:dyDescent="0.2">
      <c r="A654" s="8" t="s">
        <v>681</v>
      </c>
      <c r="B654" t="s">
        <v>681</v>
      </c>
      <c r="C654" t="str">
        <f t="shared" si="11"/>
        <v>Drogheda UnitedDrogheda United</v>
      </c>
    </row>
    <row r="655" spans="1:3" x14ac:dyDescent="0.2">
      <c r="A655" s="8" t="s">
        <v>261</v>
      </c>
      <c r="B655" t="s">
        <v>311</v>
      </c>
      <c r="C655" t="str">
        <f t="shared" si="11"/>
        <v>San Antonio Bulo BuloSA Bulo Bulo</v>
      </c>
    </row>
    <row r="656" spans="1:3" x14ac:dyDescent="0.2">
      <c r="A656" s="7" t="s">
        <v>683</v>
      </c>
      <c r="B656" t="s">
        <v>683</v>
      </c>
      <c r="C656" t="str">
        <f t="shared" si="11"/>
        <v>Nueva ChicagoNueva Chicago</v>
      </c>
    </row>
    <row r="657" spans="1:3" x14ac:dyDescent="0.2">
      <c r="A657" s="7" t="s">
        <v>691</v>
      </c>
      <c r="B657" t="s">
        <v>3114</v>
      </c>
      <c r="C657" t="str">
        <f t="shared" si="11"/>
        <v>Universidad de ConcepciónUniversidad de Concepcion</v>
      </c>
    </row>
    <row r="658" spans="1:3" x14ac:dyDescent="0.2">
      <c r="A658" s="8" t="s">
        <v>693</v>
      </c>
      <c r="B658" t="s">
        <v>3117</v>
      </c>
      <c r="C658" t="str">
        <f t="shared" si="11"/>
        <v>San LuisSan Luis Quillota</v>
      </c>
    </row>
    <row r="659" spans="1:3" x14ac:dyDescent="0.2">
      <c r="A659" s="7" t="s">
        <v>695</v>
      </c>
      <c r="B659" t="s">
        <v>695</v>
      </c>
      <c r="C659" t="str">
        <f t="shared" si="11"/>
        <v>Sportivo San LorenzoSportivo San Lorenzo</v>
      </c>
    </row>
    <row r="660" spans="1:3" x14ac:dyDescent="0.2">
      <c r="A660" s="7" t="s">
        <v>687</v>
      </c>
      <c r="B660" t="s">
        <v>3050</v>
      </c>
      <c r="C660" t="str">
        <f t="shared" si="11"/>
        <v>Nacional-AMNacional AM</v>
      </c>
    </row>
    <row r="661" spans="1:3" x14ac:dyDescent="0.2">
      <c r="A661" s="8" t="s">
        <v>689</v>
      </c>
      <c r="B661" t="s">
        <v>3052</v>
      </c>
      <c r="C661" t="str">
        <f t="shared" si="11"/>
        <v>UberlândiaUberlandia MG</v>
      </c>
    </row>
    <row r="662" spans="1:3" x14ac:dyDescent="0.2">
      <c r="A662" s="7" t="s">
        <v>699</v>
      </c>
      <c r="B662" t="s">
        <v>2765</v>
      </c>
      <c r="C662" t="str">
        <f t="shared" si="11"/>
        <v>Colón de Santa FeClub Atletico Colon</v>
      </c>
    </row>
    <row r="663" spans="1:3" x14ac:dyDescent="0.2">
      <c r="A663" s="8" t="s">
        <v>701</v>
      </c>
      <c r="B663" t="s">
        <v>330</v>
      </c>
      <c r="C663" t="str">
        <f t="shared" si="11"/>
        <v>MidlandFerrocarril Midland</v>
      </c>
    </row>
    <row r="664" spans="1:3" x14ac:dyDescent="0.2">
      <c r="A664" s="8" t="s">
        <v>707</v>
      </c>
      <c r="B664" t="s">
        <v>2771</v>
      </c>
      <c r="C664" t="str">
        <f t="shared" si="11"/>
        <v>Villa DálmineVilla Dalmine</v>
      </c>
    </row>
    <row r="665" spans="1:3" x14ac:dyDescent="0.2">
      <c r="A665" s="7" t="s">
        <v>709</v>
      </c>
      <c r="B665" t="s">
        <v>2772</v>
      </c>
      <c r="C665" t="str">
        <f t="shared" si="11"/>
        <v>San Martín BurzacoSan Martin De Burzaco</v>
      </c>
    </row>
    <row r="666" spans="1:3" x14ac:dyDescent="0.2">
      <c r="A666" s="8" t="s">
        <v>711</v>
      </c>
      <c r="B666" t="s">
        <v>711</v>
      </c>
      <c r="C666" t="str">
        <f t="shared" si="11"/>
        <v>Argentino MerloArgentino Merlo</v>
      </c>
    </row>
    <row r="667" spans="1:3" x14ac:dyDescent="0.2">
      <c r="A667" s="7" t="s">
        <v>713</v>
      </c>
      <c r="B667" t="s">
        <v>713</v>
      </c>
      <c r="C667" t="str">
        <f t="shared" si="11"/>
        <v>Real PilarReal Pilar</v>
      </c>
    </row>
    <row r="668" spans="1:3" x14ac:dyDescent="0.2">
      <c r="A668" s="8" t="s">
        <v>715</v>
      </c>
      <c r="B668" t="s">
        <v>715</v>
      </c>
      <c r="C668" t="str">
        <f t="shared" si="11"/>
        <v>UAI UrquizaUAI Urquiza</v>
      </c>
    </row>
    <row r="669" spans="1:3" x14ac:dyDescent="0.2">
      <c r="A669" s="7" t="s">
        <v>717</v>
      </c>
      <c r="B669" t="s">
        <v>2775</v>
      </c>
      <c r="C669" t="str">
        <f t="shared" si="11"/>
        <v>Arsenal de SarandíArsenal de Sarandi</v>
      </c>
    </row>
    <row r="670" spans="1:3" x14ac:dyDescent="0.2">
      <c r="A670" s="8" t="s">
        <v>719</v>
      </c>
      <c r="C670" t="str">
        <f t="shared" si="11"/>
        <v>Talleres de Remedios de Escalada</v>
      </c>
    </row>
    <row r="671" spans="1:3" x14ac:dyDescent="0.2">
      <c r="A671" s="7" t="s">
        <v>721</v>
      </c>
      <c r="B671" t="s">
        <v>2768</v>
      </c>
      <c r="C671" t="str">
        <f t="shared" si="11"/>
        <v>LiniersCSD Liniers</v>
      </c>
    </row>
    <row r="672" spans="1:3" x14ac:dyDescent="0.2">
      <c r="A672" s="7" t="s">
        <v>730</v>
      </c>
      <c r="B672" t="s">
        <v>3046</v>
      </c>
      <c r="C672" t="str">
        <f t="shared" si="11"/>
        <v>MaranhãoMaranhao</v>
      </c>
    </row>
    <row r="673" spans="1:3" x14ac:dyDescent="0.2">
      <c r="A673" s="8" t="s">
        <v>723</v>
      </c>
      <c r="B673" t="s">
        <v>723</v>
      </c>
      <c r="C673" t="str">
        <f t="shared" si="11"/>
        <v>ExcursionistasExcursionistas</v>
      </c>
    </row>
    <row r="674" spans="1:3" x14ac:dyDescent="0.2">
      <c r="A674" s="7" t="s">
        <v>725</v>
      </c>
      <c r="C674" t="str">
        <f t="shared" si="11"/>
        <v>Club Sportivo Italiano</v>
      </c>
    </row>
    <row r="675" spans="1:3" x14ac:dyDescent="0.2">
      <c r="A675" s="8" t="s">
        <v>727</v>
      </c>
      <c r="B675" t="s">
        <v>2777</v>
      </c>
      <c r="C675" t="str">
        <f t="shared" si="11"/>
        <v>San CarlosCA Villa San Carlos</v>
      </c>
    </row>
    <row r="676" spans="1:3" x14ac:dyDescent="0.2">
      <c r="A676" s="8" t="s">
        <v>697</v>
      </c>
      <c r="B676" t="s">
        <v>2760</v>
      </c>
      <c r="C676" t="str">
        <f t="shared" si="11"/>
        <v>Talleres de CórdobaTalleres de Cordoba</v>
      </c>
    </row>
    <row r="677" spans="1:3" x14ac:dyDescent="0.2">
      <c r="A677" s="8" t="s">
        <v>703</v>
      </c>
      <c r="B677" t="s">
        <v>703</v>
      </c>
      <c r="C677" t="str">
        <f t="shared" si="11"/>
        <v>San Martin de TucumanSan Martin de Tucuman</v>
      </c>
    </row>
    <row r="678" spans="1:3" x14ac:dyDescent="0.2">
      <c r="A678" s="7" t="s">
        <v>682</v>
      </c>
      <c r="B678" t="s">
        <v>2763</v>
      </c>
      <c r="C678" t="str">
        <f t="shared" si="11"/>
        <v>Atletico RafaelaAtletico de Rafaela</v>
      </c>
    </row>
    <row r="679" spans="1:3" x14ac:dyDescent="0.2">
      <c r="A679" s="8" t="s">
        <v>732</v>
      </c>
      <c r="B679" t="s">
        <v>732</v>
      </c>
      <c r="C679" t="str">
        <f t="shared" si="11"/>
        <v>FigueirenseFigueirense</v>
      </c>
    </row>
    <row r="680" spans="1:3" x14ac:dyDescent="0.2">
      <c r="A680" s="7" t="s">
        <v>734</v>
      </c>
      <c r="B680" t="s">
        <v>734</v>
      </c>
      <c r="C680" t="str">
        <f t="shared" si="11"/>
        <v>CiencianoCienciano</v>
      </c>
    </row>
    <row r="681" spans="1:3" x14ac:dyDescent="0.2">
      <c r="A681" s="7" t="s">
        <v>738</v>
      </c>
      <c r="B681" t="s">
        <v>422</v>
      </c>
      <c r="C681" t="str">
        <f t="shared" si="11"/>
        <v>Unión MagdalenaUnion Magdalena</v>
      </c>
    </row>
    <row r="682" spans="1:3" x14ac:dyDescent="0.2">
      <c r="A682" s="8" t="s">
        <v>736</v>
      </c>
      <c r="B682" t="s">
        <v>416</v>
      </c>
      <c r="C682" t="str">
        <f t="shared" si="11"/>
        <v>Atlético NacionalAtletico Nacional</v>
      </c>
    </row>
    <row r="683" spans="1:3" x14ac:dyDescent="0.2">
      <c r="A683" s="7" t="s">
        <v>741</v>
      </c>
      <c r="B683" t="s">
        <v>3686</v>
      </c>
      <c r="C683" t="str">
        <f t="shared" si="11"/>
        <v>JuventudCA Juventud</v>
      </c>
    </row>
    <row r="684" spans="1:3" x14ac:dyDescent="0.2">
      <c r="A684" s="8" t="s">
        <v>739</v>
      </c>
      <c r="B684" t="s">
        <v>739</v>
      </c>
      <c r="C684" t="str">
        <f t="shared" si="11"/>
        <v>Toronto FC IIToronto FC II</v>
      </c>
    </row>
    <row r="685" spans="1:3" x14ac:dyDescent="0.2">
      <c r="A685" s="8" t="s">
        <v>423</v>
      </c>
      <c r="B685" t="s">
        <v>423</v>
      </c>
      <c r="C685" t="str">
        <f t="shared" si="11"/>
        <v>Deportivo PastoDeportivo Pasto</v>
      </c>
    </row>
    <row r="686" spans="1:3" x14ac:dyDescent="0.2">
      <c r="A686" s="7" t="s">
        <v>267</v>
      </c>
      <c r="B686" t="s">
        <v>267</v>
      </c>
      <c r="C686" t="str">
        <f t="shared" si="11"/>
        <v>Real OruroReal Oruro</v>
      </c>
    </row>
    <row r="687" spans="1:3" x14ac:dyDescent="0.2">
      <c r="A687" s="8" t="s">
        <v>67</v>
      </c>
      <c r="B687" t="s">
        <v>67</v>
      </c>
      <c r="C687" t="str">
        <f t="shared" si="11"/>
        <v>InternacionalInternacional</v>
      </c>
    </row>
    <row r="688" spans="1:3" x14ac:dyDescent="0.2">
      <c r="A688" s="8" t="s">
        <v>750</v>
      </c>
      <c r="B688" t="s">
        <v>3118</v>
      </c>
      <c r="C688" t="str">
        <f t="shared" si="11"/>
        <v>Club Deportes Santa CruzDeportes Santa Cruz</v>
      </c>
    </row>
    <row r="689" spans="1:3" x14ac:dyDescent="0.2">
      <c r="A689" s="8" t="s">
        <v>746</v>
      </c>
      <c r="B689" t="s">
        <v>3048</v>
      </c>
      <c r="C689" t="str">
        <f t="shared" si="11"/>
        <v>ItabaianaItabaiana SE</v>
      </c>
    </row>
    <row r="690" spans="1:3" x14ac:dyDescent="0.2">
      <c r="A690" s="7" t="s">
        <v>748</v>
      </c>
      <c r="B690" t="s">
        <v>748</v>
      </c>
      <c r="C690" t="str">
        <f t="shared" ref="C690:C737" si="12">A690&amp;B690</f>
        <v>CobresalCobresal</v>
      </c>
    </row>
    <row r="691" spans="1:3" x14ac:dyDescent="0.2">
      <c r="A691" s="7" t="s">
        <v>65</v>
      </c>
      <c r="B691" t="s">
        <v>65</v>
      </c>
      <c r="C691" t="str">
        <f t="shared" si="12"/>
        <v>ChapecoenseChapecoense</v>
      </c>
    </row>
    <row r="692" spans="1:3" x14ac:dyDescent="0.2">
      <c r="A692" s="7" t="s">
        <v>185</v>
      </c>
      <c r="B692" t="s">
        <v>3518</v>
      </c>
      <c r="C692" t="str">
        <f t="shared" si="12"/>
        <v>NacionalClub Nacional</v>
      </c>
    </row>
    <row r="693" spans="1:3" x14ac:dyDescent="0.2">
      <c r="A693" s="8" t="s">
        <v>752</v>
      </c>
      <c r="B693" t="s">
        <v>2764</v>
      </c>
      <c r="C693" t="str">
        <f t="shared" si="12"/>
        <v>TemperleyCA Temperley</v>
      </c>
    </row>
    <row r="694" spans="1:3" x14ac:dyDescent="0.2">
      <c r="A694" s="7" t="s">
        <v>753</v>
      </c>
      <c r="B694" t="s">
        <v>3049</v>
      </c>
      <c r="C694" t="str">
        <f t="shared" si="12"/>
        <v>Anapolis FCAnapolis GO</v>
      </c>
    </row>
    <row r="695" spans="1:3" x14ac:dyDescent="0.2">
      <c r="A695" s="8" t="s">
        <v>755</v>
      </c>
      <c r="B695" t="s">
        <v>755</v>
      </c>
      <c r="C695" t="str">
        <f t="shared" si="12"/>
        <v>Barracas CentralBarracas Central</v>
      </c>
    </row>
    <row r="696" spans="1:3" x14ac:dyDescent="0.2">
      <c r="A696" s="7" t="s">
        <v>63</v>
      </c>
      <c r="B696" t="s">
        <v>63</v>
      </c>
      <c r="C696" t="str">
        <f t="shared" si="12"/>
        <v>Charlotte FCCharlotte FC</v>
      </c>
    </row>
    <row r="697" spans="1:3" x14ac:dyDescent="0.2">
      <c r="A697" s="8" t="s">
        <v>757</v>
      </c>
      <c r="B697" t="s">
        <v>757</v>
      </c>
      <c r="C697" t="str">
        <f t="shared" si="12"/>
        <v>AD TarmaAD Tarma</v>
      </c>
    </row>
    <row r="698" spans="1:3" x14ac:dyDescent="0.2">
      <c r="A698" s="8" t="s">
        <v>759</v>
      </c>
      <c r="B698" t="s">
        <v>759</v>
      </c>
      <c r="C698" t="str">
        <f t="shared" si="12"/>
        <v>San Antonio FCSan Antonio FC</v>
      </c>
    </row>
    <row r="699" spans="1:3" x14ac:dyDescent="0.2">
      <c r="A699" s="7" t="s">
        <v>768</v>
      </c>
      <c r="B699" t="s">
        <v>768</v>
      </c>
      <c r="C699" t="str">
        <f t="shared" si="12"/>
        <v>Philadelphia Union IIPhiladelphia Union II</v>
      </c>
    </row>
    <row r="700" spans="1:3" x14ac:dyDescent="0.2">
      <c r="A700" s="7" t="s">
        <v>53</v>
      </c>
      <c r="B700" t="s">
        <v>53</v>
      </c>
      <c r="C700" t="str">
        <f t="shared" si="12"/>
        <v>FC CincinnatiFC Cincinnati</v>
      </c>
    </row>
    <row r="701" spans="1:3" x14ac:dyDescent="0.2">
      <c r="A701" s="7" t="s">
        <v>761</v>
      </c>
      <c r="B701" t="s">
        <v>3694</v>
      </c>
      <c r="C701" t="str">
        <f t="shared" si="12"/>
        <v>Las Vegas Lights FCLas Vegas Lights</v>
      </c>
    </row>
    <row r="702" spans="1:3" x14ac:dyDescent="0.2">
      <c r="A702" s="8" t="s">
        <v>763</v>
      </c>
      <c r="B702" t="s">
        <v>3695</v>
      </c>
      <c r="C702" t="str">
        <f t="shared" si="12"/>
        <v>Loudoun United FCLoudoun United</v>
      </c>
    </row>
    <row r="703" spans="1:3" x14ac:dyDescent="0.2">
      <c r="A703" s="8" t="s">
        <v>770</v>
      </c>
      <c r="B703" t="s">
        <v>770</v>
      </c>
      <c r="C703" t="str">
        <f t="shared" si="12"/>
        <v>The TownThe Town</v>
      </c>
    </row>
    <row r="704" spans="1:3" x14ac:dyDescent="0.2">
      <c r="A704" s="7" t="s">
        <v>764</v>
      </c>
      <c r="B704" t="s">
        <v>764</v>
      </c>
      <c r="C704" t="str">
        <f t="shared" si="12"/>
        <v>Tampa Bay RowdiesTampa Bay Rowdies</v>
      </c>
    </row>
    <row r="705" spans="1:3" x14ac:dyDescent="0.2">
      <c r="A705" s="8" t="s">
        <v>766</v>
      </c>
      <c r="B705" t="s">
        <v>3696</v>
      </c>
      <c r="C705" t="str">
        <f t="shared" si="12"/>
        <v>Rhode Island FCRhode Island</v>
      </c>
    </row>
    <row r="706" spans="1:3" x14ac:dyDescent="0.2">
      <c r="A706" s="7" t="s">
        <v>772</v>
      </c>
      <c r="B706" t="s">
        <v>3139</v>
      </c>
      <c r="C706" t="str">
        <f t="shared" si="12"/>
        <v>BucaramangaAtletico Bucaramanga</v>
      </c>
    </row>
    <row r="707" spans="1:3" x14ac:dyDescent="0.2">
      <c r="A707" s="8" t="s">
        <v>774</v>
      </c>
      <c r="B707" t="s">
        <v>774</v>
      </c>
      <c r="C707" t="str">
        <f t="shared" si="12"/>
        <v>UMECITUMECIT</v>
      </c>
    </row>
    <row r="708" spans="1:3" x14ac:dyDescent="0.2">
      <c r="A708" s="7" t="s">
        <v>778</v>
      </c>
      <c r="B708" t="s">
        <v>778</v>
      </c>
      <c r="C708" t="str">
        <f t="shared" si="12"/>
        <v>Chicago Fire IIChicago Fire II</v>
      </c>
    </row>
    <row r="709" spans="1:3" x14ac:dyDescent="0.2">
      <c r="A709" s="7" t="s">
        <v>55</v>
      </c>
      <c r="B709" t="s">
        <v>55</v>
      </c>
      <c r="C709" t="str">
        <f t="shared" si="12"/>
        <v>Inter Miami CFInter Miami CF</v>
      </c>
    </row>
    <row r="710" spans="1:3" x14ac:dyDescent="0.2">
      <c r="A710" s="8" t="s">
        <v>58</v>
      </c>
      <c r="B710" t="s">
        <v>58</v>
      </c>
      <c r="C710" t="str">
        <f t="shared" si="12"/>
        <v>Toronto FCToronto FC</v>
      </c>
    </row>
    <row r="711" spans="1:3" x14ac:dyDescent="0.2">
      <c r="A711" s="7" t="s">
        <v>775</v>
      </c>
      <c r="B711" t="s">
        <v>775</v>
      </c>
      <c r="C711" t="str">
        <f t="shared" si="12"/>
        <v>Oriente PetroleroOriente Petrolero</v>
      </c>
    </row>
    <row r="712" spans="1:3" x14ac:dyDescent="0.2">
      <c r="A712" s="7" t="s">
        <v>64</v>
      </c>
      <c r="B712" t="s">
        <v>862</v>
      </c>
      <c r="C712" t="str">
        <f t="shared" si="12"/>
        <v>Atlanta United FCAtlanta United</v>
      </c>
    </row>
    <row r="713" spans="1:3" x14ac:dyDescent="0.2">
      <c r="A713" s="8" t="s">
        <v>56</v>
      </c>
      <c r="B713" t="s">
        <v>56</v>
      </c>
      <c r="C713" t="str">
        <f t="shared" si="12"/>
        <v>Chicago FireChicago Fire</v>
      </c>
    </row>
    <row r="714" spans="1:3" x14ac:dyDescent="0.2">
      <c r="A714" s="7" t="s">
        <v>77</v>
      </c>
      <c r="B714" t="s">
        <v>863</v>
      </c>
      <c r="C714" t="str">
        <f t="shared" si="12"/>
        <v>Nashville SCNashville FC</v>
      </c>
    </row>
    <row r="715" spans="1:3" x14ac:dyDescent="0.2">
      <c r="A715" s="8" t="s">
        <v>74</v>
      </c>
      <c r="B715" t="s">
        <v>74</v>
      </c>
      <c r="C715" t="str">
        <f t="shared" si="12"/>
        <v>Seattle Sounders FCSeattle Sounders FC</v>
      </c>
    </row>
    <row r="716" spans="1:3" x14ac:dyDescent="0.2">
      <c r="A716" s="8" t="s">
        <v>777</v>
      </c>
      <c r="B716" t="s">
        <v>2759</v>
      </c>
      <c r="C716" t="str">
        <f t="shared" si="12"/>
        <v>MirassolMirassol SP</v>
      </c>
    </row>
    <row r="717" spans="1:3" x14ac:dyDescent="0.2">
      <c r="A717" s="7" t="s">
        <v>781</v>
      </c>
      <c r="B717" t="s">
        <v>781</v>
      </c>
      <c r="C717" t="str">
        <f t="shared" si="12"/>
        <v>Real SantanderReal Santander</v>
      </c>
    </row>
    <row r="718" spans="1:3" x14ac:dyDescent="0.2">
      <c r="A718" s="8" t="s">
        <v>61</v>
      </c>
      <c r="B718" t="s">
        <v>61</v>
      </c>
      <c r="C718" t="str">
        <f t="shared" si="12"/>
        <v>Manta FCManta FC</v>
      </c>
    </row>
    <row r="719" spans="1:3" x14ac:dyDescent="0.2">
      <c r="A719" s="8" t="s">
        <v>780</v>
      </c>
      <c r="B719" t="s">
        <v>3116</v>
      </c>
      <c r="C719" t="str">
        <f t="shared" si="12"/>
        <v>La SerenaCD La Serena</v>
      </c>
    </row>
    <row r="720" spans="1:3" x14ac:dyDescent="0.2">
      <c r="A720" s="8" t="s">
        <v>73</v>
      </c>
      <c r="B720" t="s">
        <v>73</v>
      </c>
      <c r="C720" t="str">
        <f t="shared" si="12"/>
        <v>Austin FCAustin FC</v>
      </c>
    </row>
    <row r="721" spans="1:3" x14ac:dyDescent="0.2">
      <c r="A721" s="7" t="s">
        <v>783</v>
      </c>
      <c r="B721" t="s">
        <v>783</v>
      </c>
      <c r="C721" t="str">
        <f t="shared" si="12"/>
        <v>San LorenzoSan Lorenzo</v>
      </c>
    </row>
    <row r="722" spans="1:3" x14ac:dyDescent="0.2">
      <c r="A722" s="7" t="s">
        <v>54</v>
      </c>
      <c r="B722" t="s">
        <v>54</v>
      </c>
      <c r="C722" t="str">
        <f t="shared" si="12"/>
        <v>Vancouver WhitecapsVancouver Whitecaps</v>
      </c>
    </row>
    <row r="723" spans="1:3" x14ac:dyDescent="0.2">
      <c r="A723" s="8" t="s">
        <v>85</v>
      </c>
      <c r="B723" t="s">
        <v>85</v>
      </c>
      <c r="C723" t="str">
        <f t="shared" si="12"/>
        <v>Colorado RapidsColorado Rapids</v>
      </c>
    </row>
    <row r="724" spans="1:3" x14ac:dyDescent="0.2">
      <c r="A724" s="7" t="s">
        <v>47</v>
      </c>
      <c r="B724" t="s">
        <v>47</v>
      </c>
      <c r="C724" t="str">
        <f t="shared" si="12"/>
        <v>Lexington SCLexington SC</v>
      </c>
    </row>
    <row r="725" spans="1:3" x14ac:dyDescent="0.2">
      <c r="A725" s="8" t="s">
        <v>786</v>
      </c>
      <c r="B725" t="s">
        <v>786</v>
      </c>
      <c r="C725" t="str">
        <f t="shared" si="12"/>
        <v>Los Angeles FC IILos Angeles FC II</v>
      </c>
    </row>
    <row r="726" spans="1:3" x14ac:dyDescent="0.2">
      <c r="A726" s="7" t="s">
        <v>787</v>
      </c>
      <c r="B726" t="s">
        <v>787</v>
      </c>
      <c r="C726" t="str">
        <f t="shared" si="12"/>
        <v>Charleston BatteryCharleston Battery</v>
      </c>
    </row>
    <row r="727" spans="1:3" x14ac:dyDescent="0.2">
      <c r="A727" s="8" t="s">
        <v>789</v>
      </c>
      <c r="B727" t="s">
        <v>3699</v>
      </c>
      <c r="C727" t="str">
        <f t="shared" si="12"/>
        <v>Sporting JAXSporting Jacksonville</v>
      </c>
    </row>
    <row r="728" spans="1:3" x14ac:dyDescent="0.2">
      <c r="A728" s="7" t="s">
        <v>791</v>
      </c>
      <c r="B728" t="s">
        <v>791</v>
      </c>
      <c r="C728" t="str">
        <f t="shared" si="12"/>
        <v>Sporting CristalSporting Cristal</v>
      </c>
    </row>
    <row r="729" spans="1:3" x14ac:dyDescent="0.2">
      <c r="A729" s="8" t="s">
        <v>792</v>
      </c>
      <c r="B729" t="s">
        <v>1880</v>
      </c>
      <c r="C729" t="str">
        <f t="shared" si="12"/>
        <v>Atlético JuniorJunior FC</v>
      </c>
    </row>
    <row r="730" spans="1:3" x14ac:dyDescent="0.2">
      <c r="A730" s="8" t="s">
        <v>794</v>
      </c>
      <c r="B730" t="s">
        <v>794</v>
      </c>
      <c r="C730" t="str">
        <f t="shared" si="12"/>
        <v>San Francisco FCSan Francisco FC</v>
      </c>
    </row>
    <row r="731" spans="1:3" x14ac:dyDescent="0.2">
      <c r="A731" s="7" t="s">
        <v>92</v>
      </c>
      <c r="B731" t="s">
        <v>867</v>
      </c>
      <c r="C731" t="str">
        <f t="shared" si="12"/>
        <v>FC DallasDallas</v>
      </c>
    </row>
    <row r="732" spans="1:3" x14ac:dyDescent="0.2">
      <c r="A732" s="7" t="s">
        <v>796</v>
      </c>
      <c r="B732" t="s">
        <v>3701</v>
      </c>
      <c r="C732" t="str">
        <f t="shared" si="12"/>
        <v>Orange County SCOrange County Blues</v>
      </c>
    </row>
    <row r="733" spans="1:3" x14ac:dyDescent="0.2">
      <c r="A733" s="8" t="s">
        <v>797</v>
      </c>
      <c r="B733" t="s">
        <v>3702</v>
      </c>
      <c r="C733" t="str">
        <f t="shared" si="12"/>
        <v>Sacramento Republic FCSacramento Republic</v>
      </c>
    </row>
    <row r="734" spans="1:3" x14ac:dyDescent="0.2">
      <c r="A734" s="7" t="s">
        <v>79</v>
      </c>
      <c r="B734" t="s">
        <v>79</v>
      </c>
      <c r="C734" t="str">
        <f t="shared" si="12"/>
        <v>Sporting Kansas CitySporting Kansas City</v>
      </c>
    </row>
    <row r="735" spans="1:3" x14ac:dyDescent="0.2">
      <c r="A735" s="8" t="s">
        <v>799</v>
      </c>
      <c r="B735" t="s">
        <v>799</v>
      </c>
      <c r="C735" t="str">
        <f t="shared" si="12"/>
        <v>Hartford AthleticHartford Athletic</v>
      </c>
    </row>
    <row r="736" spans="1:3" x14ac:dyDescent="0.2">
      <c r="A736" s="8" t="s">
        <v>90</v>
      </c>
      <c r="B736" t="s">
        <v>90</v>
      </c>
      <c r="C736" t="str">
        <f t="shared" si="12"/>
        <v>Real Salt LakeReal Salt Lake</v>
      </c>
    </row>
    <row r="737" spans="1:3" x14ac:dyDescent="0.2">
      <c r="A737" s="7" t="s">
        <v>87</v>
      </c>
      <c r="B737" t="s">
        <v>87</v>
      </c>
      <c r="C737" t="str">
        <f t="shared" si="12"/>
        <v>LA GalaxyLA Galaxy</v>
      </c>
    </row>
  </sheetData>
  <autoFilter ref="A1:B737" xr:uid="{9AB6C352-3DE9-4C93-A883-9D93887D916B}"/>
  <conditionalFormatting sqref="A1:A1048576">
    <cfRule type="duplicateValues" dxfId="7" priority="5"/>
  </conditionalFormatting>
  <conditionalFormatting sqref="A282:A1048576 A85:A272 A1:A67">
    <cfRule type="duplicateValues" dxfId="6" priority="8"/>
  </conditionalFormatting>
  <conditionalFormatting sqref="A282:A1048576 A1:A272">
    <cfRule type="duplicateValues" dxfId="5" priority="6"/>
  </conditionalFormatting>
  <conditionalFormatting sqref="B282">
    <cfRule type="duplicateValues" dxfId="4" priority="2"/>
    <cfRule type="duplicateValues" dxfId="3" priority="3"/>
    <cfRule type="duplicateValues" dxfId="2" priority="4"/>
  </conditionalFormatting>
  <conditionalFormatting sqref="C1:C1048576">
    <cfRule type="duplicateValues" dxfId="1" priority="1"/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074E3-F409-4539-B73D-61BC4D7AB353}">
  <dimension ref="A1:AQ309"/>
  <sheetViews>
    <sheetView topLeftCell="J1" workbookViewId="0">
      <pane ySplit="2" topLeftCell="A3" activePane="bottomLeft" state="frozen"/>
      <selection pane="bottomLeft" activeCell="O4" sqref="O4"/>
    </sheetView>
  </sheetViews>
  <sheetFormatPr baseColWidth="10" defaultColWidth="8.83203125" defaultRowHeight="15" x14ac:dyDescent="0.2"/>
  <sheetData>
    <row r="1" spans="1:43" x14ac:dyDescent="0.2">
      <c r="A1">
        <f>COUNTA(C:C)</f>
        <v>308</v>
      </c>
      <c r="H1" s="32">
        <f>AVERAGE(H3:H83)/100</f>
        <v>0.42834567901234555</v>
      </c>
      <c r="I1" s="32">
        <f t="shared" ref="I1:W1" si="0">AVERAGE(I3:I83)/100</f>
        <v>0.28043209876543218</v>
      </c>
      <c r="J1" s="32">
        <f t="shared" si="0"/>
        <v>0.29116049382716047</v>
      </c>
      <c r="K1" s="32">
        <f t="shared" si="0"/>
        <v>0.70883950617283953</v>
      </c>
      <c r="L1" s="32">
        <f t="shared" si="0"/>
        <v>0.57165432098765434</v>
      </c>
      <c r="M1" s="32">
        <f t="shared" si="0"/>
        <v>0.71956790123456793</v>
      </c>
      <c r="N1" s="32">
        <f t="shared" si="0"/>
        <v>0.3221234567901235</v>
      </c>
      <c r="O1" s="32">
        <f t="shared" si="0"/>
        <v>0.4315679012345679</v>
      </c>
      <c r="P1" s="32">
        <f t="shared" si="0"/>
        <v>0.24627160493827169</v>
      </c>
      <c r="Q1" s="32">
        <f t="shared" si="0"/>
        <v>0.69177777777777782</v>
      </c>
      <c r="R1" s="32">
        <f t="shared" si="0"/>
        <v>0.76514814814814813</v>
      </c>
      <c r="S1" s="32">
        <f t="shared" si="0"/>
        <v>0.52598765432098749</v>
      </c>
      <c r="T1" s="32">
        <f t="shared" si="0"/>
        <v>0.4740123456790124</v>
      </c>
      <c r="U1" s="32">
        <f t="shared" si="0"/>
        <v>0.53224691358024701</v>
      </c>
      <c r="V1" s="32">
        <f t="shared" si="0"/>
        <v>0.55651851851851841</v>
      </c>
      <c r="W1" s="32">
        <f t="shared" si="0"/>
        <v>0.44348148148148148</v>
      </c>
      <c r="AB1" s="32">
        <f>COUNTIFS(AB3:AB83,"Green")/COUNTA(AB3:AB83)</f>
        <v>0.48148148148148145</v>
      </c>
      <c r="AC1" s="32">
        <f t="shared" ref="AC1:AQ1" si="1">COUNTIFS(AC3:AC83,"Green")/COUNTA(AC3:AC83)</f>
        <v>0.22222222222222221</v>
      </c>
      <c r="AD1" s="32">
        <f t="shared" si="1"/>
        <v>0.29629629629629628</v>
      </c>
      <c r="AE1" s="32">
        <f t="shared" si="1"/>
        <v>0.70370370370370372</v>
      </c>
      <c r="AF1" s="32">
        <f t="shared" si="1"/>
        <v>0.51851851851851849</v>
      </c>
      <c r="AG1" s="32">
        <f t="shared" si="1"/>
        <v>0.77777777777777779</v>
      </c>
      <c r="AH1" s="32">
        <f t="shared" si="1"/>
        <v>0.34567901234567899</v>
      </c>
      <c r="AI1" s="32">
        <f t="shared" si="1"/>
        <v>0.38271604938271603</v>
      </c>
      <c r="AJ1" s="32">
        <f t="shared" si="1"/>
        <v>0.27160493827160492</v>
      </c>
      <c r="AK1" s="32">
        <f t="shared" si="1"/>
        <v>0.81481481481481477</v>
      </c>
      <c r="AL1" s="32">
        <f t="shared" si="1"/>
        <v>0.85185185185185186</v>
      </c>
      <c r="AM1" s="32">
        <f t="shared" si="1"/>
        <v>0.65432098765432101</v>
      </c>
      <c r="AN1" s="32">
        <f t="shared" si="1"/>
        <v>0.34567901234567899</v>
      </c>
      <c r="AO1" s="32">
        <f t="shared" si="1"/>
        <v>0.62962962962962965</v>
      </c>
      <c r="AP1" s="32">
        <f t="shared" si="1"/>
        <v>0.65432098765432101</v>
      </c>
      <c r="AQ1" s="32">
        <f t="shared" si="1"/>
        <v>0.34567901234567899</v>
      </c>
    </row>
    <row r="2" spans="1:43" x14ac:dyDescent="0.2">
      <c r="A2" t="s">
        <v>857</v>
      </c>
      <c r="B2" t="s">
        <v>443</v>
      </c>
      <c r="C2" t="s">
        <v>0</v>
      </c>
      <c r="D2" t="s">
        <v>1</v>
      </c>
      <c r="E2" t="s">
        <v>2</v>
      </c>
      <c r="F2" t="s">
        <v>3</v>
      </c>
      <c r="G2" t="s">
        <v>444</v>
      </c>
      <c r="H2" s="28" t="s">
        <v>347</v>
      </c>
      <c r="I2" t="s">
        <v>4</v>
      </c>
      <c r="J2" s="28" t="s">
        <v>346</v>
      </c>
      <c r="K2" t="s">
        <v>5</v>
      </c>
      <c r="L2" t="s">
        <v>6</v>
      </c>
      <c r="M2" s="28" t="s">
        <v>2220</v>
      </c>
      <c r="N2" t="s">
        <v>7</v>
      </c>
      <c r="O2" t="s">
        <v>8</v>
      </c>
      <c r="P2" t="s">
        <v>9</v>
      </c>
      <c r="Q2" t="s">
        <v>10</v>
      </c>
      <c r="R2" t="s">
        <v>11</v>
      </c>
      <c r="S2" t="s">
        <v>12</v>
      </c>
      <c r="T2" t="s">
        <v>13</v>
      </c>
      <c r="U2" t="s">
        <v>14</v>
      </c>
      <c r="V2" t="s">
        <v>15</v>
      </c>
      <c r="W2" t="s">
        <v>16</v>
      </c>
      <c r="X2" t="s">
        <v>2110</v>
      </c>
      <c r="Y2" t="s">
        <v>2111</v>
      </c>
      <c r="Z2" t="s">
        <v>442</v>
      </c>
      <c r="AA2" t="s">
        <v>444</v>
      </c>
      <c r="AB2" t="s">
        <v>439</v>
      </c>
      <c r="AC2" t="s">
        <v>4</v>
      </c>
      <c r="AD2" t="s">
        <v>440</v>
      </c>
      <c r="AE2" t="s">
        <v>5</v>
      </c>
      <c r="AF2" t="s">
        <v>6</v>
      </c>
      <c r="AG2" t="s">
        <v>441</v>
      </c>
      <c r="AH2" t="s">
        <v>7</v>
      </c>
      <c r="AI2" t="s">
        <v>8</v>
      </c>
      <c r="AJ2" t="s">
        <v>9</v>
      </c>
      <c r="AK2" t="s">
        <v>2112</v>
      </c>
      <c r="AL2" t="s">
        <v>2113</v>
      </c>
      <c r="AM2" t="s">
        <v>2114</v>
      </c>
      <c r="AN2" t="s">
        <v>2115</v>
      </c>
      <c r="AO2" t="s">
        <v>2116</v>
      </c>
      <c r="AP2" t="s">
        <v>15</v>
      </c>
      <c r="AQ2" t="s">
        <v>16</v>
      </c>
    </row>
    <row r="3" spans="1:43" x14ac:dyDescent="0.2">
      <c r="C3" t="s">
        <v>242</v>
      </c>
      <c r="D3">
        <v>0.5</v>
      </c>
      <c r="E3" t="s">
        <v>243</v>
      </c>
      <c r="F3" t="s">
        <v>244</v>
      </c>
      <c r="H3">
        <v>47.1</v>
      </c>
      <c r="I3">
        <v>26.8</v>
      </c>
      <c r="J3">
        <v>26</v>
      </c>
      <c r="K3">
        <v>74</v>
      </c>
      <c r="L3">
        <v>52.9</v>
      </c>
      <c r="M3">
        <v>73.2</v>
      </c>
      <c r="N3">
        <v>40.200000000000003</v>
      </c>
      <c r="O3">
        <v>38.200000000000003</v>
      </c>
      <c r="P3">
        <v>21.6</v>
      </c>
      <c r="Q3">
        <v>76.599999999999994</v>
      </c>
      <c r="R3">
        <v>79.5</v>
      </c>
      <c r="S3">
        <v>55.1</v>
      </c>
      <c r="T3">
        <v>44.9</v>
      </c>
      <c r="U3">
        <v>50.9</v>
      </c>
      <c r="V3">
        <v>58.3</v>
      </c>
      <c r="W3">
        <v>41.7</v>
      </c>
      <c r="X3" t="s">
        <v>297</v>
      </c>
      <c r="Y3" t="s">
        <v>296</v>
      </c>
      <c r="Z3" t="s">
        <v>2117</v>
      </c>
      <c r="AA3" t="s">
        <v>2118</v>
      </c>
      <c r="AB3" t="s">
        <v>2119</v>
      </c>
      <c r="AC3" t="s">
        <v>2119</v>
      </c>
      <c r="AD3" t="s">
        <v>2120</v>
      </c>
      <c r="AE3" t="s">
        <v>2119</v>
      </c>
      <c r="AF3" t="s">
        <v>2120</v>
      </c>
      <c r="AG3" t="s">
        <v>2120</v>
      </c>
      <c r="AH3" t="s">
        <v>2119</v>
      </c>
      <c r="AI3" t="s">
        <v>2119</v>
      </c>
      <c r="AJ3" t="s">
        <v>2120</v>
      </c>
      <c r="AK3" t="s">
        <v>2120</v>
      </c>
      <c r="AL3" t="s">
        <v>2120</v>
      </c>
      <c r="AM3" t="s">
        <v>2120</v>
      </c>
      <c r="AN3" t="s">
        <v>2119</v>
      </c>
      <c r="AO3" t="s">
        <v>2119</v>
      </c>
      <c r="AP3" t="s">
        <v>2120</v>
      </c>
      <c r="AQ3" t="s">
        <v>2119</v>
      </c>
    </row>
    <row r="4" spans="1:43" x14ac:dyDescent="0.2">
      <c r="C4" t="s">
        <v>242</v>
      </c>
      <c r="D4">
        <v>0.5</v>
      </c>
      <c r="E4" t="s">
        <v>245</v>
      </c>
      <c r="F4" t="s">
        <v>246</v>
      </c>
      <c r="H4">
        <v>20.3</v>
      </c>
      <c r="I4">
        <v>27.1</v>
      </c>
      <c r="J4">
        <v>52.7</v>
      </c>
      <c r="K4">
        <v>47.3</v>
      </c>
      <c r="L4">
        <v>79.7</v>
      </c>
      <c r="M4">
        <v>72.900000000000006</v>
      </c>
      <c r="N4">
        <v>24.9</v>
      </c>
      <c r="O4">
        <v>41.7</v>
      </c>
      <c r="P4">
        <v>33.299999999999997</v>
      </c>
      <c r="Q4">
        <v>72.400000000000006</v>
      </c>
      <c r="R4">
        <v>79</v>
      </c>
      <c r="S4">
        <v>54.5</v>
      </c>
      <c r="T4">
        <v>45.5</v>
      </c>
      <c r="U4">
        <v>52.4</v>
      </c>
      <c r="V4">
        <v>55.6</v>
      </c>
      <c r="W4">
        <v>44.4</v>
      </c>
      <c r="X4" t="s">
        <v>291</v>
      </c>
      <c r="Y4" t="s">
        <v>290</v>
      </c>
      <c r="Z4" t="s">
        <v>2121</v>
      </c>
      <c r="AA4" t="s">
        <v>456</v>
      </c>
      <c r="AB4" t="s">
        <v>2119</v>
      </c>
      <c r="AC4" t="s">
        <v>2119</v>
      </c>
      <c r="AD4" t="s">
        <v>2120</v>
      </c>
      <c r="AE4" t="s">
        <v>2119</v>
      </c>
      <c r="AF4" t="s">
        <v>2120</v>
      </c>
      <c r="AG4" t="s">
        <v>2120</v>
      </c>
      <c r="AH4" t="s">
        <v>2119</v>
      </c>
      <c r="AI4" t="s">
        <v>2119</v>
      </c>
      <c r="AJ4" t="s">
        <v>2120</v>
      </c>
      <c r="AK4" t="s">
        <v>2120</v>
      </c>
      <c r="AL4" t="s">
        <v>2119</v>
      </c>
      <c r="AM4" t="s">
        <v>2119</v>
      </c>
      <c r="AN4" t="s">
        <v>2120</v>
      </c>
      <c r="AO4" t="s">
        <v>2120</v>
      </c>
      <c r="AP4" t="s">
        <v>2119</v>
      </c>
      <c r="AQ4" t="s">
        <v>2120</v>
      </c>
    </row>
    <row r="5" spans="1:43" x14ac:dyDescent="0.2">
      <c r="C5" t="s">
        <v>242</v>
      </c>
      <c r="D5">
        <v>0.5</v>
      </c>
      <c r="E5" t="s">
        <v>247</v>
      </c>
      <c r="F5" t="s">
        <v>248</v>
      </c>
      <c r="H5">
        <v>25.6</v>
      </c>
      <c r="I5">
        <v>28.1</v>
      </c>
      <c r="J5">
        <v>46.3</v>
      </c>
      <c r="K5">
        <v>53.7</v>
      </c>
      <c r="L5">
        <v>74.400000000000006</v>
      </c>
      <c r="M5">
        <v>71.900000000000006</v>
      </c>
      <c r="N5">
        <v>22.6</v>
      </c>
      <c r="O5">
        <v>44.7</v>
      </c>
      <c r="P5">
        <v>32.700000000000003</v>
      </c>
      <c r="Q5">
        <v>67.8</v>
      </c>
      <c r="R5">
        <v>78</v>
      </c>
      <c r="S5">
        <v>53</v>
      </c>
      <c r="T5">
        <v>47</v>
      </c>
      <c r="U5">
        <v>53</v>
      </c>
      <c r="V5">
        <v>56.7</v>
      </c>
      <c r="W5">
        <v>43.3</v>
      </c>
      <c r="X5" t="s">
        <v>247</v>
      </c>
      <c r="Y5" t="s">
        <v>282</v>
      </c>
      <c r="Z5" t="s">
        <v>2122</v>
      </c>
      <c r="AA5" t="s">
        <v>2123</v>
      </c>
      <c r="AB5" t="s">
        <v>2119</v>
      </c>
      <c r="AC5" t="s">
        <v>2120</v>
      </c>
      <c r="AD5" t="s">
        <v>2119</v>
      </c>
      <c r="AE5" t="s">
        <v>2120</v>
      </c>
      <c r="AF5" t="s">
        <v>2120</v>
      </c>
      <c r="AG5" t="s">
        <v>2119</v>
      </c>
      <c r="AH5" t="s">
        <v>2119</v>
      </c>
      <c r="AI5" t="s">
        <v>2120</v>
      </c>
      <c r="AJ5" t="s">
        <v>2119</v>
      </c>
      <c r="AK5" t="s">
        <v>2120</v>
      </c>
      <c r="AL5" t="s">
        <v>2120</v>
      </c>
      <c r="AM5" t="s">
        <v>2120</v>
      </c>
      <c r="AN5" t="s">
        <v>2119</v>
      </c>
      <c r="AO5" t="s">
        <v>2119</v>
      </c>
      <c r="AP5" t="s">
        <v>2120</v>
      </c>
      <c r="AQ5" t="s">
        <v>2119</v>
      </c>
    </row>
    <row r="6" spans="1:43" x14ac:dyDescent="0.2">
      <c r="C6" t="s">
        <v>242</v>
      </c>
      <c r="D6">
        <v>0.53125</v>
      </c>
      <c r="E6" t="s">
        <v>249</v>
      </c>
      <c r="F6" t="s">
        <v>144</v>
      </c>
      <c r="H6">
        <v>56.3</v>
      </c>
      <c r="I6">
        <v>27.1</v>
      </c>
      <c r="J6">
        <v>16.600000000000001</v>
      </c>
      <c r="K6">
        <v>83.4</v>
      </c>
      <c r="L6">
        <v>43.7</v>
      </c>
      <c r="M6">
        <v>72.900000000000006</v>
      </c>
      <c r="N6">
        <v>38.1</v>
      </c>
      <c r="O6">
        <v>46.9</v>
      </c>
      <c r="P6">
        <v>15</v>
      </c>
      <c r="Q6">
        <v>62.3</v>
      </c>
      <c r="R6">
        <v>69.400000000000006</v>
      </c>
      <c r="S6">
        <v>41.9</v>
      </c>
      <c r="T6">
        <v>58.1</v>
      </c>
      <c r="U6">
        <v>65.3</v>
      </c>
      <c r="V6">
        <v>43.5</v>
      </c>
      <c r="W6">
        <v>56.5</v>
      </c>
      <c r="X6" t="s">
        <v>283</v>
      </c>
      <c r="Y6" t="s">
        <v>144</v>
      </c>
      <c r="Z6" t="s">
        <v>2124</v>
      </c>
      <c r="AA6" t="s">
        <v>2125</v>
      </c>
      <c r="AB6" t="s">
        <v>2120</v>
      </c>
      <c r="AC6" t="s">
        <v>2119</v>
      </c>
      <c r="AD6" t="s">
        <v>2119</v>
      </c>
      <c r="AE6" t="s">
        <v>2120</v>
      </c>
      <c r="AF6" t="s">
        <v>2119</v>
      </c>
      <c r="AG6" t="s">
        <v>2120</v>
      </c>
      <c r="AH6" t="s">
        <v>2120</v>
      </c>
      <c r="AI6" t="s">
        <v>2119</v>
      </c>
      <c r="AJ6" t="s">
        <v>2119</v>
      </c>
      <c r="AK6" t="s">
        <v>2120</v>
      </c>
      <c r="AL6" t="s">
        <v>2120</v>
      </c>
      <c r="AM6" t="s">
        <v>2120</v>
      </c>
      <c r="AN6" t="s">
        <v>2119</v>
      </c>
      <c r="AO6" t="s">
        <v>2119</v>
      </c>
      <c r="AP6" t="s">
        <v>2120</v>
      </c>
      <c r="AQ6" t="s">
        <v>2119</v>
      </c>
    </row>
    <row r="7" spans="1:43" x14ac:dyDescent="0.2">
      <c r="C7" t="s">
        <v>242</v>
      </c>
      <c r="D7">
        <v>0.54166666666666663</v>
      </c>
      <c r="E7" t="s">
        <v>250</v>
      </c>
      <c r="F7" t="s">
        <v>251</v>
      </c>
      <c r="H7">
        <v>22.1</v>
      </c>
      <c r="I7">
        <v>30.6</v>
      </c>
      <c r="J7">
        <v>47.2</v>
      </c>
      <c r="K7">
        <v>52.8</v>
      </c>
      <c r="L7">
        <v>77.900000000000006</v>
      </c>
      <c r="M7">
        <v>69.400000000000006</v>
      </c>
      <c r="N7">
        <v>15.5</v>
      </c>
      <c r="O7">
        <v>46.9</v>
      </c>
      <c r="P7">
        <v>37.6</v>
      </c>
      <c r="Q7">
        <v>63</v>
      </c>
      <c r="R7">
        <v>68.400000000000006</v>
      </c>
      <c r="S7">
        <v>40.700000000000003</v>
      </c>
      <c r="T7">
        <v>59.3</v>
      </c>
      <c r="U7">
        <v>65.2</v>
      </c>
      <c r="V7">
        <v>46.1</v>
      </c>
      <c r="W7">
        <v>53.9</v>
      </c>
      <c r="X7" t="s">
        <v>250</v>
      </c>
      <c r="Y7" t="s">
        <v>251</v>
      </c>
      <c r="Z7" t="s">
        <v>2126</v>
      </c>
      <c r="AA7" t="s">
        <v>449</v>
      </c>
      <c r="AB7" t="s">
        <v>2119</v>
      </c>
      <c r="AC7" t="s">
        <v>2119</v>
      </c>
      <c r="AD7" t="s">
        <v>2120</v>
      </c>
      <c r="AE7" t="s">
        <v>2119</v>
      </c>
      <c r="AF7" t="s">
        <v>2120</v>
      </c>
      <c r="AG7" t="s">
        <v>2120</v>
      </c>
      <c r="AH7" t="s">
        <v>2119</v>
      </c>
      <c r="AI7" t="s">
        <v>2119</v>
      </c>
      <c r="AJ7" t="s">
        <v>2120</v>
      </c>
      <c r="AK7" t="s">
        <v>2120</v>
      </c>
      <c r="AL7" t="s">
        <v>2120</v>
      </c>
      <c r="AM7" t="s">
        <v>2119</v>
      </c>
      <c r="AN7" t="s">
        <v>2120</v>
      </c>
      <c r="AO7" t="s">
        <v>2120</v>
      </c>
      <c r="AP7" t="s">
        <v>2119</v>
      </c>
      <c r="AQ7" t="s">
        <v>2120</v>
      </c>
    </row>
    <row r="8" spans="1:43" x14ac:dyDescent="0.2">
      <c r="C8" t="s">
        <v>242</v>
      </c>
      <c r="D8">
        <v>0.54166666666666663</v>
      </c>
      <c r="E8" t="s">
        <v>252</v>
      </c>
      <c r="F8" t="s">
        <v>253</v>
      </c>
      <c r="H8">
        <v>44.9</v>
      </c>
      <c r="I8">
        <v>28.8</v>
      </c>
      <c r="J8">
        <v>26.2</v>
      </c>
      <c r="K8">
        <v>73.8</v>
      </c>
      <c r="L8">
        <v>55.1</v>
      </c>
      <c r="M8">
        <v>71.2</v>
      </c>
      <c r="N8">
        <v>34.299999999999997</v>
      </c>
      <c r="O8">
        <v>41.1</v>
      </c>
      <c r="P8">
        <v>24.6</v>
      </c>
      <c r="Q8">
        <v>73.099999999999994</v>
      </c>
      <c r="R8">
        <v>72.8</v>
      </c>
      <c r="S8">
        <v>46</v>
      </c>
      <c r="T8">
        <v>54</v>
      </c>
      <c r="U8">
        <v>59.8</v>
      </c>
      <c r="V8">
        <v>51.4</v>
      </c>
      <c r="W8">
        <v>48.6</v>
      </c>
      <c r="X8" t="s">
        <v>252</v>
      </c>
      <c r="Y8" t="s">
        <v>253</v>
      </c>
      <c r="Z8" t="s">
        <v>2127</v>
      </c>
      <c r="AA8" t="s">
        <v>2128</v>
      </c>
      <c r="AB8" t="s">
        <v>2120</v>
      </c>
      <c r="AC8" t="s">
        <v>2119</v>
      </c>
      <c r="AD8" t="s">
        <v>2119</v>
      </c>
      <c r="AE8" t="s">
        <v>2120</v>
      </c>
      <c r="AF8" t="s">
        <v>2119</v>
      </c>
      <c r="AG8" t="s">
        <v>2120</v>
      </c>
      <c r="AH8" t="s">
        <v>2119</v>
      </c>
      <c r="AI8" t="s">
        <v>2120</v>
      </c>
      <c r="AJ8" t="s">
        <v>2119</v>
      </c>
      <c r="AK8" t="s">
        <v>2119</v>
      </c>
      <c r="AL8" t="s">
        <v>2120</v>
      </c>
      <c r="AM8" t="s">
        <v>2119</v>
      </c>
      <c r="AN8" t="s">
        <v>2120</v>
      </c>
      <c r="AO8" t="s">
        <v>2120</v>
      </c>
      <c r="AP8" t="s">
        <v>2119</v>
      </c>
      <c r="AQ8" t="s">
        <v>2120</v>
      </c>
    </row>
    <row r="9" spans="1:43" x14ac:dyDescent="0.2">
      <c r="C9" t="s">
        <v>242</v>
      </c>
      <c r="D9">
        <v>0.54166666666666663</v>
      </c>
      <c r="E9" t="s">
        <v>254</v>
      </c>
      <c r="F9" t="s">
        <v>255</v>
      </c>
      <c r="H9">
        <v>35.9</v>
      </c>
      <c r="I9">
        <v>26.1</v>
      </c>
      <c r="J9">
        <v>38</v>
      </c>
      <c r="K9">
        <v>62</v>
      </c>
      <c r="L9">
        <v>64.099999999999994</v>
      </c>
      <c r="M9">
        <v>73.900000000000006</v>
      </c>
      <c r="N9">
        <v>18.3</v>
      </c>
      <c r="O9">
        <v>42.3</v>
      </c>
      <c r="P9">
        <v>39.4</v>
      </c>
      <c r="Q9">
        <v>70.3</v>
      </c>
      <c r="R9">
        <v>86.6</v>
      </c>
      <c r="S9">
        <v>66.5</v>
      </c>
      <c r="T9">
        <v>33.5</v>
      </c>
      <c r="U9">
        <v>38.9</v>
      </c>
      <c r="V9">
        <v>68.400000000000006</v>
      </c>
      <c r="W9">
        <v>31.6</v>
      </c>
      <c r="X9" t="s">
        <v>289</v>
      </c>
      <c r="Y9" t="s">
        <v>288</v>
      </c>
      <c r="Z9" t="s">
        <v>2129</v>
      </c>
      <c r="AA9" t="s">
        <v>2128</v>
      </c>
      <c r="AB9" t="s">
        <v>2120</v>
      </c>
      <c r="AC9" t="s">
        <v>2119</v>
      </c>
      <c r="AD9" t="s">
        <v>2119</v>
      </c>
      <c r="AE9" t="s">
        <v>2120</v>
      </c>
      <c r="AF9" t="s">
        <v>2119</v>
      </c>
      <c r="AG9" t="s">
        <v>2120</v>
      </c>
      <c r="AH9" t="s">
        <v>2119</v>
      </c>
      <c r="AI9" t="s">
        <v>2120</v>
      </c>
      <c r="AJ9" t="s">
        <v>2119</v>
      </c>
      <c r="AK9" t="s">
        <v>2119</v>
      </c>
      <c r="AL9" t="s">
        <v>2120</v>
      </c>
      <c r="AM9" t="s">
        <v>2119</v>
      </c>
      <c r="AN9" t="s">
        <v>2120</v>
      </c>
      <c r="AO9" t="s">
        <v>2120</v>
      </c>
      <c r="AP9" t="s">
        <v>2119</v>
      </c>
      <c r="AQ9" t="s">
        <v>2120</v>
      </c>
    </row>
    <row r="10" spans="1:43" x14ac:dyDescent="0.2">
      <c r="C10" t="s">
        <v>242</v>
      </c>
      <c r="D10">
        <v>0.58333333333333337</v>
      </c>
      <c r="E10" t="s">
        <v>256</v>
      </c>
      <c r="F10" t="s">
        <v>257</v>
      </c>
      <c r="H10">
        <v>41.2</v>
      </c>
      <c r="I10">
        <v>26.6</v>
      </c>
      <c r="J10">
        <v>32.1</v>
      </c>
      <c r="K10">
        <v>67.900000000000006</v>
      </c>
      <c r="L10">
        <v>58.8</v>
      </c>
      <c r="M10">
        <v>73.400000000000006</v>
      </c>
      <c r="N10">
        <v>37.9</v>
      </c>
      <c r="O10">
        <v>34.9</v>
      </c>
      <c r="P10">
        <v>27.1</v>
      </c>
      <c r="Q10">
        <v>82.7</v>
      </c>
      <c r="R10">
        <v>83.2</v>
      </c>
      <c r="S10">
        <v>60.9</v>
      </c>
      <c r="T10">
        <v>39.1</v>
      </c>
      <c r="U10">
        <v>44.8</v>
      </c>
      <c r="V10">
        <v>63.9</v>
      </c>
      <c r="W10">
        <v>36.1</v>
      </c>
      <c r="X10" t="s">
        <v>341</v>
      </c>
      <c r="Y10" t="s">
        <v>340</v>
      </c>
      <c r="Z10" t="s">
        <v>2130</v>
      </c>
      <c r="AA10" t="s">
        <v>2123</v>
      </c>
      <c r="AB10" t="s">
        <v>2119</v>
      </c>
      <c r="AC10" t="s">
        <v>2120</v>
      </c>
      <c r="AD10" t="s">
        <v>2119</v>
      </c>
      <c r="AE10" t="s">
        <v>2120</v>
      </c>
      <c r="AF10" t="s">
        <v>2120</v>
      </c>
      <c r="AG10" t="s">
        <v>2119</v>
      </c>
      <c r="AH10" t="s">
        <v>2120</v>
      </c>
      <c r="AI10" t="s">
        <v>2119</v>
      </c>
      <c r="AJ10" t="s">
        <v>2119</v>
      </c>
      <c r="AK10" t="s">
        <v>2120</v>
      </c>
      <c r="AL10" t="s">
        <v>2120</v>
      </c>
      <c r="AM10" t="s">
        <v>2120</v>
      </c>
      <c r="AN10" t="s">
        <v>2119</v>
      </c>
      <c r="AO10" t="s">
        <v>2119</v>
      </c>
      <c r="AP10" t="s">
        <v>2120</v>
      </c>
      <c r="AQ10" t="s">
        <v>2119</v>
      </c>
    </row>
    <row r="11" spans="1:43" x14ac:dyDescent="0.2">
      <c r="C11" t="s">
        <v>242</v>
      </c>
      <c r="D11">
        <v>0.58333333333333337</v>
      </c>
      <c r="E11" t="s">
        <v>146</v>
      </c>
      <c r="F11" t="s">
        <v>258</v>
      </c>
      <c r="H11">
        <v>22.7</v>
      </c>
      <c r="I11">
        <v>25.2</v>
      </c>
      <c r="J11">
        <v>52.1</v>
      </c>
      <c r="K11">
        <v>47.9</v>
      </c>
      <c r="L11">
        <v>77.3</v>
      </c>
      <c r="M11">
        <v>74.8</v>
      </c>
      <c r="N11">
        <v>20.399999999999999</v>
      </c>
      <c r="O11">
        <v>34</v>
      </c>
      <c r="P11">
        <v>45.7</v>
      </c>
      <c r="Q11">
        <v>83</v>
      </c>
      <c r="R11">
        <v>89</v>
      </c>
      <c r="S11">
        <v>71</v>
      </c>
      <c r="T11">
        <v>29</v>
      </c>
      <c r="U11">
        <v>35</v>
      </c>
      <c r="V11">
        <v>69.5</v>
      </c>
      <c r="W11">
        <v>30.5</v>
      </c>
      <c r="X11" t="s">
        <v>146</v>
      </c>
      <c r="Y11" t="s">
        <v>258</v>
      </c>
      <c r="Z11" t="s">
        <v>2131</v>
      </c>
      <c r="AA11" t="s">
        <v>447</v>
      </c>
      <c r="AB11" t="s">
        <v>2119</v>
      </c>
      <c r="AC11" t="s">
        <v>2120</v>
      </c>
      <c r="AD11" t="s">
        <v>2119</v>
      </c>
      <c r="AE11" t="s">
        <v>2120</v>
      </c>
      <c r="AF11" t="s">
        <v>2120</v>
      </c>
      <c r="AG11" t="s">
        <v>2119</v>
      </c>
      <c r="AH11" t="s">
        <v>2119</v>
      </c>
      <c r="AI11" t="s">
        <v>2120</v>
      </c>
      <c r="AJ11" t="s">
        <v>2119</v>
      </c>
      <c r="AK11" t="s">
        <v>2119</v>
      </c>
      <c r="AL11" t="s">
        <v>2119</v>
      </c>
      <c r="AM11" t="s">
        <v>2119</v>
      </c>
      <c r="AN11" t="s">
        <v>2120</v>
      </c>
      <c r="AO11" t="s">
        <v>2120</v>
      </c>
      <c r="AP11" t="s">
        <v>2119</v>
      </c>
      <c r="AQ11" t="s">
        <v>2120</v>
      </c>
    </row>
    <row r="12" spans="1:43" x14ac:dyDescent="0.2">
      <c r="C12" t="s">
        <v>242</v>
      </c>
      <c r="D12">
        <v>0.58333333333333337</v>
      </c>
      <c r="E12" t="s">
        <v>259</v>
      </c>
      <c r="F12" t="s">
        <v>260</v>
      </c>
      <c r="H12">
        <v>57.6</v>
      </c>
      <c r="I12">
        <v>24.8</v>
      </c>
      <c r="J12">
        <v>17.7</v>
      </c>
      <c r="K12">
        <v>82.3</v>
      </c>
      <c r="L12">
        <v>42.4</v>
      </c>
      <c r="M12">
        <v>75.2</v>
      </c>
      <c r="N12">
        <v>49.5</v>
      </c>
      <c r="O12">
        <v>40.1</v>
      </c>
      <c r="P12">
        <v>10.4</v>
      </c>
      <c r="Q12">
        <v>68.7</v>
      </c>
      <c r="R12">
        <v>79.3</v>
      </c>
      <c r="S12">
        <v>55</v>
      </c>
      <c r="T12">
        <v>45</v>
      </c>
      <c r="U12">
        <v>52.4</v>
      </c>
      <c r="V12">
        <v>54.2</v>
      </c>
      <c r="W12">
        <v>45.8</v>
      </c>
      <c r="X12" t="s">
        <v>269</v>
      </c>
      <c r="Y12" t="s">
        <v>268</v>
      </c>
      <c r="Z12" t="s">
        <v>2132</v>
      </c>
      <c r="AA12" t="s">
        <v>2133</v>
      </c>
      <c r="AB12" t="s">
        <v>2120</v>
      </c>
      <c r="AC12" t="s">
        <v>2119</v>
      </c>
      <c r="AD12" t="s">
        <v>2119</v>
      </c>
      <c r="AE12" t="s">
        <v>2120</v>
      </c>
      <c r="AF12" t="s">
        <v>2119</v>
      </c>
      <c r="AG12" t="s">
        <v>2120</v>
      </c>
      <c r="AH12" t="s">
        <v>2119</v>
      </c>
      <c r="AI12" t="s">
        <v>2120</v>
      </c>
      <c r="AJ12" t="s">
        <v>2119</v>
      </c>
      <c r="AK12" t="s">
        <v>2119</v>
      </c>
      <c r="AL12" t="s">
        <v>2120</v>
      </c>
      <c r="AM12" t="s">
        <v>2120</v>
      </c>
      <c r="AN12" t="s">
        <v>2119</v>
      </c>
      <c r="AO12" t="s">
        <v>2119</v>
      </c>
      <c r="AP12" t="s">
        <v>2120</v>
      </c>
      <c r="AQ12" t="s">
        <v>2119</v>
      </c>
    </row>
    <row r="13" spans="1:43" x14ac:dyDescent="0.2">
      <c r="C13" t="s">
        <v>242</v>
      </c>
      <c r="D13">
        <v>0.66666666666666663</v>
      </c>
      <c r="E13" t="s">
        <v>261</v>
      </c>
      <c r="F13" t="s">
        <v>188</v>
      </c>
      <c r="H13">
        <v>41.7</v>
      </c>
      <c r="I13">
        <v>25.5</v>
      </c>
      <c r="J13">
        <v>32.700000000000003</v>
      </c>
      <c r="K13">
        <v>67.3</v>
      </c>
      <c r="L13">
        <v>58.3</v>
      </c>
      <c r="M13">
        <v>74.5</v>
      </c>
      <c r="N13">
        <v>31.1</v>
      </c>
      <c r="O13">
        <v>40.200000000000003</v>
      </c>
      <c r="P13">
        <v>28.7</v>
      </c>
      <c r="Q13">
        <v>74.900000000000006</v>
      </c>
      <c r="R13">
        <v>88.5</v>
      </c>
      <c r="S13">
        <v>70</v>
      </c>
      <c r="T13">
        <v>30</v>
      </c>
      <c r="U13">
        <v>35.4</v>
      </c>
      <c r="V13">
        <v>70.900000000000006</v>
      </c>
      <c r="W13">
        <v>29.1</v>
      </c>
      <c r="X13" t="s">
        <v>311</v>
      </c>
      <c r="Y13" t="s">
        <v>310</v>
      </c>
      <c r="Z13" t="s">
        <v>2134</v>
      </c>
      <c r="AA13" t="s">
        <v>462</v>
      </c>
      <c r="AB13" t="s">
        <v>2120</v>
      </c>
      <c r="AC13" t="s">
        <v>2119</v>
      </c>
      <c r="AD13" t="s">
        <v>2119</v>
      </c>
      <c r="AE13" t="s">
        <v>2120</v>
      </c>
      <c r="AF13" t="s">
        <v>2119</v>
      </c>
      <c r="AG13" t="s">
        <v>2120</v>
      </c>
      <c r="AH13" t="s">
        <v>2119</v>
      </c>
      <c r="AI13" t="s">
        <v>2120</v>
      </c>
      <c r="AJ13" t="s">
        <v>2119</v>
      </c>
      <c r="AK13" t="s">
        <v>2120</v>
      </c>
      <c r="AL13" t="s">
        <v>2120</v>
      </c>
      <c r="AM13" t="s">
        <v>2120</v>
      </c>
      <c r="AN13" t="s">
        <v>2119</v>
      </c>
      <c r="AO13" t="s">
        <v>2120</v>
      </c>
      <c r="AP13" t="s">
        <v>2120</v>
      </c>
      <c r="AQ13" t="s">
        <v>2119</v>
      </c>
    </row>
    <row r="14" spans="1:43" x14ac:dyDescent="0.2">
      <c r="C14" t="s">
        <v>242</v>
      </c>
      <c r="D14">
        <v>0.66666666666666663</v>
      </c>
      <c r="E14" t="s">
        <v>117</v>
      </c>
      <c r="F14" t="s">
        <v>102</v>
      </c>
      <c r="H14">
        <v>43.7</v>
      </c>
      <c r="I14">
        <v>28.7</v>
      </c>
      <c r="J14">
        <v>27.5</v>
      </c>
      <c r="K14">
        <v>72.5</v>
      </c>
      <c r="L14">
        <v>56.3</v>
      </c>
      <c r="M14">
        <v>71.3</v>
      </c>
      <c r="N14">
        <v>38.200000000000003</v>
      </c>
      <c r="O14">
        <v>42.6</v>
      </c>
      <c r="P14">
        <v>19.100000000000001</v>
      </c>
      <c r="Q14">
        <v>69.5</v>
      </c>
      <c r="R14">
        <v>73.900000000000006</v>
      </c>
      <c r="S14">
        <v>47.3</v>
      </c>
      <c r="T14">
        <v>52.7</v>
      </c>
      <c r="U14">
        <v>58.4</v>
      </c>
      <c r="V14">
        <v>52.8</v>
      </c>
      <c r="W14">
        <v>47.2</v>
      </c>
      <c r="X14" t="s">
        <v>117</v>
      </c>
      <c r="Y14" t="s">
        <v>300</v>
      </c>
      <c r="Z14" t="s">
        <v>2135</v>
      </c>
      <c r="AA14" t="s">
        <v>462</v>
      </c>
      <c r="AB14" t="s">
        <v>2120</v>
      </c>
      <c r="AC14" t="s">
        <v>2119</v>
      </c>
      <c r="AD14" t="s">
        <v>2119</v>
      </c>
      <c r="AE14" t="s">
        <v>2120</v>
      </c>
      <c r="AF14" t="s">
        <v>2119</v>
      </c>
      <c r="AG14" t="s">
        <v>2120</v>
      </c>
      <c r="AH14" t="s">
        <v>2119</v>
      </c>
      <c r="AI14" t="s">
        <v>2120</v>
      </c>
      <c r="AJ14" t="s">
        <v>2119</v>
      </c>
      <c r="AK14" t="s">
        <v>2120</v>
      </c>
      <c r="AL14" t="s">
        <v>2120</v>
      </c>
      <c r="AM14" t="s">
        <v>2120</v>
      </c>
      <c r="AN14" t="s">
        <v>2119</v>
      </c>
      <c r="AO14" t="s">
        <v>2120</v>
      </c>
      <c r="AP14" t="s">
        <v>2120</v>
      </c>
      <c r="AQ14" t="s">
        <v>2119</v>
      </c>
    </row>
    <row r="15" spans="1:43" x14ac:dyDescent="0.2">
      <c r="C15" t="s">
        <v>242</v>
      </c>
      <c r="D15">
        <v>0.67708333333333337</v>
      </c>
      <c r="E15" t="s">
        <v>262</v>
      </c>
      <c r="F15" t="s">
        <v>263</v>
      </c>
      <c r="H15">
        <v>36.700000000000003</v>
      </c>
      <c r="I15">
        <v>25.5</v>
      </c>
      <c r="J15">
        <v>37.799999999999997</v>
      </c>
      <c r="K15">
        <v>62.2</v>
      </c>
      <c r="L15">
        <v>63.3</v>
      </c>
      <c r="M15">
        <v>74.5</v>
      </c>
      <c r="N15">
        <v>37</v>
      </c>
      <c r="O15">
        <v>34.4</v>
      </c>
      <c r="P15">
        <v>28.6</v>
      </c>
      <c r="Q15">
        <v>83.7</v>
      </c>
      <c r="R15">
        <v>91.2</v>
      </c>
      <c r="S15">
        <v>75.3</v>
      </c>
      <c r="T15">
        <v>24.7</v>
      </c>
      <c r="U15">
        <v>29.6</v>
      </c>
      <c r="V15">
        <v>75.3</v>
      </c>
      <c r="W15">
        <v>24.7</v>
      </c>
      <c r="X15" t="s">
        <v>293</v>
      </c>
      <c r="Y15" t="s">
        <v>263</v>
      </c>
      <c r="Z15" t="s">
        <v>2136</v>
      </c>
      <c r="AA15" t="s">
        <v>447</v>
      </c>
      <c r="AB15" t="s">
        <v>2119</v>
      </c>
      <c r="AC15" t="s">
        <v>2120</v>
      </c>
      <c r="AD15" t="s">
        <v>2119</v>
      </c>
      <c r="AE15" t="s">
        <v>2120</v>
      </c>
      <c r="AF15" t="s">
        <v>2120</v>
      </c>
      <c r="AG15" t="s">
        <v>2119</v>
      </c>
      <c r="AH15" t="s">
        <v>2119</v>
      </c>
      <c r="AI15" t="s">
        <v>2120</v>
      </c>
      <c r="AJ15" t="s">
        <v>2119</v>
      </c>
      <c r="AK15" t="s">
        <v>2119</v>
      </c>
      <c r="AL15" t="s">
        <v>2119</v>
      </c>
      <c r="AM15" t="s">
        <v>2119</v>
      </c>
      <c r="AN15" t="s">
        <v>2120</v>
      </c>
      <c r="AO15" t="s">
        <v>2120</v>
      </c>
      <c r="AP15" t="s">
        <v>2119</v>
      </c>
      <c r="AQ15" t="s">
        <v>2120</v>
      </c>
    </row>
    <row r="16" spans="1:43" x14ac:dyDescent="0.2">
      <c r="C16" t="s">
        <v>242</v>
      </c>
      <c r="D16">
        <v>0.67708333333333337</v>
      </c>
      <c r="E16" t="s">
        <v>168</v>
      </c>
      <c r="F16" t="s">
        <v>264</v>
      </c>
      <c r="H16">
        <v>47.3</v>
      </c>
      <c r="I16">
        <v>25.6</v>
      </c>
      <c r="J16">
        <v>27.1</v>
      </c>
      <c r="K16">
        <v>72.900000000000006</v>
      </c>
      <c r="L16">
        <v>52.7</v>
      </c>
      <c r="M16">
        <v>74.400000000000006</v>
      </c>
      <c r="N16">
        <v>28.2</v>
      </c>
      <c r="O16">
        <v>46.1</v>
      </c>
      <c r="P16">
        <v>25.7</v>
      </c>
      <c r="Q16">
        <v>65.7</v>
      </c>
      <c r="R16">
        <v>85</v>
      </c>
      <c r="S16">
        <v>63.8</v>
      </c>
      <c r="T16">
        <v>36.200000000000003</v>
      </c>
      <c r="U16">
        <v>42.1</v>
      </c>
      <c r="V16">
        <v>65.2</v>
      </c>
      <c r="W16">
        <v>34.799999999999997</v>
      </c>
      <c r="X16" t="s">
        <v>168</v>
      </c>
      <c r="Y16" t="s">
        <v>264</v>
      </c>
      <c r="Z16" t="s">
        <v>2137</v>
      </c>
      <c r="AA16" t="s">
        <v>2138</v>
      </c>
      <c r="AB16" t="s">
        <v>2120</v>
      </c>
      <c r="AC16" t="s">
        <v>2119</v>
      </c>
      <c r="AD16" t="s">
        <v>2119</v>
      </c>
      <c r="AE16" t="s">
        <v>2120</v>
      </c>
      <c r="AF16" t="s">
        <v>2119</v>
      </c>
      <c r="AG16" t="s">
        <v>2120</v>
      </c>
      <c r="AH16" t="s">
        <v>2120</v>
      </c>
      <c r="AI16" t="s">
        <v>2119</v>
      </c>
      <c r="AJ16" t="s">
        <v>2119</v>
      </c>
      <c r="AK16" t="s">
        <v>2120</v>
      </c>
      <c r="AL16" t="s">
        <v>2120</v>
      </c>
      <c r="AM16" t="s">
        <v>2120</v>
      </c>
      <c r="AN16" t="s">
        <v>2119</v>
      </c>
      <c r="AO16" t="s">
        <v>2119</v>
      </c>
      <c r="AP16" t="s">
        <v>2120</v>
      </c>
      <c r="AQ16" t="s">
        <v>2119</v>
      </c>
    </row>
    <row r="17" spans="2:43" x14ac:dyDescent="0.2">
      <c r="C17" t="s">
        <v>242</v>
      </c>
      <c r="D17">
        <v>0.67708333333333337</v>
      </c>
      <c r="E17" t="s">
        <v>162</v>
      </c>
      <c r="F17" t="s">
        <v>265</v>
      </c>
      <c r="H17">
        <v>52.6</v>
      </c>
      <c r="I17">
        <v>24.4</v>
      </c>
      <c r="J17">
        <v>23</v>
      </c>
      <c r="K17">
        <v>77</v>
      </c>
      <c r="L17">
        <v>47.4</v>
      </c>
      <c r="M17">
        <v>75.599999999999994</v>
      </c>
      <c r="N17">
        <v>50</v>
      </c>
      <c r="O17">
        <v>32</v>
      </c>
      <c r="P17">
        <v>18</v>
      </c>
      <c r="Q17">
        <v>83.8</v>
      </c>
      <c r="R17">
        <v>89</v>
      </c>
      <c r="S17">
        <v>71.099999999999994</v>
      </c>
      <c r="T17">
        <v>28.9</v>
      </c>
      <c r="U17">
        <v>35</v>
      </c>
      <c r="V17">
        <v>69.5</v>
      </c>
      <c r="W17">
        <v>30.5</v>
      </c>
      <c r="X17" t="s">
        <v>292</v>
      </c>
      <c r="Y17" t="s">
        <v>265</v>
      </c>
      <c r="Z17" t="s">
        <v>2139</v>
      </c>
      <c r="AA17" t="s">
        <v>2140</v>
      </c>
      <c r="AB17" t="s">
        <v>2120</v>
      </c>
      <c r="AC17" t="s">
        <v>2119</v>
      </c>
      <c r="AD17" t="s">
        <v>2119</v>
      </c>
      <c r="AE17" t="s">
        <v>2120</v>
      </c>
      <c r="AF17" t="s">
        <v>2119</v>
      </c>
      <c r="AG17" t="s">
        <v>2120</v>
      </c>
      <c r="AH17" t="s">
        <v>2120</v>
      </c>
      <c r="AI17" t="s">
        <v>2119</v>
      </c>
      <c r="AJ17" t="s">
        <v>2119</v>
      </c>
      <c r="AK17" t="s">
        <v>2120</v>
      </c>
      <c r="AL17" t="s">
        <v>2120</v>
      </c>
      <c r="AM17" t="s">
        <v>2120</v>
      </c>
      <c r="AN17" t="s">
        <v>2119</v>
      </c>
      <c r="AO17" t="s">
        <v>2119</v>
      </c>
      <c r="AP17" t="s">
        <v>2120</v>
      </c>
      <c r="AQ17" t="s">
        <v>2119</v>
      </c>
    </row>
    <row r="18" spans="2:43" x14ac:dyDescent="0.2">
      <c r="C18" t="s">
        <v>242</v>
      </c>
      <c r="D18">
        <v>0.83333333333333337</v>
      </c>
      <c r="E18" t="s">
        <v>266</v>
      </c>
      <c r="F18" t="s">
        <v>267</v>
      </c>
      <c r="H18">
        <v>56.9</v>
      </c>
      <c r="I18">
        <v>24</v>
      </c>
      <c r="J18">
        <v>19.100000000000001</v>
      </c>
      <c r="K18">
        <v>80.900000000000006</v>
      </c>
      <c r="L18">
        <v>43.1</v>
      </c>
      <c r="M18">
        <v>76</v>
      </c>
      <c r="N18">
        <v>45.8</v>
      </c>
      <c r="O18">
        <v>40.6</v>
      </c>
      <c r="P18">
        <v>13.6</v>
      </c>
      <c r="Q18">
        <v>69.8</v>
      </c>
      <c r="R18">
        <v>85.5</v>
      </c>
      <c r="S18">
        <v>64.900000000000006</v>
      </c>
      <c r="T18">
        <v>35.1</v>
      </c>
      <c r="U18">
        <v>42.1</v>
      </c>
      <c r="V18">
        <v>62.7</v>
      </c>
      <c r="W18">
        <v>37.299999999999997</v>
      </c>
      <c r="X18" t="s">
        <v>309</v>
      </c>
      <c r="Y18" t="s">
        <v>267</v>
      </c>
      <c r="Z18" t="s">
        <v>2141</v>
      </c>
      <c r="AA18" t="s">
        <v>2142</v>
      </c>
      <c r="AB18" t="s">
        <v>2119</v>
      </c>
      <c r="AC18" t="s">
        <v>2119</v>
      </c>
      <c r="AD18" t="s">
        <v>2120</v>
      </c>
      <c r="AE18" t="s">
        <v>2119</v>
      </c>
      <c r="AF18" t="s">
        <v>2120</v>
      </c>
      <c r="AG18" t="s">
        <v>2120</v>
      </c>
      <c r="AH18" t="s">
        <v>2119</v>
      </c>
      <c r="AI18" t="s">
        <v>2119</v>
      </c>
      <c r="AJ18" t="s">
        <v>2120</v>
      </c>
      <c r="AK18" t="s">
        <v>2120</v>
      </c>
      <c r="AL18" t="s">
        <v>2120</v>
      </c>
      <c r="AM18" t="s">
        <v>2120</v>
      </c>
      <c r="AN18" t="s">
        <v>2119</v>
      </c>
      <c r="AO18" t="s">
        <v>2119</v>
      </c>
      <c r="AP18" t="s">
        <v>2120</v>
      </c>
      <c r="AQ18" t="s">
        <v>2119</v>
      </c>
    </row>
    <row r="19" spans="2:43" x14ac:dyDescent="0.2">
      <c r="B19" t="s">
        <v>445</v>
      </c>
      <c r="C19" t="s">
        <v>213</v>
      </c>
      <c r="D19">
        <v>0.27083333333333331</v>
      </c>
      <c r="E19" t="s">
        <v>214</v>
      </c>
      <c r="F19" t="s">
        <v>215</v>
      </c>
      <c r="G19" t="s">
        <v>458</v>
      </c>
      <c r="H19">
        <v>37.200000000000003</v>
      </c>
      <c r="I19">
        <v>25.5</v>
      </c>
      <c r="J19">
        <v>37.299999999999997</v>
      </c>
      <c r="K19">
        <v>62.7</v>
      </c>
      <c r="L19">
        <v>62.8</v>
      </c>
      <c r="M19">
        <v>74.5</v>
      </c>
      <c r="N19">
        <v>27.1</v>
      </c>
      <c r="O19">
        <v>38.6</v>
      </c>
      <c r="P19">
        <v>34.299999999999997</v>
      </c>
      <c r="Q19">
        <v>77.400000000000006</v>
      </c>
      <c r="R19">
        <v>90.2</v>
      </c>
      <c r="S19">
        <v>73.400000000000006</v>
      </c>
      <c r="T19">
        <v>26.6</v>
      </c>
      <c r="U19">
        <v>31.7</v>
      </c>
      <c r="V19">
        <v>73.7</v>
      </c>
      <c r="W19">
        <v>26.3</v>
      </c>
      <c r="X19" t="s">
        <v>1335</v>
      </c>
      <c r="Y19" t="s">
        <v>1336</v>
      </c>
      <c r="Z19" t="s">
        <v>2143</v>
      </c>
      <c r="AA19" t="s">
        <v>462</v>
      </c>
      <c r="AB19" t="s">
        <v>2120</v>
      </c>
      <c r="AC19" t="s">
        <v>2119</v>
      </c>
      <c r="AD19" t="s">
        <v>2119</v>
      </c>
      <c r="AE19" t="s">
        <v>2120</v>
      </c>
      <c r="AF19" t="s">
        <v>2119</v>
      </c>
      <c r="AG19" t="s">
        <v>2120</v>
      </c>
      <c r="AH19" t="s">
        <v>2120</v>
      </c>
      <c r="AI19" t="s">
        <v>2119</v>
      </c>
      <c r="AJ19" t="s">
        <v>2119</v>
      </c>
      <c r="AK19" t="s">
        <v>2120</v>
      </c>
      <c r="AL19" t="s">
        <v>2120</v>
      </c>
      <c r="AM19" t="s">
        <v>2120</v>
      </c>
      <c r="AN19" t="s">
        <v>2119</v>
      </c>
      <c r="AO19" t="s">
        <v>2120</v>
      </c>
      <c r="AP19" t="s">
        <v>2120</v>
      </c>
      <c r="AQ19" t="s">
        <v>2119</v>
      </c>
    </row>
    <row r="20" spans="2:43" x14ac:dyDescent="0.2">
      <c r="B20" t="s">
        <v>446</v>
      </c>
      <c r="C20" t="s">
        <v>213</v>
      </c>
      <c r="D20">
        <v>0.3125</v>
      </c>
      <c r="E20" t="s">
        <v>216</v>
      </c>
      <c r="F20" t="s">
        <v>217</v>
      </c>
      <c r="G20" t="s">
        <v>459</v>
      </c>
      <c r="H20">
        <v>27.2</v>
      </c>
      <c r="I20">
        <v>35.700000000000003</v>
      </c>
      <c r="J20">
        <v>37.1</v>
      </c>
      <c r="K20">
        <v>62.9</v>
      </c>
      <c r="L20">
        <v>72.8</v>
      </c>
      <c r="M20">
        <v>64.3</v>
      </c>
      <c r="N20">
        <v>19.8</v>
      </c>
      <c r="O20">
        <v>53.7</v>
      </c>
      <c r="P20">
        <v>26.6</v>
      </c>
      <c r="Q20">
        <v>54.5</v>
      </c>
      <c r="R20">
        <v>55</v>
      </c>
      <c r="S20">
        <v>26.9</v>
      </c>
      <c r="T20">
        <v>73.099999999999994</v>
      </c>
      <c r="U20">
        <v>77.2</v>
      </c>
      <c r="V20">
        <v>36.200000000000003</v>
      </c>
      <c r="W20">
        <v>63.8</v>
      </c>
      <c r="X20" t="s">
        <v>216</v>
      </c>
      <c r="Y20" t="s">
        <v>1413</v>
      </c>
      <c r="Z20" t="s">
        <v>2144</v>
      </c>
      <c r="AA20" t="s">
        <v>459</v>
      </c>
      <c r="AB20" t="s">
        <v>2119</v>
      </c>
      <c r="AC20" t="s">
        <v>2120</v>
      </c>
      <c r="AD20" t="s">
        <v>2119</v>
      </c>
      <c r="AE20" t="s">
        <v>2120</v>
      </c>
      <c r="AF20" t="s">
        <v>2120</v>
      </c>
      <c r="AG20" t="s">
        <v>2119</v>
      </c>
      <c r="AH20" t="s">
        <v>2119</v>
      </c>
      <c r="AI20" t="s">
        <v>2120</v>
      </c>
      <c r="AJ20" t="s">
        <v>2119</v>
      </c>
      <c r="AK20" t="s">
        <v>2120</v>
      </c>
      <c r="AL20" t="s">
        <v>2120</v>
      </c>
      <c r="AM20" t="s">
        <v>2119</v>
      </c>
      <c r="AN20" t="s">
        <v>2120</v>
      </c>
      <c r="AO20" t="s">
        <v>2120</v>
      </c>
      <c r="AP20" t="s">
        <v>2120</v>
      </c>
      <c r="AQ20" t="s">
        <v>2119</v>
      </c>
    </row>
    <row r="21" spans="2:43" x14ac:dyDescent="0.2">
      <c r="B21" t="s">
        <v>446</v>
      </c>
      <c r="C21" t="s">
        <v>213</v>
      </c>
      <c r="D21">
        <v>0.3125</v>
      </c>
      <c r="E21" t="s">
        <v>218</v>
      </c>
      <c r="F21" t="s">
        <v>219</v>
      </c>
      <c r="G21" t="s">
        <v>447</v>
      </c>
      <c r="H21">
        <v>45.5</v>
      </c>
      <c r="I21">
        <v>29.2</v>
      </c>
      <c r="J21">
        <v>25.4</v>
      </c>
      <c r="K21">
        <v>74.599999999999994</v>
      </c>
      <c r="L21">
        <v>54.5</v>
      </c>
      <c r="M21">
        <v>70.8</v>
      </c>
      <c r="N21">
        <v>32.200000000000003</v>
      </c>
      <c r="O21">
        <v>46.9</v>
      </c>
      <c r="P21">
        <v>20.9</v>
      </c>
      <c r="Q21">
        <v>64</v>
      </c>
      <c r="R21">
        <v>71.2</v>
      </c>
      <c r="S21">
        <v>43.9</v>
      </c>
      <c r="T21">
        <v>56.1</v>
      </c>
      <c r="U21">
        <v>61.8</v>
      </c>
      <c r="V21">
        <v>49.6</v>
      </c>
      <c r="W21">
        <v>50.4</v>
      </c>
      <c r="X21" t="s">
        <v>1414</v>
      </c>
      <c r="Y21" t="s">
        <v>1415</v>
      </c>
      <c r="Z21" t="s">
        <v>2145</v>
      </c>
      <c r="AA21" t="s">
        <v>447</v>
      </c>
      <c r="AB21" t="s">
        <v>2119</v>
      </c>
      <c r="AC21" t="s">
        <v>2120</v>
      </c>
      <c r="AD21" t="s">
        <v>2119</v>
      </c>
      <c r="AE21" t="s">
        <v>2120</v>
      </c>
      <c r="AF21" t="s">
        <v>2120</v>
      </c>
      <c r="AG21" t="s">
        <v>2119</v>
      </c>
      <c r="AH21" t="s">
        <v>2119</v>
      </c>
      <c r="AI21" t="s">
        <v>2120</v>
      </c>
      <c r="AJ21" t="s">
        <v>2119</v>
      </c>
      <c r="AK21" t="s">
        <v>2119</v>
      </c>
      <c r="AL21" t="s">
        <v>2119</v>
      </c>
      <c r="AM21" t="s">
        <v>2119</v>
      </c>
      <c r="AN21" t="s">
        <v>2120</v>
      </c>
      <c r="AO21" t="s">
        <v>2120</v>
      </c>
      <c r="AP21" t="s">
        <v>2119</v>
      </c>
      <c r="AQ21" t="s">
        <v>2120</v>
      </c>
    </row>
    <row r="22" spans="2:43" x14ac:dyDescent="0.2">
      <c r="B22" t="s">
        <v>446</v>
      </c>
      <c r="C22" t="s">
        <v>213</v>
      </c>
      <c r="D22">
        <v>0.3125</v>
      </c>
      <c r="E22" t="s">
        <v>220</v>
      </c>
      <c r="F22" t="s">
        <v>221</v>
      </c>
      <c r="G22" t="s">
        <v>460</v>
      </c>
      <c r="H22">
        <v>38.1</v>
      </c>
      <c r="I22">
        <v>29.3</v>
      </c>
      <c r="J22">
        <v>32.6</v>
      </c>
      <c r="K22">
        <v>67.400000000000006</v>
      </c>
      <c r="L22">
        <v>61.9</v>
      </c>
      <c r="M22">
        <v>70.7</v>
      </c>
      <c r="N22">
        <v>22.6</v>
      </c>
      <c r="O22">
        <v>42.5</v>
      </c>
      <c r="P22">
        <v>34.9</v>
      </c>
      <c r="Q22">
        <v>71</v>
      </c>
      <c r="R22">
        <v>74.2</v>
      </c>
      <c r="S22">
        <v>47.7</v>
      </c>
      <c r="T22">
        <v>52.3</v>
      </c>
      <c r="U22">
        <v>57.7</v>
      </c>
      <c r="V22">
        <v>53.9</v>
      </c>
      <c r="W22">
        <v>46.1</v>
      </c>
      <c r="X22" t="s">
        <v>1416</v>
      </c>
      <c r="Y22" t="s">
        <v>1417</v>
      </c>
      <c r="Z22" t="s">
        <v>2146</v>
      </c>
      <c r="AA22" t="s">
        <v>460</v>
      </c>
      <c r="AB22" t="s">
        <v>2119</v>
      </c>
      <c r="AC22" t="s">
        <v>2119</v>
      </c>
      <c r="AD22" t="s">
        <v>2120</v>
      </c>
      <c r="AE22" t="s">
        <v>2119</v>
      </c>
      <c r="AF22" t="s">
        <v>2120</v>
      </c>
      <c r="AG22" t="s">
        <v>2120</v>
      </c>
      <c r="AH22" t="s">
        <v>2119</v>
      </c>
      <c r="AI22" t="s">
        <v>2120</v>
      </c>
      <c r="AJ22" t="s">
        <v>2119</v>
      </c>
      <c r="AK22" t="s">
        <v>2120</v>
      </c>
      <c r="AL22" t="s">
        <v>2120</v>
      </c>
      <c r="AM22" t="s">
        <v>2120</v>
      </c>
      <c r="AN22" t="s">
        <v>2119</v>
      </c>
      <c r="AO22" t="s">
        <v>2120</v>
      </c>
      <c r="AP22" t="s">
        <v>2120</v>
      </c>
      <c r="AQ22" t="s">
        <v>2119</v>
      </c>
    </row>
    <row r="23" spans="2:43" x14ac:dyDescent="0.2">
      <c r="B23" t="s">
        <v>448</v>
      </c>
      <c r="C23" t="s">
        <v>213</v>
      </c>
      <c r="D23">
        <v>0.54166666666666663</v>
      </c>
      <c r="E23" t="s">
        <v>222</v>
      </c>
      <c r="F23" t="s">
        <v>223</v>
      </c>
      <c r="G23" t="s">
        <v>449</v>
      </c>
      <c r="H23">
        <v>43.2</v>
      </c>
      <c r="I23">
        <v>29.2</v>
      </c>
      <c r="J23">
        <v>27.6</v>
      </c>
      <c r="K23">
        <v>72.400000000000006</v>
      </c>
      <c r="L23">
        <v>56.8</v>
      </c>
      <c r="M23">
        <v>70.8</v>
      </c>
      <c r="N23">
        <v>37.700000000000003</v>
      </c>
      <c r="O23">
        <v>45.4</v>
      </c>
      <c r="P23">
        <v>16.899999999999999</v>
      </c>
      <c r="Q23">
        <v>64.8</v>
      </c>
      <c r="R23">
        <v>72.599999999999994</v>
      </c>
      <c r="S23">
        <v>45.7</v>
      </c>
      <c r="T23">
        <v>54.3</v>
      </c>
      <c r="U23">
        <v>60</v>
      </c>
      <c r="V23">
        <v>51.5</v>
      </c>
      <c r="W23">
        <v>48.5</v>
      </c>
      <c r="X23" t="s">
        <v>1343</v>
      </c>
      <c r="Y23" t="s">
        <v>1344</v>
      </c>
      <c r="Z23" t="s">
        <v>2147</v>
      </c>
      <c r="AA23" t="s">
        <v>449</v>
      </c>
      <c r="AB23" t="s">
        <v>2119</v>
      </c>
      <c r="AC23" t="s">
        <v>2119</v>
      </c>
      <c r="AD23" t="s">
        <v>2120</v>
      </c>
      <c r="AE23" t="s">
        <v>2119</v>
      </c>
      <c r="AF23" t="s">
        <v>2120</v>
      </c>
      <c r="AG23" t="s">
        <v>2120</v>
      </c>
      <c r="AH23" t="s">
        <v>2119</v>
      </c>
      <c r="AI23" t="s">
        <v>2119</v>
      </c>
      <c r="AJ23" t="s">
        <v>2120</v>
      </c>
      <c r="AK23" t="s">
        <v>2120</v>
      </c>
      <c r="AL23" t="s">
        <v>2120</v>
      </c>
      <c r="AM23" t="s">
        <v>2119</v>
      </c>
      <c r="AN23" t="s">
        <v>2120</v>
      </c>
      <c r="AO23" t="s">
        <v>2120</v>
      </c>
      <c r="AP23" t="s">
        <v>2119</v>
      </c>
      <c r="AQ23" t="s">
        <v>2120</v>
      </c>
    </row>
    <row r="24" spans="2:43" x14ac:dyDescent="0.2">
      <c r="B24" t="s">
        <v>450</v>
      </c>
      <c r="C24" t="s">
        <v>213</v>
      </c>
      <c r="D24">
        <v>0.54166666666666663</v>
      </c>
      <c r="E24" t="s">
        <v>224</v>
      </c>
      <c r="F24" t="s">
        <v>225</v>
      </c>
      <c r="G24" t="s">
        <v>449</v>
      </c>
      <c r="H24">
        <v>37.4</v>
      </c>
      <c r="I24">
        <v>26.8</v>
      </c>
      <c r="J24">
        <v>35.700000000000003</v>
      </c>
      <c r="K24">
        <v>64.3</v>
      </c>
      <c r="L24">
        <v>62.6</v>
      </c>
      <c r="M24">
        <v>73.2</v>
      </c>
      <c r="N24">
        <v>21.4</v>
      </c>
      <c r="O24">
        <v>40.5</v>
      </c>
      <c r="P24">
        <v>38.1</v>
      </c>
      <c r="Q24">
        <v>73.7</v>
      </c>
      <c r="R24">
        <v>83.3</v>
      </c>
      <c r="S24">
        <v>61.1</v>
      </c>
      <c r="T24">
        <v>38.9</v>
      </c>
      <c r="U24">
        <v>44.5</v>
      </c>
      <c r="V24">
        <v>64.3</v>
      </c>
      <c r="W24">
        <v>35.700000000000003</v>
      </c>
      <c r="X24" t="s">
        <v>1368</v>
      </c>
      <c r="Y24" t="s">
        <v>1369</v>
      </c>
      <c r="Z24" t="s">
        <v>2148</v>
      </c>
      <c r="AA24" t="s">
        <v>449</v>
      </c>
      <c r="AB24" t="s">
        <v>2119</v>
      </c>
      <c r="AC24" t="s">
        <v>2119</v>
      </c>
      <c r="AD24" t="s">
        <v>2120</v>
      </c>
      <c r="AE24" t="s">
        <v>2119</v>
      </c>
      <c r="AF24" t="s">
        <v>2120</v>
      </c>
      <c r="AG24" t="s">
        <v>2120</v>
      </c>
      <c r="AH24" t="s">
        <v>2119</v>
      </c>
      <c r="AI24" t="s">
        <v>2119</v>
      </c>
      <c r="AJ24" t="s">
        <v>2120</v>
      </c>
      <c r="AK24" t="s">
        <v>2120</v>
      </c>
      <c r="AL24" t="s">
        <v>2120</v>
      </c>
      <c r="AM24" t="s">
        <v>2119</v>
      </c>
      <c r="AN24" t="s">
        <v>2120</v>
      </c>
      <c r="AO24" t="s">
        <v>2120</v>
      </c>
      <c r="AP24" t="s">
        <v>2119</v>
      </c>
      <c r="AQ24" t="s">
        <v>2120</v>
      </c>
    </row>
    <row r="25" spans="2:43" x14ac:dyDescent="0.2">
      <c r="B25" t="s">
        <v>451</v>
      </c>
      <c r="C25" t="s">
        <v>213</v>
      </c>
      <c r="D25">
        <v>0.58333333333333337</v>
      </c>
      <c r="E25" t="s">
        <v>226</v>
      </c>
      <c r="F25" t="s">
        <v>227</v>
      </c>
      <c r="G25" t="s">
        <v>461</v>
      </c>
      <c r="H25">
        <v>55.1</v>
      </c>
      <c r="I25">
        <v>24.1</v>
      </c>
      <c r="J25">
        <v>20.9</v>
      </c>
      <c r="K25">
        <v>79.099999999999994</v>
      </c>
      <c r="L25">
        <v>44.9</v>
      </c>
      <c r="M25">
        <v>75.900000000000006</v>
      </c>
      <c r="N25">
        <v>37.9</v>
      </c>
      <c r="O25">
        <v>38.200000000000003</v>
      </c>
      <c r="P25">
        <v>23.9</v>
      </c>
      <c r="Q25">
        <v>77.2</v>
      </c>
      <c r="R25">
        <v>90.1</v>
      </c>
      <c r="S25">
        <v>73.2</v>
      </c>
      <c r="T25">
        <v>26.8</v>
      </c>
      <c r="U25">
        <v>32.9</v>
      </c>
      <c r="V25">
        <v>70.400000000000006</v>
      </c>
      <c r="W25">
        <v>29.6</v>
      </c>
      <c r="X25" t="s">
        <v>1418</v>
      </c>
      <c r="Y25" t="s">
        <v>227</v>
      </c>
      <c r="Z25" t="s">
        <v>2149</v>
      </c>
      <c r="AA25" t="s">
        <v>461</v>
      </c>
      <c r="AB25" t="s">
        <v>2119</v>
      </c>
      <c r="AC25" t="s">
        <v>2119</v>
      </c>
      <c r="AD25" t="s">
        <v>2120</v>
      </c>
      <c r="AE25" t="s">
        <v>2119</v>
      </c>
      <c r="AF25" t="s">
        <v>2120</v>
      </c>
      <c r="AG25" t="s">
        <v>2120</v>
      </c>
      <c r="AH25" t="s">
        <v>2119</v>
      </c>
      <c r="AI25" t="s">
        <v>2119</v>
      </c>
      <c r="AJ25" t="s">
        <v>2120</v>
      </c>
      <c r="AK25" t="s">
        <v>2120</v>
      </c>
      <c r="AL25" t="s">
        <v>2120</v>
      </c>
      <c r="AM25" t="s">
        <v>2120</v>
      </c>
      <c r="AN25" t="s">
        <v>2119</v>
      </c>
      <c r="AO25" t="s">
        <v>2119</v>
      </c>
      <c r="AP25" t="s">
        <v>2120</v>
      </c>
      <c r="AQ25" t="s">
        <v>2119</v>
      </c>
    </row>
    <row r="26" spans="2:43" x14ac:dyDescent="0.2">
      <c r="B26" t="s">
        <v>452</v>
      </c>
      <c r="C26" t="s">
        <v>213</v>
      </c>
      <c r="D26">
        <v>0.77083333333333337</v>
      </c>
      <c r="E26" t="s">
        <v>228</v>
      </c>
      <c r="F26" t="s">
        <v>229</v>
      </c>
      <c r="G26" t="s">
        <v>453</v>
      </c>
      <c r="H26">
        <v>38</v>
      </c>
      <c r="I26">
        <v>34.4</v>
      </c>
      <c r="J26">
        <v>27.6</v>
      </c>
      <c r="K26">
        <v>72.400000000000006</v>
      </c>
      <c r="L26">
        <v>62</v>
      </c>
      <c r="M26">
        <v>65.599999999999994</v>
      </c>
      <c r="N26">
        <v>19.899999999999999</v>
      </c>
      <c r="O26">
        <v>56.3</v>
      </c>
      <c r="P26">
        <v>23.8</v>
      </c>
      <c r="Q26">
        <v>50.8</v>
      </c>
      <c r="R26">
        <v>57.1</v>
      </c>
      <c r="S26">
        <v>28.8</v>
      </c>
      <c r="T26">
        <v>71.2</v>
      </c>
      <c r="U26">
        <v>75.5</v>
      </c>
      <c r="V26">
        <v>37.9</v>
      </c>
      <c r="W26">
        <v>62.1</v>
      </c>
      <c r="X26" t="s">
        <v>429</v>
      </c>
      <c r="Y26" t="s">
        <v>430</v>
      </c>
      <c r="Z26" t="s">
        <v>2150</v>
      </c>
      <c r="AA26" t="s">
        <v>453</v>
      </c>
      <c r="AB26" t="s">
        <v>2120</v>
      </c>
      <c r="AC26" t="s">
        <v>2119</v>
      </c>
      <c r="AD26" t="s">
        <v>2119</v>
      </c>
      <c r="AE26" t="s">
        <v>2120</v>
      </c>
      <c r="AF26" t="s">
        <v>2119</v>
      </c>
      <c r="AG26" t="s">
        <v>2120</v>
      </c>
      <c r="AH26" t="s">
        <v>2119</v>
      </c>
      <c r="AI26" t="s">
        <v>2120</v>
      </c>
      <c r="AJ26" t="s">
        <v>2119</v>
      </c>
      <c r="AK26" t="s">
        <v>2119</v>
      </c>
      <c r="AL26" t="s">
        <v>2119</v>
      </c>
      <c r="AM26" t="s">
        <v>2119</v>
      </c>
      <c r="AN26" t="s">
        <v>2120</v>
      </c>
      <c r="AO26" t="s">
        <v>2120</v>
      </c>
      <c r="AP26" t="s">
        <v>2119</v>
      </c>
      <c r="AQ26" t="s">
        <v>2120</v>
      </c>
    </row>
    <row r="27" spans="2:43" x14ac:dyDescent="0.2">
      <c r="B27" t="s">
        <v>454</v>
      </c>
      <c r="C27" t="s">
        <v>213</v>
      </c>
      <c r="D27">
        <v>0.8125</v>
      </c>
      <c r="E27" t="s">
        <v>230</v>
      </c>
      <c r="F27" t="s">
        <v>231</v>
      </c>
      <c r="G27" t="s">
        <v>459</v>
      </c>
      <c r="H27">
        <v>39.799999999999997</v>
      </c>
      <c r="I27">
        <v>28.7</v>
      </c>
      <c r="J27">
        <v>31.5</v>
      </c>
      <c r="K27">
        <v>68.5</v>
      </c>
      <c r="L27">
        <v>60.2</v>
      </c>
      <c r="M27">
        <v>71.3</v>
      </c>
      <c r="N27">
        <v>34.299999999999997</v>
      </c>
      <c r="O27">
        <v>40.700000000000003</v>
      </c>
      <c r="P27">
        <v>24.9</v>
      </c>
      <c r="Q27">
        <v>73.7</v>
      </c>
      <c r="R27">
        <v>75.8</v>
      </c>
      <c r="S27">
        <v>49.8</v>
      </c>
      <c r="T27">
        <v>50.2</v>
      </c>
      <c r="U27">
        <v>55.8</v>
      </c>
      <c r="V27">
        <v>55.4</v>
      </c>
      <c r="W27">
        <v>44.6</v>
      </c>
      <c r="X27" t="s">
        <v>373</v>
      </c>
      <c r="Y27" t="s">
        <v>231</v>
      </c>
      <c r="Z27" t="s">
        <v>2151</v>
      </c>
      <c r="AA27" t="s">
        <v>459</v>
      </c>
      <c r="AB27" t="s">
        <v>2119</v>
      </c>
      <c r="AC27" t="s">
        <v>2120</v>
      </c>
      <c r="AD27" t="s">
        <v>2119</v>
      </c>
      <c r="AE27" t="s">
        <v>2120</v>
      </c>
      <c r="AF27" t="s">
        <v>2120</v>
      </c>
      <c r="AG27" t="s">
        <v>2119</v>
      </c>
      <c r="AH27" t="s">
        <v>2120</v>
      </c>
      <c r="AI27" t="s">
        <v>2119</v>
      </c>
      <c r="AJ27" t="s">
        <v>2119</v>
      </c>
      <c r="AK27" t="s">
        <v>2120</v>
      </c>
      <c r="AL27" t="s">
        <v>2120</v>
      </c>
      <c r="AM27" t="s">
        <v>2119</v>
      </c>
      <c r="AN27" t="s">
        <v>2120</v>
      </c>
      <c r="AO27" t="s">
        <v>2120</v>
      </c>
      <c r="AP27" t="s">
        <v>2120</v>
      </c>
      <c r="AQ27" t="s">
        <v>2119</v>
      </c>
    </row>
    <row r="28" spans="2:43" x14ac:dyDescent="0.2">
      <c r="B28" t="s">
        <v>455</v>
      </c>
      <c r="C28" t="s">
        <v>213</v>
      </c>
      <c r="D28">
        <v>0.8125</v>
      </c>
      <c r="E28" t="s">
        <v>232</v>
      </c>
      <c r="F28" t="s">
        <v>233</v>
      </c>
      <c r="G28" t="s">
        <v>462</v>
      </c>
      <c r="H28">
        <v>50.5</v>
      </c>
      <c r="I28">
        <v>28.3</v>
      </c>
      <c r="J28">
        <v>21.2</v>
      </c>
      <c r="K28">
        <v>78.8</v>
      </c>
      <c r="L28">
        <v>49.5</v>
      </c>
      <c r="M28">
        <v>71.7</v>
      </c>
      <c r="N28">
        <v>29.5</v>
      </c>
      <c r="O28">
        <v>48.4</v>
      </c>
      <c r="P28">
        <v>22.1</v>
      </c>
      <c r="Q28">
        <v>62</v>
      </c>
      <c r="R28">
        <v>70.7</v>
      </c>
      <c r="S28">
        <v>43.4</v>
      </c>
      <c r="T28">
        <v>56.6</v>
      </c>
      <c r="U28">
        <v>62.9</v>
      </c>
      <c r="V28">
        <v>47.5</v>
      </c>
      <c r="W28">
        <v>52.5</v>
      </c>
      <c r="X28" t="s">
        <v>396</v>
      </c>
      <c r="Y28" t="s">
        <v>397</v>
      </c>
      <c r="Z28" t="s">
        <v>2152</v>
      </c>
      <c r="AA28" t="s">
        <v>462</v>
      </c>
      <c r="AB28" t="s">
        <v>2120</v>
      </c>
      <c r="AC28" t="s">
        <v>2119</v>
      </c>
      <c r="AD28" t="s">
        <v>2119</v>
      </c>
      <c r="AE28" t="s">
        <v>2120</v>
      </c>
      <c r="AF28" t="s">
        <v>2119</v>
      </c>
      <c r="AG28" t="s">
        <v>2120</v>
      </c>
      <c r="AH28" t="s">
        <v>2119</v>
      </c>
      <c r="AI28" t="s">
        <v>2119</v>
      </c>
      <c r="AJ28" t="s">
        <v>2120</v>
      </c>
      <c r="AK28" t="s">
        <v>2120</v>
      </c>
      <c r="AL28" t="s">
        <v>2120</v>
      </c>
      <c r="AM28" t="s">
        <v>2120</v>
      </c>
      <c r="AN28" t="s">
        <v>2119</v>
      </c>
      <c r="AO28" t="s">
        <v>2120</v>
      </c>
      <c r="AP28" t="s">
        <v>2120</v>
      </c>
      <c r="AQ28" t="s">
        <v>2119</v>
      </c>
    </row>
    <row r="29" spans="2:43" x14ac:dyDescent="0.2">
      <c r="B29" t="s">
        <v>455</v>
      </c>
      <c r="C29" t="s">
        <v>213</v>
      </c>
      <c r="D29">
        <v>0.8125</v>
      </c>
      <c r="E29" t="s">
        <v>234</v>
      </c>
      <c r="F29" t="s">
        <v>235</v>
      </c>
      <c r="G29" t="s">
        <v>456</v>
      </c>
      <c r="H29">
        <v>41.5</v>
      </c>
      <c r="I29">
        <v>31.1</v>
      </c>
      <c r="J29">
        <v>27.4</v>
      </c>
      <c r="K29">
        <v>72.599999999999994</v>
      </c>
      <c r="L29">
        <v>58.5</v>
      </c>
      <c r="M29">
        <v>68.900000000000006</v>
      </c>
      <c r="N29">
        <v>20</v>
      </c>
      <c r="O29">
        <v>52</v>
      </c>
      <c r="P29">
        <v>28.1</v>
      </c>
      <c r="Q29">
        <v>56.9</v>
      </c>
      <c r="R29">
        <v>66.5</v>
      </c>
      <c r="S29">
        <v>38.4</v>
      </c>
      <c r="T29">
        <v>61.6</v>
      </c>
      <c r="U29">
        <v>66.8</v>
      </c>
      <c r="V29">
        <v>45.8</v>
      </c>
      <c r="W29">
        <v>54.2</v>
      </c>
      <c r="X29" t="s">
        <v>398</v>
      </c>
      <c r="Y29" t="s">
        <v>399</v>
      </c>
      <c r="Z29" t="s">
        <v>2153</v>
      </c>
      <c r="AA29" t="s">
        <v>456</v>
      </c>
      <c r="AB29" t="s">
        <v>2119</v>
      </c>
      <c r="AC29" t="s">
        <v>2119</v>
      </c>
      <c r="AD29" t="s">
        <v>2120</v>
      </c>
      <c r="AE29" t="s">
        <v>2119</v>
      </c>
      <c r="AF29" t="s">
        <v>2120</v>
      </c>
      <c r="AG29" t="s">
        <v>2120</v>
      </c>
      <c r="AH29" t="s">
        <v>2119</v>
      </c>
      <c r="AI29" t="s">
        <v>2120</v>
      </c>
      <c r="AJ29" t="s">
        <v>2119</v>
      </c>
      <c r="AK29" t="s">
        <v>2119</v>
      </c>
      <c r="AL29" t="s">
        <v>2119</v>
      </c>
      <c r="AM29" t="s">
        <v>2119</v>
      </c>
      <c r="AN29" t="s">
        <v>2120</v>
      </c>
      <c r="AO29" t="s">
        <v>2120</v>
      </c>
      <c r="AP29" t="s">
        <v>2119</v>
      </c>
      <c r="AQ29" t="s">
        <v>2120</v>
      </c>
    </row>
    <row r="30" spans="2:43" x14ac:dyDescent="0.2">
      <c r="B30" t="s">
        <v>457</v>
      </c>
      <c r="C30" t="s">
        <v>213</v>
      </c>
      <c r="D30">
        <v>0.83333333333333337</v>
      </c>
      <c r="E30" t="s">
        <v>236</v>
      </c>
      <c r="F30" t="s">
        <v>237</v>
      </c>
      <c r="G30" t="s">
        <v>460</v>
      </c>
      <c r="H30">
        <v>37.5</v>
      </c>
      <c r="I30">
        <v>29.8</v>
      </c>
      <c r="J30">
        <v>32.700000000000003</v>
      </c>
      <c r="K30">
        <v>67.3</v>
      </c>
      <c r="L30">
        <v>62.5</v>
      </c>
      <c r="M30">
        <v>70.2</v>
      </c>
      <c r="N30">
        <v>21.1</v>
      </c>
      <c r="O30">
        <v>54.7</v>
      </c>
      <c r="P30">
        <v>24.2</v>
      </c>
      <c r="Q30">
        <v>53.1</v>
      </c>
      <c r="R30">
        <v>72.5</v>
      </c>
      <c r="S30">
        <v>45.5</v>
      </c>
      <c r="T30">
        <v>54.5</v>
      </c>
      <c r="U30">
        <v>59.8</v>
      </c>
      <c r="V30">
        <v>52.2</v>
      </c>
      <c r="W30">
        <v>47.8</v>
      </c>
      <c r="X30" t="s">
        <v>236</v>
      </c>
      <c r="Y30" t="s">
        <v>395</v>
      </c>
      <c r="Z30" t="s">
        <v>2154</v>
      </c>
      <c r="AA30" t="s">
        <v>460</v>
      </c>
      <c r="AB30" t="s">
        <v>2119</v>
      </c>
      <c r="AC30" t="s">
        <v>2119</v>
      </c>
      <c r="AD30" t="s">
        <v>2120</v>
      </c>
      <c r="AE30" t="s">
        <v>2119</v>
      </c>
      <c r="AF30" t="s">
        <v>2120</v>
      </c>
      <c r="AG30" t="s">
        <v>2120</v>
      </c>
      <c r="AH30" t="s">
        <v>2119</v>
      </c>
      <c r="AI30" t="s">
        <v>2120</v>
      </c>
      <c r="AJ30" t="s">
        <v>2119</v>
      </c>
      <c r="AK30" t="s">
        <v>2120</v>
      </c>
      <c r="AL30" t="s">
        <v>2120</v>
      </c>
      <c r="AM30" t="s">
        <v>2120</v>
      </c>
      <c r="AN30" t="s">
        <v>2119</v>
      </c>
      <c r="AO30" t="s">
        <v>2120</v>
      </c>
      <c r="AP30" t="s">
        <v>2120</v>
      </c>
      <c r="AQ30" t="s">
        <v>2119</v>
      </c>
    </row>
    <row r="31" spans="2:43" x14ac:dyDescent="0.2">
      <c r="B31" t="s">
        <v>452</v>
      </c>
      <c r="C31" t="s">
        <v>213</v>
      </c>
      <c r="D31">
        <v>0.875</v>
      </c>
      <c r="E31" t="s">
        <v>238</v>
      </c>
      <c r="F31" t="s">
        <v>239</v>
      </c>
      <c r="G31" t="s">
        <v>462</v>
      </c>
      <c r="H31">
        <v>43.1</v>
      </c>
      <c r="I31">
        <v>31.7</v>
      </c>
      <c r="J31">
        <v>25.1</v>
      </c>
      <c r="K31">
        <v>74.900000000000006</v>
      </c>
      <c r="L31">
        <v>56.9</v>
      </c>
      <c r="M31">
        <v>68.3</v>
      </c>
      <c r="N31">
        <v>19.5</v>
      </c>
      <c r="O31">
        <v>55.3</v>
      </c>
      <c r="P31">
        <v>25.2</v>
      </c>
      <c r="Q31">
        <v>52.2</v>
      </c>
      <c r="R31">
        <v>63.3</v>
      </c>
      <c r="S31">
        <v>35</v>
      </c>
      <c r="T31">
        <v>65</v>
      </c>
      <c r="U31">
        <v>70.2</v>
      </c>
      <c r="V31">
        <v>42.4</v>
      </c>
      <c r="W31">
        <v>57.6</v>
      </c>
      <c r="X31" t="s">
        <v>431</v>
      </c>
      <c r="Y31" t="s">
        <v>432</v>
      </c>
      <c r="Z31" t="s">
        <v>2155</v>
      </c>
      <c r="AA31" t="s">
        <v>462</v>
      </c>
      <c r="AB31" t="s">
        <v>2120</v>
      </c>
      <c r="AC31" t="s">
        <v>2119</v>
      </c>
      <c r="AD31" t="s">
        <v>2119</v>
      </c>
      <c r="AE31" t="s">
        <v>2120</v>
      </c>
      <c r="AF31" t="s">
        <v>2119</v>
      </c>
      <c r="AG31" t="s">
        <v>2120</v>
      </c>
      <c r="AH31" t="s">
        <v>2120</v>
      </c>
      <c r="AI31" t="s">
        <v>2119</v>
      </c>
      <c r="AJ31" t="s">
        <v>2119</v>
      </c>
      <c r="AK31" t="s">
        <v>2120</v>
      </c>
      <c r="AL31" t="s">
        <v>2120</v>
      </c>
      <c r="AM31" t="s">
        <v>2120</v>
      </c>
      <c r="AN31" t="s">
        <v>2119</v>
      </c>
      <c r="AO31" t="s">
        <v>2120</v>
      </c>
      <c r="AP31" t="s">
        <v>2120</v>
      </c>
      <c r="AQ31" t="s">
        <v>2119</v>
      </c>
    </row>
    <row r="32" spans="2:43" x14ac:dyDescent="0.2">
      <c r="B32" t="s">
        <v>455</v>
      </c>
      <c r="C32" t="s">
        <v>213</v>
      </c>
      <c r="D32">
        <v>0.89930555555555558</v>
      </c>
      <c r="E32" t="s">
        <v>240</v>
      </c>
      <c r="F32" t="s">
        <v>241</v>
      </c>
      <c r="G32" t="s">
        <v>462</v>
      </c>
      <c r="H32">
        <v>43.1</v>
      </c>
      <c r="I32">
        <v>30.3</v>
      </c>
      <c r="J32">
        <v>26.6</v>
      </c>
      <c r="K32">
        <v>73.400000000000006</v>
      </c>
      <c r="L32">
        <v>56.9</v>
      </c>
      <c r="M32">
        <v>69.7</v>
      </c>
      <c r="N32">
        <v>33.700000000000003</v>
      </c>
      <c r="O32">
        <v>44.9</v>
      </c>
      <c r="P32">
        <v>21.4</v>
      </c>
      <c r="Q32">
        <v>66.8</v>
      </c>
      <c r="R32">
        <v>68.599999999999994</v>
      </c>
      <c r="S32">
        <v>40.799999999999997</v>
      </c>
      <c r="T32">
        <v>59.2</v>
      </c>
      <c r="U32">
        <v>64.599999999999994</v>
      </c>
      <c r="V32">
        <v>47.5</v>
      </c>
      <c r="W32">
        <v>52.5</v>
      </c>
      <c r="X32" t="s">
        <v>400</v>
      </c>
      <c r="Y32" t="s">
        <v>401</v>
      </c>
      <c r="Z32" t="s">
        <v>2156</v>
      </c>
      <c r="AA32" t="s">
        <v>462</v>
      </c>
      <c r="AB32" t="s">
        <v>2120</v>
      </c>
      <c r="AC32" t="s">
        <v>2119</v>
      </c>
      <c r="AD32" t="s">
        <v>2119</v>
      </c>
      <c r="AE32" t="s">
        <v>2120</v>
      </c>
      <c r="AF32" t="s">
        <v>2119</v>
      </c>
      <c r="AG32" t="s">
        <v>2120</v>
      </c>
      <c r="AH32" t="s">
        <v>2120</v>
      </c>
      <c r="AI32" t="s">
        <v>2119</v>
      </c>
      <c r="AJ32" t="s">
        <v>2119</v>
      </c>
      <c r="AK32" t="s">
        <v>2120</v>
      </c>
      <c r="AL32" t="s">
        <v>2120</v>
      </c>
      <c r="AM32" t="s">
        <v>2120</v>
      </c>
      <c r="AN32" t="s">
        <v>2119</v>
      </c>
      <c r="AO32" t="s">
        <v>2120</v>
      </c>
      <c r="AP32" t="s">
        <v>2120</v>
      </c>
      <c r="AQ32" t="s">
        <v>2119</v>
      </c>
    </row>
    <row r="33" spans="2:43" x14ac:dyDescent="0.2">
      <c r="B33" t="s">
        <v>463</v>
      </c>
      <c r="C33" t="s">
        <v>17</v>
      </c>
      <c r="D33">
        <v>0.25</v>
      </c>
      <c r="E33" t="s">
        <v>18</v>
      </c>
      <c r="F33" t="s">
        <v>19</v>
      </c>
      <c r="H33">
        <v>43.3</v>
      </c>
      <c r="I33">
        <v>25.2</v>
      </c>
      <c r="J33">
        <v>31.5</v>
      </c>
      <c r="K33">
        <v>68.5</v>
      </c>
      <c r="L33">
        <v>56.7</v>
      </c>
      <c r="M33">
        <v>74.8</v>
      </c>
      <c r="N33">
        <v>32.5</v>
      </c>
      <c r="O33">
        <v>33.9</v>
      </c>
      <c r="P33">
        <v>33.6</v>
      </c>
      <c r="Q33">
        <v>84.8</v>
      </c>
      <c r="R33">
        <v>91.3</v>
      </c>
      <c r="S33">
        <v>75.599999999999994</v>
      </c>
      <c r="T33">
        <v>24.4</v>
      </c>
      <c r="U33">
        <v>29.4</v>
      </c>
      <c r="V33">
        <v>75.099999999999994</v>
      </c>
      <c r="W33">
        <v>24.9</v>
      </c>
      <c r="X33" t="s">
        <v>894</v>
      </c>
      <c r="Y33" t="s">
        <v>19</v>
      </c>
      <c r="Z33" t="s">
        <v>2157</v>
      </c>
      <c r="AA33" t="s">
        <v>2138</v>
      </c>
      <c r="AB33" t="s">
        <v>2120</v>
      </c>
      <c r="AC33" t="s">
        <v>2119</v>
      </c>
      <c r="AD33" t="s">
        <v>2119</v>
      </c>
      <c r="AE33" t="s">
        <v>2120</v>
      </c>
      <c r="AF33" t="s">
        <v>2119</v>
      </c>
      <c r="AG33" t="s">
        <v>2120</v>
      </c>
      <c r="AH33" t="s">
        <v>2120</v>
      </c>
      <c r="AI33" t="s">
        <v>2119</v>
      </c>
      <c r="AJ33" t="s">
        <v>2119</v>
      </c>
      <c r="AK33" t="s">
        <v>2120</v>
      </c>
      <c r="AL33" t="s">
        <v>2120</v>
      </c>
      <c r="AM33" t="s">
        <v>2120</v>
      </c>
      <c r="AN33" t="s">
        <v>2119</v>
      </c>
      <c r="AO33" t="s">
        <v>2119</v>
      </c>
      <c r="AP33" t="s">
        <v>2120</v>
      </c>
      <c r="AQ33" t="s">
        <v>2119</v>
      </c>
    </row>
    <row r="34" spans="2:43" x14ac:dyDescent="0.2">
      <c r="B34" t="s">
        <v>445</v>
      </c>
      <c r="C34" t="s">
        <v>17</v>
      </c>
      <c r="D34">
        <v>0.27083333333333331</v>
      </c>
      <c r="E34" t="s">
        <v>21</v>
      </c>
      <c r="F34" t="s">
        <v>22</v>
      </c>
      <c r="H34">
        <v>64.099999999999994</v>
      </c>
      <c r="I34">
        <v>24.1</v>
      </c>
      <c r="J34">
        <v>11.8</v>
      </c>
      <c r="K34">
        <v>88.2</v>
      </c>
      <c r="L34">
        <v>35.9</v>
      </c>
      <c r="M34">
        <v>75.900000000000006</v>
      </c>
      <c r="N34">
        <v>56.6</v>
      </c>
      <c r="O34">
        <v>29.2</v>
      </c>
      <c r="P34">
        <v>14.2</v>
      </c>
      <c r="Q34">
        <v>85.5</v>
      </c>
      <c r="R34">
        <v>93.6</v>
      </c>
      <c r="S34">
        <v>80.8</v>
      </c>
      <c r="T34">
        <v>19.2</v>
      </c>
      <c r="U34">
        <v>26</v>
      </c>
      <c r="V34">
        <v>71.400000000000006</v>
      </c>
      <c r="W34">
        <v>28.6</v>
      </c>
      <c r="X34" t="s">
        <v>892</v>
      </c>
      <c r="Y34" t="s">
        <v>22</v>
      </c>
      <c r="Z34" t="s">
        <v>2158</v>
      </c>
      <c r="AA34" t="s">
        <v>462</v>
      </c>
      <c r="AB34" t="s">
        <v>2120</v>
      </c>
      <c r="AC34" t="s">
        <v>2119</v>
      </c>
      <c r="AD34" t="s">
        <v>2119</v>
      </c>
      <c r="AE34" t="s">
        <v>2120</v>
      </c>
      <c r="AF34" t="s">
        <v>2119</v>
      </c>
      <c r="AG34" t="s">
        <v>2120</v>
      </c>
      <c r="AH34" t="s">
        <v>2119</v>
      </c>
      <c r="AI34" t="s">
        <v>2120</v>
      </c>
      <c r="AJ34" t="s">
        <v>2119</v>
      </c>
      <c r="AK34" t="s">
        <v>2120</v>
      </c>
      <c r="AL34" t="s">
        <v>2120</v>
      </c>
      <c r="AM34" t="s">
        <v>2120</v>
      </c>
      <c r="AN34" t="s">
        <v>2119</v>
      </c>
      <c r="AO34" t="s">
        <v>2120</v>
      </c>
      <c r="AP34" t="s">
        <v>2120</v>
      </c>
      <c r="AQ34" t="s">
        <v>2119</v>
      </c>
    </row>
    <row r="35" spans="2:43" x14ac:dyDescent="0.2">
      <c r="B35" t="s">
        <v>464</v>
      </c>
      <c r="C35" t="s">
        <v>17</v>
      </c>
      <c r="D35">
        <v>0.30208333333333331</v>
      </c>
      <c r="E35" t="s">
        <v>23</v>
      </c>
      <c r="F35" t="s">
        <v>24</v>
      </c>
      <c r="H35">
        <v>65.5</v>
      </c>
      <c r="I35">
        <v>26</v>
      </c>
      <c r="J35">
        <v>8.5</v>
      </c>
      <c r="K35">
        <v>91.5</v>
      </c>
      <c r="L35">
        <v>34.5</v>
      </c>
      <c r="M35">
        <v>74</v>
      </c>
      <c r="N35">
        <v>60.3</v>
      </c>
      <c r="O35">
        <v>28.6</v>
      </c>
      <c r="P35">
        <v>11.1</v>
      </c>
      <c r="Q35">
        <v>84</v>
      </c>
      <c r="R35">
        <v>95.2</v>
      </c>
      <c r="S35">
        <v>84.7</v>
      </c>
      <c r="T35">
        <v>15.3</v>
      </c>
      <c r="U35">
        <v>22.1</v>
      </c>
      <c r="V35">
        <v>72.3</v>
      </c>
      <c r="W35">
        <v>27.7</v>
      </c>
      <c r="X35" t="s">
        <v>23</v>
      </c>
      <c r="Y35" t="s">
        <v>24</v>
      </c>
      <c r="Z35" t="s">
        <v>2159</v>
      </c>
      <c r="AA35" t="s">
        <v>2160</v>
      </c>
      <c r="AB35" t="s">
        <v>2120</v>
      </c>
      <c r="AC35" t="s">
        <v>2119</v>
      </c>
      <c r="AD35" t="s">
        <v>2119</v>
      </c>
      <c r="AE35" t="s">
        <v>2120</v>
      </c>
      <c r="AF35" t="s">
        <v>2119</v>
      </c>
      <c r="AG35" t="s">
        <v>2120</v>
      </c>
      <c r="AH35" t="s">
        <v>2120</v>
      </c>
      <c r="AI35" t="s">
        <v>2119</v>
      </c>
      <c r="AJ35" t="s">
        <v>2119</v>
      </c>
      <c r="AK35" t="s">
        <v>2120</v>
      </c>
      <c r="AL35" t="s">
        <v>2120</v>
      </c>
      <c r="AM35" t="s">
        <v>2120</v>
      </c>
      <c r="AN35" t="s">
        <v>2119</v>
      </c>
      <c r="AO35" t="s">
        <v>2119</v>
      </c>
      <c r="AP35" t="s">
        <v>2120</v>
      </c>
      <c r="AQ35" t="s">
        <v>2119</v>
      </c>
    </row>
    <row r="36" spans="2:43" x14ac:dyDescent="0.2">
      <c r="B36" t="s">
        <v>446</v>
      </c>
      <c r="C36" t="s">
        <v>17</v>
      </c>
      <c r="D36">
        <v>0.3125</v>
      </c>
      <c r="E36" t="s">
        <v>25</v>
      </c>
      <c r="F36" t="s">
        <v>26</v>
      </c>
      <c r="H36">
        <v>35.299999999999997</v>
      </c>
      <c r="I36">
        <v>31.7</v>
      </c>
      <c r="J36">
        <v>33</v>
      </c>
      <c r="K36">
        <v>67</v>
      </c>
      <c r="L36">
        <v>64.7</v>
      </c>
      <c r="M36">
        <v>68.3</v>
      </c>
      <c r="N36">
        <v>12.1</v>
      </c>
      <c r="O36">
        <v>54.7</v>
      </c>
      <c r="P36">
        <v>33.200000000000003</v>
      </c>
      <c r="Q36">
        <v>51.6</v>
      </c>
      <c r="R36">
        <v>66.599999999999994</v>
      </c>
      <c r="S36">
        <v>38.6</v>
      </c>
      <c r="T36">
        <v>61.4</v>
      </c>
      <c r="U36">
        <v>66.400000000000006</v>
      </c>
      <c r="V36">
        <v>46.6</v>
      </c>
      <c r="W36">
        <v>53.4</v>
      </c>
      <c r="X36" t="s">
        <v>1596</v>
      </c>
      <c r="Y36" t="s">
        <v>1597</v>
      </c>
      <c r="Z36" t="s">
        <v>2161</v>
      </c>
      <c r="AA36" t="s">
        <v>461</v>
      </c>
      <c r="AB36" t="s">
        <v>2119</v>
      </c>
      <c r="AC36" t="s">
        <v>2119</v>
      </c>
      <c r="AD36" t="s">
        <v>2120</v>
      </c>
      <c r="AE36" t="s">
        <v>2119</v>
      </c>
      <c r="AF36" t="s">
        <v>2120</v>
      </c>
      <c r="AG36" t="s">
        <v>2120</v>
      </c>
      <c r="AH36" t="s">
        <v>2119</v>
      </c>
      <c r="AI36" t="s">
        <v>2120</v>
      </c>
      <c r="AJ36" t="s">
        <v>2119</v>
      </c>
      <c r="AK36" t="s">
        <v>2120</v>
      </c>
      <c r="AL36" t="s">
        <v>2120</v>
      </c>
      <c r="AM36" t="s">
        <v>2120</v>
      </c>
      <c r="AN36" t="s">
        <v>2119</v>
      </c>
      <c r="AO36" t="s">
        <v>2119</v>
      </c>
      <c r="AP36" t="s">
        <v>2120</v>
      </c>
      <c r="AQ36" t="s">
        <v>2119</v>
      </c>
    </row>
    <row r="37" spans="2:43" x14ac:dyDescent="0.2">
      <c r="B37" t="s">
        <v>446</v>
      </c>
      <c r="C37" t="s">
        <v>17</v>
      </c>
      <c r="D37">
        <v>0.3125</v>
      </c>
      <c r="E37" t="s">
        <v>27</v>
      </c>
      <c r="F37" t="s">
        <v>28</v>
      </c>
      <c r="H37">
        <v>52.2</v>
      </c>
      <c r="I37">
        <v>28.9</v>
      </c>
      <c r="J37">
        <v>19</v>
      </c>
      <c r="K37">
        <v>81</v>
      </c>
      <c r="L37">
        <v>47.8</v>
      </c>
      <c r="M37">
        <v>71.099999999999994</v>
      </c>
      <c r="N37">
        <v>40.4</v>
      </c>
      <c r="O37">
        <v>47.4</v>
      </c>
      <c r="P37">
        <v>12.2</v>
      </c>
      <c r="Q37">
        <v>60.4</v>
      </c>
      <c r="R37">
        <v>66.5</v>
      </c>
      <c r="S37">
        <v>38.6</v>
      </c>
      <c r="T37">
        <v>61.4</v>
      </c>
      <c r="U37">
        <v>67.8</v>
      </c>
      <c r="V37">
        <v>42.6</v>
      </c>
      <c r="W37">
        <v>57.4</v>
      </c>
      <c r="X37" t="s">
        <v>27</v>
      </c>
      <c r="Y37" t="s">
        <v>28</v>
      </c>
      <c r="Z37" t="s">
        <v>2162</v>
      </c>
      <c r="AA37" t="s">
        <v>2133</v>
      </c>
      <c r="AB37" t="s">
        <v>2120</v>
      </c>
      <c r="AC37" t="s">
        <v>2119</v>
      </c>
      <c r="AD37" t="s">
        <v>2119</v>
      </c>
      <c r="AE37" t="s">
        <v>2120</v>
      </c>
      <c r="AF37" t="s">
        <v>2119</v>
      </c>
      <c r="AG37" t="s">
        <v>2120</v>
      </c>
      <c r="AH37" t="s">
        <v>2120</v>
      </c>
      <c r="AI37" t="s">
        <v>2119</v>
      </c>
      <c r="AJ37" t="s">
        <v>2119</v>
      </c>
      <c r="AK37" t="s">
        <v>2120</v>
      </c>
      <c r="AL37" t="s">
        <v>2120</v>
      </c>
      <c r="AM37" t="s">
        <v>2120</v>
      </c>
      <c r="AN37" t="s">
        <v>2119</v>
      </c>
      <c r="AO37" t="s">
        <v>2119</v>
      </c>
      <c r="AP37" t="s">
        <v>2120</v>
      </c>
      <c r="AQ37" t="s">
        <v>2119</v>
      </c>
    </row>
    <row r="38" spans="2:43" x14ac:dyDescent="0.2">
      <c r="B38" t="s">
        <v>446</v>
      </c>
      <c r="C38" t="s">
        <v>17</v>
      </c>
      <c r="D38">
        <v>0.3125</v>
      </c>
      <c r="E38" t="s">
        <v>29</v>
      </c>
      <c r="F38" t="s">
        <v>30</v>
      </c>
      <c r="H38">
        <v>27.1</v>
      </c>
      <c r="I38">
        <v>29.7</v>
      </c>
      <c r="J38">
        <v>43.2</v>
      </c>
      <c r="K38">
        <v>56.8</v>
      </c>
      <c r="L38">
        <v>72.900000000000006</v>
      </c>
      <c r="M38">
        <v>70.3</v>
      </c>
      <c r="N38">
        <v>22.6</v>
      </c>
      <c r="O38">
        <v>48.8</v>
      </c>
      <c r="P38">
        <v>28.6</v>
      </c>
      <c r="Q38">
        <v>61.7</v>
      </c>
      <c r="R38">
        <v>73.099999999999994</v>
      </c>
      <c r="S38">
        <v>46.3</v>
      </c>
      <c r="T38">
        <v>53.7</v>
      </c>
      <c r="U38">
        <v>59.4</v>
      </c>
      <c r="V38">
        <v>52</v>
      </c>
      <c r="W38">
        <v>48</v>
      </c>
      <c r="X38" t="s">
        <v>1598</v>
      </c>
      <c r="Y38" t="s">
        <v>1599</v>
      </c>
      <c r="Z38" t="s">
        <v>2163</v>
      </c>
      <c r="AA38" t="s">
        <v>459</v>
      </c>
      <c r="AB38" t="s">
        <v>2119</v>
      </c>
      <c r="AC38" t="s">
        <v>2120</v>
      </c>
      <c r="AD38" t="s">
        <v>2119</v>
      </c>
      <c r="AE38" t="s">
        <v>2120</v>
      </c>
      <c r="AF38" t="s">
        <v>2120</v>
      </c>
      <c r="AG38" t="s">
        <v>2119</v>
      </c>
      <c r="AH38" t="s">
        <v>2119</v>
      </c>
      <c r="AI38" t="s">
        <v>2120</v>
      </c>
      <c r="AJ38" t="s">
        <v>2119</v>
      </c>
      <c r="AK38" t="s">
        <v>2120</v>
      </c>
      <c r="AL38" t="s">
        <v>2120</v>
      </c>
      <c r="AM38" t="s">
        <v>2119</v>
      </c>
      <c r="AN38" t="s">
        <v>2120</v>
      </c>
      <c r="AO38" t="s">
        <v>2120</v>
      </c>
      <c r="AP38" t="s">
        <v>2120</v>
      </c>
      <c r="AQ38" t="s">
        <v>2119</v>
      </c>
    </row>
    <row r="39" spans="2:43" x14ac:dyDescent="0.2">
      <c r="B39" t="s">
        <v>465</v>
      </c>
      <c r="C39" t="s">
        <v>17</v>
      </c>
      <c r="D39">
        <v>0.58333333333333337</v>
      </c>
      <c r="E39" t="s">
        <v>31</v>
      </c>
      <c r="F39" t="s">
        <v>32</v>
      </c>
      <c r="H39">
        <v>63.3</v>
      </c>
      <c r="I39">
        <v>22.6</v>
      </c>
      <c r="J39">
        <v>14.1</v>
      </c>
      <c r="K39">
        <v>85.9</v>
      </c>
      <c r="L39">
        <v>36.700000000000003</v>
      </c>
      <c r="M39">
        <v>77.400000000000006</v>
      </c>
      <c r="N39">
        <v>53.2</v>
      </c>
      <c r="O39">
        <v>33.6</v>
      </c>
      <c r="P39">
        <v>13.2</v>
      </c>
      <c r="Q39">
        <v>78.900000000000006</v>
      </c>
      <c r="R39">
        <v>86.7</v>
      </c>
      <c r="S39">
        <v>67.099999999999994</v>
      </c>
      <c r="T39">
        <v>32.9</v>
      </c>
      <c r="U39">
        <v>40.9</v>
      </c>
      <c r="V39">
        <v>60.9</v>
      </c>
      <c r="W39">
        <v>39.1</v>
      </c>
      <c r="X39" t="s">
        <v>31</v>
      </c>
      <c r="Y39" t="s">
        <v>1754</v>
      </c>
      <c r="Z39" t="s">
        <v>2164</v>
      </c>
      <c r="AA39" t="s">
        <v>2165</v>
      </c>
      <c r="AB39" t="s">
        <v>2120</v>
      </c>
      <c r="AC39" t="s">
        <v>2119</v>
      </c>
      <c r="AD39" t="s">
        <v>2119</v>
      </c>
      <c r="AE39" t="s">
        <v>2120</v>
      </c>
      <c r="AF39" t="s">
        <v>2119</v>
      </c>
      <c r="AG39" t="s">
        <v>2120</v>
      </c>
      <c r="AH39" t="s">
        <v>2120</v>
      </c>
      <c r="AI39" t="s">
        <v>2119</v>
      </c>
      <c r="AJ39" t="s">
        <v>2119</v>
      </c>
      <c r="AK39" t="s">
        <v>2120</v>
      </c>
      <c r="AL39" t="s">
        <v>2120</v>
      </c>
      <c r="AM39" t="s">
        <v>2120</v>
      </c>
      <c r="AN39" t="s">
        <v>2119</v>
      </c>
      <c r="AO39" t="s">
        <v>2120</v>
      </c>
      <c r="AP39" t="s">
        <v>2119</v>
      </c>
      <c r="AQ39" t="s">
        <v>2120</v>
      </c>
    </row>
    <row r="40" spans="2:43" x14ac:dyDescent="0.2">
      <c r="B40" t="s">
        <v>465</v>
      </c>
      <c r="C40" t="s">
        <v>17</v>
      </c>
      <c r="D40">
        <v>0.58333333333333337</v>
      </c>
      <c r="E40" t="s">
        <v>33</v>
      </c>
      <c r="F40" t="s">
        <v>34</v>
      </c>
      <c r="H40">
        <v>36.299999999999997</v>
      </c>
      <c r="I40">
        <v>27.4</v>
      </c>
      <c r="J40">
        <v>36.200000000000003</v>
      </c>
      <c r="K40">
        <v>63.8</v>
      </c>
      <c r="L40">
        <v>63.7</v>
      </c>
      <c r="M40">
        <v>72.599999999999994</v>
      </c>
      <c r="N40">
        <v>26.6</v>
      </c>
      <c r="O40">
        <v>39.1</v>
      </c>
      <c r="P40">
        <v>34.299999999999997</v>
      </c>
      <c r="Q40">
        <v>76.599999999999994</v>
      </c>
      <c r="R40">
        <v>81.2</v>
      </c>
      <c r="S40">
        <v>57.7</v>
      </c>
      <c r="T40">
        <v>42.3</v>
      </c>
      <c r="U40">
        <v>47.9</v>
      </c>
      <c r="V40">
        <v>61.7</v>
      </c>
      <c r="W40">
        <v>38.299999999999997</v>
      </c>
      <c r="X40" t="s">
        <v>33</v>
      </c>
      <c r="Y40" t="s">
        <v>1753</v>
      </c>
      <c r="Z40" t="s">
        <v>2166</v>
      </c>
      <c r="AA40" t="s">
        <v>460</v>
      </c>
      <c r="AB40" t="s">
        <v>2119</v>
      </c>
      <c r="AC40" t="s">
        <v>2119</v>
      </c>
      <c r="AD40" t="s">
        <v>2120</v>
      </c>
      <c r="AE40" t="s">
        <v>2119</v>
      </c>
      <c r="AF40" t="s">
        <v>2120</v>
      </c>
      <c r="AG40" t="s">
        <v>2120</v>
      </c>
      <c r="AH40" t="s">
        <v>2119</v>
      </c>
      <c r="AI40" t="s">
        <v>2119</v>
      </c>
      <c r="AJ40" t="s">
        <v>2120</v>
      </c>
      <c r="AK40" t="s">
        <v>2120</v>
      </c>
      <c r="AL40" t="s">
        <v>2120</v>
      </c>
      <c r="AM40" t="s">
        <v>2120</v>
      </c>
      <c r="AN40" t="s">
        <v>2119</v>
      </c>
      <c r="AO40" t="s">
        <v>2120</v>
      </c>
      <c r="AP40" t="s">
        <v>2120</v>
      </c>
      <c r="AQ40" t="s">
        <v>2119</v>
      </c>
    </row>
    <row r="41" spans="2:43" x14ac:dyDescent="0.2">
      <c r="B41" t="s">
        <v>452</v>
      </c>
      <c r="C41" t="s">
        <v>17</v>
      </c>
      <c r="D41">
        <v>0.66666666666666663</v>
      </c>
      <c r="E41" t="s">
        <v>35</v>
      </c>
      <c r="F41" t="s">
        <v>36</v>
      </c>
      <c r="H41">
        <v>44.3</v>
      </c>
      <c r="I41">
        <v>31.2</v>
      </c>
      <c r="J41">
        <v>24.4</v>
      </c>
      <c r="K41">
        <v>75.599999999999994</v>
      </c>
      <c r="L41">
        <v>55.7</v>
      </c>
      <c r="M41">
        <v>68.8</v>
      </c>
      <c r="N41">
        <v>32</v>
      </c>
      <c r="O41">
        <v>51.5</v>
      </c>
      <c r="P41">
        <v>16.399999999999999</v>
      </c>
      <c r="Q41">
        <v>56.6</v>
      </c>
      <c r="R41">
        <v>64.400000000000006</v>
      </c>
      <c r="S41">
        <v>36.1</v>
      </c>
      <c r="T41">
        <v>63.9</v>
      </c>
      <c r="U41">
        <v>69.2</v>
      </c>
      <c r="V41">
        <v>43.1</v>
      </c>
      <c r="W41">
        <v>56.9</v>
      </c>
      <c r="X41" t="s">
        <v>1840</v>
      </c>
      <c r="Y41" t="s">
        <v>1841</v>
      </c>
      <c r="Z41" t="s">
        <v>2167</v>
      </c>
      <c r="AA41" t="s">
        <v>2165</v>
      </c>
      <c r="AB41" t="s">
        <v>2120</v>
      </c>
      <c r="AC41" t="s">
        <v>2119</v>
      </c>
      <c r="AD41" t="s">
        <v>2119</v>
      </c>
      <c r="AE41" t="s">
        <v>2120</v>
      </c>
      <c r="AF41" t="s">
        <v>2119</v>
      </c>
      <c r="AG41" t="s">
        <v>2120</v>
      </c>
      <c r="AH41" t="s">
        <v>2120</v>
      </c>
      <c r="AI41" t="s">
        <v>2119</v>
      </c>
      <c r="AJ41" t="s">
        <v>2119</v>
      </c>
      <c r="AK41" t="s">
        <v>2120</v>
      </c>
      <c r="AL41" t="s">
        <v>2120</v>
      </c>
      <c r="AM41" t="s">
        <v>2120</v>
      </c>
      <c r="AN41" t="s">
        <v>2119</v>
      </c>
      <c r="AO41" t="s">
        <v>2120</v>
      </c>
      <c r="AP41" t="s">
        <v>2119</v>
      </c>
      <c r="AQ41" t="s">
        <v>2120</v>
      </c>
    </row>
    <row r="42" spans="2:43" x14ac:dyDescent="0.2">
      <c r="B42" t="s">
        <v>452</v>
      </c>
      <c r="C42" t="s">
        <v>17</v>
      </c>
      <c r="D42">
        <v>0.77083333333333337</v>
      </c>
      <c r="E42" t="s">
        <v>37</v>
      </c>
      <c r="F42" t="s">
        <v>38</v>
      </c>
      <c r="H42">
        <v>62.4</v>
      </c>
      <c r="I42">
        <v>23.4</v>
      </c>
      <c r="J42">
        <v>14.2</v>
      </c>
      <c r="K42">
        <v>85.8</v>
      </c>
      <c r="L42">
        <v>37.6</v>
      </c>
      <c r="M42">
        <v>76.599999999999994</v>
      </c>
      <c r="N42">
        <v>44</v>
      </c>
      <c r="O42">
        <v>41.1</v>
      </c>
      <c r="P42">
        <v>14.8</v>
      </c>
      <c r="Q42">
        <v>69.8</v>
      </c>
      <c r="R42">
        <v>79.400000000000006</v>
      </c>
      <c r="S42">
        <v>55.3</v>
      </c>
      <c r="T42">
        <v>44.7</v>
      </c>
      <c r="U42">
        <v>53.1</v>
      </c>
      <c r="V42">
        <v>51.6</v>
      </c>
      <c r="W42">
        <v>48.4</v>
      </c>
      <c r="X42" t="s">
        <v>37</v>
      </c>
      <c r="Y42" t="s">
        <v>38</v>
      </c>
      <c r="Z42" t="s">
        <v>2168</v>
      </c>
      <c r="AA42" t="s">
        <v>2165</v>
      </c>
      <c r="AB42" t="s">
        <v>2120</v>
      </c>
      <c r="AC42" t="s">
        <v>2119</v>
      </c>
      <c r="AD42" t="s">
        <v>2119</v>
      </c>
      <c r="AE42" t="s">
        <v>2120</v>
      </c>
      <c r="AF42" t="s">
        <v>2119</v>
      </c>
      <c r="AG42" t="s">
        <v>2120</v>
      </c>
      <c r="AH42" t="s">
        <v>2120</v>
      </c>
      <c r="AI42" t="s">
        <v>2119</v>
      </c>
      <c r="AJ42" t="s">
        <v>2119</v>
      </c>
      <c r="AK42" t="s">
        <v>2120</v>
      </c>
      <c r="AL42" t="s">
        <v>2120</v>
      </c>
      <c r="AM42" t="s">
        <v>2120</v>
      </c>
      <c r="AN42" t="s">
        <v>2119</v>
      </c>
      <c r="AO42" t="s">
        <v>2120</v>
      </c>
      <c r="AP42" t="s">
        <v>2119</v>
      </c>
      <c r="AQ42" t="s">
        <v>2120</v>
      </c>
    </row>
    <row r="43" spans="2:43" x14ac:dyDescent="0.2">
      <c r="B43" t="s">
        <v>454</v>
      </c>
      <c r="C43" t="s">
        <v>17</v>
      </c>
      <c r="D43">
        <v>0.8125</v>
      </c>
      <c r="E43" t="s">
        <v>39</v>
      </c>
      <c r="F43" t="s">
        <v>40</v>
      </c>
      <c r="H43">
        <v>32.4</v>
      </c>
      <c r="I43">
        <v>30.2</v>
      </c>
      <c r="J43">
        <v>37.4</v>
      </c>
      <c r="K43">
        <v>62.6</v>
      </c>
      <c r="L43">
        <v>67.599999999999994</v>
      </c>
      <c r="M43">
        <v>69.8</v>
      </c>
      <c r="N43">
        <v>24.9</v>
      </c>
      <c r="O43">
        <v>44.7</v>
      </c>
      <c r="P43">
        <v>30.4</v>
      </c>
      <c r="Q43">
        <v>68</v>
      </c>
      <c r="R43">
        <v>71.900000000000006</v>
      </c>
      <c r="S43">
        <v>44.9</v>
      </c>
      <c r="T43">
        <v>55.1</v>
      </c>
      <c r="U43">
        <v>60.5</v>
      </c>
      <c r="V43">
        <v>51.6</v>
      </c>
      <c r="W43">
        <v>48.4</v>
      </c>
      <c r="X43" t="s">
        <v>875</v>
      </c>
      <c r="Y43" t="s">
        <v>40</v>
      </c>
      <c r="Z43" t="s">
        <v>2169</v>
      </c>
      <c r="AA43" t="s">
        <v>2118</v>
      </c>
      <c r="AB43" t="s">
        <v>2119</v>
      </c>
      <c r="AC43" t="s">
        <v>2119</v>
      </c>
      <c r="AD43" t="s">
        <v>2120</v>
      </c>
      <c r="AE43" t="s">
        <v>2119</v>
      </c>
      <c r="AF43" t="s">
        <v>2120</v>
      </c>
      <c r="AG43" t="s">
        <v>2120</v>
      </c>
      <c r="AH43" t="s">
        <v>2119</v>
      </c>
      <c r="AI43" t="s">
        <v>2119</v>
      </c>
      <c r="AJ43" t="s">
        <v>2120</v>
      </c>
      <c r="AK43" t="s">
        <v>2120</v>
      </c>
      <c r="AL43" t="s">
        <v>2120</v>
      </c>
      <c r="AM43" t="s">
        <v>2120</v>
      </c>
      <c r="AN43" t="s">
        <v>2119</v>
      </c>
      <c r="AO43" t="s">
        <v>2119</v>
      </c>
      <c r="AP43" t="s">
        <v>2120</v>
      </c>
      <c r="AQ43" t="s">
        <v>2119</v>
      </c>
    </row>
    <row r="44" spans="2:43" x14ac:dyDescent="0.2">
      <c r="B44" t="s">
        <v>455</v>
      </c>
      <c r="C44" t="s">
        <v>17</v>
      </c>
      <c r="D44">
        <v>0.8125</v>
      </c>
      <c r="E44" t="s">
        <v>41</v>
      </c>
      <c r="F44" t="s">
        <v>42</v>
      </c>
      <c r="H44">
        <v>42.8</v>
      </c>
      <c r="I44">
        <v>28.3</v>
      </c>
      <c r="J44">
        <v>28.9</v>
      </c>
      <c r="K44">
        <v>71.099999999999994</v>
      </c>
      <c r="L44">
        <v>57.2</v>
      </c>
      <c r="M44">
        <v>71.7</v>
      </c>
      <c r="N44">
        <v>30.7</v>
      </c>
      <c r="O44">
        <v>43.9</v>
      </c>
      <c r="P44">
        <v>25.3</v>
      </c>
      <c r="Q44">
        <v>68.900000000000006</v>
      </c>
      <c r="R44">
        <v>76.099999999999994</v>
      </c>
      <c r="S44">
        <v>50.4</v>
      </c>
      <c r="T44">
        <v>49.6</v>
      </c>
      <c r="U44">
        <v>55.4</v>
      </c>
      <c r="V44">
        <v>55.4</v>
      </c>
      <c r="W44">
        <v>44.6</v>
      </c>
      <c r="X44" t="s">
        <v>912</v>
      </c>
      <c r="Y44" t="s">
        <v>913</v>
      </c>
      <c r="Z44" t="s">
        <v>2170</v>
      </c>
      <c r="AA44" t="s">
        <v>456</v>
      </c>
      <c r="AB44" t="s">
        <v>2119</v>
      </c>
      <c r="AC44" t="s">
        <v>2119</v>
      </c>
      <c r="AD44" t="s">
        <v>2120</v>
      </c>
      <c r="AE44" t="s">
        <v>2119</v>
      </c>
      <c r="AF44" t="s">
        <v>2120</v>
      </c>
      <c r="AG44" t="s">
        <v>2120</v>
      </c>
      <c r="AH44" t="s">
        <v>2119</v>
      </c>
      <c r="AI44" t="s">
        <v>2119</v>
      </c>
      <c r="AJ44" t="s">
        <v>2120</v>
      </c>
      <c r="AK44" t="s">
        <v>2120</v>
      </c>
      <c r="AL44" t="s">
        <v>2119</v>
      </c>
      <c r="AM44" t="s">
        <v>2119</v>
      </c>
      <c r="AN44" t="s">
        <v>2120</v>
      </c>
      <c r="AO44" t="s">
        <v>2120</v>
      </c>
      <c r="AP44" t="s">
        <v>2119</v>
      </c>
      <c r="AQ44" t="s">
        <v>2120</v>
      </c>
    </row>
    <row r="45" spans="2:43" x14ac:dyDescent="0.2">
      <c r="B45" t="s">
        <v>455</v>
      </c>
      <c r="C45" t="s">
        <v>17</v>
      </c>
      <c r="D45">
        <v>0.8125</v>
      </c>
      <c r="E45" t="s">
        <v>43</v>
      </c>
      <c r="F45" t="s">
        <v>44</v>
      </c>
      <c r="H45">
        <v>61.3</v>
      </c>
      <c r="I45">
        <v>24.4</v>
      </c>
      <c r="J45">
        <v>14.3</v>
      </c>
      <c r="K45">
        <v>85.7</v>
      </c>
      <c r="L45">
        <v>38.700000000000003</v>
      </c>
      <c r="M45">
        <v>75.599999999999994</v>
      </c>
      <c r="N45">
        <v>48.2</v>
      </c>
      <c r="O45">
        <v>37.1</v>
      </c>
      <c r="P45">
        <v>14.7</v>
      </c>
      <c r="Q45">
        <v>75.099999999999994</v>
      </c>
      <c r="R45">
        <v>75.3</v>
      </c>
      <c r="S45">
        <v>49.5</v>
      </c>
      <c r="T45">
        <v>50.5</v>
      </c>
      <c r="U45">
        <v>58.8</v>
      </c>
      <c r="V45">
        <v>47.3</v>
      </c>
      <c r="W45">
        <v>52.7</v>
      </c>
      <c r="X45" t="s">
        <v>914</v>
      </c>
      <c r="Y45" t="s">
        <v>44</v>
      </c>
      <c r="Z45" t="s">
        <v>2171</v>
      </c>
      <c r="AA45" t="s">
        <v>2172</v>
      </c>
      <c r="AB45" t="s">
        <v>2120</v>
      </c>
      <c r="AC45" t="s">
        <v>2119</v>
      </c>
      <c r="AD45" t="s">
        <v>2119</v>
      </c>
      <c r="AE45" t="s">
        <v>2120</v>
      </c>
      <c r="AF45" t="s">
        <v>2119</v>
      </c>
      <c r="AG45" t="s">
        <v>2120</v>
      </c>
      <c r="AH45" t="s">
        <v>2119</v>
      </c>
      <c r="AI45" t="s">
        <v>2120</v>
      </c>
      <c r="AJ45" t="s">
        <v>2119</v>
      </c>
      <c r="AK45" t="s">
        <v>2120</v>
      </c>
      <c r="AL45" t="s">
        <v>2120</v>
      </c>
      <c r="AM45" t="s">
        <v>2120</v>
      </c>
      <c r="AN45" t="s">
        <v>2119</v>
      </c>
      <c r="AO45" t="s">
        <v>2119</v>
      </c>
      <c r="AP45" t="s">
        <v>2120</v>
      </c>
      <c r="AQ45" t="s">
        <v>2119</v>
      </c>
    </row>
    <row r="46" spans="2:43" x14ac:dyDescent="0.2">
      <c r="B46" t="s">
        <v>466</v>
      </c>
      <c r="C46" t="s">
        <v>17</v>
      </c>
      <c r="D46">
        <v>0.8125</v>
      </c>
      <c r="E46" t="s">
        <v>45</v>
      </c>
      <c r="F46" t="s">
        <v>46</v>
      </c>
      <c r="H46">
        <v>58.8</v>
      </c>
      <c r="I46">
        <v>23.7</v>
      </c>
      <c r="J46">
        <v>17.5</v>
      </c>
      <c r="K46">
        <v>82.5</v>
      </c>
      <c r="L46">
        <v>41.2</v>
      </c>
      <c r="M46">
        <v>76.3</v>
      </c>
      <c r="N46">
        <v>38.9</v>
      </c>
      <c r="O46">
        <v>38.700000000000003</v>
      </c>
      <c r="P46">
        <v>22.4</v>
      </c>
      <c r="Q46">
        <v>76.099999999999994</v>
      </c>
      <c r="R46">
        <v>84.6</v>
      </c>
      <c r="S46">
        <v>63.3</v>
      </c>
      <c r="T46">
        <v>36.700000000000003</v>
      </c>
      <c r="U46">
        <v>44.1</v>
      </c>
      <c r="V46">
        <v>60.5</v>
      </c>
      <c r="W46">
        <v>39.5</v>
      </c>
      <c r="X46" t="s">
        <v>1870</v>
      </c>
      <c r="Y46" t="s">
        <v>1871</v>
      </c>
      <c r="Z46" t="s">
        <v>2173</v>
      </c>
      <c r="AA46" t="s">
        <v>2174</v>
      </c>
      <c r="AB46" t="s">
        <v>2120</v>
      </c>
      <c r="AC46" t="s">
        <v>2119</v>
      </c>
      <c r="AD46" t="s">
        <v>2119</v>
      </c>
      <c r="AE46" t="s">
        <v>2120</v>
      </c>
      <c r="AF46" t="s">
        <v>2119</v>
      </c>
      <c r="AG46" t="s">
        <v>2120</v>
      </c>
      <c r="AH46" t="s">
        <v>2120</v>
      </c>
      <c r="AI46" t="s">
        <v>2119</v>
      </c>
      <c r="AJ46" t="s">
        <v>2119</v>
      </c>
      <c r="AK46" t="s">
        <v>2120</v>
      </c>
      <c r="AL46" t="s">
        <v>2120</v>
      </c>
      <c r="AM46" t="s">
        <v>2120</v>
      </c>
      <c r="AN46" t="s">
        <v>2119</v>
      </c>
      <c r="AO46" t="s">
        <v>2119</v>
      </c>
      <c r="AP46" t="s">
        <v>2119</v>
      </c>
      <c r="AQ46" t="s">
        <v>2120</v>
      </c>
    </row>
    <row r="47" spans="2:43" x14ac:dyDescent="0.2">
      <c r="B47" t="s">
        <v>467</v>
      </c>
      <c r="C47" t="s">
        <v>17</v>
      </c>
      <c r="D47">
        <v>0.83333333333333337</v>
      </c>
      <c r="E47" t="s">
        <v>47</v>
      </c>
      <c r="F47" t="s">
        <v>48</v>
      </c>
      <c r="H47">
        <v>44</v>
      </c>
      <c r="I47">
        <v>26.5</v>
      </c>
      <c r="J47">
        <v>29.5</v>
      </c>
      <c r="K47">
        <v>70.5</v>
      </c>
      <c r="L47">
        <v>56</v>
      </c>
      <c r="M47">
        <v>73.5</v>
      </c>
      <c r="N47">
        <v>36</v>
      </c>
      <c r="O47">
        <v>41.2</v>
      </c>
      <c r="P47">
        <v>22.7</v>
      </c>
      <c r="Q47">
        <v>72.5</v>
      </c>
      <c r="R47">
        <v>82.6</v>
      </c>
      <c r="S47">
        <v>59.9</v>
      </c>
      <c r="T47">
        <v>40.1</v>
      </c>
      <c r="U47">
        <v>45.9</v>
      </c>
      <c r="V47">
        <v>62.7</v>
      </c>
      <c r="W47">
        <v>37.299999999999997</v>
      </c>
      <c r="X47" t="s">
        <v>47</v>
      </c>
      <c r="Y47" t="s">
        <v>48</v>
      </c>
      <c r="Z47" t="s">
        <v>2175</v>
      </c>
      <c r="AA47" t="s">
        <v>2128</v>
      </c>
      <c r="AB47" t="s">
        <v>2120</v>
      </c>
      <c r="AC47" t="s">
        <v>2119</v>
      </c>
      <c r="AD47" t="s">
        <v>2119</v>
      </c>
      <c r="AE47" t="s">
        <v>2120</v>
      </c>
      <c r="AF47" t="s">
        <v>2119</v>
      </c>
      <c r="AG47" t="s">
        <v>2120</v>
      </c>
      <c r="AH47" t="s">
        <v>2119</v>
      </c>
      <c r="AI47" t="s">
        <v>2120</v>
      </c>
      <c r="AJ47" t="s">
        <v>2119</v>
      </c>
      <c r="AK47" t="s">
        <v>2119</v>
      </c>
      <c r="AL47" t="s">
        <v>2120</v>
      </c>
      <c r="AM47" t="s">
        <v>2119</v>
      </c>
      <c r="AN47" t="s">
        <v>2120</v>
      </c>
      <c r="AO47" t="s">
        <v>2120</v>
      </c>
      <c r="AP47" t="s">
        <v>2119</v>
      </c>
      <c r="AQ47" t="s">
        <v>2120</v>
      </c>
    </row>
    <row r="48" spans="2:43" x14ac:dyDescent="0.2">
      <c r="B48" t="s">
        <v>455</v>
      </c>
      <c r="C48" t="s">
        <v>17</v>
      </c>
      <c r="D48">
        <v>0.85416666666666663</v>
      </c>
      <c r="E48" t="s">
        <v>49</v>
      </c>
      <c r="F48" t="s">
        <v>50</v>
      </c>
      <c r="H48">
        <v>36.200000000000003</v>
      </c>
      <c r="I48">
        <v>31.2</v>
      </c>
      <c r="J48">
        <v>32.6</v>
      </c>
      <c r="K48">
        <v>67.400000000000006</v>
      </c>
      <c r="L48">
        <v>63.8</v>
      </c>
      <c r="M48">
        <v>68.8</v>
      </c>
      <c r="N48">
        <v>36.799999999999997</v>
      </c>
      <c r="O48">
        <v>47.6</v>
      </c>
      <c r="P48">
        <v>15.6</v>
      </c>
      <c r="Q48">
        <v>61.5</v>
      </c>
      <c r="R48">
        <v>68.099999999999994</v>
      </c>
      <c r="S48">
        <v>40.200000000000003</v>
      </c>
      <c r="T48">
        <v>59.8</v>
      </c>
      <c r="U48">
        <v>64.8</v>
      </c>
      <c r="V48">
        <v>47.9</v>
      </c>
      <c r="W48">
        <v>52.1</v>
      </c>
      <c r="X48" t="s">
        <v>915</v>
      </c>
      <c r="Y48" t="s">
        <v>50</v>
      </c>
      <c r="Z48" t="s">
        <v>2176</v>
      </c>
      <c r="AA48" t="s">
        <v>459</v>
      </c>
      <c r="AB48" t="s">
        <v>2119</v>
      </c>
      <c r="AC48" t="s">
        <v>2120</v>
      </c>
      <c r="AD48" t="s">
        <v>2119</v>
      </c>
      <c r="AE48" t="s">
        <v>2120</v>
      </c>
      <c r="AF48" t="s">
        <v>2120</v>
      </c>
      <c r="AG48" t="s">
        <v>2119</v>
      </c>
      <c r="AH48" t="s">
        <v>2119</v>
      </c>
      <c r="AI48" t="s">
        <v>2119</v>
      </c>
      <c r="AJ48" t="s">
        <v>2120</v>
      </c>
      <c r="AK48" t="s">
        <v>2120</v>
      </c>
      <c r="AL48" t="s">
        <v>2120</v>
      </c>
      <c r="AM48" t="s">
        <v>2119</v>
      </c>
      <c r="AN48" t="s">
        <v>2120</v>
      </c>
      <c r="AO48" t="s">
        <v>2120</v>
      </c>
      <c r="AP48" t="s">
        <v>2120</v>
      </c>
      <c r="AQ48" t="s">
        <v>2119</v>
      </c>
    </row>
    <row r="49" spans="2:43" x14ac:dyDescent="0.2">
      <c r="B49" t="s">
        <v>468</v>
      </c>
      <c r="C49" t="s">
        <v>17</v>
      </c>
      <c r="D49">
        <v>0.85416666666666663</v>
      </c>
      <c r="E49" t="s">
        <v>51</v>
      </c>
      <c r="F49" t="s">
        <v>52</v>
      </c>
      <c r="H49">
        <v>43.3</v>
      </c>
      <c r="I49">
        <v>27.2</v>
      </c>
      <c r="J49">
        <v>29.5</v>
      </c>
      <c r="K49">
        <v>70.5</v>
      </c>
      <c r="L49">
        <v>56.7</v>
      </c>
      <c r="M49">
        <v>72.8</v>
      </c>
      <c r="N49">
        <v>39.299999999999997</v>
      </c>
      <c r="O49">
        <v>39.9</v>
      </c>
      <c r="P49">
        <v>20.8</v>
      </c>
      <c r="Q49">
        <v>73.8</v>
      </c>
      <c r="R49">
        <v>79.900000000000006</v>
      </c>
      <c r="S49">
        <v>55.8</v>
      </c>
      <c r="T49">
        <v>44.2</v>
      </c>
      <c r="U49">
        <v>50</v>
      </c>
      <c r="V49">
        <v>59.6</v>
      </c>
      <c r="W49">
        <v>40.4</v>
      </c>
      <c r="X49" t="s">
        <v>860</v>
      </c>
      <c r="Y49" t="s">
        <v>861</v>
      </c>
      <c r="Z49" t="s">
        <v>2177</v>
      </c>
      <c r="AA49" t="s">
        <v>460</v>
      </c>
      <c r="AB49" t="s">
        <v>2119</v>
      </c>
      <c r="AC49" t="s">
        <v>2119</v>
      </c>
      <c r="AD49" t="s">
        <v>2120</v>
      </c>
      <c r="AE49" t="s">
        <v>2119</v>
      </c>
      <c r="AF49" t="s">
        <v>2120</v>
      </c>
      <c r="AG49" t="s">
        <v>2120</v>
      </c>
      <c r="AH49" t="s">
        <v>2119</v>
      </c>
      <c r="AI49" t="s">
        <v>2119</v>
      </c>
      <c r="AJ49" t="s">
        <v>2120</v>
      </c>
      <c r="AK49" t="s">
        <v>2120</v>
      </c>
      <c r="AL49" t="s">
        <v>2120</v>
      </c>
      <c r="AM49" t="s">
        <v>2120</v>
      </c>
      <c r="AN49" t="s">
        <v>2119</v>
      </c>
      <c r="AO49" t="s">
        <v>2120</v>
      </c>
      <c r="AP49" t="s">
        <v>2120</v>
      </c>
      <c r="AQ49" t="s">
        <v>2119</v>
      </c>
    </row>
    <row r="50" spans="2:43" x14ac:dyDescent="0.2">
      <c r="B50" t="s">
        <v>468</v>
      </c>
      <c r="C50" t="s">
        <v>17</v>
      </c>
      <c r="D50">
        <v>0.85416666666666663</v>
      </c>
      <c r="E50" t="s">
        <v>53</v>
      </c>
      <c r="F50" t="s">
        <v>54</v>
      </c>
      <c r="H50">
        <v>33.1</v>
      </c>
      <c r="I50">
        <v>25.5</v>
      </c>
      <c r="J50">
        <v>41.4</v>
      </c>
      <c r="K50">
        <v>58.6</v>
      </c>
      <c r="L50">
        <v>66.900000000000006</v>
      </c>
      <c r="M50">
        <v>74.5</v>
      </c>
      <c r="N50">
        <v>28</v>
      </c>
      <c r="O50">
        <v>35.799999999999997</v>
      </c>
      <c r="P50">
        <v>36.200000000000003</v>
      </c>
      <c r="Q50">
        <v>81.8</v>
      </c>
      <c r="R50">
        <v>91.3</v>
      </c>
      <c r="S50">
        <v>75.599999999999994</v>
      </c>
      <c r="T50">
        <v>24.4</v>
      </c>
      <c r="U50">
        <v>29.4</v>
      </c>
      <c r="V50">
        <v>75.3</v>
      </c>
      <c r="W50">
        <v>24.7</v>
      </c>
      <c r="X50" t="s">
        <v>53</v>
      </c>
      <c r="Y50" t="s">
        <v>54</v>
      </c>
      <c r="Z50" t="s">
        <v>2178</v>
      </c>
      <c r="AA50" t="s">
        <v>2179</v>
      </c>
      <c r="AB50" t="s">
        <v>2120</v>
      </c>
      <c r="AC50" t="s">
        <v>2119</v>
      </c>
      <c r="AD50" t="s">
        <v>2119</v>
      </c>
      <c r="AE50" t="s">
        <v>2120</v>
      </c>
      <c r="AF50" t="s">
        <v>2119</v>
      </c>
      <c r="AG50" t="s">
        <v>2120</v>
      </c>
      <c r="AH50" t="s">
        <v>2120</v>
      </c>
      <c r="AI50" t="s">
        <v>2119</v>
      </c>
      <c r="AJ50" t="s">
        <v>2119</v>
      </c>
      <c r="AK50" t="s">
        <v>2120</v>
      </c>
      <c r="AL50" t="s">
        <v>2120</v>
      </c>
      <c r="AM50" t="s">
        <v>2120</v>
      </c>
      <c r="AN50" t="s">
        <v>2119</v>
      </c>
      <c r="AO50" t="s">
        <v>2119</v>
      </c>
      <c r="AP50" t="s">
        <v>2120</v>
      </c>
      <c r="AQ50" t="s">
        <v>2119</v>
      </c>
    </row>
    <row r="51" spans="2:43" x14ac:dyDescent="0.2">
      <c r="B51" t="s">
        <v>468</v>
      </c>
      <c r="C51" t="s">
        <v>17</v>
      </c>
      <c r="D51">
        <v>0.85416666666666663</v>
      </c>
      <c r="E51" t="s">
        <v>55</v>
      </c>
      <c r="F51" t="s">
        <v>56</v>
      </c>
      <c r="H51">
        <v>45.4</v>
      </c>
      <c r="I51">
        <v>25.1</v>
      </c>
      <c r="J51">
        <v>29.5</v>
      </c>
      <c r="K51">
        <v>70.5</v>
      </c>
      <c r="L51">
        <v>54.6</v>
      </c>
      <c r="M51">
        <v>74.900000000000006</v>
      </c>
      <c r="N51">
        <v>38.9</v>
      </c>
      <c r="O51">
        <v>35.4</v>
      </c>
      <c r="P51">
        <v>25.7</v>
      </c>
      <c r="Q51">
        <v>81.599999999999994</v>
      </c>
      <c r="R51">
        <v>90.5</v>
      </c>
      <c r="S51">
        <v>74.099999999999994</v>
      </c>
      <c r="T51">
        <v>25.9</v>
      </c>
      <c r="U51">
        <v>31.2</v>
      </c>
      <c r="V51">
        <v>73.599999999999994</v>
      </c>
      <c r="W51">
        <v>26.4</v>
      </c>
      <c r="X51" t="s">
        <v>55</v>
      </c>
      <c r="Y51" t="s">
        <v>56</v>
      </c>
      <c r="Z51" t="s">
        <v>2180</v>
      </c>
      <c r="AA51" t="s">
        <v>2172</v>
      </c>
      <c r="AB51" t="s">
        <v>2120</v>
      </c>
      <c r="AC51" t="s">
        <v>2119</v>
      </c>
      <c r="AD51" t="s">
        <v>2119</v>
      </c>
      <c r="AE51" t="s">
        <v>2120</v>
      </c>
      <c r="AF51" t="s">
        <v>2119</v>
      </c>
      <c r="AG51" t="s">
        <v>2120</v>
      </c>
      <c r="AH51" t="s">
        <v>2119</v>
      </c>
      <c r="AI51" t="s">
        <v>2120</v>
      </c>
      <c r="AJ51" t="s">
        <v>2119</v>
      </c>
      <c r="AK51" t="s">
        <v>2120</v>
      </c>
      <c r="AL51" t="s">
        <v>2120</v>
      </c>
      <c r="AM51" t="s">
        <v>2120</v>
      </c>
      <c r="AN51" t="s">
        <v>2119</v>
      </c>
      <c r="AO51" t="s">
        <v>2119</v>
      </c>
      <c r="AP51" t="s">
        <v>2120</v>
      </c>
      <c r="AQ51" t="s">
        <v>2119</v>
      </c>
    </row>
    <row r="52" spans="2:43" x14ac:dyDescent="0.2">
      <c r="B52" t="s">
        <v>468</v>
      </c>
      <c r="C52" t="s">
        <v>17</v>
      </c>
      <c r="D52">
        <v>0.85416666666666663</v>
      </c>
      <c r="E52" t="s">
        <v>57</v>
      </c>
      <c r="F52" t="s">
        <v>58</v>
      </c>
      <c r="H52">
        <v>52.8</v>
      </c>
      <c r="I52">
        <v>25.4</v>
      </c>
      <c r="J52">
        <v>21.8</v>
      </c>
      <c r="K52">
        <v>78.2</v>
      </c>
      <c r="L52">
        <v>47.2</v>
      </c>
      <c r="M52">
        <v>74.599999999999994</v>
      </c>
      <c r="N52">
        <v>34.700000000000003</v>
      </c>
      <c r="O52">
        <v>41.2</v>
      </c>
      <c r="P52">
        <v>24.1</v>
      </c>
      <c r="Q52">
        <v>72.900000000000006</v>
      </c>
      <c r="R52">
        <v>81.900000000000006</v>
      </c>
      <c r="S52">
        <v>58.8</v>
      </c>
      <c r="T52">
        <v>41.2</v>
      </c>
      <c r="U52">
        <v>47.9</v>
      </c>
      <c r="V52">
        <v>59.5</v>
      </c>
      <c r="W52">
        <v>40.5</v>
      </c>
      <c r="X52" t="s">
        <v>57</v>
      </c>
      <c r="Y52" t="s">
        <v>58</v>
      </c>
      <c r="Z52" t="s">
        <v>2181</v>
      </c>
      <c r="AA52" t="s">
        <v>447</v>
      </c>
      <c r="AB52" t="s">
        <v>2119</v>
      </c>
      <c r="AC52" t="s">
        <v>2120</v>
      </c>
      <c r="AD52" t="s">
        <v>2119</v>
      </c>
      <c r="AE52" t="s">
        <v>2120</v>
      </c>
      <c r="AF52" t="s">
        <v>2120</v>
      </c>
      <c r="AG52" t="s">
        <v>2119</v>
      </c>
      <c r="AH52" t="s">
        <v>2119</v>
      </c>
      <c r="AI52" t="s">
        <v>2120</v>
      </c>
      <c r="AJ52" t="s">
        <v>2119</v>
      </c>
      <c r="AK52" t="s">
        <v>2119</v>
      </c>
      <c r="AL52" t="s">
        <v>2119</v>
      </c>
      <c r="AM52" t="s">
        <v>2119</v>
      </c>
      <c r="AN52" t="s">
        <v>2120</v>
      </c>
      <c r="AO52" t="s">
        <v>2120</v>
      </c>
      <c r="AP52" t="s">
        <v>2119</v>
      </c>
      <c r="AQ52" t="s">
        <v>2120</v>
      </c>
    </row>
    <row r="53" spans="2:43" x14ac:dyDescent="0.2">
      <c r="B53" t="s">
        <v>468</v>
      </c>
      <c r="C53" t="s">
        <v>17</v>
      </c>
      <c r="D53">
        <v>0.85416666666666663</v>
      </c>
      <c r="E53" t="s">
        <v>59</v>
      </c>
      <c r="F53" t="s">
        <v>60</v>
      </c>
      <c r="H53">
        <v>44.6</v>
      </c>
      <c r="I53">
        <v>25.7</v>
      </c>
      <c r="J53">
        <v>29.7</v>
      </c>
      <c r="K53">
        <v>70.3</v>
      </c>
      <c r="L53">
        <v>55.4</v>
      </c>
      <c r="M53">
        <v>74.3</v>
      </c>
      <c r="N53">
        <v>29.3</v>
      </c>
      <c r="O53">
        <v>40.1</v>
      </c>
      <c r="P53">
        <v>30.6</v>
      </c>
      <c r="Q53">
        <v>75.099999999999994</v>
      </c>
      <c r="R53">
        <v>86</v>
      </c>
      <c r="S53">
        <v>65.599999999999994</v>
      </c>
      <c r="T53">
        <v>34.4</v>
      </c>
      <c r="U53">
        <v>40.1</v>
      </c>
      <c r="V53">
        <v>67.099999999999994</v>
      </c>
      <c r="W53">
        <v>32.9</v>
      </c>
      <c r="X53" t="s">
        <v>59</v>
      </c>
      <c r="Y53" t="s">
        <v>60</v>
      </c>
      <c r="Z53" t="s">
        <v>2182</v>
      </c>
      <c r="AA53" t="s">
        <v>2133</v>
      </c>
      <c r="AB53" t="s">
        <v>2120</v>
      </c>
      <c r="AC53" t="s">
        <v>2119</v>
      </c>
      <c r="AD53" t="s">
        <v>2119</v>
      </c>
      <c r="AE53" t="s">
        <v>2120</v>
      </c>
      <c r="AF53" t="s">
        <v>2119</v>
      </c>
      <c r="AG53" t="s">
        <v>2120</v>
      </c>
      <c r="AH53" t="s">
        <v>2119</v>
      </c>
      <c r="AI53" t="s">
        <v>2120</v>
      </c>
      <c r="AJ53" t="s">
        <v>2119</v>
      </c>
      <c r="AK53" t="s">
        <v>2120</v>
      </c>
      <c r="AL53" t="s">
        <v>2120</v>
      </c>
      <c r="AM53" t="s">
        <v>2120</v>
      </c>
      <c r="AN53" t="s">
        <v>2119</v>
      </c>
      <c r="AO53" t="s">
        <v>2119</v>
      </c>
      <c r="AP53" t="s">
        <v>2120</v>
      </c>
      <c r="AQ53" t="s">
        <v>2119</v>
      </c>
    </row>
    <row r="54" spans="2:43" x14ac:dyDescent="0.2">
      <c r="B54" t="s">
        <v>452</v>
      </c>
      <c r="C54" t="s">
        <v>17</v>
      </c>
      <c r="D54">
        <v>0.875</v>
      </c>
      <c r="E54" t="s">
        <v>61</v>
      </c>
      <c r="F54" t="s">
        <v>62</v>
      </c>
      <c r="H54">
        <v>22.9</v>
      </c>
      <c r="I54">
        <v>37.6</v>
      </c>
      <c r="J54">
        <v>39.5</v>
      </c>
      <c r="K54">
        <v>60.5</v>
      </c>
      <c r="L54">
        <v>77.099999999999994</v>
      </c>
      <c r="M54">
        <v>62.4</v>
      </c>
      <c r="N54">
        <v>17.7</v>
      </c>
      <c r="O54">
        <v>57.9</v>
      </c>
      <c r="P54">
        <v>24.4</v>
      </c>
      <c r="Q54">
        <v>48.7</v>
      </c>
      <c r="R54">
        <v>49.4</v>
      </c>
      <c r="S54">
        <v>22.2</v>
      </c>
      <c r="T54">
        <v>77.8</v>
      </c>
      <c r="U54">
        <v>81.7</v>
      </c>
      <c r="V54">
        <v>31</v>
      </c>
      <c r="W54">
        <v>69</v>
      </c>
      <c r="X54" t="s">
        <v>61</v>
      </c>
      <c r="Y54" t="s">
        <v>62</v>
      </c>
      <c r="Z54" t="s">
        <v>2183</v>
      </c>
      <c r="AA54" t="s">
        <v>459</v>
      </c>
      <c r="AB54" t="s">
        <v>2119</v>
      </c>
      <c r="AC54" t="s">
        <v>2120</v>
      </c>
      <c r="AD54" t="s">
        <v>2119</v>
      </c>
      <c r="AE54" t="s">
        <v>2120</v>
      </c>
      <c r="AF54" t="s">
        <v>2120</v>
      </c>
      <c r="AG54" t="s">
        <v>2119</v>
      </c>
      <c r="AH54" t="s">
        <v>2119</v>
      </c>
      <c r="AI54" t="s">
        <v>2119</v>
      </c>
      <c r="AJ54" t="s">
        <v>2120</v>
      </c>
      <c r="AK54" t="s">
        <v>2120</v>
      </c>
      <c r="AL54" t="s">
        <v>2120</v>
      </c>
      <c r="AM54" t="s">
        <v>2119</v>
      </c>
      <c r="AN54" t="s">
        <v>2120</v>
      </c>
      <c r="AO54" t="s">
        <v>2120</v>
      </c>
      <c r="AP54" t="s">
        <v>2120</v>
      </c>
      <c r="AQ54" t="s">
        <v>2119</v>
      </c>
    </row>
    <row r="55" spans="2:43" x14ac:dyDescent="0.2">
      <c r="B55" t="s">
        <v>468</v>
      </c>
      <c r="C55" t="s">
        <v>17</v>
      </c>
      <c r="D55">
        <v>0.88541666666666663</v>
      </c>
      <c r="E55" t="s">
        <v>63</v>
      </c>
      <c r="F55" t="s">
        <v>64</v>
      </c>
      <c r="H55">
        <v>51.3</v>
      </c>
      <c r="I55">
        <v>26.4</v>
      </c>
      <c r="J55">
        <v>22.4</v>
      </c>
      <c r="K55">
        <v>77.599999999999994</v>
      </c>
      <c r="L55">
        <v>48.7</v>
      </c>
      <c r="M55">
        <v>73.599999999999994</v>
      </c>
      <c r="N55">
        <v>31.4</v>
      </c>
      <c r="O55">
        <v>45.9</v>
      </c>
      <c r="P55">
        <v>22.7</v>
      </c>
      <c r="Q55">
        <v>65.7</v>
      </c>
      <c r="R55">
        <v>78.400000000000006</v>
      </c>
      <c r="S55">
        <v>53.6</v>
      </c>
      <c r="T55">
        <v>46.4</v>
      </c>
      <c r="U55">
        <v>53</v>
      </c>
      <c r="V55">
        <v>55.8</v>
      </c>
      <c r="W55">
        <v>44.2</v>
      </c>
      <c r="X55" t="s">
        <v>63</v>
      </c>
      <c r="Y55" t="s">
        <v>862</v>
      </c>
      <c r="Z55" t="s">
        <v>2184</v>
      </c>
      <c r="AA55" t="s">
        <v>2123</v>
      </c>
      <c r="AB55" t="s">
        <v>2119</v>
      </c>
      <c r="AC55" t="s">
        <v>2120</v>
      </c>
      <c r="AD55" t="s">
        <v>2119</v>
      </c>
      <c r="AE55" t="s">
        <v>2120</v>
      </c>
      <c r="AF55" t="s">
        <v>2120</v>
      </c>
      <c r="AG55" t="s">
        <v>2119</v>
      </c>
      <c r="AH55" t="s">
        <v>2120</v>
      </c>
      <c r="AI55" t="s">
        <v>2119</v>
      </c>
      <c r="AJ55" t="s">
        <v>2119</v>
      </c>
      <c r="AK55" t="s">
        <v>2120</v>
      </c>
      <c r="AL55" t="s">
        <v>2120</v>
      </c>
      <c r="AM55" t="s">
        <v>2120</v>
      </c>
      <c r="AN55" t="s">
        <v>2119</v>
      </c>
      <c r="AO55" t="s">
        <v>2119</v>
      </c>
      <c r="AP55" t="s">
        <v>2120</v>
      </c>
      <c r="AQ55" t="s">
        <v>2119</v>
      </c>
    </row>
    <row r="56" spans="2:43" x14ac:dyDescent="0.2">
      <c r="B56" t="s">
        <v>454</v>
      </c>
      <c r="C56" t="s">
        <v>17</v>
      </c>
      <c r="D56">
        <v>0.89583333333333337</v>
      </c>
      <c r="E56" t="s">
        <v>65</v>
      </c>
      <c r="F56" t="s">
        <v>66</v>
      </c>
      <c r="H56">
        <v>22.2</v>
      </c>
      <c r="I56">
        <v>28.1</v>
      </c>
      <c r="J56">
        <v>49.7</v>
      </c>
      <c r="K56">
        <v>50.3</v>
      </c>
      <c r="L56">
        <v>77.8</v>
      </c>
      <c r="M56">
        <v>71.900000000000006</v>
      </c>
      <c r="N56">
        <v>15.1</v>
      </c>
      <c r="O56">
        <v>45</v>
      </c>
      <c r="P56">
        <v>39.9</v>
      </c>
      <c r="Q56">
        <v>65.400000000000006</v>
      </c>
      <c r="R56">
        <v>76.599999999999994</v>
      </c>
      <c r="S56">
        <v>51.1</v>
      </c>
      <c r="T56">
        <v>48.9</v>
      </c>
      <c r="U56">
        <v>55.4</v>
      </c>
      <c r="V56">
        <v>54</v>
      </c>
      <c r="W56">
        <v>46</v>
      </c>
      <c r="X56" t="s">
        <v>65</v>
      </c>
      <c r="Y56" t="s">
        <v>876</v>
      </c>
      <c r="Z56" t="s">
        <v>2185</v>
      </c>
      <c r="AA56" t="s">
        <v>2186</v>
      </c>
      <c r="AB56" t="s">
        <v>2119</v>
      </c>
      <c r="AC56" t="s">
        <v>2119</v>
      </c>
      <c r="AD56" t="s">
        <v>2120</v>
      </c>
      <c r="AE56" t="s">
        <v>2119</v>
      </c>
      <c r="AF56" t="s">
        <v>2120</v>
      </c>
      <c r="AG56" t="s">
        <v>2120</v>
      </c>
      <c r="AH56" t="s">
        <v>2119</v>
      </c>
      <c r="AI56" t="s">
        <v>2119</v>
      </c>
      <c r="AJ56" t="s">
        <v>2120</v>
      </c>
      <c r="AK56" t="s">
        <v>2120</v>
      </c>
      <c r="AL56" t="s">
        <v>2120</v>
      </c>
      <c r="AM56" t="s">
        <v>2120</v>
      </c>
      <c r="AN56" t="s">
        <v>2119</v>
      </c>
      <c r="AO56" t="s">
        <v>2119</v>
      </c>
      <c r="AP56" t="s">
        <v>2119</v>
      </c>
      <c r="AQ56" t="s">
        <v>2120</v>
      </c>
    </row>
    <row r="57" spans="2:43" x14ac:dyDescent="0.2">
      <c r="B57" t="s">
        <v>454</v>
      </c>
      <c r="C57" t="s">
        <v>17</v>
      </c>
      <c r="D57">
        <v>0.89583333333333337</v>
      </c>
      <c r="E57" t="s">
        <v>67</v>
      </c>
      <c r="F57" t="s">
        <v>68</v>
      </c>
      <c r="H57">
        <v>46.5</v>
      </c>
      <c r="I57">
        <v>28</v>
      </c>
      <c r="J57">
        <v>25.6</v>
      </c>
      <c r="K57">
        <v>74.400000000000006</v>
      </c>
      <c r="L57">
        <v>53.5</v>
      </c>
      <c r="M57">
        <v>72</v>
      </c>
      <c r="N57">
        <v>31.3</v>
      </c>
      <c r="O57">
        <v>43.9</v>
      </c>
      <c r="P57">
        <v>24.8</v>
      </c>
      <c r="Q57">
        <v>69</v>
      </c>
      <c r="R57">
        <v>75.2</v>
      </c>
      <c r="S57">
        <v>49.2</v>
      </c>
      <c r="T57">
        <v>50.8</v>
      </c>
      <c r="U57">
        <v>56.8</v>
      </c>
      <c r="V57">
        <v>53.6</v>
      </c>
      <c r="W57">
        <v>46.4</v>
      </c>
      <c r="X57" t="s">
        <v>67</v>
      </c>
      <c r="Y57" t="s">
        <v>68</v>
      </c>
      <c r="Z57" t="s">
        <v>2187</v>
      </c>
      <c r="AA57" t="s">
        <v>460</v>
      </c>
      <c r="AB57" t="s">
        <v>2119</v>
      </c>
      <c r="AC57" t="s">
        <v>2119</v>
      </c>
      <c r="AD57" t="s">
        <v>2120</v>
      </c>
      <c r="AE57" t="s">
        <v>2119</v>
      </c>
      <c r="AF57" t="s">
        <v>2120</v>
      </c>
      <c r="AG57" t="s">
        <v>2120</v>
      </c>
      <c r="AH57" t="s">
        <v>2119</v>
      </c>
      <c r="AI57" t="s">
        <v>2119</v>
      </c>
      <c r="AJ57" t="s">
        <v>2120</v>
      </c>
      <c r="AK57" t="s">
        <v>2120</v>
      </c>
      <c r="AL57" t="s">
        <v>2120</v>
      </c>
      <c r="AM57" t="s">
        <v>2120</v>
      </c>
      <c r="AN57" t="s">
        <v>2119</v>
      </c>
      <c r="AO57" t="s">
        <v>2120</v>
      </c>
      <c r="AP57" t="s">
        <v>2120</v>
      </c>
      <c r="AQ57" t="s">
        <v>2119</v>
      </c>
    </row>
    <row r="58" spans="2:43" x14ac:dyDescent="0.2">
      <c r="B58" t="s">
        <v>454</v>
      </c>
      <c r="C58" t="s">
        <v>17</v>
      </c>
      <c r="D58">
        <v>0.89583333333333337</v>
      </c>
      <c r="E58" t="s">
        <v>69</v>
      </c>
      <c r="F58" t="s">
        <v>70</v>
      </c>
      <c r="H58">
        <v>41.8</v>
      </c>
      <c r="I58">
        <v>30.5</v>
      </c>
      <c r="J58">
        <v>27.7</v>
      </c>
      <c r="K58">
        <v>72.3</v>
      </c>
      <c r="L58">
        <v>58.2</v>
      </c>
      <c r="M58">
        <v>69.5</v>
      </c>
      <c r="N58">
        <v>33.700000000000003</v>
      </c>
      <c r="O58">
        <v>46.5</v>
      </c>
      <c r="P58">
        <v>19.7</v>
      </c>
      <c r="Q58">
        <v>64.2</v>
      </c>
      <c r="R58">
        <v>68.3</v>
      </c>
      <c r="S58">
        <v>40.5</v>
      </c>
      <c r="T58">
        <v>59.5</v>
      </c>
      <c r="U58">
        <v>64.8</v>
      </c>
      <c r="V58">
        <v>47.5</v>
      </c>
      <c r="W58">
        <v>52.5</v>
      </c>
      <c r="X58" t="s">
        <v>877</v>
      </c>
      <c r="Y58" t="s">
        <v>878</v>
      </c>
      <c r="Z58" t="s">
        <v>2188</v>
      </c>
      <c r="AA58" t="s">
        <v>460</v>
      </c>
      <c r="AB58" t="s">
        <v>2119</v>
      </c>
      <c r="AC58" t="s">
        <v>2119</v>
      </c>
      <c r="AD58" t="s">
        <v>2120</v>
      </c>
      <c r="AE58" t="s">
        <v>2119</v>
      </c>
      <c r="AF58" t="s">
        <v>2120</v>
      </c>
      <c r="AG58" t="s">
        <v>2120</v>
      </c>
      <c r="AH58" t="s">
        <v>2120</v>
      </c>
      <c r="AI58" t="s">
        <v>2119</v>
      </c>
      <c r="AJ58" t="s">
        <v>2119</v>
      </c>
      <c r="AK58" t="s">
        <v>2120</v>
      </c>
      <c r="AL58" t="s">
        <v>2120</v>
      </c>
      <c r="AM58" t="s">
        <v>2120</v>
      </c>
      <c r="AN58" t="s">
        <v>2119</v>
      </c>
      <c r="AO58" t="s">
        <v>2120</v>
      </c>
      <c r="AP58" t="s">
        <v>2120</v>
      </c>
      <c r="AQ58" t="s">
        <v>2119</v>
      </c>
    </row>
    <row r="59" spans="2:43" x14ac:dyDescent="0.2">
      <c r="B59" t="s">
        <v>455</v>
      </c>
      <c r="C59" t="s">
        <v>17</v>
      </c>
      <c r="D59">
        <v>0.89583333333333337</v>
      </c>
      <c r="E59" t="s">
        <v>71</v>
      </c>
      <c r="F59" t="s">
        <v>72</v>
      </c>
      <c r="H59">
        <v>44</v>
      </c>
      <c r="I59">
        <v>28.5</v>
      </c>
      <c r="J59">
        <v>27.5</v>
      </c>
      <c r="K59">
        <v>72.5</v>
      </c>
      <c r="L59">
        <v>56</v>
      </c>
      <c r="M59">
        <v>71.5</v>
      </c>
      <c r="N59">
        <v>27.7</v>
      </c>
      <c r="O59">
        <v>48.1</v>
      </c>
      <c r="P59">
        <v>24.2</v>
      </c>
      <c r="Q59">
        <v>62.7</v>
      </c>
      <c r="R59">
        <v>74.599999999999994</v>
      </c>
      <c r="S59">
        <v>48.3</v>
      </c>
      <c r="T59">
        <v>51.7</v>
      </c>
      <c r="U59">
        <v>57.5</v>
      </c>
      <c r="V59">
        <v>53.5</v>
      </c>
      <c r="W59">
        <v>46.5</v>
      </c>
      <c r="X59" t="s">
        <v>71</v>
      </c>
      <c r="Y59" t="s">
        <v>916</v>
      </c>
      <c r="Z59" t="s">
        <v>2189</v>
      </c>
      <c r="AA59" t="s">
        <v>462</v>
      </c>
      <c r="AB59" t="s">
        <v>2120</v>
      </c>
      <c r="AC59" t="s">
        <v>2119</v>
      </c>
      <c r="AD59" t="s">
        <v>2119</v>
      </c>
      <c r="AE59" t="s">
        <v>2120</v>
      </c>
      <c r="AF59" t="s">
        <v>2119</v>
      </c>
      <c r="AG59" t="s">
        <v>2120</v>
      </c>
      <c r="AH59" t="s">
        <v>2120</v>
      </c>
      <c r="AI59" t="s">
        <v>2119</v>
      </c>
      <c r="AJ59" t="s">
        <v>2119</v>
      </c>
      <c r="AK59" t="s">
        <v>2120</v>
      </c>
      <c r="AL59" t="s">
        <v>2120</v>
      </c>
      <c r="AM59" t="s">
        <v>2120</v>
      </c>
      <c r="AN59" t="s">
        <v>2119</v>
      </c>
      <c r="AO59" t="s">
        <v>2120</v>
      </c>
      <c r="AP59" t="s">
        <v>2120</v>
      </c>
      <c r="AQ59" t="s">
        <v>2119</v>
      </c>
    </row>
    <row r="60" spans="2:43" x14ac:dyDescent="0.2">
      <c r="B60" t="s">
        <v>468</v>
      </c>
      <c r="C60" t="s">
        <v>17</v>
      </c>
      <c r="D60">
        <v>0.89583333333333337</v>
      </c>
      <c r="E60" t="s">
        <v>73</v>
      </c>
      <c r="F60" t="s">
        <v>74</v>
      </c>
      <c r="H60">
        <v>37.5</v>
      </c>
      <c r="I60">
        <v>28.3</v>
      </c>
      <c r="J60">
        <v>34.200000000000003</v>
      </c>
      <c r="K60">
        <v>65.8</v>
      </c>
      <c r="L60">
        <v>62.5</v>
      </c>
      <c r="M60">
        <v>71.7</v>
      </c>
      <c r="N60">
        <v>35.200000000000003</v>
      </c>
      <c r="O60">
        <v>44.3</v>
      </c>
      <c r="P60">
        <v>20.5</v>
      </c>
      <c r="Q60">
        <v>67.5</v>
      </c>
      <c r="R60">
        <v>77.7</v>
      </c>
      <c r="S60">
        <v>52.5</v>
      </c>
      <c r="T60">
        <v>47.5</v>
      </c>
      <c r="U60">
        <v>53.1</v>
      </c>
      <c r="V60">
        <v>57.7</v>
      </c>
      <c r="W60">
        <v>42.3</v>
      </c>
      <c r="X60" t="s">
        <v>73</v>
      </c>
      <c r="Y60" t="s">
        <v>74</v>
      </c>
      <c r="Z60" t="s">
        <v>2190</v>
      </c>
      <c r="AA60" t="s">
        <v>2133</v>
      </c>
      <c r="AB60" t="s">
        <v>2120</v>
      </c>
      <c r="AC60" t="s">
        <v>2119</v>
      </c>
      <c r="AD60" t="s">
        <v>2119</v>
      </c>
      <c r="AE60" t="s">
        <v>2120</v>
      </c>
      <c r="AF60" t="s">
        <v>2119</v>
      </c>
      <c r="AG60" t="s">
        <v>2120</v>
      </c>
      <c r="AH60" t="s">
        <v>2119</v>
      </c>
      <c r="AI60" t="s">
        <v>2120</v>
      </c>
      <c r="AJ60" t="s">
        <v>2119</v>
      </c>
      <c r="AK60" t="s">
        <v>2120</v>
      </c>
      <c r="AL60" t="s">
        <v>2120</v>
      </c>
      <c r="AM60" t="s">
        <v>2120</v>
      </c>
      <c r="AN60" t="s">
        <v>2119</v>
      </c>
      <c r="AO60" t="s">
        <v>2119</v>
      </c>
      <c r="AP60" t="s">
        <v>2120</v>
      </c>
      <c r="AQ60" t="s">
        <v>2119</v>
      </c>
    </row>
    <row r="61" spans="2:43" x14ac:dyDescent="0.2">
      <c r="B61" t="s">
        <v>468</v>
      </c>
      <c r="C61" t="s">
        <v>17</v>
      </c>
      <c r="D61">
        <v>0.89583333333333337</v>
      </c>
      <c r="E61" t="s">
        <v>75</v>
      </c>
      <c r="F61" t="s">
        <v>76</v>
      </c>
      <c r="H61">
        <v>47.6</v>
      </c>
      <c r="I61">
        <v>26</v>
      </c>
      <c r="J61">
        <v>26.4</v>
      </c>
      <c r="K61">
        <v>73.599999999999994</v>
      </c>
      <c r="L61">
        <v>52.4</v>
      </c>
      <c r="M61">
        <v>74</v>
      </c>
      <c r="N61">
        <v>30.7</v>
      </c>
      <c r="O61">
        <v>44.1</v>
      </c>
      <c r="P61">
        <v>25.3</v>
      </c>
      <c r="Q61">
        <v>68.8</v>
      </c>
      <c r="R61">
        <v>82.8</v>
      </c>
      <c r="S61">
        <v>60.2</v>
      </c>
      <c r="T61">
        <v>39.799999999999997</v>
      </c>
      <c r="U61">
        <v>45.8</v>
      </c>
      <c r="V61">
        <v>62.3</v>
      </c>
      <c r="W61">
        <v>37.700000000000003</v>
      </c>
      <c r="X61" t="s">
        <v>75</v>
      </c>
      <c r="Y61" t="s">
        <v>76</v>
      </c>
      <c r="Z61" t="s">
        <v>2191</v>
      </c>
      <c r="AA61" t="s">
        <v>459</v>
      </c>
      <c r="AB61" t="s">
        <v>2119</v>
      </c>
      <c r="AC61" t="s">
        <v>2120</v>
      </c>
      <c r="AD61" t="s">
        <v>2119</v>
      </c>
      <c r="AE61" t="s">
        <v>2120</v>
      </c>
      <c r="AF61" t="s">
        <v>2120</v>
      </c>
      <c r="AG61" t="s">
        <v>2119</v>
      </c>
      <c r="AH61" t="s">
        <v>2120</v>
      </c>
      <c r="AI61" t="s">
        <v>2119</v>
      </c>
      <c r="AJ61" t="s">
        <v>2119</v>
      </c>
      <c r="AK61" t="s">
        <v>2120</v>
      </c>
      <c r="AL61" t="s">
        <v>2120</v>
      </c>
      <c r="AM61" t="s">
        <v>2119</v>
      </c>
      <c r="AN61" t="s">
        <v>2120</v>
      </c>
      <c r="AO61" t="s">
        <v>2120</v>
      </c>
      <c r="AP61" t="s">
        <v>2120</v>
      </c>
      <c r="AQ61" t="s">
        <v>2119</v>
      </c>
    </row>
    <row r="62" spans="2:43" x14ac:dyDescent="0.2">
      <c r="B62" t="s">
        <v>468</v>
      </c>
      <c r="C62" t="s">
        <v>17</v>
      </c>
      <c r="D62">
        <v>0.89583333333333337</v>
      </c>
      <c r="E62" t="s">
        <v>77</v>
      </c>
      <c r="F62" t="s">
        <v>78</v>
      </c>
      <c r="H62">
        <v>61.5</v>
      </c>
      <c r="I62">
        <v>23.2</v>
      </c>
      <c r="J62">
        <v>15.3</v>
      </c>
      <c r="K62">
        <v>84.7</v>
      </c>
      <c r="L62">
        <v>38.5</v>
      </c>
      <c r="M62">
        <v>76.8</v>
      </c>
      <c r="N62">
        <v>41.4</v>
      </c>
      <c r="O62">
        <v>37.1</v>
      </c>
      <c r="P62">
        <v>21.5</v>
      </c>
      <c r="Q62">
        <v>78.099999999999994</v>
      </c>
      <c r="R62">
        <v>83.5</v>
      </c>
      <c r="S62">
        <v>61.6</v>
      </c>
      <c r="T62">
        <v>38.4</v>
      </c>
      <c r="U62">
        <v>46.4</v>
      </c>
      <c r="V62">
        <v>57.5</v>
      </c>
      <c r="W62">
        <v>42.5</v>
      </c>
      <c r="X62" t="s">
        <v>863</v>
      </c>
      <c r="Y62" t="s">
        <v>864</v>
      </c>
      <c r="Z62" t="s">
        <v>2192</v>
      </c>
      <c r="AA62" t="s">
        <v>453</v>
      </c>
      <c r="AB62" t="s">
        <v>2120</v>
      </c>
      <c r="AC62" t="s">
        <v>2119</v>
      </c>
      <c r="AD62" t="s">
        <v>2119</v>
      </c>
      <c r="AE62" t="s">
        <v>2120</v>
      </c>
      <c r="AF62" t="s">
        <v>2119</v>
      </c>
      <c r="AG62" t="s">
        <v>2120</v>
      </c>
      <c r="AH62" t="s">
        <v>2119</v>
      </c>
      <c r="AI62" t="s">
        <v>2120</v>
      </c>
      <c r="AJ62" t="s">
        <v>2119</v>
      </c>
      <c r="AK62" t="s">
        <v>2119</v>
      </c>
      <c r="AL62" t="s">
        <v>2119</v>
      </c>
      <c r="AM62" t="s">
        <v>2119</v>
      </c>
      <c r="AN62" t="s">
        <v>2120</v>
      </c>
      <c r="AO62" t="s">
        <v>2120</v>
      </c>
      <c r="AP62" t="s">
        <v>2119</v>
      </c>
      <c r="AQ62" t="s">
        <v>2120</v>
      </c>
    </row>
    <row r="63" spans="2:43" x14ac:dyDescent="0.2">
      <c r="B63" t="s">
        <v>468</v>
      </c>
      <c r="C63" t="s">
        <v>17</v>
      </c>
      <c r="D63">
        <v>0.89583333333333337</v>
      </c>
      <c r="E63" t="s">
        <v>79</v>
      </c>
      <c r="F63" t="s">
        <v>80</v>
      </c>
      <c r="H63">
        <v>30.7</v>
      </c>
      <c r="I63">
        <v>27.4</v>
      </c>
      <c r="J63">
        <v>41.9</v>
      </c>
      <c r="K63">
        <v>58.1</v>
      </c>
      <c r="L63">
        <v>69.3</v>
      </c>
      <c r="M63">
        <v>72.599999999999994</v>
      </c>
      <c r="N63">
        <v>29.3</v>
      </c>
      <c r="O63">
        <v>38.4</v>
      </c>
      <c r="P63">
        <v>32.299999999999997</v>
      </c>
      <c r="Q63">
        <v>77.8</v>
      </c>
      <c r="R63">
        <v>81.3</v>
      </c>
      <c r="S63">
        <v>57.9</v>
      </c>
      <c r="T63">
        <v>42.1</v>
      </c>
      <c r="U63">
        <v>47.8</v>
      </c>
      <c r="V63">
        <v>61.4</v>
      </c>
      <c r="W63">
        <v>38.6</v>
      </c>
      <c r="X63" t="s">
        <v>79</v>
      </c>
      <c r="Y63" t="s">
        <v>865</v>
      </c>
      <c r="Z63" t="s">
        <v>2193</v>
      </c>
      <c r="AA63" t="s">
        <v>462</v>
      </c>
      <c r="AB63" t="s">
        <v>2120</v>
      </c>
      <c r="AC63" t="s">
        <v>2119</v>
      </c>
      <c r="AD63" t="s">
        <v>2119</v>
      </c>
      <c r="AE63" t="s">
        <v>2120</v>
      </c>
      <c r="AF63" t="s">
        <v>2119</v>
      </c>
      <c r="AG63" t="s">
        <v>2120</v>
      </c>
      <c r="AH63" t="s">
        <v>2120</v>
      </c>
      <c r="AI63" t="s">
        <v>2119</v>
      </c>
      <c r="AJ63" t="s">
        <v>2119</v>
      </c>
      <c r="AK63" t="s">
        <v>2120</v>
      </c>
      <c r="AL63" t="s">
        <v>2120</v>
      </c>
      <c r="AM63" t="s">
        <v>2120</v>
      </c>
      <c r="AN63" t="s">
        <v>2119</v>
      </c>
      <c r="AO63" t="s">
        <v>2120</v>
      </c>
      <c r="AP63" t="s">
        <v>2120</v>
      </c>
      <c r="AQ63" t="s">
        <v>2119</v>
      </c>
    </row>
    <row r="64" spans="2:43" x14ac:dyDescent="0.2">
      <c r="B64" t="s">
        <v>467</v>
      </c>
      <c r="C64" t="s">
        <v>17</v>
      </c>
      <c r="D64">
        <v>0.91666666666666663</v>
      </c>
      <c r="E64" t="s">
        <v>81</v>
      </c>
      <c r="F64" t="s">
        <v>82</v>
      </c>
      <c r="H64">
        <v>50</v>
      </c>
      <c r="I64">
        <v>25.8</v>
      </c>
      <c r="J64">
        <v>24.1</v>
      </c>
      <c r="K64">
        <v>75.900000000000006</v>
      </c>
      <c r="L64">
        <v>50</v>
      </c>
      <c r="M64">
        <v>74.2</v>
      </c>
      <c r="N64">
        <v>32.1</v>
      </c>
      <c r="O64">
        <v>45.3</v>
      </c>
      <c r="P64">
        <v>22.6</v>
      </c>
      <c r="Q64">
        <v>66.599999999999994</v>
      </c>
      <c r="R64">
        <v>82</v>
      </c>
      <c r="S64">
        <v>58.9</v>
      </c>
      <c r="T64">
        <v>41.1</v>
      </c>
      <c r="U64">
        <v>47.4</v>
      </c>
      <c r="V64">
        <v>60.5</v>
      </c>
      <c r="W64">
        <v>39.5</v>
      </c>
      <c r="X64" t="s">
        <v>1882</v>
      </c>
      <c r="Y64" t="s">
        <v>82</v>
      </c>
      <c r="Z64" t="s">
        <v>2194</v>
      </c>
      <c r="AA64" t="s">
        <v>2128</v>
      </c>
      <c r="AB64" t="s">
        <v>2120</v>
      </c>
      <c r="AC64" t="s">
        <v>2119</v>
      </c>
      <c r="AD64" t="s">
        <v>2119</v>
      </c>
      <c r="AE64" t="s">
        <v>2120</v>
      </c>
      <c r="AF64" t="s">
        <v>2119</v>
      </c>
      <c r="AG64" t="s">
        <v>2120</v>
      </c>
      <c r="AH64" t="s">
        <v>2119</v>
      </c>
      <c r="AI64" t="s">
        <v>2120</v>
      </c>
      <c r="AJ64" t="s">
        <v>2119</v>
      </c>
      <c r="AK64" t="s">
        <v>2119</v>
      </c>
      <c r="AL64" t="s">
        <v>2120</v>
      </c>
      <c r="AM64" t="s">
        <v>2119</v>
      </c>
      <c r="AN64" t="s">
        <v>2120</v>
      </c>
      <c r="AO64" t="s">
        <v>2120</v>
      </c>
      <c r="AP64" t="s">
        <v>2119</v>
      </c>
      <c r="AQ64" t="s">
        <v>2120</v>
      </c>
    </row>
    <row r="65" spans="2:43" x14ac:dyDescent="0.2">
      <c r="B65" t="s">
        <v>466</v>
      </c>
      <c r="C65" t="s">
        <v>17</v>
      </c>
      <c r="D65">
        <v>0.91666666666666663</v>
      </c>
      <c r="E65" t="s">
        <v>83</v>
      </c>
      <c r="F65" t="s">
        <v>84</v>
      </c>
      <c r="H65">
        <v>25</v>
      </c>
      <c r="I65">
        <v>26.7</v>
      </c>
      <c r="J65">
        <v>48.3</v>
      </c>
      <c r="K65">
        <v>51.7</v>
      </c>
      <c r="L65">
        <v>75</v>
      </c>
      <c r="M65">
        <v>73.3</v>
      </c>
      <c r="N65">
        <v>17.600000000000001</v>
      </c>
      <c r="O65">
        <v>41.5</v>
      </c>
      <c r="P65">
        <v>40.9</v>
      </c>
      <c r="Q65">
        <v>71.3</v>
      </c>
      <c r="R65">
        <v>82.6</v>
      </c>
      <c r="S65">
        <v>60</v>
      </c>
      <c r="T65">
        <v>40</v>
      </c>
      <c r="U65">
        <v>46.2</v>
      </c>
      <c r="V65">
        <v>61.7</v>
      </c>
      <c r="W65">
        <v>38.299999999999997</v>
      </c>
      <c r="X65" t="s">
        <v>83</v>
      </c>
      <c r="Y65" t="s">
        <v>84</v>
      </c>
      <c r="Z65" t="s">
        <v>2195</v>
      </c>
      <c r="AA65" t="s">
        <v>2186</v>
      </c>
      <c r="AB65" t="s">
        <v>2119</v>
      </c>
      <c r="AC65" t="s">
        <v>2119</v>
      </c>
      <c r="AD65" t="s">
        <v>2120</v>
      </c>
      <c r="AE65" t="s">
        <v>2119</v>
      </c>
      <c r="AF65" t="s">
        <v>2120</v>
      </c>
      <c r="AG65" t="s">
        <v>2120</v>
      </c>
      <c r="AH65" t="s">
        <v>2119</v>
      </c>
      <c r="AI65" t="s">
        <v>2119</v>
      </c>
      <c r="AJ65" t="s">
        <v>2120</v>
      </c>
      <c r="AK65" t="s">
        <v>2120</v>
      </c>
      <c r="AL65" t="s">
        <v>2120</v>
      </c>
      <c r="AM65" t="s">
        <v>2120</v>
      </c>
      <c r="AN65" t="s">
        <v>2119</v>
      </c>
      <c r="AO65" t="s">
        <v>2119</v>
      </c>
      <c r="AP65" t="s">
        <v>2119</v>
      </c>
      <c r="AQ65" t="s">
        <v>2120</v>
      </c>
    </row>
    <row r="66" spans="2:43" x14ac:dyDescent="0.2">
      <c r="B66" t="s">
        <v>468</v>
      </c>
      <c r="C66" t="s">
        <v>17</v>
      </c>
      <c r="D66">
        <v>0.9375</v>
      </c>
      <c r="E66" t="s">
        <v>85</v>
      </c>
      <c r="F66" t="s">
        <v>86</v>
      </c>
      <c r="H66">
        <v>47.7</v>
      </c>
      <c r="I66">
        <v>25.2</v>
      </c>
      <c r="J66">
        <v>27.1</v>
      </c>
      <c r="K66">
        <v>72.900000000000006</v>
      </c>
      <c r="L66">
        <v>52.3</v>
      </c>
      <c r="M66">
        <v>74.8</v>
      </c>
      <c r="N66">
        <v>40</v>
      </c>
      <c r="O66">
        <v>34.5</v>
      </c>
      <c r="P66">
        <v>25.5</v>
      </c>
      <c r="Q66">
        <v>83</v>
      </c>
      <c r="R66">
        <v>87.4</v>
      </c>
      <c r="S66">
        <v>68.099999999999994</v>
      </c>
      <c r="T66">
        <v>31.9</v>
      </c>
      <c r="U66">
        <v>37.700000000000003</v>
      </c>
      <c r="V66">
        <v>68.5</v>
      </c>
      <c r="W66">
        <v>31.5</v>
      </c>
      <c r="X66" t="s">
        <v>85</v>
      </c>
      <c r="Y66" t="s">
        <v>86</v>
      </c>
      <c r="Z66" t="s">
        <v>2196</v>
      </c>
      <c r="AA66" t="s">
        <v>453</v>
      </c>
      <c r="AB66" t="s">
        <v>2120</v>
      </c>
      <c r="AC66" t="s">
        <v>2119</v>
      </c>
      <c r="AD66" t="s">
        <v>2119</v>
      </c>
      <c r="AE66" t="s">
        <v>2120</v>
      </c>
      <c r="AF66" t="s">
        <v>2119</v>
      </c>
      <c r="AG66" t="s">
        <v>2120</v>
      </c>
      <c r="AH66" t="s">
        <v>2119</v>
      </c>
      <c r="AI66" t="s">
        <v>2120</v>
      </c>
      <c r="AJ66" t="s">
        <v>2119</v>
      </c>
      <c r="AK66" t="s">
        <v>2119</v>
      </c>
      <c r="AL66" t="s">
        <v>2119</v>
      </c>
      <c r="AM66" t="s">
        <v>2119</v>
      </c>
      <c r="AN66" t="s">
        <v>2120</v>
      </c>
      <c r="AO66" t="s">
        <v>2120</v>
      </c>
      <c r="AP66" t="s">
        <v>2119</v>
      </c>
      <c r="AQ66" t="s">
        <v>2120</v>
      </c>
    </row>
    <row r="67" spans="2:43" x14ac:dyDescent="0.2">
      <c r="B67" t="s">
        <v>468</v>
      </c>
      <c r="C67" t="s">
        <v>17</v>
      </c>
      <c r="D67">
        <v>0.97916666666666663</v>
      </c>
      <c r="E67" t="s">
        <v>87</v>
      </c>
      <c r="F67" t="s">
        <v>88</v>
      </c>
      <c r="H67">
        <v>45</v>
      </c>
      <c r="I67">
        <v>27.3</v>
      </c>
      <c r="J67">
        <v>27.7</v>
      </c>
      <c r="K67">
        <v>72.3</v>
      </c>
      <c r="L67">
        <v>55</v>
      </c>
      <c r="M67">
        <v>72.7</v>
      </c>
      <c r="N67">
        <v>30.8</v>
      </c>
      <c r="O67">
        <v>45</v>
      </c>
      <c r="P67">
        <v>24.2</v>
      </c>
      <c r="Q67">
        <v>67.3</v>
      </c>
      <c r="R67">
        <v>78.8</v>
      </c>
      <c r="S67">
        <v>54.1</v>
      </c>
      <c r="T67">
        <v>45.9</v>
      </c>
      <c r="U67">
        <v>51.8</v>
      </c>
      <c r="V67">
        <v>58</v>
      </c>
      <c r="W67">
        <v>42</v>
      </c>
      <c r="X67" t="s">
        <v>87</v>
      </c>
      <c r="Y67" t="s">
        <v>866</v>
      </c>
      <c r="Z67" t="s">
        <v>2197</v>
      </c>
      <c r="AA67" t="s">
        <v>2118</v>
      </c>
      <c r="AB67" t="s">
        <v>2119</v>
      </c>
      <c r="AC67" t="s">
        <v>2119</v>
      </c>
      <c r="AD67" t="s">
        <v>2120</v>
      </c>
      <c r="AE67" t="s">
        <v>2119</v>
      </c>
      <c r="AF67" t="s">
        <v>2120</v>
      </c>
      <c r="AG67" t="s">
        <v>2120</v>
      </c>
      <c r="AH67" t="s">
        <v>2119</v>
      </c>
      <c r="AI67" t="s">
        <v>2119</v>
      </c>
      <c r="AJ67" t="s">
        <v>2120</v>
      </c>
      <c r="AK67" t="s">
        <v>2120</v>
      </c>
      <c r="AL67" t="s">
        <v>2120</v>
      </c>
      <c r="AM67" t="s">
        <v>2120</v>
      </c>
      <c r="AN67" t="s">
        <v>2119</v>
      </c>
      <c r="AO67" t="s">
        <v>2119</v>
      </c>
      <c r="AP67" t="s">
        <v>2120</v>
      </c>
      <c r="AQ67" t="s">
        <v>2119</v>
      </c>
    </row>
    <row r="68" spans="2:43" x14ac:dyDescent="0.2">
      <c r="B68" t="s">
        <v>468</v>
      </c>
      <c r="C68" t="s">
        <v>17</v>
      </c>
      <c r="D68">
        <v>0.97916666666666663</v>
      </c>
      <c r="E68" t="s">
        <v>89</v>
      </c>
      <c r="F68" t="s">
        <v>90</v>
      </c>
      <c r="H68">
        <v>47.4</v>
      </c>
      <c r="I68">
        <v>26.5</v>
      </c>
      <c r="J68">
        <v>26.1</v>
      </c>
      <c r="K68">
        <v>73.900000000000006</v>
      </c>
      <c r="L68">
        <v>52.6</v>
      </c>
      <c r="M68">
        <v>73.5</v>
      </c>
      <c r="N68">
        <v>30.8</v>
      </c>
      <c r="O68">
        <v>40.9</v>
      </c>
      <c r="P68">
        <v>28.3</v>
      </c>
      <c r="Q68">
        <v>73.900000000000006</v>
      </c>
      <c r="R68">
        <v>80.7</v>
      </c>
      <c r="S68">
        <v>57</v>
      </c>
      <c r="T68">
        <v>43</v>
      </c>
      <c r="U68">
        <v>49.1</v>
      </c>
      <c r="V68">
        <v>59.8</v>
      </c>
      <c r="W68">
        <v>40.200000000000003</v>
      </c>
      <c r="X68" t="s">
        <v>89</v>
      </c>
      <c r="Y68" t="s">
        <v>90</v>
      </c>
      <c r="Z68" t="s">
        <v>2198</v>
      </c>
      <c r="AA68" t="s">
        <v>2133</v>
      </c>
      <c r="AB68" t="s">
        <v>2120</v>
      </c>
      <c r="AC68" t="s">
        <v>2119</v>
      </c>
      <c r="AD68" t="s">
        <v>2119</v>
      </c>
      <c r="AE68" t="s">
        <v>2120</v>
      </c>
      <c r="AF68" t="s">
        <v>2119</v>
      </c>
      <c r="AG68" t="s">
        <v>2120</v>
      </c>
      <c r="AH68" t="s">
        <v>2120</v>
      </c>
      <c r="AI68" t="s">
        <v>2119</v>
      </c>
      <c r="AJ68" t="s">
        <v>2119</v>
      </c>
      <c r="AK68" t="s">
        <v>2120</v>
      </c>
      <c r="AL68" t="s">
        <v>2120</v>
      </c>
      <c r="AM68" t="s">
        <v>2120</v>
      </c>
      <c r="AN68" t="s">
        <v>2119</v>
      </c>
      <c r="AO68" t="s">
        <v>2119</v>
      </c>
      <c r="AP68" t="s">
        <v>2120</v>
      </c>
      <c r="AQ68" t="s">
        <v>2119</v>
      </c>
    </row>
    <row r="69" spans="2:43" x14ac:dyDescent="0.2">
      <c r="B69" t="s">
        <v>468</v>
      </c>
      <c r="C69" t="s">
        <v>17</v>
      </c>
      <c r="D69">
        <v>0.97916666666666663</v>
      </c>
      <c r="E69" t="s">
        <v>91</v>
      </c>
      <c r="F69" t="s">
        <v>92</v>
      </c>
      <c r="H69">
        <v>40</v>
      </c>
      <c r="I69">
        <v>25.6</v>
      </c>
      <c r="J69">
        <v>34.299999999999997</v>
      </c>
      <c r="K69">
        <v>65.7</v>
      </c>
      <c r="L69">
        <v>60</v>
      </c>
      <c r="M69">
        <v>74.400000000000006</v>
      </c>
      <c r="N69">
        <v>38.5</v>
      </c>
      <c r="O69">
        <v>32.200000000000003</v>
      </c>
      <c r="P69">
        <v>29.3</v>
      </c>
      <c r="Q69">
        <v>86.9</v>
      </c>
      <c r="R69">
        <v>88.4</v>
      </c>
      <c r="S69">
        <v>69.8</v>
      </c>
      <c r="T69">
        <v>30.2</v>
      </c>
      <c r="U69">
        <v>35.5</v>
      </c>
      <c r="V69">
        <v>70.900000000000006</v>
      </c>
      <c r="W69">
        <v>29.1</v>
      </c>
      <c r="X69" t="s">
        <v>91</v>
      </c>
      <c r="Y69" t="s">
        <v>867</v>
      </c>
      <c r="Z69" t="s">
        <v>2199</v>
      </c>
      <c r="AA69" t="s">
        <v>2123</v>
      </c>
      <c r="AB69" t="s">
        <v>2119</v>
      </c>
      <c r="AC69" t="s">
        <v>2120</v>
      </c>
      <c r="AD69" t="s">
        <v>2119</v>
      </c>
      <c r="AE69" t="s">
        <v>2120</v>
      </c>
      <c r="AF69" t="s">
        <v>2120</v>
      </c>
      <c r="AG69" t="s">
        <v>2119</v>
      </c>
      <c r="AH69" t="s">
        <v>2119</v>
      </c>
      <c r="AI69" t="s">
        <v>2119</v>
      </c>
      <c r="AJ69" t="s">
        <v>2120</v>
      </c>
      <c r="AK69" t="s">
        <v>2120</v>
      </c>
      <c r="AL69" t="s">
        <v>2120</v>
      </c>
      <c r="AM69" t="s">
        <v>2120</v>
      </c>
      <c r="AN69" t="s">
        <v>2119</v>
      </c>
      <c r="AO69" t="s">
        <v>2119</v>
      </c>
      <c r="AP69" t="s">
        <v>2120</v>
      </c>
      <c r="AQ69" t="s">
        <v>2119</v>
      </c>
    </row>
    <row r="70" spans="2:43" x14ac:dyDescent="0.2">
      <c r="B70" t="s">
        <v>468</v>
      </c>
      <c r="C70" t="s">
        <v>17</v>
      </c>
      <c r="D70">
        <v>0.97916666666666663</v>
      </c>
      <c r="E70" t="s">
        <v>93</v>
      </c>
      <c r="F70" t="s">
        <v>94</v>
      </c>
      <c r="H70">
        <v>66.2</v>
      </c>
      <c r="I70">
        <v>22.6</v>
      </c>
      <c r="J70">
        <v>11.2</v>
      </c>
      <c r="K70">
        <v>88.8</v>
      </c>
      <c r="L70">
        <v>33.799999999999997</v>
      </c>
      <c r="M70">
        <v>77.400000000000006</v>
      </c>
      <c r="N70">
        <v>54.6</v>
      </c>
      <c r="O70">
        <v>31</v>
      </c>
      <c r="P70">
        <v>14.4</v>
      </c>
      <c r="Q70">
        <v>83.2</v>
      </c>
      <c r="R70">
        <v>91.2</v>
      </c>
      <c r="S70">
        <v>75.8</v>
      </c>
      <c r="T70">
        <v>24.2</v>
      </c>
      <c r="U70">
        <v>32.1</v>
      </c>
      <c r="V70">
        <v>65.8</v>
      </c>
      <c r="W70">
        <v>34.200000000000003</v>
      </c>
      <c r="X70" t="s">
        <v>93</v>
      </c>
      <c r="Y70" t="s">
        <v>868</v>
      </c>
      <c r="Z70" t="s">
        <v>2200</v>
      </c>
      <c r="AA70" t="s">
        <v>2186</v>
      </c>
      <c r="AB70" t="s">
        <v>2119</v>
      </c>
      <c r="AC70" t="s">
        <v>2119</v>
      </c>
      <c r="AD70" t="s">
        <v>2120</v>
      </c>
      <c r="AE70" t="s">
        <v>2119</v>
      </c>
      <c r="AF70" t="s">
        <v>2120</v>
      </c>
      <c r="AG70" t="s">
        <v>2120</v>
      </c>
      <c r="AH70" t="s">
        <v>2119</v>
      </c>
      <c r="AI70" t="s">
        <v>2119</v>
      </c>
      <c r="AJ70" t="s">
        <v>2120</v>
      </c>
      <c r="AK70" t="s">
        <v>2120</v>
      </c>
      <c r="AL70" t="s">
        <v>2120</v>
      </c>
      <c r="AM70" t="s">
        <v>2120</v>
      </c>
      <c r="AN70" t="s">
        <v>2119</v>
      </c>
      <c r="AO70" t="s">
        <v>2119</v>
      </c>
      <c r="AP70" t="s">
        <v>2119</v>
      </c>
      <c r="AQ70" t="s">
        <v>2120</v>
      </c>
    </row>
    <row r="71" spans="2:43" x14ac:dyDescent="0.2">
      <c r="B71" t="s">
        <v>466</v>
      </c>
      <c r="C71" t="s">
        <v>95</v>
      </c>
      <c r="D71">
        <v>0.5</v>
      </c>
      <c r="E71" t="s">
        <v>96</v>
      </c>
      <c r="F71" t="s">
        <v>97</v>
      </c>
      <c r="H71">
        <v>44.3</v>
      </c>
      <c r="I71">
        <v>27.3</v>
      </c>
      <c r="J71">
        <v>28.4</v>
      </c>
      <c r="K71">
        <v>71.599999999999994</v>
      </c>
      <c r="L71">
        <v>55.7</v>
      </c>
      <c r="M71">
        <v>72.7</v>
      </c>
      <c r="N71">
        <v>21.9</v>
      </c>
      <c r="O71">
        <v>45.3</v>
      </c>
      <c r="P71">
        <v>32.799999999999997</v>
      </c>
      <c r="Q71">
        <v>66.7</v>
      </c>
      <c r="R71">
        <v>79.2</v>
      </c>
      <c r="S71">
        <v>54.7</v>
      </c>
      <c r="T71">
        <v>45.3</v>
      </c>
      <c r="U71">
        <v>51.2</v>
      </c>
      <c r="V71">
        <v>58.6</v>
      </c>
      <c r="W71">
        <v>41.4</v>
      </c>
      <c r="X71" t="s">
        <v>96</v>
      </c>
      <c r="Y71" t="s">
        <v>2071</v>
      </c>
      <c r="Z71" t="s">
        <v>2201</v>
      </c>
      <c r="AA71" t="s">
        <v>2165</v>
      </c>
      <c r="AB71" t="s">
        <v>2120</v>
      </c>
      <c r="AC71" t="s">
        <v>2119</v>
      </c>
      <c r="AD71" t="s">
        <v>2119</v>
      </c>
      <c r="AE71" t="s">
        <v>2120</v>
      </c>
      <c r="AF71" t="s">
        <v>2119</v>
      </c>
      <c r="AG71" t="s">
        <v>2120</v>
      </c>
      <c r="AH71" t="s">
        <v>2120</v>
      </c>
      <c r="AI71" t="s">
        <v>2119</v>
      </c>
      <c r="AJ71" t="s">
        <v>2119</v>
      </c>
      <c r="AK71" t="s">
        <v>2120</v>
      </c>
      <c r="AL71" t="s">
        <v>2120</v>
      </c>
      <c r="AM71" t="s">
        <v>2120</v>
      </c>
      <c r="AN71" t="s">
        <v>2119</v>
      </c>
      <c r="AO71" t="s">
        <v>2120</v>
      </c>
      <c r="AP71" t="s">
        <v>2119</v>
      </c>
      <c r="AQ71" t="s">
        <v>2120</v>
      </c>
    </row>
    <row r="72" spans="2:43" x14ac:dyDescent="0.2">
      <c r="B72" t="s">
        <v>469</v>
      </c>
      <c r="C72" t="s">
        <v>95</v>
      </c>
      <c r="D72">
        <v>0.67708333333333337</v>
      </c>
      <c r="E72" t="s">
        <v>98</v>
      </c>
      <c r="F72" t="s">
        <v>99</v>
      </c>
      <c r="H72">
        <v>33.200000000000003</v>
      </c>
      <c r="I72">
        <v>28.2</v>
      </c>
      <c r="J72">
        <v>38.6</v>
      </c>
      <c r="K72">
        <v>61.4</v>
      </c>
      <c r="L72">
        <v>66.8</v>
      </c>
      <c r="M72">
        <v>71.8</v>
      </c>
      <c r="N72">
        <v>25</v>
      </c>
      <c r="O72">
        <v>45.6</v>
      </c>
      <c r="P72">
        <v>29.4</v>
      </c>
      <c r="Q72">
        <v>66.599999999999994</v>
      </c>
      <c r="R72">
        <v>78.599999999999994</v>
      </c>
      <c r="S72">
        <v>53.8</v>
      </c>
      <c r="T72">
        <v>46.2</v>
      </c>
      <c r="U72">
        <v>51.8</v>
      </c>
      <c r="V72">
        <v>58.6</v>
      </c>
      <c r="W72">
        <v>41.4</v>
      </c>
      <c r="X72" t="s">
        <v>98</v>
      </c>
      <c r="Y72" t="s">
        <v>2045</v>
      </c>
      <c r="Z72" t="s">
        <v>2202</v>
      </c>
      <c r="AA72" t="s">
        <v>2203</v>
      </c>
      <c r="AB72" t="s">
        <v>2119</v>
      </c>
      <c r="AC72" t="s">
        <v>2119</v>
      </c>
      <c r="AD72" t="s">
        <v>2120</v>
      </c>
      <c r="AE72" t="s">
        <v>2119</v>
      </c>
      <c r="AF72" t="s">
        <v>2120</v>
      </c>
      <c r="AG72" t="s">
        <v>2120</v>
      </c>
      <c r="AH72" t="s">
        <v>2119</v>
      </c>
      <c r="AI72" t="s">
        <v>2119</v>
      </c>
      <c r="AJ72" t="s">
        <v>2120</v>
      </c>
      <c r="AK72" t="s">
        <v>2120</v>
      </c>
      <c r="AL72" t="s">
        <v>2120</v>
      </c>
      <c r="AM72" t="s">
        <v>2120</v>
      </c>
      <c r="AN72" t="s">
        <v>2119</v>
      </c>
      <c r="AO72" t="s">
        <v>2119</v>
      </c>
      <c r="AP72" t="s">
        <v>2120</v>
      </c>
      <c r="AQ72" t="s">
        <v>2119</v>
      </c>
    </row>
    <row r="73" spans="2:43" x14ac:dyDescent="0.2">
      <c r="B73" t="s">
        <v>452</v>
      </c>
      <c r="C73" t="s">
        <v>95</v>
      </c>
      <c r="D73">
        <v>0.77083333333333337</v>
      </c>
      <c r="E73" t="s">
        <v>100</v>
      </c>
      <c r="F73" t="s">
        <v>101</v>
      </c>
      <c r="H73">
        <v>45.3</v>
      </c>
      <c r="I73">
        <v>31.8</v>
      </c>
      <c r="J73">
        <v>22.9</v>
      </c>
      <c r="K73">
        <v>77.099999999999994</v>
      </c>
      <c r="L73">
        <v>54.7</v>
      </c>
      <c r="M73">
        <v>68.2</v>
      </c>
      <c r="N73">
        <v>40.200000000000003</v>
      </c>
      <c r="O73">
        <v>45.8</v>
      </c>
      <c r="P73">
        <v>14</v>
      </c>
      <c r="Q73">
        <v>63.2</v>
      </c>
      <c r="R73">
        <v>61.5</v>
      </c>
      <c r="S73">
        <v>33.200000000000003</v>
      </c>
      <c r="T73">
        <v>66.8</v>
      </c>
      <c r="U73">
        <v>72.099999999999994</v>
      </c>
      <c r="V73">
        <v>40.299999999999997</v>
      </c>
      <c r="W73">
        <v>59.7</v>
      </c>
      <c r="X73" t="s">
        <v>2000</v>
      </c>
      <c r="Y73" t="s">
        <v>101</v>
      </c>
      <c r="Z73" t="s">
        <v>2204</v>
      </c>
      <c r="AA73" t="s">
        <v>459</v>
      </c>
      <c r="AB73" t="s">
        <v>2119</v>
      </c>
      <c r="AC73" t="s">
        <v>2120</v>
      </c>
      <c r="AD73" t="s">
        <v>2119</v>
      </c>
      <c r="AE73" t="s">
        <v>2120</v>
      </c>
      <c r="AF73" t="s">
        <v>2120</v>
      </c>
      <c r="AG73" t="s">
        <v>2119</v>
      </c>
      <c r="AH73" t="s">
        <v>2119</v>
      </c>
      <c r="AI73" t="s">
        <v>2119</v>
      </c>
      <c r="AJ73" t="s">
        <v>2120</v>
      </c>
      <c r="AK73" t="s">
        <v>2120</v>
      </c>
      <c r="AL73" t="s">
        <v>2120</v>
      </c>
      <c r="AM73" t="s">
        <v>2119</v>
      </c>
      <c r="AN73" t="s">
        <v>2120</v>
      </c>
      <c r="AO73" t="s">
        <v>2120</v>
      </c>
      <c r="AP73" t="s">
        <v>2120</v>
      </c>
      <c r="AQ73" t="s">
        <v>2119</v>
      </c>
    </row>
    <row r="74" spans="2:43" x14ac:dyDescent="0.2">
      <c r="B74" t="s">
        <v>452</v>
      </c>
      <c r="C74" t="s">
        <v>95</v>
      </c>
      <c r="D74">
        <v>0.77083333333333337</v>
      </c>
      <c r="E74" t="s">
        <v>102</v>
      </c>
      <c r="F74" t="s">
        <v>103</v>
      </c>
      <c r="H74">
        <v>35.700000000000003</v>
      </c>
      <c r="I74">
        <v>31.5</v>
      </c>
      <c r="J74">
        <v>32.700000000000003</v>
      </c>
      <c r="K74">
        <v>67.3</v>
      </c>
      <c r="L74">
        <v>64.3</v>
      </c>
      <c r="M74">
        <v>68.5</v>
      </c>
      <c r="N74">
        <v>28.3</v>
      </c>
      <c r="O74">
        <v>47.6</v>
      </c>
      <c r="P74">
        <v>24.1</v>
      </c>
      <c r="Q74">
        <v>63.3</v>
      </c>
      <c r="R74">
        <v>67.099999999999994</v>
      </c>
      <c r="S74">
        <v>39.1</v>
      </c>
      <c r="T74">
        <v>60.9</v>
      </c>
      <c r="U74">
        <v>65.900000000000006</v>
      </c>
      <c r="V74">
        <v>47</v>
      </c>
      <c r="W74">
        <v>53</v>
      </c>
      <c r="X74" t="s">
        <v>300</v>
      </c>
      <c r="Y74" t="s">
        <v>2001</v>
      </c>
      <c r="Z74" t="s">
        <v>2205</v>
      </c>
      <c r="AA74" t="s">
        <v>462</v>
      </c>
      <c r="AB74" t="s">
        <v>2120</v>
      </c>
      <c r="AC74" t="s">
        <v>2119</v>
      </c>
      <c r="AD74" t="s">
        <v>2119</v>
      </c>
      <c r="AE74" t="s">
        <v>2120</v>
      </c>
      <c r="AF74" t="s">
        <v>2119</v>
      </c>
      <c r="AG74" t="s">
        <v>2120</v>
      </c>
      <c r="AH74" t="s">
        <v>2119</v>
      </c>
      <c r="AI74" t="s">
        <v>2120</v>
      </c>
      <c r="AJ74" t="s">
        <v>2119</v>
      </c>
      <c r="AK74" t="s">
        <v>2120</v>
      </c>
      <c r="AL74" t="s">
        <v>2120</v>
      </c>
      <c r="AM74" t="s">
        <v>2120</v>
      </c>
      <c r="AN74" t="s">
        <v>2119</v>
      </c>
      <c r="AO74" t="s">
        <v>2120</v>
      </c>
      <c r="AP74" t="s">
        <v>2120</v>
      </c>
      <c r="AQ74" t="s">
        <v>2119</v>
      </c>
    </row>
    <row r="75" spans="2:43" x14ac:dyDescent="0.2">
      <c r="B75" t="s">
        <v>470</v>
      </c>
      <c r="C75" t="s">
        <v>95</v>
      </c>
      <c r="D75">
        <v>0.8125</v>
      </c>
      <c r="E75" t="s">
        <v>104</v>
      </c>
      <c r="F75" t="s">
        <v>105</v>
      </c>
      <c r="H75">
        <v>43.5</v>
      </c>
      <c r="I75">
        <v>31.4</v>
      </c>
      <c r="J75">
        <v>25.1</v>
      </c>
      <c r="K75">
        <v>74.900000000000006</v>
      </c>
      <c r="L75">
        <v>56.5</v>
      </c>
      <c r="M75">
        <v>68.599999999999994</v>
      </c>
      <c r="N75">
        <v>26.7</v>
      </c>
      <c r="O75">
        <v>51.7</v>
      </c>
      <c r="P75">
        <v>21.6</v>
      </c>
      <c r="Q75">
        <v>57.4</v>
      </c>
      <c r="R75">
        <v>64.2</v>
      </c>
      <c r="S75">
        <v>36</v>
      </c>
      <c r="T75">
        <v>64</v>
      </c>
      <c r="U75">
        <v>69.3</v>
      </c>
      <c r="V75">
        <v>43.2</v>
      </c>
      <c r="W75">
        <v>56.8</v>
      </c>
      <c r="X75" t="s">
        <v>1973</v>
      </c>
      <c r="Y75" t="s">
        <v>105</v>
      </c>
      <c r="Z75" t="s">
        <v>2206</v>
      </c>
      <c r="AA75" t="s">
        <v>462</v>
      </c>
      <c r="AB75" t="s">
        <v>2120</v>
      </c>
      <c r="AC75" t="s">
        <v>2119</v>
      </c>
      <c r="AD75" t="s">
        <v>2119</v>
      </c>
      <c r="AE75" t="s">
        <v>2120</v>
      </c>
      <c r="AF75" t="s">
        <v>2119</v>
      </c>
      <c r="AG75" t="s">
        <v>2120</v>
      </c>
      <c r="AH75" t="s">
        <v>2120</v>
      </c>
      <c r="AI75" t="s">
        <v>2119</v>
      </c>
      <c r="AJ75" t="s">
        <v>2119</v>
      </c>
      <c r="AK75" t="s">
        <v>2120</v>
      </c>
      <c r="AL75" t="s">
        <v>2120</v>
      </c>
      <c r="AM75" t="s">
        <v>2120</v>
      </c>
      <c r="AN75" t="s">
        <v>2119</v>
      </c>
      <c r="AO75" t="s">
        <v>2120</v>
      </c>
      <c r="AP75" t="s">
        <v>2120</v>
      </c>
      <c r="AQ75" t="s">
        <v>2119</v>
      </c>
    </row>
    <row r="76" spans="2:43" x14ac:dyDescent="0.2">
      <c r="B76" t="s">
        <v>470</v>
      </c>
      <c r="C76" t="s">
        <v>95</v>
      </c>
      <c r="D76">
        <v>0.8125</v>
      </c>
      <c r="E76" t="s">
        <v>106</v>
      </c>
      <c r="F76" t="s">
        <v>107</v>
      </c>
      <c r="H76">
        <v>30.5</v>
      </c>
      <c r="I76">
        <v>34.9</v>
      </c>
      <c r="J76">
        <v>34.700000000000003</v>
      </c>
      <c r="K76">
        <v>65.3</v>
      </c>
      <c r="L76">
        <v>69.5</v>
      </c>
      <c r="M76">
        <v>65.099999999999994</v>
      </c>
      <c r="N76">
        <v>29</v>
      </c>
      <c r="O76">
        <v>48.7</v>
      </c>
      <c r="P76">
        <v>22.3</v>
      </c>
      <c r="Q76">
        <v>61.6</v>
      </c>
      <c r="R76">
        <v>57.5</v>
      </c>
      <c r="S76">
        <v>29.2</v>
      </c>
      <c r="T76">
        <v>70.8</v>
      </c>
      <c r="U76">
        <v>75.099999999999994</v>
      </c>
      <c r="V76">
        <v>38.5</v>
      </c>
      <c r="W76">
        <v>61.5</v>
      </c>
      <c r="X76" t="s">
        <v>1974</v>
      </c>
      <c r="Y76" t="s">
        <v>107</v>
      </c>
      <c r="Z76" t="s">
        <v>2207</v>
      </c>
      <c r="AA76" t="s">
        <v>461</v>
      </c>
      <c r="AB76" t="s">
        <v>2119</v>
      </c>
      <c r="AC76" t="s">
        <v>2119</v>
      </c>
      <c r="AD76" t="s">
        <v>2120</v>
      </c>
      <c r="AE76" t="s">
        <v>2119</v>
      </c>
      <c r="AF76" t="s">
        <v>2120</v>
      </c>
      <c r="AG76" t="s">
        <v>2120</v>
      </c>
      <c r="AH76" t="s">
        <v>2120</v>
      </c>
      <c r="AI76" t="s">
        <v>2119</v>
      </c>
      <c r="AJ76" t="s">
        <v>2119</v>
      </c>
      <c r="AK76" t="s">
        <v>2120</v>
      </c>
      <c r="AL76" t="s">
        <v>2120</v>
      </c>
      <c r="AM76" t="s">
        <v>2120</v>
      </c>
      <c r="AN76" t="s">
        <v>2119</v>
      </c>
      <c r="AO76" t="s">
        <v>2119</v>
      </c>
      <c r="AP76" t="s">
        <v>2120</v>
      </c>
      <c r="AQ76" t="s">
        <v>2119</v>
      </c>
    </row>
    <row r="77" spans="2:43" x14ac:dyDescent="0.2">
      <c r="B77" t="s">
        <v>454</v>
      </c>
      <c r="C77" t="s">
        <v>95</v>
      </c>
      <c r="D77">
        <v>0.8125</v>
      </c>
      <c r="E77" t="s">
        <v>108</v>
      </c>
      <c r="F77" t="s">
        <v>109</v>
      </c>
      <c r="H77">
        <v>46.7</v>
      </c>
      <c r="I77">
        <v>26.3</v>
      </c>
      <c r="J77">
        <v>27</v>
      </c>
      <c r="K77">
        <v>73</v>
      </c>
      <c r="L77">
        <v>53.3</v>
      </c>
      <c r="M77">
        <v>73.7</v>
      </c>
      <c r="N77">
        <v>42</v>
      </c>
      <c r="O77">
        <v>39.200000000000003</v>
      </c>
      <c r="P77">
        <v>18.899999999999999</v>
      </c>
      <c r="Q77">
        <v>74.2</v>
      </c>
      <c r="R77">
        <v>81.900000000000006</v>
      </c>
      <c r="S77">
        <v>58.9</v>
      </c>
      <c r="T77">
        <v>41.1</v>
      </c>
      <c r="U77">
        <v>47.1</v>
      </c>
      <c r="V77">
        <v>61.4</v>
      </c>
      <c r="W77">
        <v>38.6</v>
      </c>
      <c r="X77" t="s">
        <v>1971</v>
      </c>
      <c r="Y77" t="s">
        <v>1972</v>
      </c>
      <c r="Z77" t="s">
        <v>2208</v>
      </c>
      <c r="AA77" t="s">
        <v>447</v>
      </c>
      <c r="AB77" t="s">
        <v>2119</v>
      </c>
      <c r="AC77" t="s">
        <v>2120</v>
      </c>
      <c r="AD77" t="s">
        <v>2119</v>
      </c>
      <c r="AE77" t="s">
        <v>2120</v>
      </c>
      <c r="AF77" t="s">
        <v>2120</v>
      </c>
      <c r="AG77" t="s">
        <v>2119</v>
      </c>
      <c r="AH77" t="s">
        <v>2119</v>
      </c>
      <c r="AI77" t="s">
        <v>2120</v>
      </c>
      <c r="AJ77" t="s">
        <v>2119</v>
      </c>
      <c r="AK77" t="s">
        <v>2119</v>
      </c>
      <c r="AL77" t="s">
        <v>2119</v>
      </c>
      <c r="AM77" t="s">
        <v>2119</v>
      </c>
      <c r="AN77" t="s">
        <v>2120</v>
      </c>
      <c r="AO77" t="s">
        <v>2120</v>
      </c>
      <c r="AP77" t="s">
        <v>2119</v>
      </c>
      <c r="AQ77" t="s">
        <v>2120</v>
      </c>
    </row>
    <row r="78" spans="2:43" x14ac:dyDescent="0.2">
      <c r="B78" t="s">
        <v>454</v>
      </c>
      <c r="C78" t="s">
        <v>95</v>
      </c>
      <c r="D78">
        <v>0.8125</v>
      </c>
      <c r="E78" t="s">
        <v>110</v>
      </c>
      <c r="F78" t="s">
        <v>111</v>
      </c>
      <c r="H78">
        <v>47.1</v>
      </c>
      <c r="I78">
        <v>28.8</v>
      </c>
      <c r="J78">
        <v>24</v>
      </c>
      <c r="K78">
        <v>76</v>
      </c>
      <c r="L78">
        <v>52.9</v>
      </c>
      <c r="M78">
        <v>71.2</v>
      </c>
      <c r="N78">
        <v>32.4</v>
      </c>
      <c r="O78">
        <v>42.6</v>
      </c>
      <c r="P78">
        <v>25</v>
      </c>
      <c r="Q78">
        <v>70.8</v>
      </c>
      <c r="R78">
        <v>71.3</v>
      </c>
      <c r="S78">
        <v>44.1</v>
      </c>
      <c r="T78">
        <v>55.9</v>
      </c>
      <c r="U78">
        <v>61.9</v>
      </c>
      <c r="V78">
        <v>49.2</v>
      </c>
      <c r="W78">
        <v>50.8</v>
      </c>
      <c r="X78" t="s">
        <v>110</v>
      </c>
      <c r="Y78" t="s">
        <v>1970</v>
      </c>
      <c r="Z78" t="s">
        <v>2209</v>
      </c>
      <c r="AA78" t="s">
        <v>2165</v>
      </c>
      <c r="AB78" t="s">
        <v>2120</v>
      </c>
      <c r="AC78" t="s">
        <v>2119</v>
      </c>
      <c r="AD78" t="s">
        <v>2119</v>
      </c>
      <c r="AE78" t="s">
        <v>2120</v>
      </c>
      <c r="AF78" t="s">
        <v>2119</v>
      </c>
      <c r="AG78" t="s">
        <v>2120</v>
      </c>
      <c r="AH78" t="s">
        <v>2120</v>
      </c>
      <c r="AI78" t="s">
        <v>2119</v>
      </c>
      <c r="AJ78" t="s">
        <v>2119</v>
      </c>
      <c r="AK78" t="s">
        <v>2120</v>
      </c>
      <c r="AL78" t="s">
        <v>2120</v>
      </c>
      <c r="AM78" t="s">
        <v>2120</v>
      </c>
      <c r="AN78" t="s">
        <v>2119</v>
      </c>
      <c r="AO78" t="s">
        <v>2120</v>
      </c>
      <c r="AP78" t="s">
        <v>2119</v>
      </c>
      <c r="AQ78" t="s">
        <v>2120</v>
      </c>
    </row>
    <row r="79" spans="2:43" x14ac:dyDescent="0.2">
      <c r="B79" t="s">
        <v>455</v>
      </c>
      <c r="C79" t="s">
        <v>95</v>
      </c>
      <c r="D79">
        <v>0.8125</v>
      </c>
      <c r="E79" t="s">
        <v>112</v>
      </c>
      <c r="F79" t="s">
        <v>113</v>
      </c>
      <c r="H79">
        <v>34.799999999999997</v>
      </c>
      <c r="I79">
        <v>33</v>
      </c>
      <c r="J79">
        <v>32.200000000000003</v>
      </c>
      <c r="K79">
        <v>67.8</v>
      </c>
      <c r="L79">
        <v>65.2</v>
      </c>
      <c r="M79">
        <v>67</v>
      </c>
      <c r="N79">
        <v>31.5</v>
      </c>
      <c r="O79">
        <v>51.1</v>
      </c>
      <c r="P79">
        <v>17.399999999999999</v>
      </c>
      <c r="Q79">
        <v>57.4</v>
      </c>
      <c r="R79">
        <v>62.7</v>
      </c>
      <c r="S79">
        <v>34.299999999999997</v>
      </c>
      <c r="T79">
        <v>65.7</v>
      </c>
      <c r="U79">
        <v>70.400000000000006</v>
      </c>
      <c r="V79">
        <v>43</v>
      </c>
      <c r="W79">
        <v>57</v>
      </c>
      <c r="X79" t="s">
        <v>1981</v>
      </c>
      <c r="Y79" t="s">
        <v>1982</v>
      </c>
      <c r="Z79" t="s">
        <v>2210</v>
      </c>
      <c r="AA79" t="s">
        <v>462</v>
      </c>
      <c r="AB79" t="s">
        <v>2120</v>
      </c>
      <c r="AC79" t="s">
        <v>2119</v>
      </c>
      <c r="AD79" t="s">
        <v>2119</v>
      </c>
      <c r="AE79" t="s">
        <v>2120</v>
      </c>
      <c r="AF79" t="s">
        <v>2119</v>
      </c>
      <c r="AG79" t="s">
        <v>2120</v>
      </c>
      <c r="AH79" t="s">
        <v>2119</v>
      </c>
      <c r="AI79" t="s">
        <v>2120</v>
      </c>
      <c r="AJ79" t="s">
        <v>2119</v>
      </c>
      <c r="AK79" t="s">
        <v>2120</v>
      </c>
      <c r="AL79" t="s">
        <v>2120</v>
      </c>
      <c r="AM79" t="s">
        <v>2120</v>
      </c>
      <c r="AN79" t="s">
        <v>2119</v>
      </c>
      <c r="AO79" t="s">
        <v>2120</v>
      </c>
      <c r="AP79" t="s">
        <v>2120</v>
      </c>
      <c r="AQ79" t="s">
        <v>2119</v>
      </c>
    </row>
    <row r="80" spans="2:43" x14ac:dyDescent="0.2">
      <c r="B80" t="s">
        <v>455</v>
      </c>
      <c r="C80" t="s">
        <v>95</v>
      </c>
      <c r="D80">
        <v>0.85416666666666663</v>
      </c>
      <c r="E80" t="s">
        <v>114</v>
      </c>
      <c r="F80" t="s">
        <v>115</v>
      </c>
      <c r="H80">
        <v>40</v>
      </c>
      <c r="I80">
        <v>34.6</v>
      </c>
      <c r="J80">
        <v>25.4</v>
      </c>
      <c r="K80">
        <v>74.599999999999994</v>
      </c>
      <c r="L80">
        <v>60</v>
      </c>
      <c r="M80">
        <v>65.400000000000006</v>
      </c>
      <c r="N80">
        <v>25.1</v>
      </c>
      <c r="O80">
        <v>52.4</v>
      </c>
      <c r="P80">
        <v>22.4</v>
      </c>
      <c r="Q80">
        <v>56.4</v>
      </c>
      <c r="R80">
        <v>55.4</v>
      </c>
      <c r="S80">
        <v>27.3</v>
      </c>
      <c r="T80">
        <v>72.7</v>
      </c>
      <c r="U80">
        <v>77</v>
      </c>
      <c r="V80">
        <v>36.1</v>
      </c>
      <c r="W80">
        <v>63.9</v>
      </c>
      <c r="X80" t="s">
        <v>1983</v>
      </c>
      <c r="Y80" t="s">
        <v>1984</v>
      </c>
      <c r="Z80" t="s">
        <v>2211</v>
      </c>
      <c r="AA80" t="s">
        <v>456</v>
      </c>
      <c r="AB80" t="s">
        <v>2119</v>
      </c>
      <c r="AC80" t="s">
        <v>2119</v>
      </c>
      <c r="AD80" t="s">
        <v>2120</v>
      </c>
      <c r="AE80" t="s">
        <v>2119</v>
      </c>
      <c r="AF80" t="s">
        <v>2120</v>
      </c>
      <c r="AG80" t="s">
        <v>2120</v>
      </c>
      <c r="AH80" t="s">
        <v>2119</v>
      </c>
      <c r="AI80" t="s">
        <v>2120</v>
      </c>
      <c r="AJ80" t="s">
        <v>2119</v>
      </c>
      <c r="AK80" t="s">
        <v>2119</v>
      </c>
      <c r="AL80" t="s">
        <v>2119</v>
      </c>
      <c r="AM80" t="s">
        <v>2119</v>
      </c>
      <c r="AN80" t="s">
        <v>2120</v>
      </c>
      <c r="AO80" t="s">
        <v>2120</v>
      </c>
      <c r="AP80" t="s">
        <v>2119</v>
      </c>
      <c r="AQ80" t="s">
        <v>2120</v>
      </c>
    </row>
    <row r="81" spans="2:43" x14ac:dyDescent="0.2">
      <c r="B81" t="s">
        <v>452</v>
      </c>
      <c r="C81" t="s">
        <v>95</v>
      </c>
      <c r="D81">
        <v>0.875</v>
      </c>
      <c r="E81" t="s">
        <v>116</v>
      </c>
      <c r="F81" t="s">
        <v>117</v>
      </c>
      <c r="H81">
        <v>42.2</v>
      </c>
      <c r="I81">
        <v>30.6</v>
      </c>
      <c r="J81">
        <v>27.2</v>
      </c>
      <c r="K81">
        <v>72.8</v>
      </c>
      <c r="L81">
        <v>57.8</v>
      </c>
      <c r="M81">
        <v>69.400000000000006</v>
      </c>
      <c r="N81">
        <v>27</v>
      </c>
      <c r="O81">
        <v>47.3</v>
      </c>
      <c r="P81">
        <v>25.7</v>
      </c>
      <c r="Q81">
        <v>64</v>
      </c>
      <c r="R81">
        <v>67.8</v>
      </c>
      <c r="S81">
        <v>39.9</v>
      </c>
      <c r="T81">
        <v>60.1</v>
      </c>
      <c r="U81">
        <v>65.400000000000006</v>
      </c>
      <c r="V81">
        <v>46.9</v>
      </c>
      <c r="W81">
        <v>53.1</v>
      </c>
      <c r="X81" t="s">
        <v>116</v>
      </c>
      <c r="Y81" t="s">
        <v>117</v>
      </c>
      <c r="Z81" t="s">
        <v>2212</v>
      </c>
      <c r="AA81" t="s">
        <v>459</v>
      </c>
      <c r="AB81" t="s">
        <v>2119</v>
      </c>
      <c r="AC81" t="s">
        <v>2120</v>
      </c>
      <c r="AD81" t="s">
        <v>2119</v>
      </c>
      <c r="AE81" t="s">
        <v>2120</v>
      </c>
      <c r="AF81" t="s">
        <v>2120</v>
      </c>
      <c r="AG81" t="s">
        <v>2119</v>
      </c>
      <c r="AH81" t="s">
        <v>2120</v>
      </c>
      <c r="AI81" t="s">
        <v>2119</v>
      </c>
      <c r="AJ81" t="s">
        <v>2119</v>
      </c>
      <c r="AK81" t="s">
        <v>2120</v>
      </c>
      <c r="AL81" t="s">
        <v>2120</v>
      </c>
      <c r="AM81" t="s">
        <v>2119</v>
      </c>
      <c r="AN81" t="s">
        <v>2120</v>
      </c>
      <c r="AO81" t="s">
        <v>2120</v>
      </c>
      <c r="AP81" t="s">
        <v>2120</v>
      </c>
      <c r="AQ81" t="s">
        <v>2119</v>
      </c>
    </row>
    <row r="82" spans="2:43" x14ac:dyDescent="0.2">
      <c r="B82" t="s">
        <v>455</v>
      </c>
      <c r="C82" t="s">
        <v>95</v>
      </c>
      <c r="D82">
        <v>0.89583333333333337</v>
      </c>
      <c r="E82" t="s">
        <v>118</v>
      </c>
      <c r="F82" t="s">
        <v>119</v>
      </c>
      <c r="H82">
        <v>32.200000000000003</v>
      </c>
      <c r="I82">
        <v>36</v>
      </c>
      <c r="J82">
        <v>31.8</v>
      </c>
      <c r="K82">
        <v>68.2</v>
      </c>
      <c r="L82">
        <v>67.8</v>
      </c>
      <c r="M82">
        <v>64</v>
      </c>
      <c r="N82">
        <v>27.5</v>
      </c>
      <c r="O82">
        <v>52.4</v>
      </c>
      <c r="P82">
        <v>20.2</v>
      </c>
      <c r="Q82">
        <v>56.2</v>
      </c>
      <c r="R82">
        <v>53.9</v>
      </c>
      <c r="S82">
        <v>25.9</v>
      </c>
      <c r="T82">
        <v>74.099999999999994</v>
      </c>
      <c r="U82">
        <v>78</v>
      </c>
      <c r="V82">
        <v>35.700000000000003</v>
      </c>
      <c r="W82">
        <v>64.3</v>
      </c>
      <c r="X82" t="s">
        <v>118</v>
      </c>
      <c r="Y82" t="s">
        <v>1985</v>
      </c>
      <c r="Z82" t="s">
        <v>2213</v>
      </c>
      <c r="AA82" t="s">
        <v>2160</v>
      </c>
      <c r="AB82" t="s">
        <v>2120</v>
      </c>
      <c r="AC82" t="s">
        <v>2119</v>
      </c>
      <c r="AD82" t="s">
        <v>2119</v>
      </c>
      <c r="AE82" t="s">
        <v>2120</v>
      </c>
      <c r="AF82" t="s">
        <v>2119</v>
      </c>
      <c r="AG82" t="s">
        <v>2120</v>
      </c>
      <c r="AH82" t="s">
        <v>2120</v>
      </c>
      <c r="AI82" t="s">
        <v>2119</v>
      </c>
      <c r="AJ82" t="s">
        <v>2119</v>
      </c>
      <c r="AK82" t="s">
        <v>2120</v>
      </c>
      <c r="AL82" t="s">
        <v>2120</v>
      </c>
      <c r="AM82" t="s">
        <v>2120</v>
      </c>
      <c r="AN82" t="s">
        <v>2119</v>
      </c>
      <c r="AO82" t="s">
        <v>2119</v>
      </c>
      <c r="AP82" t="s">
        <v>2120</v>
      </c>
      <c r="AQ82" t="s">
        <v>2119</v>
      </c>
    </row>
    <row r="83" spans="2:43" x14ac:dyDescent="0.2">
      <c r="B83" t="s">
        <v>470</v>
      </c>
      <c r="C83" t="s">
        <v>95</v>
      </c>
      <c r="D83">
        <v>0.90625</v>
      </c>
      <c r="E83" t="s">
        <v>120</v>
      </c>
      <c r="F83" t="s">
        <v>121</v>
      </c>
      <c r="H83">
        <v>48.5</v>
      </c>
      <c r="I83">
        <v>31</v>
      </c>
      <c r="J83">
        <v>20.6</v>
      </c>
      <c r="K83">
        <v>79.400000000000006</v>
      </c>
      <c r="L83">
        <v>51.5</v>
      </c>
      <c r="M83">
        <v>69</v>
      </c>
      <c r="N83">
        <v>40</v>
      </c>
      <c r="O83">
        <v>46.1</v>
      </c>
      <c r="P83">
        <v>14</v>
      </c>
      <c r="Q83">
        <v>62.9</v>
      </c>
      <c r="R83">
        <v>62.1</v>
      </c>
      <c r="S83">
        <v>33.799999999999997</v>
      </c>
      <c r="T83">
        <v>66.2</v>
      </c>
      <c r="U83">
        <v>71.900000000000006</v>
      </c>
      <c r="V83">
        <v>39.700000000000003</v>
      </c>
      <c r="W83">
        <v>60.3</v>
      </c>
      <c r="X83" t="s">
        <v>1975</v>
      </c>
      <c r="Y83" t="s">
        <v>121</v>
      </c>
      <c r="Z83" t="s">
        <v>2214</v>
      </c>
      <c r="AA83" t="s">
        <v>459</v>
      </c>
      <c r="AB83" t="s">
        <v>2119</v>
      </c>
      <c r="AC83" t="s">
        <v>2120</v>
      </c>
      <c r="AD83" t="s">
        <v>2119</v>
      </c>
      <c r="AE83" t="s">
        <v>2120</v>
      </c>
      <c r="AF83" t="s">
        <v>2120</v>
      </c>
      <c r="AG83" t="s">
        <v>2119</v>
      </c>
      <c r="AH83" t="s">
        <v>2119</v>
      </c>
      <c r="AI83" t="s">
        <v>2120</v>
      </c>
      <c r="AJ83" t="s">
        <v>2119</v>
      </c>
      <c r="AK83" t="s">
        <v>2120</v>
      </c>
      <c r="AL83" t="s">
        <v>2120</v>
      </c>
      <c r="AM83" t="s">
        <v>2119</v>
      </c>
      <c r="AN83" t="s">
        <v>2120</v>
      </c>
      <c r="AO83" t="s">
        <v>2120</v>
      </c>
      <c r="AP83" t="s">
        <v>2120</v>
      </c>
      <c r="AQ83" t="s">
        <v>2119</v>
      </c>
    </row>
    <row r="84" spans="2:43" x14ac:dyDescent="0.2">
      <c r="B84" t="s">
        <v>471</v>
      </c>
      <c r="C84" t="s">
        <v>122</v>
      </c>
      <c r="D84">
        <v>0.27083333333333331</v>
      </c>
      <c r="E84" t="s">
        <v>123</v>
      </c>
      <c r="F84" t="s">
        <v>124</v>
      </c>
      <c r="H84">
        <v>53.9</v>
      </c>
      <c r="I84">
        <v>26</v>
      </c>
      <c r="J84">
        <v>20.100000000000001</v>
      </c>
      <c r="K84">
        <v>79.900000000000006</v>
      </c>
      <c r="L84">
        <v>46.1</v>
      </c>
      <c r="M84">
        <v>74</v>
      </c>
      <c r="N84">
        <v>37.799999999999997</v>
      </c>
      <c r="O84">
        <v>42.3</v>
      </c>
      <c r="P84">
        <v>19.899999999999999</v>
      </c>
      <c r="Q84">
        <v>70.2</v>
      </c>
      <c r="R84">
        <v>77.5</v>
      </c>
      <c r="S84">
        <v>52.3</v>
      </c>
      <c r="T84">
        <v>47.7</v>
      </c>
      <c r="U84">
        <v>54.6</v>
      </c>
      <c r="V84">
        <v>53.7</v>
      </c>
      <c r="W84">
        <v>46.3</v>
      </c>
      <c r="X84" t="s">
        <v>2250</v>
      </c>
      <c r="Y84" t="s">
        <v>124</v>
      </c>
      <c r="Z84" t="s">
        <v>2718</v>
      </c>
      <c r="AA84" t="s">
        <v>2174</v>
      </c>
      <c r="AB84" t="s">
        <v>2120</v>
      </c>
      <c r="AC84" t="s">
        <v>2119</v>
      </c>
      <c r="AD84" t="s">
        <v>2119</v>
      </c>
      <c r="AE84" t="s">
        <v>2120</v>
      </c>
      <c r="AF84" t="s">
        <v>2119</v>
      </c>
      <c r="AG84" t="s">
        <v>2120</v>
      </c>
      <c r="AH84" t="s">
        <v>2120</v>
      </c>
      <c r="AI84" t="s">
        <v>2119</v>
      </c>
      <c r="AJ84" t="s">
        <v>2119</v>
      </c>
      <c r="AK84" t="s">
        <v>2120</v>
      </c>
      <c r="AL84" t="s">
        <v>2120</v>
      </c>
      <c r="AM84" t="s">
        <v>2120</v>
      </c>
      <c r="AN84" t="s">
        <v>2119</v>
      </c>
      <c r="AO84" t="s">
        <v>2119</v>
      </c>
      <c r="AP84" t="s">
        <v>2119</v>
      </c>
      <c r="AQ84" t="s">
        <v>2120</v>
      </c>
    </row>
    <row r="85" spans="2:43" x14ac:dyDescent="0.2">
      <c r="B85" t="s">
        <v>472</v>
      </c>
      <c r="C85" t="s">
        <v>122</v>
      </c>
      <c r="D85">
        <v>0.27083333333333331</v>
      </c>
      <c r="E85" t="s">
        <v>125</v>
      </c>
      <c r="F85" t="s">
        <v>126</v>
      </c>
      <c r="H85">
        <v>32.200000000000003</v>
      </c>
      <c r="I85">
        <v>29</v>
      </c>
      <c r="J85">
        <v>38.9</v>
      </c>
      <c r="K85">
        <v>61.1</v>
      </c>
      <c r="L85">
        <v>67.8</v>
      </c>
      <c r="M85">
        <v>71</v>
      </c>
      <c r="N85">
        <v>26.6</v>
      </c>
      <c r="O85">
        <v>47.4</v>
      </c>
      <c r="P85">
        <v>26</v>
      </c>
      <c r="Q85">
        <v>63.9</v>
      </c>
      <c r="R85">
        <v>76.099999999999994</v>
      </c>
      <c r="S85">
        <v>50.2</v>
      </c>
      <c r="T85">
        <v>49.8</v>
      </c>
      <c r="U85">
        <v>55.3</v>
      </c>
      <c r="V85">
        <v>55.8</v>
      </c>
      <c r="W85">
        <v>44.2</v>
      </c>
      <c r="X85" t="s">
        <v>2252</v>
      </c>
      <c r="Y85" t="s">
        <v>126</v>
      </c>
      <c r="Z85" t="s">
        <v>2719</v>
      </c>
      <c r="AA85" t="s">
        <v>447</v>
      </c>
      <c r="AB85" t="s">
        <v>2119</v>
      </c>
      <c r="AC85" t="s">
        <v>2120</v>
      </c>
      <c r="AD85" t="s">
        <v>2119</v>
      </c>
      <c r="AE85" t="s">
        <v>2120</v>
      </c>
      <c r="AF85" t="s">
        <v>2120</v>
      </c>
      <c r="AG85" t="s">
        <v>2119</v>
      </c>
      <c r="AH85" t="s">
        <v>2119</v>
      </c>
      <c r="AI85" t="s">
        <v>2120</v>
      </c>
      <c r="AJ85" t="s">
        <v>2119</v>
      </c>
      <c r="AK85" t="s">
        <v>2119</v>
      </c>
      <c r="AL85" t="s">
        <v>2119</v>
      </c>
      <c r="AM85" t="s">
        <v>2119</v>
      </c>
      <c r="AN85" t="s">
        <v>2120</v>
      </c>
      <c r="AO85" t="s">
        <v>2120</v>
      </c>
      <c r="AP85" t="s">
        <v>2119</v>
      </c>
      <c r="AQ85" t="s">
        <v>2120</v>
      </c>
    </row>
    <row r="86" spans="2:43" x14ac:dyDescent="0.2">
      <c r="B86" t="s">
        <v>472</v>
      </c>
      <c r="C86" t="s">
        <v>122</v>
      </c>
      <c r="D86">
        <v>0.27083333333333331</v>
      </c>
      <c r="E86" t="s">
        <v>127</v>
      </c>
      <c r="F86" t="s">
        <v>128</v>
      </c>
      <c r="H86">
        <v>48.4</v>
      </c>
      <c r="I86">
        <v>26.9</v>
      </c>
      <c r="J86">
        <v>24.7</v>
      </c>
      <c r="K86">
        <v>75.3</v>
      </c>
      <c r="L86">
        <v>51.6</v>
      </c>
      <c r="M86">
        <v>73.099999999999994</v>
      </c>
      <c r="N86">
        <v>31.8</v>
      </c>
      <c r="O86">
        <v>43.3</v>
      </c>
      <c r="P86">
        <v>24.9</v>
      </c>
      <c r="Q86">
        <v>69.8</v>
      </c>
      <c r="R86">
        <v>78.3</v>
      </c>
      <c r="S86">
        <v>53.4</v>
      </c>
      <c r="T86">
        <v>46.6</v>
      </c>
      <c r="U86">
        <v>52.8</v>
      </c>
      <c r="V86">
        <v>56.6</v>
      </c>
      <c r="W86">
        <v>43.4</v>
      </c>
      <c r="X86" t="s">
        <v>392</v>
      </c>
      <c r="Y86" t="s">
        <v>2253</v>
      </c>
      <c r="Z86" t="s">
        <v>2720</v>
      </c>
      <c r="AA86" t="s">
        <v>447</v>
      </c>
      <c r="AB86" t="s">
        <v>2119</v>
      </c>
      <c r="AC86" t="s">
        <v>2120</v>
      </c>
      <c r="AD86" t="s">
        <v>2119</v>
      </c>
      <c r="AE86" t="s">
        <v>2120</v>
      </c>
      <c r="AF86" t="s">
        <v>2120</v>
      </c>
      <c r="AG86" t="s">
        <v>2119</v>
      </c>
      <c r="AH86" t="s">
        <v>2119</v>
      </c>
      <c r="AI86" t="s">
        <v>2120</v>
      </c>
      <c r="AJ86" t="s">
        <v>2119</v>
      </c>
      <c r="AK86" t="s">
        <v>2119</v>
      </c>
      <c r="AL86" t="s">
        <v>2119</v>
      </c>
      <c r="AM86" t="s">
        <v>2119</v>
      </c>
      <c r="AN86" t="s">
        <v>2120</v>
      </c>
      <c r="AO86" t="s">
        <v>2120</v>
      </c>
      <c r="AP86" t="s">
        <v>2119</v>
      </c>
      <c r="AQ86" t="s">
        <v>2120</v>
      </c>
    </row>
    <row r="87" spans="2:43" x14ac:dyDescent="0.2">
      <c r="B87" t="s">
        <v>472</v>
      </c>
      <c r="C87" t="s">
        <v>122</v>
      </c>
      <c r="D87">
        <v>0.27083333333333331</v>
      </c>
      <c r="E87" t="s">
        <v>129</v>
      </c>
      <c r="F87" t="s">
        <v>130</v>
      </c>
      <c r="H87">
        <v>30.5</v>
      </c>
      <c r="I87">
        <v>27.6</v>
      </c>
      <c r="J87">
        <v>41.9</v>
      </c>
      <c r="K87">
        <v>58.1</v>
      </c>
      <c r="L87">
        <v>69.5</v>
      </c>
      <c r="M87">
        <v>72.400000000000006</v>
      </c>
      <c r="N87">
        <v>21.8</v>
      </c>
      <c r="O87">
        <v>40.700000000000003</v>
      </c>
      <c r="P87">
        <v>37.5</v>
      </c>
      <c r="Q87">
        <v>73.599999999999994</v>
      </c>
      <c r="R87">
        <v>80.5</v>
      </c>
      <c r="S87">
        <v>56.7</v>
      </c>
      <c r="T87">
        <v>43.3</v>
      </c>
      <c r="U87">
        <v>49.1</v>
      </c>
      <c r="V87">
        <v>60.5</v>
      </c>
      <c r="W87">
        <v>39.5</v>
      </c>
      <c r="X87" t="s">
        <v>129</v>
      </c>
      <c r="Y87" t="s">
        <v>130</v>
      </c>
      <c r="Z87" t="s">
        <v>2721</v>
      </c>
      <c r="AA87" t="s">
        <v>2172</v>
      </c>
      <c r="AB87" t="s">
        <v>2120</v>
      </c>
      <c r="AC87" t="s">
        <v>2119</v>
      </c>
      <c r="AD87" t="s">
        <v>2119</v>
      </c>
      <c r="AE87" t="s">
        <v>2120</v>
      </c>
      <c r="AF87" t="s">
        <v>2119</v>
      </c>
      <c r="AG87" t="s">
        <v>2120</v>
      </c>
      <c r="AH87" t="s">
        <v>2120</v>
      </c>
      <c r="AI87" t="s">
        <v>2119</v>
      </c>
      <c r="AJ87" t="s">
        <v>2119</v>
      </c>
      <c r="AK87" t="s">
        <v>2120</v>
      </c>
      <c r="AL87" t="s">
        <v>2120</v>
      </c>
      <c r="AM87" t="s">
        <v>2120</v>
      </c>
      <c r="AN87" t="s">
        <v>2119</v>
      </c>
      <c r="AO87" t="s">
        <v>2119</v>
      </c>
      <c r="AP87" t="s">
        <v>2120</v>
      </c>
      <c r="AQ87" t="s">
        <v>2119</v>
      </c>
    </row>
    <row r="88" spans="2:43" x14ac:dyDescent="0.2">
      <c r="B88" t="s">
        <v>472</v>
      </c>
      <c r="C88" t="s">
        <v>122</v>
      </c>
      <c r="D88">
        <v>0.30208333333333331</v>
      </c>
      <c r="E88" t="s">
        <v>131</v>
      </c>
      <c r="F88" t="s">
        <v>132</v>
      </c>
      <c r="H88">
        <v>56.6</v>
      </c>
      <c r="I88">
        <v>24.4</v>
      </c>
      <c r="J88">
        <v>19</v>
      </c>
      <c r="K88">
        <v>81</v>
      </c>
      <c r="L88">
        <v>43.4</v>
      </c>
      <c r="M88">
        <v>75.599999999999994</v>
      </c>
      <c r="N88">
        <v>43.7</v>
      </c>
      <c r="O88">
        <v>38.299999999999997</v>
      </c>
      <c r="P88">
        <v>17.899999999999999</v>
      </c>
      <c r="Q88">
        <v>75</v>
      </c>
      <c r="R88">
        <v>83.1</v>
      </c>
      <c r="S88">
        <v>60.9</v>
      </c>
      <c r="T88">
        <v>39.1</v>
      </c>
      <c r="U88">
        <v>46.2</v>
      </c>
      <c r="V88">
        <v>59.6</v>
      </c>
      <c r="W88">
        <v>40.4</v>
      </c>
      <c r="X88" t="s">
        <v>131</v>
      </c>
      <c r="Y88" t="s">
        <v>2254</v>
      </c>
      <c r="Z88" t="s">
        <v>2722</v>
      </c>
      <c r="AA88" t="s">
        <v>460</v>
      </c>
      <c r="AB88" t="s">
        <v>2119</v>
      </c>
      <c r="AC88" t="s">
        <v>2119</v>
      </c>
      <c r="AD88" t="s">
        <v>2120</v>
      </c>
      <c r="AE88" t="s">
        <v>2119</v>
      </c>
      <c r="AF88" t="s">
        <v>2120</v>
      </c>
      <c r="AG88" t="s">
        <v>2120</v>
      </c>
      <c r="AH88" t="s">
        <v>2119</v>
      </c>
      <c r="AI88" t="s">
        <v>2120</v>
      </c>
      <c r="AJ88" t="s">
        <v>2119</v>
      </c>
      <c r="AK88" t="s">
        <v>2119</v>
      </c>
      <c r="AL88" t="s">
        <v>2120</v>
      </c>
      <c r="AM88" t="s">
        <v>2120</v>
      </c>
      <c r="AN88" t="s">
        <v>2119</v>
      </c>
      <c r="AO88" t="s">
        <v>2120</v>
      </c>
      <c r="AP88" t="s">
        <v>2120</v>
      </c>
      <c r="AQ88" t="s">
        <v>2119</v>
      </c>
    </row>
    <row r="89" spans="2:43" x14ac:dyDescent="0.2">
      <c r="B89" t="s">
        <v>472</v>
      </c>
      <c r="C89" t="s">
        <v>122</v>
      </c>
      <c r="D89">
        <v>0.3125</v>
      </c>
      <c r="E89" t="s">
        <v>133</v>
      </c>
      <c r="F89" t="s">
        <v>134</v>
      </c>
      <c r="H89">
        <v>65.8</v>
      </c>
      <c r="I89">
        <v>22.5</v>
      </c>
      <c r="J89">
        <v>11.7</v>
      </c>
      <c r="K89">
        <v>88.3</v>
      </c>
      <c r="L89">
        <v>34.200000000000003</v>
      </c>
      <c r="M89">
        <v>77.5</v>
      </c>
      <c r="N89">
        <v>54.4</v>
      </c>
      <c r="O89">
        <v>36.700000000000003</v>
      </c>
      <c r="P89">
        <v>8.8000000000000007</v>
      </c>
      <c r="Q89">
        <v>71.7</v>
      </c>
      <c r="R89">
        <v>78.099999999999994</v>
      </c>
      <c r="S89">
        <v>53.4</v>
      </c>
      <c r="T89">
        <v>46.6</v>
      </c>
      <c r="U89">
        <v>56</v>
      </c>
      <c r="V89">
        <v>47.4</v>
      </c>
      <c r="W89">
        <v>52.6</v>
      </c>
      <c r="X89" t="s">
        <v>133</v>
      </c>
      <c r="Y89" t="s">
        <v>134</v>
      </c>
      <c r="Z89" t="s">
        <v>2723</v>
      </c>
      <c r="AA89" t="s">
        <v>453</v>
      </c>
      <c r="AB89" t="s">
        <v>2120</v>
      </c>
      <c r="AC89" t="s">
        <v>2119</v>
      </c>
      <c r="AD89" t="s">
        <v>2119</v>
      </c>
      <c r="AE89" t="s">
        <v>2120</v>
      </c>
      <c r="AF89" t="s">
        <v>2119</v>
      </c>
      <c r="AG89" t="s">
        <v>2120</v>
      </c>
      <c r="AH89" t="s">
        <v>2120</v>
      </c>
      <c r="AI89" t="s">
        <v>2119</v>
      </c>
      <c r="AJ89" t="s">
        <v>2119</v>
      </c>
      <c r="AK89" t="s">
        <v>2120</v>
      </c>
      <c r="AL89" t="s">
        <v>2119</v>
      </c>
      <c r="AM89" t="s">
        <v>2119</v>
      </c>
      <c r="AN89" t="s">
        <v>2120</v>
      </c>
      <c r="AO89" t="s">
        <v>2120</v>
      </c>
      <c r="AP89" t="s">
        <v>2119</v>
      </c>
      <c r="AQ89" t="s">
        <v>2120</v>
      </c>
    </row>
    <row r="90" spans="2:43" x14ac:dyDescent="0.2">
      <c r="B90" t="s">
        <v>473</v>
      </c>
      <c r="C90" t="s">
        <v>122</v>
      </c>
      <c r="D90">
        <v>0.3125</v>
      </c>
      <c r="E90" t="s">
        <v>135</v>
      </c>
      <c r="F90" t="s">
        <v>136</v>
      </c>
      <c r="H90">
        <v>33.5</v>
      </c>
      <c r="I90">
        <v>27.9</v>
      </c>
      <c r="J90">
        <v>38.6</v>
      </c>
      <c r="K90">
        <v>61.4</v>
      </c>
      <c r="L90">
        <v>66.5</v>
      </c>
      <c r="M90">
        <v>72.099999999999994</v>
      </c>
      <c r="N90">
        <v>22.3</v>
      </c>
      <c r="O90">
        <v>48.2</v>
      </c>
      <c r="P90">
        <v>29.4</v>
      </c>
      <c r="Q90">
        <v>62.5</v>
      </c>
      <c r="R90">
        <v>79.8</v>
      </c>
      <c r="S90">
        <v>55.6</v>
      </c>
      <c r="T90">
        <v>44.4</v>
      </c>
      <c r="U90">
        <v>50</v>
      </c>
      <c r="V90">
        <v>60</v>
      </c>
      <c r="W90">
        <v>40</v>
      </c>
      <c r="X90" t="s">
        <v>2588</v>
      </c>
      <c r="Y90" t="s">
        <v>136</v>
      </c>
      <c r="Z90" t="s">
        <v>2724</v>
      </c>
      <c r="AA90" t="s">
        <v>459</v>
      </c>
      <c r="AB90" t="s">
        <v>2119</v>
      </c>
      <c r="AC90" t="s">
        <v>2120</v>
      </c>
      <c r="AD90" t="s">
        <v>2119</v>
      </c>
      <c r="AE90" t="s">
        <v>2120</v>
      </c>
      <c r="AF90" t="s">
        <v>2120</v>
      </c>
      <c r="AG90" t="s">
        <v>2119</v>
      </c>
      <c r="AH90" t="s">
        <v>2119</v>
      </c>
      <c r="AI90" t="s">
        <v>2120</v>
      </c>
      <c r="AJ90" t="s">
        <v>2119</v>
      </c>
      <c r="AK90" t="s">
        <v>2119</v>
      </c>
      <c r="AL90" t="s">
        <v>2120</v>
      </c>
      <c r="AM90" t="s">
        <v>2119</v>
      </c>
      <c r="AN90" t="s">
        <v>2120</v>
      </c>
      <c r="AO90" t="s">
        <v>2120</v>
      </c>
      <c r="AP90" t="s">
        <v>2120</v>
      </c>
      <c r="AQ90" t="s">
        <v>2119</v>
      </c>
    </row>
    <row r="91" spans="2:43" x14ac:dyDescent="0.2">
      <c r="B91" t="s">
        <v>473</v>
      </c>
      <c r="C91" t="s">
        <v>122</v>
      </c>
      <c r="D91">
        <v>0.3125</v>
      </c>
      <c r="E91" t="s">
        <v>137</v>
      </c>
      <c r="F91" t="s">
        <v>138</v>
      </c>
      <c r="H91">
        <v>49.2</v>
      </c>
      <c r="I91">
        <v>27</v>
      </c>
      <c r="J91">
        <v>23.8</v>
      </c>
      <c r="K91">
        <v>76.2</v>
      </c>
      <c r="L91">
        <v>50.8</v>
      </c>
      <c r="M91">
        <v>73</v>
      </c>
      <c r="N91">
        <v>36.4</v>
      </c>
      <c r="O91">
        <v>46.5</v>
      </c>
      <c r="P91">
        <v>17.100000000000001</v>
      </c>
      <c r="Q91">
        <v>63.4</v>
      </c>
      <c r="R91">
        <v>77.3</v>
      </c>
      <c r="S91">
        <v>52</v>
      </c>
      <c r="T91">
        <v>48</v>
      </c>
      <c r="U91">
        <v>54.3</v>
      </c>
      <c r="V91">
        <v>55.1</v>
      </c>
      <c r="W91">
        <v>44.9</v>
      </c>
      <c r="X91" t="s">
        <v>2589</v>
      </c>
      <c r="Y91" t="s">
        <v>138</v>
      </c>
      <c r="Z91" t="s">
        <v>2725</v>
      </c>
      <c r="AA91" t="s">
        <v>2179</v>
      </c>
      <c r="AB91" t="s">
        <v>2120</v>
      </c>
      <c r="AC91" t="s">
        <v>2119</v>
      </c>
      <c r="AD91" t="s">
        <v>2119</v>
      </c>
      <c r="AE91" t="s">
        <v>2120</v>
      </c>
      <c r="AF91" t="s">
        <v>2119</v>
      </c>
      <c r="AG91" t="s">
        <v>2120</v>
      </c>
      <c r="AH91" t="s">
        <v>2119</v>
      </c>
      <c r="AI91" t="s">
        <v>2120</v>
      </c>
      <c r="AJ91" t="s">
        <v>2119</v>
      </c>
      <c r="AK91" t="s">
        <v>2120</v>
      </c>
      <c r="AL91" t="s">
        <v>2120</v>
      </c>
      <c r="AM91" t="s">
        <v>2120</v>
      </c>
      <c r="AN91" t="s">
        <v>2119</v>
      </c>
      <c r="AO91" t="s">
        <v>2119</v>
      </c>
      <c r="AP91" t="s">
        <v>2120</v>
      </c>
      <c r="AQ91" t="s">
        <v>2119</v>
      </c>
    </row>
    <row r="92" spans="2:43" x14ac:dyDescent="0.2">
      <c r="B92" t="s">
        <v>469</v>
      </c>
      <c r="C92" t="s">
        <v>122</v>
      </c>
      <c r="D92">
        <v>0.625</v>
      </c>
      <c r="E92" t="s">
        <v>147</v>
      </c>
      <c r="F92" t="s">
        <v>148</v>
      </c>
      <c r="H92">
        <v>32.5</v>
      </c>
      <c r="I92">
        <v>27.6</v>
      </c>
      <c r="J92">
        <v>39.9</v>
      </c>
      <c r="K92">
        <v>60.1</v>
      </c>
      <c r="L92">
        <v>67.5</v>
      </c>
      <c r="M92">
        <v>72.400000000000006</v>
      </c>
      <c r="N92">
        <v>27.5</v>
      </c>
      <c r="O92">
        <v>38.6</v>
      </c>
      <c r="P92">
        <v>33.9</v>
      </c>
      <c r="Q92">
        <v>77.400000000000006</v>
      </c>
      <c r="R92">
        <v>80.900000000000006</v>
      </c>
      <c r="S92">
        <v>57.2</v>
      </c>
      <c r="T92">
        <v>42.8</v>
      </c>
      <c r="U92">
        <v>48.5</v>
      </c>
      <c r="V92">
        <v>61.1</v>
      </c>
      <c r="W92">
        <v>38.9</v>
      </c>
      <c r="X92" t="s">
        <v>147</v>
      </c>
      <c r="Y92" t="s">
        <v>148</v>
      </c>
      <c r="Z92" t="s">
        <v>2726</v>
      </c>
      <c r="AA92" t="s">
        <v>2128</v>
      </c>
      <c r="AB92" t="s">
        <v>2120</v>
      </c>
      <c r="AC92" t="s">
        <v>2119</v>
      </c>
      <c r="AD92" t="s">
        <v>2119</v>
      </c>
      <c r="AE92" t="s">
        <v>2120</v>
      </c>
      <c r="AF92" t="s">
        <v>2119</v>
      </c>
      <c r="AG92" t="s">
        <v>2120</v>
      </c>
      <c r="AH92" t="s">
        <v>2120</v>
      </c>
      <c r="AI92" t="s">
        <v>2119</v>
      </c>
      <c r="AJ92" t="s">
        <v>2119</v>
      </c>
      <c r="AK92" t="s">
        <v>2120</v>
      </c>
      <c r="AL92" t="s">
        <v>2120</v>
      </c>
      <c r="AM92" t="s">
        <v>2119</v>
      </c>
      <c r="AN92" t="s">
        <v>2120</v>
      </c>
      <c r="AO92" t="s">
        <v>2120</v>
      </c>
      <c r="AP92" t="s">
        <v>2119</v>
      </c>
      <c r="AQ92" t="s">
        <v>2120</v>
      </c>
    </row>
    <row r="93" spans="2:43" x14ac:dyDescent="0.2">
      <c r="B93" t="s">
        <v>477</v>
      </c>
      <c r="C93" t="s">
        <v>122</v>
      </c>
      <c r="D93">
        <v>0.65625</v>
      </c>
      <c r="E93" t="s">
        <v>149</v>
      </c>
      <c r="F93" t="s">
        <v>150</v>
      </c>
      <c r="H93">
        <v>34.6</v>
      </c>
      <c r="I93">
        <v>28.6</v>
      </c>
      <c r="J93">
        <v>36.9</v>
      </c>
      <c r="K93">
        <v>63.1</v>
      </c>
      <c r="L93">
        <v>65.400000000000006</v>
      </c>
      <c r="M93">
        <v>71.400000000000006</v>
      </c>
      <c r="N93">
        <v>23.9</v>
      </c>
      <c r="O93">
        <v>44.7</v>
      </c>
      <c r="P93">
        <v>31.3</v>
      </c>
      <c r="Q93">
        <v>67.8</v>
      </c>
      <c r="R93">
        <v>77.3</v>
      </c>
      <c r="S93">
        <v>52</v>
      </c>
      <c r="T93">
        <v>48</v>
      </c>
      <c r="U93">
        <v>53.6</v>
      </c>
      <c r="V93">
        <v>57.3</v>
      </c>
      <c r="W93">
        <v>42.7</v>
      </c>
      <c r="X93" t="s">
        <v>149</v>
      </c>
      <c r="Y93" t="s">
        <v>2498</v>
      </c>
      <c r="Z93" t="s">
        <v>2727</v>
      </c>
      <c r="AA93" t="s">
        <v>460</v>
      </c>
      <c r="AB93" t="s">
        <v>2119</v>
      </c>
      <c r="AC93" t="s">
        <v>2119</v>
      </c>
      <c r="AD93" t="s">
        <v>2120</v>
      </c>
      <c r="AE93" t="s">
        <v>2119</v>
      </c>
      <c r="AF93" t="s">
        <v>2120</v>
      </c>
      <c r="AG93" t="s">
        <v>2120</v>
      </c>
      <c r="AH93" t="s">
        <v>2119</v>
      </c>
      <c r="AI93" t="s">
        <v>2120</v>
      </c>
      <c r="AJ93" t="s">
        <v>2119</v>
      </c>
      <c r="AK93" t="s">
        <v>2120</v>
      </c>
      <c r="AL93" t="s">
        <v>2120</v>
      </c>
      <c r="AM93" t="s">
        <v>2120</v>
      </c>
      <c r="AN93" t="s">
        <v>2119</v>
      </c>
      <c r="AO93" t="s">
        <v>2120</v>
      </c>
      <c r="AP93" t="s">
        <v>2120</v>
      </c>
      <c r="AQ93" t="s">
        <v>2119</v>
      </c>
    </row>
    <row r="94" spans="2:43" x14ac:dyDescent="0.2">
      <c r="B94" t="s">
        <v>477</v>
      </c>
      <c r="C94" t="s">
        <v>122</v>
      </c>
      <c r="D94">
        <v>0.65625</v>
      </c>
      <c r="E94" t="s">
        <v>151</v>
      </c>
      <c r="F94" t="s">
        <v>152</v>
      </c>
      <c r="H94">
        <v>50.3</v>
      </c>
      <c r="I94">
        <v>28.2</v>
      </c>
      <c r="J94">
        <v>21.5</v>
      </c>
      <c r="K94">
        <v>78.5</v>
      </c>
      <c r="L94">
        <v>49.7</v>
      </c>
      <c r="M94">
        <v>71.8</v>
      </c>
      <c r="N94">
        <v>39.4</v>
      </c>
      <c r="O94">
        <v>46.9</v>
      </c>
      <c r="P94">
        <v>13.8</v>
      </c>
      <c r="Q94">
        <v>61.8</v>
      </c>
      <c r="R94">
        <v>71.2</v>
      </c>
      <c r="S94">
        <v>44</v>
      </c>
      <c r="T94">
        <v>56</v>
      </c>
      <c r="U94">
        <v>62.3</v>
      </c>
      <c r="V94">
        <v>48.1</v>
      </c>
      <c r="W94">
        <v>51.9</v>
      </c>
      <c r="X94" t="s">
        <v>151</v>
      </c>
      <c r="Y94" t="s">
        <v>152</v>
      </c>
      <c r="Z94" t="s">
        <v>2728</v>
      </c>
      <c r="AA94" t="s">
        <v>462</v>
      </c>
      <c r="AB94" t="s">
        <v>2120</v>
      </c>
      <c r="AC94" t="s">
        <v>2119</v>
      </c>
      <c r="AD94" t="s">
        <v>2119</v>
      </c>
      <c r="AE94" t="s">
        <v>2120</v>
      </c>
      <c r="AF94" t="s">
        <v>2119</v>
      </c>
      <c r="AG94" t="s">
        <v>2120</v>
      </c>
      <c r="AH94" t="s">
        <v>2120</v>
      </c>
      <c r="AI94" t="s">
        <v>2119</v>
      </c>
      <c r="AJ94" t="s">
        <v>2119</v>
      </c>
      <c r="AK94" t="s">
        <v>2120</v>
      </c>
      <c r="AL94" t="s">
        <v>2120</v>
      </c>
      <c r="AM94" t="s">
        <v>2120</v>
      </c>
      <c r="AN94" t="s">
        <v>2119</v>
      </c>
      <c r="AO94" t="s">
        <v>2120</v>
      </c>
      <c r="AP94" t="s">
        <v>2120</v>
      </c>
      <c r="AQ94" t="s">
        <v>2119</v>
      </c>
    </row>
    <row r="95" spans="2:43" x14ac:dyDescent="0.2">
      <c r="B95" t="s">
        <v>477</v>
      </c>
      <c r="C95" t="s">
        <v>122</v>
      </c>
      <c r="D95">
        <v>0.65625</v>
      </c>
      <c r="E95" t="s">
        <v>153</v>
      </c>
      <c r="F95" t="s">
        <v>154</v>
      </c>
      <c r="H95">
        <v>39.1</v>
      </c>
      <c r="I95">
        <v>31.5</v>
      </c>
      <c r="J95">
        <v>29.3</v>
      </c>
      <c r="K95">
        <v>70.7</v>
      </c>
      <c r="L95">
        <v>60.9</v>
      </c>
      <c r="M95">
        <v>68.5</v>
      </c>
      <c r="N95">
        <v>26.3</v>
      </c>
      <c r="O95">
        <v>50.9</v>
      </c>
      <c r="P95">
        <v>22.8</v>
      </c>
      <c r="Q95">
        <v>58.5</v>
      </c>
      <c r="R95">
        <v>66</v>
      </c>
      <c r="S95">
        <v>37.9</v>
      </c>
      <c r="T95">
        <v>62.1</v>
      </c>
      <c r="U95">
        <v>67.2</v>
      </c>
      <c r="V95">
        <v>45.7</v>
      </c>
      <c r="W95">
        <v>54.3</v>
      </c>
      <c r="X95" t="s">
        <v>2499</v>
      </c>
      <c r="Y95" t="s">
        <v>154</v>
      </c>
      <c r="Z95" t="s">
        <v>2729</v>
      </c>
      <c r="AA95" t="s">
        <v>462</v>
      </c>
      <c r="AB95" t="s">
        <v>2120</v>
      </c>
      <c r="AC95" t="s">
        <v>2119</v>
      </c>
      <c r="AD95" t="s">
        <v>2119</v>
      </c>
      <c r="AE95" t="s">
        <v>2120</v>
      </c>
      <c r="AF95" t="s">
        <v>2119</v>
      </c>
      <c r="AG95" t="s">
        <v>2120</v>
      </c>
      <c r="AH95" t="s">
        <v>2120</v>
      </c>
      <c r="AI95" t="s">
        <v>2119</v>
      </c>
      <c r="AJ95" t="s">
        <v>2119</v>
      </c>
      <c r="AK95" t="s">
        <v>2120</v>
      </c>
      <c r="AL95" t="s">
        <v>2120</v>
      </c>
      <c r="AM95" t="s">
        <v>2120</v>
      </c>
      <c r="AN95" t="s">
        <v>2119</v>
      </c>
      <c r="AO95" t="s">
        <v>2120</v>
      </c>
      <c r="AP95" t="s">
        <v>2120</v>
      </c>
      <c r="AQ95" t="s">
        <v>2119</v>
      </c>
    </row>
    <row r="96" spans="2:43" x14ac:dyDescent="0.2">
      <c r="B96" t="s">
        <v>477</v>
      </c>
      <c r="C96" t="s">
        <v>122</v>
      </c>
      <c r="D96">
        <v>0.65625</v>
      </c>
      <c r="E96" t="s">
        <v>155</v>
      </c>
      <c r="F96" t="s">
        <v>156</v>
      </c>
      <c r="H96">
        <v>34.4</v>
      </c>
      <c r="I96">
        <v>29.3</v>
      </c>
      <c r="J96">
        <v>36.299999999999997</v>
      </c>
      <c r="K96">
        <v>63.7</v>
      </c>
      <c r="L96">
        <v>65.599999999999994</v>
      </c>
      <c r="M96">
        <v>70.7</v>
      </c>
      <c r="N96">
        <v>30.4</v>
      </c>
      <c r="O96">
        <v>45.6</v>
      </c>
      <c r="P96">
        <v>24.1</v>
      </c>
      <c r="Q96">
        <v>66.400000000000006</v>
      </c>
      <c r="R96">
        <v>74.8</v>
      </c>
      <c r="S96">
        <v>48.6</v>
      </c>
      <c r="T96">
        <v>51.4</v>
      </c>
      <c r="U96">
        <v>56.9</v>
      </c>
      <c r="V96">
        <v>54.6</v>
      </c>
      <c r="W96">
        <v>45.4</v>
      </c>
      <c r="X96" t="s">
        <v>2500</v>
      </c>
      <c r="Y96" t="s">
        <v>2501</v>
      </c>
      <c r="Z96" t="s">
        <v>2730</v>
      </c>
      <c r="AA96" t="s">
        <v>2138</v>
      </c>
      <c r="AB96" t="s">
        <v>2120</v>
      </c>
      <c r="AC96" t="s">
        <v>2119</v>
      </c>
      <c r="AD96" t="s">
        <v>2119</v>
      </c>
      <c r="AE96" t="s">
        <v>2120</v>
      </c>
      <c r="AF96" t="s">
        <v>2119</v>
      </c>
      <c r="AG96" t="s">
        <v>2120</v>
      </c>
      <c r="AH96" t="s">
        <v>2119</v>
      </c>
      <c r="AI96" t="s">
        <v>2120</v>
      </c>
      <c r="AJ96" t="s">
        <v>2119</v>
      </c>
      <c r="AK96" t="s">
        <v>2120</v>
      </c>
      <c r="AL96" t="s">
        <v>2120</v>
      </c>
      <c r="AM96" t="s">
        <v>2120</v>
      </c>
      <c r="AN96" t="s">
        <v>2119</v>
      </c>
      <c r="AO96" t="s">
        <v>2119</v>
      </c>
      <c r="AP96" t="s">
        <v>2120</v>
      </c>
      <c r="AQ96" t="s">
        <v>2119</v>
      </c>
    </row>
    <row r="97" spans="2:43" x14ac:dyDescent="0.2">
      <c r="B97" t="s">
        <v>478</v>
      </c>
      <c r="C97" t="s">
        <v>122</v>
      </c>
      <c r="D97">
        <v>0.66666666666666663</v>
      </c>
      <c r="E97" t="s">
        <v>157</v>
      </c>
      <c r="F97" t="s">
        <v>158</v>
      </c>
      <c r="H97">
        <v>52</v>
      </c>
      <c r="I97">
        <v>26.3</v>
      </c>
      <c r="J97">
        <v>21.7</v>
      </c>
      <c r="K97">
        <v>78.3</v>
      </c>
      <c r="L97">
        <v>48</v>
      </c>
      <c r="M97">
        <v>73.7</v>
      </c>
      <c r="N97">
        <v>32.700000000000003</v>
      </c>
      <c r="O97">
        <v>43.1</v>
      </c>
      <c r="P97">
        <v>24.2</v>
      </c>
      <c r="Q97">
        <v>70.099999999999994</v>
      </c>
      <c r="R97">
        <v>77.900000000000006</v>
      </c>
      <c r="S97">
        <v>52.9</v>
      </c>
      <c r="T97">
        <v>47.1</v>
      </c>
      <c r="U97">
        <v>53.8</v>
      </c>
      <c r="V97">
        <v>54.9</v>
      </c>
      <c r="W97">
        <v>45.1</v>
      </c>
      <c r="X97" t="s">
        <v>2497</v>
      </c>
      <c r="Y97" t="s">
        <v>158</v>
      </c>
      <c r="Z97" t="s">
        <v>2731</v>
      </c>
      <c r="AA97" t="s">
        <v>459</v>
      </c>
      <c r="AB97" t="s">
        <v>2119</v>
      </c>
      <c r="AC97" t="s">
        <v>2120</v>
      </c>
      <c r="AD97" t="s">
        <v>2119</v>
      </c>
      <c r="AE97" t="s">
        <v>2120</v>
      </c>
      <c r="AF97" t="s">
        <v>2120</v>
      </c>
      <c r="AG97" t="s">
        <v>2119</v>
      </c>
      <c r="AH97" t="s">
        <v>2119</v>
      </c>
      <c r="AI97" t="s">
        <v>2119</v>
      </c>
      <c r="AJ97" t="s">
        <v>2120</v>
      </c>
      <c r="AK97" t="s">
        <v>2120</v>
      </c>
      <c r="AL97" t="s">
        <v>2120</v>
      </c>
      <c r="AM97" t="s">
        <v>2119</v>
      </c>
      <c r="AN97" t="s">
        <v>2120</v>
      </c>
      <c r="AO97" t="s">
        <v>2120</v>
      </c>
      <c r="AP97" t="s">
        <v>2120</v>
      </c>
      <c r="AQ97" t="s">
        <v>2119</v>
      </c>
    </row>
    <row r="98" spans="2:43" x14ac:dyDescent="0.2">
      <c r="B98" t="s">
        <v>479</v>
      </c>
      <c r="C98" t="s">
        <v>122</v>
      </c>
      <c r="D98">
        <v>0.66666666666666663</v>
      </c>
      <c r="E98" t="s">
        <v>159</v>
      </c>
      <c r="F98" t="s">
        <v>160</v>
      </c>
      <c r="H98">
        <v>37.9</v>
      </c>
      <c r="I98">
        <v>32.5</v>
      </c>
      <c r="J98">
        <v>29.6</v>
      </c>
      <c r="K98">
        <v>70.400000000000006</v>
      </c>
      <c r="L98">
        <v>62.1</v>
      </c>
      <c r="M98">
        <v>67.5</v>
      </c>
      <c r="N98">
        <v>29.3</v>
      </c>
      <c r="O98">
        <v>53.2</v>
      </c>
      <c r="P98">
        <v>17.5</v>
      </c>
      <c r="Q98">
        <v>54.7</v>
      </c>
      <c r="R98">
        <v>63.2</v>
      </c>
      <c r="S98">
        <v>34.799999999999997</v>
      </c>
      <c r="T98">
        <v>65.2</v>
      </c>
      <c r="U98">
        <v>70</v>
      </c>
      <c r="V98">
        <v>43.2</v>
      </c>
      <c r="W98">
        <v>56.8</v>
      </c>
      <c r="X98" t="s">
        <v>2542</v>
      </c>
      <c r="Y98" t="s">
        <v>160</v>
      </c>
      <c r="Z98" t="s">
        <v>2732</v>
      </c>
      <c r="AA98" t="s">
        <v>453</v>
      </c>
      <c r="AB98" t="s">
        <v>2120</v>
      </c>
      <c r="AC98" t="s">
        <v>2119</v>
      </c>
      <c r="AD98" t="s">
        <v>2119</v>
      </c>
      <c r="AE98" t="s">
        <v>2120</v>
      </c>
      <c r="AF98" t="s">
        <v>2119</v>
      </c>
      <c r="AG98" t="s">
        <v>2120</v>
      </c>
      <c r="AH98" t="s">
        <v>2119</v>
      </c>
      <c r="AI98" t="s">
        <v>2120</v>
      </c>
      <c r="AJ98" t="s">
        <v>2119</v>
      </c>
      <c r="AK98" t="s">
        <v>2119</v>
      </c>
      <c r="AL98" t="s">
        <v>2119</v>
      </c>
      <c r="AM98" t="s">
        <v>2119</v>
      </c>
      <c r="AN98" t="s">
        <v>2120</v>
      </c>
      <c r="AO98" t="s">
        <v>2120</v>
      </c>
      <c r="AP98" t="s">
        <v>2119</v>
      </c>
      <c r="AQ98" t="s">
        <v>2120</v>
      </c>
    </row>
    <row r="99" spans="2:43" x14ac:dyDescent="0.2">
      <c r="B99" t="s">
        <v>480</v>
      </c>
      <c r="C99" t="s">
        <v>122</v>
      </c>
      <c r="D99">
        <v>0.67708333333333337</v>
      </c>
      <c r="E99" t="s">
        <v>163</v>
      </c>
      <c r="F99" t="s">
        <v>164</v>
      </c>
      <c r="H99">
        <v>38.4</v>
      </c>
      <c r="I99">
        <v>25.5</v>
      </c>
      <c r="J99">
        <v>36.1</v>
      </c>
      <c r="K99">
        <v>63.9</v>
      </c>
      <c r="L99">
        <v>61.6</v>
      </c>
      <c r="M99">
        <v>74.5</v>
      </c>
      <c r="N99">
        <v>38.299999999999997</v>
      </c>
      <c r="O99">
        <v>36.799999999999997</v>
      </c>
      <c r="P99">
        <v>25</v>
      </c>
      <c r="Q99">
        <v>79.5</v>
      </c>
      <c r="R99">
        <v>93.2</v>
      </c>
      <c r="S99">
        <v>79.7</v>
      </c>
      <c r="T99">
        <v>20.3</v>
      </c>
      <c r="U99">
        <v>24.8</v>
      </c>
      <c r="V99">
        <v>78.8</v>
      </c>
      <c r="W99">
        <v>21.2</v>
      </c>
      <c r="X99" t="s">
        <v>2489</v>
      </c>
      <c r="Y99" t="s">
        <v>164</v>
      </c>
      <c r="Z99" t="s">
        <v>2733</v>
      </c>
      <c r="AA99" t="s">
        <v>462</v>
      </c>
      <c r="AB99" t="s">
        <v>2120</v>
      </c>
      <c r="AC99" t="s">
        <v>2119</v>
      </c>
      <c r="AD99" t="s">
        <v>2119</v>
      </c>
      <c r="AE99" t="s">
        <v>2120</v>
      </c>
      <c r="AF99" t="s">
        <v>2119</v>
      </c>
      <c r="AG99" t="s">
        <v>2120</v>
      </c>
      <c r="AH99" t="s">
        <v>2120</v>
      </c>
      <c r="AI99" t="s">
        <v>2119</v>
      </c>
      <c r="AJ99" t="s">
        <v>2119</v>
      </c>
      <c r="AK99" t="s">
        <v>2120</v>
      </c>
      <c r="AL99" t="s">
        <v>2120</v>
      </c>
      <c r="AM99" t="s">
        <v>2120</v>
      </c>
      <c r="AN99" t="s">
        <v>2119</v>
      </c>
      <c r="AO99" t="s">
        <v>2120</v>
      </c>
      <c r="AP99" t="s">
        <v>2120</v>
      </c>
      <c r="AQ99" t="s">
        <v>2119</v>
      </c>
    </row>
    <row r="100" spans="2:43" x14ac:dyDescent="0.2">
      <c r="B100" t="s">
        <v>470</v>
      </c>
      <c r="C100" t="s">
        <v>122</v>
      </c>
      <c r="D100">
        <v>0.69791666666666663</v>
      </c>
      <c r="E100" t="s">
        <v>165</v>
      </c>
      <c r="F100" t="s">
        <v>166</v>
      </c>
      <c r="H100">
        <v>43.1</v>
      </c>
      <c r="I100">
        <v>31.9</v>
      </c>
      <c r="J100">
        <v>25</v>
      </c>
      <c r="K100">
        <v>75</v>
      </c>
      <c r="L100">
        <v>56.9</v>
      </c>
      <c r="M100">
        <v>68.099999999999994</v>
      </c>
      <c r="N100">
        <v>34.700000000000003</v>
      </c>
      <c r="O100">
        <v>47.3</v>
      </c>
      <c r="P100">
        <v>18</v>
      </c>
      <c r="Q100">
        <v>62.6</v>
      </c>
      <c r="R100">
        <v>62.8</v>
      </c>
      <c r="S100">
        <v>34.4</v>
      </c>
      <c r="T100">
        <v>65.599999999999994</v>
      </c>
      <c r="U100">
        <v>70.7</v>
      </c>
      <c r="V100">
        <v>42</v>
      </c>
      <c r="W100">
        <v>58</v>
      </c>
      <c r="X100" t="s">
        <v>2230</v>
      </c>
      <c r="Y100" t="s">
        <v>2231</v>
      </c>
      <c r="Z100" t="s">
        <v>2734</v>
      </c>
      <c r="AA100" t="s">
        <v>453</v>
      </c>
      <c r="AB100" t="s">
        <v>2120</v>
      </c>
      <c r="AC100" t="s">
        <v>2119</v>
      </c>
      <c r="AD100" t="s">
        <v>2119</v>
      </c>
      <c r="AE100" t="s">
        <v>2120</v>
      </c>
      <c r="AF100" t="s">
        <v>2119</v>
      </c>
      <c r="AG100" t="s">
        <v>2120</v>
      </c>
      <c r="AH100" t="s">
        <v>2119</v>
      </c>
      <c r="AI100" t="s">
        <v>2120</v>
      </c>
      <c r="AJ100" t="s">
        <v>2119</v>
      </c>
      <c r="AK100" t="s">
        <v>2119</v>
      </c>
      <c r="AL100" t="s">
        <v>2119</v>
      </c>
      <c r="AM100" t="s">
        <v>2119</v>
      </c>
      <c r="AN100" t="s">
        <v>2120</v>
      </c>
      <c r="AO100" t="s">
        <v>2120</v>
      </c>
      <c r="AP100" t="s">
        <v>2119</v>
      </c>
      <c r="AQ100" t="s">
        <v>2120</v>
      </c>
    </row>
    <row r="101" spans="2:43" x14ac:dyDescent="0.2">
      <c r="B101" t="s">
        <v>480</v>
      </c>
      <c r="C101" t="s">
        <v>122</v>
      </c>
      <c r="D101">
        <v>0.70833333333333337</v>
      </c>
      <c r="E101" t="s">
        <v>169</v>
      </c>
      <c r="F101" t="s">
        <v>170</v>
      </c>
      <c r="H101">
        <v>31</v>
      </c>
      <c r="I101">
        <v>25.6</v>
      </c>
      <c r="J101">
        <v>43.4</v>
      </c>
      <c r="K101">
        <v>56.6</v>
      </c>
      <c r="L101">
        <v>69</v>
      </c>
      <c r="M101">
        <v>74.400000000000006</v>
      </c>
      <c r="N101">
        <v>17.5</v>
      </c>
      <c r="O101">
        <v>40.299999999999997</v>
      </c>
      <c r="P101">
        <v>42.3</v>
      </c>
      <c r="Q101">
        <v>72.900000000000006</v>
      </c>
      <c r="R101">
        <v>89.1</v>
      </c>
      <c r="S101">
        <v>71.3</v>
      </c>
      <c r="T101">
        <v>28.7</v>
      </c>
      <c r="U101">
        <v>34.1</v>
      </c>
      <c r="V101">
        <v>71.7</v>
      </c>
      <c r="W101">
        <v>28.3</v>
      </c>
      <c r="X101" t="s">
        <v>169</v>
      </c>
      <c r="Y101" t="s">
        <v>170</v>
      </c>
      <c r="Z101" t="s">
        <v>2735</v>
      </c>
      <c r="AA101" t="s">
        <v>2118</v>
      </c>
      <c r="AB101" t="s">
        <v>2119</v>
      </c>
      <c r="AC101" t="s">
        <v>2119</v>
      </c>
      <c r="AD101" t="s">
        <v>2120</v>
      </c>
      <c r="AE101" t="s">
        <v>2119</v>
      </c>
      <c r="AF101" t="s">
        <v>2120</v>
      </c>
      <c r="AG101" t="s">
        <v>2120</v>
      </c>
      <c r="AH101" t="s">
        <v>2119</v>
      </c>
      <c r="AI101" t="s">
        <v>2119</v>
      </c>
      <c r="AJ101" t="s">
        <v>2120</v>
      </c>
      <c r="AK101" t="s">
        <v>2120</v>
      </c>
      <c r="AL101" t="s">
        <v>2120</v>
      </c>
      <c r="AM101" t="s">
        <v>2120</v>
      </c>
      <c r="AN101" t="s">
        <v>2119</v>
      </c>
      <c r="AO101" t="s">
        <v>2119</v>
      </c>
      <c r="AP101" t="s">
        <v>2120</v>
      </c>
      <c r="AQ101" t="s">
        <v>2119</v>
      </c>
    </row>
    <row r="102" spans="2:43" x14ac:dyDescent="0.2">
      <c r="B102" t="s">
        <v>482</v>
      </c>
      <c r="C102" t="s">
        <v>122</v>
      </c>
      <c r="D102">
        <v>0.70833333333333337</v>
      </c>
      <c r="E102" t="s">
        <v>171</v>
      </c>
      <c r="F102" t="s">
        <v>172</v>
      </c>
      <c r="H102">
        <v>40.799999999999997</v>
      </c>
      <c r="I102">
        <v>29.9</v>
      </c>
      <c r="J102">
        <v>29.3</v>
      </c>
      <c r="K102">
        <v>70.7</v>
      </c>
      <c r="L102">
        <v>59.2</v>
      </c>
      <c r="M102">
        <v>70.099999999999994</v>
      </c>
      <c r="N102">
        <v>22</v>
      </c>
      <c r="O102">
        <v>48.5</v>
      </c>
      <c r="P102">
        <v>29.5</v>
      </c>
      <c r="Q102">
        <v>62.1</v>
      </c>
      <c r="R102">
        <v>71</v>
      </c>
      <c r="S102">
        <v>43.7</v>
      </c>
      <c r="T102">
        <v>56.3</v>
      </c>
      <c r="U102">
        <v>61.8</v>
      </c>
      <c r="V102">
        <v>50.3</v>
      </c>
      <c r="W102">
        <v>49.7</v>
      </c>
      <c r="X102" t="s">
        <v>171</v>
      </c>
      <c r="Y102" t="s">
        <v>2545</v>
      </c>
      <c r="Z102" t="s">
        <v>2736</v>
      </c>
      <c r="AA102" t="s">
        <v>2133</v>
      </c>
      <c r="AB102" t="s">
        <v>2120</v>
      </c>
      <c r="AC102" t="s">
        <v>2119</v>
      </c>
      <c r="AD102" t="s">
        <v>2119</v>
      </c>
      <c r="AE102" t="s">
        <v>2120</v>
      </c>
      <c r="AF102" t="s">
        <v>2119</v>
      </c>
      <c r="AG102" t="s">
        <v>2120</v>
      </c>
      <c r="AH102" t="s">
        <v>2120</v>
      </c>
      <c r="AI102" t="s">
        <v>2119</v>
      </c>
      <c r="AJ102" t="s">
        <v>2119</v>
      </c>
      <c r="AK102" t="s">
        <v>2120</v>
      </c>
      <c r="AL102" t="s">
        <v>2120</v>
      </c>
      <c r="AM102" t="s">
        <v>2120</v>
      </c>
      <c r="AN102" t="s">
        <v>2119</v>
      </c>
      <c r="AO102" t="s">
        <v>2119</v>
      </c>
      <c r="AP102" t="s">
        <v>2120</v>
      </c>
      <c r="AQ102" t="s">
        <v>2119</v>
      </c>
    </row>
    <row r="103" spans="2:43" x14ac:dyDescent="0.2">
      <c r="B103" t="s">
        <v>483</v>
      </c>
      <c r="C103" t="s">
        <v>122</v>
      </c>
      <c r="D103">
        <v>0.75347222222222221</v>
      </c>
      <c r="E103" t="s">
        <v>173</v>
      </c>
      <c r="F103" t="s">
        <v>174</v>
      </c>
      <c r="H103">
        <v>51.5</v>
      </c>
      <c r="I103">
        <v>29.7</v>
      </c>
      <c r="J103">
        <v>18.8</v>
      </c>
      <c r="K103">
        <v>81.2</v>
      </c>
      <c r="L103">
        <v>48.5</v>
      </c>
      <c r="M103">
        <v>70.3</v>
      </c>
      <c r="N103">
        <v>39.1</v>
      </c>
      <c r="O103">
        <v>44.2</v>
      </c>
      <c r="P103">
        <v>16.7</v>
      </c>
      <c r="Q103">
        <v>66.5</v>
      </c>
      <c r="R103">
        <v>63.9</v>
      </c>
      <c r="S103">
        <v>35.700000000000003</v>
      </c>
      <c r="T103">
        <v>64.3</v>
      </c>
      <c r="U103">
        <v>70.5</v>
      </c>
      <c r="V103">
        <v>40.299999999999997</v>
      </c>
      <c r="W103">
        <v>59.7</v>
      </c>
      <c r="X103" t="s">
        <v>420</v>
      </c>
      <c r="Y103" t="s">
        <v>2396</v>
      </c>
      <c r="Z103" t="s">
        <v>2737</v>
      </c>
      <c r="AA103" t="s">
        <v>456</v>
      </c>
      <c r="AB103" t="s">
        <v>2119</v>
      </c>
      <c r="AC103" t="s">
        <v>2119</v>
      </c>
      <c r="AD103" t="s">
        <v>2120</v>
      </c>
      <c r="AE103" t="s">
        <v>2119</v>
      </c>
      <c r="AF103" t="s">
        <v>2120</v>
      </c>
      <c r="AG103" t="s">
        <v>2120</v>
      </c>
      <c r="AH103" t="s">
        <v>2119</v>
      </c>
      <c r="AI103" t="s">
        <v>2120</v>
      </c>
      <c r="AJ103" t="s">
        <v>2119</v>
      </c>
      <c r="AK103" t="s">
        <v>2119</v>
      </c>
      <c r="AL103" t="s">
        <v>2119</v>
      </c>
      <c r="AM103" t="s">
        <v>2119</v>
      </c>
      <c r="AN103" t="s">
        <v>2120</v>
      </c>
      <c r="AO103" t="s">
        <v>2120</v>
      </c>
      <c r="AP103" t="s">
        <v>2119</v>
      </c>
      <c r="AQ103" t="s">
        <v>2120</v>
      </c>
    </row>
    <row r="104" spans="2:43" x14ac:dyDescent="0.2">
      <c r="B104" t="s">
        <v>479</v>
      </c>
      <c r="C104" t="s">
        <v>122</v>
      </c>
      <c r="D104">
        <v>0.77083333333333337</v>
      </c>
      <c r="E104" t="s">
        <v>175</v>
      </c>
      <c r="F104" t="s">
        <v>176</v>
      </c>
      <c r="H104">
        <v>46.3</v>
      </c>
      <c r="I104">
        <v>29.2</v>
      </c>
      <c r="J104">
        <v>24.5</v>
      </c>
      <c r="K104">
        <v>75.5</v>
      </c>
      <c r="L104">
        <v>53.7</v>
      </c>
      <c r="M104">
        <v>70.8</v>
      </c>
      <c r="N104">
        <v>31.9</v>
      </c>
      <c r="O104">
        <v>47</v>
      </c>
      <c r="P104">
        <v>21.1</v>
      </c>
      <c r="Q104">
        <v>63.8</v>
      </c>
      <c r="R104">
        <v>70.599999999999994</v>
      </c>
      <c r="S104">
        <v>43.3</v>
      </c>
      <c r="T104">
        <v>56.7</v>
      </c>
      <c r="U104">
        <v>62.5</v>
      </c>
      <c r="V104">
        <v>48.8</v>
      </c>
      <c r="W104">
        <v>51.2</v>
      </c>
      <c r="X104" t="s">
        <v>2543</v>
      </c>
      <c r="Y104" t="s">
        <v>176</v>
      </c>
      <c r="Z104" t="s">
        <v>2738</v>
      </c>
      <c r="AA104" t="s">
        <v>460</v>
      </c>
      <c r="AB104" t="s">
        <v>2119</v>
      </c>
      <c r="AC104" t="s">
        <v>2119</v>
      </c>
      <c r="AD104" t="s">
        <v>2120</v>
      </c>
      <c r="AE104" t="s">
        <v>2119</v>
      </c>
      <c r="AF104" t="s">
        <v>2120</v>
      </c>
      <c r="AG104" t="s">
        <v>2120</v>
      </c>
      <c r="AH104" t="s">
        <v>2120</v>
      </c>
      <c r="AI104" t="s">
        <v>2119</v>
      </c>
      <c r="AJ104" t="s">
        <v>2119</v>
      </c>
      <c r="AK104" t="s">
        <v>2120</v>
      </c>
      <c r="AL104" t="s">
        <v>2120</v>
      </c>
      <c r="AM104" t="s">
        <v>2120</v>
      </c>
      <c r="AN104" t="s">
        <v>2119</v>
      </c>
      <c r="AO104" t="s">
        <v>2120</v>
      </c>
      <c r="AP104" t="s">
        <v>2120</v>
      </c>
      <c r="AQ104" t="s">
        <v>2119</v>
      </c>
    </row>
    <row r="105" spans="2:43" x14ac:dyDescent="0.2">
      <c r="B105" t="s">
        <v>470</v>
      </c>
      <c r="C105" t="s">
        <v>122</v>
      </c>
      <c r="D105">
        <v>0.79166666666666663</v>
      </c>
      <c r="E105" t="s">
        <v>177</v>
      </c>
      <c r="F105" t="s">
        <v>178</v>
      </c>
      <c r="H105">
        <v>43.9</v>
      </c>
      <c r="I105">
        <v>31</v>
      </c>
      <c r="J105">
        <v>25.1</v>
      </c>
      <c r="K105">
        <v>74.900000000000006</v>
      </c>
      <c r="L105">
        <v>56.1</v>
      </c>
      <c r="M105">
        <v>69</v>
      </c>
      <c r="N105">
        <v>28.5</v>
      </c>
      <c r="O105">
        <v>46</v>
      </c>
      <c r="P105">
        <v>25.5</v>
      </c>
      <c r="Q105">
        <v>65.900000000000006</v>
      </c>
      <c r="R105">
        <v>65.400000000000006</v>
      </c>
      <c r="S105">
        <v>37.299999999999997</v>
      </c>
      <c r="T105">
        <v>62.7</v>
      </c>
      <c r="U105">
        <v>68.099999999999994</v>
      </c>
      <c r="V105">
        <v>44.3</v>
      </c>
      <c r="W105">
        <v>55.7</v>
      </c>
      <c r="X105" t="s">
        <v>2232</v>
      </c>
      <c r="Y105" t="s">
        <v>178</v>
      </c>
      <c r="Z105" t="s">
        <v>2739</v>
      </c>
      <c r="AA105" t="s">
        <v>462</v>
      </c>
      <c r="AB105" t="s">
        <v>2120</v>
      </c>
      <c r="AC105" t="s">
        <v>2119</v>
      </c>
      <c r="AD105" t="s">
        <v>2119</v>
      </c>
      <c r="AE105" t="s">
        <v>2120</v>
      </c>
      <c r="AF105" t="s">
        <v>2119</v>
      </c>
      <c r="AG105" t="s">
        <v>2120</v>
      </c>
      <c r="AH105" t="s">
        <v>2119</v>
      </c>
      <c r="AI105" t="s">
        <v>2120</v>
      </c>
      <c r="AJ105" t="s">
        <v>2119</v>
      </c>
      <c r="AK105" t="s">
        <v>2120</v>
      </c>
      <c r="AL105" t="s">
        <v>2120</v>
      </c>
      <c r="AM105" t="s">
        <v>2120</v>
      </c>
      <c r="AN105" t="s">
        <v>2119</v>
      </c>
      <c r="AO105" t="s">
        <v>2120</v>
      </c>
      <c r="AP105" t="s">
        <v>2120</v>
      </c>
      <c r="AQ105" t="s">
        <v>2119</v>
      </c>
    </row>
    <row r="106" spans="2:43" x14ac:dyDescent="0.2">
      <c r="B106" t="s">
        <v>470</v>
      </c>
      <c r="C106" t="s">
        <v>122</v>
      </c>
      <c r="D106">
        <v>0.79166666666666663</v>
      </c>
      <c r="E106" t="s">
        <v>179</v>
      </c>
      <c r="F106" t="s">
        <v>180</v>
      </c>
      <c r="H106">
        <v>44.7</v>
      </c>
      <c r="I106">
        <v>32.1</v>
      </c>
      <c r="J106">
        <v>23.2</v>
      </c>
      <c r="K106">
        <v>76.8</v>
      </c>
      <c r="L106">
        <v>55.3</v>
      </c>
      <c r="M106">
        <v>67.900000000000006</v>
      </c>
      <c r="N106">
        <v>23.7</v>
      </c>
      <c r="O106">
        <v>53</v>
      </c>
      <c r="P106">
        <v>23.3</v>
      </c>
      <c r="Q106">
        <v>55.5</v>
      </c>
      <c r="R106">
        <v>61</v>
      </c>
      <c r="S106">
        <v>32.6</v>
      </c>
      <c r="T106">
        <v>67.400000000000006</v>
      </c>
      <c r="U106">
        <v>72.5</v>
      </c>
      <c r="V106">
        <v>39.9</v>
      </c>
      <c r="W106">
        <v>60.1</v>
      </c>
      <c r="X106" t="s">
        <v>2233</v>
      </c>
      <c r="Y106" t="s">
        <v>2234</v>
      </c>
      <c r="Z106" t="s">
        <v>2740</v>
      </c>
      <c r="AA106" t="s">
        <v>453</v>
      </c>
      <c r="AB106" t="s">
        <v>2120</v>
      </c>
      <c r="AC106" t="s">
        <v>2119</v>
      </c>
      <c r="AD106" t="s">
        <v>2119</v>
      </c>
      <c r="AE106" t="s">
        <v>2120</v>
      </c>
      <c r="AF106" t="s">
        <v>2119</v>
      </c>
      <c r="AG106" t="s">
        <v>2120</v>
      </c>
      <c r="AH106" t="s">
        <v>2120</v>
      </c>
      <c r="AI106" t="s">
        <v>2119</v>
      </c>
      <c r="AJ106" t="s">
        <v>2119</v>
      </c>
      <c r="AK106" t="s">
        <v>2120</v>
      </c>
      <c r="AL106" t="s">
        <v>2119</v>
      </c>
      <c r="AM106" t="s">
        <v>2119</v>
      </c>
      <c r="AN106" t="s">
        <v>2120</v>
      </c>
      <c r="AO106" t="s">
        <v>2120</v>
      </c>
      <c r="AP106" t="s">
        <v>2119</v>
      </c>
      <c r="AQ106" t="s">
        <v>2120</v>
      </c>
    </row>
    <row r="107" spans="2:43" x14ac:dyDescent="0.2">
      <c r="B107" t="s">
        <v>484</v>
      </c>
      <c r="C107" t="s">
        <v>122</v>
      </c>
      <c r="D107">
        <v>0.79166666666666663</v>
      </c>
      <c r="E107" t="s">
        <v>181</v>
      </c>
      <c r="F107" t="s">
        <v>182</v>
      </c>
      <c r="H107">
        <v>46.3</v>
      </c>
      <c r="I107">
        <v>25.9</v>
      </c>
      <c r="J107">
        <v>27.8</v>
      </c>
      <c r="K107">
        <v>72.2</v>
      </c>
      <c r="L107">
        <v>53.7</v>
      </c>
      <c r="M107">
        <v>74.099999999999994</v>
      </c>
      <c r="N107">
        <v>23.2</v>
      </c>
      <c r="O107">
        <v>44.9</v>
      </c>
      <c r="P107">
        <v>31.9</v>
      </c>
      <c r="Q107">
        <v>67.5</v>
      </c>
      <c r="R107">
        <v>84.5</v>
      </c>
      <c r="S107">
        <v>62.9</v>
      </c>
      <c r="T107">
        <v>37.1</v>
      </c>
      <c r="U107">
        <v>43</v>
      </c>
      <c r="V107">
        <v>64.7</v>
      </c>
      <c r="W107">
        <v>35.299999999999997</v>
      </c>
      <c r="X107" t="s">
        <v>181</v>
      </c>
      <c r="Y107" t="s">
        <v>182</v>
      </c>
      <c r="Z107" t="s">
        <v>2741</v>
      </c>
      <c r="AA107" t="s">
        <v>461</v>
      </c>
      <c r="AB107" t="s">
        <v>2119</v>
      </c>
      <c r="AC107" t="s">
        <v>2119</v>
      </c>
      <c r="AD107" t="s">
        <v>2120</v>
      </c>
      <c r="AE107" t="s">
        <v>2119</v>
      </c>
      <c r="AF107" t="s">
        <v>2120</v>
      </c>
      <c r="AG107" t="s">
        <v>2120</v>
      </c>
      <c r="AH107" t="s">
        <v>2120</v>
      </c>
      <c r="AI107" t="s">
        <v>2119</v>
      </c>
      <c r="AJ107" t="s">
        <v>2119</v>
      </c>
      <c r="AK107" t="s">
        <v>2120</v>
      </c>
      <c r="AL107" t="s">
        <v>2120</v>
      </c>
      <c r="AM107" t="s">
        <v>2120</v>
      </c>
      <c r="AN107" t="s">
        <v>2119</v>
      </c>
      <c r="AO107" t="s">
        <v>2119</v>
      </c>
      <c r="AP107" t="s">
        <v>2120</v>
      </c>
      <c r="AQ107" t="s">
        <v>2119</v>
      </c>
    </row>
    <row r="108" spans="2:43" x14ac:dyDescent="0.2">
      <c r="B108" t="s">
        <v>485</v>
      </c>
      <c r="C108" t="s">
        <v>122</v>
      </c>
      <c r="D108">
        <v>0.79166666666666663</v>
      </c>
      <c r="E108" t="s">
        <v>183</v>
      </c>
      <c r="F108" t="s">
        <v>184</v>
      </c>
      <c r="H108">
        <v>36.1</v>
      </c>
      <c r="I108">
        <v>30.4</v>
      </c>
      <c r="J108">
        <v>33.4</v>
      </c>
      <c r="K108">
        <v>66.599999999999994</v>
      </c>
      <c r="L108">
        <v>63.9</v>
      </c>
      <c r="M108">
        <v>69.599999999999994</v>
      </c>
      <c r="N108">
        <v>26.1</v>
      </c>
      <c r="O108">
        <v>45.3</v>
      </c>
      <c r="P108">
        <v>28.6</v>
      </c>
      <c r="Q108">
        <v>67</v>
      </c>
      <c r="R108">
        <v>70.599999999999994</v>
      </c>
      <c r="S108">
        <v>43.2</v>
      </c>
      <c r="T108">
        <v>56.8</v>
      </c>
      <c r="U108">
        <v>62</v>
      </c>
      <c r="V108">
        <v>50.4</v>
      </c>
      <c r="W108">
        <v>49.6</v>
      </c>
      <c r="X108" t="s">
        <v>2391</v>
      </c>
      <c r="Y108" t="s">
        <v>2392</v>
      </c>
      <c r="Z108" t="s">
        <v>2742</v>
      </c>
      <c r="AA108" t="s">
        <v>2743</v>
      </c>
      <c r="AB108" t="s">
        <v>2119</v>
      </c>
      <c r="AC108" t="s">
        <v>2120</v>
      </c>
      <c r="AD108" t="s">
        <v>2119</v>
      </c>
      <c r="AE108" t="s">
        <v>2120</v>
      </c>
      <c r="AF108" t="s">
        <v>2120</v>
      </c>
      <c r="AG108" t="s">
        <v>2119</v>
      </c>
      <c r="AH108" t="s">
        <v>2119</v>
      </c>
      <c r="AI108" t="s">
        <v>2120</v>
      </c>
      <c r="AJ108" t="s">
        <v>2119</v>
      </c>
      <c r="AK108" t="s">
        <v>2119</v>
      </c>
      <c r="AL108" t="s">
        <v>2119</v>
      </c>
      <c r="AM108" t="s">
        <v>2119</v>
      </c>
      <c r="AN108" t="s">
        <v>2120</v>
      </c>
      <c r="AO108" t="s">
        <v>2120</v>
      </c>
      <c r="AP108" t="s">
        <v>2119</v>
      </c>
      <c r="AQ108" t="s">
        <v>2120</v>
      </c>
    </row>
    <row r="109" spans="2:43" x14ac:dyDescent="0.2">
      <c r="B109" t="s">
        <v>486</v>
      </c>
      <c r="C109" t="s">
        <v>122</v>
      </c>
      <c r="D109">
        <v>0.8125</v>
      </c>
      <c r="E109" t="s">
        <v>185</v>
      </c>
      <c r="F109" t="s">
        <v>186</v>
      </c>
      <c r="H109">
        <v>55.7</v>
      </c>
      <c r="I109">
        <v>25.9</v>
      </c>
      <c r="J109">
        <v>18.399999999999999</v>
      </c>
      <c r="K109">
        <v>81.599999999999994</v>
      </c>
      <c r="L109">
        <v>44.3</v>
      </c>
      <c r="M109">
        <v>74.099999999999994</v>
      </c>
      <c r="N109">
        <v>45.9</v>
      </c>
      <c r="O109">
        <v>38.4</v>
      </c>
      <c r="P109">
        <v>15.7</v>
      </c>
      <c r="Q109">
        <v>73.900000000000006</v>
      </c>
      <c r="R109">
        <v>75.5</v>
      </c>
      <c r="S109">
        <v>49.7</v>
      </c>
      <c r="T109">
        <v>50.3</v>
      </c>
      <c r="U109">
        <v>57.5</v>
      </c>
      <c r="V109">
        <v>50.6</v>
      </c>
      <c r="W109">
        <v>49.4</v>
      </c>
      <c r="X109" t="s">
        <v>1323</v>
      </c>
      <c r="Y109" t="s">
        <v>2614</v>
      </c>
      <c r="Z109" t="s">
        <v>2744</v>
      </c>
      <c r="AA109" t="s">
        <v>2743</v>
      </c>
      <c r="AB109" t="s">
        <v>2119</v>
      </c>
      <c r="AC109" t="s">
        <v>2120</v>
      </c>
      <c r="AD109" t="s">
        <v>2119</v>
      </c>
      <c r="AE109" t="s">
        <v>2120</v>
      </c>
      <c r="AF109" t="s">
        <v>2120</v>
      </c>
      <c r="AG109" t="s">
        <v>2119</v>
      </c>
      <c r="AH109" t="s">
        <v>2119</v>
      </c>
      <c r="AI109" t="s">
        <v>2120</v>
      </c>
      <c r="AJ109" t="s">
        <v>2119</v>
      </c>
      <c r="AK109" t="s">
        <v>2119</v>
      </c>
      <c r="AL109" t="s">
        <v>2119</v>
      </c>
      <c r="AM109" t="s">
        <v>2119</v>
      </c>
      <c r="AN109" t="s">
        <v>2120</v>
      </c>
      <c r="AO109" t="s">
        <v>2120</v>
      </c>
      <c r="AP109" t="s">
        <v>2119</v>
      </c>
      <c r="AQ109" t="s">
        <v>2120</v>
      </c>
    </row>
    <row r="110" spans="2:43" x14ac:dyDescent="0.2">
      <c r="B110" t="s">
        <v>483</v>
      </c>
      <c r="C110" t="s">
        <v>122</v>
      </c>
      <c r="D110">
        <v>0.83333333333333337</v>
      </c>
      <c r="E110" t="s">
        <v>189</v>
      </c>
      <c r="F110" t="s">
        <v>190</v>
      </c>
      <c r="H110">
        <v>54.3</v>
      </c>
      <c r="I110">
        <v>29.8</v>
      </c>
      <c r="J110">
        <v>15.9</v>
      </c>
      <c r="K110">
        <v>84.1</v>
      </c>
      <c r="L110">
        <v>45.7</v>
      </c>
      <c r="M110">
        <v>70.2</v>
      </c>
      <c r="N110">
        <v>41.3</v>
      </c>
      <c r="O110">
        <v>45.6</v>
      </c>
      <c r="P110">
        <v>13</v>
      </c>
      <c r="Q110">
        <v>63</v>
      </c>
      <c r="R110">
        <v>60.2</v>
      </c>
      <c r="S110">
        <v>32</v>
      </c>
      <c r="T110">
        <v>68</v>
      </c>
      <c r="U110">
        <v>74.5</v>
      </c>
      <c r="V110">
        <v>35.4</v>
      </c>
      <c r="W110">
        <v>64.599999999999994</v>
      </c>
      <c r="X110" t="s">
        <v>189</v>
      </c>
      <c r="Y110" t="s">
        <v>100</v>
      </c>
      <c r="Z110" t="s">
        <v>2745</v>
      </c>
      <c r="AA110" t="s">
        <v>456</v>
      </c>
      <c r="AB110" t="s">
        <v>2119</v>
      </c>
      <c r="AC110" t="s">
        <v>2119</v>
      </c>
      <c r="AD110" t="s">
        <v>2120</v>
      </c>
      <c r="AE110" t="s">
        <v>2119</v>
      </c>
      <c r="AF110" t="s">
        <v>2120</v>
      </c>
      <c r="AG110" t="s">
        <v>2120</v>
      </c>
      <c r="AH110" t="s">
        <v>2119</v>
      </c>
      <c r="AI110" t="s">
        <v>2119</v>
      </c>
      <c r="AJ110" t="s">
        <v>2120</v>
      </c>
      <c r="AK110" t="s">
        <v>2120</v>
      </c>
      <c r="AL110" t="s">
        <v>2119</v>
      </c>
      <c r="AM110" t="s">
        <v>2119</v>
      </c>
      <c r="AN110" t="s">
        <v>2120</v>
      </c>
      <c r="AO110" t="s">
        <v>2120</v>
      </c>
      <c r="AP110" t="s">
        <v>2119</v>
      </c>
      <c r="AQ110" t="s">
        <v>2120</v>
      </c>
    </row>
    <row r="111" spans="2:43" x14ac:dyDescent="0.2">
      <c r="B111" t="s">
        <v>466</v>
      </c>
      <c r="C111" t="s">
        <v>122</v>
      </c>
      <c r="D111">
        <v>0.83333333333333337</v>
      </c>
      <c r="E111" t="s">
        <v>191</v>
      </c>
      <c r="F111" t="s">
        <v>192</v>
      </c>
      <c r="H111">
        <v>42.3</v>
      </c>
      <c r="I111">
        <v>25.3</v>
      </c>
      <c r="J111">
        <v>32.4</v>
      </c>
      <c r="K111">
        <v>67.599999999999994</v>
      </c>
      <c r="L111">
        <v>57.7</v>
      </c>
      <c r="M111">
        <v>74.7</v>
      </c>
      <c r="N111">
        <v>36</v>
      </c>
      <c r="O111">
        <v>33.700000000000003</v>
      </c>
      <c r="P111">
        <v>30.3</v>
      </c>
      <c r="Q111">
        <v>84.8</v>
      </c>
      <c r="R111">
        <v>89.8</v>
      </c>
      <c r="S111">
        <v>72.599999999999994</v>
      </c>
      <c r="T111">
        <v>27.4</v>
      </c>
      <c r="U111">
        <v>32.6</v>
      </c>
      <c r="V111">
        <v>72.900000000000006</v>
      </c>
      <c r="W111">
        <v>27.1</v>
      </c>
      <c r="X111" t="s">
        <v>191</v>
      </c>
      <c r="Y111" t="s">
        <v>192</v>
      </c>
      <c r="Z111" t="s">
        <v>2746</v>
      </c>
      <c r="AA111" t="s">
        <v>2747</v>
      </c>
      <c r="AB111" t="s">
        <v>2119</v>
      </c>
      <c r="AC111" t="s">
        <v>2119</v>
      </c>
      <c r="AD111" t="s">
        <v>2120</v>
      </c>
      <c r="AE111" t="s">
        <v>2119</v>
      </c>
      <c r="AF111" t="s">
        <v>2120</v>
      </c>
      <c r="AG111" t="s">
        <v>2120</v>
      </c>
      <c r="AH111" t="s">
        <v>2119</v>
      </c>
      <c r="AI111" t="s">
        <v>2120</v>
      </c>
      <c r="AJ111" t="s">
        <v>2119</v>
      </c>
      <c r="AK111" t="s">
        <v>2119</v>
      </c>
      <c r="AL111" t="s">
        <v>2120</v>
      </c>
      <c r="AM111" t="s">
        <v>2120</v>
      </c>
      <c r="AN111" t="s">
        <v>2119</v>
      </c>
      <c r="AO111" t="s">
        <v>2120</v>
      </c>
      <c r="AP111" t="s">
        <v>2119</v>
      </c>
      <c r="AQ111" t="s">
        <v>2120</v>
      </c>
    </row>
    <row r="112" spans="2:43" x14ac:dyDescent="0.2">
      <c r="B112" t="s">
        <v>487</v>
      </c>
      <c r="C112" t="s">
        <v>122</v>
      </c>
      <c r="D112">
        <v>0.84027777777777779</v>
      </c>
      <c r="E112" t="s">
        <v>193</v>
      </c>
      <c r="F112" t="s">
        <v>194</v>
      </c>
      <c r="H112">
        <v>50</v>
      </c>
      <c r="I112">
        <v>29.5</v>
      </c>
      <c r="J112">
        <v>20.5</v>
      </c>
      <c r="K112">
        <v>79.5</v>
      </c>
      <c r="L112">
        <v>50</v>
      </c>
      <c r="M112">
        <v>70.5</v>
      </c>
      <c r="N112" t="s">
        <v>20</v>
      </c>
      <c r="O112" t="s">
        <v>20</v>
      </c>
      <c r="P112" t="s">
        <v>20</v>
      </c>
      <c r="Q112" t="s">
        <v>20</v>
      </c>
      <c r="R112">
        <v>66.400000000000006</v>
      </c>
      <c r="S112">
        <v>38.4</v>
      </c>
      <c r="T112">
        <v>61.6</v>
      </c>
      <c r="U112">
        <v>67.7</v>
      </c>
      <c r="V112">
        <v>43.3</v>
      </c>
      <c r="W112">
        <v>56.7</v>
      </c>
      <c r="X112" t="s">
        <v>193</v>
      </c>
      <c r="Y112" t="s">
        <v>194</v>
      </c>
      <c r="Z112" t="s">
        <v>2748</v>
      </c>
      <c r="AA112" t="s">
        <v>453</v>
      </c>
      <c r="AB112" t="s">
        <v>2120</v>
      </c>
      <c r="AC112" t="s">
        <v>2119</v>
      </c>
      <c r="AD112" t="s">
        <v>2119</v>
      </c>
      <c r="AE112" t="s">
        <v>2120</v>
      </c>
      <c r="AF112" t="s">
        <v>2119</v>
      </c>
      <c r="AG112" t="s">
        <v>2120</v>
      </c>
      <c r="AH112" t="s">
        <v>2119</v>
      </c>
      <c r="AI112" t="s">
        <v>2120</v>
      </c>
      <c r="AJ112" t="s">
        <v>2119</v>
      </c>
      <c r="AK112" t="s">
        <v>2119</v>
      </c>
      <c r="AL112" t="s">
        <v>2119</v>
      </c>
      <c r="AM112" t="s">
        <v>2119</v>
      </c>
      <c r="AN112" t="s">
        <v>2120</v>
      </c>
      <c r="AO112" t="s">
        <v>2120</v>
      </c>
      <c r="AP112" t="s">
        <v>2119</v>
      </c>
      <c r="AQ112" t="s">
        <v>2120</v>
      </c>
    </row>
    <row r="113" spans="2:43" x14ac:dyDescent="0.2">
      <c r="B113" t="s">
        <v>467</v>
      </c>
      <c r="C113" t="s">
        <v>122</v>
      </c>
      <c r="D113">
        <v>0.875</v>
      </c>
      <c r="E113" t="s">
        <v>195</v>
      </c>
      <c r="F113" t="s">
        <v>196</v>
      </c>
      <c r="H113">
        <v>38.6</v>
      </c>
      <c r="I113">
        <v>30</v>
      </c>
      <c r="J113">
        <v>31.5</v>
      </c>
      <c r="K113">
        <v>68.5</v>
      </c>
      <c r="L113">
        <v>61.4</v>
      </c>
      <c r="M113">
        <v>70</v>
      </c>
      <c r="N113">
        <v>33.1</v>
      </c>
      <c r="O113">
        <v>45.7</v>
      </c>
      <c r="P113">
        <v>21.2</v>
      </c>
      <c r="Q113">
        <v>65.7</v>
      </c>
      <c r="R113">
        <v>71.599999999999994</v>
      </c>
      <c r="S113">
        <v>44.4</v>
      </c>
      <c r="T113">
        <v>55.6</v>
      </c>
      <c r="U113">
        <v>60.9</v>
      </c>
      <c r="V113">
        <v>51.2</v>
      </c>
      <c r="W113">
        <v>48.8</v>
      </c>
      <c r="X113">
        <v>0</v>
      </c>
      <c r="Y113">
        <v>0</v>
      </c>
      <c r="Z113" t="s">
        <v>2749</v>
      </c>
      <c r="AA113" t="e">
        <v>#N/A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L113" t="e">
        <v>#N/A</v>
      </c>
      <c r="AM113" t="e">
        <v>#N/A</v>
      </c>
      <c r="AN113" t="e">
        <v>#N/A</v>
      </c>
      <c r="AO113" t="e">
        <v>#N/A</v>
      </c>
      <c r="AP113" t="e">
        <v>#N/A</v>
      </c>
      <c r="AQ113" t="e">
        <v>#N/A</v>
      </c>
    </row>
    <row r="114" spans="2:43" x14ac:dyDescent="0.2">
      <c r="B114" t="s">
        <v>470</v>
      </c>
      <c r="C114" t="s">
        <v>122</v>
      </c>
      <c r="D114">
        <v>0.88541666666666663</v>
      </c>
      <c r="E114" t="s">
        <v>197</v>
      </c>
      <c r="F114" t="s">
        <v>198</v>
      </c>
      <c r="H114">
        <v>43.9</v>
      </c>
      <c r="I114">
        <v>32</v>
      </c>
      <c r="J114">
        <v>24.1</v>
      </c>
      <c r="K114">
        <v>75.900000000000006</v>
      </c>
      <c r="L114">
        <v>56.1</v>
      </c>
      <c r="M114">
        <v>68</v>
      </c>
      <c r="N114">
        <v>35.700000000000003</v>
      </c>
      <c r="O114">
        <v>49</v>
      </c>
      <c r="P114">
        <v>15.3</v>
      </c>
      <c r="Q114">
        <v>59.6</v>
      </c>
      <c r="R114">
        <v>62</v>
      </c>
      <c r="S114">
        <v>33.6</v>
      </c>
      <c r="T114">
        <v>66.400000000000006</v>
      </c>
      <c r="U114">
        <v>71.5</v>
      </c>
      <c r="V114">
        <v>41</v>
      </c>
      <c r="W114">
        <v>59</v>
      </c>
      <c r="X114" t="s">
        <v>2235</v>
      </c>
      <c r="Y114" t="s">
        <v>198</v>
      </c>
      <c r="Z114" t="s">
        <v>2750</v>
      </c>
      <c r="AA114" t="s">
        <v>453</v>
      </c>
      <c r="AB114" t="s">
        <v>2120</v>
      </c>
      <c r="AC114" t="s">
        <v>2119</v>
      </c>
      <c r="AD114" t="s">
        <v>2119</v>
      </c>
      <c r="AE114" t="s">
        <v>2120</v>
      </c>
      <c r="AF114" t="s">
        <v>2119</v>
      </c>
      <c r="AG114" t="s">
        <v>2120</v>
      </c>
      <c r="AH114" t="s">
        <v>2119</v>
      </c>
      <c r="AI114" t="s">
        <v>2120</v>
      </c>
      <c r="AJ114" t="s">
        <v>2119</v>
      </c>
      <c r="AK114" t="s">
        <v>2119</v>
      </c>
      <c r="AL114" t="s">
        <v>2119</v>
      </c>
      <c r="AM114" t="s">
        <v>2119</v>
      </c>
      <c r="AN114" t="s">
        <v>2120</v>
      </c>
      <c r="AO114" t="s">
        <v>2120</v>
      </c>
      <c r="AP114" t="s">
        <v>2119</v>
      </c>
      <c r="AQ114" t="s">
        <v>2120</v>
      </c>
    </row>
    <row r="115" spans="2:43" x14ac:dyDescent="0.2">
      <c r="B115" t="s">
        <v>470</v>
      </c>
      <c r="C115" t="s">
        <v>122</v>
      </c>
      <c r="D115">
        <v>0.88541666666666663</v>
      </c>
      <c r="E115" t="s">
        <v>199</v>
      </c>
      <c r="F115" t="s">
        <v>200</v>
      </c>
      <c r="H115">
        <v>32.5</v>
      </c>
      <c r="I115">
        <v>33</v>
      </c>
      <c r="J115">
        <v>34.5</v>
      </c>
      <c r="K115">
        <v>65.5</v>
      </c>
      <c r="L115">
        <v>67.5</v>
      </c>
      <c r="M115">
        <v>67</v>
      </c>
      <c r="N115">
        <v>19.899999999999999</v>
      </c>
      <c r="O115">
        <v>52.5</v>
      </c>
      <c r="P115">
        <v>27.6</v>
      </c>
      <c r="Q115">
        <v>56.1</v>
      </c>
      <c r="R115">
        <v>62.9</v>
      </c>
      <c r="S115">
        <v>34.5</v>
      </c>
      <c r="T115">
        <v>65.5</v>
      </c>
      <c r="U115">
        <v>70.2</v>
      </c>
      <c r="V115">
        <v>43.2</v>
      </c>
      <c r="W115">
        <v>56.8</v>
      </c>
      <c r="X115" t="s">
        <v>2236</v>
      </c>
      <c r="Y115" t="s">
        <v>2237</v>
      </c>
      <c r="Z115" t="s">
        <v>2751</v>
      </c>
      <c r="AA115" t="s">
        <v>2123</v>
      </c>
      <c r="AB115" t="s">
        <v>2119</v>
      </c>
      <c r="AC115" t="s">
        <v>2120</v>
      </c>
      <c r="AD115" t="s">
        <v>2119</v>
      </c>
      <c r="AE115" t="s">
        <v>2120</v>
      </c>
      <c r="AF115" t="s">
        <v>2120</v>
      </c>
      <c r="AG115" t="s">
        <v>2119</v>
      </c>
      <c r="AH115" t="s">
        <v>2120</v>
      </c>
      <c r="AI115" t="s">
        <v>2119</v>
      </c>
      <c r="AJ115" t="s">
        <v>2119</v>
      </c>
      <c r="AK115" t="s">
        <v>2120</v>
      </c>
      <c r="AL115" t="s">
        <v>2120</v>
      </c>
      <c r="AM115" t="s">
        <v>2120</v>
      </c>
      <c r="AN115" t="s">
        <v>2119</v>
      </c>
      <c r="AO115" t="s">
        <v>2119</v>
      </c>
      <c r="AP115" t="s">
        <v>2120</v>
      </c>
      <c r="AQ115" t="s">
        <v>2119</v>
      </c>
    </row>
    <row r="116" spans="2:43" x14ac:dyDescent="0.2">
      <c r="B116" t="s">
        <v>485</v>
      </c>
      <c r="C116" t="s">
        <v>122</v>
      </c>
      <c r="D116">
        <v>0.89583333333333337</v>
      </c>
      <c r="E116" t="s">
        <v>201</v>
      </c>
      <c r="F116" t="s">
        <v>202</v>
      </c>
      <c r="H116">
        <v>50.7</v>
      </c>
      <c r="I116">
        <v>25.6</v>
      </c>
      <c r="J116">
        <v>23.7</v>
      </c>
      <c r="K116">
        <v>76.3</v>
      </c>
      <c r="L116">
        <v>49.3</v>
      </c>
      <c r="M116">
        <v>74.400000000000006</v>
      </c>
      <c r="N116">
        <v>33.9</v>
      </c>
      <c r="O116">
        <v>40.1</v>
      </c>
      <c r="P116">
        <v>25.9</v>
      </c>
      <c r="Q116">
        <v>74.7</v>
      </c>
      <c r="R116">
        <v>82.8</v>
      </c>
      <c r="S116">
        <v>60.2</v>
      </c>
      <c r="T116">
        <v>39.799999999999997</v>
      </c>
      <c r="U116">
        <v>46.1</v>
      </c>
      <c r="V116">
        <v>61.4</v>
      </c>
      <c r="W116">
        <v>38.6</v>
      </c>
      <c r="X116" t="s">
        <v>201</v>
      </c>
      <c r="Y116" t="s">
        <v>202</v>
      </c>
      <c r="Z116" t="s">
        <v>2752</v>
      </c>
      <c r="AA116" t="s">
        <v>2133</v>
      </c>
      <c r="AB116" t="s">
        <v>2120</v>
      </c>
      <c r="AC116" t="s">
        <v>2119</v>
      </c>
      <c r="AD116" t="s">
        <v>2119</v>
      </c>
      <c r="AE116" t="s">
        <v>2120</v>
      </c>
      <c r="AF116" t="s">
        <v>2119</v>
      </c>
      <c r="AG116" t="s">
        <v>2120</v>
      </c>
      <c r="AH116" t="s">
        <v>2119</v>
      </c>
      <c r="AI116" t="s">
        <v>2120</v>
      </c>
      <c r="AJ116" t="s">
        <v>2119</v>
      </c>
      <c r="AK116" t="s">
        <v>2119</v>
      </c>
      <c r="AL116" t="s">
        <v>2120</v>
      </c>
      <c r="AM116" t="s">
        <v>2120</v>
      </c>
      <c r="AN116" t="s">
        <v>2119</v>
      </c>
      <c r="AO116" t="s">
        <v>2119</v>
      </c>
      <c r="AP116" t="s">
        <v>2120</v>
      </c>
      <c r="AQ116" t="s">
        <v>2119</v>
      </c>
    </row>
    <row r="117" spans="2:43" x14ac:dyDescent="0.2">
      <c r="B117" t="s">
        <v>488</v>
      </c>
      <c r="C117" t="s">
        <v>122</v>
      </c>
      <c r="D117">
        <v>0.89583333333333337</v>
      </c>
      <c r="E117" t="s">
        <v>203</v>
      </c>
      <c r="F117" t="s">
        <v>204</v>
      </c>
      <c r="H117">
        <v>35.4</v>
      </c>
      <c r="I117">
        <v>28.2</v>
      </c>
      <c r="J117">
        <v>36.4</v>
      </c>
      <c r="K117">
        <v>63.6</v>
      </c>
      <c r="L117">
        <v>64.599999999999994</v>
      </c>
      <c r="M117">
        <v>71.8</v>
      </c>
      <c r="N117">
        <v>27.4</v>
      </c>
      <c r="O117">
        <v>41.8</v>
      </c>
      <c r="P117">
        <v>30.8</v>
      </c>
      <c r="Q117">
        <v>72.400000000000006</v>
      </c>
      <c r="R117">
        <v>78.400000000000006</v>
      </c>
      <c r="S117">
        <v>53.5</v>
      </c>
      <c r="T117">
        <v>46.5</v>
      </c>
      <c r="U117">
        <v>52</v>
      </c>
      <c r="V117">
        <v>58.5</v>
      </c>
      <c r="W117">
        <v>41.5</v>
      </c>
      <c r="X117" t="s">
        <v>203</v>
      </c>
      <c r="Y117" t="s">
        <v>204</v>
      </c>
      <c r="Z117" t="s">
        <v>2753</v>
      </c>
      <c r="AA117" t="s">
        <v>453</v>
      </c>
      <c r="AB117" t="s">
        <v>2120</v>
      </c>
      <c r="AC117" t="s">
        <v>2119</v>
      </c>
      <c r="AD117" t="s">
        <v>2119</v>
      </c>
      <c r="AE117" t="s">
        <v>2120</v>
      </c>
      <c r="AF117" t="s">
        <v>2119</v>
      </c>
      <c r="AG117" t="s">
        <v>2120</v>
      </c>
      <c r="AH117" t="s">
        <v>2120</v>
      </c>
      <c r="AI117" t="s">
        <v>2119</v>
      </c>
      <c r="AJ117" t="s">
        <v>2119</v>
      </c>
      <c r="AK117" t="s">
        <v>2120</v>
      </c>
      <c r="AL117" t="s">
        <v>2119</v>
      </c>
      <c r="AM117" t="s">
        <v>2119</v>
      </c>
      <c r="AN117" t="s">
        <v>2120</v>
      </c>
      <c r="AO117" t="s">
        <v>2120</v>
      </c>
      <c r="AP117" t="s">
        <v>2119</v>
      </c>
      <c r="AQ117" t="s">
        <v>2120</v>
      </c>
    </row>
    <row r="118" spans="2:43" x14ac:dyDescent="0.2">
      <c r="B118" t="s">
        <v>487</v>
      </c>
      <c r="C118" t="s">
        <v>122</v>
      </c>
      <c r="D118">
        <v>0.92708333333333337</v>
      </c>
      <c r="E118" t="s">
        <v>205</v>
      </c>
      <c r="F118" t="s">
        <v>206</v>
      </c>
      <c r="H118">
        <v>53.3</v>
      </c>
      <c r="I118">
        <v>28.1</v>
      </c>
      <c r="J118">
        <v>18.600000000000001</v>
      </c>
      <c r="K118">
        <v>81.400000000000006</v>
      </c>
      <c r="L118">
        <v>46.7</v>
      </c>
      <c r="M118">
        <v>71.900000000000006</v>
      </c>
      <c r="N118">
        <v>35.9</v>
      </c>
      <c r="O118">
        <v>50.3</v>
      </c>
      <c r="P118">
        <v>13.8</v>
      </c>
      <c r="Q118">
        <v>57.4</v>
      </c>
      <c r="R118">
        <v>68.599999999999994</v>
      </c>
      <c r="S118">
        <v>41</v>
      </c>
      <c r="T118">
        <v>59</v>
      </c>
      <c r="U118">
        <v>65.7</v>
      </c>
      <c r="V118">
        <v>44.2</v>
      </c>
      <c r="W118">
        <v>55.8</v>
      </c>
      <c r="X118" t="s">
        <v>205</v>
      </c>
      <c r="Y118" t="s">
        <v>2395</v>
      </c>
      <c r="Z118" t="s">
        <v>2754</v>
      </c>
      <c r="AA118" t="s">
        <v>2128</v>
      </c>
      <c r="AB118" t="s">
        <v>2120</v>
      </c>
      <c r="AC118" t="s">
        <v>2119</v>
      </c>
      <c r="AD118" t="s">
        <v>2119</v>
      </c>
      <c r="AE118" t="s">
        <v>2120</v>
      </c>
      <c r="AF118" t="s">
        <v>2119</v>
      </c>
      <c r="AG118" t="s">
        <v>2120</v>
      </c>
      <c r="AH118" t="s">
        <v>2119</v>
      </c>
      <c r="AI118" t="s">
        <v>2120</v>
      </c>
      <c r="AJ118" t="s">
        <v>2119</v>
      </c>
      <c r="AK118" t="s">
        <v>2119</v>
      </c>
      <c r="AL118" t="s">
        <v>2120</v>
      </c>
      <c r="AM118" t="s">
        <v>2119</v>
      </c>
      <c r="AN118" t="s">
        <v>2120</v>
      </c>
      <c r="AO118" t="s">
        <v>2120</v>
      </c>
      <c r="AP118" t="s">
        <v>2119</v>
      </c>
      <c r="AQ118" t="s">
        <v>2120</v>
      </c>
    </row>
    <row r="119" spans="2:43" x14ac:dyDescent="0.2">
      <c r="B119" t="s">
        <v>489</v>
      </c>
      <c r="C119" t="s">
        <v>122</v>
      </c>
      <c r="D119">
        <v>0.9375</v>
      </c>
      <c r="E119" t="s">
        <v>207</v>
      </c>
      <c r="F119" t="s">
        <v>208</v>
      </c>
      <c r="H119">
        <v>30.7</v>
      </c>
      <c r="I119">
        <v>29.8</v>
      </c>
      <c r="J119">
        <v>39.4</v>
      </c>
      <c r="K119">
        <v>60.6</v>
      </c>
      <c r="L119">
        <v>69.3</v>
      </c>
      <c r="M119">
        <v>70.2</v>
      </c>
      <c r="N119">
        <v>19.100000000000001</v>
      </c>
      <c r="O119">
        <v>49.2</v>
      </c>
      <c r="P119">
        <v>31.7</v>
      </c>
      <c r="Q119">
        <v>60.6</v>
      </c>
      <c r="R119">
        <v>73.099999999999994</v>
      </c>
      <c r="S119">
        <v>46.3</v>
      </c>
      <c r="T119">
        <v>53.7</v>
      </c>
      <c r="U119">
        <v>59.2</v>
      </c>
      <c r="V119">
        <v>52.6</v>
      </c>
      <c r="W119">
        <v>47.4</v>
      </c>
      <c r="X119" t="s">
        <v>2541</v>
      </c>
      <c r="Y119" t="s">
        <v>208</v>
      </c>
      <c r="Z119" t="s">
        <v>2755</v>
      </c>
      <c r="AA119" t="s">
        <v>2123</v>
      </c>
      <c r="AB119" t="s">
        <v>2119</v>
      </c>
      <c r="AC119" t="s">
        <v>2120</v>
      </c>
      <c r="AD119" t="s">
        <v>2119</v>
      </c>
      <c r="AE119" t="s">
        <v>2120</v>
      </c>
      <c r="AF119" t="s">
        <v>2120</v>
      </c>
      <c r="AG119" t="s">
        <v>2119</v>
      </c>
      <c r="AH119" t="s">
        <v>2120</v>
      </c>
      <c r="AI119" t="s">
        <v>2119</v>
      </c>
      <c r="AJ119" t="s">
        <v>2119</v>
      </c>
      <c r="AK119" t="s">
        <v>2120</v>
      </c>
      <c r="AL119" t="s">
        <v>2120</v>
      </c>
      <c r="AM119" t="s">
        <v>2120</v>
      </c>
      <c r="AN119" t="s">
        <v>2119</v>
      </c>
      <c r="AO119" t="s">
        <v>2119</v>
      </c>
      <c r="AP119" t="s">
        <v>2120</v>
      </c>
      <c r="AQ119" t="s">
        <v>2119</v>
      </c>
    </row>
    <row r="120" spans="2:43" x14ac:dyDescent="0.2">
      <c r="B120" t="s">
        <v>482</v>
      </c>
      <c r="C120" t="s">
        <v>122</v>
      </c>
      <c r="D120">
        <v>0.9375</v>
      </c>
      <c r="E120" t="s">
        <v>209</v>
      </c>
      <c r="F120" t="s">
        <v>210</v>
      </c>
      <c r="H120">
        <v>49.3</v>
      </c>
      <c r="I120">
        <v>27.9</v>
      </c>
      <c r="J120">
        <v>22.8</v>
      </c>
      <c r="K120">
        <v>77.2</v>
      </c>
      <c r="L120">
        <v>50.7</v>
      </c>
      <c r="M120">
        <v>72.099999999999994</v>
      </c>
      <c r="N120">
        <v>37.6</v>
      </c>
      <c r="O120">
        <v>44</v>
      </c>
      <c r="P120">
        <v>18.399999999999999</v>
      </c>
      <c r="Q120">
        <v>67.3</v>
      </c>
      <c r="R120">
        <v>73.400000000000006</v>
      </c>
      <c r="S120">
        <v>46.8</v>
      </c>
      <c r="T120">
        <v>53.2</v>
      </c>
      <c r="U120">
        <v>59.4</v>
      </c>
      <c r="V120">
        <v>50.8</v>
      </c>
      <c r="W120">
        <v>49.2</v>
      </c>
      <c r="X120" t="s">
        <v>209</v>
      </c>
      <c r="Y120" t="s">
        <v>210</v>
      </c>
      <c r="Z120" t="s">
        <v>2756</v>
      </c>
      <c r="AA120" t="s">
        <v>462</v>
      </c>
      <c r="AB120" t="s">
        <v>2120</v>
      </c>
      <c r="AC120" t="s">
        <v>2119</v>
      </c>
      <c r="AD120" t="s">
        <v>2119</v>
      </c>
      <c r="AE120" t="s">
        <v>2120</v>
      </c>
      <c r="AF120" t="s">
        <v>2119</v>
      </c>
      <c r="AG120" t="s">
        <v>2120</v>
      </c>
      <c r="AH120" t="s">
        <v>2120</v>
      </c>
      <c r="AI120" t="s">
        <v>2119</v>
      </c>
      <c r="AJ120" t="s">
        <v>2119</v>
      </c>
      <c r="AK120" t="s">
        <v>2120</v>
      </c>
      <c r="AL120" t="s">
        <v>2120</v>
      </c>
      <c r="AM120" t="s">
        <v>2120</v>
      </c>
      <c r="AN120" t="s">
        <v>2119</v>
      </c>
      <c r="AO120" t="s">
        <v>2120</v>
      </c>
      <c r="AP120" t="s">
        <v>2120</v>
      </c>
      <c r="AQ120" t="s">
        <v>2119</v>
      </c>
    </row>
    <row r="121" spans="2:43" x14ac:dyDescent="0.2">
      <c r="B121" t="s">
        <v>484</v>
      </c>
      <c r="C121" t="s">
        <v>122</v>
      </c>
      <c r="D121">
        <v>0.95833333333333337</v>
      </c>
      <c r="E121" t="s">
        <v>211</v>
      </c>
      <c r="F121" t="s">
        <v>212</v>
      </c>
      <c r="H121">
        <v>33</v>
      </c>
      <c r="I121">
        <v>29.4</v>
      </c>
      <c r="J121">
        <v>37.5</v>
      </c>
      <c r="K121">
        <v>62.5</v>
      </c>
      <c r="L121">
        <v>67</v>
      </c>
      <c r="M121">
        <v>70.599999999999994</v>
      </c>
      <c r="N121">
        <v>32.1</v>
      </c>
      <c r="O121">
        <v>48.1</v>
      </c>
      <c r="P121">
        <v>19.8</v>
      </c>
      <c r="Q121">
        <v>62</v>
      </c>
      <c r="R121">
        <v>74.400000000000006</v>
      </c>
      <c r="S121">
        <v>48</v>
      </c>
      <c r="T121">
        <v>52</v>
      </c>
      <c r="U121">
        <v>57.4</v>
      </c>
      <c r="V121">
        <v>54.1</v>
      </c>
      <c r="W121">
        <v>45.9</v>
      </c>
      <c r="X121" t="s">
        <v>2390</v>
      </c>
      <c r="Y121" t="s">
        <v>212</v>
      </c>
      <c r="Z121" t="s">
        <v>2757</v>
      </c>
      <c r="AA121" t="s">
        <v>453</v>
      </c>
      <c r="AB121" t="s">
        <v>2120</v>
      </c>
      <c r="AC121" t="s">
        <v>2119</v>
      </c>
      <c r="AD121" t="s">
        <v>2119</v>
      </c>
      <c r="AE121" t="s">
        <v>2120</v>
      </c>
      <c r="AF121" t="s">
        <v>2119</v>
      </c>
      <c r="AG121" t="s">
        <v>2120</v>
      </c>
      <c r="AH121" t="s">
        <v>2119</v>
      </c>
      <c r="AI121" t="s">
        <v>2120</v>
      </c>
      <c r="AJ121" t="s">
        <v>2119</v>
      </c>
      <c r="AK121" t="s">
        <v>2119</v>
      </c>
      <c r="AL121" t="s">
        <v>2119</v>
      </c>
      <c r="AM121" t="s">
        <v>2119</v>
      </c>
      <c r="AN121" t="s">
        <v>2120</v>
      </c>
      <c r="AO121" t="s">
        <v>2120</v>
      </c>
      <c r="AP121" t="s">
        <v>2119</v>
      </c>
      <c r="AQ121" t="s">
        <v>2120</v>
      </c>
    </row>
    <row r="122" spans="2:43" x14ac:dyDescent="0.2">
      <c r="B122" t="s">
        <v>463</v>
      </c>
      <c r="C122" t="s">
        <v>490</v>
      </c>
      <c r="D122">
        <v>4.1666666666666664E-2</v>
      </c>
      <c r="E122" t="s">
        <v>491</v>
      </c>
      <c r="F122" t="s">
        <v>492</v>
      </c>
      <c r="H122">
        <v>46</v>
      </c>
      <c r="I122">
        <v>25.3</v>
      </c>
      <c r="J122">
        <v>28.7</v>
      </c>
      <c r="K122">
        <v>71.3</v>
      </c>
      <c r="L122">
        <v>54</v>
      </c>
      <c r="M122">
        <v>74.7</v>
      </c>
      <c r="N122">
        <v>41.7</v>
      </c>
      <c r="O122">
        <v>34.6</v>
      </c>
      <c r="P122">
        <v>23.7</v>
      </c>
      <c r="Q122">
        <v>82.4</v>
      </c>
      <c r="R122">
        <v>87.6</v>
      </c>
      <c r="S122">
        <v>68.5</v>
      </c>
      <c r="T122">
        <v>31.5</v>
      </c>
      <c r="U122">
        <v>37.200000000000003</v>
      </c>
      <c r="V122">
        <v>69.099999999999994</v>
      </c>
      <c r="W122">
        <v>30.9</v>
      </c>
      <c r="X122" t="s">
        <v>491</v>
      </c>
      <c r="Y122" t="s">
        <v>492</v>
      </c>
      <c r="Z122" t="s">
        <v>4020</v>
      </c>
      <c r="AA122" t="s">
        <v>453</v>
      </c>
      <c r="AB122" t="s">
        <v>2120</v>
      </c>
      <c r="AC122" t="s">
        <v>2119</v>
      </c>
      <c r="AD122" t="s">
        <v>2119</v>
      </c>
      <c r="AE122" t="s">
        <v>2120</v>
      </c>
      <c r="AF122" t="s">
        <v>2119</v>
      </c>
      <c r="AG122" t="s">
        <v>2120</v>
      </c>
      <c r="AH122" t="s">
        <v>2119</v>
      </c>
      <c r="AI122" t="s">
        <v>2120</v>
      </c>
      <c r="AJ122" t="s">
        <v>2119</v>
      </c>
      <c r="AK122" t="s">
        <v>2119</v>
      </c>
      <c r="AL122" t="s">
        <v>2119</v>
      </c>
      <c r="AM122" t="s">
        <v>2119</v>
      </c>
      <c r="AN122" t="s">
        <v>2120</v>
      </c>
      <c r="AO122" t="s">
        <v>2120</v>
      </c>
      <c r="AP122" t="s">
        <v>2119</v>
      </c>
      <c r="AQ122" t="s">
        <v>2120</v>
      </c>
    </row>
    <row r="123" spans="2:43" x14ac:dyDescent="0.2">
      <c r="B123" t="s">
        <v>445</v>
      </c>
      <c r="C123" t="s">
        <v>490</v>
      </c>
      <c r="D123">
        <v>6.25E-2</v>
      </c>
      <c r="E123" t="s">
        <v>493</v>
      </c>
      <c r="F123" t="s">
        <v>494</v>
      </c>
      <c r="H123">
        <v>35.299999999999997</v>
      </c>
      <c r="I123">
        <v>25.6</v>
      </c>
      <c r="J123">
        <v>39.1</v>
      </c>
      <c r="K123">
        <v>60.9</v>
      </c>
      <c r="L123">
        <v>64.7</v>
      </c>
      <c r="M123">
        <v>74.400000000000006</v>
      </c>
      <c r="N123">
        <v>33.700000000000003</v>
      </c>
      <c r="O123">
        <v>36.4</v>
      </c>
      <c r="P123">
        <v>30</v>
      </c>
      <c r="Q123">
        <v>80.900000000000006</v>
      </c>
      <c r="R123">
        <v>93.4</v>
      </c>
      <c r="S123">
        <v>80.2</v>
      </c>
      <c r="T123">
        <v>19.8</v>
      </c>
      <c r="U123">
        <v>24.3</v>
      </c>
      <c r="V123">
        <v>79.2</v>
      </c>
      <c r="W123">
        <v>20.8</v>
      </c>
      <c r="X123" t="s">
        <v>493</v>
      </c>
      <c r="Y123" t="s">
        <v>2793</v>
      </c>
      <c r="Z123" t="s">
        <v>4021</v>
      </c>
      <c r="AA123" t="s">
        <v>2123</v>
      </c>
      <c r="AB123" t="s">
        <v>2119</v>
      </c>
      <c r="AC123" t="s">
        <v>2120</v>
      </c>
      <c r="AD123" t="s">
        <v>2119</v>
      </c>
      <c r="AE123" t="s">
        <v>2120</v>
      </c>
      <c r="AF123" t="s">
        <v>2120</v>
      </c>
      <c r="AG123" t="s">
        <v>2119</v>
      </c>
      <c r="AH123" t="s">
        <v>2119</v>
      </c>
      <c r="AI123" t="s">
        <v>2120</v>
      </c>
      <c r="AJ123" t="s">
        <v>2119</v>
      </c>
      <c r="AK123" t="s">
        <v>2120</v>
      </c>
      <c r="AL123" t="s">
        <v>2120</v>
      </c>
      <c r="AM123" t="s">
        <v>2120</v>
      </c>
      <c r="AN123" t="s">
        <v>2119</v>
      </c>
      <c r="AO123" t="s">
        <v>2119</v>
      </c>
      <c r="AP123" t="s">
        <v>2120</v>
      </c>
      <c r="AQ123" t="s">
        <v>2119</v>
      </c>
    </row>
    <row r="124" spans="2:43" x14ac:dyDescent="0.2">
      <c r="B124" t="s">
        <v>464</v>
      </c>
      <c r="C124" t="s">
        <v>490</v>
      </c>
      <c r="D124">
        <v>6.25E-2</v>
      </c>
      <c r="E124" t="s">
        <v>24</v>
      </c>
      <c r="F124" t="s">
        <v>495</v>
      </c>
      <c r="H124">
        <v>12.8</v>
      </c>
      <c r="I124">
        <v>24.3</v>
      </c>
      <c r="J124">
        <v>62.9</v>
      </c>
      <c r="K124">
        <v>37.1</v>
      </c>
      <c r="L124">
        <v>87.2</v>
      </c>
      <c r="M124">
        <v>75.7</v>
      </c>
      <c r="N124">
        <v>16.600000000000001</v>
      </c>
      <c r="O124">
        <v>34.4</v>
      </c>
      <c r="P124">
        <v>49</v>
      </c>
      <c r="Q124">
        <v>81</v>
      </c>
      <c r="R124">
        <v>91.8</v>
      </c>
      <c r="S124">
        <v>76.900000000000006</v>
      </c>
      <c r="T124">
        <v>23.1</v>
      </c>
      <c r="U124">
        <v>30.3</v>
      </c>
      <c r="V124">
        <v>68.7</v>
      </c>
      <c r="W124">
        <v>31.3</v>
      </c>
      <c r="X124" t="s">
        <v>24</v>
      </c>
      <c r="Y124" t="s">
        <v>495</v>
      </c>
      <c r="Z124" t="s">
        <v>4022</v>
      </c>
      <c r="AA124" t="s">
        <v>4023</v>
      </c>
      <c r="AB124" t="s">
        <v>2119</v>
      </c>
      <c r="AC124" t="s">
        <v>2119</v>
      </c>
      <c r="AD124" t="s">
        <v>2120</v>
      </c>
      <c r="AE124" t="s">
        <v>2119</v>
      </c>
      <c r="AF124" t="s">
        <v>2120</v>
      </c>
      <c r="AG124" t="s">
        <v>2120</v>
      </c>
      <c r="AH124" t="s">
        <v>2119</v>
      </c>
      <c r="AI124" t="s">
        <v>2119</v>
      </c>
      <c r="AJ124" t="s">
        <v>2120</v>
      </c>
      <c r="AK124" t="s">
        <v>2120</v>
      </c>
      <c r="AL124" t="s">
        <v>2120</v>
      </c>
      <c r="AM124" t="s">
        <v>2120</v>
      </c>
      <c r="AN124" t="s">
        <v>2119</v>
      </c>
      <c r="AO124" t="s">
        <v>2119</v>
      </c>
      <c r="AP124" t="s">
        <v>2119</v>
      </c>
      <c r="AQ124" t="s">
        <v>2120</v>
      </c>
    </row>
    <row r="125" spans="2:43" x14ac:dyDescent="0.2">
      <c r="B125" t="s">
        <v>464</v>
      </c>
      <c r="C125" t="s">
        <v>490</v>
      </c>
      <c r="D125">
        <v>6.25E-2</v>
      </c>
      <c r="E125" t="s">
        <v>496</v>
      </c>
      <c r="F125" t="s">
        <v>23</v>
      </c>
      <c r="H125">
        <v>39</v>
      </c>
      <c r="I125">
        <v>25.4</v>
      </c>
      <c r="J125">
        <v>35.6</v>
      </c>
      <c r="K125">
        <v>64.400000000000006</v>
      </c>
      <c r="L125">
        <v>61</v>
      </c>
      <c r="M125">
        <v>74.599999999999994</v>
      </c>
      <c r="N125">
        <v>32.799999999999997</v>
      </c>
      <c r="O125">
        <v>37.1</v>
      </c>
      <c r="P125">
        <v>30.2</v>
      </c>
      <c r="Q125">
        <v>79.8</v>
      </c>
      <c r="R125">
        <v>91.4</v>
      </c>
      <c r="S125">
        <v>75.900000000000006</v>
      </c>
      <c r="T125">
        <v>24.1</v>
      </c>
      <c r="U125">
        <v>29</v>
      </c>
      <c r="V125">
        <v>75.7</v>
      </c>
      <c r="W125">
        <v>24.3</v>
      </c>
      <c r="X125" t="s">
        <v>496</v>
      </c>
      <c r="Y125" t="s">
        <v>23</v>
      </c>
      <c r="Z125" t="s">
        <v>4024</v>
      </c>
      <c r="AA125" t="s">
        <v>447</v>
      </c>
      <c r="AB125" t="s">
        <v>2119</v>
      </c>
      <c r="AC125" t="s">
        <v>2120</v>
      </c>
      <c r="AD125" t="s">
        <v>2119</v>
      </c>
      <c r="AE125" t="s">
        <v>2120</v>
      </c>
      <c r="AF125" t="s">
        <v>2120</v>
      </c>
      <c r="AG125" t="s">
        <v>2119</v>
      </c>
      <c r="AH125" t="s">
        <v>2119</v>
      </c>
      <c r="AI125" t="s">
        <v>2120</v>
      </c>
      <c r="AJ125" t="s">
        <v>2119</v>
      </c>
      <c r="AK125" t="s">
        <v>2119</v>
      </c>
      <c r="AL125" t="s">
        <v>2119</v>
      </c>
      <c r="AM125" t="s">
        <v>2119</v>
      </c>
      <c r="AN125" t="s">
        <v>2120</v>
      </c>
      <c r="AO125" t="s">
        <v>2120</v>
      </c>
      <c r="AP125" t="s">
        <v>2119</v>
      </c>
      <c r="AQ125" t="s">
        <v>2120</v>
      </c>
    </row>
    <row r="126" spans="2:43" x14ac:dyDescent="0.2">
      <c r="B126" t="s">
        <v>445</v>
      </c>
      <c r="C126" t="s">
        <v>490</v>
      </c>
      <c r="D126">
        <v>8.3333333333333329E-2</v>
      </c>
      <c r="E126" t="s">
        <v>497</v>
      </c>
      <c r="F126" t="s">
        <v>22</v>
      </c>
      <c r="H126">
        <v>44.6</v>
      </c>
      <c r="I126">
        <v>25.3</v>
      </c>
      <c r="J126">
        <v>30.1</v>
      </c>
      <c r="K126">
        <v>69.900000000000006</v>
      </c>
      <c r="L126">
        <v>55.4</v>
      </c>
      <c r="M126">
        <v>74.7</v>
      </c>
      <c r="N126">
        <v>42.7</v>
      </c>
      <c r="O126">
        <v>39.299999999999997</v>
      </c>
      <c r="P126">
        <v>18</v>
      </c>
      <c r="Q126">
        <v>73.7</v>
      </c>
      <c r="R126">
        <v>88.7</v>
      </c>
      <c r="S126">
        <v>70.400000000000006</v>
      </c>
      <c r="T126">
        <v>29.6</v>
      </c>
      <c r="U126">
        <v>35</v>
      </c>
      <c r="V126">
        <v>70.900000000000006</v>
      </c>
      <c r="W126">
        <v>29.1</v>
      </c>
      <c r="X126" t="s">
        <v>497</v>
      </c>
      <c r="Y126" t="s">
        <v>22</v>
      </c>
      <c r="Z126" t="s">
        <v>4025</v>
      </c>
      <c r="AA126" t="s">
        <v>460</v>
      </c>
      <c r="AB126" t="s">
        <v>2119</v>
      </c>
      <c r="AC126" t="s">
        <v>2119</v>
      </c>
      <c r="AD126" t="s">
        <v>2120</v>
      </c>
      <c r="AE126" t="s">
        <v>2119</v>
      </c>
      <c r="AF126" t="s">
        <v>2120</v>
      </c>
      <c r="AG126" t="s">
        <v>2120</v>
      </c>
      <c r="AH126" t="s">
        <v>2119</v>
      </c>
      <c r="AI126" t="s">
        <v>2119</v>
      </c>
      <c r="AJ126" t="s">
        <v>2120</v>
      </c>
      <c r="AK126" t="s">
        <v>2120</v>
      </c>
      <c r="AL126" t="s">
        <v>2120</v>
      </c>
      <c r="AM126" t="s">
        <v>2120</v>
      </c>
      <c r="AN126" t="s">
        <v>2119</v>
      </c>
      <c r="AO126" t="s">
        <v>2120</v>
      </c>
      <c r="AP126" t="s">
        <v>2120</v>
      </c>
      <c r="AQ126" t="s">
        <v>2119</v>
      </c>
    </row>
    <row r="127" spans="2:43" x14ac:dyDescent="0.2">
      <c r="B127" t="s">
        <v>498</v>
      </c>
      <c r="C127" t="s">
        <v>490</v>
      </c>
      <c r="D127">
        <v>8.3333333333333329E-2</v>
      </c>
      <c r="E127" t="s">
        <v>499</v>
      </c>
      <c r="F127" t="s">
        <v>500</v>
      </c>
      <c r="H127">
        <v>44.7</v>
      </c>
      <c r="I127">
        <v>25.8</v>
      </c>
      <c r="J127">
        <v>29.4</v>
      </c>
      <c r="K127">
        <v>70.599999999999994</v>
      </c>
      <c r="L127">
        <v>55.3</v>
      </c>
      <c r="M127">
        <v>74.2</v>
      </c>
      <c r="N127">
        <v>41.5</v>
      </c>
      <c r="O127">
        <v>38.799999999999997</v>
      </c>
      <c r="P127">
        <v>19.7</v>
      </c>
      <c r="Q127">
        <v>75</v>
      </c>
      <c r="R127">
        <v>85.5</v>
      </c>
      <c r="S127">
        <v>64.7</v>
      </c>
      <c r="T127">
        <v>35.299999999999997</v>
      </c>
      <c r="U127">
        <v>41</v>
      </c>
      <c r="V127">
        <v>66.400000000000006</v>
      </c>
      <c r="W127">
        <v>33.6</v>
      </c>
      <c r="X127" t="s">
        <v>499</v>
      </c>
      <c r="Y127" t="s">
        <v>500</v>
      </c>
      <c r="Z127" t="s">
        <v>4026</v>
      </c>
      <c r="AA127" t="s">
        <v>453</v>
      </c>
      <c r="AB127" t="s">
        <v>2120</v>
      </c>
      <c r="AC127" t="s">
        <v>2119</v>
      </c>
      <c r="AD127" t="s">
        <v>2119</v>
      </c>
      <c r="AE127" t="s">
        <v>2120</v>
      </c>
      <c r="AF127" t="s">
        <v>2119</v>
      </c>
      <c r="AG127" t="s">
        <v>2120</v>
      </c>
      <c r="AH127" t="s">
        <v>2120</v>
      </c>
      <c r="AI127" t="s">
        <v>2119</v>
      </c>
      <c r="AJ127" t="s">
        <v>2119</v>
      </c>
      <c r="AK127" t="s">
        <v>2120</v>
      </c>
      <c r="AL127" t="s">
        <v>2119</v>
      </c>
      <c r="AM127" t="s">
        <v>2119</v>
      </c>
      <c r="AN127" t="s">
        <v>2120</v>
      </c>
      <c r="AO127" t="s">
        <v>2120</v>
      </c>
      <c r="AP127" t="s">
        <v>2119</v>
      </c>
      <c r="AQ127" t="s">
        <v>2120</v>
      </c>
    </row>
    <row r="128" spans="2:43" x14ac:dyDescent="0.2">
      <c r="B128" t="s">
        <v>498</v>
      </c>
      <c r="C128" t="s">
        <v>490</v>
      </c>
      <c r="D128">
        <v>8.3333333333333329E-2</v>
      </c>
      <c r="E128" t="s">
        <v>501</v>
      </c>
      <c r="F128" t="s">
        <v>502</v>
      </c>
      <c r="H128">
        <v>49.8</v>
      </c>
      <c r="I128">
        <v>24.8</v>
      </c>
      <c r="J128">
        <v>25.4</v>
      </c>
      <c r="K128">
        <v>74.599999999999994</v>
      </c>
      <c r="L128">
        <v>50.2</v>
      </c>
      <c r="M128">
        <v>75.2</v>
      </c>
      <c r="N128">
        <v>37</v>
      </c>
      <c r="O128">
        <v>36.799999999999997</v>
      </c>
      <c r="P128">
        <v>26.2</v>
      </c>
      <c r="Q128">
        <v>79.7</v>
      </c>
      <c r="R128">
        <v>88.8</v>
      </c>
      <c r="S128">
        <v>70.8</v>
      </c>
      <c r="T128">
        <v>29.2</v>
      </c>
      <c r="U128">
        <v>35</v>
      </c>
      <c r="V128">
        <v>70.099999999999994</v>
      </c>
      <c r="W128">
        <v>29.9</v>
      </c>
      <c r="X128" t="s">
        <v>2806</v>
      </c>
      <c r="Y128" t="s">
        <v>502</v>
      </c>
      <c r="Z128" t="s">
        <v>4027</v>
      </c>
      <c r="AA128" t="s">
        <v>2123</v>
      </c>
      <c r="AB128" t="s">
        <v>2119</v>
      </c>
      <c r="AC128" t="s">
        <v>2120</v>
      </c>
      <c r="AD128" t="s">
        <v>2119</v>
      </c>
      <c r="AE128" t="s">
        <v>2120</v>
      </c>
      <c r="AF128" t="s">
        <v>2120</v>
      </c>
      <c r="AG128" t="s">
        <v>2119</v>
      </c>
      <c r="AH128" t="s">
        <v>2119</v>
      </c>
      <c r="AI128" t="s">
        <v>2120</v>
      </c>
      <c r="AJ128" t="s">
        <v>2119</v>
      </c>
      <c r="AK128" t="s">
        <v>2120</v>
      </c>
      <c r="AL128" t="s">
        <v>2120</v>
      </c>
      <c r="AM128" t="s">
        <v>2120</v>
      </c>
      <c r="AN128" t="s">
        <v>2119</v>
      </c>
      <c r="AO128" t="s">
        <v>2119</v>
      </c>
      <c r="AP128" t="s">
        <v>2120</v>
      </c>
      <c r="AQ128" t="s">
        <v>2119</v>
      </c>
    </row>
    <row r="129" spans="2:43" x14ac:dyDescent="0.2">
      <c r="B129" t="s">
        <v>472</v>
      </c>
      <c r="C129" t="s">
        <v>490</v>
      </c>
      <c r="D129">
        <v>8.3333333333333329E-2</v>
      </c>
      <c r="E129" t="s">
        <v>503</v>
      </c>
      <c r="F129" t="s">
        <v>504</v>
      </c>
      <c r="H129">
        <v>42.4</v>
      </c>
      <c r="I129">
        <v>25.9</v>
      </c>
      <c r="J129">
        <v>31.6</v>
      </c>
      <c r="K129">
        <v>68.400000000000006</v>
      </c>
      <c r="L129">
        <v>57.6</v>
      </c>
      <c r="M129">
        <v>74.099999999999994</v>
      </c>
      <c r="N129">
        <v>38.4</v>
      </c>
      <c r="O129">
        <v>37.799999999999997</v>
      </c>
      <c r="P129">
        <v>23.8</v>
      </c>
      <c r="Q129">
        <v>77.8</v>
      </c>
      <c r="R129">
        <v>86</v>
      </c>
      <c r="S129">
        <v>65.5</v>
      </c>
      <c r="T129">
        <v>34.5</v>
      </c>
      <c r="U129">
        <v>40.1</v>
      </c>
      <c r="V129">
        <v>67.3</v>
      </c>
      <c r="W129">
        <v>32.700000000000003</v>
      </c>
      <c r="X129" t="s">
        <v>2810</v>
      </c>
      <c r="Y129" t="s">
        <v>2811</v>
      </c>
      <c r="Z129" t="s">
        <v>4028</v>
      </c>
      <c r="AA129" t="s">
        <v>461</v>
      </c>
      <c r="AB129" t="s">
        <v>2119</v>
      </c>
      <c r="AC129" t="s">
        <v>2119</v>
      </c>
      <c r="AD129" t="s">
        <v>2120</v>
      </c>
      <c r="AE129" t="s">
        <v>2119</v>
      </c>
      <c r="AF129" t="s">
        <v>2120</v>
      </c>
      <c r="AG129" t="s">
        <v>2120</v>
      </c>
      <c r="AH129" t="s">
        <v>2120</v>
      </c>
      <c r="AI129" t="s">
        <v>2119</v>
      </c>
      <c r="AJ129" t="s">
        <v>2119</v>
      </c>
      <c r="AK129" t="s">
        <v>2120</v>
      </c>
      <c r="AL129" t="s">
        <v>2120</v>
      </c>
      <c r="AM129" t="s">
        <v>2120</v>
      </c>
      <c r="AN129" t="s">
        <v>2119</v>
      </c>
      <c r="AO129" t="s">
        <v>2119</v>
      </c>
      <c r="AP129" t="s">
        <v>2120</v>
      </c>
      <c r="AQ129" t="s">
        <v>2119</v>
      </c>
    </row>
    <row r="130" spans="2:43" x14ac:dyDescent="0.2">
      <c r="B130" t="s">
        <v>498</v>
      </c>
      <c r="C130" t="s">
        <v>490</v>
      </c>
      <c r="D130">
        <v>0.10416666666666667</v>
      </c>
      <c r="E130" t="s">
        <v>505</v>
      </c>
      <c r="F130" t="s">
        <v>506</v>
      </c>
      <c r="H130">
        <v>29.2</v>
      </c>
      <c r="I130">
        <v>28</v>
      </c>
      <c r="J130">
        <v>42.8</v>
      </c>
      <c r="K130">
        <v>57.2</v>
      </c>
      <c r="L130">
        <v>70.8</v>
      </c>
      <c r="M130">
        <v>72</v>
      </c>
      <c r="N130">
        <v>33</v>
      </c>
      <c r="O130">
        <v>39.4</v>
      </c>
      <c r="P130">
        <v>27.6</v>
      </c>
      <c r="Q130">
        <v>76</v>
      </c>
      <c r="R130">
        <v>79</v>
      </c>
      <c r="S130">
        <v>54.4</v>
      </c>
      <c r="T130">
        <v>45.6</v>
      </c>
      <c r="U130">
        <v>51.4</v>
      </c>
      <c r="V130">
        <v>58.6</v>
      </c>
      <c r="W130">
        <v>41.4</v>
      </c>
      <c r="X130" t="s">
        <v>505</v>
      </c>
      <c r="Y130" t="s">
        <v>2807</v>
      </c>
      <c r="Z130" t="s">
        <v>4029</v>
      </c>
      <c r="AA130" t="s">
        <v>453</v>
      </c>
      <c r="AB130" t="s">
        <v>2120</v>
      </c>
      <c r="AC130" t="s">
        <v>2119</v>
      </c>
      <c r="AD130" t="s">
        <v>2119</v>
      </c>
      <c r="AE130" t="s">
        <v>2120</v>
      </c>
      <c r="AF130" t="s">
        <v>2119</v>
      </c>
      <c r="AG130" t="s">
        <v>2120</v>
      </c>
      <c r="AH130" t="s">
        <v>2120</v>
      </c>
      <c r="AI130" t="s">
        <v>2119</v>
      </c>
      <c r="AJ130" t="s">
        <v>2119</v>
      </c>
      <c r="AK130" t="s">
        <v>2120</v>
      </c>
      <c r="AL130" t="s">
        <v>2119</v>
      </c>
      <c r="AM130" t="s">
        <v>2119</v>
      </c>
      <c r="AN130" t="s">
        <v>2120</v>
      </c>
      <c r="AO130" t="s">
        <v>2120</v>
      </c>
      <c r="AP130" t="s">
        <v>2119</v>
      </c>
      <c r="AQ130" t="s">
        <v>2120</v>
      </c>
    </row>
    <row r="131" spans="2:43" x14ac:dyDescent="0.2">
      <c r="B131" t="s">
        <v>498</v>
      </c>
      <c r="C131" t="s">
        <v>490</v>
      </c>
      <c r="D131">
        <v>0.10416666666666667</v>
      </c>
      <c r="E131" t="s">
        <v>507</v>
      </c>
      <c r="F131" t="s">
        <v>508</v>
      </c>
      <c r="H131">
        <v>46</v>
      </c>
      <c r="I131">
        <v>26.5</v>
      </c>
      <c r="J131">
        <v>27.5</v>
      </c>
      <c r="K131">
        <v>72.5</v>
      </c>
      <c r="L131">
        <v>54</v>
      </c>
      <c r="M131">
        <v>73.5</v>
      </c>
      <c r="N131">
        <v>34.1</v>
      </c>
      <c r="O131">
        <v>39.6</v>
      </c>
      <c r="P131">
        <v>26.2</v>
      </c>
      <c r="Q131">
        <v>75.5</v>
      </c>
      <c r="R131">
        <v>81.5</v>
      </c>
      <c r="S131">
        <v>58.2</v>
      </c>
      <c r="T131">
        <v>41.8</v>
      </c>
      <c r="U131">
        <v>47.7</v>
      </c>
      <c r="V131">
        <v>61</v>
      </c>
      <c r="W131">
        <v>39</v>
      </c>
      <c r="X131" t="s">
        <v>2808</v>
      </c>
      <c r="Y131" t="s">
        <v>508</v>
      </c>
      <c r="Z131" t="s">
        <v>4030</v>
      </c>
      <c r="AA131" t="s">
        <v>461</v>
      </c>
      <c r="AB131" t="s">
        <v>2119</v>
      </c>
      <c r="AC131" t="s">
        <v>2119</v>
      </c>
      <c r="AD131" t="s">
        <v>2120</v>
      </c>
      <c r="AE131" t="s">
        <v>2119</v>
      </c>
      <c r="AF131" t="s">
        <v>2120</v>
      </c>
      <c r="AG131" t="s">
        <v>2120</v>
      </c>
      <c r="AH131" t="s">
        <v>2119</v>
      </c>
      <c r="AI131" t="s">
        <v>2119</v>
      </c>
      <c r="AJ131" t="s">
        <v>2120</v>
      </c>
      <c r="AK131" t="s">
        <v>2120</v>
      </c>
      <c r="AL131" t="s">
        <v>2120</v>
      </c>
      <c r="AM131" t="s">
        <v>2120</v>
      </c>
      <c r="AN131" t="s">
        <v>2119</v>
      </c>
      <c r="AO131" t="s">
        <v>2119</v>
      </c>
      <c r="AP131" t="s">
        <v>2120</v>
      </c>
      <c r="AQ131" t="s">
        <v>2119</v>
      </c>
    </row>
    <row r="132" spans="2:43" x14ac:dyDescent="0.2">
      <c r="B132" t="s">
        <v>498</v>
      </c>
      <c r="C132" t="s">
        <v>490</v>
      </c>
      <c r="D132">
        <v>0.10416666666666667</v>
      </c>
      <c r="E132" t="s">
        <v>509</v>
      </c>
      <c r="F132" t="s">
        <v>510</v>
      </c>
      <c r="H132">
        <v>10.7</v>
      </c>
      <c r="I132">
        <v>24</v>
      </c>
      <c r="J132">
        <v>65.2</v>
      </c>
      <c r="K132">
        <v>34.799999999999997</v>
      </c>
      <c r="L132">
        <v>89.3</v>
      </c>
      <c r="M132">
        <v>76</v>
      </c>
      <c r="N132">
        <v>12.8</v>
      </c>
      <c r="O132">
        <v>33.1</v>
      </c>
      <c r="P132">
        <v>54.2</v>
      </c>
      <c r="Q132">
        <v>80.7</v>
      </c>
      <c r="R132">
        <v>91.5</v>
      </c>
      <c r="S132">
        <v>76.400000000000006</v>
      </c>
      <c r="T132">
        <v>23.6</v>
      </c>
      <c r="U132">
        <v>31.5</v>
      </c>
      <c r="V132">
        <v>66.2</v>
      </c>
      <c r="W132">
        <v>33.799999999999997</v>
      </c>
      <c r="X132" t="s">
        <v>509</v>
      </c>
      <c r="Y132" t="s">
        <v>1287</v>
      </c>
      <c r="Z132" t="s">
        <v>4031</v>
      </c>
      <c r="AA132" t="s">
        <v>4032</v>
      </c>
      <c r="AB132" t="s">
        <v>2119</v>
      </c>
      <c r="AC132" t="s">
        <v>2119</v>
      </c>
      <c r="AD132" t="s">
        <v>2120</v>
      </c>
      <c r="AE132" t="s">
        <v>2119</v>
      </c>
      <c r="AF132" t="s">
        <v>2120</v>
      </c>
      <c r="AG132" t="s">
        <v>2120</v>
      </c>
      <c r="AH132" t="s">
        <v>2120</v>
      </c>
      <c r="AI132" t="s">
        <v>2119</v>
      </c>
      <c r="AJ132" t="s">
        <v>2119</v>
      </c>
      <c r="AK132" t="s">
        <v>2120</v>
      </c>
      <c r="AL132" t="s">
        <v>2120</v>
      </c>
      <c r="AM132" t="s">
        <v>2120</v>
      </c>
      <c r="AN132" t="s">
        <v>2119</v>
      </c>
      <c r="AO132" t="s">
        <v>2119</v>
      </c>
      <c r="AP132" t="s">
        <v>2120</v>
      </c>
      <c r="AQ132" t="s">
        <v>2119</v>
      </c>
    </row>
    <row r="133" spans="2:43" x14ac:dyDescent="0.2">
      <c r="B133" t="s">
        <v>445</v>
      </c>
      <c r="C133" t="s">
        <v>490</v>
      </c>
      <c r="D133">
        <v>0.14583333333333334</v>
      </c>
      <c r="E133" t="s">
        <v>511</v>
      </c>
      <c r="F133" t="s">
        <v>512</v>
      </c>
      <c r="H133">
        <v>49</v>
      </c>
      <c r="I133">
        <v>25.1</v>
      </c>
      <c r="J133">
        <v>25.9</v>
      </c>
      <c r="K133">
        <v>74.099999999999994</v>
      </c>
      <c r="L133">
        <v>51</v>
      </c>
      <c r="M133">
        <v>74.900000000000006</v>
      </c>
      <c r="N133">
        <v>30.6</v>
      </c>
      <c r="O133">
        <v>41.7</v>
      </c>
      <c r="P133">
        <v>27.7</v>
      </c>
      <c r="Q133">
        <v>72.5</v>
      </c>
      <c r="R133">
        <v>86.9</v>
      </c>
      <c r="S133">
        <v>67.2</v>
      </c>
      <c r="T133">
        <v>32.799999999999997</v>
      </c>
      <c r="U133">
        <v>38.700000000000003</v>
      </c>
      <c r="V133">
        <v>67.400000000000006</v>
      </c>
      <c r="W133">
        <v>32.6</v>
      </c>
      <c r="X133" t="s">
        <v>511</v>
      </c>
      <c r="Y133" t="s">
        <v>512</v>
      </c>
      <c r="Z133" t="s">
        <v>4033</v>
      </c>
      <c r="AA133" t="s">
        <v>459</v>
      </c>
      <c r="AB133" t="s">
        <v>2119</v>
      </c>
      <c r="AC133" t="s">
        <v>2120</v>
      </c>
      <c r="AD133" t="s">
        <v>2119</v>
      </c>
      <c r="AE133" t="s">
        <v>2120</v>
      </c>
      <c r="AF133" t="s">
        <v>2120</v>
      </c>
      <c r="AG133" t="s">
        <v>2119</v>
      </c>
      <c r="AH133" t="s">
        <v>2120</v>
      </c>
      <c r="AI133" t="s">
        <v>2119</v>
      </c>
      <c r="AJ133" t="s">
        <v>2119</v>
      </c>
      <c r="AK133" t="s">
        <v>2120</v>
      </c>
      <c r="AL133" t="s">
        <v>2120</v>
      </c>
      <c r="AM133" t="s">
        <v>2119</v>
      </c>
      <c r="AN133" t="s">
        <v>2120</v>
      </c>
      <c r="AO133" t="s">
        <v>2120</v>
      </c>
      <c r="AP133" t="s">
        <v>2120</v>
      </c>
      <c r="AQ133" t="s">
        <v>2119</v>
      </c>
    </row>
    <row r="134" spans="2:43" x14ac:dyDescent="0.2">
      <c r="B134" t="s">
        <v>463</v>
      </c>
      <c r="C134" t="s">
        <v>490</v>
      </c>
      <c r="D134">
        <v>0.14583333333333334</v>
      </c>
      <c r="E134" t="s">
        <v>513</v>
      </c>
      <c r="F134" t="s">
        <v>514</v>
      </c>
      <c r="H134">
        <v>36</v>
      </c>
      <c r="I134">
        <v>25.7</v>
      </c>
      <c r="J134">
        <v>38.299999999999997</v>
      </c>
      <c r="K134">
        <v>61.7</v>
      </c>
      <c r="L134">
        <v>64</v>
      </c>
      <c r="M134">
        <v>74.3</v>
      </c>
      <c r="N134">
        <v>33.5</v>
      </c>
      <c r="O134">
        <v>34.4</v>
      </c>
      <c r="P134">
        <v>32.1</v>
      </c>
      <c r="Q134">
        <v>84</v>
      </c>
      <c r="R134">
        <v>89.1</v>
      </c>
      <c r="S134">
        <v>71.3</v>
      </c>
      <c r="T134">
        <v>28.7</v>
      </c>
      <c r="U134">
        <v>33.9</v>
      </c>
      <c r="V134">
        <v>72.099999999999994</v>
      </c>
      <c r="W134">
        <v>27.9</v>
      </c>
      <c r="X134" t="s">
        <v>513</v>
      </c>
      <c r="Y134" t="s">
        <v>514</v>
      </c>
      <c r="Z134" t="s">
        <v>4034</v>
      </c>
      <c r="AA134" t="s">
        <v>456</v>
      </c>
      <c r="AB134" t="s">
        <v>2119</v>
      </c>
      <c r="AC134" t="s">
        <v>2119</v>
      </c>
      <c r="AD134" t="s">
        <v>2120</v>
      </c>
      <c r="AE134" t="s">
        <v>2119</v>
      </c>
      <c r="AF134" t="s">
        <v>2120</v>
      </c>
      <c r="AG134" t="s">
        <v>2120</v>
      </c>
      <c r="AH134" t="s">
        <v>2119</v>
      </c>
      <c r="AI134" t="s">
        <v>2120</v>
      </c>
      <c r="AJ134" t="s">
        <v>2119</v>
      </c>
      <c r="AK134" t="s">
        <v>2119</v>
      </c>
      <c r="AL134" t="s">
        <v>2119</v>
      </c>
      <c r="AM134" t="s">
        <v>2119</v>
      </c>
      <c r="AN134" t="s">
        <v>2120</v>
      </c>
      <c r="AO134" t="s">
        <v>2120</v>
      </c>
      <c r="AP134" t="s">
        <v>2119</v>
      </c>
      <c r="AQ134" t="s">
        <v>2120</v>
      </c>
    </row>
    <row r="135" spans="2:43" x14ac:dyDescent="0.2">
      <c r="B135" t="s">
        <v>463</v>
      </c>
      <c r="C135" t="s">
        <v>490</v>
      </c>
      <c r="D135">
        <v>0.14583333333333334</v>
      </c>
      <c r="E135" t="s">
        <v>515</v>
      </c>
      <c r="F135" t="s">
        <v>516</v>
      </c>
      <c r="H135">
        <v>48.3</v>
      </c>
      <c r="I135">
        <v>24.9</v>
      </c>
      <c r="J135">
        <v>26.8</v>
      </c>
      <c r="K135">
        <v>73.2</v>
      </c>
      <c r="L135">
        <v>51.7</v>
      </c>
      <c r="M135">
        <v>75.099999999999994</v>
      </c>
      <c r="N135">
        <v>37.799999999999997</v>
      </c>
      <c r="O135">
        <v>35.5</v>
      </c>
      <c r="P135">
        <v>26.7</v>
      </c>
      <c r="Q135">
        <v>81.7</v>
      </c>
      <c r="R135">
        <v>89.1</v>
      </c>
      <c r="S135">
        <v>71.2</v>
      </c>
      <c r="T135">
        <v>28.8</v>
      </c>
      <c r="U135">
        <v>34.4</v>
      </c>
      <c r="V135">
        <v>70.8</v>
      </c>
      <c r="W135">
        <v>29.2</v>
      </c>
      <c r="X135" t="s">
        <v>515</v>
      </c>
      <c r="Y135" t="s">
        <v>2803</v>
      </c>
      <c r="Z135" t="s">
        <v>4035</v>
      </c>
      <c r="AA135" t="s">
        <v>453</v>
      </c>
      <c r="AB135" t="s">
        <v>2120</v>
      </c>
      <c r="AC135" t="s">
        <v>2119</v>
      </c>
      <c r="AD135" t="s">
        <v>2119</v>
      </c>
      <c r="AE135" t="s">
        <v>2120</v>
      </c>
      <c r="AF135" t="s">
        <v>2119</v>
      </c>
      <c r="AG135" t="s">
        <v>2120</v>
      </c>
      <c r="AH135" t="s">
        <v>2119</v>
      </c>
      <c r="AI135" t="s">
        <v>2120</v>
      </c>
      <c r="AJ135" t="s">
        <v>2119</v>
      </c>
      <c r="AK135" t="s">
        <v>2119</v>
      </c>
      <c r="AL135" t="s">
        <v>2119</v>
      </c>
      <c r="AM135" t="s">
        <v>2119</v>
      </c>
      <c r="AN135" t="s">
        <v>2120</v>
      </c>
      <c r="AO135" t="s">
        <v>2120</v>
      </c>
      <c r="AP135" t="s">
        <v>2119</v>
      </c>
      <c r="AQ135" t="s">
        <v>2120</v>
      </c>
    </row>
    <row r="136" spans="2:43" x14ac:dyDescent="0.2">
      <c r="B136" t="s">
        <v>471</v>
      </c>
      <c r="C136" t="s">
        <v>490</v>
      </c>
      <c r="D136">
        <v>0.16666666666666666</v>
      </c>
      <c r="E136" t="s">
        <v>517</v>
      </c>
      <c r="F136" t="s">
        <v>518</v>
      </c>
      <c r="H136">
        <v>27.1</v>
      </c>
      <c r="I136">
        <v>28.9</v>
      </c>
      <c r="J136">
        <v>44</v>
      </c>
      <c r="K136">
        <v>56</v>
      </c>
      <c r="L136">
        <v>72.900000000000006</v>
      </c>
      <c r="M136">
        <v>71.099999999999994</v>
      </c>
      <c r="N136">
        <v>24.5</v>
      </c>
      <c r="O136">
        <v>42.5</v>
      </c>
      <c r="P136">
        <v>33</v>
      </c>
      <c r="Q136">
        <v>71.3</v>
      </c>
      <c r="R136">
        <v>75.7</v>
      </c>
      <c r="S136">
        <v>49.8</v>
      </c>
      <c r="T136">
        <v>50.2</v>
      </c>
      <c r="U136">
        <v>56.1</v>
      </c>
      <c r="V136">
        <v>54.6</v>
      </c>
      <c r="W136">
        <v>45.4</v>
      </c>
      <c r="X136" t="s">
        <v>2794</v>
      </c>
      <c r="Y136" t="s">
        <v>518</v>
      </c>
      <c r="Z136" t="s">
        <v>4036</v>
      </c>
      <c r="AA136" t="s">
        <v>462</v>
      </c>
      <c r="AB136" t="s">
        <v>2120</v>
      </c>
      <c r="AC136" t="s">
        <v>2119</v>
      </c>
      <c r="AD136" t="s">
        <v>2119</v>
      </c>
      <c r="AE136" t="s">
        <v>2120</v>
      </c>
      <c r="AF136" t="s">
        <v>2119</v>
      </c>
      <c r="AG136" t="s">
        <v>2120</v>
      </c>
      <c r="AH136" t="s">
        <v>2119</v>
      </c>
      <c r="AI136" t="s">
        <v>2119</v>
      </c>
      <c r="AJ136" t="s">
        <v>2120</v>
      </c>
      <c r="AK136" t="s">
        <v>2120</v>
      </c>
      <c r="AL136" t="s">
        <v>2120</v>
      </c>
      <c r="AM136" t="s">
        <v>2120</v>
      </c>
      <c r="AN136" t="s">
        <v>2119</v>
      </c>
      <c r="AO136" t="s">
        <v>2120</v>
      </c>
      <c r="AP136" t="s">
        <v>2120</v>
      </c>
      <c r="AQ136" t="s">
        <v>2119</v>
      </c>
    </row>
    <row r="137" spans="2:43" x14ac:dyDescent="0.2">
      <c r="B137" t="s">
        <v>472</v>
      </c>
      <c r="C137" t="s">
        <v>490</v>
      </c>
      <c r="D137">
        <v>0.16666666666666666</v>
      </c>
      <c r="E137" t="s">
        <v>519</v>
      </c>
      <c r="F137" t="s">
        <v>520</v>
      </c>
      <c r="H137">
        <v>39.6</v>
      </c>
      <c r="I137">
        <v>27</v>
      </c>
      <c r="J137">
        <v>33.4</v>
      </c>
      <c r="K137">
        <v>66.599999999999994</v>
      </c>
      <c r="L137">
        <v>60.4</v>
      </c>
      <c r="M137">
        <v>73</v>
      </c>
      <c r="N137">
        <v>32.1</v>
      </c>
      <c r="O137">
        <v>41.3</v>
      </c>
      <c r="P137">
        <v>26.6</v>
      </c>
      <c r="Q137">
        <v>73.099999999999994</v>
      </c>
      <c r="R137">
        <v>82.1</v>
      </c>
      <c r="S137">
        <v>59.1</v>
      </c>
      <c r="T137">
        <v>40.9</v>
      </c>
      <c r="U137">
        <v>46.5</v>
      </c>
      <c r="V137">
        <v>62.7</v>
      </c>
      <c r="W137">
        <v>37.299999999999997</v>
      </c>
      <c r="X137" t="s">
        <v>519</v>
      </c>
      <c r="Y137" t="s">
        <v>520</v>
      </c>
      <c r="Z137" t="s">
        <v>4037</v>
      </c>
      <c r="AA137" t="s">
        <v>449</v>
      </c>
      <c r="AB137" t="s">
        <v>2119</v>
      </c>
      <c r="AC137" t="s">
        <v>2119</v>
      </c>
      <c r="AD137" t="s">
        <v>2120</v>
      </c>
      <c r="AE137" t="s">
        <v>2119</v>
      </c>
      <c r="AF137" t="s">
        <v>2120</v>
      </c>
      <c r="AG137" t="s">
        <v>2120</v>
      </c>
      <c r="AH137" t="s">
        <v>2119</v>
      </c>
      <c r="AI137" t="s">
        <v>2120</v>
      </c>
      <c r="AJ137" t="s">
        <v>2119</v>
      </c>
      <c r="AK137" t="s">
        <v>2119</v>
      </c>
      <c r="AL137" t="s">
        <v>2120</v>
      </c>
      <c r="AM137" t="s">
        <v>2119</v>
      </c>
      <c r="AN137" t="s">
        <v>2120</v>
      </c>
      <c r="AO137" t="s">
        <v>2120</v>
      </c>
      <c r="AP137" t="s">
        <v>2119</v>
      </c>
      <c r="AQ137" t="s">
        <v>2120</v>
      </c>
    </row>
    <row r="138" spans="2:43" x14ac:dyDescent="0.2">
      <c r="B138" t="s">
        <v>521</v>
      </c>
      <c r="C138" t="s">
        <v>490</v>
      </c>
      <c r="D138">
        <v>0.16666666666666666</v>
      </c>
      <c r="E138" t="s">
        <v>522</v>
      </c>
      <c r="F138" t="s">
        <v>523</v>
      </c>
      <c r="H138">
        <v>45.5</v>
      </c>
      <c r="I138">
        <v>25.2</v>
      </c>
      <c r="J138">
        <v>29.3</v>
      </c>
      <c r="K138">
        <v>70.7</v>
      </c>
      <c r="L138">
        <v>54.5</v>
      </c>
      <c r="M138">
        <v>74.8</v>
      </c>
      <c r="N138">
        <v>39.299999999999997</v>
      </c>
      <c r="O138">
        <v>35.6</v>
      </c>
      <c r="P138">
        <v>25.1</v>
      </c>
      <c r="Q138">
        <v>81.3</v>
      </c>
      <c r="R138">
        <v>89.1</v>
      </c>
      <c r="S138">
        <v>71.2</v>
      </c>
      <c r="T138">
        <v>28.8</v>
      </c>
      <c r="U138">
        <v>34.200000000000003</v>
      </c>
      <c r="V138">
        <v>71.400000000000006</v>
      </c>
      <c r="W138">
        <v>28.6</v>
      </c>
      <c r="X138" t="s">
        <v>522</v>
      </c>
      <c r="Y138" t="s">
        <v>523</v>
      </c>
      <c r="Z138" t="s">
        <v>4038</v>
      </c>
      <c r="AA138" t="s">
        <v>2174</v>
      </c>
      <c r="AB138" t="s">
        <v>2120</v>
      </c>
      <c r="AC138" t="s">
        <v>2119</v>
      </c>
      <c r="AD138" t="s">
        <v>2119</v>
      </c>
      <c r="AE138" t="s">
        <v>2120</v>
      </c>
      <c r="AF138" t="s">
        <v>2119</v>
      </c>
      <c r="AG138" t="s">
        <v>2120</v>
      </c>
      <c r="AH138" t="s">
        <v>2120</v>
      </c>
      <c r="AI138" t="s">
        <v>2119</v>
      </c>
      <c r="AJ138" t="s">
        <v>2119</v>
      </c>
      <c r="AK138" t="s">
        <v>2120</v>
      </c>
      <c r="AL138" t="s">
        <v>2120</v>
      </c>
      <c r="AM138" t="s">
        <v>2120</v>
      </c>
      <c r="AN138" t="s">
        <v>2119</v>
      </c>
      <c r="AO138" t="s">
        <v>2119</v>
      </c>
      <c r="AP138" t="s">
        <v>2119</v>
      </c>
      <c r="AQ138" t="s">
        <v>2120</v>
      </c>
    </row>
    <row r="139" spans="2:43" x14ac:dyDescent="0.2">
      <c r="B139" t="s">
        <v>521</v>
      </c>
      <c r="C139" t="s">
        <v>490</v>
      </c>
      <c r="D139">
        <v>0.16666666666666666</v>
      </c>
      <c r="E139" t="s">
        <v>524</v>
      </c>
      <c r="F139" t="s">
        <v>525</v>
      </c>
      <c r="H139">
        <v>60</v>
      </c>
      <c r="I139">
        <v>23.3</v>
      </c>
      <c r="J139">
        <v>16.7</v>
      </c>
      <c r="K139">
        <v>83.3</v>
      </c>
      <c r="L139">
        <v>40</v>
      </c>
      <c r="M139">
        <v>76.7</v>
      </c>
      <c r="N139">
        <v>56.5</v>
      </c>
      <c r="O139">
        <v>30.6</v>
      </c>
      <c r="P139">
        <v>12.9</v>
      </c>
      <c r="Q139">
        <v>82.7</v>
      </c>
      <c r="R139">
        <v>88.7</v>
      </c>
      <c r="S139">
        <v>70.7</v>
      </c>
      <c r="T139">
        <v>29.3</v>
      </c>
      <c r="U139">
        <v>36.4</v>
      </c>
      <c r="V139">
        <v>66</v>
      </c>
      <c r="W139">
        <v>34</v>
      </c>
      <c r="X139" t="s">
        <v>2812</v>
      </c>
      <c r="Y139" t="s">
        <v>525</v>
      </c>
      <c r="Z139" t="s">
        <v>4039</v>
      </c>
      <c r="AA139" t="s">
        <v>447</v>
      </c>
      <c r="AB139" t="s">
        <v>2119</v>
      </c>
      <c r="AC139" t="s">
        <v>2120</v>
      </c>
      <c r="AD139" t="s">
        <v>2119</v>
      </c>
      <c r="AE139" t="s">
        <v>2120</v>
      </c>
      <c r="AF139" t="s">
        <v>2120</v>
      </c>
      <c r="AG139" t="s">
        <v>2119</v>
      </c>
      <c r="AH139" t="s">
        <v>2119</v>
      </c>
      <c r="AI139" t="s">
        <v>2120</v>
      </c>
      <c r="AJ139" t="s">
        <v>2119</v>
      </c>
      <c r="AK139" t="s">
        <v>2119</v>
      </c>
      <c r="AL139" t="s">
        <v>2119</v>
      </c>
      <c r="AM139" t="s">
        <v>2119</v>
      </c>
      <c r="AN139" t="s">
        <v>2120</v>
      </c>
      <c r="AO139" t="s">
        <v>2120</v>
      </c>
      <c r="AP139" t="s">
        <v>2119</v>
      </c>
      <c r="AQ139" t="s">
        <v>2120</v>
      </c>
    </row>
    <row r="140" spans="2:43" x14ac:dyDescent="0.2">
      <c r="B140" t="s">
        <v>521</v>
      </c>
      <c r="C140" t="s">
        <v>490</v>
      </c>
      <c r="D140">
        <v>0.16666666666666666</v>
      </c>
      <c r="E140" t="s">
        <v>526</v>
      </c>
      <c r="F140" t="s">
        <v>393</v>
      </c>
      <c r="H140">
        <v>41.1</v>
      </c>
      <c r="I140">
        <v>25.3</v>
      </c>
      <c r="J140">
        <v>33.6</v>
      </c>
      <c r="K140">
        <v>66.400000000000006</v>
      </c>
      <c r="L140">
        <v>58.9</v>
      </c>
      <c r="M140">
        <v>74.7</v>
      </c>
      <c r="N140">
        <v>37.700000000000003</v>
      </c>
      <c r="O140">
        <v>34.299999999999997</v>
      </c>
      <c r="P140">
        <v>28.1</v>
      </c>
      <c r="Q140">
        <v>83.8</v>
      </c>
      <c r="R140">
        <v>92</v>
      </c>
      <c r="S140">
        <v>77</v>
      </c>
      <c r="T140">
        <v>23</v>
      </c>
      <c r="U140">
        <v>27.8</v>
      </c>
      <c r="V140">
        <v>76.5</v>
      </c>
      <c r="W140">
        <v>23.5</v>
      </c>
      <c r="X140" t="s">
        <v>2813</v>
      </c>
      <c r="Y140" t="s">
        <v>393</v>
      </c>
      <c r="Z140" t="s">
        <v>4040</v>
      </c>
      <c r="AA140" t="s">
        <v>449</v>
      </c>
      <c r="AB140" t="s">
        <v>2119</v>
      </c>
      <c r="AC140" t="s">
        <v>2119</v>
      </c>
      <c r="AD140" t="s">
        <v>2120</v>
      </c>
      <c r="AE140" t="s">
        <v>2119</v>
      </c>
      <c r="AF140" t="s">
        <v>2120</v>
      </c>
      <c r="AG140" t="s">
        <v>2120</v>
      </c>
      <c r="AH140" t="s">
        <v>2119</v>
      </c>
      <c r="AI140" t="s">
        <v>2119</v>
      </c>
      <c r="AJ140" t="s">
        <v>2120</v>
      </c>
      <c r="AK140" t="s">
        <v>2120</v>
      </c>
      <c r="AL140" t="s">
        <v>2120</v>
      </c>
      <c r="AM140" t="s">
        <v>2119</v>
      </c>
      <c r="AN140" t="s">
        <v>2120</v>
      </c>
      <c r="AO140" t="s">
        <v>2120</v>
      </c>
      <c r="AP140" t="s">
        <v>2119</v>
      </c>
      <c r="AQ140" t="s">
        <v>2120</v>
      </c>
    </row>
    <row r="141" spans="2:43" x14ac:dyDescent="0.2">
      <c r="B141" t="s">
        <v>521</v>
      </c>
      <c r="C141" t="s">
        <v>490</v>
      </c>
      <c r="D141">
        <v>0.16666666666666666</v>
      </c>
      <c r="E141" t="s">
        <v>527</v>
      </c>
      <c r="F141" t="s">
        <v>528</v>
      </c>
      <c r="H141">
        <v>54.4</v>
      </c>
      <c r="I141">
        <v>24.4</v>
      </c>
      <c r="J141">
        <v>21.2</v>
      </c>
      <c r="K141">
        <v>78.8</v>
      </c>
      <c r="L141">
        <v>45.6</v>
      </c>
      <c r="M141">
        <v>75.599999999999994</v>
      </c>
      <c r="N141">
        <v>41.6</v>
      </c>
      <c r="O141">
        <v>34.299999999999997</v>
      </c>
      <c r="P141">
        <v>24.1</v>
      </c>
      <c r="Q141">
        <v>82.9</v>
      </c>
      <c r="R141">
        <v>92.2</v>
      </c>
      <c r="S141">
        <v>77.7</v>
      </c>
      <c r="T141">
        <v>22.3</v>
      </c>
      <c r="U141">
        <v>27.9</v>
      </c>
      <c r="V141">
        <v>74.2</v>
      </c>
      <c r="W141">
        <v>25.8</v>
      </c>
      <c r="X141" t="s">
        <v>2815</v>
      </c>
      <c r="Y141" t="s">
        <v>528</v>
      </c>
      <c r="Z141" t="s">
        <v>4041</v>
      </c>
      <c r="AA141" t="s">
        <v>459</v>
      </c>
      <c r="AB141" t="s">
        <v>2119</v>
      </c>
      <c r="AC141" t="s">
        <v>2120</v>
      </c>
      <c r="AD141" t="s">
        <v>2119</v>
      </c>
      <c r="AE141" t="s">
        <v>2120</v>
      </c>
      <c r="AF141" t="s">
        <v>2120</v>
      </c>
      <c r="AG141" t="s">
        <v>2119</v>
      </c>
      <c r="AH141" t="s">
        <v>2119</v>
      </c>
      <c r="AI141" t="s">
        <v>2119</v>
      </c>
      <c r="AJ141" t="s">
        <v>2120</v>
      </c>
      <c r="AK141" t="s">
        <v>2120</v>
      </c>
      <c r="AL141" t="s">
        <v>2120</v>
      </c>
      <c r="AM141" t="s">
        <v>2119</v>
      </c>
      <c r="AN141" t="s">
        <v>2120</v>
      </c>
      <c r="AO141" t="s">
        <v>2120</v>
      </c>
      <c r="AP141" t="s">
        <v>2120</v>
      </c>
      <c r="AQ141" t="s">
        <v>2119</v>
      </c>
    </row>
    <row r="142" spans="2:43" x14ac:dyDescent="0.2">
      <c r="B142" t="s">
        <v>521</v>
      </c>
      <c r="C142" t="s">
        <v>490</v>
      </c>
      <c r="D142">
        <v>0.16666666666666666</v>
      </c>
      <c r="E142" t="s">
        <v>529</v>
      </c>
      <c r="F142" t="s">
        <v>530</v>
      </c>
      <c r="H142">
        <v>39.299999999999997</v>
      </c>
      <c r="I142">
        <v>25.5</v>
      </c>
      <c r="J142">
        <v>35.200000000000003</v>
      </c>
      <c r="K142">
        <v>64.8</v>
      </c>
      <c r="L142">
        <v>60.7</v>
      </c>
      <c r="M142">
        <v>74.5</v>
      </c>
      <c r="N142">
        <v>32.4</v>
      </c>
      <c r="O142">
        <v>36</v>
      </c>
      <c r="P142">
        <v>31.5</v>
      </c>
      <c r="Q142">
        <v>81.5</v>
      </c>
      <c r="R142">
        <v>89.7</v>
      </c>
      <c r="S142">
        <v>72.400000000000006</v>
      </c>
      <c r="T142">
        <v>27.6</v>
      </c>
      <c r="U142">
        <v>32.700000000000003</v>
      </c>
      <c r="V142">
        <v>73</v>
      </c>
      <c r="W142">
        <v>27</v>
      </c>
      <c r="X142" t="s">
        <v>529</v>
      </c>
      <c r="Y142" t="s">
        <v>2816</v>
      </c>
      <c r="Z142" t="s">
        <v>4042</v>
      </c>
      <c r="AA142" t="s">
        <v>460</v>
      </c>
      <c r="AB142" t="s">
        <v>2119</v>
      </c>
      <c r="AC142" t="s">
        <v>2119</v>
      </c>
      <c r="AD142" t="s">
        <v>2120</v>
      </c>
      <c r="AE142" t="s">
        <v>2119</v>
      </c>
      <c r="AF142" t="s">
        <v>2120</v>
      </c>
      <c r="AG142" t="s">
        <v>2120</v>
      </c>
      <c r="AH142" t="s">
        <v>2119</v>
      </c>
      <c r="AI142" t="s">
        <v>2120</v>
      </c>
      <c r="AJ142" t="s">
        <v>2119</v>
      </c>
      <c r="AK142" t="s">
        <v>2119</v>
      </c>
      <c r="AL142" t="s">
        <v>2120</v>
      </c>
      <c r="AM142" t="s">
        <v>2120</v>
      </c>
      <c r="AN142" t="s">
        <v>2119</v>
      </c>
      <c r="AO142" t="s">
        <v>2120</v>
      </c>
      <c r="AP142" t="s">
        <v>2120</v>
      </c>
      <c r="AQ142" t="s">
        <v>2119</v>
      </c>
    </row>
    <row r="143" spans="2:43" x14ac:dyDescent="0.2">
      <c r="B143" t="s">
        <v>471</v>
      </c>
      <c r="C143" t="s">
        <v>490</v>
      </c>
      <c r="D143">
        <v>0.1875</v>
      </c>
      <c r="E143" t="s">
        <v>531</v>
      </c>
      <c r="F143" t="s">
        <v>532</v>
      </c>
      <c r="H143">
        <v>39.4</v>
      </c>
      <c r="I143">
        <v>27.2</v>
      </c>
      <c r="J143">
        <v>33.4</v>
      </c>
      <c r="K143">
        <v>66.599999999999994</v>
      </c>
      <c r="L143">
        <v>60.6</v>
      </c>
      <c r="M143">
        <v>72.8</v>
      </c>
      <c r="N143">
        <v>33.200000000000003</v>
      </c>
      <c r="O143">
        <v>41.6</v>
      </c>
      <c r="P143">
        <v>25.1</v>
      </c>
      <c r="Q143">
        <v>72.3</v>
      </c>
      <c r="R143">
        <v>81.599999999999994</v>
      </c>
      <c r="S143">
        <v>58.3</v>
      </c>
      <c r="T143">
        <v>41.7</v>
      </c>
      <c r="U143">
        <v>47.4</v>
      </c>
      <c r="V143">
        <v>62</v>
      </c>
      <c r="W143">
        <v>38</v>
      </c>
      <c r="X143" t="s">
        <v>2795</v>
      </c>
      <c r="Y143" t="s">
        <v>532</v>
      </c>
      <c r="Z143" t="s">
        <v>4043</v>
      </c>
      <c r="AA143" t="s">
        <v>2186</v>
      </c>
      <c r="AB143" t="s">
        <v>2119</v>
      </c>
      <c r="AC143" t="s">
        <v>2119</v>
      </c>
      <c r="AD143" t="s">
        <v>2120</v>
      </c>
      <c r="AE143" t="s">
        <v>2119</v>
      </c>
      <c r="AF143" t="s">
        <v>2120</v>
      </c>
      <c r="AG143" t="s">
        <v>2120</v>
      </c>
      <c r="AH143" t="s">
        <v>2119</v>
      </c>
      <c r="AI143" t="s">
        <v>2119</v>
      </c>
      <c r="AJ143" t="s">
        <v>2120</v>
      </c>
      <c r="AK143" t="s">
        <v>2120</v>
      </c>
      <c r="AL143" t="s">
        <v>2120</v>
      </c>
      <c r="AM143" t="s">
        <v>2120</v>
      </c>
      <c r="AN143" t="s">
        <v>2119</v>
      </c>
      <c r="AO143" t="s">
        <v>2119</v>
      </c>
      <c r="AP143" t="s">
        <v>2119</v>
      </c>
      <c r="AQ143" t="s">
        <v>2120</v>
      </c>
    </row>
    <row r="144" spans="2:43" x14ac:dyDescent="0.2">
      <c r="B144" t="s">
        <v>445</v>
      </c>
      <c r="C144" t="s">
        <v>490</v>
      </c>
      <c r="D144">
        <v>0.20833333333333334</v>
      </c>
      <c r="E144" t="s">
        <v>533</v>
      </c>
      <c r="F144" t="s">
        <v>21</v>
      </c>
      <c r="H144">
        <v>53.8</v>
      </c>
      <c r="I144">
        <v>24.6</v>
      </c>
      <c r="J144">
        <v>21.6</v>
      </c>
      <c r="K144">
        <v>78.400000000000006</v>
      </c>
      <c r="L144">
        <v>46.2</v>
      </c>
      <c r="M144">
        <v>75.400000000000006</v>
      </c>
      <c r="N144">
        <v>40.9</v>
      </c>
      <c r="O144">
        <v>35.1</v>
      </c>
      <c r="P144">
        <v>24</v>
      </c>
      <c r="Q144">
        <v>81.7</v>
      </c>
      <c r="R144">
        <v>92.9</v>
      </c>
      <c r="S144">
        <v>79.099999999999994</v>
      </c>
      <c r="T144">
        <v>20.9</v>
      </c>
      <c r="U144">
        <v>26.4</v>
      </c>
      <c r="V144">
        <v>75.599999999999994</v>
      </c>
      <c r="W144">
        <v>24.4</v>
      </c>
      <c r="X144" t="s">
        <v>903</v>
      </c>
      <c r="Y144" t="s">
        <v>892</v>
      </c>
      <c r="Z144" t="s">
        <v>4044</v>
      </c>
      <c r="AA144" t="s">
        <v>4045</v>
      </c>
      <c r="AB144" t="s">
        <v>2120</v>
      </c>
      <c r="AC144" t="s">
        <v>2119</v>
      </c>
      <c r="AD144" t="s">
        <v>2119</v>
      </c>
      <c r="AE144" t="s">
        <v>2120</v>
      </c>
      <c r="AF144" t="s">
        <v>2119</v>
      </c>
      <c r="AG144" t="s">
        <v>2120</v>
      </c>
      <c r="AH144" t="s">
        <v>2120</v>
      </c>
      <c r="AI144" t="s">
        <v>2119</v>
      </c>
      <c r="AJ144" t="s">
        <v>2119</v>
      </c>
      <c r="AK144" t="s">
        <v>2120</v>
      </c>
      <c r="AL144" t="s">
        <v>2120</v>
      </c>
      <c r="AM144" t="s">
        <v>2120</v>
      </c>
      <c r="AN144" t="s">
        <v>2119</v>
      </c>
      <c r="AO144" t="s">
        <v>2119</v>
      </c>
      <c r="AP144" t="s">
        <v>2120</v>
      </c>
      <c r="AQ144" t="s">
        <v>2119</v>
      </c>
    </row>
    <row r="145" spans="2:43" x14ac:dyDescent="0.2">
      <c r="B145" t="s">
        <v>471</v>
      </c>
      <c r="C145" t="s">
        <v>490</v>
      </c>
      <c r="D145">
        <v>0.20833333333333334</v>
      </c>
      <c r="E145" t="s">
        <v>534</v>
      </c>
      <c r="F145" t="s">
        <v>535</v>
      </c>
      <c r="H145">
        <v>56.5</v>
      </c>
      <c r="I145">
        <v>24.2</v>
      </c>
      <c r="J145">
        <v>19.2</v>
      </c>
      <c r="K145">
        <v>80.8</v>
      </c>
      <c r="L145">
        <v>43.5</v>
      </c>
      <c r="M145">
        <v>75.8</v>
      </c>
      <c r="N145">
        <v>45.3</v>
      </c>
      <c r="O145">
        <v>37.1</v>
      </c>
      <c r="P145">
        <v>17.600000000000001</v>
      </c>
      <c r="Q145">
        <v>76.599999999999994</v>
      </c>
      <c r="R145">
        <v>84.2</v>
      </c>
      <c r="S145">
        <v>62.6</v>
      </c>
      <c r="T145">
        <v>37.4</v>
      </c>
      <c r="U145">
        <v>44.4</v>
      </c>
      <c r="V145">
        <v>61.1</v>
      </c>
      <c r="W145">
        <v>38.9</v>
      </c>
      <c r="X145" t="s">
        <v>2796</v>
      </c>
      <c r="Y145" t="s">
        <v>2797</v>
      </c>
      <c r="Z145" t="s">
        <v>4046</v>
      </c>
      <c r="AA145" t="s">
        <v>4045</v>
      </c>
      <c r="AB145" t="s">
        <v>2120</v>
      </c>
      <c r="AC145" t="s">
        <v>2119</v>
      </c>
      <c r="AD145" t="s">
        <v>2119</v>
      </c>
      <c r="AE145" t="s">
        <v>2120</v>
      </c>
      <c r="AF145" t="s">
        <v>2119</v>
      </c>
      <c r="AG145" t="s">
        <v>2120</v>
      </c>
      <c r="AH145" t="s">
        <v>2120</v>
      </c>
      <c r="AI145" t="s">
        <v>2119</v>
      </c>
      <c r="AJ145" t="s">
        <v>2119</v>
      </c>
      <c r="AK145" t="s">
        <v>2120</v>
      </c>
      <c r="AL145" t="s">
        <v>2120</v>
      </c>
      <c r="AM145" t="s">
        <v>2120</v>
      </c>
      <c r="AN145" t="s">
        <v>2119</v>
      </c>
      <c r="AO145" t="s">
        <v>2119</v>
      </c>
      <c r="AP145" t="s">
        <v>2120</v>
      </c>
      <c r="AQ145" t="s">
        <v>2119</v>
      </c>
    </row>
    <row r="146" spans="2:43" x14ac:dyDescent="0.2">
      <c r="B146" t="s">
        <v>536</v>
      </c>
      <c r="C146" t="s">
        <v>490</v>
      </c>
      <c r="D146">
        <v>0.21875</v>
      </c>
      <c r="E146" t="s">
        <v>537</v>
      </c>
      <c r="F146" t="s">
        <v>538</v>
      </c>
      <c r="H146">
        <v>60.4</v>
      </c>
      <c r="I146">
        <v>23.2</v>
      </c>
      <c r="J146">
        <v>16.399999999999999</v>
      </c>
      <c r="K146">
        <v>83.6</v>
      </c>
      <c r="L146">
        <v>39.6</v>
      </c>
      <c r="M146">
        <v>76.8</v>
      </c>
      <c r="N146">
        <v>45.6</v>
      </c>
      <c r="O146">
        <v>34.9</v>
      </c>
      <c r="P146">
        <v>19.600000000000001</v>
      </c>
      <c r="Q146">
        <v>80.599999999999994</v>
      </c>
      <c r="R146">
        <v>88.7</v>
      </c>
      <c r="S146">
        <v>70.599999999999994</v>
      </c>
      <c r="T146">
        <v>29.4</v>
      </c>
      <c r="U146">
        <v>36.6</v>
      </c>
      <c r="V146">
        <v>65.599999999999994</v>
      </c>
      <c r="W146">
        <v>34.4</v>
      </c>
      <c r="X146" t="s">
        <v>537</v>
      </c>
      <c r="Y146" t="s">
        <v>2805</v>
      </c>
      <c r="Z146" t="s">
        <v>4047</v>
      </c>
      <c r="AA146" t="s">
        <v>459</v>
      </c>
      <c r="AB146" t="s">
        <v>2119</v>
      </c>
      <c r="AC146" t="s">
        <v>2120</v>
      </c>
      <c r="AD146" t="s">
        <v>2119</v>
      </c>
      <c r="AE146" t="s">
        <v>2120</v>
      </c>
      <c r="AF146" t="s">
        <v>2120</v>
      </c>
      <c r="AG146" t="s">
        <v>2119</v>
      </c>
      <c r="AH146" t="s">
        <v>2119</v>
      </c>
      <c r="AI146" t="s">
        <v>2120</v>
      </c>
      <c r="AJ146" t="s">
        <v>2119</v>
      </c>
      <c r="AK146" t="s">
        <v>2119</v>
      </c>
      <c r="AL146" t="s">
        <v>2120</v>
      </c>
      <c r="AM146" t="s">
        <v>2119</v>
      </c>
      <c r="AN146" t="s">
        <v>2120</v>
      </c>
      <c r="AO146" t="s">
        <v>2120</v>
      </c>
      <c r="AP146" t="s">
        <v>2120</v>
      </c>
      <c r="AQ146" t="s">
        <v>2119</v>
      </c>
    </row>
    <row r="147" spans="2:43" x14ac:dyDescent="0.2">
      <c r="B147" t="s">
        <v>471</v>
      </c>
      <c r="C147" t="s">
        <v>490</v>
      </c>
      <c r="D147">
        <v>0.22916666666666666</v>
      </c>
      <c r="E147" t="s">
        <v>539</v>
      </c>
      <c r="F147" t="s">
        <v>540</v>
      </c>
      <c r="H147">
        <v>33.799999999999997</v>
      </c>
      <c r="I147">
        <v>28.4</v>
      </c>
      <c r="J147">
        <v>37.799999999999997</v>
      </c>
      <c r="K147">
        <v>62.2</v>
      </c>
      <c r="L147">
        <v>66.2</v>
      </c>
      <c r="M147">
        <v>71.599999999999994</v>
      </c>
      <c r="N147">
        <v>30</v>
      </c>
      <c r="O147">
        <v>41</v>
      </c>
      <c r="P147">
        <v>29.1</v>
      </c>
      <c r="Q147">
        <v>73.8</v>
      </c>
      <c r="R147">
        <v>77.8</v>
      </c>
      <c r="S147">
        <v>52.7</v>
      </c>
      <c r="T147">
        <v>47.3</v>
      </c>
      <c r="U147">
        <v>52.9</v>
      </c>
      <c r="V147">
        <v>57.8</v>
      </c>
      <c r="W147">
        <v>42.2</v>
      </c>
      <c r="X147" t="s">
        <v>2798</v>
      </c>
      <c r="Y147" t="s">
        <v>2799</v>
      </c>
      <c r="Z147" t="s">
        <v>4048</v>
      </c>
      <c r="AA147" t="s">
        <v>447</v>
      </c>
      <c r="AB147" t="s">
        <v>2119</v>
      </c>
      <c r="AC147" t="s">
        <v>2120</v>
      </c>
      <c r="AD147" t="s">
        <v>2119</v>
      </c>
      <c r="AE147" t="s">
        <v>2120</v>
      </c>
      <c r="AF147" t="s">
        <v>2120</v>
      </c>
      <c r="AG147" t="s">
        <v>2119</v>
      </c>
      <c r="AH147" t="s">
        <v>2119</v>
      </c>
      <c r="AI147" t="s">
        <v>2120</v>
      </c>
      <c r="AJ147" t="s">
        <v>2119</v>
      </c>
      <c r="AK147" t="s">
        <v>2119</v>
      </c>
      <c r="AL147" t="s">
        <v>2119</v>
      </c>
      <c r="AM147" t="s">
        <v>2119</v>
      </c>
      <c r="AN147" t="s">
        <v>2120</v>
      </c>
      <c r="AO147" t="s">
        <v>2120</v>
      </c>
      <c r="AP147" t="s">
        <v>2119</v>
      </c>
      <c r="AQ147" t="s">
        <v>2120</v>
      </c>
    </row>
    <row r="148" spans="2:43" x14ac:dyDescent="0.2">
      <c r="B148" t="s">
        <v>471</v>
      </c>
      <c r="C148" t="s">
        <v>490</v>
      </c>
      <c r="D148">
        <v>0.26041666666666669</v>
      </c>
      <c r="E148" t="s">
        <v>541</v>
      </c>
      <c r="F148" t="s">
        <v>542</v>
      </c>
      <c r="H148">
        <v>23.4</v>
      </c>
      <c r="I148">
        <v>31.1</v>
      </c>
      <c r="J148">
        <v>45.5</v>
      </c>
      <c r="K148">
        <v>54.5</v>
      </c>
      <c r="L148">
        <v>76.599999999999994</v>
      </c>
      <c r="M148">
        <v>68.900000000000006</v>
      </c>
      <c r="N148">
        <v>17.5</v>
      </c>
      <c r="O148">
        <v>52.7</v>
      </c>
      <c r="P148">
        <v>29.7</v>
      </c>
      <c r="Q148">
        <v>55.5</v>
      </c>
      <c r="R148">
        <v>67.5</v>
      </c>
      <c r="S148">
        <v>39.6</v>
      </c>
      <c r="T148">
        <v>60.4</v>
      </c>
      <c r="U148">
        <v>66.099999999999994</v>
      </c>
      <c r="V148">
        <v>45.6</v>
      </c>
      <c r="W148">
        <v>54.4</v>
      </c>
      <c r="X148" t="s">
        <v>2800</v>
      </c>
      <c r="Y148" t="s">
        <v>542</v>
      </c>
      <c r="Z148" t="s">
        <v>4049</v>
      </c>
      <c r="AA148" t="s">
        <v>453</v>
      </c>
      <c r="AB148" t="s">
        <v>2120</v>
      </c>
      <c r="AC148" t="s">
        <v>2119</v>
      </c>
      <c r="AD148" t="s">
        <v>2119</v>
      </c>
      <c r="AE148" t="s">
        <v>2120</v>
      </c>
      <c r="AF148" t="s">
        <v>2119</v>
      </c>
      <c r="AG148" t="s">
        <v>2120</v>
      </c>
      <c r="AH148" t="s">
        <v>2119</v>
      </c>
      <c r="AI148" t="s">
        <v>2120</v>
      </c>
      <c r="AJ148" t="s">
        <v>2119</v>
      </c>
      <c r="AK148" t="s">
        <v>2119</v>
      </c>
      <c r="AL148" t="s">
        <v>2119</v>
      </c>
      <c r="AM148" t="s">
        <v>2119</v>
      </c>
      <c r="AN148" t="s">
        <v>2120</v>
      </c>
      <c r="AO148" t="s">
        <v>2120</v>
      </c>
      <c r="AP148" t="s">
        <v>2119</v>
      </c>
      <c r="AQ148" t="s">
        <v>2120</v>
      </c>
    </row>
    <row r="149" spans="2:43" x14ac:dyDescent="0.2">
      <c r="B149" t="s">
        <v>543</v>
      </c>
      <c r="C149" t="s">
        <v>490</v>
      </c>
      <c r="D149">
        <v>0.27083333333333331</v>
      </c>
      <c r="E149" t="s">
        <v>544</v>
      </c>
      <c r="F149" t="s">
        <v>545</v>
      </c>
      <c r="H149">
        <v>41.2</v>
      </c>
      <c r="I149">
        <v>27.2</v>
      </c>
      <c r="J149">
        <v>31.6</v>
      </c>
      <c r="K149">
        <v>68.400000000000006</v>
      </c>
      <c r="L149">
        <v>58.8</v>
      </c>
      <c r="M149">
        <v>72.8</v>
      </c>
      <c r="N149">
        <v>24.8</v>
      </c>
      <c r="O149">
        <v>49.5</v>
      </c>
      <c r="P149">
        <v>25.6</v>
      </c>
      <c r="Q149">
        <v>60.7</v>
      </c>
      <c r="R149">
        <v>80.900000000000006</v>
      </c>
      <c r="S149">
        <v>57.2</v>
      </c>
      <c r="T149">
        <v>42.8</v>
      </c>
      <c r="U149">
        <v>48.5</v>
      </c>
      <c r="V149">
        <v>61</v>
      </c>
      <c r="W149">
        <v>39</v>
      </c>
      <c r="X149" t="s">
        <v>409</v>
      </c>
      <c r="Y149" t="s">
        <v>3125</v>
      </c>
      <c r="Z149" t="s">
        <v>4050</v>
      </c>
      <c r="AA149" t="s">
        <v>449</v>
      </c>
      <c r="AB149" t="s">
        <v>2119</v>
      </c>
      <c r="AC149" t="s">
        <v>2119</v>
      </c>
      <c r="AD149" t="s">
        <v>2120</v>
      </c>
      <c r="AE149" t="s">
        <v>2119</v>
      </c>
      <c r="AF149" t="s">
        <v>2120</v>
      </c>
      <c r="AG149" t="s">
        <v>2120</v>
      </c>
      <c r="AH149" t="s">
        <v>2119</v>
      </c>
      <c r="AI149" t="s">
        <v>2119</v>
      </c>
      <c r="AJ149" t="s">
        <v>2120</v>
      </c>
      <c r="AK149" t="s">
        <v>2120</v>
      </c>
      <c r="AL149" t="s">
        <v>2120</v>
      </c>
      <c r="AM149" t="s">
        <v>2119</v>
      </c>
      <c r="AN149" t="s">
        <v>2120</v>
      </c>
      <c r="AO149" t="s">
        <v>2120</v>
      </c>
      <c r="AP149" t="s">
        <v>2119</v>
      </c>
      <c r="AQ149" t="s">
        <v>2120</v>
      </c>
    </row>
    <row r="150" spans="2:43" x14ac:dyDescent="0.2">
      <c r="B150" t="s">
        <v>546</v>
      </c>
      <c r="C150" t="s">
        <v>490</v>
      </c>
      <c r="D150">
        <v>0.27083333333333331</v>
      </c>
      <c r="E150" t="s">
        <v>402</v>
      </c>
      <c r="F150" t="s">
        <v>547</v>
      </c>
      <c r="H150">
        <v>42.8</v>
      </c>
      <c r="I150">
        <v>37.4</v>
      </c>
      <c r="J150">
        <v>19.899999999999999</v>
      </c>
      <c r="K150">
        <v>80.099999999999994</v>
      </c>
      <c r="L150">
        <v>57.2</v>
      </c>
      <c r="M150">
        <v>62.6</v>
      </c>
      <c r="N150">
        <v>31.5</v>
      </c>
      <c r="O150">
        <v>54.7</v>
      </c>
      <c r="P150">
        <v>13.8</v>
      </c>
      <c r="Q150">
        <v>51.8</v>
      </c>
      <c r="R150">
        <v>45.6</v>
      </c>
      <c r="S150">
        <v>19.3</v>
      </c>
      <c r="T150">
        <v>80.7</v>
      </c>
      <c r="U150">
        <v>84.6</v>
      </c>
      <c r="V150">
        <v>27.3</v>
      </c>
      <c r="W150">
        <v>72.7</v>
      </c>
      <c r="X150" t="s">
        <v>402</v>
      </c>
      <c r="Y150" t="s">
        <v>3131</v>
      </c>
      <c r="Z150" t="s">
        <v>4051</v>
      </c>
      <c r="AA150" t="s">
        <v>2128</v>
      </c>
      <c r="AB150" t="s">
        <v>2120</v>
      </c>
      <c r="AC150" t="s">
        <v>2119</v>
      </c>
      <c r="AD150" t="s">
        <v>2119</v>
      </c>
      <c r="AE150" t="s">
        <v>2120</v>
      </c>
      <c r="AF150" t="s">
        <v>2119</v>
      </c>
      <c r="AG150" t="s">
        <v>2120</v>
      </c>
      <c r="AH150" t="s">
        <v>2120</v>
      </c>
      <c r="AI150" t="s">
        <v>2119</v>
      </c>
      <c r="AJ150" t="s">
        <v>2119</v>
      </c>
      <c r="AK150" t="s">
        <v>2120</v>
      </c>
      <c r="AL150" t="s">
        <v>2120</v>
      </c>
      <c r="AM150" t="s">
        <v>2119</v>
      </c>
      <c r="AN150" t="s">
        <v>2120</v>
      </c>
      <c r="AO150" t="s">
        <v>2120</v>
      </c>
      <c r="AP150" t="s">
        <v>2119</v>
      </c>
      <c r="AQ150" t="s">
        <v>2120</v>
      </c>
    </row>
    <row r="151" spans="2:43" x14ac:dyDescent="0.2">
      <c r="B151" t="s">
        <v>498</v>
      </c>
      <c r="C151" t="s">
        <v>490</v>
      </c>
      <c r="D151">
        <v>0.28125</v>
      </c>
      <c r="E151" t="s">
        <v>548</v>
      </c>
      <c r="F151" t="s">
        <v>549</v>
      </c>
      <c r="H151">
        <v>61.5</v>
      </c>
      <c r="I151">
        <v>23.1</v>
      </c>
      <c r="J151">
        <v>15.3</v>
      </c>
      <c r="K151">
        <v>84.7</v>
      </c>
      <c r="L151">
        <v>38.5</v>
      </c>
      <c r="M151">
        <v>76.900000000000006</v>
      </c>
      <c r="N151">
        <v>61.2</v>
      </c>
      <c r="O151">
        <v>27.6</v>
      </c>
      <c r="P151">
        <v>11.2</v>
      </c>
      <c r="Q151">
        <v>85.5</v>
      </c>
      <c r="R151">
        <v>90.3</v>
      </c>
      <c r="S151">
        <v>73.8</v>
      </c>
      <c r="T151">
        <v>26.2</v>
      </c>
      <c r="U151">
        <v>33.299999999999997</v>
      </c>
      <c r="V151">
        <v>67.599999999999994</v>
      </c>
      <c r="W151">
        <v>32.4</v>
      </c>
      <c r="X151" t="s">
        <v>2809</v>
      </c>
      <c r="Y151" t="s">
        <v>549</v>
      </c>
      <c r="Z151" t="s">
        <v>4052</v>
      </c>
      <c r="AA151" t="s">
        <v>2118</v>
      </c>
      <c r="AB151" t="s">
        <v>2119</v>
      </c>
      <c r="AC151" t="s">
        <v>2119</v>
      </c>
      <c r="AD151" t="s">
        <v>2120</v>
      </c>
      <c r="AE151" t="s">
        <v>2119</v>
      </c>
      <c r="AF151" t="s">
        <v>2120</v>
      </c>
      <c r="AG151" t="s">
        <v>2120</v>
      </c>
      <c r="AH151" t="s">
        <v>2119</v>
      </c>
      <c r="AI151" t="s">
        <v>2119</v>
      </c>
      <c r="AJ151" t="s">
        <v>2120</v>
      </c>
      <c r="AK151" t="s">
        <v>2120</v>
      </c>
      <c r="AL151" t="s">
        <v>2120</v>
      </c>
      <c r="AM151" t="s">
        <v>2120</v>
      </c>
      <c r="AN151" t="s">
        <v>2119</v>
      </c>
      <c r="AO151" t="s">
        <v>2119</v>
      </c>
      <c r="AP151" t="s">
        <v>2120</v>
      </c>
      <c r="AQ151" t="s">
        <v>2119</v>
      </c>
    </row>
    <row r="152" spans="2:43" x14ac:dyDescent="0.2">
      <c r="B152" t="s">
        <v>446</v>
      </c>
      <c r="C152" t="s">
        <v>490</v>
      </c>
      <c r="D152">
        <v>0.3125</v>
      </c>
      <c r="E152" t="s">
        <v>30</v>
      </c>
      <c r="F152" t="s">
        <v>219</v>
      </c>
      <c r="H152">
        <v>35.200000000000003</v>
      </c>
      <c r="I152">
        <v>31</v>
      </c>
      <c r="J152">
        <v>33.799999999999997</v>
      </c>
      <c r="K152">
        <v>66.2</v>
      </c>
      <c r="L152">
        <v>64.8</v>
      </c>
      <c r="M152">
        <v>69</v>
      </c>
      <c r="N152">
        <v>22.8</v>
      </c>
      <c r="O152">
        <v>49</v>
      </c>
      <c r="P152">
        <v>28.2</v>
      </c>
      <c r="Q152">
        <v>61.3</v>
      </c>
      <c r="R152">
        <v>68.900000000000006</v>
      </c>
      <c r="S152">
        <v>41.1</v>
      </c>
      <c r="T152">
        <v>58.9</v>
      </c>
      <c r="U152">
        <v>64</v>
      </c>
      <c r="V152">
        <v>48.7</v>
      </c>
      <c r="W152">
        <v>51.3</v>
      </c>
      <c r="X152" t="s">
        <v>1599</v>
      </c>
      <c r="Y152" t="s">
        <v>1415</v>
      </c>
      <c r="Z152" t="s">
        <v>4053</v>
      </c>
      <c r="AA152" t="s">
        <v>2172</v>
      </c>
      <c r="AB152" t="s">
        <v>2120</v>
      </c>
      <c r="AC152" t="s">
        <v>2119</v>
      </c>
      <c r="AD152" t="s">
        <v>2119</v>
      </c>
      <c r="AE152" t="s">
        <v>2120</v>
      </c>
      <c r="AF152" t="s">
        <v>2119</v>
      </c>
      <c r="AG152" t="s">
        <v>2120</v>
      </c>
      <c r="AH152" t="s">
        <v>2120</v>
      </c>
      <c r="AI152" t="s">
        <v>2119</v>
      </c>
      <c r="AJ152" t="s">
        <v>2119</v>
      </c>
      <c r="AK152" t="s">
        <v>2120</v>
      </c>
      <c r="AL152" t="s">
        <v>2120</v>
      </c>
      <c r="AM152" t="s">
        <v>2120</v>
      </c>
      <c r="AN152" t="s">
        <v>2119</v>
      </c>
      <c r="AO152" t="s">
        <v>2119</v>
      </c>
      <c r="AP152" t="s">
        <v>2120</v>
      </c>
      <c r="AQ152" t="s">
        <v>2119</v>
      </c>
    </row>
    <row r="153" spans="2:43" x14ac:dyDescent="0.2">
      <c r="B153" t="s">
        <v>446</v>
      </c>
      <c r="C153" t="s">
        <v>490</v>
      </c>
      <c r="D153">
        <v>0.3125</v>
      </c>
      <c r="E153" t="s">
        <v>28</v>
      </c>
      <c r="F153" t="s">
        <v>218</v>
      </c>
      <c r="H153">
        <v>38.4</v>
      </c>
      <c r="I153">
        <v>32.700000000000003</v>
      </c>
      <c r="J153">
        <v>28.9</v>
      </c>
      <c r="K153">
        <v>71.099999999999994</v>
      </c>
      <c r="L153">
        <v>61.6</v>
      </c>
      <c r="M153">
        <v>67.3</v>
      </c>
      <c r="N153">
        <v>23.6</v>
      </c>
      <c r="O153">
        <v>51.4</v>
      </c>
      <c r="P153">
        <v>25</v>
      </c>
      <c r="Q153">
        <v>57.8</v>
      </c>
      <c r="R153">
        <v>62.3</v>
      </c>
      <c r="S153">
        <v>33.9</v>
      </c>
      <c r="T153">
        <v>66.099999999999994</v>
      </c>
      <c r="U153">
        <v>70.900000000000006</v>
      </c>
      <c r="V153">
        <v>42.4</v>
      </c>
      <c r="W153">
        <v>57.6</v>
      </c>
      <c r="X153" t="s">
        <v>28</v>
      </c>
      <c r="Y153" t="s">
        <v>1414</v>
      </c>
      <c r="Z153" t="s">
        <v>4054</v>
      </c>
      <c r="AA153" t="s">
        <v>449</v>
      </c>
      <c r="AB153" t="s">
        <v>2119</v>
      </c>
      <c r="AC153" t="s">
        <v>2119</v>
      </c>
      <c r="AD153" t="s">
        <v>2120</v>
      </c>
      <c r="AE153" t="s">
        <v>2119</v>
      </c>
      <c r="AF153" t="s">
        <v>2120</v>
      </c>
      <c r="AG153" t="s">
        <v>2120</v>
      </c>
      <c r="AH153" t="s">
        <v>2119</v>
      </c>
      <c r="AI153" t="s">
        <v>2119</v>
      </c>
      <c r="AJ153" t="s">
        <v>2120</v>
      </c>
      <c r="AK153" t="s">
        <v>2120</v>
      </c>
      <c r="AL153" t="s">
        <v>2120</v>
      </c>
      <c r="AM153" t="s">
        <v>2119</v>
      </c>
      <c r="AN153" t="s">
        <v>2120</v>
      </c>
      <c r="AO153" t="s">
        <v>2120</v>
      </c>
      <c r="AP153" t="s">
        <v>2119</v>
      </c>
      <c r="AQ153" t="s">
        <v>2120</v>
      </c>
    </row>
    <row r="154" spans="2:43" x14ac:dyDescent="0.2">
      <c r="B154" t="s">
        <v>473</v>
      </c>
      <c r="C154" t="s">
        <v>490</v>
      </c>
      <c r="D154">
        <v>0.3125</v>
      </c>
      <c r="E154" t="s">
        <v>550</v>
      </c>
      <c r="F154" t="s">
        <v>551</v>
      </c>
      <c r="H154">
        <v>48.6</v>
      </c>
      <c r="I154">
        <v>27.2</v>
      </c>
      <c r="J154">
        <v>24.2</v>
      </c>
      <c r="K154">
        <v>75.8</v>
      </c>
      <c r="L154">
        <v>51.4</v>
      </c>
      <c r="M154">
        <v>72.8</v>
      </c>
      <c r="N154">
        <v>30.2</v>
      </c>
      <c r="O154">
        <v>45.9</v>
      </c>
      <c r="P154">
        <v>23.8</v>
      </c>
      <c r="Q154">
        <v>65.8</v>
      </c>
      <c r="R154">
        <v>76.900000000000006</v>
      </c>
      <c r="S154">
        <v>51.5</v>
      </c>
      <c r="T154">
        <v>48.5</v>
      </c>
      <c r="U154">
        <v>54.7</v>
      </c>
      <c r="V154">
        <v>55</v>
      </c>
      <c r="W154">
        <v>45</v>
      </c>
      <c r="X154" t="s">
        <v>3637</v>
      </c>
      <c r="Y154" t="s">
        <v>3638</v>
      </c>
      <c r="Z154" t="s">
        <v>4055</v>
      </c>
      <c r="AA154" t="s">
        <v>2142</v>
      </c>
      <c r="AB154" t="s">
        <v>2119</v>
      </c>
      <c r="AC154" t="s">
        <v>2119</v>
      </c>
      <c r="AD154" t="s">
        <v>2120</v>
      </c>
      <c r="AE154" t="s">
        <v>2119</v>
      </c>
      <c r="AF154" t="s">
        <v>2120</v>
      </c>
      <c r="AG154" t="s">
        <v>2120</v>
      </c>
      <c r="AH154" t="s">
        <v>2119</v>
      </c>
      <c r="AI154" t="s">
        <v>2120</v>
      </c>
      <c r="AJ154" t="s">
        <v>2119</v>
      </c>
      <c r="AK154" t="s">
        <v>2120</v>
      </c>
      <c r="AL154" t="s">
        <v>2120</v>
      </c>
      <c r="AM154" t="s">
        <v>2120</v>
      </c>
      <c r="AN154" t="s">
        <v>2119</v>
      </c>
      <c r="AO154" t="s">
        <v>2119</v>
      </c>
      <c r="AP154" t="s">
        <v>2120</v>
      </c>
      <c r="AQ154" t="s">
        <v>2119</v>
      </c>
    </row>
    <row r="155" spans="2:43" x14ac:dyDescent="0.2">
      <c r="B155" t="s">
        <v>473</v>
      </c>
      <c r="C155" t="s">
        <v>490</v>
      </c>
      <c r="D155">
        <v>0.3125</v>
      </c>
      <c r="E155" t="s">
        <v>552</v>
      </c>
      <c r="F155" t="s">
        <v>553</v>
      </c>
      <c r="H155">
        <v>45.4</v>
      </c>
      <c r="I155">
        <v>25.4</v>
      </c>
      <c r="J155">
        <v>29.1</v>
      </c>
      <c r="K155">
        <v>70.900000000000006</v>
      </c>
      <c r="L155">
        <v>54.6</v>
      </c>
      <c r="M155">
        <v>74.599999999999994</v>
      </c>
      <c r="N155">
        <v>35.6</v>
      </c>
      <c r="O155">
        <v>39.1</v>
      </c>
      <c r="P155">
        <v>25.3</v>
      </c>
      <c r="Q155">
        <v>76.099999999999994</v>
      </c>
      <c r="R155">
        <v>87.2</v>
      </c>
      <c r="S155">
        <v>67.7</v>
      </c>
      <c r="T155">
        <v>32.299999999999997</v>
      </c>
      <c r="U155">
        <v>37.9</v>
      </c>
      <c r="V155">
        <v>68.599999999999994</v>
      </c>
      <c r="W155">
        <v>31.4</v>
      </c>
      <c r="X155" t="s">
        <v>3639</v>
      </c>
      <c r="Y155" t="s">
        <v>553</v>
      </c>
      <c r="Z155" t="s">
        <v>4056</v>
      </c>
      <c r="AA155" t="s">
        <v>460</v>
      </c>
      <c r="AB155" t="s">
        <v>2119</v>
      </c>
      <c r="AC155" t="s">
        <v>2119</v>
      </c>
      <c r="AD155" t="s">
        <v>2120</v>
      </c>
      <c r="AE155" t="s">
        <v>2119</v>
      </c>
      <c r="AF155" t="s">
        <v>2120</v>
      </c>
      <c r="AG155" t="s">
        <v>2120</v>
      </c>
      <c r="AH155" t="s">
        <v>2119</v>
      </c>
      <c r="AI155" t="s">
        <v>2119</v>
      </c>
      <c r="AJ155" t="s">
        <v>2120</v>
      </c>
      <c r="AK155" t="s">
        <v>2120</v>
      </c>
      <c r="AL155" t="s">
        <v>2120</v>
      </c>
      <c r="AM155" t="s">
        <v>2120</v>
      </c>
      <c r="AN155" t="s">
        <v>2119</v>
      </c>
      <c r="AO155" t="s">
        <v>2120</v>
      </c>
      <c r="AP155" t="s">
        <v>2120</v>
      </c>
      <c r="AQ155" t="s">
        <v>2119</v>
      </c>
    </row>
    <row r="156" spans="2:43" x14ac:dyDescent="0.2">
      <c r="B156" t="s">
        <v>473</v>
      </c>
      <c r="C156" t="s">
        <v>490</v>
      </c>
      <c r="D156">
        <v>0.3125</v>
      </c>
      <c r="E156" t="s">
        <v>554</v>
      </c>
      <c r="F156" t="s">
        <v>555</v>
      </c>
      <c r="H156">
        <v>47.3</v>
      </c>
      <c r="I156">
        <v>27.7</v>
      </c>
      <c r="J156">
        <v>25</v>
      </c>
      <c r="K156">
        <v>75</v>
      </c>
      <c r="L156">
        <v>52.7</v>
      </c>
      <c r="M156">
        <v>72.3</v>
      </c>
      <c r="N156">
        <v>41.1</v>
      </c>
      <c r="O156">
        <v>40.200000000000003</v>
      </c>
      <c r="P156">
        <v>18.7</v>
      </c>
      <c r="Q156">
        <v>72.7</v>
      </c>
      <c r="R156">
        <v>75.599999999999994</v>
      </c>
      <c r="S156">
        <v>49.7</v>
      </c>
      <c r="T156">
        <v>50.3</v>
      </c>
      <c r="U156">
        <v>56.4</v>
      </c>
      <c r="V156">
        <v>53.8</v>
      </c>
      <c r="W156">
        <v>46.2</v>
      </c>
      <c r="X156" t="s">
        <v>3640</v>
      </c>
      <c r="Y156" t="s">
        <v>3641</v>
      </c>
      <c r="Z156" t="s">
        <v>4057</v>
      </c>
      <c r="AA156" t="s">
        <v>2172</v>
      </c>
      <c r="AB156" t="s">
        <v>2120</v>
      </c>
      <c r="AC156" t="s">
        <v>2119</v>
      </c>
      <c r="AD156" t="s">
        <v>2119</v>
      </c>
      <c r="AE156" t="s">
        <v>2120</v>
      </c>
      <c r="AF156" t="s">
        <v>2119</v>
      </c>
      <c r="AG156" t="s">
        <v>2120</v>
      </c>
      <c r="AH156" t="s">
        <v>2120</v>
      </c>
      <c r="AI156" t="s">
        <v>2119</v>
      </c>
      <c r="AJ156" t="s">
        <v>2119</v>
      </c>
      <c r="AK156" t="s">
        <v>2120</v>
      </c>
      <c r="AL156" t="s">
        <v>2120</v>
      </c>
      <c r="AM156" t="s">
        <v>2120</v>
      </c>
      <c r="AN156" t="s">
        <v>2119</v>
      </c>
      <c r="AO156" t="s">
        <v>2119</v>
      </c>
      <c r="AP156" t="s">
        <v>2120</v>
      </c>
      <c r="AQ156" t="s">
        <v>2119</v>
      </c>
    </row>
    <row r="157" spans="2:43" x14ac:dyDescent="0.2">
      <c r="B157" t="s">
        <v>473</v>
      </c>
      <c r="C157" t="s">
        <v>490</v>
      </c>
      <c r="D157">
        <v>0.3125</v>
      </c>
      <c r="E157" t="s">
        <v>556</v>
      </c>
      <c r="F157" t="s">
        <v>557</v>
      </c>
      <c r="H157">
        <v>39.9</v>
      </c>
      <c r="I157">
        <v>28</v>
      </c>
      <c r="J157">
        <v>32.1</v>
      </c>
      <c r="K157">
        <v>67.900000000000006</v>
      </c>
      <c r="L157">
        <v>60.1</v>
      </c>
      <c r="M157">
        <v>72</v>
      </c>
      <c r="N157">
        <v>36</v>
      </c>
      <c r="O157">
        <v>43</v>
      </c>
      <c r="P157">
        <v>21</v>
      </c>
      <c r="Q157">
        <v>69.5</v>
      </c>
      <c r="R157">
        <v>78.3</v>
      </c>
      <c r="S157">
        <v>53.3</v>
      </c>
      <c r="T157">
        <v>46.7</v>
      </c>
      <c r="U157">
        <v>52.3</v>
      </c>
      <c r="V157">
        <v>58.1</v>
      </c>
      <c r="W157">
        <v>41.9</v>
      </c>
      <c r="X157" t="s">
        <v>556</v>
      </c>
      <c r="Y157" t="s">
        <v>3642</v>
      </c>
      <c r="Z157" t="s">
        <v>4058</v>
      </c>
      <c r="AA157" t="s">
        <v>459</v>
      </c>
      <c r="AB157" t="s">
        <v>2119</v>
      </c>
      <c r="AC157" t="s">
        <v>2120</v>
      </c>
      <c r="AD157" t="s">
        <v>2119</v>
      </c>
      <c r="AE157" t="s">
        <v>2120</v>
      </c>
      <c r="AF157" t="s">
        <v>2120</v>
      </c>
      <c r="AG157" t="s">
        <v>2119</v>
      </c>
      <c r="AH157" t="s">
        <v>2120</v>
      </c>
      <c r="AI157" t="s">
        <v>2119</v>
      </c>
      <c r="AJ157" t="s">
        <v>2119</v>
      </c>
      <c r="AK157" t="s">
        <v>2120</v>
      </c>
      <c r="AL157" t="s">
        <v>2120</v>
      </c>
      <c r="AM157" t="s">
        <v>2119</v>
      </c>
      <c r="AN157" t="s">
        <v>2120</v>
      </c>
      <c r="AO157" t="s">
        <v>2120</v>
      </c>
      <c r="AP157" t="s">
        <v>2120</v>
      </c>
      <c r="AQ157" t="s">
        <v>2119</v>
      </c>
    </row>
    <row r="158" spans="2:43" x14ac:dyDescent="0.2">
      <c r="B158" t="s">
        <v>558</v>
      </c>
      <c r="C158" t="s">
        <v>490</v>
      </c>
      <c r="D158">
        <v>0.33333333333333331</v>
      </c>
      <c r="E158" t="s">
        <v>559</v>
      </c>
      <c r="F158" t="s">
        <v>560</v>
      </c>
      <c r="H158">
        <v>41.5</v>
      </c>
      <c r="I158">
        <v>28.2</v>
      </c>
      <c r="J158">
        <v>30.4</v>
      </c>
      <c r="K158">
        <v>69.599999999999994</v>
      </c>
      <c r="L158">
        <v>58.5</v>
      </c>
      <c r="M158">
        <v>71.8</v>
      </c>
      <c r="N158">
        <v>30.6</v>
      </c>
      <c r="O158">
        <v>38.5</v>
      </c>
      <c r="P158">
        <v>30.9</v>
      </c>
      <c r="Q158">
        <v>77.599999999999994</v>
      </c>
      <c r="R158">
        <v>77.2</v>
      </c>
      <c r="S158">
        <v>51.8</v>
      </c>
      <c r="T158">
        <v>48.2</v>
      </c>
      <c r="U158">
        <v>53.9</v>
      </c>
      <c r="V158">
        <v>56.7</v>
      </c>
      <c r="W158">
        <v>43.3</v>
      </c>
      <c r="X158" t="s">
        <v>559</v>
      </c>
      <c r="Y158" t="s">
        <v>560</v>
      </c>
      <c r="Z158" t="s">
        <v>4059</v>
      </c>
      <c r="AA158" t="s">
        <v>462</v>
      </c>
      <c r="AB158" t="s">
        <v>2120</v>
      </c>
      <c r="AC158" t="s">
        <v>2119</v>
      </c>
      <c r="AD158" t="s">
        <v>2119</v>
      </c>
      <c r="AE158" t="s">
        <v>2120</v>
      </c>
      <c r="AF158" t="s">
        <v>2119</v>
      </c>
      <c r="AG158" t="s">
        <v>2120</v>
      </c>
      <c r="AH158" t="s">
        <v>2120</v>
      </c>
      <c r="AI158" t="s">
        <v>2119</v>
      </c>
      <c r="AJ158" t="s">
        <v>2119</v>
      </c>
      <c r="AK158" t="s">
        <v>2120</v>
      </c>
      <c r="AL158" t="s">
        <v>2120</v>
      </c>
      <c r="AM158" t="s">
        <v>2120</v>
      </c>
      <c r="AN158" t="s">
        <v>2119</v>
      </c>
      <c r="AO158" t="s">
        <v>2120</v>
      </c>
      <c r="AP158" t="s">
        <v>2120</v>
      </c>
      <c r="AQ158" t="s">
        <v>2119</v>
      </c>
    </row>
    <row r="159" spans="2:43" x14ac:dyDescent="0.2">
      <c r="B159" t="s">
        <v>558</v>
      </c>
      <c r="C159" t="s">
        <v>490</v>
      </c>
      <c r="D159">
        <v>0.33333333333333331</v>
      </c>
      <c r="E159" t="s">
        <v>561</v>
      </c>
      <c r="F159" t="s">
        <v>562</v>
      </c>
      <c r="H159">
        <v>38.700000000000003</v>
      </c>
      <c r="I159">
        <v>29.1</v>
      </c>
      <c r="J159">
        <v>32.200000000000003</v>
      </c>
      <c r="K159">
        <v>67.8</v>
      </c>
      <c r="L159">
        <v>61.3</v>
      </c>
      <c r="M159">
        <v>70.900000000000006</v>
      </c>
      <c r="N159">
        <v>27.6</v>
      </c>
      <c r="O159">
        <v>43.5</v>
      </c>
      <c r="P159">
        <v>28.9</v>
      </c>
      <c r="Q159">
        <v>69.8</v>
      </c>
      <c r="R159">
        <v>74.599999999999994</v>
      </c>
      <c r="S159">
        <v>48.3</v>
      </c>
      <c r="T159">
        <v>51.7</v>
      </c>
      <c r="U159">
        <v>57.2</v>
      </c>
      <c r="V159">
        <v>54.3</v>
      </c>
      <c r="W159">
        <v>45.7</v>
      </c>
      <c r="X159" t="s">
        <v>3127</v>
      </c>
      <c r="Y159" t="s">
        <v>3128</v>
      </c>
      <c r="Z159" t="s">
        <v>4060</v>
      </c>
      <c r="AA159" t="s">
        <v>460</v>
      </c>
      <c r="AB159" t="s">
        <v>2119</v>
      </c>
      <c r="AC159" t="s">
        <v>2119</v>
      </c>
      <c r="AD159" t="s">
        <v>2120</v>
      </c>
      <c r="AE159" t="s">
        <v>2119</v>
      </c>
      <c r="AF159" t="s">
        <v>2120</v>
      </c>
      <c r="AG159" t="s">
        <v>2120</v>
      </c>
      <c r="AH159" t="s">
        <v>2119</v>
      </c>
      <c r="AI159" t="s">
        <v>2120</v>
      </c>
      <c r="AJ159" t="s">
        <v>2119</v>
      </c>
      <c r="AK159" t="s">
        <v>2119</v>
      </c>
      <c r="AL159" t="s">
        <v>2120</v>
      </c>
      <c r="AM159" t="s">
        <v>2120</v>
      </c>
      <c r="AN159" t="s">
        <v>2119</v>
      </c>
      <c r="AO159" t="s">
        <v>2120</v>
      </c>
      <c r="AP159" t="s">
        <v>2120</v>
      </c>
      <c r="AQ159" t="s">
        <v>2119</v>
      </c>
    </row>
    <row r="160" spans="2:43" x14ac:dyDescent="0.2">
      <c r="B160" t="s">
        <v>558</v>
      </c>
      <c r="C160" t="s">
        <v>490</v>
      </c>
      <c r="D160">
        <v>0.33333333333333331</v>
      </c>
      <c r="E160" t="s">
        <v>563</v>
      </c>
      <c r="F160" t="s">
        <v>564</v>
      </c>
      <c r="H160">
        <v>43</v>
      </c>
      <c r="I160">
        <v>28.8</v>
      </c>
      <c r="J160">
        <v>28.2</v>
      </c>
      <c r="K160">
        <v>71.8</v>
      </c>
      <c r="L160">
        <v>57</v>
      </c>
      <c r="M160">
        <v>71.2</v>
      </c>
      <c r="N160">
        <v>29.2</v>
      </c>
      <c r="O160">
        <v>46.2</v>
      </c>
      <c r="P160">
        <v>24.7</v>
      </c>
      <c r="Q160">
        <v>65.599999999999994</v>
      </c>
      <c r="R160">
        <v>74</v>
      </c>
      <c r="S160">
        <v>47.5</v>
      </c>
      <c r="T160">
        <v>52.5</v>
      </c>
      <c r="U160">
        <v>58.2</v>
      </c>
      <c r="V160">
        <v>53</v>
      </c>
      <c r="W160">
        <v>47</v>
      </c>
      <c r="X160" t="s">
        <v>1601</v>
      </c>
      <c r="Y160" t="s">
        <v>564</v>
      </c>
      <c r="Z160" t="s">
        <v>4061</v>
      </c>
      <c r="AA160" t="s">
        <v>2165</v>
      </c>
      <c r="AB160" t="s">
        <v>2120</v>
      </c>
      <c r="AC160" t="s">
        <v>2119</v>
      </c>
      <c r="AD160" t="s">
        <v>2119</v>
      </c>
      <c r="AE160" t="s">
        <v>2120</v>
      </c>
      <c r="AF160" t="s">
        <v>2119</v>
      </c>
      <c r="AG160" t="s">
        <v>2120</v>
      </c>
      <c r="AH160" t="s">
        <v>2120</v>
      </c>
      <c r="AI160" t="s">
        <v>2119</v>
      </c>
      <c r="AJ160" t="s">
        <v>2119</v>
      </c>
      <c r="AK160" t="s">
        <v>2120</v>
      </c>
      <c r="AL160" t="s">
        <v>2120</v>
      </c>
      <c r="AM160" t="s">
        <v>2120</v>
      </c>
      <c r="AN160" t="s">
        <v>2119</v>
      </c>
      <c r="AO160" t="s">
        <v>2120</v>
      </c>
      <c r="AP160" t="s">
        <v>2119</v>
      </c>
      <c r="AQ160" t="s">
        <v>2120</v>
      </c>
    </row>
    <row r="161" spans="2:43" x14ac:dyDescent="0.2">
      <c r="B161" t="s">
        <v>546</v>
      </c>
      <c r="C161" t="s">
        <v>490</v>
      </c>
      <c r="D161">
        <v>0.33333333333333331</v>
      </c>
      <c r="E161" t="s">
        <v>565</v>
      </c>
      <c r="F161" t="s">
        <v>566</v>
      </c>
      <c r="H161">
        <v>42.6</v>
      </c>
      <c r="I161">
        <v>31.3</v>
      </c>
      <c r="J161">
        <v>26.1</v>
      </c>
      <c r="K161">
        <v>73.900000000000006</v>
      </c>
      <c r="L161">
        <v>57.4</v>
      </c>
      <c r="M161">
        <v>68.7</v>
      </c>
      <c r="N161">
        <v>31.5</v>
      </c>
      <c r="O161">
        <v>45.7</v>
      </c>
      <c r="P161">
        <v>22.8</v>
      </c>
      <c r="Q161">
        <v>65.900000000000006</v>
      </c>
      <c r="R161">
        <v>65.099999999999994</v>
      </c>
      <c r="S161">
        <v>36.9</v>
      </c>
      <c r="T161">
        <v>63.1</v>
      </c>
      <c r="U161">
        <v>68.3</v>
      </c>
      <c r="V161">
        <v>44.3</v>
      </c>
      <c r="W161">
        <v>55.7</v>
      </c>
      <c r="X161" t="s">
        <v>3132</v>
      </c>
      <c r="Y161" t="s">
        <v>3133</v>
      </c>
      <c r="Z161" t="s">
        <v>4062</v>
      </c>
      <c r="AA161" t="s">
        <v>447</v>
      </c>
      <c r="AB161" t="s">
        <v>2119</v>
      </c>
      <c r="AC161" t="s">
        <v>2120</v>
      </c>
      <c r="AD161" t="s">
        <v>2119</v>
      </c>
      <c r="AE161" t="s">
        <v>2120</v>
      </c>
      <c r="AF161" t="s">
        <v>2120</v>
      </c>
      <c r="AG161" t="s">
        <v>2119</v>
      </c>
      <c r="AH161" t="s">
        <v>2119</v>
      </c>
      <c r="AI161" t="s">
        <v>2120</v>
      </c>
      <c r="AJ161" t="s">
        <v>2119</v>
      </c>
      <c r="AK161" t="s">
        <v>2119</v>
      </c>
      <c r="AL161" t="s">
        <v>2119</v>
      </c>
      <c r="AM161" t="s">
        <v>2119</v>
      </c>
      <c r="AN161" t="s">
        <v>2120</v>
      </c>
      <c r="AO161" t="s">
        <v>2120</v>
      </c>
      <c r="AP161" t="s">
        <v>2119</v>
      </c>
      <c r="AQ161" t="s">
        <v>2120</v>
      </c>
    </row>
    <row r="162" spans="2:43" x14ac:dyDescent="0.2">
      <c r="B162" t="s">
        <v>546</v>
      </c>
      <c r="C162" t="s">
        <v>490</v>
      </c>
      <c r="D162">
        <v>0.33333333333333331</v>
      </c>
      <c r="E162" t="s">
        <v>567</v>
      </c>
      <c r="F162" t="s">
        <v>568</v>
      </c>
      <c r="H162">
        <v>58.1</v>
      </c>
      <c r="I162">
        <v>27.8</v>
      </c>
      <c r="J162">
        <v>14.1</v>
      </c>
      <c r="K162">
        <v>85.9</v>
      </c>
      <c r="L162">
        <v>41.9</v>
      </c>
      <c r="M162">
        <v>72.2</v>
      </c>
      <c r="N162">
        <v>35.700000000000003</v>
      </c>
      <c r="O162">
        <v>51.4</v>
      </c>
      <c r="P162">
        <v>13</v>
      </c>
      <c r="Q162">
        <v>55.8</v>
      </c>
      <c r="R162">
        <v>63.5</v>
      </c>
      <c r="S162">
        <v>35.4</v>
      </c>
      <c r="T162">
        <v>64.599999999999994</v>
      </c>
      <c r="U162">
        <v>72.099999999999994</v>
      </c>
      <c r="V162">
        <v>36.5</v>
      </c>
      <c r="W162">
        <v>63.5</v>
      </c>
      <c r="X162" t="s">
        <v>3134</v>
      </c>
      <c r="Y162" t="s">
        <v>568</v>
      </c>
      <c r="Z162" t="s">
        <v>4063</v>
      </c>
      <c r="AA162" t="s">
        <v>459</v>
      </c>
      <c r="AB162" t="s">
        <v>2119</v>
      </c>
      <c r="AC162" t="s">
        <v>2120</v>
      </c>
      <c r="AD162" t="s">
        <v>2119</v>
      </c>
      <c r="AE162" t="s">
        <v>2120</v>
      </c>
      <c r="AF162" t="s">
        <v>2120</v>
      </c>
      <c r="AG162" t="s">
        <v>2119</v>
      </c>
      <c r="AH162" t="s">
        <v>2119</v>
      </c>
      <c r="AI162" t="s">
        <v>2120</v>
      </c>
      <c r="AJ162" t="s">
        <v>2119</v>
      </c>
      <c r="AK162" t="s">
        <v>2119</v>
      </c>
      <c r="AL162" t="s">
        <v>2120</v>
      </c>
      <c r="AM162" t="s">
        <v>2119</v>
      </c>
      <c r="AN162" t="s">
        <v>2120</v>
      </c>
      <c r="AO162" t="s">
        <v>2120</v>
      </c>
      <c r="AP162" t="s">
        <v>2120</v>
      </c>
      <c r="AQ162" t="s">
        <v>2119</v>
      </c>
    </row>
    <row r="163" spans="2:43" x14ac:dyDescent="0.2">
      <c r="B163" t="s">
        <v>569</v>
      </c>
      <c r="C163" t="s">
        <v>490</v>
      </c>
      <c r="D163">
        <v>0.33333333333333331</v>
      </c>
      <c r="E163" t="s">
        <v>570</v>
      </c>
      <c r="F163" t="s">
        <v>255</v>
      </c>
      <c r="H163">
        <v>33.799999999999997</v>
      </c>
      <c r="I163">
        <v>27.1</v>
      </c>
      <c r="J163">
        <v>39.1</v>
      </c>
      <c r="K163">
        <v>60.9</v>
      </c>
      <c r="L163">
        <v>66.2</v>
      </c>
      <c r="M163">
        <v>72.900000000000006</v>
      </c>
      <c r="N163">
        <v>12.7</v>
      </c>
      <c r="O163">
        <v>46.9</v>
      </c>
      <c r="P163">
        <v>40.299999999999997</v>
      </c>
      <c r="Q163">
        <v>61.9</v>
      </c>
      <c r="R163">
        <v>82.7</v>
      </c>
      <c r="S163">
        <v>60</v>
      </c>
      <c r="T163">
        <v>40</v>
      </c>
      <c r="U163">
        <v>45.7</v>
      </c>
      <c r="V163">
        <v>63.3</v>
      </c>
      <c r="W163">
        <v>36.700000000000003</v>
      </c>
      <c r="X163" t="s">
        <v>3388</v>
      </c>
      <c r="Y163" t="s">
        <v>288</v>
      </c>
      <c r="Z163" t="s">
        <v>4064</v>
      </c>
      <c r="AA163" t="s">
        <v>4065</v>
      </c>
      <c r="AB163" t="s">
        <v>2119</v>
      </c>
      <c r="AC163" t="s">
        <v>2119</v>
      </c>
      <c r="AD163" t="s">
        <v>2120</v>
      </c>
      <c r="AE163" t="s">
        <v>2119</v>
      </c>
      <c r="AF163" t="s">
        <v>2120</v>
      </c>
      <c r="AG163" t="s">
        <v>2120</v>
      </c>
      <c r="AH163" t="s">
        <v>2119</v>
      </c>
      <c r="AI163" t="s">
        <v>2119</v>
      </c>
      <c r="AJ163" t="s">
        <v>2120</v>
      </c>
      <c r="AK163" t="s">
        <v>2120</v>
      </c>
      <c r="AL163" t="s">
        <v>2120</v>
      </c>
      <c r="AM163" t="s">
        <v>2120</v>
      </c>
      <c r="AN163" t="s">
        <v>2119</v>
      </c>
      <c r="AO163" t="s">
        <v>2119</v>
      </c>
      <c r="AP163" t="s">
        <v>2120</v>
      </c>
      <c r="AQ163" t="s">
        <v>2119</v>
      </c>
    </row>
    <row r="164" spans="2:43" x14ac:dyDescent="0.2">
      <c r="B164" t="s">
        <v>558</v>
      </c>
      <c r="C164" t="s">
        <v>490</v>
      </c>
      <c r="D164">
        <v>0.35416666666666669</v>
      </c>
      <c r="E164" t="s">
        <v>571</v>
      </c>
      <c r="F164" t="s">
        <v>572</v>
      </c>
      <c r="H164">
        <v>28.2</v>
      </c>
      <c r="I164">
        <v>27.4</v>
      </c>
      <c r="J164">
        <v>44.4</v>
      </c>
      <c r="K164">
        <v>55.6</v>
      </c>
      <c r="L164">
        <v>71.8</v>
      </c>
      <c r="M164">
        <v>72.599999999999994</v>
      </c>
      <c r="N164">
        <v>23</v>
      </c>
      <c r="O164">
        <v>38.6</v>
      </c>
      <c r="P164">
        <v>38.4</v>
      </c>
      <c r="Q164">
        <v>77</v>
      </c>
      <c r="R164">
        <v>80.900000000000006</v>
      </c>
      <c r="S164">
        <v>57.3</v>
      </c>
      <c r="T164">
        <v>42.7</v>
      </c>
      <c r="U164">
        <v>48.6</v>
      </c>
      <c r="V164">
        <v>60.6</v>
      </c>
      <c r="W164">
        <v>39.4</v>
      </c>
      <c r="X164" t="s">
        <v>571</v>
      </c>
      <c r="Y164" t="s">
        <v>3129</v>
      </c>
      <c r="Z164" t="s">
        <v>4066</v>
      </c>
      <c r="AA164" t="s">
        <v>449</v>
      </c>
      <c r="AB164" t="s">
        <v>2119</v>
      </c>
      <c r="AC164" t="s">
        <v>2119</v>
      </c>
      <c r="AD164" t="s">
        <v>2120</v>
      </c>
      <c r="AE164" t="s">
        <v>2119</v>
      </c>
      <c r="AF164" t="s">
        <v>2120</v>
      </c>
      <c r="AG164" t="s">
        <v>2120</v>
      </c>
      <c r="AH164" t="s">
        <v>2119</v>
      </c>
      <c r="AI164" t="s">
        <v>2120</v>
      </c>
      <c r="AJ164" t="s">
        <v>2119</v>
      </c>
      <c r="AK164" t="s">
        <v>2119</v>
      </c>
      <c r="AL164" t="s">
        <v>2120</v>
      </c>
      <c r="AM164" t="s">
        <v>2119</v>
      </c>
      <c r="AN164" t="s">
        <v>2120</v>
      </c>
      <c r="AO164" t="s">
        <v>2120</v>
      </c>
      <c r="AP164" t="s">
        <v>2119</v>
      </c>
      <c r="AQ164" t="s">
        <v>2120</v>
      </c>
    </row>
    <row r="165" spans="2:43" x14ac:dyDescent="0.2">
      <c r="B165" t="s">
        <v>558</v>
      </c>
      <c r="C165" t="s">
        <v>490</v>
      </c>
      <c r="D165">
        <v>0.35416666666666669</v>
      </c>
      <c r="E165" t="s">
        <v>573</v>
      </c>
      <c r="F165" t="s">
        <v>574</v>
      </c>
      <c r="H165">
        <v>22.3</v>
      </c>
      <c r="I165">
        <v>38.6</v>
      </c>
      <c r="J165">
        <v>39.200000000000003</v>
      </c>
      <c r="K165">
        <v>60.8</v>
      </c>
      <c r="L165">
        <v>77.7</v>
      </c>
      <c r="M165">
        <v>61.4</v>
      </c>
      <c r="N165">
        <v>16.899999999999999</v>
      </c>
      <c r="O165">
        <v>61.8</v>
      </c>
      <c r="P165">
        <v>21.3</v>
      </c>
      <c r="Q165">
        <v>43.4</v>
      </c>
      <c r="R165">
        <v>46.9</v>
      </c>
      <c r="S165">
        <v>20.2</v>
      </c>
      <c r="T165">
        <v>79.8</v>
      </c>
      <c r="U165">
        <v>83.4</v>
      </c>
      <c r="V165">
        <v>29.1</v>
      </c>
      <c r="W165">
        <v>70.900000000000006</v>
      </c>
      <c r="X165" t="s">
        <v>3130</v>
      </c>
      <c r="Y165" t="s">
        <v>574</v>
      </c>
      <c r="Z165" t="s">
        <v>4067</v>
      </c>
      <c r="AA165" t="s">
        <v>459</v>
      </c>
      <c r="AB165" t="s">
        <v>2119</v>
      </c>
      <c r="AC165" t="s">
        <v>2120</v>
      </c>
      <c r="AD165" t="s">
        <v>2119</v>
      </c>
      <c r="AE165" t="s">
        <v>2120</v>
      </c>
      <c r="AF165" t="s">
        <v>2120</v>
      </c>
      <c r="AG165" t="s">
        <v>2119</v>
      </c>
      <c r="AH165" t="s">
        <v>2119</v>
      </c>
      <c r="AI165" t="s">
        <v>2120</v>
      </c>
      <c r="AJ165" t="s">
        <v>2119</v>
      </c>
      <c r="AK165" t="s">
        <v>2120</v>
      </c>
      <c r="AL165" t="s">
        <v>2120</v>
      </c>
      <c r="AM165" t="s">
        <v>2119</v>
      </c>
      <c r="AN165" t="s">
        <v>2120</v>
      </c>
      <c r="AO165" t="s">
        <v>2120</v>
      </c>
      <c r="AP165" t="s">
        <v>2120</v>
      </c>
      <c r="AQ165" t="s">
        <v>2119</v>
      </c>
    </row>
    <row r="166" spans="2:43" x14ac:dyDescent="0.2">
      <c r="B166" t="s">
        <v>546</v>
      </c>
      <c r="C166" t="s">
        <v>490</v>
      </c>
      <c r="D166">
        <v>0.35416666666666669</v>
      </c>
      <c r="E166" t="s">
        <v>575</v>
      </c>
      <c r="F166" t="s">
        <v>576</v>
      </c>
      <c r="H166">
        <v>47.9</v>
      </c>
      <c r="I166">
        <v>31.3</v>
      </c>
      <c r="J166">
        <v>20.8</v>
      </c>
      <c r="K166">
        <v>79.2</v>
      </c>
      <c r="L166">
        <v>52.1</v>
      </c>
      <c r="M166">
        <v>68.7</v>
      </c>
      <c r="N166">
        <v>36</v>
      </c>
      <c r="O166">
        <v>51.9</v>
      </c>
      <c r="P166">
        <v>12.1</v>
      </c>
      <c r="Q166">
        <v>54.7</v>
      </c>
      <c r="R166">
        <v>61.4</v>
      </c>
      <c r="S166">
        <v>33.1</v>
      </c>
      <c r="T166">
        <v>66.900000000000006</v>
      </c>
      <c r="U166">
        <v>72.5</v>
      </c>
      <c r="V166">
        <v>39.299999999999997</v>
      </c>
      <c r="W166">
        <v>60.7</v>
      </c>
      <c r="X166" t="s">
        <v>3135</v>
      </c>
      <c r="Y166" t="s">
        <v>576</v>
      </c>
      <c r="Z166" t="s">
        <v>4068</v>
      </c>
      <c r="AA166" t="s">
        <v>2165</v>
      </c>
      <c r="AB166" t="s">
        <v>2120</v>
      </c>
      <c r="AC166" t="s">
        <v>2119</v>
      </c>
      <c r="AD166" t="s">
        <v>2119</v>
      </c>
      <c r="AE166" t="s">
        <v>2120</v>
      </c>
      <c r="AF166" t="s">
        <v>2119</v>
      </c>
      <c r="AG166" t="s">
        <v>2120</v>
      </c>
      <c r="AH166" t="s">
        <v>2120</v>
      </c>
      <c r="AI166" t="s">
        <v>2119</v>
      </c>
      <c r="AJ166" t="s">
        <v>2119</v>
      </c>
      <c r="AK166" t="s">
        <v>2120</v>
      </c>
      <c r="AL166" t="s">
        <v>2120</v>
      </c>
      <c r="AM166" t="s">
        <v>2120</v>
      </c>
      <c r="AN166" t="s">
        <v>2119</v>
      </c>
      <c r="AO166" t="s">
        <v>2120</v>
      </c>
      <c r="AP166" t="s">
        <v>2119</v>
      </c>
      <c r="AQ166" t="s">
        <v>2120</v>
      </c>
    </row>
    <row r="167" spans="2:43" x14ac:dyDescent="0.2">
      <c r="B167" t="s">
        <v>546</v>
      </c>
      <c r="C167" t="s">
        <v>490</v>
      </c>
      <c r="D167">
        <v>0.35416666666666669</v>
      </c>
      <c r="E167" t="s">
        <v>577</v>
      </c>
      <c r="F167" t="s">
        <v>578</v>
      </c>
      <c r="H167">
        <v>42.1</v>
      </c>
      <c r="I167">
        <v>29.7</v>
      </c>
      <c r="J167">
        <v>28.2</v>
      </c>
      <c r="K167">
        <v>71.8</v>
      </c>
      <c r="L167">
        <v>57.9</v>
      </c>
      <c r="M167">
        <v>70.3</v>
      </c>
      <c r="N167">
        <v>40.9</v>
      </c>
      <c r="O167">
        <v>38.4</v>
      </c>
      <c r="P167">
        <v>20.7</v>
      </c>
      <c r="Q167">
        <v>75.900000000000006</v>
      </c>
      <c r="R167">
        <v>71</v>
      </c>
      <c r="S167">
        <v>43.7</v>
      </c>
      <c r="T167">
        <v>56.3</v>
      </c>
      <c r="U167">
        <v>61.8</v>
      </c>
      <c r="V167">
        <v>50.1</v>
      </c>
      <c r="W167">
        <v>49.9</v>
      </c>
      <c r="X167" t="s">
        <v>3136</v>
      </c>
      <c r="Y167" t="s">
        <v>578</v>
      </c>
      <c r="Z167" t="s">
        <v>4069</v>
      </c>
      <c r="AA167" t="s">
        <v>460</v>
      </c>
      <c r="AB167" t="s">
        <v>2119</v>
      </c>
      <c r="AC167" t="s">
        <v>2119</v>
      </c>
      <c r="AD167" t="s">
        <v>2120</v>
      </c>
      <c r="AE167" t="s">
        <v>2119</v>
      </c>
      <c r="AF167" t="s">
        <v>2120</v>
      </c>
      <c r="AG167" t="s">
        <v>2120</v>
      </c>
      <c r="AH167" t="s">
        <v>2119</v>
      </c>
      <c r="AI167" t="s">
        <v>2120</v>
      </c>
      <c r="AJ167" t="s">
        <v>2119</v>
      </c>
      <c r="AK167" t="s">
        <v>2119</v>
      </c>
      <c r="AL167" t="s">
        <v>2120</v>
      </c>
      <c r="AM167" t="s">
        <v>2120</v>
      </c>
      <c r="AN167" t="s">
        <v>2119</v>
      </c>
      <c r="AO167" t="s">
        <v>2120</v>
      </c>
      <c r="AP167" t="s">
        <v>2120</v>
      </c>
      <c r="AQ167" t="s">
        <v>2119</v>
      </c>
    </row>
    <row r="168" spans="2:43" x14ac:dyDescent="0.2">
      <c r="B168" t="s">
        <v>546</v>
      </c>
      <c r="C168" t="s">
        <v>490</v>
      </c>
      <c r="D168">
        <v>0.35416666666666669</v>
      </c>
      <c r="E168" t="s">
        <v>579</v>
      </c>
      <c r="F168" t="s">
        <v>580</v>
      </c>
      <c r="H168">
        <v>47.1</v>
      </c>
      <c r="I168">
        <v>32</v>
      </c>
      <c r="J168">
        <v>20.9</v>
      </c>
      <c r="K168">
        <v>79.099999999999994</v>
      </c>
      <c r="L168">
        <v>52.9</v>
      </c>
      <c r="M168">
        <v>68</v>
      </c>
      <c r="N168">
        <v>27.5</v>
      </c>
      <c r="O168">
        <v>54.4</v>
      </c>
      <c r="P168">
        <v>18</v>
      </c>
      <c r="Q168">
        <v>53.1</v>
      </c>
      <c r="R168">
        <v>59.5</v>
      </c>
      <c r="S168">
        <v>31.1</v>
      </c>
      <c r="T168">
        <v>68.900000000000006</v>
      </c>
      <c r="U168">
        <v>74.2</v>
      </c>
      <c r="V168">
        <v>37.799999999999997</v>
      </c>
      <c r="W168">
        <v>62.2</v>
      </c>
      <c r="X168" t="s">
        <v>1600</v>
      </c>
      <c r="Y168" t="s">
        <v>580</v>
      </c>
      <c r="Z168" t="s">
        <v>4070</v>
      </c>
      <c r="AA168" t="s">
        <v>2123</v>
      </c>
      <c r="AB168" t="s">
        <v>2119</v>
      </c>
      <c r="AC168" t="s">
        <v>2120</v>
      </c>
      <c r="AD168" t="s">
        <v>2119</v>
      </c>
      <c r="AE168" t="s">
        <v>2120</v>
      </c>
      <c r="AF168" t="s">
        <v>2120</v>
      </c>
      <c r="AG168" t="s">
        <v>2119</v>
      </c>
      <c r="AH168" t="s">
        <v>2119</v>
      </c>
      <c r="AI168" t="s">
        <v>2119</v>
      </c>
      <c r="AJ168" t="s">
        <v>2120</v>
      </c>
      <c r="AK168" t="s">
        <v>2120</v>
      </c>
      <c r="AL168" t="s">
        <v>2120</v>
      </c>
      <c r="AM168" t="s">
        <v>2120</v>
      </c>
      <c r="AN168" t="s">
        <v>2119</v>
      </c>
      <c r="AO168" t="s">
        <v>2119</v>
      </c>
      <c r="AP168" t="s">
        <v>2120</v>
      </c>
      <c r="AQ168" t="s">
        <v>2119</v>
      </c>
    </row>
    <row r="169" spans="2:43" x14ac:dyDescent="0.2">
      <c r="B169" t="s">
        <v>543</v>
      </c>
      <c r="C169" t="s">
        <v>490</v>
      </c>
      <c r="D169">
        <v>0.3576388888888889</v>
      </c>
      <c r="E169" t="s">
        <v>581</v>
      </c>
      <c r="F169" t="s">
        <v>582</v>
      </c>
      <c r="H169">
        <v>44.2</v>
      </c>
      <c r="I169">
        <v>27.3</v>
      </c>
      <c r="J169">
        <v>28.6</v>
      </c>
      <c r="K169">
        <v>71.400000000000006</v>
      </c>
      <c r="L169">
        <v>55.8</v>
      </c>
      <c r="M169">
        <v>72.7</v>
      </c>
      <c r="N169">
        <v>26.1</v>
      </c>
      <c r="O169">
        <v>44.4</v>
      </c>
      <c r="P169">
        <v>29.4</v>
      </c>
      <c r="Q169">
        <v>68.400000000000006</v>
      </c>
      <c r="R169">
        <v>79.5</v>
      </c>
      <c r="S169">
        <v>55.1</v>
      </c>
      <c r="T169">
        <v>44.9</v>
      </c>
      <c r="U169">
        <v>50.8</v>
      </c>
      <c r="V169">
        <v>58.9</v>
      </c>
      <c r="W169">
        <v>41.1</v>
      </c>
      <c r="X169" t="s">
        <v>3126</v>
      </c>
      <c r="Y169" t="s">
        <v>407</v>
      </c>
      <c r="Z169" t="s">
        <v>4071</v>
      </c>
      <c r="AA169" t="s">
        <v>456</v>
      </c>
      <c r="AB169" t="s">
        <v>2119</v>
      </c>
      <c r="AC169" t="s">
        <v>2119</v>
      </c>
      <c r="AD169" t="s">
        <v>2120</v>
      </c>
      <c r="AE169" t="s">
        <v>2119</v>
      </c>
      <c r="AF169" t="s">
        <v>2120</v>
      </c>
      <c r="AG169" t="s">
        <v>2120</v>
      </c>
      <c r="AH169" t="s">
        <v>2119</v>
      </c>
      <c r="AI169" t="s">
        <v>2120</v>
      </c>
      <c r="AJ169" t="s">
        <v>2119</v>
      </c>
      <c r="AK169" t="s">
        <v>2119</v>
      </c>
      <c r="AL169" t="s">
        <v>2119</v>
      </c>
      <c r="AM169" t="s">
        <v>2119</v>
      </c>
      <c r="AN169" t="s">
        <v>2120</v>
      </c>
      <c r="AO169" t="s">
        <v>2120</v>
      </c>
      <c r="AP169" t="s">
        <v>2119</v>
      </c>
      <c r="AQ169" t="s">
        <v>2120</v>
      </c>
    </row>
    <row r="170" spans="2:43" x14ac:dyDescent="0.2">
      <c r="B170" t="s">
        <v>543</v>
      </c>
      <c r="C170" t="s">
        <v>490</v>
      </c>
      <c r="D170">
        <v>0.3576388888888889</v>
      </c>
      <c r="E170" t="s">
        <v>404</v>
      </c>
      <c r="F170" t="s">
        <v>583</v>
      </c>
      <c r="H170">
        <v>43.4</v>
      </c>
      <c r="I170">
        <v>26</v>
      </c>
      <c r="J170">
        <v>30.6</v>
      </c>
      <c r="K170">
        <v>69.400000000000006</v>
      </c>
      <c r="L170">
        <v>56.6</v>
      </c>
      <c r="M170">
        <v>74</v>
      </c>
      <c r="N170">
        <v>32.6</v>
      </c>
      <c r="O170">
        <v>41</v>
      </c>
      <c r="P170">
        <v>26.4</v>
      </c>
      <c r="Q170">
        <v>73.5</v>
      </c>
      <c r="R170">
        <v>85.3</v>
      </c>
      <c r="S170">
        <v>64.3</v>
      </c>
      <c r="T170">
        <v>35.700000000000003</v>
      </c>
      <c r="U170">
        <v>41.4</v>
      </c>
      <c r="V170">
        <v>66.3</v>
      </c>
      <c r="W170">
        <v>33.700000000000003</v>
      </c>
      <c r="X170" t="s">
        <v>404</v>
      </c>
      <c r="Y170" t="s">
        <v>408</v>
      </c>
      <c r="Z170" t="s">
        <v>4072</v>
      </c>
      <c r="AA170" t="s">
        <v>2128</v>
      </c>
      <c r="AB170" t="s">
        <v>2120</v>
      </c>
      <c r="AC170" t="s">
        <v>2119</v>
      </c>
      <c r="AD170" t="s">
        <v>2119</v>
      </c>
      <c r="AE170" t="s">
        <v>2120</v>
      </c>
      <c r="AF170" t="s">
        <v>2119</v>
      </c>
      <c r="AG170" t="s">
        <v>2120</v>
      </c>
      <c r="AH170" t="s">
        <v>2120</v>
      </c>
      <c r="AI170" t="s">
        <v>2119</v>
      </c>
      <c r="AJ170" t="s">
        <v>2119</v>
      </c>
      <c r="AK170" t="s">
        <v>2120</v>
      </c>
      <c r="AL170" t="s">
        <v>2120</v>
      </c>
      <c r="AM170" t="s">
        <v>2119</v>
      </c>
      <c r="AN170" t="s">
        <v>2120</v>
      </c>
      <c r="AO170" t="s">
        <v>2120</v>
      </c>
      <c r="AP170" t="s">
        <v>2119</v>
      </c>
      <c r="AQ170" t="s">
        <v>2120</v>
      </c>
    </row>
    <row r="171" spans="2:43" x14ac:dyDescent="0.2">
      <c r="B171" t="s">
        <v>584</v>
      </c>
      <c r="C171" t="s">
        <v>490</v>
      </c>
      <c r="D171">
        <v>0.375</v>
      </c>
      <c r="E171" t="s">
        <v>585</v>
      </c>
      <c r="F171" t="s">
        <v>586</v>
      </c>
      <c r="H171">
        <v>45.5</v>
      </c>
      <c r="I171">
        <v>32.5</v>
      </c>
      <c r="J171">
        <v>22</v>
      </c>
      <c r="K171">
        <v>78</v>
      </c>
      <c r="L171">
        <v>54.5</v>
      </c>
      <c r="M171">
        <v>67.5</v>
      </c>
      <c r="N171">
        <v>32.200000000000003</v>
      </c>
      <c r="O171">
        <v>52.2</v>
      </c>
      <c r="P171">
        <v>15.6</v>
      </c>
      <c r="Q171">
        <v>55.6</v>
      </c>
      <c r="R171">
        <v>58.9</v>
      </c>
      <c r="S171">
        <v>30.6</v>
      </c>
      <c r="T171">
        <v>69.400000000000006</v>
      </c>
      <c r="U171">
        <v>74.5</v>
      </c>
      <c r="V171">
        <v>37.799999999999997</v>
      </c>
      <c r="W171">
        <v>62.2</v>
      </c>
      <c r="X171" t="s">
        <v>3385</v>
      </c>
      <c r="Y171" t="s">
        <v>586</v>
      </c>
      <c r="Z171" t="s">
        <v>4073</v>
      </c>
      <c r="AA171" t="s">
        <v>460</v>
      </c>
      <c r="AB171" t="s">
        <v>2119</v>
      </c>
      <c r="AC171" t="s">
        <v>2119</v>
      </c>
      <c r="AD171" t="s">
        <v>2120</v>
      </c>
      <c r="AE171" t="s">
        <v>2119</v>
      </c>
      <c r="AF171" t="s">
        <v>2120</v>
      </c>
      <c r="AG171" t="s">
        <v>2120</v>
      </c>
      <c r="AH171" t="s">
        <v>2119</v>
      </c>
      <c r="AI171" t="s">
        <v>2119</v>
      </c>
      <c r="AJ171" t="s">
        <v>2120</v>
      </c>
      <c r="AK171" t="s">
        <v>2120</v>
      </c>
      <c r="AL171" t="s">
        <v>2120</v>
      </c>
      <c r="AM171" t="s">
        <v>2120</v>
      </c>
      <c r="AN171" t="s">
        <v>2119</v>
      </c>
      <c r="AO171" t="s">
        <v>2120</v>
      </c>
      <c r="AP171" t="s">
        <v>2120</v>
      </c>
      <c r="AQ171" t="s">
        <v>2119</v>
      </c>
    </row>
    <row r="172" spans="2:43" x14ac:dyDescent="0.2">
      <c r="B172" t="s">
        <v>543</v>
      </c>
      <c r="C172" t="s">
        <v>490</v>
      </c>
      <c r="D172">
        <v>0.375</v>
      </c>
      <c r="E172" t="s">
        <v>410</v>
      </c>
      <c r="F172" t="s">
        <v>406</v>
      </c>
      <c r="H172">
        <v>39.5</v>
      </c>
      <c r="I172">
        <v>28.3</v>
      </c>
      <c r="J172">
        <v>32.200000000000003</v>
      </c>
      <c r="K172">
        <v>67.8</v>
      </c>
      <c r="L172">
        <v>60.5</v>
      </c>
      <c r="M172">
        <v>71.7</v>
      </c>
      <c r="N172">
        <v>30.1</v>
      </c>
      <c r="O172">
        <v>44.3</v>
      </c>
      <c r="P172">
        <v>25.5</v>
      </c>
      <c r="Q172">
        <v>68.400000000000006</v>
      </c>
      <c r="R172">
        <v>77.3</v>
      </c>
      <c r="S172">
        <v>51.9</v>
      </c>
      <c r="T172">
        <v>48.1</v>
      </c>
      <c r="U172">
        <v>53.7</v>
      </c>
      <c r="V172">
        <v>57.1</v>
      </c>
      <c r="W172">
        <v>42.9</v>
      </c>
      <c r="X172" t="s">
        <v>410</v>
      </c>
      <c r="Y172" t="s">
        <v>406</v>
      </c>
      <c r="Z172" t="s">
        <v>4074</v>
      </c>
      <c r="AA172" t="s">
        <v>453</v>
      </c>
      <c r="AB172" t="s">
        <v>2120</v>
      </c>
      <c r="AC172" t="s">
        <v>2119</v>
      </c>
      <c r="AD172" t="s">
        <v>2119</v>
      </c>
      <c r="AE172" t="s">
        <v>2120</v>
      </c>
      <c r="AF172" t="s">
        <v>2119</v>
      </c>
      <c r="AG172" t="s">
        <v>2120</v>
      </c>
      <c r="AH172" t="s">
        <v>2120</v>
      </c>
      <c r="AI172" t="s">
        <v>2119</v>
      </c>
      <c r="AJ172" t="s">
        <v>2119</v>
      </c>
      <c r="AK172" t="s">
        <v>2120</v>
      </c>
      <c r="AL172" t="s">
        <v>2119</v>
      </c>
      <c r="AM172" t="s">
        <v>2119</v>
      </c>
      <c r="AN172" t="s">
        <v>2120</v>
      </c>
      <c r="AO172" t="s">
        <v>2120</v>
      </c>
      <c r="AP172" t="s">
        <v>2119</v>
      </c>
      <c r="AQ172" t="s">
        <v>2120</v>
      </c>
    </row>
    <row r="173" spans="2:43" x14ac:dyDescent="0.2">
      <c r="B173" t="s">
        <v>448</v>
      </c>
      <c r="C173" t="s">
        <v>490</v>
      </c>
      <c r="D173">
        <v>0.375</v>
      </c>
      <c r="E173" t="s">
        <v>587</v>
      </c>
      <c r="F173" t="s">
        <v>222</v>
      </c>
      <c r="H173">
        <v>55</v>
      </c>
      <c r="I173">
        <v>25.5</v>
      </c>
      <c r="J173">
        <v>19.600000000000001</v>
      </c>
      <c r="K173">
        <v>80.400000000000006</v>
      </c>
      <c r="L173">
        <v>45</v>
      </c>
      <c r="M173">
        <v>74.5</v>
      </c>
      <c r="N173">
        <v>31</v>
      </c>
      <c r="O173">
        <v>43.7</v>
      </c>
      <c r="P173">
        <v>25.3</v>
      </c>
      <c r="Q173">
        <v>69.2</v>
      </c>
      <c r="R173">
        <v>78.8</v>
      </c>
      <c r="S173">
        <v>54.2</v>
      </c>
      <c r="T173">
        <v>45.8</v>
      </c>
      <c r="U173">
        <v>52.8</v>
      </c>
      <c r="V173">
        <v>54.8</v>
      </c>
      <c r="W173">
        <v>45.2</v>
      </c>
      <c r="X173" t="s">
        <v>3213</v>
      </c>
      <c r="Y173" t="s">
        <v>1343</v>
      </c>
      <c r="Z173" t="s">
        <v>4075</v>
      </c>
      <c r="AA173" t="s">
        <v>2133</v>
      </c>
      <c r="AB173" t="s">
        <v>2120</v>
      </c>
      <c r="AC173" t="s">
        <v>2119</v>
      </c>
      <c r="AD173" t="s">
        <v>2119</v>
      </c>
      <c r="AE173" t="s">
        <v>2120</v>
      </c>
      <c r="AF173" t="s">
        <v>2119</v>
      </c>
      <c r="AG173" t="s">
        <v>2120</v>
      </c>
      <c r="AH173" t="s">
        <v>2120</v>
      </c>
      <c r="AI173" t="s">
        <v>2119</v>
      </c>
      <c r="AJ173" t="s">
        <v>2119</v>
      </c>
      <c r="AK173" t="s">
        <v>2120</v>
      </c>
      <c r="AL173" t="s">
        <v>2120</v>
      </c>
      <c r="AM173" t="s">
        <v>2120</v>
      </c>
      <c r="AN173" t="s">
        <v>2119</v>
      </c>
      <c r="AO173" t="s">
        <v>2119</v>
      </c>
      <c r="AP173" t="s">
        <v>2120</v>
      </c>
      <c r="AQ173" t="s">
        <v>2119</v>
      </c>
    </row>
    <row r="174" spans="2:43" x14ac:dyDescent="0.2">
      <c r="B174" t="s">
        <v>450</v>
      </c>
      <c r="C174" t="s">
        <v>490</v>
      </c>
      <c r="D174">
        <v>0.375</v>
      </c>
      <c r="E174" t="s">
        <v>588</v>
      </c>
      <c r="F174" t="s">
        <v>224</v>
      </c>
      <c r="H174">
        <v>64.900000000000006</v>
      </c>
      <c r="I174">
        <v>22.2</v>
      </c>
      <c r="J174">
        <v>12.9</v>
      </c>
      <c r="K174">
        <v>87.1</v>
      </c>
      <c r="L174">
        <v>35.1</v>
      </c>
      <c r="M174">
        <v>77.8</v>
      </c>
      <c r="N174">
        <v>57.8</v>
      </c>
      <c r="O174">
        <v>31.3</v>
      </c>
      <c r="P174">
        <v>10.9</v>
      </c>
      <c r="Q174">
        <v>80.2</v>
      </c>
      <c r="R174">
        <v>84.8</v>
      </c>
      <c r="S174">
        <v>63.8</v>
      </c>
      <c r="T174">
        <v>36.200000000000003</v>
      </c>
      <c r="U174">
        <v>44.8</v>
      </c>
      <c r="V174">
        <v>57.1</v>
      </c>
      <c r="W174">
        <v>42.9</v>
      </c>
      <c r="X174" t="s">
        <v>588</v>
      </c>
      <c r="Y174" t="s">
        <v>1368</v>
      </c>
      <c r="Z174" t="s">
        <v>4076</v>
      </c>
      <c r="AA174" t="s">
        <v>4045</v>
      </c>
      <c r="AB174" t="s">
        <v>2120</v>
      </c>
      <c r="AC174" t="s">
        <v>2119</v>
      </c>
      <c r="AD174" t="s">
        <v>2119</v>
      </c>
      <c r="AE174" t="s">
        <v>2120</v>
      </c>
      <c r="AF174" t="s">
        <v>2119</v>
      </c>
      <c r="AG174" t="s">
        <v>2120</v>
      </c>
      <c r="AH174" t="s">
        <v>2120</v>
      </c>
      <c r="AI174" t="s">
        <v>2119</v>
      </c>
      <c r="AJ174" t="s">
        <v>2119</v>
      </c>
      <c r="AK174" t="s">
        <v>2120</v>
      </c>
      <c r="AL174" t="s">
        <v>2120</v>
      </c>
      <c r="AM174" t="s">
        <v>2120</v>
      </c>
      <c r="AN174" t="s">
        <v>2119</v>
      </c>
      <c r="AO174" t="s">
        <v>2119</v>
      </c>
      <c r="AP174" t="s">
        <v>2120</v>
      </c>
      <c r="AQ174" t="s">
        <v>2119</v>
      </c>
    </row>
    <row r="175" spans="2:43" x14ac:dyDescent="0.2">
      <c r="B175" t="s">
        <v>584</v>
      </c>
      <c r="C175" t="s">
        <v>490</v>
      </c>
      <c r="D175">
        <v>0.41666666666666669</v>
      </c>
      <c r="E175" t="s">
        <v>589</v>
      </c>
      <c r="F175" t="s">
        <v>590</v>
      </c>
      <c r="H175">
        <v>47.9</v>
      </c>
      <c r="I175">
        <v>28.5</v>
      </c>
      <c r="J175">
        <v>23.6</v>
      </c>
      <c r="K175">
        <v>76.400000000000006</v>
      </c>
      <c r="L175">
        <v>52.1</v>
      </c>
      <c r="M175">
        <v>71.5</v>
      </c>
      <c r="N175">
        <v>30.5</v>
      </c>
      <c r="O175">
        <v>52</v>
      </c>
      <c r="P175">
        <v>17.5</v>
      </c>
      <c r="Q175">
        <v>56.3</v>
      </c>
      <c r="R175">
        <v>72.099999999999994</v>
      </c>
      <c r="S175">
        <v>45.2</v>
      </c>
      <c r="T175">
        <v>54.8</v>
      </c>
      <c r="U175">
        <v>60.9</v>
      </c>
      <c r="V175">
        <v>49.9</v>
      </c>
      <c r="W175">
        <v>50.1</v>
      </c>
      <c r="X175" t="s">
        <v>3384</v>
      </c>
      <c r="Y175" t="s">
        <v>590</v>
      </c>
      <c r="Z175" t="s">
        <v>4077</v>
      </c>
      <c r="AA175" t="s">
        <v>460</v>
      </c>
      <c r="AB175" t="s">
        <v>2119</v>
      </c>
      <c r="AC175" t="s">
        <v>2119</v>
      </c>
      <c r="AD175" t="s">
        <v>2120</v>
      </c>
      <c r="AE175" t="s">
        <v>2119</v>
      </c>
      <c r="AF175" t="s">
        <v>2120</v>
      </c>
      <c r="AG175" t="s">
        <v>2120</v>
      </c>
      <c r="AH175" t="s">
        <v>2119</v>
      </c>
      <c r="AI175" t="s">
        <v>2120</v>
      </c>
      <c r="AJ175" t="s">
        <v>2119</v>
      </c>
      <c r="AK175" t="s">
        <v>2119</v>
      </c>
      <c r="AL175" t="s">
        <v>2120</v>
      </c>
      <c r="AM175" t="s">
        <v>2120</v>
      </c>
      <c r="AN175" t="s">
        <v>2119</v>
      </c>
      <c r="AO175" t="s">
        <v>2120</v>
      </c>
      <c r="AP175" t="s">
        <v>2120</v>
      </c>
      <c r="AQ175" t="s">
        <v>2119</v>
      </c>
    </row>
    <row r="176" spans="2:43" x14ac:dyDescent="0.2">
      <c r="B176" t="s">
        <v>448</v>
      </c>
      <c r="C176" t="s">
        <v>490</v>
      </c>
      <c r="D176">
        <v>0.41666666666666669</v>
      </c>
      <c r="E176" t="s">
        <v>591</v>
      </c>
      <c r="F176" t="s">
        <v>223</v>
      </c>
      <c r="H176">
        <v>38.200000000000003</v>
      </c>
      <c r="I176">
        <v>30.9</v>
      </c>
      <c r="J176">
        <v>30.8</v>
      </c>
      <c r="K176">
        <v>69.2</v>
      </c>
      <c r="L176">
        <v>61.8</v>
      </c>
      <c r="M176">
        <v>69.099999999999994</v>
      </c>
      <c r="N176">
        <v>36.4</v>
      </c>
      <c r="O176">
        <v>48.3</v>
      </c>
      <c r="P176">
        <v>15.3</v>
      </c>
      <c r="Q176">
        <v>60.5</v>
      </c>
      <c r="R176">
        <v>68.400000000000006</v>
      </c>
      <c r="S176">
        <v>40.6</v>
      </c>
      <c r="T176">
        <v>59.4</v>
      </c>
      <c r="U176">
        <v>64.599999999999994</v>
      </c>
      <c r="V176">
        <v>48.1</v>
      </c>
      <c r="W176">
        <v>51.9</v>
      </c>
      <c r="X176" t="s">
        <v>591</v>
      </c>
      <c r="Y176" t="s">
        <v>1344</v>
      </c>
      <c r="Z176" t="s">
        <v>4078</v>
      </c>
      <c r="AA176" t="s">
        <v>2128</v>
      </c>
      <c r="AB176" t="s">
        <v>2120</v>
      </c>
      <c r="AC176" t="s">
        <v>2119</v>
      </c>
      <c r="AD176" t="s">
        <v>2119</v>
      </c>
      <c r="AE176" t="s">
        <v>2120</v>
      </c>
      <c r="AF176" t="s">
        <v>2119</v>
      </c>
      <c r="AG176" t="s">
        <v>2120</v>
      </c>
      <c r="AH176" t="s">
        <v>2120</v>
      </c>
      <c r="AI176" t="s">
        <v>2119</v>
      </c>
      <c r="AJ176" t="s">
        <v>2119</v>
      </c>
      <c r="AK176" t="s">
        <v>2120</v>
      </c>
      <c r="AL176" t="s">
        <v>2120</v>
      </c>
      <c r="AM176" t="s">
        <v>2119</v>
      </c>
      <c r="AN176" t="s">
        <v>2120</v>
      </c>
      <c r="AO176" t="s">
        <v>2120</v>
      </c>
      <c r="AP176" t="s">
        <v>2119</v>
      </c>
      <c r="AQ176" t="s">
        <v>2120</v>
      </c>
    </row>
    <row r="177" spans="2:43" x14ac:dyDescent="0.2">
      <c r="B177" t="s">
        <v>448</v>
      </c>
      <c r="C177" t="s">
        <v>490</v>
      </c>
      <c r="D177">
        <v>0.41666666666666669</v>
      </c>
      <c r="E177" t="s">
        <v>592</v>
      </c>
      <c r="F177" t="s">
        <v>593</v>
      </c>
      <c r="H177">
        <v>31.6</v>
      </c>
      <c r="I177">
        <v>30.8</v>
      </c>
      <c r="J177">
        <v>37.700000000000003</v>
      </c>
      <c r="K177">
        <v>62.3</v>
      </c>
      <c r="L177">
        <v>68.400000000000006</v>
      </c>
      <c r="M177">
        <v>69.2</v>
      </c>
      <c r="N177">
        <v>30.7</v>
      </c>
      <c r="O177">
        <v>49.5</v>
      </c>
      <c r="P177">
        <v>19.8</v>
      </c>
      <c r="Q177">
        <v>60.1</v>
      </c>
      <c r="R177">
        <v>70</v>
      </c>
      <c r="S177">
        <v>42.5</v>
      </c>
      <c r="T177">
        <v>57.5</v>
      </c>
      <c r="U177">
        <v>62.7</v>
      </c>
      <c r="V177">
        <v>49.7</v>
      </c>
      <c r="W177">
        <v>50.3</v>
      </c>
      <c r="X177" t="s">
        <v>3214</v>
      </c>
      <c r="Y177" t="s">
        <v>593</v>
      </c>
      <c r="Z177" t="s">
        <v>4079</v>
      </c>
      <c r="AA177" t="s">
        <v>4080</v>
      </c>
      <c r="AB177" t="s">
        <v>2119</v>
      </c>
      <c r="AC177" t="s">
        <v>2120</v>
      </c>
      <c r="AD177" t="s">
        <v>2119</v>
      </c>
      <c r="AE177" t="s">
        <v>2120</v>
      </c>
      <c r="AF177" t="s">
        <v>2120</v>
      </c>
      <c r="AG177" t="s">
        <v>2119</v>
      </c>
      <c r="AH177" t="s">
        <v>2120</v>
      </c>
      <c r="AI177" t="s">
        <v>2119</v>
      </c>
      <c r="AJ177" t="s">
        <v>2119</v>
      </c>
      <c r="AK177" t="s">
        <v>2120</v>
      </c>
      <c r="AL177" t="s">
        <v>2120</v>
      </c>
      <c r="AM177" t="s">
        <v>2120</v>
      </c>
      <c r="AN177" t="s">
        <v>2119</v>
      </c>
      <c r="AO177" t="s">
        <v>2119</v>
      </c>
      <c r="AP177" t="s">
        <v>2120</v>
      </c>
      <c r="AQ177" t="s">
        <v>2119</v>
      </c>
    </row>
    <row r="178" spans="2:43" x14ac:dyDescent="0.2">
      <c r="B178" t="s">
        <v>448</v>
      </c>
      <c r="C178" t="s">
        <v>490</v>
      </c>
      <c r="D178">
        <v>0.41666666666666669</v>
      </c>
      <c r="E178" t="s">
        <v>594</v>
      </c>
      <c r="F178" t="s">
        <v>595</v>
      </c>
      <c r="H178">
        <v>40.6</v>
      </c>
      <c r="I178">
        <v>29.2</v>
      </c>
      <c r="J178">
        <v>30.1</v>
      </c>
      <c r="K178">
        <v>69.900000000000006</v>
      </c>
      <c r="L178">
        <v>59.4</v>
      </c>
      <c r="M178">
        <v>70.8</v>
      </c>
      <c r="N178">
        <v>23.8</v>
      </c>
      <c r="O178">
        <v>51.7</v>
      </c>
      <c r="P178">
        <v>24.6</v>
      </c>
      <c r="Q178">
        <v>57.5</v>
      </c>
      <c r="R178">
        <v>73.5</v>
      </c>
      <c r="S178">
        <v>46.8</v>
      </c>
      <c r="T178">
        <v>53.2</v>
      </c>
      <c r="U178">
        <v>58.7</v>
      </c>
      <c r="V178">
        <v>52.9</v>
      </c>
      <c r="W178">
        <v>47.1</v>
      </c>
      <c r="X178" t="s">
        <v>3215</v>
      </c>
      <c r="Y178" t="s">
        <v>3216</v>
      </c>
      <c r="Z178" t="s">
        <v>4081</v>
      </c>
      <c r="AA178" t="s">
        <v>447</v>
      </c>
      <c r="AB178" t="s">
        <v>2119</v>
      </c>
      <c r="AC178" t="s">
        <v>2120</v>
      </c>
      <c r="AD178" t="s">
        <v>2119</v>
      </c>
      <c r="AE178" t="s">
        <v>2120</v>
      </c>
      <c r="AF178" t="s">
        <v>2120</v>
      </c>
      <c r="AG178" t="s">
        <v>2119</v>
      </c>
      <c r="AH178" t="s">
        <v>2119</v>
      </c>
      <c r="AI178" t="s">
        <v>2120</v>
      </c>
      <c r="AJ178" t="s">
        <v>2119</v>
      </c>
      <c r="AK178" t="s">
        <v>2119</v>
      </c>
      <c r="AL178" t="s">
        <v>2119</v>
      </c>
      <c r="AM178" t="s">
        <v>2119</v>
      </c>
      <c r="AN178" t="s">
        <v>2120</v>
      </c>
      <c r="AO178" t="s">
        <v>2120</v>
      </c>
      <c r="AP178" t="s">
        <v>2119</v>
      </c>
      <c r="AQ178" t="s">
        <v>2120</v>
      </c>
    </row>
    <row r="179" spans="2:43" x14ac:dyDescent="0.2">
      <c r="B179" t="s">
        <v>569</v>
      </c>
      <c r="C179" t="s">
        <v>490</v>
      </c>
      <c r="D179">
        <v>0.41666666666666669</v>
      </c>
      <c r="E179" t="s">
        <v>596</v>
      </c>
      <c r="F179" t="s">
        <v>597</v>
      </c>
      <c r="H179">
        <v>50.9</v>
      </c>
      <c r="I179">
        <v>24.9</v>
      </c>
      <c r="J179">
        <v>24.2</v>
      </c>
      <c r="K179">
        <v>75.8</v>
      </c>
      <c r="L179">
        <v>49.1</v>
      </c>
      <c r="M179">
        <v>75.099999999999994</v>
      </c>
      <c r="N179">
        <v>37.700000000000003</v>
      </c>
      <c r="O179">
        <v>39.6</v>
      </c>
      <c r="P179">
        <v>22.7</v>
      </c>
      <c r="Q179">
        <v>74.8</v>
      </c>
      <c r="R179">
        <v>86.4</v>
      </c>
      <c r="S179">
        <v>66.2</v>
      </c>
      <c r="T179">
        <v>33.799999999999997</v>
      </c>
      <c r="U179">
        <v>39.9</v>
      </c>
      <c r="V179">
        <v>66.099999999999994</v>
      </c>
      <c r="W179">
        <v>33.9</v>
      </c>
      <c r="X179" t="s">
        <v>3389</v>
      </c>
      <c r="Y179" t="s">
        <v>597</v>
      </c>
      <c r="Z179" t="s">
        <v>4082</v>
      </c>
      <c r="AA179" t="s">
        <v>459</v>
      </c>
      <c r="AB179" t="s">
        <v>2119</v>
      </c>
      <c r="AC179" t="s">
        <v>2120</v>
      </c>
      <c r="AD179" t="s">
        <v>2119</v>
      </c>
      <c r="AE179" t="s">
        <v>2120</v>
      </c>
      <c r="AF179" t="s">
        <v>2120</v>
      </c>
      <c r="AG179" t="s">
        <v>2119</v>
      </c>
      <c r="AH179" t="s">
        <v>2119</v>
      </c>
      <c r="AI179" t="s">
        <v>2119</v>
      </c>
      <c r="AJ179" t="s">
        <v>2120</v>
      </c>
      <c r="AK179" t="s">
        <v>2120</v>
      </c>
      <c r="AL179" t="s">
        <v>2120</v>
      </c>
      <c r="AM179" t="s">
        <v>2119</v>
      </c>
      <c r="AN179" t="s">
        <v>2120</v>
      </c>
      <c r="AO179" t="s">
        <v>2120</v>
      </c>
      <c r="AP179" t="s">
        <v>2120</v>
      </c>
      <c r="AQ179" t="s">
        <v>2119</v>
      </c>
    </row>
    <row r="180" spans="2:43" x14ac:dyDescent="0.2">
      <c r="B180" t="s">
        <v>476</v>
      </c>
      <c r="C180" t="s">
        <v>490</v>
      </c>
      <c r="D180">
        <v>0.41666666666666669</v>
      </c>
      <c r="E180" t="s">
        <v>598</v>
      </c>
      <c r="F180" t="s">
        <v>258</v>
      </c>
      <c r="H180">
        <v>26.1</v>
      </c>
      <c r="I180">
        <v>26.7</v>
      </c>
      <c r="J180">
        <v>47.2</v>
      </c>
      <c r="K180">
        <v>52.8</v>
      </c>
      <c r="L180">
        <v>73.900000000000006</v>
      </c>
      <c r="M180">
        <v>73.3</v>
      </c>
      <c r="N180">
        <v>17.5</v>
      </c>
      <c r="O180">
        <v>38.200000000000003</v>
      </c>
      <c r="P180">
        <v>44.2</v>
      </c>
      <c r="Q180">
        <v>75.900000000000006</v>
      </c>
      <c r="R180">
        <v>83.1</v>
      </c>
      <c r="S180">
        <v>60.8</v>
      </c>
      <c r="T180">
        <v>39.200000000000003</v>
      </c>
      <c r="U180">
        <v>45.3</v>
      </c>
      <c r="V180">
        <v>62.7</v>
      </c>
      <c r="W180">
        <v>37.299999999999997</v>
      </c>
      <c r="X180" t="s">
        <v>2758</v>
      </c>
      <c r="Y180" t="s">
        <v>258</v>
      </c>
      <c r="Z180" t="s">
        <v>4083</v>
      </c>
      <c r="AA180" t="s">
        <v>456</v>
      </c>
      <c r="AB180" t="s">
        <v>2119</v>
      </c>
      <c r="AC180" t="s">
        <v>2119</v>
      </c>
      <c r="AD180" t="s">
        <v>2120</v>
      </c>
      <c r="AE180" t="s">
        <v>2119</v>
      </c>
      <c r="AF180" t="s">
        <v>2120</v>
      </c>
      <c r="AG180" t="s">
        <v>2120</v>
      </c>
      <c r="AH180" t="s">
        <v>2119</v>
      </c>
      <c r="AI180" t="s">
        <v>2119</v>
      </c>
      <c r="AJ180" t="s">
        <v>2120</v>
      </c>
      <c r="AK180" t="s">
        <v>2120</v>
      </c>
      <c r="AL180" t="s">
        <v>2119</v>
      </c>
      <c r="AM180" t="s">
        <v>2119</v>
      </c>
      <c r="AN180" t="s">
        <v>2120</v>
      </c>
      <c r="AO180" t="s">
        <v>2120</v>
      </c>
      <c r="AP180" t="s">
        <v>2119</v>
      </c>
      <c r="AQ180" t="s">
        <v>2120</v>
      </c>
    </row>
    <row r="181" spans="2:43" x14ac:dyDescent="0.2">
      <c r="B181" t="s">
        <v>451</v>
      </c>
      <c r="C181" t="s">
        <v>490</v>
      </c>
      <c r="D181">
        <v>0.41666666666666669</v>
      </c>
      <c r="E181" t="s">
        <v>599</v>
      </c>
      <c r="F181" t="s">
        <v>600</v>
      </c>
      <c r="H181">
        <v>38.200000000000003</v>
      </c>
      <c r="I181">
        <v>25.8</v>
      </c>
      <c r="J181">
        <v>36</v>
      </c>
      <c r="K181">
        <v>64</v>
      </c>
      <c r="L181">
        <v>61.8</v>
      </c>
      <c r="M181">
        <v>74.2</v>
      </c>
      <c r="N181">
        <v>26.7</v>
      </c>
      <c r="O181">
        <v>40.6</v>
      </c>
      <c r="P181">
        <v>32.700000000000003</v>
      </c>
      <c r="Q181">
        <v>74.3</v>
      </c>
      <c r="R181">
        <v>87.9</v>
      </c>
      <c r="S181">
        <v>69</v>
      </c>
      <c r="T181">
        <v>31</v>
      </c>
      <c r="U181">
        <v>36.4</v>
      </c>
      <c r="V181">
        <v>70.3</v>
      </c>
      <c r="W181">
        <v>29.7</v>
      </c>
      <c r="X181" t="s">
        <v>599</v>
      </c>
      <c r="Y181" t="s">
        <v>600</v>
      </c>
      <c r="Z181" t="s">
        <v>4084</v>
      </c>
      <c r="AA181" t="s">
        <v>447</v>
      </c>
      <c r="AB181" t="s">
        <v>2119</v>
      </c>
      <c r="AC181" t="s">
        <v>2120</v>
      </c>
      <c r="AD181" t="s">
        <v>2119</v>
      </c>
      <c r="AE181" t="s">
        <v>2120</v>
      </c>
      <c r="AF181" t="s">
        <v>2120</v>
      </c>
      <c r="AG181" t="s">
        <v>2119</v>
      </c>
      <c r="AH181" t="s">
        <v>2119</v>
      </c>
      <c r="AI181" t="s">
        <v>2120</v>
      </c>
      <c r="AJ181" t="s">
        <v>2119</v>
      </c>
      <c r="AK181" t="s">
        <v>2119</v>
      </c>
      <c r="AL181" t="s">
        <v>2119</v>
      </c>
      <c r="AM181" t="s">
        <v>2119</v>
      </c>
      <c r="AN181" t="s">
        <v>2120</v>
      </c>
      <c r="AO181" t="s">
        <v>2120</v>
      </c>
      <c r="AP181" t="s">
        <v>2119</v>
      </c>
      <c r="AQ181" t="s">
        <v>2120</v>
      </c>
    </row>
    <row r="182" spans="2:43" x14ac:dyDescent="0.2">
      <c r="B182" t="s">
        <v>474</v>
      </c>
      <c r="C182" t="s">
        <v>490</v>
      </c>
      <c r="D182">
        <v>0.4375</v>
      </c>
      <c r="E182" t="s">
        <v>250</v>
      </c>
      <c r="F182" t="s">
        <v>601</v>
      </c>
      <c r="H182">
        <v>22.1</v>
      </c>
      <c r="I182">
        <v>29.7</v>
      </c>
      <c r="J182">
        <v>48.2</v>
      </c>
      <c r="K182">
        <v>51.8</v>
      </c>
      <c r="L182">
        <v>77.900000000000006</v>
      </c>
      <c r="M182">
        <v>70.3</v>
      </c>
      <c r="N182">
        <v>21.1</v>
      </c>
      <c r="O182">
        <v>47.1</v>
      </c>
      <c r="P182">
        <v>31.8</v>
      </c>
      <c r="Q182">
        <v>64</v>
      </c>
      <c r="R182">
        <v>71.400000000000006</v>
      </c>
      <c r="S182">
        <v>44.2</v>
      </c>
      <c r="T182">
        <v>55.8</v>
      </c>
      <c r="U182">
        <v>61.9</v>
      </c>
      <c r="V182">
        <v>48.8</v>
      </c>
      <c r="W182">
        <v>51.2</v>
      </c>
      <c r="X182" t="s">
        <v>250</v>
      </c>
      <c r="Y182" t="s">
        <v>601</v>
      </c>
      <c r="Z182" t="s">
        <v>4085</v>
      </c>
      <c r="AA182" t="s">
        <v>459</v>
      </c>
      <c r="AB182" t="s">
        <v>2119</v>
      </c>
      <c r="AC182" t="s">
        <v>2120</v>
      </c>
      <c r="AD182" t="s">
        <v>2119</v>
      </c>
      <c r="AE182" t="s">
        <v>2120</v>
      </c>
      <c r="AF182" t="s">
        <v>2120</v>
      </c>
      <c r="AG182" t="s">
        <v>2119</v>
      </c>
      <c r="AH182" t="s">
        <v>2120</v>
      </c>
      <c r="AI182" t="s">
        <v>2119</v>
      </c>
      <c r="AJ182" t="s">
        <v>2119</v>
      </c>
      <c r="AK182" t="s">
        <v>2120</v>
      </c>
      <c r="AL182" t="s">
        <v>2120</v>
      </c>
      <c r="AM182" t="s">
        <v>2119</v>
      </c>
      <c r="AN182" t="s">
        <v>2120</v>
      </c>
      <c r="AO182" t="s">
        <v>2120</v>
      </c>
      <c r="AP182" t="s">
        <v>2120</v>
      </c>
      <c r="AQ182" t="s">
        <v>2119</v>
      </c>
    </row>
    <row r="183" spans="2:43" x14ac:dyDescent="0.2">
      <c r="B183" t="s">
        <v>474</v>
      </c>
      <c r="C183" t="s">
        <v>490</v>
      </c>
      <c r="D183">
        <v>0.45833333333333331</v>
      </c>
      <c r="E183" t="s">
        <v>602</v>
      </c>
      <c r="F183" t="s">
        <v>603</v>
      </c>
      <c r="H183">
        <v>46.8</v>
      </c>
      <c r="I183">
        <v>28.5</v>
      </c>
      <c r="J183">
        <v>24.7</v>
      </c>
      <c r="K183">
        <v>75.3</v>
      </c>
      <c r="L183">
        <v>53.2</v>
      </c>
      <c r="M183">
        <v>71.5</v>
      </c>
      <c r="N183">
        <v>36.700000000000003</v>
      </c>
      <c r="O183">
        <v>41.4</v>
      </c>
      <c r="P183">
        <v>21.9</v>
      </c>
      <c r="Q183">
        <v>72</v>
      </c>
      <c r="R183">
        <v>72.8</v>
      </c>
      <c r="S183">
        <v>46.1</v>
      </c>
      <c r="T183">
        <v>53.9</v>
      </c>
      <c r="U183">
        <v>59.9</v>
      </c>
      <c r="V183">
        <v>51</v>
      </c>
      <c r="W183">
        <v>49</v>
      </c>
      <c r="X183" t="s">
        <v>357</v>
      </c>
      <c r="Y183" t="s">
        <v>3212</v>
      </c>
      <c r="Z183" t="s">
        <v>4086</v>
      </c>
      <c r="AA183" t="s">
        <v>2133</v>
      </c>
      <c r="AB183" t="s">
        <v>2120</v>
      </c>
      <c r="AC183" t="s">
        <v>2119</v>
      </c>
      <c r="AD183" t="s">
        <v>2119</v>
      </c>
      <c r="AE183" t="s">
        <v>2120</v>
      </c>
      <c r="AF183" t="s">
        <v>2119</v>
      </c>
      <c r="AG183" t="s">
        <v>2120</v>
      </c>
      <c r="AH183" t="s">
        <v>2120</v>
      </c>
      <c r="AI183" t="s">
        <v>2119</v>
      </c>
      <c r="AJ183" t="s">
        <v>2119</v>
      </c>
      <c r="AK183" t="s">
        <v>2120</v>
      </c>
      <c r="AL183" t="s">
        <v>2120</v>
      </c>
      <c r="AM183" t="s">
        <v>2120</v>
      </c>
      <c r="AN183" t="s">
        <v>2119</v>
      </c>
      <c r="AO183" t="s">
        <v>2119</v>
      </c>
      <c r="AP183" t="s">
        <v>2120</v>
      </c>
      <c r="AQ183" t="s">
        <v>2119</v>
      </c>
    </row>
    <row r="184" spans="2:43" x14ac:dyDescent="0.2">
      <c r="B184" t="s">
        <v>469</v>
      </c>
      <c r="C184" t="s">
        <v>490</v>
      </c>
      <c r="D184">
        <v>0.45833333333333331</v>
      </c>
      <c r="E184" t="s">
        <v>604</v>
      </c>
      <c r="F184" t="s">
        <v>605</v>
      </c>
      <c r="H184">
        <v>56.9</v>
      </c>
      <c r="I184">
        <v>25.1</v>
      </c>
      <c r="J184">
        <v>18</v>
      </c>
      <c r="K184">
        <v>82</v>
      </c>
      <c r="L184">
        <v>43.1</v>
      </c>
      <c r="M184">
        <v>74.900000000000006</v>
      </c>
      <c r="N184">
        <v>49.3</v>
      </c>
      <c r="O184">
        <v>30.9</v>
      </c>
      <c r="P184">
        <v>19.899999999999999</v>
      </c>
      <c r="Q184">
        <v>86.3</v>
      </c>
      <c r="R184">
        <v>94.3</v>
      </c>
      <c r="S184">
        <v>82.4</v>
      </c>
      <c r="T184">
        <v>17.600000000000001</v>
      </c>
      <c r="U184">
        <v>23</v>
      </c>
      <c r="V184">
        <v>77.099999999999994</v>
      </c>
      <c r="W184">
        <v>22.9</v>
      </c>
      <c r="X184" t="s">
        <v>604</v>
      </c>
      <c r="Y184" t="s">
        <v>605</v>
      </c>
      <c r="Z184" t="s">
        <v>4087</v>
      </c>
      <c r="AA184" t="s">
        <v>2743</v>
      </c>
      <c r="AB184" t="s">
        <v>2119</v>
      </c>
      <c r="AC184" t="s">
        <v>2120</v>
      </c>
      <c r="AD184" t="s">
        <v>2119</v>
      </c>
      <c r="AE184" t="s">
        <v>2120</v>
      </c>
      <c r="AF184" t="s">
        <v>2120</v>
      </c>
      <c r="AG184" t="s">
        <v>2119</v>
      </c>
      <c r="AH184" t="s">
        <v>2119</v>
      </c>
      <c r="AI184" t="s">
        <v>2120</v>
      </c>
      <c r="AJ184" t="s">
        <v>2119</v>
      </c>
      <c r="AK184" t="s">
        <v>2119</v>
      </c>
      <c r="AL184" t="s">
        <v>2119</v>
      </c>
      <c r="AM184" t="s">
        <v>2119</v>
      </c>
      <c r="AN184" t="s">
        <v>2120</v>
      </c>
      <c r="AO184" t="s">
        <v>2120</v>
      </c>
      <c r="AP184" t="s">
        <v>2119</v>
      </c>
      <c r="AQ184" t="s">
        <v>2120</v>
      </c>
    </row>
    <row r="185" spans="2:43" x14ac:dyDescent="0.2">
      <c r="B185" t="s">
        <v>469</v>
      </c>
      <c r="C185" t="s">
        <v>490</v>
      </c>
      <c r="D185">
        <v>0.45833333333333331</v>
      </c>
      <c r="E185" t="s">
        <v>606</v>
      </c>
      <c r="F185" t="s">
        <v>607</v>
      </c>
      <c r="H185">
        <v>32.4</v>
      </c>
      <c r="I185">
        <v>25.6</v>
      </c>
      <c r="J185">
        <v>42</v>
      </c>
      <c r="K185">
        <v>58</v>
      </c>
      <c r="L185">
        <v>67.599999999999994</v>
      </c>
      <c r="M185">
        <v>74.400000000000006</v>
      </c>
      <c r="N185">
        <v>32.700000000000003</v>
      </c>
      <c r="O185">
        <v>36.1</v>
      </c>
      <c r="P185">
        <v>31.2</v>
      </c>
      <c r="Q185">
        <v>81.3</v>
      </c>
      <c r="R185">
        <v>89.7</v>
      </c>
      <c r="S185">
        <v>72.400000000000006</v>
      </c>
      <c r="T185">
        <v>27.6</v>
      </c>
      <c r="U185">
        <v>32.9</v>
      </c>
      <c r="V185">
        <v>72.7</v>
      </c>
      <c r="W185">
        <v>27.3</v>
      </c>
      <c r="X185" t="s">
        <v>606</v>
      </c>
      <c r="Y185" t="s">
        <v>1361</v>
      </c>
      <c r="Z185" t="s">
        <v>4088</v>
      </c>
      <c r="AA185" t="s">
        <v>2128</v>
      </c>
      <c r="AB185" t="s">
        <v>2120</v>
      </c>
      <c r="AC185" t="s">
        <v>2119</v>
      </c>
      <c r="AD185" t="s">
        <v>2119</v>
      </c>
      <c r="AE185" t="s">
        <v>2120</v>
      </c>
      <c r="AF185" t="s">
        <v>2119</v>
      </c>
      <c r="AG185" t="s">
        <v>2120</v>
      </c>
      <c r="AH185" t="s">
        <v>2120</v>
      </c>
      <c r="AI185" t="s">
        <v>2119</v>
      </c>
      <c r="AJ185" t="s">
        <v>2119</v>
      </c>
      <c r="AK185" t="s">
        <v>2120</v>
      </c>
      <c r="AL185" t="s">
        <v>2120</v>
      </c>
      <c r="AM185" t="s">
        <v>2119</v>
      </c>
      <c r="AN185" t="s">
        <v>2120</v>
      </c>
      <c r="AO185" t="s">
        <v>2120</v>
      </c>
      <c r="AP185" t="s">
        <v>2119</v>
      </c>
      <c r="AQ185" t="s">
        <v>2120</v>
      </c>
    </row>
    <row r="186" spans="2:43" x14ac:dyDescent="0.2">
      <c r="B186" t="s">
        <v>480</v>
      </c>
      <c r="C186" t="s">
        <v>490</v>
      </c>
      <c r="D186">
        <v>0.45833333333333331</v>
      </c>
      <c r="E186" t="s">
        <v>608</v>
      </c>
      <c r="F186" t="s">
        <v>609</v>
      </c>
      <c r="H186">
        <v>52.8</v>
      </c>
      <c r="I186">
        <v>24.4</v>
      </c>
      <c r="J186">
        <v>22.8</v>
      </c>
      <c r="K186">
        <v>77.2</v>
      </c>
      <c r="L186">
        <v>47.2</v>
      </c>
      <c r="M186">
        <v>75.599999999999994</v>
      </c>
      <c r="N186">
        <v>49.9</v>
      </c>
      <c r="O186">
        <v>33.1</v>
      </c>
      <c r="P186">
        <v>16.899999999999999</v>
      </c>
      <c r="Q186">
        <v>81.7</v>
      </c>
      <c r="R186">
        <v>90.6</v>
      </c>
      <c r="S186">
        <v>74.3</v>
      </c>
      <c r="T186">
        <v>25.7</v>
      </c>
      <c r="U186">
        <v>31.5</v>
      </c>
      <c r="V186">
        <v>72</v>
      </c>
      <c r="W186">
        <v>28</v>
      </c>
      <c r="X186" t="s">
        <v>3349</v>
      </c>
      <c r="Y186" t="s">
        <v>3350</v>
      </c>
      <c r="Z186" t="s">
        <v>4089</v>
      </c>
      <c r="AA186" t="s">
        <v>2160</v>
      </c>
      <c r="AB186" t="s">
        <v>2120</v>
      </c>
      <c r="AC186" t="s">
        <v>2119</v>
      </c>
      <c r="AD186" t="s">
        <v>2119</v>
      </c>
      <c r="AE186" t="s">
        <v>2120</v>
      </c>
      <c r="AF186" t="s">
        <v>2119</v>
      </c>
      <c r="AG186" t="s">
        <v>2120</v>
      </c>
      <c r="AH186" t="s">
        <v>2119</v>
      </c>
      <c r="AI186" t="s">
        <v>2119</v>
      </c>
      <c r="AJ186" t="s">
        <v>2120</v>
      </c>
      <c r="AK186" t="s">
        <v>2120</v>
      </c>
      <c r="AL186" t="s">
        <v>2120</v>
      </c>
      <c r="AM186" t="s">
        <v>2120</v>
      </c>
      <c r="AN186" t="s">
        <v>2119</v>
      </c>
      <c r="AO186" t="s">
        <v>2119</v>
      </c>
      <c r="AP186" t="s">
        <v>2120</v>
      </c>
      <c r="AQ186" t="s">
        <v>2119</v>
      </c>
    </row>
    <row r="187" spans="2:43" x14ac:dyDescent="0.2">
      <c r="B187" t="s">
        <v>569</v>
      </c>
      <c r="C187" t="s">
        <v>490</v>
      </c>
      <c r="D187">
        <v>0.45833333333333331</v>
      </c>
      <c r="E187" t="s">
        <v>610</v>
      </c>
      <c r="F187" t="s">
        <v>611</v>
      </c>
      <c r="H187">
        <v>60.9</v>
      </c>
      <c r="I187">
        <v>23.4</v>
      </c>
      <c r="J187">
        <v>15.7</v>
      </c>
      <c r="K187">
        <v>84.3</v>
      </c>
      <c r="L187">
        <v>39.1</v>
      </c>
      <c r="M187">
        <v>76.599999999999994</v>
      </c>
      <c r="N187">
        <v>41.7</v>
      </c>
      <c r="O187">
        <v>39</v>
      </c>
      <c r="P187">
        <v>19.3</v>
      </c>
      <c r="Q187">
        <v>74.599999999999994</v>
      </c>
      <c r="R187">
        <v>82.7</v>
      </c>
      <c r="S187">
        <v>60.3</v>
      </c>
      <c r="T187">
        <v>39.700000000000003</v>
      </c>
      <c r="U187">
        <v>47.7</v>
      </c>
      <c r="V187">
        <v>56.8</v>
      </c>
      <c r="W187">
        <v>43.2</v>
      </c>
      <c r="X187" t="s">
        <v>3390</v>
      </c>
      <c r="Y187" t="s">
        <v>3391</v>
      </c>
      <c r="Z187" t="s">
        <v>4090</v>
      </c>
      <c r="AA187" t="s">
        <v>459</v>
      </c>
      <c r="AB187" t="s">
        <v>2119</v>
      </c>
      <c r="AC187" t="s">
        <v>2120</v>
      </c>
      <c r="AD187" t="s">
        <v>2119</v>
      </c>
      <c r="AE187" t="s">
        <v>2120</v>
      </c>
      <c r="AF187" t="s">
        <v>2120</v>
      </c>
      <c r="AG187" t="s">
        <v>2119</v>
      </c>
      <c r="AH187" t="s">
        <v>2119</v>
      </c>
      <c r="AI187" t="s">
        <v>2119</v>
      </c>
      <c r="AJ187" t="s">
        <v>2120</v>
      </c>
      <c r="AK187" t="s">
        <v>2120</v>
      </c>
      <c r="AL187" t="s">
        <v>2120</v>
      </c>
      <c r="AM187" t="s">
        <v>2119</v>
      </c>
      <c r="AN187" t="s">
        <v>2120</v>
      </c>
      <c r="AO187" t="s">
        <v>2120</v>
      </c>
      <c r="AP187" t="s">
        <v>2120</v>
      </c>
      <c r="AQ187" t="s">
        <v>2119</v>
      </c>
    </row>
    <row r="188" spans="2:43" x14ac:dyDescent="0.2">
      <c r="B188" t="s">
        <v>450</v>
      </c>
      <c r="C188" t="s">
        <v>490</v>
      </c>
      <c r="D188">
        <v>0.45833333333333331</v>
      </c>
      <c r="E188" t="s">
        <v>248</v>
      </c>
      <c r="F188" t="s">
        <v>612</v>
      </c>
      <c r="H188">
        <v>62</v>
      </c>
      <c r="I188">
        <v>23.3</v>
      </c>
      <c r="J188">
        <v>14.7</v>
      </c>
      <c r="K188">
        <v>85.3</v>
      </c>
      <c r="L188">
        <v>38</v>
      </c>
      <c r="M188">
        <v>76.7</v>
      </c>
      <c r="N188">
        <v>46.9</v>
      </c>
      <c r="O188">
        <v>39.6</v>
      </c>
      <c r="P188">
        <v>13.6</v>
      </c>
      <c r="Q188">
        <v>71.2</v>
      </c>
      <c r="R188">
        <v>81.3</v>
      </c>
      <c r="S188">
        <v>58.1</v>
      </c>
      <c r="T188">
        <v>41.9</v>
      </c>
      <c r="U188">
        <v>50.1</v>
      </c>
      <c r="V188">
        <v>54.2</v>
      </c>
      <c r="W188">
        <v>45.8</v>
      </c>
      <c r="X188" t="s">
        <v>282</v>
      </c>
      <c r="Y188" t="s">
        <v>3396</v>
      </c>
      <c r="Z188" t="s">
        <v>4091</v>
      </c>
      <c r="AA188" t="s">
        <v>462</v>
      </c>
      <c r="AB188" t="s">
        <v>2120</v>
      </c>
      <c r="AC188" t="s">
        <v>2119</v>
      </c>
      <c r="AD188" t="s">
        <v>2119</v>
      </c>
      <c r="AE188" t="s">
        <v>2120</v>
      </c>
      <c r="AF188" t="s">
        <v>2119</v>
      </c>
      <c r="AG188" t="s">
        <v>2120</v>
      </c>
      <c r="AH188" t="s">
        <v>2119</v>
      </c>
      <c r="AI188" t="s">
        <v>2120</v>
      </c>
      <c r="AJ188" t="s">
        <v>2119</v>
      </c>
      <c r="AK188" t="s">
        <v>2120</v>
      </c>
      <c r="AL188" t="s">
        <v>2120</v>
      </c>
      <c r="AM188" t="s">
        <v>2120</v>
      </c>
      <c r="AN188" t="s">
        <v>2119</v>
      </c>
      <c r="AO188" t="s">
        <v>2120</v>
      </c>
      <c r="AP188" t="s">
        <v>2120</v>
      </c>
      <c r="AQ188" t="s">
        <v>2119</v>
      </c>
    </row>
    <row r="189" spans="2:43" x14ac:dyDescent="0.2">
      <c r="B189" t="s">
        <v>465</v>
      </c>
      <c r="C189" t="s">
        <v>490</v>
      </c>
      <c r="D189">
        <v>0.45833333333333331</v>
      </c>
      <c r="E189" t="s">
        <v>613</v>
      </c>
      <c r="F189" t="s">
        <v>614</v>
      </c>
      <c r="H189">
        <v>49.6</v>
      </c>
      <c r="I189">
        <v>26.5</v>
      </c>
      <c r="J189">
        <v>23.9</v>
      </c>
      <c r="K189">
        <v>76.099999999999994</v>
      </c>
      <c r="L189">
        <v>50.4</v>
      </c>
      <c r="M189">
        <v>73.5</v>
      </c>
      <c r="N189">
        <v>25.9</v>
      </c>
      <c r="O189">
        <v>45.5</v>
      </c>
      <c r="P189">
        <v>28.6</v>
      </c>
      <c r="Q189">
        <v>66.7</v>
      </c>
      <c r="R189">
        <v>79.2</v>
      </c>
      <c r="S189">
        <v>54.8</v>
      </c>
      <c r="T189">
        <v>45.2</v>
      </c>
      <c r="U189">
        <v>51.6</v>
      </c>
      <c r="V189">
        <v>57.3</v>
      </c>
      <c r="W189">
        <v>42.7</v>
      </c>
      <c r="X189" t="s">
        <v>613</v>
      </c>
      <c r="Y189" t="s">
        <v>614</v>
      </c>
      <c r="Z189" t="s">
        <v>4092</v>
      </c>
      <c r="AA189" t="s">
        <v>460</v>
      </c>
      <c r="AB189" t="s">
        <v>2119</v>
      </c>
      <c r="AC189" t="s">
        <v>2119</v>
      </c>
      <c r="AD189" t="s">
        <v>2120</v>
      </c>
      <c r="AE189" t="s">
        <v>2119</v>
      </c>
      <c r="AF189" t="s">
        <v>2120</v>
      </c>
      <c r="AG189" t="s">
        <v>2120</v>
      </c>
      <c r="AH189" t="s">
        <v>2119</v>
      </c>
      <c r="AI189" t="s">
        <v>2120</v>
      </c>
      <c r="AJ189" t="s">
        <v>2119</v>
      </c>
      <c r="AK189" t="s">
        <v>2120</v>
      </c>
      <c r="AL189" t="s">
        <v>2120</v>
      </c>
      <c r="AM189" t="s">
        <v>2120</v>
      </c>
      <c r="AN189" t="s">
        <v>2119</v>
      </c>
      <c r="AO189" t="s">
        <v>2120</v>
      </c>
      <c r="AP189" t="s">
        <v>2120</v>
      </c>
      <c r="AQ189" t="s">
        <v>2119</v>
      </c>
    </row>
    <row r="190" spans="2:43" x14ac:dyDescent="0.2">
      <c r="B190" t="s">
        <v>584</v>
      </c>
      <c r="C190" t="s">
        <v>490</v>
      </c>
      <c r="D190">
        <v>0.5</v>
      </c>
      <c r="E190" t="s">
        <v>615</v>
      </c>
      <c r="F190" t="s">
        <v>616</v>
      </c>
      <c r="H190">
        <v>46.8</v>
      </c>
      <c r="I190">
        <v>28</v>
      </c>
      <c r="J190">
        <v>25.2</v>
      </c>
      <c r="K190">
        <v>74.8</v>
      </c>
      <c r="L190">
        <v>53.2</v>
      </c>
      <c r="M190">
        <v>72</v>
      </c>
      <c r="N190">
        <v>37.9</v>
      </c>
      <c r="O190">
        <v>48.5</v>
      </c>
      <c r="P190">
        <v>13.6</v>
      </c>
      <c r="Q190">
        <v>59.7</v>
      </c>
      <c r="R190">
        <v>74.8</v>
      </c>
      <c r="S190">
        <v>48.7</v>
      </c>
      <c r="T190">
        <v>51.3</v>
      </c>
      <c r="U190">
        <v>57.4</v>
      </c>
      <c r="V190">
        <v>53.1</v>
      </c>
      <c r="W190">
        <v>46.9</v>
      </c>
      <c r="X190" t="s">
        <v>3386</v>
      </c>
      <c r="Y190" t="s">
        <v>3387</v>
      </c>
      <c r="Z190" t="s">
        <v>4093</v>
      </c>
      <c r="AA190" t="s">
        <v>462</v>
      </c>
      <c r="AB190" t="s">
        <v>2120</v>
      </c>
      <c r="AC190" t="s">
        <v>2119</v>
      </c>
      <c r="AD190" t="s">
        <v>2119</v>
      </c>
      <c r="AE190" t="s">
        <v>2120</v>
      </c>
      <c r="AF190" t="s">
        <v>2119</v>
      </c>
      <c r="AG190" t="s">
        <v>2120</v>
      </c>
      <c r="AH190" t="s">
        <v>2120</v>
      </c>
      <c r="AI190" t="s">
        <v>2119</v>
      </c>
      <c r="AJ190" t="s">
        <v>2119</v>
      </c>
      <c r="AK190" t="s">
        <v>2120</v>
      </c>
      <c r="AL190" t="s">
        <v>2120</v>
      </c>
      <c r="AM190" t="s">
        <v>2120</v>
      </c>
      <c r="AN190" t="s">
        <v>2119</v>
      </c>
      <c r="AO190" t="s">
        <v>2120</v>
      </c>
      <c r="AP190" t="s">
        <v>2120</v>
      </c>
      <c r="AQ190" t="s">
        <v>2119</v>
      </c>
    </row>
    <row r="191" spans="2:43" x14ac:dyDescent="0.2">
      <c r="B191" t="s">
        <v>448</v>
      </c>
      <c r="C191" t="s">
        <v>490</v>
      </c>
      <c r="D191">
        <v>0.5</v>
      </c>
      <c r="E191" t="s">
        <v>617</v>
      </c>
      <c r="F191" t="s">
        <v>618</v>
      </c>
      <c r="H191">
        <v>44.8</v>
      </c>
      <c r="I191">
        <v>30</v>
      </c>
      <c r="J191">
        <v>25.3</v>
      </c>
      <c r="K191">
        <v>74.7</v>
      </c>
      <c r="L191">
        <v>55.2</v>
      </c>
      <c r="M191">
        <v>70</v>
      </c>
      <c r="N191">
        <v>26.8</v>
      </c>
      <c r="O191">
        <v>50.8</v>
      </c>
      <c r="P191">
        <v>22.5</v>
      </c>
      <c r="Q191">
        <v>58.7</v>
      </c>
      <c r="R191">
        <v>68.599999999999994</v>
      </c>
      <c r="S191">
        <v>40.9</v>
      </c>
      <c r="T191">
        <v>59.1</v>
      </c>
      <c r="U191">
        <v>64.7</v>
      </c>
      <c r="V191">
        <v>47.2</v>
      </c>
      <c r="W191">
        <v>52.8</v>
      </c>
      <c r="X191" t="s">
        <v>3217</v>
      </c>
      <c r="Y191" t="s">
        <v>618</v>
      </c>
      <c r="Z191" t="s">
        <v>4094</v>
      </c>
      <c r="AA191" t="s">
        <v>459</v>
      </c>
      <c r="AB191" t="s">
        <v>2119</v>
      </c>
      <c r="AC191" t="s">
        <v>2120</v>
      </c>
      <c r="AD191" t="s">
        <v>2119</v>
      </c>
      <c r="AE191" t="s">
        <v>2120</v>
      </c>
      <c r="AF191" t="s">
        <v>2120</v>
      </c>
      <c r="AG191" t="s">
        <v>2119</v>
      </c>
      <c r="AH191" t="s">
        <v>2119</v>
      </c>
      <c r="AI191" t="s">
        <v>2119</v>
      </c>
      <c r="AJ191" t="s">
        <v>2120</v>
      </c>
      <c r="AK191" t="s">
        <v>2120</v>
      </c>
      <c r="AL191" t="s">
        <v>2120</v>
      </c>
      <c r="AM191" t="s">
        <v>2119</v>
      </c>
      <c r="AN191" t="s">
        <v>2120</v>
      </c>
      <c r="AO191" t="s">
        <v>2120</v>
      </c>
      <c r="AP191" t="s">
        <v>2120</v>
      </c>
      <c r="AQ191" t="s">
        <v>2119</v>
      </c>
    </row>
    <row r="192" spans="2:43" x14ac:dyDescent="0.2">
      <c r="B192" t="s">
        <v>569</v>
      </c>
      <c r="C192" t="s">
        <v>490</v>
      </c>
      <c r="D192">
        <v>0.5</v>
      </c>
      <c r="E192" t="s">
        <v>619</v>
      </c>
      <c r="F192" t="s">
        <v>620</v>
      </c>
      <c r="H192">
        <v>22.5</v>
      </c>
      <c r="I192">
        <v>26.1</v>
      </c>
      <c r="J192">
        <v>51.5</v>
      </c>
      <c r="K192">
        <v>48.5</v>
      </c>
      <c r="L192">
        <v>77.5</v>
      </c>
      <c r="M192">
        <v>73.900000000000006</v>
      </c>
      <c r="N192">
        <v>22</v>
      </c>
      <c r="O192">
        <v>46.8</v>
      </c>
      <c r="P192">
        <v>31.1</v>
      </c>
      <c r="Q192">
        <v>64.5</v>
      </c>
      <c r="R192">
        <v>84</v>
      </c>
      <c r="S192">
        <v>62.3</v>
      </c>
      <c r="T192">
        <v>37.700000000000003</v>
      </c>
      <c r="U192">
        <v>44.2</v>
      </c>
      <c r="V192">
        <v>62.6</v>
      </c>
      <c r="W192">
        <v>37.4</v>
      </c>
      <c r="X192" t="s">
        <v>3392</v>
      </c>
      <c r="Y192" t="s">
        <v>620</v>
      </c>
      <c r="Z192" t="s">
        <v>4095</v>
      </c>
      <c r="AA192" t="s">
        <v>460</v>
      </c>
      <c r="AB192" t="s">
        <v>2119</v>
      </c>
      <c r="AC192" t="s">
        <v>2119</v>
      </c>
      <c r="AD192" t="s">
        <v>2120</v>
      </c>
      <c r="AE192" t="s">
        <v>2119</v>
      </c>
      <c r="AF192" t="s">
        <v>2120</v>
      </c>
      <c r="AG192" t="s">
        <v>2120</v>
      </c>
      <c r="AH192" t="s">
        <v>2119</v>
      </c>
      <c r="AI192" t="s">
        <v>2120</v>
      </c>
      <c r="AJ192" t="s">
        <v>2119</v>
      </c>
      <c r="AK192" t="s">
        <v>2119</v>
      </c>
      <c r="AL192" t="s">
        <v>2120</v>
      </c>
      <c r="AM192" t="s">
        <v>2120</v>
      </c>
      <c r="AN192" t="s">
        <v>2119</v>
      </c>
      <c r="AO192" t="s">
        <v>2120</v>
      </c>
      <c r="AP192" t="s">
        <v>2120</v>
      </c>
      <c r="AQ192" t="s">
        <v>2119</v>
      </c>
    </row>
    <row r="193" spans="2:43" x14ac:dyDescent="0.2">
      <c r="B193" t="s">
        <v>450</v>
      </c>
      <c r="C193" t="s">
        <v>490</v>
      </c>
      <c r="D193">
        <v>0.5</v>
      </c>
      <c r="E193" t="s">
        <v>621</v>
      </c>
      <c r="F193" t="s">
        <v>622</v>
      </c>
      <c r="H193">
        <v>71.900000000000006</v>
      </c>
      <c r="I193">
        <v>20.399999999999999</v>
      </c>
      <c r="J193">
        <v>7.6</v>
      </c>
      <c r="K193">
        <v>92.4</v>
      </c>
      <c r="L193">
        <v>28.1</v>
      </c>
      <c r="M193">
        <v>79.599999999999994</v>
      </c>
      <c r="N193">
        <v>50.7</v>
      </c>
      <c r="O193">
        <v>39.1</v>
      </c>
      <c r="P193">
        <v>10.199999999999999</v>
      </c>
      <c r="Q193">
        <v>69.8</v>
      </c>
      <c r="R193">
        <v>75.900000000000006</v>
      </c>
      <c r="S193">
        <v>50.7</v>
      </c>
      <c r="T193">
        <v>49.3</v>
      </c>
      <c r="U193">
        <v>60.8</v>
      </c>
      <c r="V193">
        <v>39</v>
      </c>
      <c r="W193">
        <v>61</v>
      </c>
      <c r="X193" t="s">
        <v>621</v>
      </c>
      <c r="Y193" t="s">
        <v>3397</v>
      </c>
      <c r="Z193" t="s">
        <v>4096</v>
      </c>
      <c r="AA193" t="s">
        <v>2128</v>
      </c>
      <c r="AB193" t="s">
        <v>2120</v>
      </c>
      <c r="AC193" t="s">
        <v>2119</v>
      </c>
      <c r="AD193" t="s">
        <v>2119</v>
      </c>
      <c r="AE193" t="s">
        <v>2120</v>
      </c>
      <c r="AF193" t="s">
        <v>2119</v>
      </c>
      <c r="AG193" t="s">
        <v>2120</v>
      </c>
      <c r="AH193" t="s">
        <v>2120</v>
      </c>
      <c r="AI193" t="s">
        <v>2119</v>
      </c>
      <c r="AJ193" t="s">
        <v>2119</v>
      </c>
      <c r="AK193" t="s">
        <v>2120</v>
      </c>
      <c r="AL193" t="s">
        <v>2120</v>
      </c>
      <c r="AM193" t="s">
        <v>2119</v>
      </c>
      <c r="AN193" t="s">
        <v>2120</v>
      </c>
      <c r="AO193" t="s">
        <v>2120</v>
      </c>
      <c r="AP193" t="s">
        <v>2119</v>
      </c>
      <c r="AQ193" t="s">
        <v>2120</v>
      </c>
    </row>
    <row r="194" spans="2:43" x14ac:dyDescent="0.2">
      <c r="B194" t="s">
        <v>486</v>
      </c>
      <c r="C194" t="s">
        <v>490</v>
      </c>
      <c r="D194">
        <v>0.5</v>
      </c>
      <c r="E194" t="s">
        <v>623</v>
      </c>
      <c r="F194" t="s">
        <v>624</v>
      </c>
      <c r="H194">
        <v>43.4</v>
      </c>
      <c r="I194">
        <v>29.3</v>
      </c>
      <c r="J194">
        <v>27.3</v>
      </c>
      <c r="K194">
        <v>72.7</v>
      </c>
      <c r="L194">
        <v>56.6</v>
      </c>
      <c r="M194">
        <v>70.7</v>
      </c>
      <c r="N194">
        <v>30.1</v>
      </c>
      <c r="O194">
        <v>44</v>
      </c>
      <c r="P194">
        <v>25.9</v>
      </c>
      <c r="Q194">
        <v>68.900000000000006</v>
      </c>
      <c r="R194">
        <v>72</v>
      </c>
      <c r="S194">
        <v>44.9</v>
      </c>
      <c r="T194">
        <v>55.1</v>
      </c>
      <c r="U194">
        <v>60.7</v>
      </c>
      <c r="V194">
        <v>50.8</v>
      </c>
      <c r="W194">
        <v>49.2</v>
      </c>
      <c r="X194" t="s">
        <v>623</v>
      </c>
      <c r="Y194" t="s">
        <v>1320</v>
      </c>
      <c r="Z194" t="s">
        <v>4097</v>
      </c>
      <c r="AA194" t="s">
        <v>2743</v>
      </c>
      <c r="AB194" t="s">
        <v>2119</v>
      </c>
      <c r="AC194" t="s">
        <v>2120</v>
      </c>
      <c r="AD194" t="s">
        <v>2119</v>
      </c>
      <c r="AE194" t="s">
        <v>2120</v>
      </c>
      <c r="AF194" t="s">
        <v>2120</v>
      </c>
      <c r="AG194" t="s">
        <v>2119</v>
      </c>
      <c r="AH194" t="s">
        <v>2119</v>
      </c>
      <c r="AI194" t="s">
        <v>2120</v>
      </c>
      <c r="AJ194" t="s">
        <v>2119</v>
      </c>
      <c r="AK194" t="s">
        <v>2119</v>
      </c>
      <c r="AL194" t="s">
        <v>2119</v>
      </c>
      <c r="AM194" t="s">
        <v>2119</v>
      </c>
      <c r="AN194" t="s">
        <v>2120</v>
      </c>
      <c r="AO194" t="s">
        <v>2120</v>
      </c>
      <c r="AP194" t="s">
        <v>2119</v>
      </c>
      <c r="AQ194" t="s">
        <v>2120</v>
      </c>
    </row>
    <row r="195" spans="2:43" x14ac:dyDescent="0.2">
      <c r="B195" t="s">
        <v>476</v>
      </c>
      <c r="C195" t="s">
        <v>490</v>
      </c>
      <c r="D195">
        <v>0.52083333333333337</v>
      </c>
      <c r="E195" t="s">
        <v>256</v>
      </c>
      <c r="F195" t="s">
        <v>625</v>
      </c>
      <c r="H195">
        <v>36.6</v>
      </c>
      <c r="I195">
        <v>29.1</v>
      </c>
      <c r="J195">
        <v>34.299999999999997</v>
      </c>
      <c r="K195">
        <v>65.7</v>
      </c>
      <c r="L195">
        <v>63.4</v>
      </c>
      <c r="M195">
        <v>70.900000000000006</v>
      </c>
      <c r="N195">
        <v>31.9</v>
      </c>
      <c r="O195">
        <v>42.8</v>
      </c>
      <c r="P195">
        <v>25.3</v>
      </c>
      <c r="Q195">
        <v>70.599999999999994</v>
      </c>
      <c r="R195">
        <v>75.099999999999994</v>
      </c>
      <c r="S195">
        <v>49</v>
      </c>
      <c r="T195">
        <v>51</v>
      </c>
      <c r="U195">
        <v>56.5</v>
      </c>
      <c r="V195">
        <v>54.9</v>
      </c>
      <c r="W195">
        <v>45.1</v>
      </c>
      <c r="X195" t="s">
        <v>341</v>
      </c>
      <c r="Y195" t="s">
        <v>355</v>
      </c>
      <c r="Z195" t="s">
        <v>4098</v>
      </c>
      <c r="AA195" t="s">
        <v>462</v>
      </c>
      <c r="AB195" t="s">
        <v>2120</v>
      </c>
      <c r="AC195" t="s">
        <v>2119</v>
      </c>
      <c r="AD195" t="s">
        <v>2119</v>
      </c>
      <c r="AE195" t="s">
        <v>2120</v>
      </c>
      <c r="AF195" t="s">
        <v>2119</v>
      </c>
      <c r="AG195" t="s">
        <v>2120</v>
      </c>
      <c r="AH195" t="s">
        <v>2119</v>
      </c>
      <c r="AI195" t="s">
        <v>2120</v>
      </c>
      <c r="AJ195" t="s">
        <v>2119</v>
      </c>
      <c r="AK195" t="s">
        <v>2120</v>
      </c>
      <c r="AL195" t="s">
        <v>2120</v>
      </c>
      <c r="AM195" t="s">
        <v>2120</v>
      </c>
      <c r="AN195" t="s">
        <v>2119</v>
      </c>
      <c r="AO195" t="s">
        <v>2120</v>
      </c>
      <c r="AP195" t="s">
        <v>2120</v>
      </c>
      <c r="AQ195" t="s">
        <v>2119</v>
      </c>
    </row>
    <row r="196" spans="2:43" x14ac:dyDescent="0.2">
      <c r="B196" t="s">
        <v>626</v>
      </c>
      <c r="C196" t="s">
        <v>490</v>
      </c>
      <c r="D196">
        <v>0.54166666666666663</v>
      </c>
      <c r="E196" t="s">
        <v>627</v>
      </c>
      <c r="F196" t="s">
        <v>628</v>
      </c>
      <c r="H196">
        <v>35.700000000000003</v>
      </c>
      <c r="I196">
        <v>25.6</v>
      </c>
      <c r="J196">
        <v>38.700000000000003</v>
      </c>
      <c r="K196">
        <v>61.3</v>
      </c>
      <c r="L196">
        <v>64.3</v>
      </c>
      <c r="M196">
        <v>74.400000000000006</v>
      </c>
      <c r="N196">
        <v>38.5</v>
      </c>
      <c r="O196">
        <v>32.4</v>
      </c>
      <c r="P196">
        <v>29.1</v>
      </c>
      <c r="Q196">
        <v>86.6</v>
      </c>
      <c r="R196">
        <v>93.3</v>
      </c>
      <c r="S196">
        <v>80</v>
      </c>
      <c r="T196">
        <v>20</v>
      </c>
      <c r="U196">
        <v>24.6</v>
      </c>
      <c r="V196">
        <v>79</v>
      </c>
      <c r="W196">
        <v>21</v>
      </c>
      <c r="X196" t="s">
        <v>3208</v>
      </c>
      <c r="Y196" t="s">
        <v>1672</v>
      </c>
      <c r="Z196" t="s">
        <v>4099</v>
      </c>
      <c r="AA196" t="s">
        <v>4100</v>
      </c>
      <c r="AB196" t="s">
        <v>2119</v>
      </c>
      <c r="AC196" t="s">
        <v>2119</v>
      </c>
      <c r="AD196" t="s">
        <v>2120</v>
      </c>
      <c r="AE196" t="s">
        <v>2119</v>
      </c>
      <c r="AF196" t="s">
        <v>2120</v>
      </c>
      <c r="AG196" t="s">
        <v>2120</v>
      </c>
      <c r="AH196" t="s">
        <v>2119</v>
      </c>
      <c r="AI196" t="s">
        <v>2119</v>
      </c>
      <c r="AJ196" t="s">
        <v>2120</v>
      </c>
      <c r="AK196" t="s">
        <v>2120</v>
      </c>
      <c r="AL196" t="s">
        <v>2120</v>
      </c>
      <c r="AM196" t="s">
        <v>2120</v>
      </c>
      <c r="AN196" t="s">
        <v>2119</v>
      </c>
      <c r="AO196" t="s">
        <v>2119</v>
      </c>
      <c r="AP196" t="s">
        <v>2119</v>
      </c>
      <c r="AQ196" t="s">
        <v>2120</v>
      </c>
    </row>
    <row r="197" spans="2:43" x14ac:dyDescent="0.2">
      <c r="B197" t="s">
        <v>478</v>
      </c>
      <c r="C197" t="s">
        <v>490</v>
      </c>
      <c r="D197">
        <v>0.54166666666666663</v>
      </c>
      <c r="E197" t="s">
        <v>629</v>
      </c>
      <c r="F197" t="s">
        <v>630</v>
      </c>
      <c r="H197">
        <v>46.4</v>
      </c>
      <c r="I197">
        <v>25.8</v>
      </c>
      <c r="J197">
        <v>27.8</v>
      </c>
      <c r="K197">
        <v>72.2</v>
      </c>
      <c r="L197">
        <v>53.6</v>
      </c>
      <c r="M197">
        <v>74.2</v>
      </c>
      <c r="N197">
        <v>35.4</v>
      </c>
      <c r="O197">
        <v>40.4</v>
      </c>
      <c r="P197">
        <v>24.2</v>
      </c>
      <c r="Q197">
        <v>74.099999999999994</v>
      </c>
      <c r="R197">
        <v>84.5</v>
      </c>
      <c r="S197">
        <v>63</v>
      </c>
      <c r="T197">
        <v>37</v>
      </c>
      <c r="U197">
        <v>42.9</v>
      </c>
      <c r="V197">
        <v>64.7</v>
      </c>
      <c r="W197">
        <v>35.299999999999997</v>
      </c>
      <c r="X197" t="s">
        <v>3364</v>
      </c>
      <c r="Y197" t="s">
        <v>3365</v>
      </c>
      <c r="Z197" t="s">
        <v>4101</v>
      </c>
      <c r="AA197" t="s">
        <v>447</v>
      </c>
      <c r="AB197" t="s">
        <v>2119</v>
      </c>
      <c r="AC197" t="s">
        <v>2120</v>
      </c>
      <c r="AD197" t="s">
        <v>2119</v>
      </c>
      <c r="AE197" t="s">
        <v>2120</v>
      </c>
      <c r="AF197" t="s">
        <v>2120</v>
      </c>
      <c r="AG197" t="s">
        <v>2119</v>
      </c>
      <c r="AH197" t="s">
        <v>2119</v>
      </c>
      <c r="AI197" t="s">
        <v>2120</v>
      </c>
      <c r="AJ197" t="s">
        <v>2119</v>
      </c>
      <c r="AK197" t="s">
        <v>2119</v>
      </c>
      <c r="AL197" t="s">
        <v>2119</v>
      </c>
      <c r="AM197" t="s">
        <v>2119</v>
      </c>
      <c r="AN197" t="s">
        <v>2120</v>
      </c>
      <c r="AO197" t="s">
        <v>2120</v>
      </c>
      <c r="AP197" t="s">
        <v>2119</v>
      </c>
      <c r="AQ197" t="s">
        <v>2120</v>
      </c>
    </row>
    <row r="198" spans="2:43" x14ac:dyDescent="0.2">
      <c r="B198" t="s">
        <v>480</v>
      </c>
      <c r="C198" t="s">
        <v>490</v>
      </c>
      <c r="D198">
        <v>0.54166666666666663</v>
      </c>
      <c r="E198" t="s">
        <v>631</v>
      </c>
      <c r="F198" t="s">
        <v>632</v>
      </c>
      <c r="H198">
        <v>49.8</v>
      </c>
      <c r="I198">
        <v>25.1</v>
      </c>
      <c r="J198">
        <v>25.1</v>
      </c>
      <c r="K198">
        <v>74.900000000000006</v>
      </c>
      <c r="L198">
        <v>50.2</v>
      </c>
      <c r="M198">
        <v>74.900000000000006</v>
      </c>
      <c r="N198">
        <v>35.700000000000003</v>
      </c>
      <c r="O198">
        <v>39.700000000000003</v>
      </c>
      <c r="P198">
        <v>24.6</v>
      </c>
      <c r="Q198">
        <v>75.099999999999994</v>
      </c>
      <c r="R198">
        <v>86</v>
      </c>
      <c r="S198">
        <v>65.599999999999994</v>
      </c>
      <c r="T198">
        <v>34.4</v>
      </c>
      <c r="U198">
        <v>40.5</v>
      </c>
      <c r="V198">
        <v>65.900000000000006</v>
      </c>
      <c r="W198">
        <v>34.1</v>
      </c>
      <c r="X198" t="s">
        <v>631</v>
      </c>
      <c r="Y198" t="s">
        <v>632</v>
      </c>
      <c r="Z198" t="s">
        <v>4102</v>
      </c>
      <c r="AA198" t="s">
        <v>456</v>
      </c>
      <c r="AB198" t="s">
        <v>2119</v>
      </c>
      <c r="AC198" t="s">
        <v>2119</v>
      </c>
      <c r="AD198" t="s">
        <v>2120</v>
      </c>
      <c r="AE198" t="s">
        <v>2119</v>
      </c>
      <c r="AF198" t="s">
        <v>2120</v>
      </c>
      <c r="AG198" t="s">
        <v>2120</v>
      </c>
      <c r="AH198" t="s">
        <v>2119</v>
      </c>
      <c r="AI198" t="s">
        <v>2120</v>
      </c>
      <c r="AJ198" t="s">
        <v>2119</v>
      </c>
      <c r="AK198" t="s">
        <v>2119</v>
      </c>
      <c r="AL198" t="s">
        <v>2119</v>
      </c>
      <c r="AM198" t="s">
        <v>2119</v>
      </c>
      <c r="AN198" t="s">
        <v>2120</v>
      </c>
      <c r="AO198" t="s">
        <v>2120</v>
      </c>
      <c r="AP198" t="s">
        <v>2119</v>
      </c>
      <c r="AQ198" t="s">
        <v>2120</v>
      </c>
    </row>
    <row r="199" spans="2:43" x14ac:dyDescent="0.2">
      <c r="B199" t="s">
        <v>480</v>
      </c>
      <c r="C199" t="s">
        <v>490</v>
      </c>
      <c r="D199">
        <v>0.54166666666666663</v>
      </c>
      <c r="E199" t="s">
        <v>633</v>
      </c>
      <c r="F199" t="s">
        <v>634</v>
      </c>
      <c r="H199">
        <v>49</v>
      </c>
      <c r="I199">
        <v>26.6</v>
      </c>
      <c r="J199">
        <v>24.4</v>
      </c>
      <c r="K199">
        <v>75.599999999999994</v>
      </c>
      <c r="L199">
        <v>51</v>
      </c>
      <c r="M199">
        <v>73.400000000000006</v>
      </c>
      <c r="N199">
        <v>49.6</v>
      </c>
      <c r="O199">
        <v>27.9</v>
      </c>
      <c r="P199">
        <v>22.5</v>
      </c>
      <c r="Q199">
        <v>91.3</v>
      </c>
      <c r="R199">
        <v>95.8</v>
      </c>
      <c r="S199">
        <v>86.2</v>
      </c>
      <c r="T199">
        <v>13.8</v>
      </c>
      <c r="U199">
        <v>17.899999999999999</v>
      </c>
      <c r="V199">
        <v>82.8</v>
      </c>
      <c r="W199">
        <v>17.2</v>
      </c>
      <c r="X199" t="s">
        <v>3352</v>
      </c>
      <c r="Y199" t="s">
        <v>634</v>
      </c>
      <c r="Z199" t="s">
        <v>4103</v>
      </c>
      <c r="AA199" t="s">
        <v>459</v>
      </c>
      <c r="AB199" t="s">
        <v>2119</v>
      </c>
      <c r="AC199" t="s">
        <v>2120</v>
      </c>
      <c r="AD199" t="s">
        <v>2119</v>
      </c>
      <c r="AE199" t="s">
        <v>2120</v>
      </c>
      <c r="AF199" t="s">
        <v>2120</v>
      </c>
      <c r="AG199" t="s">
        <v>2119</v>
      </c>
      <c r="AH199" t="s">
        <v>2119</v>
      </c>
      <c r="AI199" t="s">
        <v>2120</v>
      </c>
      <c r="AJ199" t="s">
        <v>2119</v>
      </c>
      <c r="AK199" t="s">
        <v>2119</v>
      </c>
      <c r="AL199" t="s">
        <v>2120</v>
      </c>
      <c r="AM199" t="s">
        <v>2119</v>
      </c>
      <c r="AN199" t="s">
        <v>2120</v>
      </c>
      <c r="AO199" t="s">
        <v>2120</v>
      </c>
      <c r="AP199" t="s">
        <v>2120</v>
      </c>
      <c r="AQ199" t="s">
        <v>2119</v>
      </c>
    </row>
    <row r="200" spans="2:43" x14ac:dyDescent="0.2">
      <c r="B200" t="s">
        <v>475</v>
      </c>
      <c r="C200" t="s">
        <v>490</v>
      </c>
      <c r="D200">
        <v>0.54166666666666663</v>
      </c>
      <c r="E200" t="s">
        <v>635</v>
      </c>
      <c r="F200" t="s">
        <v>249</v>
      </c>
      <c r="H200">
        <v>48.1</v>
      </c>
      <c r="I200">
        <v>28.2</v>
      </c>
      <c r="J200">
        <v>23.7</v>
      </c>
      <c r="K200">
        <v>76.3</v>
      </c>
      <c r="L200">
        <v>51.9</v>
      </c>
      <c r="M200">
        <v>71.8</v>
      </c>
      <c r="N200">
        <v>36</v>
      </c>
      <c r="O200">
        <v>45.3</v>
      </c>
      <c r="P200">
        <v>18.7</v>
      </c>
      <c r="Q200">
        <v>65.599999999999994</v>
      </c>
      <c r="R200">
        <v>73</v>
      </c>
      <c r="S200">
        <v>46.3</v>
      </c>
      <c r="T200">
        <v>53.7</v>
      </c>
      <c r="U200">
        <v>59.8</v>
      </c>
      <c r="V200">
        <v>50.8</v>
      </c>
      <c r="W200">
        <v>49.2</v>
      </c>
      <c r="X200" t="s">
        <v>369</v>
      </c>
      <c r="Y200" t="s">
        <v>283</v>
      </c>
      <c r="Z200" t="s">
        <v>4104</v>
      </c>
      <c r="AA200" t="s">
        <v>2743</v>
      </c>
      <c r="AB200" t="s">
        <v>2119</v>
      </c>
      <c r="AC200" t="s">
        <v>2120</v>
      </c>
      <c r="AD200" t="s">
        <v>2119</v>
      </c>
      <c r="AE200" t="s">
        <v>2120</v>
      </c>
      <c r="AF200" t="s">
        <v>2120</v>
      </c>
      <c r="AG200" t="s">
        <v>2119</v>
      </c>
      <c r="AH200" t="s">
        <v>2119</v>
      </c>
      <c r="AI200" t="s">
        <v>2120</v>
      </c>
      <c r="AJ200" t="s">
        <v>2119</v>
      </c>
      <c r="AK200" t="s">
        <v>2119</v>
      </c>
      <c r="AL200" t="s">
        <v>2119</v>
      </c>
      <c r="AM200" t="s">
        <v>2119</v>
      </c>
      <c r="AN200" t="s">
        <v>2120</v>
      </c>
      <c r="AO200" t="s">
        <v>2120</v>
      </c>
      <c r="AP200" t="s">
        <v>2119</v>
      </c>
      <c r="AQ200" t="s">
        <v>2120</v>
      </c>
    </row>
    <row r="201" spans="2:43" x14ac:dyDescent="0.2">
      <c r="B201" t="s">
        <v>450</v>
      </c>
      <c r="C201" t="s">
        <v>490</v>
      </c>
      <c r="D201">
        <v>0.54166666666666663</v>
      </c>
      <c r="E201" t="s">
        <v>636</v>
      </c>
      <c r="F201" t="s">
        <v>637</v>
      </c>
      <c r="H201">
        <v>35.6</v>
      </c>
      <c r="I201">
        <v>30.7</v>
      </c>
      <c r="J201">
        <v>33.700000000000003</v>
      </c>
      <c r="K201">
        <v>66.3</v>
      </c>
      <c r="L201">
        <v>64.400000000000006</v>
      </c>
      <c r="M201">
        <v>69.3</v>
      </c>
      <c r="N201">
        <v>30.3</v>
      </c>
      <c r="O201">
        <v>42.6</v>
      </c>
      <c r="P201">
        <v>27.1</v>
      </c>
      <c r="Q201">
        <v>71.2</v>
      </c>
      <c r="R201">
        <v>70</v>
      </c>
      <c r="S201">
        <v>42.5</v>
      </c>
      <c r="T201">
        <v>57.5</v>
      </c>
      <c r="U201">
        <v>62.7</v>
      </c>
      <c r="V201">
        <v>49.8</v>
      </c>
      <c r="W201">
        <v>50.2</v>
      </c>
      <c r="X201" t="s">
        <v>636</v>
      </c>
      <c r="Y201" t="s">
        <v>637</v>
      </c>
      <c r="Z201" t="s">
        <v>4105</v>
      </c>
      <c r="AA201" t="s">
        <v>453</v>
      </c>
      <c r="AB201" t="s">
        <v>2120</v>
      </c>
      <c r="AC201" t="s">
        <v>2119</v>
      </c>
      <c r="AD201" t="s">
        <v>2119</v>
      </c>
      <c r="AE201" t="s">
        <v>2120</v>
      </c>
      <c r="AF201" t="s">
        <v>2119</v>
      </c>
      <c r="AG201" t="s">
        <v>2120</v>
      </c>
      <c r="AH201" t="s">
        <v>2119</v>
      </c>
      <c r="AI201" t="s">
        <v>2120</v>
      </c>
      <c r="AJ201" t="s">
        <v>2119</v>
      </c>
      <c r="AK201" t="s">
        <v>2119</v>
      </c>
      <c r="AL201" t="s">
        <v>2119</v>
      </c>
      <c r="AM201" t="s">
        <v>2119</v>
      </c>
      <c r="AN201" t="s">
        <v>2120</v>
      </c>
      <c r="AO201" t="s">
        <v>2120</v>
      </c>
      <c r="AP201" t="s">
        <v>2119</v>
      </c>
      <c r="AQ201" t="s">
        <v>2120</v>
      </c>
    </row>
    <row r="202" spans="2:43" x14ac:dyDescent="0.2">
      <c r="B202" t="s">
        <v>638</v>
      </c>
      <c r="C202" t="s">
        <v>490</v>
      </c>
      <c r="D202">
        <v>0.54166666666666663</v>
      </c>
      <c r="E202" t="s">
        <v>639</v>
      </c>
      <c r="F202" t="s">
        <v>640</v>
      </c>
      <c r="H202">
        <v>64.099999999999994</v>
      </c>
      <c r="I202">
        <v>23.2</v>
      </c>
      <c r="J202">
        <v>12.6</v>
      </c>
      <c r="K202">
        <v>87.4</v>
      </c>
      <c r="L202">
        <v>35.9</v>
      </c>
      <c r="M202">
        <v>76.8</v>
      </c>
      <c r="N202">
        <v>38.200000000000003</v>
      </c>
      <c r="O202">
        <v>38.700000000000003</v>
      </c>
      <c r="P202">
        <v>23.1</v>
      </c>
      <c r="Q202">
        <v>76.2</v>
      </c>
      <c r="R202">
        <v>92.1</v>
      </c>
      <c r="S202">
        <v>77.5</v>
      </c>
      <c r="T202">
        <v>22.5</v>
      </c>
      <c r="U202">
        <v>29.7</v>
      </c>
      <c r="V202">
        <v>68.900000000000006</v>
      </c>
      <c r="W202">
        <v>31.1</v>
      </c>
      <c r="X202" t="s">
        <v>639</v>
      </c>
      <c r="Y202" t="s">
        <v>3444</v>
      </c>
      <c r="Z202" t="s">
        <v>4106</v>
      </c>
      <c r="AA202" t="s">
        <v>459</v>
      </c>
      <c r="AB202" t="s">
        <v>2119</v>
      </c>
      <c r="AC202" t="s">
        <v>2120</v>
      </c>
      <c r="AD202" t="s">
        <v>2119</v>
      </c>
      <c r="AE202" t="s">
        <v>2120</v>
      </c>
      <c r="AF202" t="s">
        <v>2120</v>
      </c>
      <c r="AG202" t="s">
        <v>2119</v>
      </c>
      <c r="AH202" t="s">
        <v>2119</v>
      </c>
      <c r="AI202" t="s">
        <v>2120</v>
      </c>
      <c r="AJ202" t="s">
        <v>2119</v>
      </c>
      <c r="AK202" t="s">
        <v>2119</v>
      </c>
      <c r="AL202" t="s">
        <v>2120</v>
      </c>
      <c r="AM202" t="s">
        <v>2119</v>
      </c>
      <c r="AN202" t="s">
        <v>2120</v>
      </c>
      <c r="AO202" t="s">
        <v>2120</v>
      </c>
      <c r="AP202" t="s">
        <v>2120</v>
      </c>
      <c r="AQ202" t="s">
        <v>2119</v>
      </c>
    </row>
    <row r="203" spans="2:43" x14ac:dyDescent="0.2">
      <c r="B203" t="s">
        <v>488</v>
      </c>
      <c r="C203" t="s">
        <v>490</v>
      </c>
      <c r="D203">
        <v>0.5625</v>
      </c>
      <c r="E203" t="s">
        <v>641</v>
      </c>
      <c r="F203" t="s">
        <v>642</v>
      </c>
      <c r="H203">
        <v>59.1</v>
      </c>
      <c r="I203">
        <v>24.2</v>
      </c>
      <c r="J203">
        <v>16.7</v>
      </c>
      <c r="K203">
        <v>83.3</v>
      </c>
      <c r="L203">
        <v>40.9</v>
      </c>
      <c r="M203">
        <v>75.8</v>
      </c>
      <c r="N203">
        <v>50.5</v>
      </c>
      <c r="O203">
        <v>34.200000000000003</v>
      </c>
      <c r="P203">
        <v>15.4</v>
      </c>
      <c r="Q203">
        <v>79.5</v>
      </c>
      <c r="R203">
        <v>80.3</v>
      </c>
      <c r="S203">
        <v>56.6</v>
      </c>
      <c r="T203">
        <v>43.4</v>
      </c>
      <c r="U203">
        <v>51.1</v>
      </c>
      <c r="V203">
        <v>54.7</v>
      </c>
      <c r="W203">
        <v>45.3</v>
      </c>
      <c r="X203" t="s">
        <v>641</v>
      </c>
      <c r="Y203" t="s">
        <v>642</v>
      </c>
      <c r="Z203" t="s">
        <v>4107</v>
      </c>
      <c r="AA203" t="s">
        <v>2128</v>
      </c>
      <c r="AB203" t="s">
        <v>2120</v>
      </c>
      <c r="AC203" t="s">
        <v>2119</v>
      </c>
      <c r="AD203" t="s">
        <v>2119</v>
      </c>
      <c r="AE203" t="s">
        <v>2120</v>
      </c>
      <c r="AF203" t="s">
        <v>2119</v>
      </c>
      <c r="AG203" t="s">
        <v>2120</v>
      </c>
      <c r="AH203" t="s">
        <v>2120</v>
      </c>
      <c r="AI203" t="s">
        <v>2119</v>
      </c>
      <c r="AJ203" t="s">
        <v>2119</v>
      </c>
      <c r="AK203" t="s">
        <v>2120</v>
      </c>
      <c r="AL203" t="s">
        <v>2120</v>
      </c>
      <c r="AM203" t="s">
        <v>2119</v>
      </c>
      <c r="AN203" t="s">
        <v>2120</v>
      </c>
      <c r="AO203" t="s">
        <v>2120</v>
      </c>
      <c r="AP203" t="s">
        <v>2119</v>
      </c>
      <c r="AQ203" t="s">
        <v>2120</v>
      </c>
    </row>
    <row r="204" spans="2:43" x14ac:dyDescent="0.2">
      <c r="B204" t="s">
        <v>480</v>
      </c>
      <c r="C204" t="s">
        <v>490</v>
      </c>
      <c r="D204">
        <v>0.58333333333333337</v>
      </c>
      <c r="E204" t="s">
        <v>643</v>
      </c>
      <c r="F204" t="s">
        <v>644</v>
      </c>
      <c r="H204">
        <v>52.4</v>
      </c>
      <c r="I204">
        <v>24.4</v>
      </c>
      <c r="J204">
        <v>23.2</v>
      </c>
      <c r="K204">
        <v>76.8</v>
      </c>
      <c r="L204">
        <v>47.6</v>
      </c>
      <c r="M204">
        <v>75.599999999999994</v>
      </c>
      <c r="N204">
        <v>42.5</v>
      </c>
      <c r="O204">
        <v>35.700000000000003</v>
      </c>
      <c r="P204">
        <v>21.8</v>
      </c>
      <c r="Q204">
        <v>80.099999999999994</v>
      </c>
      <c r="R204">
        <v>89.4</v>
      </c>
      <c r="S204">
        <v>71.900000000000006</v>
      </c>
      <c r="T204">
        <v>28.1</v>
      </c>
      <c r="U204">
        <v>34.1</v>
      </c>
      <c r="V204">
        <v>70.2</v>
      </c>
      <c r="W204">
        <v>29.8</v>
      </c>
      <c r="X204" t="s">
        <v>643</v>
      </c>
      <c r="Y204" t="s">
        <v>3351</v>
      </c>
      <c r="Z204" t="s">
        <v>4108</v>
      </c>
      <c r="AA204" t="s">
        <v>458</v>
      </c>
      <c r="AB204" t="s">
        <v>2119</v>
      </c>
      <c r="AC204" t="s">
        <v>2119</v>
      </c>
      <c r="AD204" t="s">
        <v>2120</v>
      </c>
      <c r="AE204" t="s">
        <v>2119</v>
      </c>
      <c r="AF204" t="s">
        <v>2120</v>
      </c>
      <c r="AG204" t="s">
        <v>2120</v>
      </c>
      <c r="AH204" t="s">
        <v>2120</v>
      </c>
      <c r="AI204" t="s">
        <v>2119</v>
      </c>
      <c r="AJ204" t="s">
        <v>2119</v>
      </c>
      <c r="AK204" t="s">
        <v>2120</v>
      </c>
      <c r="AL204" t="s">
        <v>2120</v>
      </c>
      <c r="AM204" t="s">
        <v>2120</v>
      </c>
      <c r="AN204" t="s">
        <v>2119</v>
      </c>
      <c r="AO204" t="s">
        <v>2119</v>
      </c>
      <c r="AP204" t="s">
        <v>2120</v>
      </c>
      <c r="AQ204" t="s">
        <v>2119</v>
      </c>
    </row>
    <row r="205" spans="2:43" x14ac:dyDescent="0.2">
      <c r="B205" t="s">
        <v>470</v>
      </c>
      <c r="C205" t="s">
        <v>490</v>
      </c>
      <c r="D205">
        <v>0.61458333333333337</v>
      </c>
      <c r="E205" t="s">
        <v>645</v>
      </c>
      <c r="F205" t="s">
        <v>646</v>
      </c>
      <c r="H205">
        <v>21.6</v>
      </c>
      <c r="I205">
        <v>34.799999999999997</v>
      </c>
      <c r="J205">
        <v>43.6</v>
      </c>
      <c r="K205">
        <v>56.4</v>
      </c>
      <c r="L205">
        <v>78.400000000000006</v>
      </c>
      <c r="M205">
        <v>65.2</v>
      </c>
      <c r="N205">
        <v>18.3</v>
      </c>
      <c r="O205">
        <v>55.3</v>
      </c>
      <c r="P205">
        <v>26.4</v>
      </c>
      <c r="Q205">
        <v>52.1</v>
      </c>
      <c r="R205">
        <v>56.3</v>
      </c>
      <c r="S205">
        <v>28.1</v>
      </c>
      <c r="T205">
        <v>71.900000000000006</v>
      </c>
      <c r="U205">
        <v>76.7</v>
      </c>
      <c r="V205">
        <v>35.799999999999997</v>
      </c>
      <c r="W205">
        <v>64.2</v>
      </c>
      <c r="X205" t="s">
        <v>645</v>
      </c>
      <c r="Y205" t="s">
        <v>1324</v>
      </c>
      <c r="Z205" t="s">
        <v>4109</v>
      </c>
      <c r="AA205" t="s">
        <v>453</v>
      </c>
      <c r="AB205" t="s">
        <v>2120</v>
      </c>
      <c r="AC205" t="s">
        <v>2119</v>
      </c>
      <c r="AD205" t="s">
        <v>2119</v>
      </c>
      <c r="AE205" t="s">
        <v>2120</v>
      </c>
      <c r="AF205" t="s">
        <v>2119</v>
      </c>
      <c r="AG205" t="s">
        <v>2120</v>
      </c>
      <c r="AH205" t="s">
        <v>2119</v>
      </c>
      <c r="AI205" t="s">
        <v>2120</v>
      </c>
      <c r="AJ205" t="s">
        <v>2119</v>
      </c>
      <c r="AK205" t="s">
        <v>2119</v>
      </c>
      <c r="AL205" t="s">
        <v>2119</v>
      </c>
      <c r="AM205" t="s">
        <v>2119</v>
      </c>
      <c r="AN205" t="s">
        <v>2120</v>
      </c>
      <c r="AO205" t="s">
        <v>2120</v>
      </c>
      <c r="AP205" t="s">
        <v>2119</v>
      </c>
      <c r="AQ205" t="s">
        <v>2120</v>
      </c>
    </row>
    <row r="206" spans="2:43" x14ac:dyDescent="0.2">
      <c r="B206" t="s">
        <v>647</v>
      </c>
      <c r="C206" t="s">
        <v>490</v>
      </c>
      <c r="D206">
        <v>0.625</v>
      </c>
      <c r="E206" t="s">
        <v>648</v>
      </c>
      <c r="F206" t="s">
        <v>649</v>
      </c>
      <c r="H206">
        <v>37.5</v>
      </c>
      <c r="I206">
        <v>36.6</v>
      </c>
      <c r="J206">
        <v>25.9</v>
      </c>
      <c r="K206">
        <v>74.099999999999994</v>
      </c>
      <c r="L206">
        <v>62.5</v>
      </c>
      <c r="M206">
        <v>63.4</v>
      </c>
      <c r="N206">
        <v>25.5</v>
      </c>
      <c r="O206">
        <v>53.6</v>
      </c>
      <c r="P206">
        <v>20.8</v>
      </c>
      <c r="Q206">
        <v>54.5</v>
      </c>
      <c r="R206">
        <v>50.8</v>
      </c>
      <c r="S206">
        <v>23.3</v>
      </c>
      <c r="T206">
        <v>76.7</v>
      </c>
      <c r="U206">
        <v>80.5</v>
      </c>
      <c r="V206">
        <v>32.700000000000003</v>
      </c>
      <c r="W206">
        <v>67.3</v>
      </c>
      <c r="X206" t="s">
        <v>2761</v>
      </c>
      <c r="Y206" t="s">
        <v>2762</v>
      </c>
      <c r="Z206" t="s">
        <v>4110</v>
      </c>
      <c r="AA206" t="s">
        <v>460</v>
      </c>
      <c r="AB206" t="s">
        <v>2119</v>
      </c>
      <c r="AC206" t="s">
        <v>2119</v>
      </c>
      <c r="AD206" t="s">
        <v>2120</v>
      </c>
      <c r="AE206" t="s">
        <v>2119</v>
      </c>
      <c r="AF206" t="s">
        <v>2120</v>
      </c>
      <c r="AG206" t="s">
        <v>2120</v>
      </c>
      <c r="AH206" t="s">
        <v>2119</v>
      </c>
      <c r="AI206" t="s">
        <v>2119</v>
      </c>
      <c r="AJ206" t="s">
        <v>2120</v>
      </c>
      <c r="AK206" t="s">
        <v>2120</v>
      </c>
      <c r="AL206" t="s">
        <v>2120</v>
      </c>
      <c r="AM206" t="s">
        <v>2120</v>
      </c>
      <c r="AN206" t="s">
        <v>2119</v>
      </c>
      <c r="AO206" t="s">
        <v>2120</v>
      </c>
      <c r="AP206" t="s">
        <v>2120</v>
      </c>
      <c r="AQ206" t="s">
        <v>2119</v>
      </c>
    </row>
    <row r="207" spans="2:43" x14ac:dyDescent="0.2">
      <c r="B207" t="s">
        <v>650</v>
      </c>
      <c r="C207" t="s">
        <v>490</v>
      </c>
      <c r="D207">
        <v>0.625</v>
      </c>
      <c r="E207" t="s">
        <v>651</v>
      </c>
      <c r="F207" t="s">
        <v>652</v>
      </c>
      <c r="H207">
        <v>37.5</v>
      </c>
      <c r="I207">
        <v>32.6</v>
      </c>
      <c r="J207">
        <v>29.9</v>
      </c>
      <c r="K207">
        <v>70.099999999999994</v>
      </c>
      <c r="L207">
        <v>62.5</v>
      </c>
      <c r="M207">
        <v>67.400000000000006</v>
      </c>
      <c r="N207">
        <v>30</v>
      </c>
      <c r="O207">
        <v>49.3</v>
      </c>
      <c r="P207">
        <v>20.8</v>
      </c>
      <c r="Q207">
        <v>60.6</v>
      </c>
      <c r="R207">
        <v>63.1</v>
      </c>
      <c r="S207">
        <v>34.700000000000003</v>
      </c>
      <c r="T207">
        <v>65.3</v>
      </c>
      <c r="U207">
        <v>70.099999999999994</v>
      </c>
      <c r="V207">
        <v>43.2</v>
      </c>
      <c r="W207">
        <v>56.8</v>
      </c>
      <c r="X207">
        <v>0</v>
      </c>
      <c r="Y207">
        <v>0</v>
      </c>
      <c r="Z207" t="s">
        <v>4111</v>
      </c>
      <c r="AA207" t="e">
        <v>#N/A</v>
      </c>
      <c r="AB207" t="e">
        <v>#N/A</v>
      </c>
      <c r="AC207" t="e">
        <v>#N/A</v>
      </c>
      <c r="AD207" t="e">
        <v>#N/A</v>
      </c>
      <c r="AE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e">
        <v>#N/A</v>
      </c>
      <c r="AK207" t="e">
        <v>#N/A</v>
      </c>
      <c r="AL207" t="e">
        <v>#N/A</v>
      </c>
      <c r="AM207" t="e">
        <v>#N/A</v>
      </c>
      <c r="AN207" t="e">
        <v>#N/A</v>
      </c>
      <c r="AO207" t="e">
        <v>#N/A</v>
      </c>
      <c r="AP207" t="e">
        <v>#N/A</v>
      </c>
      <c r="AQ207" t="e">
        <v>#N/A</v>
      </c>
    </row>
    <row r="208" spans="2:43" x14ac:dyDescent="0.2">
      <c r="B208" t="s">
        <v>650</v>
      </c>
      <c r="C208" t="s">
        <v>490</v>
      </c>
      <c r="D208">
        <v>0.625</v>
      </c>
      <c r="E208" t="s">
        <v>653</v>
      </c>
      <c r="F208" t="s">
        <v>654</v>
      </c>
      <c r="H208">
        <v>31.3</v>
      </c>
      <c r="I208">
        <v>39.1</v>
      </c>
      <c r="J208">
        <v>29.7</v>
      </c>
      <c r="K208">
        <v>70.3</v>
      </c>
      <c r="L208">
        <v>68.7</v>
      </c>
      <c r="M208">
        <v>60.9</v>
      </c>
      <c r="N208">
        <v>29.3</v>
      </c>
      <c r="O208">
        <v>54.3</v>
      </c>
      <c r="P208">
        <v>16.399999999999999</v>
      </c>
      <c r="Q208">
        <v>53</v>
      </c>
      <c r="R208">
        <v>45.9</v>
      </c>
      <c r="S208">
        <v>19.399999999999999</v>
      </c>
      <c r="T208">
        <v>80.599999999999994</v>
      </c>
      <c r="U208">
        <v>83.8</v>
      </c>
      <c r="V208">
        <v>29.4</v>
      </c>
      <c r="W208">
        <v>70.599999999999994</v>
      </c>
      <c r="X208" t="s">
        <v>319</v>
      </c>
      <c r="Y208" t="s">
        <v>2778</v>
      </c>
      <c r="Z208" t="s">
        <v>4112</v>
      </c>
      <c r="AA208" t="s">
        <v>456</v>
      </c>
      <c r="AB208" t="s">
        <v>2119</v>
      </c>
      <c r="AC208" t="s">
        <v>2119</v>
      </c>
      <c r="AD208" t="s">
        <v>2120</v>
      </c>
      <c r="AE208" t="s">
        <v>2119</v>
      </c>
      <c r="AF208" t="s">
        <v>2120</v>
      </c>
      <c r="AG208" t="s">
        <v>2120</v>
      </c>
      <c r="AH208" t="s">
        <v>2119</v>
      </c>
      <c r="AI208" t="s">
        <v>2120</v>
      </c>
      <c r="AJ208" t="s">
        <v>2119</v>
      </c>
      <c r="AK208" t="s">
        <v>2119</v>
      </c>
      <c r="AL208" t="s">
        <v>2119</v>
      </c>
      <c r="AM208" t="s">
        <v>2119</v>
      </c>
      <c r="AN208" t="s">
        <v>2120</v>
      </c>
      <c r="AO208" t="s">
        <v>2120</v>
      </c>
      <c r="AP208" t="s">
        <v>2119</v>
      </c>
      <c r="AQ208" t="s">
        <v>2120</v>
      </c>
    </row>
    <row r="209" spans="2:43" x14ac:dyDescent="0.2">
      <c r="B209" t="s">
        <v>650</v>
      </c>
      <c r="C209" t="s">
        <v>490</v>
      </c>
      <c r="D209">
        <v>0.625</v>
      </c>
      <c r="E209" t="s">
        <v>655</v>
      </c>
      <c r="F209" t="s">
        <v>656</v>
      </c>
      <c r="H209">
        <v>39.4</v>
      </c>
      <c r="I209">
        <v>34.5</v>
      </c>
      <c r="J209">
        <v>26.1</v>
      </c>
      <c r="K209">
        <v>73.900000000000006</v>
      </c>
      <c r="L209">
        <v>60.6</v>
      </c>
      <c r="M209">
        <v>65.5</v>
      </c>
      <c r="N209">
        <v>25</v>
      </c>
      <c r="O209">
        <v>52.2</v>
      </c>
      <c r="P209">
        <v>22.8</v>
      </c>
      <c r="Q209">
        <v>56.7</v>
      </c>
      <c r="R209">
        <v>56.3</v>
      </c>
      <c r="S209">
        <v>28.1</v>
      </c>
      <c r="T209">
        <v>71.900000000000006</v>
      </c>
      <c r="U209">
        <v>76.3</v>
      </c>
      <c r="V209">
        <v>36.9</v>
      </c>
      <c r="W209">
        <v>63.1</v>
      </c>
      <c r="X209">
        <v>0</v>
      </c>
      <c r="Y209">
        <v>0</v>
      </c>
      <c r="Z209" t="s">
        <v>4111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L209" t="e">
        <v>#N/A</v>
      </c>
      <c r="AM209" t="e">
        <v>#N/A</v>
      </c>
      <c r="AN209" t="e">
        <v>#N/A</v>
      </c>
      <c r="AO209" t="e">
        <v>#N/A</v>
      </c>
      <c r="AP209" t="e">
        <v>#N/A</v>
      </c>
      <c r="AQ209" t="e">
        <v>#N/A</v>
      </c>
    </row>
    <row r="210" spans="2:43" x14ac:dyDescent="0.2">
      <c r="B210" t="s">
        <v>650</v>
      </c>
      <c r="C210" t="s">
        <v>490</v>
      </c>
      <c r="D210">
        <v>0.625</v>
      </c>
      <c r="E210" t="s">
        <v>321</v>
      </c>
      <c r="F210" t="s">
        <v>657</v>
      </c>
      <c r="H210">
        <v>37.299999999999997</v>
      </c>
      <c r="I210">
        <v>34.799999999999997</v>
      </c>
      <c r="J210">
        <v>28</v>
      </c>
      <c r="K210">
        <v>72</v>
      </c>
      <c r="L210">
        <v>62.7</v>
      </c>
      <c r="M210">
        <v>65.2</v>
      </c>
      <c r="N210">
        <v>24.1</v>
      </c>
      <c r="O210">
        <v>57.9</v>
      </c>
      <c r="P210">
        <v>18</v>
      </c>
      <c r="Q210">
        <v>48.6</v>
      </c>
      <c r="R210">
        <v>56.2</v>
      </c>
      <c r="S210">
        <v>28</v>
      </c>
      <c r="T210">
        <v>72</v>
      </c>
      <c r="U210">
        <v>76.2</v>
      </c>
      <c r="V210">
        <v>37.200000000000003</v>
      </c>
      <c r="W210">
        <v>62.8</v>
      </c>
      <c r="X210" t="s">
        <v>321</v>
      </c>
      <c r="Y210" t="s">
        <v>657</v>
      </c>
      <c r="Z210" t="s">
        <v>4113</v>
      </c>
      <c r="AA210" t="s">
        <v>456</v>
      </c>
      <c r="AB210" t="s">
        <v>2119</v>
      </c>
      <c r="AC210" t="s">
        <v>2119</v>
      </c>
      <c r="AD210" t="s">
        <v>2120</v>
      </c>
      <c r="AE210" t="s">
        <v>2119</v>
      </c>
      <c r="AF210" t="s">
        <v>2120</v>
      </c>
      <c r="AG210" t="s">
        <v>2120</v>
      </c>
      <c r="AH210" t="s">
        <v>2119</v>
      </c>
      <c r="AI210" t="s">
        <v>2119</v>
      </c>
      <c r="AJ210" t="s">
        <v>2120</v>
      </c>
      <c r="AK210" t="s">
        <v>2120</v>
      </c>
      <c r="AL210" t="s">
        <v>2119</v>
      </c>
      <c r="AM210" t="s">
        <v>2119</v>
      </c>
      <c r="AN210" t="s">
        <v>2120</v>
      </c>
      <c r="AO210" t="s">
        <v>2120</v>
      </c>
      <c r="AP210" t="s">
        <v>2119</v>
      </c>
      <c r="AQ210" t="s">
        <v>2120</v>
      </c>
    </row>
    <row r="211" spans="2:43" x14ac:dyDescent="0.2">
      <c r="B211" t="s">
        <v>650</v>
      </c>
      <c r="C211" t="s">
        <v>490</v>
      </c>
      <c r="D211">
        <v>0.625</v>
      </c>
      <c r="E211" t="s">
        <v>658</v>
      </c>
      <c r="F211" t="s">
        <v>659</v>
      </c>
      <c r="H211">
        <v>52.3</v>
      </c>
      <c r="I211">
        <v>31.8</v>
      </c>
      <c r="J211">
        <v>16</v>
      </c>
      <c r="K211">
        <v>84</v>
      </c>
      <c r="L211">
        <v>47.7</v>
      </c>
      <c r="M211">
        <v>68.2</v>
      </c>
      <c r="N211">
        <v>30.8</v>
      </c>
      <c r="O211">
        <v>55.6</v>
      </c>
      <c r="P211">
        <v>13.6</v>
      </c>
      <c r="Q211">
        <v>50.7</v>
      </c>
      <c r="R211">
        <v>55.1</v>
      </c>
      <c r="S211">
        <v>27.2</v>
      </c>
      <c r="T211">
        <v>72.8</v>
      </c>
      <c r="U211">
        <v>78.7</v>
      </c>
      <c r="V211">
        <v>31.7</v>
      </c>
      <c r="W211">
        <v>68.3</v>
      </c>
      <c r="X211" t="s">
        <v>2782</v>
      </c>
      <c r="Y211" t="s">
        <v>2783</v>
      </c>
      <c r="Z211" t="s">
        <v>4114</v>
      </c>
      <c r="AA211" t="s">
        <v>456</v>
      </c>
      <c r="AB211" t="s">
        <v>2119</v>
      </c>
      <c r="AC211" t="s">
        <v>2119</v>
      </c>
      <c r="AD211" t="s">
        <v>2120</v>
      </c>
      <c r="AE211" t="s">
        <v>2119</v>
      </c>
      <c r="AF211" t="s">
        <v>2120</v>
      </c>
      <c r="AG211" t="s">
        <v>2120</v>
      </c>
      <c r="AH211" t="s">
        <v>2119</v>
      </c>
      <c r="AI211" t="s">
        <v>2119</v>
      </c>
      <c r="AJ211" t="s">
        <v>2120</v>
      </c>
      <c r="AK211" t="s">
        <v>2120</v>
      </c>
      <c r="AL211" t="s">
        <v>2119</v>
      </c>
      <c r="AM211" t="s">
        <v>2119</v>
      </c>
      <c r="AN211" t="s">
        <v>2120</v>
      </c>
      <c r="AO211" t="s">
        <v>2120</v>
      </c>
      <c r="AP211" t="s">
        <v>2119</v>
      </c>
      <c r="AQ211" t="s">
        <v>2120</v>
      </c>
    </row>
    <row r="212" spans="2:43" x14ac:dyDescent="0.2">
      <c r="B212" t="s">
        <v>650</v>
      </c>
      <c r="C212" t="s">
        <v>490</v>
      </c>
      <c r="D212">
        <v>0.625</v>
      </c>
      <c r="E212" t="s">
        <v>660</v>
      </c>
      <c r="F212" t="s">
        <v>315</v>
      </c>
      <c r="H212">
        <v>54.6</v>
      </c>
      <c r="I212">
        <v>29.6</v>
      </c>
      <c r="J212">
        <v>15.8</v>
      </c>
      <c r="K212">
        <v>84.2</v>
      </c>
      <c r="L212">
        <v>45.4</v>
      </c>
      <c r="M212">
        <v>70.400000000000006</v>
      </c>
      <c r="N212">
        <v>34.700000000000003</v>
      </c>
      <c r="O212">
        <v>49.2</v>
      </c>
      <c r="P212">
        <v>16.100000000000001</v>
      </c>
      <c r="Q212">
        <v>59.6</v>
      </c>
      <c r="R212">
        <v>60.6</v>
      </c>
      <c r="S212">
        <v>32.4</v>
      </c>
      <c r="T212">
        <v>67.599999999999994</v>
      </c>
      <c r="U212">
        <v>74.2</v>
      </c>
      <c r="V212">
        <v>35.6</v>
      </c>
      <c r="W212">
        <v>64.400000000000006</v>
      </c>
      <c r="X212" t="s">
        <v>313</v>
      </c>
      <c r="Y212" t="s">
        <v>315</v>
      </c>
      <c r="Z212" t="s">
        <v>4115</v>
      </c>
      <c r="AA212" t="s">
        <v>453</v>
      </c>
      <c r="AB212" t="s">
        <v>2120</v>
      </c>
      <c r="AC212" t="s">
        <v>2119</v>
      </c>
      <c r="AD212" t="s">
        <v>2119</v>
      </c>
      <c r="AE212" t="s">
        <v>2120</v>
      </c>
      <c r="AF212" t="s">
        <v>2119</v>
      </c>
      <c r="AG212" t="s">
        <v>2120</v>
      </c>
      <c r="AH212" t="s">
        <v>2119</v>
      </c>
      <c r="AI212" t="s">
        <v>2120</v>
      </c>
      <c r="AJ212" t="s">
        <v>2119</v>
      </c>
      <c r="AK212" t="s">
        <v>2119</v>
      </c>
      <c r="AL212" t="s">
        <v>2119</v>
      </c>
      <c r="AM212" t="s">
        <v>2119</v>
      </c>
      <c r="AN212" t="s">
        <v>2120</v>
      </c>
      <c r="AO212" t="s">
        <v>2120</v>
      </c>
      <c r="AP212" t="s">
        <v>2119</v>
      </c>
      <c r="AQ212" t="s">
        <v>2120</v>
      </c>
    </row>
    <row r="213" spans="2:43" x14ac:dyDescent="0.2">
      <c r="B213" t="s">
        <v>650</v>
      </c>
      <c r="C213" t="s">
        <v>490</v>
      </c>
      <c r="D213">
        <v>0.625</v>
      </c>
      <c r="E213" t="s">
        <v>661</v>
      </c>
      <c r="F213" t="s">
        <v>662</v>
      </c>
      <c r="H213">
        <v>32.5</v>
      </c>
      <c r="I213">
        <v>34.1</v>
      </c>
      <c r="J213">
        <v>33.4</v>
      </c>
      <c r="K213">
        <v>66.599999999999994</v>
      </c>
      <c r="L213">
        <v>67.5</v>
      </c>
      <c r="M213">
        <v>65.900000000000006</v>
      </c>
      <c r="N213">
        <v>25.7</v>
      </c>
      <c r="O213">
        <v>54.7</v>
      </c>
      <c r="P213">
        <v>19.600000000000001</v>
      </c>
      <c r="Q213">
        <v>52.9</v>
      </c>
      <c r="R213">
        <v>59.6</v>
      </c>
      <c r="S213">
        <v>31.2</v>
      </c>
      <c r="T213">
        <v>68.8</v>
      </c>
      <c r="U213">
        <v>73.2</v>
      </c>
      <c r="V213">
        <v>40.4</v>
      </c>
      <c r="W213">
        <v>59.6</v>
      </c>
      <c r="X213">
        <v>0</v>
      </c>
      <c r="Y213">
        <v>0</v>
      </c>
      <c r="Z213" t="s">
        <v>4111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L213" t="e">
        <v>#N/A</v>
      </c>
      <c r="AM213" t="e">
        <v>#N/A</v>
      </c>
      <c r="AN213" t="e">
        <v>#N/A</v>
      </c>
      <c r="AO213" t="e">
        <v>#N/A</v>
      </c>
      <c r="AP213" t="e">
        <v>#N/A</v>
      </c>
      <c r="AQ213" t="e">
        <v>#N/A</v>
      </c>
    </row>
    <row r="214" spans="2:43" x14ac:dyDescent="0.2">
      <c r="B214" t="s">
        <v>650</v>
      </c>
      <c r="C214" t="s">
        <v>490</v>
      </c>
      <c r="D214">
        <v>0.625</v>
      </c>
      <c r="E214" t="s">
        <v>663</v>
      </c>
      <c r="F214" t="s">
        <v>664</v>
      </c>
      <c r="H214">
        <v>43.5</v>
      </c>
      <c r="I214">
        <v>32.6</v>
      </c>
      <c r="J214">
        <v>24</v>
      </c>
      <c r="K214">
        <v>76</v>
      </c>
      <c r="L214">
        <v>56.5</v>
      </c>
      <c r="M214">
        <v>67.400000000000006</v>
      </c>
      <c r="N214">
        <v>28.6</v>
      </c>
      <c r="O214">
        <v>53.6</v>
      </c>
      <c r="P214">
        <v>17.8</v>
      </c>
      <c r="Q214">
        <v>54.2</v>
      </c>
      <c r="R214">
        <v>60.2</v>
      </c>
      <c r="S214">
        <v>31.9</v>
      </c>
      <c r="T214">
        <v>68.099999999999994</v>
      </c>
      <c r="U214">
        <v>73.099999999999994</v>
      </c>
      <c r="V214">
        <v>39.5</v>
      </c>
      <c r="W214">
        <v>60.5</v>
      </c>
      <c r="X214">
        <v>0</v>
      </c>
      <c r="Y214">
        <v>0</v>
      </c>
      <c r="Z214" t="s">
        <v>4111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L214" t="e">
        <v>#N/A</v>
      </c>
      <c r="AM214" t="e">
        <v>#N/A</v>
      </c>
      <c r="AN214" t="e">
        <v>#N/A</v>
      </c>
      <c r="AO214" t="e">
        <v>#N/A</v>
      </c>
      <c r="AP214" t="e">
        <v>#N/A</v>
      </c>
      <c r="AQ214" t="e">
        <v>#N/A</v>
      </c>
    </row>
    <row r="215" spans="2:43" x14ac:dyDescent="0.2">
      <c r="B215" t="s">
        <v>650</v>
      </c>
      <c r="C215" t="s">
        <v>490</v>
      </c>
      <c r="D215">
        <v>0.625</v>
      </c>
      <c r="E215" t="s">
        <v>379</v>
      </c>
      <c r="F215" t="s">
        <v>665</v>
      </c>
      <c r="H215">
        <v>43.8</v>
      </c>
      <c r="I215">
        <v>32.9</v>
      </c>
      <c r="J215">
        <v>23.2</v>
      </c>
      <c r="K215">
        <v>76.8</v>
      </c>
      <c r="L215">
        <v>56.2</v>
      </c>
      <c r="M215">
        <v>67.099999999999994</v>
      </c>
      <c r="N215">
        <v>31.6</v>
      </c>
      <c r="O215">
        <v>52.3</v>
      </c>
      <c r="P215">
        <v>16.100000000000001</v>
      </c>
      <c r="Q215">
        <v>55.5</v>
      </c>
      <c r="R215">
        <v>58.7</v>
      </c>
      <c r="S215">
        <v>30.4</v>
      </c>
      <c r="T215">
        <v>69.599999999999994</v>
      </c>
      <c r="U215">
        <v>74.5</v>
      </c>
      <c r="V215">
        <v>38.1</v>
      </c>
      <c r="W215">
        <v>61.9</v>
      </c>
      <c r="X215">
        <v>0</v>
      </c>
      <c r="Y215">
        <v>0</v>
      </c>
      <c r="Z215" t="s">
        <v>4111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</row>
    <row r="216" spans="2:43" x14ac:dyDescent="0.2">
      <c r="B216" t="s">
        <v>650</v>
      </c>
      <c r="C216" t="s">
        <v>490</v>
      </c>
      <c r="D216">
        <v>0.625</v>
      </c>
      <c r="E216" t="s">
        <v>316</v>
      </c>
      <c r="F216" t="s">
        <v>666</v>
      </c>
      <c r="H216">
        <v>41.7</v>
      </c>
      <c r="I216">
        <v>35.299999999999997</v>
      </c>
      <c r="J216">
        <v>23</v>
      </c>
      <c r="K216">
        <v>77</v>
      </c>
      <c r="L216">
        <v>58.3</v>
      </c>
      <c r="M216">
        <v>64.7</v>
      </c>
      <c r="N216">
        <v>26.8</v>
      </c>
      <c r="O216">
        <v>50.7</v>
      </c>
      <c r="P216">
        <v>22.5</v>
      </c>
      <c r="Q216">
        <v>58.7</v>
      </c>
      <c r="R216">
        <v>52.3</v>
      </c>
      <c r="S216">
        <v>24.6</v>
      </c>
      <c r="T216">
        <v>75.400000000000006</v>
      </c>
      <c r="U216">
        <v>79.599999999999994</v>
      </c>
      <c r="V216">
        <v>33.1</v>
      </c>
      <c r="W216">
        <v>66.900000000000006</v>
      </c>
      <c r="X216" t="s">
        <v>316</v>
      </c>
      <c r="Y216" t="s">
        <v>320</v>
      </c>
      <c r="Z216" t="s">
        <v>4116</v>
      </c>
      <c r="AA216" t="s">
        <v>449</v>
      </c>
      <c r="AB216" t="s">
        <v>2119</v>
      </c>
      <c r="AC216" t="s">
        <v>2119</v>
      </c>
      <c r="AD216" t="s">
        <v>2120</v>
      </c>
      <c r="AE216" t="s">
        <v>2119</v>
      </c>
      <c r="AF216" t="s">
        <v>2120</v>
      </c>
      <c r="AG216" t="s">
        <v>2120</v>
      </c>
      <c r="AH216" t="s">
        <v>2119</v>
      </c>
      <c r="AI216" t="s">
        <v>2119</v>
      </c>
      <c r="AJ216" t="s">
        <v>2120</v>
      </c>
      <c r="AK216" t="s">
        <v>2120</v>
      </c>
      <c r="AL216" t="s">
        <v>2120</v>
      </c>
      <c r="AM216" t="s">
        <v>2119</v>
      </c>
      <c r="AN216" t="s">
        <v>2120</v>
      </c>
      <c r="AO216" t="s">
        <v>2120</v>
      </c>
      <c r="AP216" t="s">
        <v>2119</v>
      </c>
      <c r="AQ216" t="s">
        <v>2120</v>
      </c>
    </row>
    <row r="217" spans="2:43" x14ac:dyDescent="0.2">
      <c r="B217" t="s">
        <v>650</v>
      </c>
      <c r="C217" t="s">
        <v>490</v>
      </c>
      <c r="D217">
        <v>0.625</v>
      </c>
      <c r="E217" t="s">
        <v>667</v>
      </c>
      <c r="F217" t="s">
        <v>317</v>
      </c>
      <c r="H217">
        <v>41.1</v>
      </c>
      <c r="I217">
        <v>30.4</v>
      </c>
      <c r="J217">
        <v>28.6</v>
      </c>
      <c r="K217">
        <v>71.400000000000006</v>
      </c>
      <c r="L217">
        <v>58.9</v>
      </c>
      <c r="M217">
        <v>69.599999999999994</v>
      </c>
      <c r="N217">
        <v>28.9</v>
      </c>
      <c r="O217">
        <v>50.8</v>
      </c>
      <c r="P217">
        <v>20.3</v>
      </c>
      <c r="Q217">
        <v>58.4</v>
      </c>
      <c r="R217">
        <v>69.3</v>
      </c>
      <c r="S217">
        <v>41.6</v>
      </c>
      <c r="T217">
        <v>58.4</v>
      </c>
      <c r="U217">
        <v>63.7</v>
      </c>
      <c r="V217">
        <v>48.5</v>
      </c>
      <c r="W217">
        <v>51.5</v>
      </c>
      <c r="X217" t="s">
        <v>2779</v>
      </c>
      <c r="Y217" t="s">
        <v>317</v>
      </c>
      <c r="Z217" t="s">
        <v>4117</v>
      </c>
      <c r="AA217" t="s">
        <v>453</v>
      </c>
      <c r="AB217" t="s">
        <v>2120</v>
      </c>
      <c r="AC217" t="s">
        <v>2119</v>
      </c>
      <c r="AD217" t="s">
        <v>2119</v>
      </c>
      <c r="AE217" t="s">
        <v>2120</v>
      </c>
      <c r="AF217" t="s">
        <v>2119</v>
      </c>
      <c r="AG217" t="s">
        <v>2120</v>
      </c>
      <c r="AH217" t="s">
        <v>2119</v>
      </c>
      <c r="AI217" t="s">
        <v>2120</v>
      </c>
      <c r="AJ217" t="s">
        <v>2119</v>
      </c>
      <c r="AK217" t="s">
        <v>2119</v>
      </c>
      <c r="AL217" t="s">
        <v>2119</v>
      </c>
      <c r="AM217" t="s">
        <v>2119</v>
      </c>
      <c r="AN217" t="s">
        <v>2120</v>
      </c>
      <c r="AO217" t="s">
        <v>2120</v>
      </c>
      <c r="AP217" t="s">
        <v>2119</v>
      </c>
      <c r="AQ217" t="s">
        <v>2120</v>
      </c>
    </row>
    <row r="218" spans="2:43" x14ac:dyDescent="0.2">
      <c r="B218" t="s">
        <v>650</v>
      </c>
      <c r="C218" t="s">
        <v>490</v>
      </c>
      <c r="D218">
        <v>0.625</v>
      </c>
      <c r="E218" t="s">
        <v>668</v>
      </c>
      <c r="F218" t="s">
        <v>314</v>
      </c>
      <c r="H218">
        <v>48.9</v>
      </c>
      <c r="I218">
        <v>30.8</v>
      </c>
      <c r="J218">
        <v>20.3</v>
      </c>
      <c r="K218">
        <v>79.7</v>
      </c>
      <c r="L218">
        <v>51.1</v>
      </c>
      <c r="M218">
        <v>69.2</v>
      </c>
      <c r="N218">
        <v>52.2</v>
      </c>
      <c r="O218">
        <v>40.299999999999997</v>
      </c>
      <c r="P218">
        <v>7.5</v>
      </c>
      <c r="Q218">
        <v>66.400000000000006</v>
      </c>
      <c r="R218">
        <v>62.2</v>
      </c>
      <c r="S218">
        <v>33.9</v>
      </c>
      <c r="T218">
        <v>66.099999999999994</v>
      </c>
      <c r="U218">
        <v>71.900000000000006</v>
      </c>
      <c r="V218">
        <v>39.6</v>
      </c>
      <c r="W218">
        <v>60.4</v>
      </c>
      <c r="X218">
        <v>0</v>
      </c>
      <c r="Y218">
        <v>0</v>
      </c>
      <c r="Z218" t="s">
        <v>4111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 t="e">
        <v>#N/A</v>
      </c>
      <c r="AH218" t="e">
        <v>#N/A</v>
      </c>
      <c r="AI218" t="e">
        <v>#N/A</v>
      </c>
      <c r="AJ218" t="e">
        <v>#N/A</v>
      </c>
      <c r="AK218" t="e">
        <v>#N/A</v>
      </c>
      <c r="AL218" t="e">
        <v>#N/A</v>
      </c>
      <c r="AM218" t="e">
        <v>#N/A</v>
      </c>
      <c r="AN218" t="e">
        <v>#N/A</v>
      </c>
      <c r="AO218" t="e">
        <v>#N/A</v>
      </c>
      <c r="AP218" t="e">
        <v>#N/A</v>
      </c>
      <c r="AQ218" t="e">
        <v>#N/A</v>
      </c>
    </row>
    <row r="219" spans="2:43" x14ac:dyDescent="0.2">
      <c r="B219" t="s">
        <v>650</v>
      </c>
      <c r="C219" t="s">
        <v>490</v>
      </c>
      <c r="D219">
        <v>0.625</v>
      </c>
      <c r="E219" t="s">
        <v>318</v>
      </c>
      <c r="F219" t="s">
        <v>669</v>
      </c>
      <c r="H219">
        <v>54.4</v>
      </c>
      <c r="I219">
        <v>27.6</v>
      </c>
      <c r="J219">
        <v>18.100000000000001</v>
      </c>
      <c r="K219">
        <v>81.900000000000006</v>
      </c>
      <c r="L219">
        <v>45.6</v>
      </c>
      <c r="M219">
        <v>72.400000000000006</v>
      </c>
      <c r="N219">
        <v>43</v>
      </c>
      <c r="O219">
        <v>45.9</v>
      </c>
      <c r="P219">
        <v>11.1</v>
      </c>
      <c r="Q219">
        <v>61.7</v>
      </c>
      <c r="R219">
        <v>69.7</v>
      </c>
      <c r="S219">
        <v>42.2</v>
      </c>
      <c r="T219">
        <v>57.8</v>
      </c>
      <c r="U219">
        <v>64.7</v>
      </c>
      <c r="V219">
        <v>44.8</v>
      </c>
      <c r="W219">
        <v>55.2</v>
      </c>
      <c r="X219">
        <v>0</v>
      </c>
      <c r="Y219">
        <v>0</v>
      </c>
      <c r="Z219" t="s">
        <v>4111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L219" t="e">
        <v>#N/A</v>
      </c>
      <c r="AM219" t="e">
        <v>#N/A</v>
      </c>
      <c r="AN219" t="e">
        <v>#N/A</v>
      </c>
      <c r="AO219" t="e">
        <v>#N/A</v>
      </c>
      <c r="AP219" t="e">
        <v>#N/A</v>
      </c>
      <c r="AQ219" t="e">
        <v>#N/A</v>
      </c>
    </row>
    <row r="220" spans="2:43" x14ac:dyDescent="0.2">
      <c r="B220" t="s">
        <v>650</v>
      </c>
      <c r="C220" t="s">
        <v>490</v>
      </c>
      <c r="D220">
        <v>0.625</v>
      </c>
      <c r="E220" t="s">
        <v>670</v>
      </c>
      <c r="F220" t="s">
        <v>671</v>
      </c>
      <c r="H220">
        <v>47.8</v>
      </c>
      <c r="I220">
        <v>36.200000000000003</v>
      </c>
      <c r="J220">
        <v>16</v>
      </c>
      <c r="K220">
        <v>84</v>
      </c>
      <c r="L220">
        <v>52.2</v>
      </c>
      <c r="M220">
        <v>63.8</v>
      </c>
      <c r="N220">
        <v>27.6</v>
      </c>
      <c r="O220">
        <v>62.6</v>
      </c>
      <c r="P220">
        <v>9.8000000000000007</v>
      </c>
      <c r="Q220">
        <v>41.1</v>
      </c>
      <c r="R220">
        <v>45.1</v>
      </c>
      <c r="S220">
        <v>19</v>
      </c>
      <c r="T220">
        <v>81</v>
      </c>
      <c r="U220">
        <v>85.5</v>
      </c>
      <c r="V220">
        <v>25</v>
      </c>
      <c r="W220">
        <v>75</v>
      </c>
      <c r="X220">
        <v>0</v>
      </c>
      <c r="Y220">
        <v>0</v>
      </c>
      <c r="Z220" t="s">
        <v>4111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L220" t="e">
        <v>#N/A</v>
      </c>
      <c r="AM220" t="e">
        <v>#N/A</v>
      </c>
      <c r="AN220" t="e">
        <v>#N/A</v>
      </c>
      <c r="AO220" t="e">
        <v>#N/A</v>
      </c>
      <c r="AP220" t="e">
        <v>#N/A</v>
      </c>
      <c r="AQ220" t="e">
        <v>#N/A</v>
      </c>
    </row>
    <row r="221" spans="2:43" x14ac:dyDescent="0.2">
      <c r="B221" t="s">
        <v>638</v>
      </c>
      <c r="C221" t="s">
        <v>490</v>
      </c>
      <c r="D221">
        <v>0.625</v>
      </c>
      <c r="E221" t="s">
        <v>672</v>
      </c>
      <c r="F221" t="s">
        <v>673</v>
      </c>
      <c r="H221">
        <v>60.3</v>
      </c>
      <c r="I221">
        <v>23.6</v>
      </c>
      <c r="J221">
        <v>16.100000000000001</v>
      </c>
      <c r="K221">
        <v>83.9</v>
      </c>
      <c r="L221">
        <v>39.700000000000003</v>
      </c>
      <c r="M221">
        <v>76.400000000000006</v>
      </c>
      <c r="N221">
        <v>48</v>
      </c>
      <c r="O221">
        <v>33.799999999999997</v>
      </c>
      <c r="P221">
        <v>18.2</v>
      </c>
      <c r="Q221">
        <v>81.400000000000006</v>
      </c>
      <c r="R221">
        <v>91.7</v>
      </c>
      <c r="S221">
        <v>76.5</v>
      </c>
      <c r="T221">
        <v>23.5</v>
      </c>
      <c r="U221">
        <v>30</v>
      </c>
      <c r="V221">
        <v>70.599999999999994</v>
      </c>
      <c r="W221">
        <v>29.4</v>
      </c>
      <c r="X221" t="s">
        <v>672</v>
      </c>
      <c r="Y221" t="s">
        <v>673</v>
      </c>
      <c r="Z221" t="s">
        <v>4118</v>
      </c>
      <c r="AA221" t="s">
        <v>460</v>
      </c>
      <c r="AB221" t="s">
        <v>2119</v>
      </c>
      <c r="AC221" t="s">
        <v>2119</v>
      </c>
      <c r="AD221" t="s">
        <v>2120</v>
      </c>
      <c r="AE221" t="s">
        <v>2119</v>
      </c>
      <c r="AF221" t="s">
        <v>2120</v>
      </c>
      <c r="AG221" t="s">
        <v>2120</v>
      </c>
      <c r="AH221" t="s">
        <v>2120</v>
      </c>
      <c r="AI221" t="s">
        <v>2119</v>
      </c>
      <c r="AJ221" t="s">
        <v>2119</v>
      </c>
      <c r="AK221" t="s">
        <v>2120</v>
      </c>
      <c r="AL221" t="s">
        <v>2120</v>
      </c>
      <c r="AM221" t="s">
        <v>2120</v>
      </c>
      <c r="AN221" t="s">
        <v>2119</v>
      </c>
      <c r="AO221" t="s">
        <v>2120</v>
      </c>
      <c r="AP221" t="s">
        <v>2120</v>
      </c>
      <c r="AQ221" t="s">
        <v>2119</v>
      </c>
    </row>
    <row r="222" spans="2:43" x14ac:dyDescent="0.2">
      <c r="B222" t="s">
        <v>482</v>
      </c>
      <c r="C222" t="s">
        <v>490</v>
      </c>
      <c r="D222">
        <v>0.625</v>
      </c>
      <c r="E222" t="s">
        <v>674</v>
      </c>
      <c r="F222" t="s">
        <v>675</v>
      </c>
      <c r="H222">
        <v>39.5</v>
      </c>
      <c r="I222">
        <v>30.4</v>
      </c>
      <c r="J222">
        <v>30.1</v>
      </c>
      <c r="K222">
        <v>69.900000000000006</v>
      </c>
      <c r="L222">
        <v>60.5</v>
      </c>
      <c r="M222">
        <v>69.599999999999994</v>
      </c>
      <c r="N222">
        <v>27.7</v>
      </c>
      <c r="O222">
        <v>48.6</v>
      </c>
      <c r="P222">
        <v>23.7</v>
      </c>
      <c r="Q222">
        <v>61.9</v>
      </c>
      <c r="R222">
        <v>69.8</v>
      </c>
      <c r="S222">
        <v>42.3</v>
      </c>
      <c r="T222">
        <v>57.7</v>
      </c>
      <c r="U222">
        <v>63</v>
      </c>
      <c r="V222">
        <v>49.3</v>
      </c>
      <c r="W222">
        <v>50.7</v>
      </c>
      <c r="X222" t="s">
        <v>674</v>
      </c>
      <c r="Y222" t="s">
        <v>675</v>
      </c>
      <c r="Z222" t="s">
        <v>4119</v>
      </c>
      <c r="AA222" t="s">
        <v>2128</v>
      </c>
      <c r="AB222" t="s">
        <v>2120</v>
      </c>
      <c r="AC222" t="s">
        <v>2119</v>
      </c>
      <c r="AD222" t="s">
        <v>2119</v>
      </c>
      <c r="AE222" t="s">
        <v>2120</v>
      </c>
      <c r="AF222" t="s">
        <v>2119</v>
      </c>
      <c r="AG222" t="s">
        <v>2120</v>
      </c>
      <c r="AH222" t="s">
        <v>2119</v>
      </c>
      <c r="AI222" t="s">
        <v>2120</v>
      </c>
      <c r="AJ222" t="s">
        <v>2119</v>
      </c>
      <c r="AK222" t="s">
        <v>2119</v>
      </c>
      <c r="AL222" t="s">
        <v>2120</v>
      </c>
      <c r="AM222" t="s">
        <v>2119</v>
      </c>
      <c r="AN222" t="s">
        <v>2120</v>
      </c>
      <c r="AO222" t="s">
        <v>2120</v>
      </c>
      <c r="AP222" t="s">
        <v>2119</v>
      </c>
      <c r="AQ222" t="s">
        <v>2120</v>
      </c>
    </row>
    <row r="223" spans="2:43" x14ac:dyDescent="0.2">
      <c r="B223" t="s">
        <v>486</v>
      </c>
      <c r="C223" t="s">
        <v>490</v>
      </c>
      <c r="D223">
        <v>0.625</v>
      </c>
      <c r="E223" t="s">
        <v>676</v>
      </c>
      <c r="F223" t="s">
        <v>677</v>
      </c>
      <c r="H223">
        <v>51.6</v>
      </c>
      <c r="I223">
        <v>30.9</v>
      </c>
      <c r="J223">
        <v>17.5</v>
      </c>
      <c r="K223">
        <v>82.5</v>
      </c>
      <c r="L223">
        <v>48.4</v>
      </c>
      <c r="M223">
        <v>69.099999999999994</v>
      </c>
      <c r="N223">
        <v>31</v>
      </c>
      <c r="O223">
        <v>50.9</v>
      </c>
      <c r="P223">
        <v>18.100000000000001</v>
      </c>
      <c r="Q223">
        <v>57.9</v>
      </c>
      <c r="R223">
        <v>59.1</v>
      </c>
      <c r="S223">
        <v>30.9</v>
      </c>
      <c r="T223">
        <v>69.099999999999994</v>
      </c>
      <c r="U223">
        <v>75.099999999999994</v>
      </c>
      <c r="V223">
        <v>35.700000000000003</v>
      </c>
      <c r="W223">
        <v>64.3</v>
      </c>
      <c r="X223" t="s">
        <v>676</v>
      </c>
      <c r="Y223" t="s">
        <v>3685</v>
      </c>
      <c r="Z223" t="s">
        <v>4120</v>
      </c>
      <c r="AA223" t="s">
        <v>2743</v>
      </c>
      <c r="AB223" t="s">
        <v>2119</v>
      </c>
      <c r="AC223" t="s">
        <v>2120</v>
      </c>
      <c r="AD223" t="s">
        <v>2119</v>
      </c>
      <c r="AE223" t="s">
        <v>2120</v>
      </c>
      <c r="AF223" t="s">
        <v>2120</v>
      </c>
      <c r="AG223" t="s">
        <v>2119</v>
      </c>
      <c r="AH223" t="s">
        <v>2119</v>
      </c>
      <c r="AI223" t="s">
        <v>2120</v>
      </c>
      <c r="AJ223" t="s">
        <v>2119</v>
      </c>
      <c r="AK223" t="s">
        <v>2119</v>
      </c>
      <c r="AL223" t="s">
        <v>2119</v>
      </c>
      <c r="AM223" t="s">
        <v>2119</v>
      </c>
      <c r="AN223" t="s">
        <v>2120</v>
      </c>
      <c r="AO223" t="s">
        <v>2120</v>
      </c>
      <c r="AP223" t="s">
        <v>2119</v>
      </c>
      <c r="AQ223" t="s">
        <v>2120</v>
      </c>
    </row>
    <row r="224" spans="2:43" x14ac:dyDescent="0.2">
      <c r="B224" t="s">
        <v>477</v>
      </c>
      <c r="C224" t="s">
        <v>490</v>
      </c>
      <c r="D224">
        <v>0.64583333333333337</v>
      </c>
      <c r="E224" t="s">
        <v>678</v>
      </c>
      <c r="F224" t="s">
        <v>679</v>
      </c>
      <c r="H224">
        <v>45.3</v>
      </c>
      <c r="I224">
        <v>28.8</v>
      </c>
      <c r="J224">
        <v>25.9</v>
      </c>
      <c r="K224">
        <v>74.099999999999994</v>
      </c>
      <c r="L224">
        <v>54.7</v>
      </c>
      <c r="M224">
        <v>71.2</v>
      </c>
      <c r="N224">
        <v>25</v>
      </c>
      <c r="O224">
        <v>52.2</v>
      </c>
      <c r="P224">
        <v>22.8</v>
      </c>
      <c r="Q224">
        <v>56.7</v>
      </c>
      <c r="R224">
        <v>72.7</v>
      </c>
      <c r="S224">
        <v>45.9</v>
      </c>
      <c r="T224">
        <v>54.1</v>
      </c>
      <c r="U224">
        <v>59.9</v>
      </c>
      <c r="V224">
        <v>51.2</v>
      </c>
      <c r="W224">
        <v>48.8</v>
      </c>
      <c r="X224" t="s">
        <v>678</v>
      </c>
      <c r="Y224" t="s">
        <v>3367</v>
      </c>
      <c r="Z224" t="s">
        <v>4121</v>
      </c>
      <c r="AA224" t="s">
        <v>460</v>
      </c>
      <c r="AB224" t="s">
        <v>2119</v>
      </c>
      <c r="AC224" t="s">
        <v>2119</v>
      </c>
      <c r="AD224" t="s">
        <v>2120</v>
      </c>
      <c r="AE224" t="s">
        <v>2119</v>
      </c>
      <c r="AF224" t="s">
        <v>2120</v>
      </c>
      <c r="AG224" t="s">
        <v>2120</v>
      </c>
      <c r="AH224" t="s">
        <v>2119</v>
      </c>
      <c r="AI224" t="s">
        <v>2119</v>
      </c>
      <c r="AJ224" t="s">
        <v>2120</v>
      </c>
      <c r="AK224" t="s">
        <v>2120</v>
      </c>
      <c r="AL224" t="s">
        <v>2120</v>
      </c>
      <c r="AM224" t="s">
        <v>2120</v>
      </c>
      <c r="AN224" t="s">
        <v>2119</v>
      </c>
      <c r="AO224" t="s">
        <v>2120</v>
      </c>
      <c r="AP224" t="s">
        <v>2120</v>
      </c>
      <c r="AQ224" t="s">
        <v>2119</v>
      </c>
    </row>
    <row r="225" spans="2:43" x14ac:dyDescent="0.2">
      <c r="B225" t="s">
        <v>478</v>
      </c>
      <c r="C225" t="s">
        <v>490</v>
      </c>
      <c r="D225">
        <v>0.65625</v>
      </c>
      <c r="E225" t="s">
        <v>680</v>
      </c>
      <c r="F225" t="s">
        <v>681</v>
      </c>
      <c r="H225">
        <v>38.9</v>
      </c>
      <c r="I225">
        <v>28.6</v>
      </c>
      <c r="J225">
        <v>32.5</v>
      </c>
      <c r="K225">
        <v>67.5</v>
      </c>
      <c r="L225">
        <v>61.1</v>
      </c>
      <c r="M225">
        <v>71.400000000000006</v>
      </c>
      <c r="N225">
        <v>34.6</v>
      </c>
      <c r="O225">
        <v>44.5</v>
      </c>
      <c r="P225">
        <v>20.9</v>
      </c>
      <c r="Q225">
        <v>67.3</v>
      </c>
      <c r="R225">
        <v>76.3</v>
      </c>
      <c r="S225">
        <v>50.5</v>
      </c>
      <c r="T225">
        <v>49.5</v>
      </c>
      <c r="U225">
        <v>55</v>
      </c>
      <c r="V225">
        <v>56</v>
      </c>
      <c r="W225">
        <v>44</v>
      </c>
      <c r="X225" t="s">
        <v>3366</v>
      </c>
      <c r="Y225" t="s">
        <v>681</v>
      </c>
      <c r="Z225" t="s">
        <v>4122</v>
      </c>
      <c r="AA225" t="s">
        <v>2123</v>
      </c>
      <c r="AB225" t="s">
        <v>2119</v>
      </c>
      <c r="AC225" t="s">
        <v>2120</v>
      </c>
      <c r="AD225" t="s">
        <v>2119</v>
      </c>
      <c r="AE225" t="s">
        <v>2120</v>
      </c>
      <c r="AF225" t="s">
        <v>2120</v>
      </c>
      <c r="AG225" t="s">
        <v>2119</v>
      </c>
      <c r="AH225" t="s">
        <v>2120</v>
      </c>
      <c r="AI225" t="s">
        <v>2119</v>
      </c>
      <c r="AJ225" t="s">
        <v>2119</v>
      </c>
      <c r="AK225" t="s">
        <v>2120</v>
      </c>
      <c r="AL225" t="s">
        <v>2120</v>
      </c>
      <c r="AM225" t="s">
        <v>2120</v>
      </c>
      <c r="AN225" t="s">
        <v>2119</v>
      </c>
      <c r="AO225" t="s">
        <v>2119</v>
      </c>
      <c r="AP225" t="s">
        <v>2120</v>
      </c>
      <c r="AQ225" t="s">
        <v>2119</v>
      </c>
    </row>
    <row r="226" spans="2:43" x14ac:dyDescent="0.2">
      <c r="B226" t="s">
        <v>647</v>
      </c>
      <c r="C226" t="s">
        <v>490</v>
      </c>
      <c r="D226">
        <v>0.66666666666666663</v>
      </c>
      <c r="E226" t="s">
        <v>682</v>
      </c>
      <c r="F226" t="s">
        <v>683</v>
      </c>
      <c r="H226">
        <v>36.1</v>
      </c>
      <c r="I226">
        <v>37</v>
      </c>
      <c r="J226">
        <v>26.9</v>
      </c>
      <c r="K226">
        <v>73.099999999999994</v>
      </c>
      <c r="L226">
        <v>63.9</v>
      </c>
      <c r="M226">
        <v>63</v>
      </c>
      <c r="N226">
        <v>29.4</v>
      </c>
      <c r="O226">
        <v>56.9</v>
      </c>
      <c r="P226">
        <v>13.7</v>
      </c>
      <c r="Q226">
        <v>49.1</v>
      </c>
      <c r="R226">
        <v>50.1</v>
      </c>
      <c r="S226">
        <v>22.7</v>
      </c>
      <c r="T226">
        <v>77.3</v>
      </c>
      <c r="U226">
        <v>80.900000000000006</v>
      </c>
      <c r="V226">
        <v>32.4</v>
      </c>
      <c r="W226">
        <v>67.599999999999994</v>
      </c>
      <c r="X226" t="s">
        <v>2763</v>
      </c>
      <c r="Y226" t="s">
        <v>683</v>
      </c>
      <c r="Z226" t="s">
        <v>4123</v>
      </c>
      <c r="AA226" t="s">
        <v>453</v>
      </c>
      <c r="AB226" t="s">
        <v>2120</v>
      </c>
      <c r="AC226" t="s">
        <v>2119</v>
      </c>
      <c r="AD226" t="s">
        <v>2119</v>
      </c>
      <c r="AE226" t="s">
        <v>2120</v>
      </c>
      <c r="AF226" t="s">
        <v>2119</v>
      </c>
      <c r="AG226" t="s">
        <v>2120</v>
      </c>
      <c r="AH226" t="s">
        <v>2119</v>
      </c>
      <c r="AI226" t="s">
        <v>2120</v>
      </c>
      <c r="AJ226" t="s">
        <v>2119</v>
      </c>
      <c r="AK226" t="s">
        <v>2119</v>
      </c>
      <c r="AL226" t="s">
        <v>2119</v>
      </c>
      <c r="AM226" t="s">
        <v>2119</v>
      </c>
      <c r="AN226" t="s">
        <v>2120</v>
      </c>
      <c r="AO226" t="s">
        <v>2120</v>
      </c>
      <c r="AP226" t="s">
        <v>2119</v>
      </c>
      <c r="AQ226" t="s">
        <v>2120</v>
      </c>
    </row>
    <row r="227" spans="2:43" x14ac:dyDescent="0.2">
      <c r="B227" t="s">
        <v>457</v>
      </c>
      <c r="C227" t="s">
        <v>490</v>
      </c>
      <c r="D227">
        <v>0.66666666666666663</v>
      </c>
      <c r="E227" t="s">
        <v>684</v>
      </c>
      <c r="F227" t="s">
        <v>261</v>
      </c>
      <c r="H227">
        <v>72.400000000000006</v>
      </c>
      <c r="I227">
        <v>19.899999999999999</v>
      </c>
      <c r="J227">
        <v>7.6</v>
      </c>
      <c r="K227">
        <v>92.4</v>
      </c>
      <c r="L227">
        <v>27.6</v>
      </c>
      <c r="M227">
        <v>80.099999999999994</v>
      </c>
      <c r="N227">
        <v>53.3</v>
      </c>
      <c r="O227">
        <v>40.799999999999997</v>
      </c>
      <c r="P227">
        <v>5.9</v>
      </c>
      <c r="Q227">
        <v>64.5</v>
      </c>
      <c r="R227">
        <v>84.3</v>
      </c>
      <c r="S227">
        <v>63.1</v>
      </c>
      <c r="T227">
        <v>36.9</v>
      </c>
      <c r="U227">
        <v>47.9</v>
      </c>
      <c r="V227">
        <v>49.1</v>
      </c>
      <c r="W227">
        <v>50.9</v>
      </c>
      <c r="X227" t="s">
        <v>684</v>
      </c>
      <c r="Y227" t="s">
        <v>311</v>
      </c>
      <c r="Z227" t="s">
        <v>4124</v>
      </c>
      <c r="AA227" t="s">
        <v>2133</v>
      </c>
      <c r="AB227" t="s">
        <v>2120</v>
      </c>
      <c r="AC227" t="s">
        <v>2119</v>
      </c>
      <c r="AD227" t="s">
        <v>2119</v>
      </c>
      <c r="AE227" t="s">
        <v>2120</v>
      </c>
      <c r="AF227" t="s">
        <v>2119</v>
      </c>
      <c r="AG227" t="s">
        <v>2120</v>
      </c>
      <c r="AH227" t="s">
        <v>2120</v>
      </c>
      <c r="AI227" t="s">
        <v>2119</v>
      </c>
      <c r="AJ227" t="s">
        <v>2119</v>
      </c>
      <c r="AK227" t="s">
        <v>2120</v>
      </c>
      <c r="AL227" t="s">
        <v>2120</v>
      </c>
      <c r="AM227" t="s">
        <v>2120</v>
      </c>
      <c r="AN227" t="s">
        <v>2119</v>
      </c>
      <c r="AO227" t="s">
        <v>2119</v>
      </c>
      <c r="AP227" t="s">
        <v>2120</v>
      </c>
      <c r="AQ227" t="s">
        <v>2119</v>
      </c>
    </row>
    <row r="228" spans="2:43" x14ac:dyDescent="0.2">
      <c r="B228" t="s">
        <v>685</v>
      </c>
      <c r="C228" t="s">
        <v>490</v>
      </c>
      <c r="D228">
        <v>0.66666666666666663</v>
      </c>
      <c r="E228" t="s">
        <v>686</v>
      </c>
      <c r="F228" t="s">
        <v>687</v>
      </c>
      <c r="H228">
        <v>43.6</v>
      </c>
      <c r="I228">
        <v>30.9</v>
      </c>
      <c r="J228">
        <v>25.5</v>
      </c>
      <c r="K228">
        <v>74.5</v>
      </c>
      <c r="L228">
        <v>56.4</v>
      </c>
      <c r="M228">
        <v>69.099999999999994</v>
      </c>
      <c r="N228">
        <v>24.5</v>
      </c>
      <c r="O228">
        <v>57.9</v>
      </c>
      <c r="P228">
        <v>17.600000000000001</v>
      </c>
      <c r="Q228">
        <v>48.5</v>
      </c>
      <c r="R228">
        <v>66.099999999999994</v>
      </c>
      <c r="S228">
        <v>38.1</v>
      </c>
      <c r="T228">
        <v>61.9</v>
      </c>
      <c r="U228">
        <v>67.3</v>
      </c>
      <c r="V228">
        <v>45</v>
      </c>
      <c r="W228">
        <v>55</v>
      </c>
      <c r="X228" t="s">
        <v>686</v>
      </c>
      <c r="Y228" t="s">
        <v>3050</v>
      </c>
      <c r="Z228" t="s">
        <v>4125</v>
      </c>
      <c r="AA228" t="s">
        <v>459</v>
      </c>
      <c r="AB228" t="s">
        <v>2119</v>
      </c>
      <c r="AC228" t="s">
        <v>2120</v>
      </c>
      <c r="AD228" t="s">
        <v>2119</v>
      </c>
      <c r="AE228" t="s">
        <v>2120</v>
      </c>
      <c r="AF228" t="s">
        <v>2120</v>
      </c>
      <c r="AG228" t="s">
        <v>2119</v>
      </c>
      <c r="AH228" t="s">
        <v>2119</v>
      </c>
      <c r="AI228" t="s">
        <v>2120</v>
      </c>
      <c r="AJ228" t="s">
        <v>2119</v>
      </c>
      <c r="AK228" t="s">
        <v>2120</v>
      </c>
      <c r="AL228" t="s">
        <v>2120</v>
      </c>
      <c r="AM228" t="s">
        <v>2119</v>
      </c>
      <c r="AN228" t="s">
        <v>2120</v>
      </c>
      <c r="AO228" t="s">
        <v>2120</v>
      </c>
      <c r="AP228" t="s">
        <v>2120</v>
      </c>
      <c r="AQ228" t="s">
        <v>2119</v>
      </c>
    </row>
    <row r="229" spans="2:43" x14ac:dyDescent="0.2">
      <c r="B229" t="s">
        <v>685</v>
      </c>
      <c r="C229" t="s">
        <v>490</v>
      </c>
      <c r="D229">
        <v>0.66666666666666663</v>
      </c>
      <c r="E229" t="s">
        <v>688</v>
      </c>
      <c r="F229" t="s">
        <v>689</v>
      </c>
      <c r="H229">
        <v>43.9</v>
      </c>
      <c r="I229">
        <v>31.3</v>
      </c>
      <c r="J229">
        <v>24.8</v>
      </c>
      <c r="K229">
        <v>75.2</v>
      </c>
      <c r="L229">
        <v>56.1</v>
      </c>
      <c r="M229">
        <v>68.7</v>
      </c>
      <c r="N229">
        <v>28.8</v>
      </c>
      <c r="O229">
        <v>51.9</v>
      </c>
      <c r="P229">
        <v>19.399999999999999</v>
      </c>
      <c r="Q229">
        <v>56.8</v>
      </c>
      <c r="R229">
        <v>64.400000000000006</v>
      </c>
      <c r="S229">
        <v>36.1</v>
      </c>
      <c r="T229">
        <v>63.9</v>
      </c>
      <c r="U229">
        <v>69.2</v>
      </c>
      <c r="V229">
        <v>43.3</v>
      </c>
      <c r="W229">
        <v>56.7</v>
      </c>
      <c r="X229" t="s">
        <v>3051</v>
      </c>
      <c r="Y229" t="s">
        <v>3052</v>
      </c>
      <c r="Z229" t="s">
        <v>4126</v>
      </c>
      <c r="AA229" t="s">
        <v>453</v>
      </c>
      <c r="AB229" t="s">
        <v>2120</v>
      </c>
      <c r="AC229" t="s">
        <v>2119</v>
      </c>
      <c r="AD229" t="s">
        <v>2119</v>
      </c>
      <c r="AE229" t="s">
        <v>2120</v>
      </c>
      <c r="AF229" t="s">
        <v>2119</v>
      </c>
      <c r="AG229" t="s">
        <v>2120</v>
      </c>
      <c r="AH229" t="s">
        <v>2119</v>
      </c>
      <c r="AI229" t="s">
        <v>2120</v>
      </c>
      <c r="AJ229" t="s">
        <v>2119</v>
      </c>
      <c r="AK229" t="s">
        <v>2119</v>
      </c>
      <c r="AL229" t="s">
        <v>2119</v>
      </c>
      <c r="AM229" t="s">
        <v>2119</v>
      </c>
      <c r="AN229" t="s">
        <v>2120</v>
      </c>
      <c r="AO229" t="s">
        <v>2120</v>
      </c>
      <c r="AP229" t="s">
        <v>2119</v>
      </c>
      <c r="AQ229" t="s">
        <v>2120</v>
      </c>
    </row>
    <row r="230" spans="2:43" x14ac:dyDescent="0.2">
      <c r="B230" t="s">
        <v>485</v>
      </c>
      <c r="C230" t="s">
        <v>490</v>
      </c>
      <c r="D230">
        <v>0.66666666666666663</v>
      </c>
      <c r="E230" t="s">
        <v>690</v>
      </c>
      <c r="F230" t="s">
        <v>691</v>
      </c>
      <c r="H230">
        <v>54.6</v>
      </c>
      <c r="I230">
        <v>26.3</v>
      </c>
      <c r="J230">
        <v>19.2</v>
      </c>
      <c r="K230">
        <v>80.8</v>
      </c>
      <c r="L230">
        <v>45.4</v>
      </c>
      <c r="M230">
        <v>73.7</v>
      </c>
      <c r="N230">
        <v>44.4</v>
      </c>
      <c r="O230">
        <v>42.5</v>
      </c>
      <c r="P230">
        <v>13.1</v>
      </c>
      <c r="Q230">
        <v>67.099999999999994</v>
      </c>
      <c r="R230">
        <v>75.400000000000006</v>
      </c>
      <c r="S230">
        <v>49.4</v>
      </c>
      <c r="T230">
        <v>50.6</v>
      </c>
      <c r="U230">
        <v>57.6</v>
      </c>
      <c r="V230">
        <v>50.9</v>
      </c>
      <c r="W230">
        <v>49.1</v>
      </c>
      <c r="X230" t="s">
        <v>690</v>
      </c>
      <c r="Y230" t="s">
        <v>3114</v>
      </c>
      <c r="Z230" t="s">
        <v>4127</v>
      </c>
      <c r="AA230" t="s">
        <v>2743</v>
      </c>
      <c r="AB230" t="s">
        <v>2119</v>
      </c>
      <c r="AC230" t="s">
        <v>2120</v>
      </c>
      <c r="AD230" t="s">
        <v>2119</v>
      </c>
      <c r="AE230" t="s">
        <v>2120</v>
      </c>
      <c r="AF230" t="s">
        <v>2120</v>
      </c>
      <c r="AG230" t="s">
        <v>2119</v>
      </c>
      <c r="AH230" t="s">
        <v>2119</v>
      </c>
      <c r="AI230" t="s">
        <v>2120</v>
      </c>
      <c r="AJ230" t="s">
        <v>2119</v>
      </c>
      <c r="AK230" t="s">
        <v>2119</v>
      </c>
      <c r="AL230" t="s">
        <v>2119</v>
      </c>
      <c r="AM230" t="s">
        <v>2119</v>
      </c>
      <c r="AN230" t="s">
        <v>2120</v>
      </c>
      <c r="AO230" t="s">
        <v>2120</v>
      </c>
      <c r="AP230" t="s">
        <v>2119</v>
      </c>
      <c r="AQ230" t="s">
        <v>2120</v>
      </c>
    </row>
    <row r="231" spans="2:43" x14ac:dyDescent="0.2">
      <c r="B231" t="s">
        <v>488</v>
      </c>
      <c r="C231" t="s">
        <v>490</v>
      </c>
      <c r="D231">
        <v>0.66666666666666663</v>
      </c>
      <c r="E231" t="s">
        <v>692</v>
      </c>
      <c r="F231" t="s">
        <v>693</v>
      </c>
      <c r="H231">
        <v>37.5</v>
      </c>
      <c r="I231">
        <v>28.6</v>
      </c>
      <c r="J231">
        <v>33.9</v>
      </c>
      <c r="K231">
        <v>66.099999999999994</v>
      </c>
      <c r="L231">
        <v>62.5</v>
      </c>
      <c r="M231">
        <v>71.400000000000006</v>
      </c>
      <c r="N231">
        <v>34</v>
      </c>
      <c r="O231">
        <v>41</v>
      </c>
      <c r="P231">
        <v>25</v>
      </c>
      <c r="Q231">
        <v>73.2</v>
      </c>
      <c r="R231">
        <v>76.7</v>
      </c>
      <c r="S231">
        <v>51.1</v>
      </c>
      <c r="T231">
        <v>48.9</v>
      </c>
      <c r="U231">
        <v>54.4</v>
      </c>
      <c r="V231">
        <v>56.6</v>
      </c>
      <c r="W231">
        <v>43.4</v>
      </c>
      <c r="X231" t="s">
        <v>692</v>
      </c>
      <c r="Y231" t="s">
        <v>3117</v>
      </c>
      <c r="Z231" t="s">
        <v>4128</v>
      </c>
      <c r="AA231" t="s">
        <v>460</v>
      </c>
      <c r="AB231" t="s">
        <v>2119</v>
      </c>
      <c r="AC231" t="s">
        <v>2119</v>
      </c>
      <c r="AD231" t="s">
        <v>2120</v>
      </c>
      <c r="AE231" t="s">
        <v>2119</v>
      </c>
      <c r="AF231" t="s">
        <v>2120</v>
      </c>
      <c r="AG231" t="s">
        <v>2120</v>
      </c>
      <c r="AH231" t="s">
        <v>2119</v>
      </c>
      <c r="AI231" t="s">
        <v>2119</v>
      </c>
      <c r="AJ231" t="s">
        <v>2120</v>
      </c>
      <c r="AK231" t="s">
        <v>2120</v>
      </c>
      <c r="AL231" t="s">
        <v>2120</v>
      </c>
      <c r="AM231" t="s">
        <v>2120</v>
      </c>
      <c r="AN231" t="s">
        <v>2119</v>
      </c>
      <c r="AO231" t="s">
        <v>2120</v>
      </c>
      <c r="AP231" t="s">
        <v>2120</v>
      </c>
      <c r="AQ231" t="s">
        <v>2119</v>
      </c>
    </row>
    <row r="232" spans="2:43" x14ac:dyDescent="0.2">
      <c r="B232" t="s">
        <v>479</v>
      </c>
      <c r="C232" t="s">
        <v>490</v>
      </c>
      <c r="D232">
        <v>0.66666666666666663</v>
      </c>
      <c r="E232" t="s">
        <v>694</v>
      </c>
      <c r="F232" t="s">
        <v>695</v>
      </c>
      <c r="H232">
        <v>59.3</v>
      </c>
      <c r="I232">
        <v>24.4</v>
      </c>
      <c r="J232">
        <v>16.3</v>
      </c>
      <c r="K232">
        <v>83.7</v>
      </c>
      <c r="L232">
        <v>40.700000000000003</v>
      </c>
      <c r="M232">
        <v>75.599999999999994</v>
      </c>
      <c r="N232">
        <v>42.9</v>
      </c>
      <c r="O232">
        <v>41.2</v>
      </c>
      <c r="P232">
        <v>15.9</v>
      </c>
      <c r="Q232">
        <v>70.099999999999994</v>
      </c>
      <c r="R232">
        <v>78.900000000000006</v>
      </c>
      <c r="S232">
        <v>54.4</v>
      </c>
      <c r="T232">
        <v>45.6</v>
      </c>
      <c r="U232">
        <v>53.4</v>
      </c>
      <c r="V232">
        <v>52.7</v>
      </c>
      <c r="W232">
        <v>47.3</v>
      </c>
      <c r="X232" t="s">
        <v>3516</v>
      </c>
      <c r="Y232" t="s">
        <v>695</v>
      </c>
      <c r="Z232" t="s">
        <v>4129</v>
      </c>
      <c r="AA232" t="s">
        <v>459</v>
      </c>
      <c r="AB232" t="s">
        <v>2119</v>
      </c>
      <c r="AC232" t="s">
        <v>2120</v>
      </c>
      <c r="AD232" t="s">
        <v>2119</v>
      </c>
      <c r="AE232" t="s">
        <v>2120</v>
      </c>
      <c r="AF232" t="s">
        <v>2120</v>
      </c>
      <c r="AG232" t="s">
        <v>2119</v>
      </c>
      <c r="AH232" t="s">
        <v>2119</v>
      </c>
      <c r="AI232" t="s">
        <v>2119</v>
      </c>
      <c r="AJ232" t="s">
        <v>2120</v>
      </c>
      <c r="AK232" t="s">
        <v>2120</v>
      </c>
      <c r="AL232" t="s">
        <v>2120</v>
      </c>
      <c r="AM232" t="s">
        <v>2119</v>
      </c>
      <c r="AN232" t="s">
        <v>2120</v>
      </c>
      <c r="AO232" t="s">
        <v>2120</v>
      </c>
      <c r="AP232" t="s">
        <v>2120</v>
      </c>
      <c r="AQ232" t="s">
        <v>2119</v>
      </c>
    </row>
    <row r="233" spans="2:43" x14ac:dyDescent="0.2">
      <c r="B233" t="s">
        <v>470</v>
      </c>
      <c r="C233" t="s">
        <v>490</v>
      </c>
      <c r="D233">
        <v>0.70833333333333337</v>
      </c>
      <c r="E233" t="s">
        <v>696</v>
      </c>
      <c r="F233" t="s">
        <v>697</v>
      </c>
      <c r="H233">
        <v>30.4</v>
      </c>
      <c r="I233">
        <v>32.299999999999997</v>
      </c>
      <c r="J233">
        <v>37.299999999999997</v>
      </c>
      <c r="K233">
        <v>62.7</v>
      </c>
      <c r="L233">
        <v>69.599999999999994</v>
      </c>
      <c r="M233">
        <v>67.7</v>
      </c>
      <c r="N233">
        <v>15.7</v>
      </c>
      <c r="O233">
        <v>56.4</v>
      </c>
      <c r="P233">
        <v>27.9</v>
      </c>
      <c r="Q233">
        <v>50.3</v>
      </c>
      <c r="R233">
        <v>65.3</v>
      </c>
      <c r="S233">
        <v>37.1</v>
      </c>
      <c r="T233">
        <v>62.9</v>
      </c>
      <c r="U233">
        <v>67.900000000000006</v>
      </c>
      <c r="V233">
        <v>45.2</v>
      </c>
      <c r="W233">
        <v>54.8</v>
      </c>
      <c r="X233" t="s">
        <v>696</v>
      </c>
      <c r="Y233" t="s">
        <v>2760</v>
      </c>
      <c r="Z233" t="s">
        <v>4130</v>
      </c>
      <c r="AA233" t="s">
        <v>453</v>
      </c>
      <c r="AB233" t="s">
        <v>2120</v>
      </c>
      <c r="AC233" t="s">
        <v>2119</v>
      </c>
      <c r="AD233" t="s">
        <v>2119</v>
      </c>
      <c r="AE233" t="s">
        <v>2120</v>
      </c>
      <c r="AF233" t="s">
        <v>2119</v>
      </c>
      <c r="AG233" t="s">
        <v>2120</v>
      </c>
      <c r="AH233" t="s">
        <v>2119</v>
      </c>
      <c r="AI233" t="s">
        <v>2120</v>
      </c>
      <c r="AJ233" t="s">
        <v>2119</v>
      </c>
      <c r="AK233" t="s">
        <v>2119</v>
      </c>
      <c r="AL233" t="s">
        <v>2119</v>
      </c>
      <c r="AM233" t="s">
        <v>2119</v>
      </c>
      <c r="AN233" t="s">
        <v>2120</v>
      </c>
      <c r="AO233" t="s">
        <v>2120</v>
      </c>
      <c r="AP233" t="s">
        <v>2119</v>
      </c>
      <c r="AQ233" t="s">
        <v>2120</v>
      </c>
    </row>
    <row r="234" spans="2:43" x14ac:dyDescent="0.2">
      <c r="B234" t="s">
        <v>647</v>
      </c>
      <c r="C234" t="s">
        <v>490</v>
      </c>
      <c r="D234">
        <v>0.70833333333333337</v>
      </c>
      <c r="E234" t="s">
        <v>698</v>
      </c>
      <c r="F234" t="s">
        <v>699</v>
      </c>
      <c r="H234">
        <v>28.1</v>
      </c>
      <c r="I234">
        <v>34.6</v>
      </c>
      <c r="J234">
        <v>37.200000000000003</v>
      </c>
      <c r="K234">
        <v>62.8</v>
      </c>
      <c r="L234">
        <v>71.900000000000006</v>
      </c>
      <c r="M234">
        <v>65.400000000000006</v>
      </c>
      <c r="N234">
        <v>18.2</v>
      </c>
      <c r="O234">
        <v>56.4</v>
      </c>
      <c r="P234">
        <v>25.5</v>
      </c>
      <c r="Q234">
        <v>50.7</v>
      </c>
      <c r="R234">
        <v>58.2</v>
      </c>
      <c r="S234">
        <v>29.8</v>
      </c>
      <c r="T234">
        <v>70.2</v>
      </c>
      <c r="U234">
        <v>74.599999999999994</v>
      </c>
      <c r="V234">
        <v>38.9</v>
      </c>
      <c r="W234">
        <v>61.1</v>
      </c>
      <c r="X234" t="s">
        <v>337</v>
      </c>
      <c r="Y234" t="s">
        <v>2765</v>
      </c>
      <c r="Z234" t="s">
        <v>4131</v>
      </c>
      <c r="AA234" t="s">
        <v>2743</v>
      </c>
      <c r="AB234" t="s">
        <v>2119</v>
      </c>
      <c r="AC234" t="s">
        <v>2120</v>
      </c>
      <c r="AD234" t="s">
        <v>2119</v>
      </c>
      <c r="AE234" t="s">
        <v>2120</v>
      </c>
      <c r="AF234" t="s">
        <v>2120</v>
      </c>
      <c r="AG234" t="s">
        <v>2119</v>
      </c>
      <c r="AH234" t="s">
        <v>2119</v>
      </c>
      <c r="AI234" t="s">
        <v>2120</v>
      </c>
      <c r="AJ234" t="s">
        <v>2119</v>
      </c>
      <c r="AK234" t="s">
        <v>2119</v>
      </c>
      <c r="AL234" t="s">
        <v>2119</v>
      </c>
      <c r="AM234" t="s">
        <v>2119</v>
      </c>
      <c r="AN234" t="s">
        <v>2120</v>
      </c>
      <c r="AO234" t="s">
        <v>2120</v>
      </c>
      <c r="AP234" t="s">
        <v>2119</v>
      </c>
      <c r="AQ234" t="s">
        <v>2120</v>
      </c>
    </row>
    <row r="235" spans="2:43" x14ac:dyDescent="0.2">
      <c r="B235" t="s">
        <v>647</v>
      </c>
      <c r="C235" t="s">
        <v>490</v>
      </c>
      <c r="D235">
        <v>0.70833333333333337</v>
      </c>
      <c r="E235" t="s">
        <v>700</v>
      </c>
      <c r="F235" t="s">
        <v>701</v>
      </c>
      <c r="H235">
        <v>30.7</v>
      </c>
      <c r="I235">
        <v>36.1</v>
      </c>
      <c r="J235">
        <v>33.299999999999997</v>
      </c>
      <c r="K235">
        <v>66.7</v>
      </c>
      <c r="L235">
        <v>69.3</v>
      </c>
      <c r="M235">
        <v>63.9</v>
      </c>
      <c r="N235">
        <v>15.3</v>
      </c>
      <c r="O235">
        <v>58.2</v>
      </c>
      <c r="P235">
        <v>26.5</v>
      </c>
      <c r="Q235">
        <v>48</v>
      </c>
      <c r="R235">
        <v>54</v>
      </c>
      <c r="S235">
        <v>26</v>
      </c>
      <c r="T235">
        <v>74</v>
      </c>
      <c r="U235">
        <v>77.900000000000006</v>
      </c>
      <c r="V235">
        <v>35.700000000000003</v>
      </c>
      <c r="W235">
        <v>64.3</v>
      </c>
      <c r="X235" t="s">
        <v>374</v>
      </c>
      <c r="Y235" t="s">
        <v>330</v>
      </c>
      <c r="Z235" t="s">
        <v>4132</v>
      </c>
      <c r="AA235" t="s">
        <v>2743</v>
      </c>
      <c r="AB235" t="s">
        <v>2119</v>
      </c>
      <c r="AC235" t="s">
        <v>2120</v>
      </c>
      <c r="AD235" t="s">
        <v>2119</v>
      </c>
      <c r="AE235" t="s">
        <v>2120</v>
      </c>
      <c r="AF235" t="s">
        <v>2120</v>
      </c>
      <c r="AG235" t="s">
        <v>2119</v>
      </c>
      <c r="AH235" t="s">
        <v>2119</v>
      </c>
      <c r="AI235" t="s">
        <v>2120</v>
      </c>
      <c r="AJ235" t="s">
        <v>2119</v>
      </c>
      <c r="AK235" t="s">
        <v>2119</v>
      </c>
      <c r="AL235" t="s">
        <v>2119</v>
      </c>
      <c r="AM235" t="s">
        <v>2119</v>
      </c>
      <c r="AN235" t="s">
        <v>2120</v>
      </c>
      <c r="AO235" t="s">
        <v>2120</v>
      </c>
      <c r="AP235" t="s">
        <v>2119</v>
      </c>
      <c r="AQ235" t="s">
        <v>2120</v>
      </c>
    </row>
    <row r="236" spans="2:43" x14ac:dyDescent="0.2">
      <c r="B236" t="s">
        <v>647</v>
      </c>
      <c r="C236" t="s">
        <v>490</v>
      </c>
      <c r="D236">
        <v>0.70833333333333337</v>
      </c>
      <c r="E236" t="s">
        <v>702</v>
      </c>
      <c r="F236" t="s">
        <v>700</v>
      </c>
      <c r="H236">
        <v>50.1</v>
      </c>
      <c r="I236">
        <v>31.3</v>
      </c>
      <c r="J236">
        <v>18.600000000000001</v>
      </c>
      <c r="K236">
        <v>81.400000000000006</v>
      </c>
      <c r="L236">
        <v>49.9</v>
      </c>
      <c r="M236">
        <v>68.7</v>
      </c>
      <c r="N236">
        <v>31.7</v>
      </c>
      <c r="O236">
        <v>58.9</v>
      </c>
      <c r="P236">
        <v>9.3000000000000007</v>
      </c>
      <c r="Q236">
        <v>45.4</v>
      </c>
      <c r="R236">
        <v>59.1</v>
      </c>
      <c r="S236">
        <v>30.8</v>
      </c>
      <c r="T236">
        <v>69.2</v>
      </c>
      <c r="U236">
        <v>74.900000000000006</v>
      </c>
      <c r="V236">
        <v>36.299999999999997</v>
      </c>
      <c r="W236">
        <v>63.7</v>
      </c>
      <c r="X236" t="s">
        <v>328</v>
      </c>
      <c r="Y236" t="s">
        <v>374</v>
      </c>
      <c r="Z236" t="s">
        <v>4133</v>
      </c>
      <c r="AA236" t="s">
        <v>2743</v>
      </c>
      <c r="AB236" t="s">
        <v>2119</v>
      </c>
      <c r="AC236" t="s">
        <v>2120</v>
      </c>
      <c r="AD236" t="s">
        <v>2119</v>
      </c>
      <c r="AE236" t="s">
        <v>2120</v>
      </c>
      <c r="AF236" t="s">
        <v>2120</v>
      </c>
      <c r="AG236" t="s">
        <v>2119</v>
      </c>
      <c r="AH236" t="s">
        <v>2119</v>
      </c>
      <c r="AI236" t="s">
        <v>2120</v>
      </c>
      <c r="AJ236" t="s">
        <v>2119</v>
      </c>
      <c r="AK236" t="s">
        <v>2119</v>
      </c>
      <c r="AL236" t="s">
        <v>2119</v>
      </c>
      <c r="AM236" t="s">
        <v>2119</v>
      </c>
      <c r="AN236" t="s">
        <v>2120</v>
      </c>
      <c r="AO236" t="s">
        <v>2120</v>
      </c>
      <c r="AP236" t="s">
        <v>2119</v>
      </c>
      <c r="AQ236" t="s">
        <v>2120</v>
      </c>
    </row>
    <row r="237" spans="2:43" x14ac:dyDescent="0.2">
      <c r="B237" t="s">
        <v>647</v>
      </c>
      <c r="C237" t="s">
        <v>490</v>
      </c>
      <c r="D237">
        <v>0.70833333333333337</v>
      </c>
      <c r="E237" t="s">
        <v>683</v>
      </c>
      <c r="F237" t="s">
        <v>703</v>
      </c>
      <c r="H237">
        <v>34.1</v>
      </c>
      <c r="I237">
        <v>36.9</v>
      </c>
      <c r="J237">
        <v>28.9</v>
      </c>
      <c r="K237">
        <v>71.099999999999994</v>
      </c>
      <c r="L237">
        <v>65.900000000000006</v>
      </c>
      <c r="M237">
        <v>63.1</v>
      </c>
      <c r="N237">
        <v>18.600000000000001</v>
      </c>
      <c r="O237">
        <v>53.8</v>
      </c>
      <c r="P237">
        <v>27.6</v>
      </c>
      <c r="Q237">
        <v>54.2</v>
      </c>
      <c r="R237">
        <v>50.9</v>
      </c>
      <c r="S237">
        <v>23.4</v>
      </c>
      <c r="T237">
        <v>76.599999999999994</v>
      </c>
      <c r="U237">
        <v>80.3</v>
      </c>
      <c r="V237">
        <v>33.200000000000003</v>
      </c>
      <c r="W237">
        <v>66.8</v>
      </c>
      <c r="X237" t="s">
        <v>683</v>
      </c>
      <c r="Y237" t="s">
        <v>703</v>
      </c>
      <c r="Z237" t="s">
        <v>4134</v>
      </c>
      <c r="AA237" t="s">
        <v>2743</v>
      </c>
      <c r="AB237" t="s">
        <v>2119</v>
      </c>
      <c r="AC237" t="s">
        <v>2120</v>
      </c>
      <c r="AD237" t="s">
        <v>2119</v>
      </c>
      <c r="AE237" t="s">
        <v>2120</v>
      </c>
      <c r="AF237" t="s">
        <v>2120</v>
      </c>
      <c r="AG237" t="s">
        <v>2119</v>
      </c>
      <c r="AH237" t="s">
        <v>2119</v>
      </c>
      <c r="AI237" t="s">
        <v>2120</v>
      </c>
      <c r="AJ237" t="s">
        <v>2119</v>
      </c>
      <c r="AK237" t="s">
        <v>2119</v>
      </c>
      <c r="AL237" t="s">
        <v>2119</v>
      </c>
      <c r="AM237" t="s">
        <v>2119</v>
      </c>
      <c r="AN237" t="s">
        <v>2120</v>
      </c>
      <c r="AO237" t="s">
        <v>2120</v>
      </c>
      <c r="AP237" t="s">
        <v>2119</v>
      </c>
      <c r="AQ237" t="s">
        <v>2120</v>
      </c>
    </row>
    <row r="238" spans="2:43" x14ac:dyDescent="0.2">
      <c r="B238" t="s">
        <v>647</v>
      </c>
      <c r="C238" t="s">
        <v>490</v>
      </c>
      <c r="D238">
        <v>0.70833333333333337</v>
      </c>
      <c r="E238" t="s">
        <v>704</v>
      </c>
      <c r="F238" t="s">
        <v>682</v>
      </c>
      <c r="H238">
        <v>41.8</v>
      </c>
      <c r="I238">
        <v>34.5</v>
      </c>
      <c r="J238">
        <v>23.7</v>
      </c>
      <c r="K238">
        <v>76.3</v>
      </c>
      <c r="L238">
        <v>58.2</v>
      </c>
      <c r="M238">
        <v>65.5</v>
      </c>
      <c r="N238">
        <v>30.6</v>
      </c>
      <c r="O238">
        <v>55.4</v>
      </c>
      <c r="P238">
        <v>14</v>
      </c>
      <c r="Q238">
        <v>51.1</v>
      </c>
      <c r="R238">
        <v>54.9</v>
      </c>
      <c r="S238">
        <v>26.9</v>
      </c>
      <c r="T238">
        <v>73.099999999999994</v>
      </c>
      <c r="U238">
        <v>77.599999999999994</v>
      </c>
      <c r="V238">
        <v>35.299999999999997</v>
      </c>
      <c r="W238">
        <v>64.7</v>
      </c>
      <c r="X238" t="s">
        <v>333</v>
      </c>
      <c r="Y238" t="s">
        <v>2763</v>
      </c>
      <c r="Z238" t="s">
        <v>4135</v>
      </c>
      <c r="AA238" t="s">
        <v>2743</v>
      </c>
      <c r="AB238" t="s">
        <v>2119</v>
      </c>
      <c r="AC238" t="s">
        <v>2120</v>
      </c>
      <c r="AD238" t="s">
        <v>2119</v>
      </c>
      <c r="AE238" t="s">
        <v>2120</v>
      </c>
      <c r="AF238" t="s">
        <v>2120</v>
      </c>
      <c r="AG238" t="s">
        <v>2119</v>
      </c>
      <c r="AH238" t="s">
        <v>2119</v>
      </c>
      <c r="AI238" t="s">
        <v>2120</v>
      </c>
      <c r="AJ238" t="s">
        <v>2119</v>
      </c>
      <c r="AK238" t="s">
        <v>2119</v>
      </c>
      <c r="AL238" t="s">
        <v>2119</v>
      </c>
      <c r="AM238" t="s">
        <v>2119</v>
      </c>
      <c r="AN238" t="s">
        <v>2120</v>
      </c>
      <c r="AO238" t="s">
        <v>2120</v>
      </c>
      <c r="AP238" t="s">
        <v>2119</v>
      </c>
      <c r="AQ238" t="s">
        <v>2120</v>
      </c>
    </row>
    <row r="239" spans="2:43" x14ac:dyDescent="0.2">
      <c r="B239" t="s">
        <v>705</v>
      </c>
      <c r="C239" t="s">
        <v>490</v>
      </c>
      <c r="D239">
        <v>0.70833333333333337</v>
      </c>
      <c r="E239" t="s">
        <v>706</v>
      </c>
      <c r="F239" t="s">
        <v>707</v>
      </c>
      <c r="H239">
        <v>29.1</v>
      </c>
      <c r="I239">
        <v>35.1</v>
      </c>
      <c r="J239">
        <v>35.799999999999997</v>
      </c>
      <c r="K239">
        <v>64.2</v>
      </c>
      <c r="L239">
        <v>70.900000000000006</v>
      </c>
      <c r="M239">
        <v>64.900000000000006</v>
      </c>
      <c r="N239">
        <v>25.8</v>
      </c>
      <c r="O239">
        <v>54.3</v>
      </c>
      <c r="P239">
        <v>19.899999999999999</v>
      </c>
      <c r="Q239">
        <v>53.6</v>
      </c>
      <c r="R239">
        <v>56.8</v>
      </c>
      <c r="S239">
        <v>28.5</v>
      </c>
      <c r="T239">
        <v>71.5</v>
      </c>
      <c r="U239">
        <v>75.7</v>
      </c>
      <c r="V239">
        <v>37.799999999999997</v>
      </c>
      <c r="W239">
        <v>62.2</v>
      </c>
      <c r="X239" t="s">
        <v>706</v>
      </c>
      <c r="Y239" t="s">
        <v>2771</v>
      </c>
      <c r="Z239" t="s">
        <v>4136</v>
      </c>
      <c r="AA239" t="s">
        <v>447</v>
      </c>
      <c r="AB239" t="s">
        <v>2119</v>
      </c>
      <c r="AC239" t="s">
        <v>2120</v>
      </c>
      <c r="AD239" t="s">
        <v>2119</v>
      </c>
      <c r="AE239" t="s">
        <v>2120</v>
      </c>
      <c r="AF239" t="s">
        <v>2120</v>
      </c>
      <c r="AG239" t="s">
        <v>2119</v>
      </c>
      <c r="AH239" t="s">
        <v>2119</v>
      </c>
      <c r="AI239" t="s">
        <v>2120</v>
      </c>
      <c r="AJ239" t="s">
        <v>2119</v>
      </c>
      <c r="AK239" t="s">
        <v>2119</v>
      </c>
      <c r="AL239" t="s">
        <v>2119</v>
      </c>
      <c r="AM239" t="s">
        <v>2119</v>
      </c>
      <c r="AN239" t="s">
        <v>2120</v>
      </c>
      <c r="AO239" t="s">
        <v>2120</v>
      </c>
      <c r="AP239" t="s">
        <v>2119</v>
      </c>
      <c r="AQ239" t="s">
        <v>2120</v>
      </c>
    </row>
    <row r="240" spans="2:43" x14ac:dyDescent="0.2">
      <c r="B240" t="s">
        <v>705</v>
      </c>
      <c r="C240" t="s">
        <v>490</v>
      </c>
      <c r="D240">
        <v>0.70833333333333337</v>
      </c>
      <c r="E240" t="s">
        <v>708</v>
      </c>
      <c r="F240" t="s">
        <v>709</v>
      </c>
      <c r="H240">
        <v>45.7</v>
      </c>
      <c r="I240">
        <v>32.299999999999997</v>
      </c>
      <c r="J240">
        <v>21.9</v>
      </c>
      <c r="K240">
        <v>78.099999999999994</v>
      </c>
      <c r="L240">
        <v>54.3</v>
      </c>
      <c r="M240">
        <v>67.7</v>
      </c>
      <c r="N240">
        <v>28.1</v>
      </c>
      <c r="O240">
        <v>52.2</v>
      </c>
      <c r="P240">
        <v>19.7</v>
      </c>
      <c r="Q240">
        <v>56.4</v>
      </c>
      <c r="R240">
        <v>59.4</v>
      </c>
      <c r="S240">
        <v>31.1</v>
      </c>
      <c r="T240">
        <v>68.900000000000006</v>
      </c>
      <c r="U240">
        <v>74.099999999999994</v>
      </c>
      <c r="V240">
        <v>38.200000000000003</v>
      </c>
      <c r="W240">
        <v>61.8</v>
      </c>
      <c r="X240" t="s">
        <v>708</v>
      </c>
      <c r="Y240" t="s">
        <v>2772</v>
      </c>
      <c r="Z240" t="s">
        <v>4137</v>
      </c>
      <c r="AA240" t="s">
        <v>2128</v>
      </c>
      <c r="AB240" t="s">
        <v>2120</v>
      </c>
      <c r="AC240" t="s">
        <v>2119</v>
      </c>
      <c r="AD240" t="s">
        <v>2119</v>
      </c>
      <c r="AE240" t="s">
        <v>2120</v>
      </c>
      <c r="AF240" t="s">
        <v>2119</v>
      </c>
      <c r="AG240" t="s">
        <v>2120</v>
      </c>
      <c r="AH240" t="s">
        <v>2120</v>
      </c>
      <c r="AI240" t="s">
        <v>2119</v>
      </c>
      <c r="AJ240" t="s">
        <v>2119</v>
      </c>
      <c r="AK240" t="s">
        <v>2120</v>
      </c>
      <c r="AL240" t="s">
        <v>2120</v>
      </c>
      <c r="AM240" t="s">
        <v>2119</v>
      </c>
      <c r="AN240" t="s">
        <v>2120</v>
      </c>
      <c r="AO240" t="s">
        <v>2120</v>
      </c>
      <c r="AP240" t="s">
        <v>2119</v>
      </c>
      <c r="AQ240" t="s">
        <v>2120</v>
      </c>
    </row>
    <row r="241" spans="2:43" x14ac:dyDescent="0.2">
      <c r="B241" t="s">
        <v>705</v>
      </c>
      <c r="C241" t="s">
        <v>490</v>
      </c>
      <c r="D241">
        <v>0.70833333333333337</v>
      </c>
      <c r="E241" t="s">
        <v>710</v>
      </c>
      <c r="F241" t="s">
        <v>711</v>
      </c>
      <c r="H241">
        <v>30.1</v>
      </c>
      <c r="I241">
        <v>35.5</v>
      </c>
      <c r="J241">
        <v>34.4</v>
      </c>
      <c r="K241">
        <v>65.599999999999994</v>
      </c>
      <c r="L241">
        <v>69.900000000000006</v>
      </c>
      <c r="M241">
        <v>64.5</v>
      </c>
      <c r="N241">
        <v>16.399999999999999</v>
      </c>
      <c r="O241">
        <v>56.4</v>
      </c>
      <c r="P241">
        <v>27.2</v>
      </c>
      <c r="Q241">
        <v>50.4</v>
      </c>
      <c r="R241">
        <v>55.6</v>
      </c>
      <c r="S241">
        <v>27.5</v>
      </c>
      <c r="T241">
        <v>72.5</v>
      </c>
      <c r="U241">
        <v>76.599999999999994</v>
      </c>
      <c r="V241">
        <v>37</v>
      </c>
      <c r="W241">
        <v>63</v>
      </c>
      <c r="X241" t="s">
        <v>2773</v>
      </c>
      <c r="Y241" t="s">
        <v>711</v>
      </c>
      <c r="Z241" t="s">
        <v>4138</v>
      </c>
      <c r="AA241" t="s">
        <v>453</v>
      </c>
      <c r="AB241" t="s">
        <v>2120</v>
      </c>
      <c r="AC241" t="s">
        <v>2119</v>
      </c>
      <c r="AD241" t="s">
        <v>2119</v>
      </c>
      <c r="AE241" t="s">
        <v>2120</v>
      </c>
      <c r="AF241" t="s">
        <v>2119</v>
      </c>
      <c r="AG241" t="s">
        <v>2120</v>
      </c>
      <c r="AH241" t="s">
        <v>2120</v>
      </c>
      <c r="AI241" t="s">
        <v>2119</v>
      </c>
      <c r="AJ241" t="s">
        <v>2119</v>
      </c>
      <c r="AK241" t="s">
        <v>2120</v>
      </c>
      <c r="AL241" t="s">
        <v>2119</v>
      </c>
      <c r="AM241" t="s">
        <v>2119</v>
      </c>
      <c r="AN241" t="s">
        <v>2120</v>
      </c>
      <c r="AO241" t="s">
        <v>2120</v>
      </c>
      <c r="AP241" t="s">
        <v>2119</v>
      </c>
      <c r="AQ241" t="s">
        <v>2120</v>
      </c>
    </row>
    <row r="242" spans="2:43" x14ac:dyDescent="0.2">
      <c r="B242" t="s">
        <v>705</v>
      </c>
      <c r="C242" t="s">
        <v>490</v>
      </c>
      <c r="D242">
        <v>0.70833333333333337</v>
      </c>
      <c r="E242" t="s">
        <v>712</v>
      </c>
      <c r="F242" t="s">
        <v>713</v>
      </c>
      <c r="H242">
        <v>43.2</v>
      </c>
      <c r="I242">
        <v>30.8</v>
      </c>
      <c r="J242">
        <v>25.9</v>
      </c>
      <c r="K242">
        <v>74.099999999999994</v>
      </c>
      <c r="L242">
        <v>56.8</v>
      </c>
      <c r="M242">
        <v>69.2</v>
      </c>
      <c r="N242">
        <v>28.5</v>
      </c>
      <c r="O242">
        <v>50.2</v>
      </c>
      <c r="P242">
        <v>21.4</v>
      </c>
      <c r="Q242">
        <v>59.4</v>
      </c>
      <c r="R242">
        <v>66.400000000000006</v>
      </c>
      <c r="S242">
        <v>38.4</v>
      </c>
      <c r="T242">
        <v>61.6</v>
      </c>
      <c r="U242">
        <v>67</v>
      </c>
      <c r="V242">
        <v>45.4</v>
      </c>
      <c r="W242">
        <v>54.6</v>
      </c>
      <c r="X242" t="s">
        <v>2774</v>
      </c>
      <c r="Y242" t="s">
        <v>713</v>
      </c>
      <c r="Z242" t="s">
        <v>4139</v>
      </c>
      <c r="AA242" t="s">
        <v>460</v>
      </c>
      <c r="AB242" t="s">
        <v>2119</v>
      </c>
      <c r="AC242" t="s">
        <v>2119</v>
      </c>
      <c r="AD242" t="s">
        <v>2120</v>
      </c>
      <c r="AE242" t="s">
        <v>2119</v>
      </c>
      <c r="AF242" t="s">
        <v>2120</v>
      </c>
      <c r="AG242" t="s">
        <v>2120</v>
      </c>
      <c r="AH242" t="s">
        <v>2119</v>
      </c>
      <c r="AI242" t="s">
        <v>2120</v>
      </c>
      <c r="AJ242" t="s">
        <v>2119</v>
      </c>
      <c r="AK242" t="s">
        <v>2120</v>
      </c>
      <c r="AL242" t="s">
        <v>2120</v>
      </c>
      <c r="AM242" t="s">
        <v>2120</v>
      </c>
      <c r="AN242" t="s">
        <v>2119</v>
      </c>
      <c r="AO242" t="s">
        <v>2120</v>
      </c>
      <c r="AP242" t="s">
        <v>2120</v>
      </c>
      <c r="AQ242" t="s">
        <v>2119</v>
      </c>
    </row>
    <row r="243" spans="2:43" x14ac:dyDescent="0.2">
      <c r="B243" t="s">
        <v>705</v>
      </c>
      <c r="C243" t="s">
        <v>490</v>
      </c>
      <c r="D243">
        <v>0.70833333333333337</v>
      </c>
      <c r="E243" t="s">
        <v>714</v>
      </c>
      <c r="F243" t="s">
        <v>715</v>
      </c>
      <c r="H243">
        <v>36.799999999999997</v>
      </c>
      <c r="I243">
        <v>37.799999999999997</v>
      </c>
      <c r="J243">
        <v>25.4</v>
      </c>
      <c r="K243">
        <v>74.599999999999994</v>
      </c>
      <c r="L243">
        <v>63.2</v>
      </c>
      <c r="M243">
        <v>62.2</v>
      </c>
      <c r="N243">
        <v>25.3</v>
      </c>
      <c r="O243">
        <v>56.7</v>
      </c>
      <c r="P243">
        <v>18</v>
      </c>
      <c r="Q243">
        <v>50.1</v>
      </c>
      <c r="R243">
        <v>47.7</v>
      </c>
      <c r="S243">
        <v>20.8</v>
      </c>
      <c r="T243">
        <v>79.2</v>
      </c>
      <c r="U243">
        <v>82.7</v>
      </c>
      <c r="V243">
        <v>30.3</v>
      </c>
      <c r="W243">
        <v>69.7</v>
      </c>
      <c r="X243" t="s">
        <v>714</v>
      </c>
      <c r="Y243" t="s">
        <v>715</v>
      </c>
      <c r="Z243" t="s">
        <v>4140</v>
      </c>
      <c r="AA243" t="s">
        <v>459</v>
      </c>
      <c r="AB243" t="s">
        <v>2119</v>
      </c>
      <c r="AC243" t="s">
        <v>2120</v>
      </c>
      <c r="AD243" t="s">
        <v>2119</v>
      </c>
      <c r="AE243" t="s">
        <v>2120</v>
      </c>
      <c r="AF243" t="s">
        <v>2120</v>
      </c>
      <c r="AG243" t="s">
        <v>2119</v>
      </c>
      <c r="AH243" t="s">
        <v>2120</v>
      </c>
      <c r="AI243" t="s">
        <v>2119</v>
      </c>
      <c r="AJ243" t="s">
        <v>2119</v>
      </c>
      <c r="AK243" t="s">
        <v>2120</v>
      </c>
      <c r="AL243" t="s">
        <v>2120</v>
      </c>
      <c r="AM243" t="s">
        <v>2119</v>
      </c>
      <c r="AN243" t="s">
        <v>2120</v>
      </c>
      <c r="AO243" t="s">
        <v>2120</v>
      </c>
      <c r="AP243" t="s">
        <v>2120</v>
      </c>
      <c r="AQ243" t="s">
        <v>2119</v>
      </c>
    </row>
    <row r="244" spans="2:43" x14ac:dyDescent="0.2">
      <c r="B244" t="s">
        <v>705</v>
      </c>
      <c r="C244" t="s">
        <v>490</v>
      </c>
      <c r="D244">
        <v>0.70833333333333337</v>
      </c>
      <c r="E244" t="s">
        <v>716</v>
      </c>
      <c r="F244" t="s">
        <v>717</v>
      </c>
      <c r="H244">
        <v>32.9</v>
      </c>
      <c r="I244">
        <v>32.1</v>
      </c>
      <c r="J244">
        <v>35</v>
      </c>
      <c r="K244">
        <v>65</v>
      </c>
      <c r="L244">
        <v>67.099999999999994</v>
      </c>
      <c r="M244">
        <v>67.900000000000006</v>
      </c>
      <c r="N244">
        <v>31.2</v>
      </c>
      <c r="O244">
        <v>43.9</v>
      </c>
      <c r="P244">
        <v>24.8</v>
      </c>
      <c r="Q244">
        <v>68.900000000000006</v>
      </c>
      <c r="R244">
        <v>65.900000000000006</v>
      </c>
      <c r="S244">
        <v>37.700000000000003</v>
      </c>
      <c r="T244">
        <v>62.3</v>
      </c>
      <c r="U244">
        <v>67.2</v>
      </c>
      <c r="V244">
        <v>45.9</v>
      </c>
      <c r="W244">
        <v>54.1</v>
      </c>
      <c r="X244" t="s">
        <v>716</v>
      </c>
      <c r="Y244" t="s">
        <v>2775</v>
      </c>
      <c r="Z244" t="s">
        <v>4141</v>
      </c>
      <c r="AA244" t="s">
        <v>447</v>
      </c>
      <c r="AB244" t="s">
        <v>2119</v>
      </c>
      <c r="AC244" t="s">
        <v>2120</v>
      </c>
      <c r="AD244" t="s">
        <v>2119</v>
      </c>
      <c r="AE244" t="s">
        <v>2120</v>
      </c>
      <c r="AF244" t="s">
        <v>2120</v>
      </c>
      <c r="AG244" t="s">
        <v>2119</v>
      </c>
      <c r="AH244" t="s">
        <v>2119</v>
      </c>
      <c r="AI244" t="s">
        <v>2120</v>
      </c>
      <c r="AJ244" t="s">
        <v>2119</v>
      </c>
      <c r="AK244" t="s">
        <v>2119</v>
      </c>
      <c r="AL244" t="s">
        <v>2119</v>
      </c>
      <c r="AM244" t="s">
        <v>2119</v>
      </c>
      <c r="AN244" t="s">
        <v>2120</v>
      </c>
      <c r="AO244" t="s">
        <v>2120</v>
      </c>
      <c r="AP244" t="s">
        <v>2119</v>
      </c>
      <c r="AQ244" t="s">
        <v>2120</v>
      </c>
    </row>
    <row r="245" spans="2:43" x14ac:dyDescent="0.2">
      <c r="B245" t="s">
        <v>705</v>
      </c>
      <c r="C245" t="s">
        <v>490</v>
      </c>
      <c r="D245">
        <v>0.70833333333333337</v>
      </c>
      <c r="E245" t="s">
        <v>718</v>
      </c>
      <c r="F245" t="s">
        <v>719</v>
      </c>
      <c r="H245">
        <v>31.1</v>
      </c>
      <c r="I245">
        <v>34.200000000000003</v>
      </c>
      <c r="J245">
        <v>34.700000000000003</v>
      </c>
      <c r="K245">
        <v>65.3</v>
      </c>
      <c r="L245">
        <v>68.900000000000006</v>
      </c>
      <c r="M245">
        <v>65.8</v>
      </c>
      <c r="N245">
        <v>28.6</v>
      </c>
      <c r="O245">
        <v>45.7</v>
      </c>
      <c r="P245">
        <v>25.7</v>
      </c>
      <c r="Q245">
        <v>66.3</v>
      </c>
      <c r="R245">
        <v>59.4</v>
      </c>
      <c r="S245">
        <v>31</v>
      </c>
      <c r="T245">
        <v>69</v>
      </c>
      <c r="U245">
        <v>73.400000000000006</v>
      </c>
      <c r="V245">
        <v>40.1</v>
      </c>
      <c r="W245">
        <v>59.9</v>
      </c>
      <c r="X245">
        <v>0</v>
      </c>
      <c r="Y245">
        <v>0</v>
      </c>
      <c r="Z245" t="s">
        <v>4111</v>
      </c>
      <c r="AA245" t="e">
        <v>#N/A</v>
      </c>
      <c r="AB245" t="e">
        <v>#N/A</v>
      </c>
      <c r="AC245" t="e">
        <v>#N/A</v>
      </c>
      <c r="AD245" t="e">
        <v>#N/A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L245" t="e">
        <v>#N/A</v>
      </c>
      <c r="AM245" t="e">
        <v>#N/A</v>
      </c>
      <c r="AN245" t="e">
        <v>#N/A</v>
      </c>
      <c r="AO245" t="e">
        <v>#N/A</v>
      </c>
      <c r="AP245" t="e">
        <v>#N/A</v>
      </c>
      <c r="AQ245" t="e">
        <v>#N/A</v>
      </c>
    </row>
    <row r="246" spans="2:43" x14ac:dyDescent="0.2">
      <c r="B246" t="s">
        <v>705</v>
      </c>
      <c r="C246" t="s">
        <v>490</v>
      </c>
      <c r="D246">
        <v>0.70833333333333337</v>
      </c>
      <c r="E246" t="s">
        <v>720</v>
      </c>
      <c r="F246" t="s">
        <v>721</v>
      </c>
      <c r="H246">
        <v>44.6</v>
      </c>
      <c r="I246">
        <v>33.799999999999997</v>
      </c>
      <c r="J246">
        <v>21.6</v>
      </c>
      <c r="K246">
        <v>78.400000000000006</v>
      </c>
      <c r="L246">
        <v>55.4</v>
      </c>
      <c r="M246">
        <v>66.2</v>
      </c>
      <c r="N246">
        <v>36.9</v>
      </c>
      <c r="O246">
        <v>49.3</v>
      </c>
      <c r="P246">
        <v>13.8</v>
      </c>
      <c r="Q246">
        <v>58.7</v>
      </c>
      <c r="R246">
        <v>55.2</v>
      </c>
      <c r="S246">
        <v>27.1</v>
      </c>
      <c r="T246">
        <v>72.900000000000006</v>
      </c>
      <c r="U246">
        <v>77.599999999999994</v>
      </c>
      <c r="V246">
        <v>34.799999999999997</v>
      </c>
      <c r="W246">
        <v>65.2</v>
      </c>
      <c r="X246" t="s">
        <v>2767</v>
      </c>
      <c r="Y246" t="s">
        <v>2768</v>
      </c>
      <c r="Z246" t="s">
        <v>4142</v>
      </c>
      <c r="AA246" t="s">
        <v>459</v>
      </c>
      <c r="AB246" t="s">
        <v>2119</v>
      </c>
      <c r="AC246" t="s">
        <v>2120</v>
      </c>
      <c r="AD246" t="s">
        <v>2119</v>
      </c>
      <c r="AE246" t="s">
        <v>2120</v>
      </c>
      <c r="AF246" t="s">
        <v>2120</v>
      </c>
      <c r="AG246" t="s">
        <v>2119</v>
      </c>
      <c r="AH246" t="s">
        <v>2119</v>
      </c>
      <c r="AI246" t="s">
        <v>2119</v>
      </c>
      <c r="AJ246" t="s">
        <v>2120</v>
      </c>
      <c r="AK246" t="s">
        <v>2120</v>
      </c>
      <c r="AL246" t="s">
        <v>2120</v>
      </c>
      <c r="AM246" t="s">
        <v>2119</v>
      </c>
      <c r="AN246" t="s">
        <v>2120</v>
      </c>
      <c r="AO246" t="s">
        <v>2120</v>
      </c>
      <c r="AP246" t="s">
        <v>2120</v>
      </c>
      <c r="AQ246" t="s">
        <v>2119</v>
      </c>
    </row>
    <row r="247" spans="2:43" x14ac:dyDescent="0.2">
      <c r="B247" t="s">
        <v>705</v>
      </c>
      <c r="C247" t="s">
        <v>490</v>
      </c>
      <c r="D247">
        <v>0.70833333333333337</v>
      </c>
      <c r="E247" t="s">
        <v>722</v>
      </c>
      <c r="F247" t="s">
        <v>723</v>
      </c>
      <c r="H247">
        <v>23.2</v>
      </c>
      <c r="I247">
        <v>33.9</v>
      </c>
      <c r="J247">
        <v>42.9</v>
      </c>
      <c r="K247">
        <v>57.1</v>
      </c>
      <c r="L247">
        <v>76.8</v>
      </c>
      <c r="M247">
        <v>66.099999999999994</v>
      </c>
      <c r="N247">
        <v>24</v>
      </c>
      <c r="O247">
        <v>54.3</v>
      </c>
      <c r="P247">
        <v>21.7</v>
      </c>
      <c r="Q247">
        <v>53.7</v>
      </c>
      <c r="R247">
        <v>59.4</v>
      </c>
      <c r="S247">
        <v>31</v>
      </c>
      <c r="T247">
        <v>69</v>
      </c>
      <c r="U247">
        <v>73.900000000000006</v>
      </c>
      <c r="V247">
        <v>38.799999999999997</v>
      </c>
      <c r="W247">
        <v>61.2</v>
      </c>
      <c r="X247" t="s">
        <v>722</v>
      </c>
      <c r="Y247" t="s">
        <v>723</v>
      </c>
      <c r="Z247" t="s">
        <v>4143</v>
      </c>
      <c r="AA247" t="s">
        <v>459</v>
      </c>
      <c r="AB247" t="s">
        <v>2119</v>
      </c>
      <c r="AC247" t="s">
        <v>2120</v>
      </c>
      <c r="AD247" t="s">
        <v>2119</v>
      </c>
      <c r="AE247" t="s">
        <v>2120</v>
      </c>
      <c r="AF247" t="s">
        <v>2120</v>
      </c>
      <c r="AG247" t="s">
        <v>2119</v>
      </c>
      <c r="AH247" t="s">
        <v>2120</v>
      </c>
      <c r="AI247" t="s">
        <v>2119</v>
      </c>
      <c r="AJ247" t="s">
        <v>2119</v>
      </c>
      <c r="AK247" t="s">
        <v>2120</v>
      </c>
      <c r="AL247" t="s">
        <v>2120</v>
      </c>
      <c r="AM247" t="s">
        <v>2119</v>
      </c>
      <c r="AN247" t="s">
        <v>2120</v>
      </c>
      <c r="AO247" t="s">
        <v>2120</v>
      </c>
      <c r="AP247" t="s">
        <v>2120</v>
      </c>
      <c r="AQ247" t="s">
        <v>2119</v>
      </c>
    </row>
    <row r="248" spans="2:43" x14ac:dyDescent="0.2">
      <c r="B248" t="s">
        <v>705</v>
      </c>
      <c r="C248" t="s">
        <v>490</v>
      </c>
      <c r="D248">
        <v>0.70833333333333337</v>
      </c>
      <c r="E248" t="s">
        <v>724</v>
      </c>
      <c r="F248" t="s">
        <v>725</v>
      </c>
      <c r="H248">
        <v>25.4</v>
      </c>
      <c r="I248">
        <v>32.9</v>
      </c>
      <c r="J248">
        <v>41.7</v>
      </c>
      <c r="K248">
        <v>58.3</v>
      </c>
      <c r="L248">
        <v>74.599999999999994</v>
      </c>
      <c r="M248">
        <v>67.099999999999994</v>
      </c>
      <c r="N248">
        <v>17.399999999999999</v>
      </c>
      <c r="O248">
        <v>51.2</v>
      </c>
      <c r="P248">
        <v>31.5</v>
      </c>
      <c r="Q248">
        <v>57.6</v>
      </c>
      <c r="R248">
        <v>62.8</v>
      </c>
      <c r="S248">
        <v>34.5</v>
      </c>
      <c r="T248">
        <v>65.5</v>
      </c>
      <c r="U248">
        <v>70.599999999999994</v>
      </c>
      <c r="V248">
        <v>42.2</v>
      </c>
      <c r="W248">
        <v>57.8</v>
      </c>
      <c r="X248">
        <v>0</v>
      </c>
      <c r="Y248">
        <v>0</v>
      </c>
      <c r="Z248" t="s">
        <v>4111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L248" t="e">
        <v>#N/A</v>
      </c>
      <c r="AM248" t="e">
        <v>#N/A</v>
      </c>
      <c r="AN248" t="e">
        <v>#N/A</v>
      </c>
      <c r="AO248" t="e">
        <v>#N/A</v>
      </c>
      <c r="AP248" t="e">
        <v>#N/A</v>
      </c>
      <c r="AQ248" t="e">
        <v>#N/A</v>
      </c>
    </row>
    <row r="249" spans="2:43" x14ac:dyDescent="0.2">
      <c r="B249" t="s">
        <v>705</v>
      </c>
      <c r="C249" t="s">
        <v>490</v>
      </c>
      <c r="D249">
        <v>0.70833333333333337</v>
      </c>
      <c r="E249" t="s">
        <v>726</v>
      </c>
      <c r="F249" t="s">
        <v>727</v>
      </c>
      <c r="H249">
        <v>42.4</v>
      </c>
      <c r="I249">
        <v>29.6</v>
      </c>
      <c r="J249">
        <v>27.9</v>
      </c>
      <c r="K249">
        <v>72.099999999999994</v>
      </c>
      <c r="L249">
        <v>57.6</v>
      </c>
      <c r="M249">
        <v>70.400000000000006</v>
      </c>
      <c r="N249">
        <v>25.9</v>
      </c>
      <c r="O249">
        <v>48.5</v>
      </c>
      <c r="P249">
        <v>25.7</v>
      </c>
      <c r="Q249">
        <v>62.2</v>
      </c>
      <c r="R249">
        <v>71.2</v>
      </c>
      <c r="S249">
        <v>43.9</v>
      </c>
      <c r="T249">
        <v>56.1</v>
      </c>
      <c r="U249">
        <v>61.6</v>
      </c>
      <c r="V249">
        <v>50.2</v>
      </c>
      <c r="W249">
        <v>49.8</v>
      </c>
      <c r="X249" t="s">
        <v>2776</v>
      </c>
      <c r="Y249" t="s">
        <v>2777</v>
      </c>
      <c r="Z249" t="s">
        <v>4144</v>
      </c>
      <c r="AA249" t="s">
        <v>460</v>
      </c>
      <c r="AB249" t="s">
        <v>2119</v>
      </c>
      <c r="AC249" t="s">
        <v>2119</v>
      </c>
      <c r="AD249" t="s">
        <v>2120</v>
      </c>
      <c r="AE249" t="s">
        <v>2119</v>
      </c>
      <c r="AF249" t="s">
        <v>2120</v>
      </c>
      <c r="AG249" t="s">
        <v>2120</v>
      </c>
      <c r="AH249" t="s">
        <v>2119</v>
      </c>
      <c r="AI249" t="s">
        <v>2120</v>
      </c>
      <c r="AJ249" t="s">
        <v>2119</v>
      </c>
      <c r="AK249" t="s">
        <v>2120</v>
      </c>
      <c r="AL249" t="s">
        <v>2120</v>
      </c>
      <c r="AM249" t="s">
        <v>2120</v>
      </c>
      <c r="AN249" t="s">
        <v>2119</v>
      </c>
      <c r="AO249" t="s">
        <v>2120</v>
      </c>
      <c r="AP249" t="s">
        <v>2120</v>
      </c>
      <c r="AQ249" t="s">
        <v>2119</v>
      </c>
    </row>
    <row r="250" spans="2:43" x14ac:dyDescent="0.2">
      <c r="B250" t="s">
        <v>728</v>
      </c>
      <c r="C250" t="s">
        <v>490</v>
      </c>
      <c r="D250">
        <v>0.70833333333333337</v>
      </c>
      <c r="E250" t="s">
        <v>729</v>
      </c>
      <c r="F250" t="s">
        <v>730</v>
      </c>
      <c r="H250">
        <v>45.8</v>
      </c>
      <c r="I250">
        <v>32.9</v>
      </c>
      <c r="J250">
        <v>21.3</v>
      </c>
      <c r="K250">
        <v>78.7</v>
      </c>
      <c r="L250">
        <v>54.2</v>
      </c>
      <c r="M250">
        <v>67.099999999999994</v>
      </c>
      <c r="N250">
        <v>26.1</v>
      </c>
      <c r="O250">
        <v>56.2</v>
      </c>
      <c r="P250">
        <v>17.7</v>
      </c>
      <c r="Q250">
        <v>50.8</v>
      </c>
      <c r="R250">
        <v>57.2</v>
      </c>
      <c r="S250">
        <v>29</v>
      </c>
      <c r="T250">
        <v>71</v>
      </c>
      <c r="U250">
        <v>76</v>
      </c>
      <c r="V250">
        <v>36.200000000000003</v>
      </c>
      <c r="W250">
        <v>63.8</v>
      </c>
      <c r="X250" t="s">
        <v>3045</v>
      </c>
      <c r="Y250" t="s">
        <v>3046</v>
      </c>
      <c r="Z250" t="s">
        <v>4145</v>
      </c>
      <c r="AA250" t="s">
        <v>447</v>
      </c>
      <c r="AB250" t="s">
        <v>2119</v>
      </c>
      <c r="AC250" t="s">
        <v>2120</v>
      </c>
      <c r="AD250" t="s">
        <v>2119</v>
      </c>
      <c r="AE250" t="s">
        <v>2120</v>
      </c>
      <c r="AF250" t="s">
        <v>2120</v>
      </c>
      <c r="AG250" t="s">
        <v>2119</v>
      </c>
      <c r="AH250" t="s">
        <v>2119</v>
      </c>
      <c r="AI250" t="s">
        <v>2120</v>
      </c>
      <c r="AJ250" t="s">
        <v>2119</v>
      </c>
      <c r="AK250" t="s">
        <v>2119</v>
      </c>
      <c r="AL250" t="s">
        <v>2119</v>
      </c>
      <c r="AM250" t="s">
        <v>2119</v>
      </c>
      <c r="AN250" t="s">
        <v>2120</v>
      </c>
      <c r="AO250" t="s">
        <v>2120</v>
      </c>
      <c r="AP250" t="s">
        <v>2119</v>
      </c>
      <c r="AQ250" t="s">
        <v>2120</v>
      </c>
    </row>
    <row r="251" spans="2:43" x14ac:dyDescent="0.2">
      <c r="B251" t="s">
        <v>728</v>
      </c>
      <c r="C251" t="s">
        <v>490</v>
      </c>
      <c r="D251">
        <v>0.70833333333333337</v>
      </c>
      <c r="E251" t="s">
        <v>731</v>
      </c>
      <c r="F251" t="s">
        <v>732</v>
      </c>
      <c r="H251">
        <v>51.1</v>
      </c>
      <c r="I251">
        <v>30.3</v>
      </c>
      <c r="J251">
        <v>18.600000000000001</v>
      </c>
      <c r="K251">
        <v>81.400000000000006</v>
      </c>
      <c r="L251">
        <v>48.9</v>
      </c>
      <c r="M251">
        <v>69.7</v>
      </c>
      <c r="N251">
        <v>34.9</v>
      </c>
      <c r="O251">
        <v>52.5</v>
      </c>
      <c r="P251">
        <v>12.6</v>
      </c>
      <c r="Q251">
        <v>54.2</v>
      </c>
      <c r="R251">
        <v>62.1</v>
      </c>
      <c r="S251">
        <v>33.799999999999997</v>
      </c>
      <c r="T251">
        <v>66.2</v>
      </c>
      <c r="U251">
        <v>72.2</v>
      </c>
      <c r="V251">
        <v>38.700000000000003</v>
      </c>
      <c r="W251">
        <v>61.3</v>
      </c>
      <c r="X251" t="s">
        <v>731</v>
      </c>
      <c r="Y251" t="s">
        <v>732</v>
      </c>
      <c r="Z251" t="s">
        <v>4146</v>
      </c>
      <c r="AA251" t="s">
        <v>456</v>
      </c>
      <c r="AB251" t="s">
        <v>2119</v>
      </c>
      <c r="AC251" t="s">
        <v>2119</v>
      </c>
      <c r="AD251" t="s">
        <v>2120</v>
      </c>
      <c r="AE251" t="s">
        <v>2119</v>
      </c>
      <c r="AF251" t="s">
        <v>2120</v>
      </c>
      <c r="AG251" t="s">
        <v>2120</v>
      </c>
      <c r="AH251" t="s">
        <v>2119</v>
      </c>
      <c r="AI251" t="s">
        <v>2119</v>
      </c>
      <c r="AJ251" t="s">
        <v>2120</v>
      </c>
      <c r="AK251" t="s">
        <v>2120</v>
      </c>
      <c r="AL251" t="s">
        <v>2119</v>
      </c>
      <c r="AM251" t="s">
        <v>2119</v>
      </c>
      <c r="AN251" t="s">
        <v>2120</v>
      </c>
      <c r="AO251" t="s">
        <v>2120</v>
      </c>
      <c r="AP251" t="s">
        <v>2119</v>
      </c>
      <c r="AQ251" t="s">
        <v>2120</v>
      </c>
    </row>
    <row r="252" spans="2:43" x14ac:dyDescent="0.2">
      <c r="B252" t="s">
        <v>482</v>
      </c>
      <c r="C252" t="s">
        <v>490</v>
      </c>
      <c r="D252">
        <v>0.71875</v>
      </c>
      <c r="E252" t="s">
        <v>733</v>
      </c>
      <c r="F252" t="s">
        <v>734</v>
      </c>
      <c r="H252">
        <v>31.4</v>
      </c>
      <c r="I252">
        <v>26.2</v>
      </c>
      <c r="J252">
        <v>42.4</v>
      </c>
      <c r="K252">
        <v>57.6</v>
      </c>
      <c r="L252">
        <v>68.599999999999994</v>
      </c>
      <c r="M252">
        <v>73.8</v>
      </c>
      <c r="N252">
        <v>30.4</v>
      </c>
      <c r="O252">
        <v>40</v>
      </c>
      <c r="P252">
        <v>29.6</v>
      </c>
      <c r="Q252">
        <v>75.2</v>
      </c>
      <c r="R252">
        <v>86.1</v>
      </c>
      <c r="S252">
        <v>65.8</v>
      </c>
      <c r="T252">
        <v>34.200000000000003</v>
      </c>
      <c r="U252">
        <v>39.799999999999997</v>
      </c>
      <c r="V252">
        <v>67.5</v>
      </c>
      <c r="W252">
        <v>32.5</v>
      </c>
      <c r="X252" t="s">
        <v>3523</v>
      </c>
      <c r="Y252" t="s">
        <v>734</v>
      </c>
      <c r="Z252" t="s">
        <v>4147</v>
      </c>
      <c r="AA252" t="s">
        <v>2128</v>
      </c>
      <c r="AB252" t="s">
        <v>2120</v>
      </c>
      <c r="AC252" t="s">
        <v>2119</v>
      </c>
      <c r="AD252" t="s">
        <v>2119</v>
      </c>
      <c r="AE252" t="s">
        <v>2120</v>
      </c>
      <c r="AF252" t="s">
        <v>2119</v>
      </c>
      <c r="AG252" t="s">
        <v>2120</v>
      </c>
      <c r="AH252" t="s">
        <v>2119</v>
      </c>
      <c r="AI252" t="s">
        <v>2120</v>
      </c>
      <c r="AJ252" t="s">
        <v>2119</v>
      </c>
      <c r="AK252" t="s">
        <v>2119</v>
      </c>
      <c r="AL252" t="s">
        <v>2120</v>
      </c>
      <c r="AM252" t="s">
        <v>2119</v>
      </c>
      <c r="AN252" t="s">
        <v>2120</v>
      </c>
      <c r="AO252" t="s">
        <v>2120</v>
      </c>
      <c r="AP252" t="s">
        <v>2119</v>
      </c>
      <c r="AQ252" t="s">
        <v>2120</v>
      </c>
    </row>
    <row r="253" spans="2:43" x14ac:dyDescent="0.2">
      <c r="B253" t="s">
        <v>487</v>
      </c>
      <c r="C253" t="s">
        <v>490</v>
      </c>
      <c r="D253">
        <v>0.75</v>
      </c>
      <c r="E253" t="s">
        <v>735</v>
      </c>
      <c r="F253" t="s">
        <v>736</v>
      </c>
      <c r="H253">
        <v>20.8</v>
      </c>
      <c r="I253">
        <v>29.8</v>
      </c>
      <c r="J253">
        <v>49.4</v>
      </c>
      <c r="K253">
        <v>50.6</v>
      </c>
      <c r="L253">
        <v>79.2</v>
      </c>
      <c r="M253">
        <v>70.2</v>
      </c>
      <c r="N253">
        <v>25.8</v>
      </c>
      <c r="O253">
        <v>46.6</v>
      </c>
      <c r="P253">
        <v>27.6</v>
      </c>
      <c r="Q253">
        <v>65</v>
      </c>
      <c r="R253">
        <v>70.3</v>
      </c>
      <c r="S253">
        <v>42.9</v>
      </c>
      <c r="T253">
        <v>57.1</v>
      </c>
      <c r="U253">
        <v>63.4</v>
      </c>
      <c r="V253">
        <v>47.1</v>
      </c>
      <c r="W253">
        <v>52.9</v>
      </c>
      <c r="X253" t="s">
        <v>3137</v>
      </c>
      <c r="Y253" t="s">
        <v>416</v>
      </c>
      <c r="Z253" t="s">
        <v>4148</v>
      </c>
      <c r="AA253" t="s">
        <v>2743</v>
      </c>
      <c r="AB253" t="s">
        <v>2119</v>
      </c>
      <c r="AC253" t="s">
        <v>2120</v>
      </c>
      <c r="AD253" t="s">
        <v>2119</v>
      </c>
      <c r="AE253" t="s">
        <v>2120</v>
      </c>
      <c r="AF253" t="s">
        <v>2120</v>
      </c>
      <c r="AG253" t="s">
        <v>2119</v>
      </c>
      <c r="AH253" t="s">
        <v>2119</v>
      </c>
      <c r="AI253" t="s">
        <v>2120</v>
      </c>
      <c r="AJ253" t="s">
        <v>2119</v>
      </c>
      <c r="AK253" t="s">
        <v>2119</v>
      </c>
      <c r="AL253" t="s">
        <v>2119</v>
      </c>
      <c r="AM253" t="s">
        <v>2119</v>
      </c>
      <c r="AN253" t="s">
        <v>2120</v>
      </c>
      <c r="AO253" t="s">
        <v>2120</v>
      </c>
      <c r="AP253" t="s">
        <v>2119</v>
      </c>
      <c r="AQ253" t="s">
        <v>2120</v>
      </c>
    </row>
    <row r="254" spans="2:43" x14ac:dyDescent="0.2">
      <c r="B254" t="s">
        <v>483</v>
      </c>
      <c r="C254" t="s">
        <v>490</v>
      </c>
      <c r="D254">
        <v>0.75</v>
      </c>
      <c r="E254" t="s">
        <v>737</v>
      </c>
      <c r="F254" t="s">
        <v>738</v>
      </c>
      <c r="H254">
        <v>29</v>
      </c>
      <c r="I254">
        <v>31.5</v>
      </c>
      <c r="J254">
        <v>39.5</v>
      </c>
      <c r="K254">
        <v>60.5</v>
      </c>
      <c r="L254">
        <v>71</v>
      </c>
      <c r="M254">
        <v>68.5</v>
      </c>
      <c r="N254">
        <v>24.3</v>
      </c>
      <c r="O254">
        <v>44.3</v>
      </c>
      <c r="P254">
        <v>31.4</v>
      </c>
      <c r="Q254">
        <v>68.5</v>
      </c>
      <c r="R254">
        <v>67.599999999999994</v>
      </c>
      <c r="S254">
        <v>39.700000000000003</v>
      </c>
      <c r="T254">
        <v>60.3</v>
      </c>
      <c r="U254">
        <v>65.5</v>
      </c>
      <c r="V254">
        <v>47.1</v>
      </c>
      <c r="W254">
        <v>52.9</v>
      </c>
      <c r="X254" t="s">
        <v>424</v>
      </c>
      <c r="Y254" t="s">
        <v>422</v>
      </c>
      <c r="Z254" t="s">
        <v>4149</v>
      </c>
      <c r="AA254" t="s">
        <v>453</v>
      </c>
      <c r="AB254" t="s">
        <v>2120</v>
      </c>
      <c r="AC254" t="s">
        <v>2119</v>
      </c>
      <c r="AD254" t="s">
        <v>2119</v>
      </c>
      <c r="AE254" t="s">
        <v>2120</v>
      </c>
      <c r="AF254" t="s">
        <v>2119</v>
      </c>
      <c r="AG254" t="s">
        <v>2120</v>
      </c>
      <c r="AH254" t="s">
        <v>2120</v>
      </c>
      <c r="AI254" t="s">
        <v>2119</v>
      </c>
      <c r="AJ254" t="s">
        <v>2119</v>
      </c>
      <c r="AK254" t="s">
        <v>2120</v>
      </c>
      <c r="AL254" t="s">
        <v>2119</v>
      </c>
      <c r="AM254" t="s">
        <v>2119</v>
      </c>
      <c r="AN254" t="s">
        <v>2120</v>
      </c>
      <c r="AO254" t="s">
        <v>2120</v>
      </c>
      <c r="AP254" t="s">
        <v>2119</v>
      </c>
      <c r="AQ254" t="s">
        <v>2120</v>
      </c>
    </row>
    <row r="255" spans="2:43" x14ac:dyDescent="0.2">
      <c r="B255" t="s">
        <v>466</v>
      </c>
      <c r="C255" t="s">
        <v>490</v>
      </c>
      <c r="D255">
        <v>0.75</v>
      </c>
      <c r="E255" t="s">
        <v>46</v>
      </c>
      <c r="F255" t="s">
        <v>739</v>
      </c>
      <c r="H255">
        <v>31.4</v>
      </c>
      <c r="I255">
        <v>26.1</v>
      </c>
      <c r="J255">
        <v>42.5</v>
      </c>
      <c r="K255">
        <v>57.5</v>
      </c>
      <c r="L255">
        <v>68.599999999999994</v>
      </c>
      <c r="M255">
        <v>73.900000000000006</v>
      </c>
      <c r="N255">
        <v>20.2</v>
      </c>
      <c r="O255">
        <v>42</v>
      </c>
      <c r="P255">
        <v>37.700000000000003</v>
      </c>
      <c r="Q255">
        <v>71.2</v>
      </c>
      <c r="R255">
        <v>86.6</v>
      </c>
      <c r="S255">
        <v>66.599999999999994</v>
      </c>
      <c r="T255">
        <v>33.4</v>
      </c>
      <c r="U255">
        <v>39</v>
      </c>
      <c r="V255">
        <v>68.099999999999994</v>
      </c>
      <c r="W255">
        <v>31.9</v>
      </c>
      <c r="X255" t="s">
        <v>1871</v>
      </c>
      <c r="Y255" t="s">
        <v>739</v>
      </c>
      <c r="Z255" t="s">
        <v>4150</v>
      </c>
      <c r="AA255" t="s">
        <v>462</v>
      </c>
      <c r="AB255" t="s">
        <v>2120</v>
      </c>
      <c r="AC255" t="s">
        <v>2119</v>
      </c>
      <c r="AD255" t="s">
        <v>2119</v>
      </c>
      <c r="AE255" t="s">
        <v>2120</v>
      </c>
      <c r="AF255" t="s">
        <v>2119</v>
      </c>
      <c r="AG255" t="s">
        <v>2120</v>
      </c>
      <c r="AH255" t="s">
        <v>2119</v>
      </c>
      <c r="AI255" t="s">
        <v>2120</v>
      </c>
      <c r="AJ255" t="s">
        <v>2119</v>
      </c>
      <c r="AK255" t="s">
        <v>2120</v>
      </c>
      <c r="AL255" t="s">
        <v>2120</v>
      </c>
      <c r="AM255" t="s">
        <v>2120</v>
      </c>
      <c r="AN255" t="s">
        <v>2119</v>
      </c>
      <c r="AO255" t="s">
        <v>2120</v>
      </c>
      <c r="AP255" t="s">
        <v>2120</v>
      </c>
      <c r="AQ255" t="s">
        <v>2119</v>
      </c>
    </row>
    <row r="256" spans="2:43" x14ac:dyDescent="0.2">
      <c r="B256" t="s">
        <v>486</v>
      </c>
      <c r="C256" t="s">
        <v>490</v>
      </c>
      <c r="D256">
        <v>0.75</v>
      </c>
      <c r="E256" t="s">
        <v>740</v>
      </c>
      <c r="F256" t="s">
        <v>741</v>
      </c>
      <c r="H256">
        <v>56.1</v>
      </c>
      <c r="I256">
        <v>25.2</v>
      </c>
      <c r="J256">
        <v>18.7</v>
      </c>
      <c r="K256">
        <v>81.3</v>
      </c>
      <c r="L256">
        <v>43.9</v>
      </c>
      <c r="M256">
        <v>74.8</v>
      </c>
      <c r="N256">
        <v>38.5</v>
      </c>
      <c r="O256">
        <v>39.9</v>
      </c>
      <c r="P256">
        <v>21.6</v>
      </c>
      <c r="Q256">
        <v>74.099999999999994</v>
      </c>
      <c r="R256">
        <v>78.599999999999994</v>
      </c>
      <c r="S256">
        <v>54</v>
      </c>
      <c r="T256">
        <v>46</v>
      </c>
      <c r="U256">
        <v>53.3</v>
      </c>
      <c r="V256">
        <v>54.1</v>
      </c>
      <c r="W256">
        <v>45.9</v>
      </c>
      <c r="X256" t="s">
        <v>740</v>
      </c>
      <c r="Y256" t="s">
        <v>3686</v>
      </c>
      <c r="Z256" t="s">
        <v>4151</v>
      </c>
      <c r="AA256" t="s">
        <v>2743</v>
      </c>
      <c r="AB256" t="s">
        <v>2119</v>
      </c>
      <c r="AC256" t="s">
        <v>2120</v>
      </c>
      <c r="AD256" t="s">
        <v>2119</v>
      </c>
      <c r="AE256" t="s">
        <v>2120</v>
      </c>
      <c r="AF256" t="s">
        <v>2120</v>
      </c>
      <c r="AG256" t="s">
        <v>2119</v>
      </c>
      <c r="AH256" t="s">
        <v>2119</v>
      </c>
      <c r="AI256" t="s">
        <v>2120</v>
      </c>
      <c r="AJ256" t="s">
        <v>2119</v>
      </c>
      <c r="AK256" t="s">
        <v>2119</v>
      </c>
      <c r="AL256" t="s">
        <v>2119</v>
      </c>
      <c r="AM256" t="s">
        <v>2119</v>
      </c>
      <c r="AN256" t="s">
        <v>2120</v>
      </c>
      <c r="AO256" t="s">
        <v>2120</v>
      </c>
      <c r="AP256" t="s">
        <v>2119</v>
      </c>
      <c r="AQ256" t="s">
        <v>2120</v>
      </c>
    </row>
    <row r="257" spans="2:43" x14ac:dyDescent="0.2">
      <c r="B257" t="s">
        <v>487</v>
      </c>
      <c r="C257" t="s">
        <v>490</v>
      </c>
      <c r="D257">
        <v>0.75347222222222221</v>
      </c>
      <c r="E257" t="s">
        <v>742</v>
      </c>
      <c r="F257" t="s">
        <v>423</v>
      </c>
      <c r="H257">
        <v>44.2</v>
      </c>
      <c r="I257">
        <v>28.3</v>
      </c>
      <c r="J257">
        <v>27.5</v>
      </c>
      <c r="K257">
        <v>72.5</v>
      </c>
      <c r="L257">
        <v>55.8</v>
      </c>
      <c r="M257">
        <v>71.7</v>
      </c>
      <c r="N257">
        <v>25.1</v>
      </c>
      <c r="O257">
        <v>45.8</v>
      </c>
      <c r="P257">
        <v>29.1</v>
      </c>
      <c r="Q257">
        <v>66.3</v>
      </c>
      <c r="R257">
        <v>75.400000000000006</v>
      </c>
      <c r="S257">
        <v>49.4</v>
      </c>
      <c r="T257">
        <v>50.6</v>
      </c>
      <c r="U257">
        <v>56.4</v>
      </c>
      <c r="V257">
        <v>54.3</v>
      </c>
      <c r="W257">
        <v>45.7</v>
      </c>
      <c r="X257" t="s">
        <v>1860</v>
      </c>
      <c r="Y257" t="s">
        <v>423</v>
      </c>
      <c r="Z257" t="s">
        <v>4152</v>
      </c>
      <c r="AA257" t="s">
        <v>2172</v>
      </c>
      <c r="AB257" t="s">
        <v>2120</v>
      </c>
      <c r="AC257" t="s">
        <v>2119</v>
      </c>
      <c r="AD257" t="s">
        <v>2119</v>
      </c>
      <c r="AE257" t="s">
        <v>2120</v>
      </c>
      <c r="AF257" t="s">
        <v>2119</v>
      </c>
      <c r="AG257" t="s">
        <v>2120</v>
      </c>
      <c r="AH257" t="s">
        <v>2119</v>
      </c>
      <c r="AI257" t="s">
        <v>2120</v>
      </c>
      <c r="AJ257" t="s">
        <v>2119</v>
      </c>
      <c r="AK257" t="s">
        <v>2120</v>
      </c>
      <c r="AL257" t="s">
        <v>2120</v>
      </c>
      <c r="AM257" t="s">
        <v>2120</v>
      </c>
      <c r="AN257" t="s">
        <v>2119</v>
      </c>
      <c r="AO257" t="s">
        <v>2119</v>
      </c>
      <c r="AP257" t="s">
        <v>2120</v>
      </c>
      <c r="AQ257" t="s">
        <v>2119</v>
      </c>
    </row>
    <row r="258" spans="2:43" x14ac:dyDescent="0.2">
      <c r="B258" t="s">
        <v>457</v>
      </c>
      <c r="C258" t="s">
        <v>490</v>
      </c>
      <c r="D258">
        <v>0.76041666666666663</v>
      </c>
      <c r="E258" t="s">
        <v>743</v>
      </c>
      <c r="F258" t="s">
        <v>267</v>
      </c>
      <c r="H258">
        <v>43</v>
      </c>
      <c r="I258">
        <v>25.2</v>
      </c>
      <c r="J258">
        <v>31.8</v>
      </c>
      <c r="K258">
        <v>68.2</v>
      </c>
      <c r="L258">
        <v>57</v>
      </c>
      <c r="M258">
        <v>74.8</v>
      </c>
      <c r="N258">
        <v>38.5</v>
      </c>
      <c r="O258">
        <v>36.5</v>
      </c>
      <c r="P258">
        <v>25</v>
      </c>
      <c r="Q258">
        <v>79.900000000000006</v>
      </c>
      <c r="R258">
        <v>91.7</v>
      </c>
      <c r="S258">
        <v>76.400000000000006</v>
      </c>
      <c r="T258">
        <v>23.6</v>
      </c>
      <c r="U258">
        <v>28.5</v>
      </c>
      <c r="V258">
        <v>75.8</v>
      </c>
      <c r="W258">
        <v>24.2</v>
      </c>
      <c r="X258" t="s">
        <v>3044</v>
      </c>
      <c r="Y258" t="s">
        <v>267</v>
      </c>
      <c r="Z258" t="s">
        <v>4153</v>
      </c>
      <c r="AA258" t="s">
        <v>4045</v>
      </c>
      <c r="AB258" t="s">
        <v>2120</v>
      </c>
      <c r="AC258" t="s">
        <v>2119</v>
      </c>
      <c r="AD258" t="s">
        <v>2119</v>
      </c>
      <c r="AE258" t="s">
        <v>2120</v>
      </c>
      <c r="AF258" t="s">
        <v>2119</v>
      </c>
      <c r="AG258" t="s">
        <v>2120</v>
      </c>
      <c r="AH258" t="s">
        <v>2120</v>
      </c>
      <c r="AI258" t="s">
        <v>2119</v>
      </c>
      <c r="AJ258" t="s">
        <v>2119</v>
      </c>
      <c r="AK258" t="s">
        <v>2120</v>
      </c>
      <c r="AL258" t="s">
        <v>2120</v>
      </c>
      <c r="AM258" t="s">
        <v>2120</v>
      </c>
      <c r="AN258" t="s">
        <v>2119</v>
      </c>
      <c r="AO258" t="s">
        <v>2119</v>
      </c>
      <c r="AP258" t="s">
        <v>2120</v>
      </c>
      <c r="AQ258" t="s">
        <v>2119</v>
      </c>
    </row>
    <row r="259" spans="2:43" x14ac:dyDescent="0.2">
      <c r="B259" t="s">
        <v>454</v>
      </c>
      <c r="C259" t="s">
        <v>490</v>
      </c>
      <c r="D259">
        <v>0.77083333333333337</v>
      </c>
      <c r="E259" t="s">
        <v>70</v>
      </c>
      <c r="F259" t="s">
        <v>67</v>
      </c>
      <c r="H259">
        <v>45.6</v>
      </c>
      <c r="I259">
        <v>29.7</v>
      </c>
      <c r="J259">
        <v>24.7</v>
      </c>
      <c r="K259">
        <v>75.3</v>
      </c>
      <c r="L259">
        <v>54.4</v>
      </c>
      <c r="M259">
        <v>70.3</v>
      </c>
      <c r="N259">
        <v>33.4</v>
      </c>
      <c r="O259">
        <v>44.1</v>
      </c>
      <c r="P259">
        <v>22.5</v>
      </c>
      <c r="Q259">
        <v>68.3</v>
      </c>
      <c r="R259">
        <v>69.2</v>
      </c>
      <c r="S259">
        <v>41.6</v>
      </c>
      <c r="T259">
        <v>58.4</v>
      </c>
      <c r="U259">
        <v>64.099999999999994</v>
      </c>
      <c r="V259">
        <v>47.6</v>
      </c>
      <c r="W259">
        <v>52.4</v>
      </c>
      <c r="X259" t="s">
        <v>878</v>
      </c>
      <c r="Y259" t="s">
        <v>67</v>
      </c>
      <c r="Z259" t="s">
        <v>4154</v>
      </c>
      <c r="AA259" t="s">
        <v>2128</v>
      </c>
      <c r="AB259" t="s">
        <v>2120</v>
      </c>
      <c r="AC259" t="s">
        <v>2119</v>
      </c>
      <c r="AD259" t="s">
        <v>2119</v>
      </c>
      <c r="AE259" t="s">
        <v>2120</v>
      </c>
      <c r="AF259" t="s">
        <v>2119</v>
      </c>
      <c r="AG259" t="s">
        <v>2120</v>
      </c>
      <c r="AH259" t="s">
        <v>2120</v>
      </c>
      <c r="AI259" t="s">
        <v>2119</v>
      </c>
      <c r="AJ259" t="s">
        <v>2119</v>
      </c>
      <c r="AK259" t="s">
        <v>2120</v>
      </c>
      <c r="AL259" t="s">
        <v>2120</v>
      </c>
      <c r="AM259" t="s">
        <v>2119</v>
      </c>
      <c r="AN259" t="s">
        <v>2120</v>
      </c>
      <c r="AO259" t="s">
        <v>2120</v>
      </c>
      <c r="AP259" t="s">
        <v>2119</v>
      </c>
      <c r="AQ259" t="s">
        <v>2120</v>
      </c>
    </row>
    <row r="260" spans="2:43" x14ac:dyDescent="0.2">
      <c r="B260" t="s">
        <v>454</v>
      </c>
      <c r="C260" t="s">
        <v>490</v>
      </c>
      <c r="D260">
        <v>0.77083333333333337</v>
      </c>
      <c r="E260" t="s">
        <v>744</v>
      </c>
      <c r="F260" t="s">
        <v>65</v>
      </c>
      <c r="H260">
        <v>54.7</v>
      </c>
      <c r="I260">
        <v>25</v>
      </c>
      <c r="J260">
        <v>20.3</v>
      </c>
      <c r="K260">
        <v>79.7</v>
      </c>
      <c r="L260">
        <v>45.3</v>
      </c>
      <c r="M260">
        <v>75</v>
      </c>
      <c r="N260">
        <v>45.6</v>
      </c>
      <c r="O260">
        <v>39.5</v>
      </c>
      <c r="P260">
        <v>14.9</v>
      </c>
      <c r="Q260">
        <v>71.900000000000006</v>
      </c>
      <c r="R260">
        <v>81.7</v>
      </c>
      <c r="S260">
        <v>58.5</v>
      </c>
      <c r="T260">
        <v>41.5</v>
      </c>
      <c r="U260">
        <v>48.4</v>
      </c>
      <c r="V260">
        <v>58.5</v>
      </c>
      <c r="W260">
        <v>41.5</v>
      </c>
      <c r="X260" t="s">
        <v>744</v>
      </c>
      <c r="Y260" t="s">
        <v>65</v>
      </c>
      <c r="Z260" t="s">
        <v>4155</v>
      </c>
      <c r="AA260" t="s">
        <v>2123</v>
      </c>
      <c r="AB260" t="s">
        <v>2119</v>
      </c>
      <c r="AC260" t="s">
        <v>2120</v>
      </c>
      <c r="AD260" t="s">
        <v>2119</v>
      </c>
      <c r="AE260" t="s">
        <v>2120</v>
      </c>
      <c r="AF260" t="s">
        <v>2120</v>
      </c>
      <c r="AG260" t="s">
        <v>2119</v>
      </c>
      <c r="AH260" t="s">
        <v>2120</v>
      </c>
      <c r="AI260" t="s">
        <v>2119</v>
      </c>
      <c r="AJ260" t="s">
        <v>2119</v>
      </c>
      <c r="AK260" t="s">
        <v>2120</v>
      </c>
      <c r="AL260" t="s">
        <v>2120</v>
      </c>
      <c r="AM260" t="s">
        <v>2120</v>
      </c>
      <c r="AN260" t="s">
        <v>2119</v>
      </c>
      <c r="AO260" t="s">
        <v>2119</v>
      </c>
      <c r="AP260" t="s">
        <v>2120</v>
      </c>
      <c r="AQ260" t="s">
        <v>2119</v>
      </c>
    </row>
    <row r="261" spans="2:43" x14ac:dyDescent="0.2">
      <c r="B261" t="s">
        <v>728</v>
      </c>
      <c r="C261" t="s">
        <v>490</v>
      </c>
      <c r="D261">
        <v>0.77083333333333337</v>
      </c>
      <c r="E261" t="s">
        <v>745</v>
      </c>
      <c r="F261" t="s">
        <v>746</v>
      </c>
      <c r="H261">
        <v>38.799999999999997</v>
      </c>
      <c r="I261">
        <v>34.1</v>
      </c>
      <c r="J261">
        <v>27.1</v>
      </c>
      <c r="K261">
        <v>72.900000000000006</v>
      </c>
      <c r="L261">
        <v>61.2</v>
      </c>
      <c r="M261">
        <v>65.900000000000006</v>
      </c>
      <c r="N261">
        <v>23.3</v>
      </c>
      <c r="O261">
        <v>54.9</v>
      </c>
      <c r="P261">
        <v>21.8</v>
      </c>
      <c r="Q261">
        <v>52.8</v>
      </c>
      <c r="R261">
        <v>57.6</v>
      </c>
      <c r="S261">
        <v>29.3</v>
      </c>
      <c r="T261">
        <v>70.7</v>
      </c>
      <c r="U261">
        <v>75.099999999999994</v>
      </c>
      <c r="V261">
        <v>38.200000000000003</v>
      </c>
      <c r="W261">
        <v>61.8</v>
      </c>
      <c r="X261" t="s">
        <v>3047</v>
      </c>
      <c r="Y261" t="s">
        <v>3048</v>
      </c>
      <c r="Z261" t="s">
        <v>4156</v>
      </c>
      <c r="AA261" t="s">
        <v>459</v>
      </c>
      <c r="AB261" t="s">
        <v>2119</v>
      </c>
      <c r="AC261" t="s">
        <v>2120</v>
      </c>
      <c r="AD261" t="s">
        <v>2119</v>
      </c>
      <c r="AE261" t="s">
        <v>2120</v>
      </c>
      <c r="AF261" t="s">
        <v>2120</v>
      </c>
      <c r="AG261" t="s">
        <v>2119</v>
      </c>
      <c r="AH261" t="s">
        <v>2119</v>
      </c>
      <c r="AI261" t="s">
        <v>2119</v>
      </c>
      <c r="AJ261" t="s">
        <v>2120</v>
      </c>
      <c r="AK261" t="s">
        <v>2120</v>
      </c>
      <c r="AL261" t="s">
        <v>2120</v>
      </c>
      <c r="AM261" t="s">
        <v>2119</v>
      </c>
      <c r="AN261" t="s">
        <v>2120</v>
      </c>
      <c r="AO261" t="s">
        <v>2120</v>
      </c>
      <c r="AP261" t="s">
        <v>2120</v>
      </c>
      <c r="AQ261" t="s">
        <v>2119</v>
      </c>
    </row>
    <row r="262" spans="2:43" x14ac:dyDescent="0.2">
      <c r="B262" t="s">
        <v>485</v>
      </c>
      <c r="C262" t="s">
        <v>490</v>
      </c>
      <c r="D262">
        <v>0.77083333333333337</v>
      </c>
      <c r="E262" t="s">
        <v>747</v>
      </c>
      <c r="F262" t="s">
        <v>748</v>
      </c>
      <c r="H262">
        <v>54.8</v>
      </c>
      <c r="I262">
        <v>24.6</v>
      </c>
      <c r="J262">
        <v>20.6</v>
      </c>
      <c r="K262">
        <v>79.400000000000006</v>
      </c>
      <c r="L262">
        <v>45.2</v>
      </c>
      <c r="M262">
        <v>75.400000000000006</v>
      </c>
      <c r="N262">
        <v>39.299999999999997</v>
      </c>
      <c r="O262">
        <v>39.6</v>
      </c>
      <c r="P262">
        <v>21.1</v>
      </c>
      <c r="Q262">
        <v>74.400000000000006</v>
      </c>
      <c r="R262">
        <v>83.9</v>
      </c>
      <c r="S262">
        <v>62.1</v>
      </c>
      <c r="T262">
        <v>37.9</v>
      </c>
      <c r="U262">
        <v>44.7</v>
      </c>
      <c r="V262">
        <v>61.4</v>
      </c>
      <c r="W262">
        <v>38.6</v>
      </c>
      <c r="X262" t="s">
        <v>747</v>
      </c>
      <c r="Y262" t="s">
        <v>748</v>
      </c>
      <c r="Z262" t="s">
        <v>4157</v>
      </c>
      <c r="AA262" t="s">
        <v>4080</v>
      </c>
      <c r="AB262" t="s">
        <v>2119</v>
      </c>
      <c r="AC262" t="s">
        <v>2120</v>
      </c>
      <c r="AD262" t="s">
        <v>2119</v>
      </c>
      <c r="AE262" t="s">
        <v>2120</v>
      </c>
      <c r="AF262" t="s">
        <v>2120</v>
      </c>
      <c r="AG262" t="s">
        <v>2119</v>
      </c>
      <c r="AH262" t="s">
        <v>2120</v>
      </c>
      <c r="AI262" t="s">
        <v>2119</v>
      </c>
      <c r="AJ262" t="s">
        <v>2119</v>
      </c>
      <c r="AK262" t="s">
        <v>2120</v>
      </c>
      <c r="AL262" t="s">
        <v>2120</v>
      </c>
      <c r="AM262" t="s">
        <v>2120</v>
      </c>
      <c r="AN262" t="s">
        <v>2119</v>
      </c>
      <c r="AO262" t="s">
        <v>2119</v>
      </c>
      <c r="AP262" t="s">
        <v>2120</v>
      </c>
      <c r="AQ262" t="s">
        <v>2119</v>
      </c>
    </row>
    <row r="263" spans="2:43" x14ac:dyDescent="0.2">
      <c r="B263" t="s">
        <v>488</v>
      </c>
      <c r="C263" t="s">
        <v>490</v>
      </c>
      <c r="D263">
        <v>0.77083333333333337</v>
      </c>
      <c r="E263" t="s">
        <v>749</v>
      </c>
      <c r="F263" t="s">
        <v>750</v>
      </c>
      <c r="H263">
        <v>58.4</v>
      </c>
      <c r="I263">
        <v>23.7</v>
      </c>
      <c r="J263">
        <v>17.899999999999999</v>
      </c>
      <c r="K263">
        <v>82.1</v>
      </c>
      <c r="L263">
        <v>41.6</v>
      </c>
      <c r="M263">
        <v>76.3</v>
      </c>
      <c r="N263">
        <v>48</v>
      </c>
      <c r="O263">
        <v>33.5</v>
      </c>
      <c r="P263">
        <v>18.600000000000001</v>
      </c>
      <c r="Q263">
        <v>82.1</v>
      </c>
      <c r="R263">
        <v>85.9</v>
      </c>
      <c r="S263">
        <v>65.5</v>
      </c>
      <c r="T263">
        <v>34.5</v>
      </c>
      <c r="U263">
        <v>41.7</v>
      </c>
      <c r="V263">
        <v>62.6</v>
      </c>
      <c r="W263">
        <v>37.4</v>
      </c>
      <c r="X263" t="s">
        <v>749</v>
      </c>
      <c r="Y263" t="s">
        <v>3118</v>
      </c>
      <c r="Z263" t="s">
        <v>4158</v>
      </c>
      <c r="AA263" t="s">
        <v>2160</v>
      </c>
      <c r="AB263" t="s">
        <v>2120</v>
      </c>
      <c r="AC263" t="s">
        <v>2119</v>
      </c>
      <c r="AD263" t="s">
        <v>2119</v>
      </c>
      <c r="AE263" t="s">
        <v>2120</v>
      </c>
      <c r="AF263" t="s">
        <v>2119</v>
      </c>
      <c r="AG263" t="s">
        <v>2120</v>
      </c>
      <c r="AH263" t="s">
        <v>2120</v>
      </c>
      <c r="AI263" t="s">
        <v>2119</v>
      </c>
      <c r="AJ263" t="s">
        <v>2119</v>
      </c>
      <c r="AK263" t="s">
        <v>2120</v>
      </c>
      <c r="AL263" t="s">
        <v>2120</v>
      </c>
      <c r="AM263" t="s">
        <v>2120</v>
      </c>
      <c r="AN263" t="s">
        <v>2119</v>
      </c>
      <c r="AO263" t="s">
        <v>2119</v>
      </c>
      <c r="AP263" t="s">
        <v>2120</v>
      </c>
      <c r="AQ263" t="s">
        <v>2119</v>
      </c>
    </row>
    <row r="264" spans="2:43" x14ac:dyDescent="0.2">
      <c r="B264" t="s">
        <v>479</v>
      </c>
      <c r="C264" t="s">
        <v>490</v>
      </c>
      <c r="D264">
        <v>0.77083333333333337</v>
      </c>
      <c r="E264" t="s">
        <v>751</v>
      </c>
      <c r="F264" t="s">
        <v>185</v>
      </c>
      <c r="H264">
        <v>40.1</v>
      </c>
      <c r="I264">
        <v>30.8</v>
      </c>
      <c r="J264">
        <v>29</v>
      </c>
      <c r="K264">
        <v>71</v>
      </c>
      <c r="L264">
        <v>59.9</v>
      </c>
      <c r="M264">
        <v>69.2</v>
      </c>
      <c r="N264">
        <v>35.700000000000003</v>
      </c>
      <c r="O264">
        <v>45.3</v>
      </c>
      <c r="P264">
        <v>19</v>
      </c>
      <c r="Q264">
        <v>65.7</v>
      </c>
      <c r="R264">
        <v>68.099999999999994</v>
      </c>
      <c r="S264">
        <v>40.200000000000003</v>
      </c>
      <c r="T264">
        <v>59.8</v>
      </c>
      <c r="U264">
        <v>65</v>
      </c>
      <c r="V264">
        <v>47.5</v>
      </c>
      <c r="W264">
        <v>52.5</v>
      </c>
      <c r="X264" t="s">
        <v>3517</v>
      </c>
      <c r="Y264" t="s">
        <v>1323</v>
      </c>
      <c r="Z264" t="s">
        <v>4159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L264" t="e">
        <v>#N/A</v>
      </c>
      <c r="AM264" t="e">
        <v>#N/A</v>
      </c>
      <c r="AN264" t="e">
        <v>#N/A</v>
      </c>
      <c r="AO264" t="e">
        <v>#N/A</v>
      </c>
      <c r="AP264" t="e">
        <v>#N/A</v>
      </c>
      <c r="AQ264" t="e">
        <v>#N/A</v>
      </c>
    </row>
    <row r="265" spans="2:43" x14ac:dyDescent="0.2">
      <c r="B265" t="s">
        <v>647</v>
      </c>
      <c r="C265" t="s">
        <v>490</v>
      </c>
      <c r="D265">
        <v>0.79166666666666663</v>
      </c>
      <c r="E265" t="s">
        <v>703</v>
      </c>
      <c r="F265" t="s">
        <v>752</v>
      </c>
      <c r="H265">
        <v>40.1</v>
      </c>
      <c r="I265">
        <v>35.4</v>
      </c>
      <c r="J265">
        <v>24.5</v>
      </c>
      <c r="K265">
        <v>75.5</v>
      </c>
      <c r="L265">
        <v>59.9</v>
      </c>
      <c r="M265">
        <v>64.599999999999994</v>
      </c>
      <c r="N265">
        <v>30.5</v>
      </c>
      <c r="O265">
        <v>48.2</v>
      </c>
      <c r="P265">
        <v>21.3</v>
      </c>
      <c r="Q265">
        <v>62.1</v>
      </c>
      <c r="R265">
        <v>52.9</v>
      </c>
      <c r="S265">
        <v>25.1</v>
      </c>
      <c r="T265">
        <v>74.900000000000006</v>
      </c>
      <c r="U265">
        <v>79.099999999999994</v>
      </c>
      <c r="V265">
        <v>34</v>
      </c>
      <c r="W265">
        <v>66</v>
      </c>
      <c r="X265" t="s">
        <v>703</v>
      </c>
      <c r="Y265" t="s">
        <v>2764</v>
      </c>
      <c r="Z265" t="s">
        <v>4160</v>
      </c>
      <c r="AA265" t="s">
        <v>460</v>
      </c>
      <c r="AB265" t="s">
        <v>2119</v>
      </c>
      <c r="AC265" t="s">
        <v>2119</v>
      </c>
      <c r="AD265" t="s">
        <v>2120</v>
      </c>
      <c r="AE265" t="s">
        <v>2119</v>
      </c>
      <c r="AF265" t="s">
        <v>2120</v>
      </c>
      <c r="AG265" t="s">
        <v>2120</v>
      </c>
      <c r="AH265" t="s">
        <v>2119</v>
      </c>
      <c r="AI265" t="s">
        <v>2119</v>
      </c>
      <c r="AJ265" t="s">
        <v>2120</v>
      </c>
      <c r="AK265" t="s">
        <v>2120</v>
      </c>
      <c r="AL265" t="s">
        <v>2120</v>
      </c>
      <c r="AM265" t="s">
        <v>2120</v>
      </c>
      <c r="AN265" t="s">
        <v>2119</v>
      </c>
      <c r="AO265" t="s">
        <v>2120</v>
      </c>
      <c r="AP265" t="s">
        <v>2120</v>
      </c>
      <c r="AQ265" t="s">
        <v>2119</v>
      </c>
    </row>
    <row r="266" spans="2:43" x14ac:dyDescent="0.2">
      <c r="B266" t="s">
        <v>728</v>
      </c>
      <c r="C266" t="s">
        <v>490</v>
      </c>
      <c r="D266">
        <v>0.79166666666666663</v>
      </c>
      <c r="E266" t="s">
        <v>308</v>
      </c>
      <c r="F266" t="s">
        <v>753</v>
      </c>
      <c r="H266">
        <v>43.4</v>
      </c>
      <c r="I266">
        <v>34.200000000000003</v>
      </c>
      <c r="J266">
        <v>22.5</v>
      </c>
      <c r="K266">
        <v>77.5</v>
      </c>
      <c r="L266">
        <v>56.6</v>
      </c>
      <c r="M266">
        <v>65.8</v>
      </c>
      <c r="N266">
        <v>23.7</v>
      </c>
      <c r="O266">
        <v>58.8</v>
      </c>
      <c r="P266">
        <v>17.5</v>
      </c>
      <c r="Q266">
        <v>47.3</v>
      </c>
      <c r="R266">
        <v>54.9</v>
      </c>
      <c r="S266">
        <v>26.9</v>
      </c>
      <c r="T266">
        <v>73.099999999999994</v>
      </c>
      <c r="U266">
        <v>77.7</v>
      </c>
      <c r="V266">
        <v>34.9</v>
      </c>
      <c r="W266">
        <v>65.099999999999994</v>
      </c>
      <c r="X266" t="s">
        <v>308</v>
      </c>
      <c r="Y266" t="s">
        <v>3049</v>
      </c>
      <c r="Z266" t="s">
        <v>4161</v>
      </c>
      <c r="AA266" t="s">
        <v>2142</v>
      </c>
      <c r="AB266" t="s">
        <v>2119</v>
      </c>
      <c r="AC266" t="s">
        <v>2119</v>
      </c>
      <c r="AD266" t="s">
        <v>2120</v>
      </c>
      <c r="AE266" t="s">
        <v>2119</v>
      </c>
      <c r="AF266" t="s">
        <v>2120</v>
      </c>
      <c r="AG266" t="s">
        <v>2120</v>
      </c>
      <c r="AH266" t="s">
        <v>2119</v>
      </c>
      <c r="AI266" t="s">
        <v>2120</v>
      </c>
      <c r="AJ266" t="s">
        <v>2119</v>
      </c>
      <c r="AK266" t="s">
        <v>2120</v>
      </c>
      <c r="AL266" t="s">
        <v>2120</v>
      </c>
      <c r="AM266" t="s">
        <v>2120</v>
      </c>
      <c r="AN266" t="s">
        <v>2119</v>
      </c>
      <c r="AO266" t="s">
        <v>2119</v>
      </c>
      <c r="AP266" t="s">
        <v>2120</v>
      </c>
      <c r="AQ266" t="s">
        <v>2119</v>
      </c>
    </row>
    <row r="267" spans="2:43" x14ac:dyDescent="0.2">
      <c r="B267" t="s">
        <v>470</v>
      </c>
      <c r="C267" t="s">
        <v>490</v>
      </c>
      <c r="D267">
        <v>0.80208333333333337</v>
      </c>
      <c r="E267" t="s">
        <v>754</v>
      </c>
      <c r="F267" t="s">
        <v>755</v>
      </c>
      <c r="H267">
        <v>47.8</v>
      </c>
      <c r="I267">
        <v>31.2</v>
      </c>
      <c r="J267">
        <v>20.9</v>
      </c>
      <c r="K267">
        <v>79.099999999999994</v>
      </c>
      <c r="L267">
        <v>52.2</v>
      </c>
      <c r="M267">
        <v>68.8</v>
      </c>
      <c r="N267">
        <v>28</v>
      </c>
      <c r="O267">
        <v>48.2</v>
      </c>
      <c r="P267">
        <v>23.8</v>
      </c>
      <c r="Q267">
        <v>62.5</v>
      </c>
      <c r="R267">
        <v>61.6</v>
      </c>
      <c r="S267">
        <v>33.299999999999997</v>
      </c>
      <c r="T267">
        <v>66.7</v>
      </c>
      <c r="U267">
        <v>72.2</v>
      </c>
      <c r="V267">
        <v>39.5</v>
      </c>
      <c r="W267">
        <v>60.5</v>
      </c>
      <c r="X267" t="s">
        <v>754</v>
      </c>
      <c r="Y267" t="s">
        <v>755</v>
      </c>
      <c r="Z267" t="s">
        <v>4162</v>
      </c>
      <c r="AA267" t="s">
        <v>456</v>
      </c>
      <c r="AB267" t="s">
        <v>2119</v>
      </c>
      <c r="AC267" t="s">
        <v>2119</v>
      </c>
      <c r="AD267" t="s">
        <v>2120</v>
      </c>
      <c r="AE267" t="s">
        <v>2119</v>
      </c>
      <c r="AF267" t="s">
        <v>2120</v>
      </c>
      <c r="AG267" t="s">
        <v>2120</v>
      </c>
      <c r="AH267" t="s">
        <v>2119</v>
      </c>
      <c r="AI267" t="s">
        <v>2119</v>
      </c>
      <c r="AJ267" t="s">
        <v>2120</v>
      </c>
      <c r="AK267" t="s">
        <v>2120</v>
      </c>
      <c r="AL267" t="s">
        <v>2119</v>
      </c>
      <c r="AM267" t="s">
        <v>2119</v>
      </c>
      <c r="AN267" t="s">
        <v>2120</v>
      </c>
      <c r="AO267" t="s">
        <v>2120</v>
      </c>
      <c r="AP267" t="s">
        <v>2119</v>
      </c>
      <c r="AQ267" t="s">
        <v>2120</v>
      </c>
    </row>
    <row r="268" spans="2:43" x14ac:dyDescent="0.2">
      <c r="B268" t="s">
        <v>468</v>
      </c>
      <c r="C268" t="s">
        <v>490</v>
      </c>
      <c r="D268">
        <v>0.8125</v>
      </c>
      <c r="E268" t="s">
        <v>60</v>
      </c>
      <c r="F268" t="s">
        <v>63</v>
      </c>
      <c r="H268">
        <v>42.7</v>
      </c>
      <c r="I268">
        <v>25.8</v>
      </c>
      <c r="J268">
        <v>31.5</v>
      </c>
      <c r="K268">
        <v>68.5</v>
      </c>
      <c r="L268">
        <v>57.3</v>
      </c>
      <c r="M268">
        <v>74.2</v>
      </c>
      <c r="N268">
        <v>41.6</v>
      </c>
      <c r="O268">
        <v>37.9</v>
      </c>
      <c r="P268">
        <v>20.5</v>
      </c>
      <c r="Q268">
        <v>76.599999999999994</v>
      </c>
      <c r="R268">
        <v>86.6</v>
      </c>
      <c r="S268">
        <v>66.5</v>
      </c>
      <c r="T268">
        <v>33.5</v>
      </c>
      <c r="U268">
        <v>39</v>
      </c>
      <c r="V268">
        <v>68.099999999999994</v>
      </c>
      <c r="W268">
        <v>31.9</v>
      </c>
      <c r="X268" t="s">
        <v>60</v>
      </c>
      <c r="Y268" t="s">
        <v>63</v>
      </c>
      <c r="Z268" t="s">
        <v>4163</v>
      </c>
      <c r="AA268" t="s">
        <v>449</v>
      </c>
      <c r="AB268" t="s">
        <v>2119</v>
      </c>
      <c r="AC268" t="s">
        <v>2119</v>
      </c>
      <c r="AD268" t="s">
        <v>2120</v>
      </c>
      <c r="AE268" t="s">
        <v>2119</v>
      </c>
      <c r="AF268" t="s">
        <v>2120</v>
      </c>
      <c r="AG268" t="s">
        <v>2120</v>
      </c>
      <c r="AH268" t="s">
        <v>2119</v>
      </c>
      <c r="AI268" t="s">
        <v>2119</v>
      </c>
      <c r="AJ268" t="s">
        <v>2120</v>
      </c>
      <c r="AK268" t="s">
        <v>2120</v>
      </c>
      <c r="AL268" t="s">
        <v>2120</v>
      </c>
      <c r="AM268" t="s">
        <v>2119</v>
      </c>
      <c r="AN268" t="s">
        <v>2120</v>
      </c>
      <c r="AO268" t="s">
        <v>2120</v>
      </c>
      <c r="AP268" t="s">
        <v>2119</v>
      </c>
      <c r="AQ268" t="s">
        <v>2120</v>
      </c>
    </row>
    <row r="269" spans="2:43" x14ac:dyDescent="0.2">
      <c r="B269" t="s">
        <v>482</v>
      </c>
      <c r="C269" t="s">
        <v>490</v>
      </c>
      <c r="D269">
        <v>0.8125</v>
      </c>
      <c r="E269" t="s">
        <v>756</v>
      </c>
      <c r="F269" t="s">
        <v>757</v>
      </c>
      <c r="H269">
        <v>39.1</v>
      </c>
      <c r="I269">
        <v>31.6</v>
      </c>
      <c r="J269">
        <v>29.3</v>
      </c>
      <c r="K269">
        <v>70.7</v>
      </c>
      <c r="L269">
        <v>60.9</v>
      </c>
      <c r="M269">
        <v>68.400000000000006</v>
      </c>
      <c r="N269">
        <v>23</v>
      </c>
      <c r="O269">
        <v>49.7</v>
      </c>
      <c r="P269">
        <v>27.3</v>
      </c>
      <c r="Q269">
        <v>60.4</v>
      </c>
      <c r="R269">
        <v>65.900000000000006</v>
      </c>
      <c r="S269">
        <v>37.700000000000003</v>
      </c>
      <c r="T269">
        <v>62.3</v>
      </c>
      <c r="U269">
        <v>67.3</v>
      </c>
      <c r="V269">
        <v>45.6</v>
      </c>
      <c r="W269">
        <v>54.4</v>
      </c>
      <c r="X269" t="s">
        <v>756</v>
      </c>
      <c r="Y269" t="s">
        <v>757</v>
      </c>
      <c r="Z269" t="s">
        <v>4164</v>
      </c>
      <c r="AA269" t="s">
        <v>2128</v>
      </c>
      <c r="AB269" t="s">
        <v>2120</v>
      </c>
      <c r="AC269" t="s">
        <v>2119</v>
      </c>
      <c r="AD269" t="s">
        <v>2119</v>
      </c>
      <c r="AE269" t="s">
        <v>2120</v>
      </c>
      <c r="AF269" t="s">
        <v>2119</v>
      </c>
      <c r="AG269" t="s">
        <v>2120</v>
      </c>
      <c r="AH269" t="s">
        <v>2119</v>
      </c>
      <c r="AI269" t="s">
        <v>2120</v>
      </c>
      <c r="AJ269" t="s">
        <v>2119</v>
      </c>
      <c r="AK269" t="s">
        <v>2119</v>
      </c>
      <c r="AL269" t="s">
        <v>2120</v>
      </c>
      <c r="AM269" t="s">
        <v>2119</v>
      </c>
      <c r="AN269" t="s">
        <v>2120</v>
      </c>
      <c r="AO269" t="s">
        <v>2120</v>
      </c>
      <c r="AP269" t="s">
        <v>2119</v>
      </c>
      <c r="AQ269" t="s">
        <v>2120</v>
      </c>
    </row>
    <row r="270" spans="2:43" x14ac:dyDescent="0.2">
      <c r="B270" t="s">
        <v>468</v>
      </c>
      <c r="C270" t="s">
        <v>490</v>
      </c>
      <c r="D270">
        <v>0.83333333333333337</v>
      </c>
      <c r="E270" t="s">
        <v>51</v>
      </c>
      <c r="F270" t="s">
        <v>53</v>
      </c>
      <c r="H270">
        <v>46.4</v>
      </c>
      <c r="I270">
        <v>25</v>
      </c>
      <c r="J270">
        <v>28.5</v>
      </c>
      <c r="K270">
        <v>71.5</v>
      </c>
      <c r="L270">
        <v>53.6</v>
      </c>
      <c r="M270">
        <v>75</v>
      </c>
      <c r="N270">
        <v>44.4</v>
      </c>
      <c r="O270">
        <v>35.1</v>
      </c>
      <c r="P270">
        <v>20.6</v>
      </c>
      <c r="Q270">
        <v>80.7</v>
      </c>
      <c r="R270">
        <v>90.5</v>
      </c>
      <c r="S270">
        <v>74</v>
      </c>
      <c r="T270">
        <v>26</v>
      </c>
      <c r="U270">
        <v>31.4</v>
      </c>
      <c r="V270">
        <v>73.400000000000006</v>
      </c>
      <c r="W270">
        <v>26.6</v>
      </c>
      <c r="X270" t="s">
        <v>860</v>
      </c>
      <c r="Y270" t="s">
        <v>53</v>
      </c>
      <c r="Z270" t="s">
        <v>4165</v>
      </c>
      <c r="AA270" t="s">
        <v>462</v>
      </c>
      <c r="AB270" t="s">
        <v>2120</v>
      </c>
      <c r="AC270" t="s">
        <v>2119</v>
      </c>
      <c r="AD270" t="s">
        <v>2119</v>
      </c>
      <c r="AE270" t="s">
        <v>2120</v>
      </c>
      <c r="AF270" t="s">
        <v>2119</v>
      </c>
      <c r="AG270" t="s">
        <v>2120</v>
      </c>
      <c r="AH270" t="s">
        <v>2120</v>
      </c>
      <c r="AI270" t="s">
        <v>2119</v>
      </c>
      <c r="AJ270" t="s">
        <v>2119</v>
      </c>
      <c r="AK270" t="s">
        <v>2120</v>
      </c>
      <c r="AL270" t="s">
        <v>2120</v>
      </c>
      <c r="AM270" t="s">
        <v>2120</v>
      </c>
      <c r="AN270" t="s">
        <v>2119</v>
      </c>
      <c r="AO270" t="s">
        <v>2120</v>
      </c>
      <c r="AP270" t="s">
        <v>2120</v>
      </c>
      <c r="AQ270" t="s">
        <v>2119</v>
      </c>
    </row>
    <row r="271" spans="2:43" x14ac:dyDescent="0.2">
      <c r="B271" t="s">
        <v>467</v>
      </c>
      <c r="C271" t="s">
        <v>490</v>
      </c>
      <c r="D271">
        <v>0.83333333333333337</v>
      </c>
      <c r="E271" t="s">
        <v>758</v>
      </c>
      <c r="F271" t="s">
        <v>759</v>
      </c>
      <c r="H271">
        <v>36.299999999999997</v>
      </c>
      <c r="I271">
        <v>29.2</v>
      </c>
      <c r="J271">
        <v>34.5</v>
      </c>
      <c r="K271">
        <v>65.5</v>
      </c>
      <c r="L271">
        <v>63.7</v>
      </c>
      <c r="M271">
        <v>70.8</v>
      </c>
      <c r="N271">
        <v>25.6</v>
      </c>
      <c r="O271">
        <v>44.2</v>
      </c>
      <c r="P271">
        <v>30.2</v>
      </c>
      <c r="Q271">
        <v>68.7</v>
      </c>
      <c r="R271">
        <v>74.7</v>
      </c>
      <c r="S271">
        <v>48.4</v>
      </c>
      <c r="T271">
        <v>51.6</v>
      </c>
      <c r="U271">
        <v>57</v>
      </c>
      <c r="V271">
        <v>54.5</v>
      </c>
      <c r="W271">
        <v>45.5</v>
      </c>
      <c r="X271" t="s">
        <v>758</v>
      </c>
      <c r="Y271" t="s">
        <v>759</v>
      </c>
      <c r="Z271" t="s">
        <v>4166</v>
      </c>
      <c r="AA271" t="s">
        <v>456</v>
      </c>
      <c r="AB271" t="s">
        <v>2119</v>
      </c>
      <c r="AC271" t="s">
        <v>2119</v>
      </c>
      <c r="AD271" t="s">
        <v>2120</v>
      </c>
      <c r="AE271" t="s">
        <v>2119</v>
      </c>
      <c r="AF271" t="s">
        <v>2120</v>
      </c>
      <c r="AG271" t="s">
        <v>2120</v>
      </c>
      <c r="AH271" t="s">
        <v>2119</v>
      </c>
      <c r="AI271" t="s">
        <v>2119</v>
      </c>
      <c r="AJ271" t="s">
        <v>2120</v>
      </c>
      <c r="AK271" t="s">
        <v>2120</v>
      </c>
      <c r="AL271" t="s">
        <v>2119</v>
      </c>
      <c r="AM271" t="s">
        <v>2119</v>
      </c>
      <c r="AN271" t="s">
        <v>2120</v>
      </c>
      <c r="AO271" t="s">
        <v>2120</v>
      </c>
      <c r="AP271" t="s">
        <v>2119</v>
      </c>
      <c r="AQ271" t="s">
        <v>2120</v>
      </c>
    </row>
    <row r="272" spans="2:43" x14ac:dyDescent="0.2">
      <c r="B272" t="s">
        <v>467</v>
      </c>
      <c r="C272" t="s">
        <v>490</v>
      </c>
      <c r="D272">
        <v>0.83333333333333337</v>
      </c>
      <c r="E272" t="s">
        <v>760</v>
      </c>
      <c r="F272" t="s">
        <v>761</v>
      </c>
      <c r="H272">
        <v>52.5</v>
      </c>
      <c r="I272">
        <v>26</v>
      </c>
      <c r="J272">
        <v>21.5</v>
      </c>
      <c r="K272">
        <v>78.5</v>
      </c>
      <c r="L272">
        <v>47.5</v>
      </c>
      <c r="M272">
        <v>74</v>
      </c>
      <c r="N272">
        <v>35.9</v>
      </c>
      <c r="O272">
        <v>42.4</v>
      </c>
      <c r="P272">
        <v>21.7</v>
      </c>
      <c r="Q272">
        <v>70.5</v>
      </c>
      <c r="R272">
        <v>78.900000000000006</v>
      </c>
      <c r="S272">
        <v>54.3</v>
      </c>
      <c r="T272">
        <v>45.7</v>
      </c>
      <c r="U272">
        <v>52.4</v>
      </c>
      <c r="V272">
        <v>55.9</v>
      </c>
      <c r="W272">
        <v>44.1</v>
      </c>
      <c r="X272" t="s">
        <v>760</v>
      </c>
      <c r="Y272" t="s">
        <v>3694</v>
      </c>
      <c r="Z272" t="s">
        <v>4167</v>
      </c>
      <c r="AA272" t="s">
        <v>456</v>
      </c>
      <c r="AB272" t="s">
        <v>2119</v>
      </c>
      <c r="AC272" t="s">
        <v>2119</v>
      </c>
      <c r="AD272" t="s">
        <v>2120</v>
      </c>
      <c r="AE272" t="s">
        <v>2119</v>
      </c>
      <c r="AF272" t="s">
        <v>2120</v>
      </c>
      <c r="AG272" t="s">
        <v>2120</v>
      </c>
      <c r="AH272" t="s">
        <v>2119</v>
      </c>
      <c r="AI272" t="s">
        <v>2119</v>
      </c>
      <c r="AJ272" t="s">
        <v>2120</v>
      </c>
      <c r="AK272" t="s">
        <v>2120</v>
      </c>
      <c r="AL272" t="s">
        <v>2119</v>
      </c>
      <c r="AM272" t="s">
        <v>2119</v>
      </c>
      <c r="AN272" t="s">
        <v>2120</v>
      </c>
      <c r="AO272" t="s">
        <v>2120</v>
      </c>
      <c r="AP272" t="s">
        <v>2119</v>
      </c>
      <c r="AQ272" t="s">
        <v>2120</v>
      </c>
    </row>
    <row r="273" spans="2:43" x14ac:dyDescent="0.2">
      <c r="B273" t="s">
        <v>467</v>
      </c>
      <c r="C273" t="s">
        <v>490</v>
      </c>
      <c r="D273">
        <v>0.83333333333333337</v>
      </c>
      <c r="E273" t="s">
        <v>762</v>
      </c>
      <c r="F273" t="s">
        <v>763</v>
      </c>
      <c r="H273">
        <v>54.9</v>
      </c>
      <c r="I273">
        <v>25.8</v>
      </c>
      <c r="J273">
        <v>19.3</v>
      </c>
      <c r="K273">
        <v>80.7</v>
      </c>
      <c r="L273">
        <v>45.1</v>
      </c>
      <c r="M273">
        <v>74.2</v>
      </c>
      <c r="N273">
        <v>37.5</v>
      </c>
      <c r="O273">
        <v>48.1</v>
      </c>
      <c r="P273">
        <v>14.4</v>
      </c>
      <c r="Q273">
        <v>60.4</v>
      </c>
      <c r="R273">
        <v>77.400000000000006</v>
      </c>
      <c r="S273">
        <v>52.2</v>
      </c>
      <c r="T273">
        <v>47.8</v>
      </c>
      <c r="U273">
        <v>54.9</v>
      </c>
      <c r="V273">
        <v>53.1</v>
      </c>
      <c r="W273">
        <v>46.9</v>
      </c>
      <c r="X273" t="s">
        <v>762</v>
      </c>
      <c r="Y273" t="s">
        <v>3695</v>
      </c>
      <c r="Z273" t="s">
        <v>4168</v>
      </c>
      <c r="AA273" t="s">
        <v>456</v>
      </c>
      <c r="AB273" t="s">
        <v>2119</v>
      </c>
      <c r="AC273" t="s">
        <v>2119</v>
      </c>
      <c r="AD273" t="s">
        <v>2120</v>
      </c>
      <c r="AE273" t="s">
        <v>2119</v>
      </c>
      <c r="AF273" t="s">
        <v>2120</v>
      </c>
      <c r="AG273" t="s">
        <v>2120</v>
      </c>
      <c r="AH273" t="s">
        <v>2119</v>
      </c>
      <c r="AI273" t="s">
        <v>2120</v>
      </c>
      <c r="AJ273" t="s">
        <v>2119</v>
      </c>
      <c r="AK273" t="s">
        <v>2119</v>
      </c>
      <c r="AL273" t="s">
        <v>2119</v>
      </c>
      <c r="AM273" t="s">
        <v>2119</v>
      </c>
      <c r="AN273" t="s">
        <v>2120</v>
      </c>
      <c r="AO273" t="s">
        <v>2120</v>
      </c>
      <c r="AP273" t="s">
        <v>2119</v>
      </c>
      <c r="AQ273" t="s">
        <v>2120</v>
      </c>
    </row>
    <row r="274" spans="2:43" x14ac:dyDescent="0.2">
      <c r="B274" t="s">
        <v>467</v>
      </c>
      <c r="C274" t="s">
        <v>490</v>
      </c>
      <c r="D274">
        <v>0.83333333333333337</v>
      </c>
      <c r="E274" t="s">
        <v>82</v>
      </c>
      <c r="F274" t="s">
        <v>764</v>
      </c>
      <c r="H274">
        <v>31.2</v>
      </c>
      <c r="I274">
        <v>29.8</v>
      </c>
      <c r="J274">
        <v>39</v>
      </c>
      <c r="K274">
        <v>61</v>
      </c>
      <c r="L274">
        <v>68.8</v>
      </c>
      <c r="M274">
        <v>70.2</v>
      </c>
      <c r="N274">
        <v>24</v>
      </c>
      <c r="O274">
        <v>46.4</v>
      </c>
      <c r="P274">
        <v>29.6</v>
      </c>
      <c r="Q274">
        <v>65.400000000000006</v>
      </c>
      <c r="R274">
        <v>73.2</v>
      </c>
      <c r="S274">
        <v>46.5</v>
      </c>
      <c r="T274">
        <v>53.5</v>
      </c>
      <c r="U274">
        <v>59</v>
      </c>
      <c r="V274">
        <v>52.8</v>
      </c>
      <c r="W274">
        <v>47.2</v>
      </c>
      <c r="X274" t="s">
        <v>82</v>
      </c>
      <c r="Y274" t="s">
        <v>764</v>
      </c>
      <c r="Z274" t="s">
        <v>4169</v>
      </c>
      <c r="AA274" t="s">
        <v>461</v>
      </c>
      <c r="AB274" t="s">
        <v>2119</v>
      </c>
      <c r="AC274" t="s">
        <v>2119</v>
      </c>
      <c r="AD274" t="s">
        <v>2120</v>
      </c>
      <c r="AE274" t="s">
        <v>2119</v>
      </c>
      <c r="AF274" t="s">
        <v>2120</v>
      </c>
      <c r="AG274" t="s">
        <v>2120</v>
      </c>
      <c r="AH274" t="s">
        <v>2119</v>
      </c>
      <c r="AI274" t="s">
        <v>2119</v>
      </c>
      <c r="AJ274" t="s">
        <v>2120</v>
      </c>
      <c r="AK274" t="s">
        <v>2120</v>
      </c>
      <c r="AL274" t="s">
        <v>2120</v>
      </c>
      <c r="AM274" t="s">
        <v>2120</v>
      </c>
      <c r="AN274" t="s">
        <v>2119</v>
      </c>
      <c r="AO274" t="s">
        <v>2119</v>
      </c>
      <c r="AP274" t="s">
        <v>2120</v>
      </c>
      <c r="AQ274" t="s">
        <v>2119</v>
      </c>
    </row>
    <row r="275" spans="2:43" x14ac:dyDescent="0.2">
      <c r="B275" t="s">
        <v>467</v>
      </c>
      <c r="C275" t="s">
        <v>490</v>
      </c>
      <c r="D275">
        <v>0.83333333333333337</v>
      </c>
      <c r="E275" t="s">
        <v>765</v>
      </c>
      <c r="F275" t="s">
        <v>766</v>
      </c>
      <c r="H275">
        <v>39.700000000000003</v>
      </c>
      <c r="I275">
        <v>28.3</v>
      </c>
      <c r="J275">
        <v>32</v>
      </c>
      <c r="K275">
        <v>68</v>
      </c>
      <c r="L275">
        <v>60.3</v>
      </c>
      <c r="M275">
        <v>71.7</v>
      </c>
      <c r="N275">
        <v>27.1</v>
      </c>
      <c r="O275">
        <v>51.3</v>
      </c>
      <c r="P275">
        <v>21.6</v>
      </c>
      <c r="Q275">
        <v>57.8</v>
      </c>
      <c r="R275">
        <v>77.2</v>
      </c>
      <c r="S275">
        <v>51.7</v>
      </c>
      <c r="T275">
        <v>48.3</v>
      </c>
      <c r="U275">
        <v>53.9</v>
      </c>
      <c r="V275">
        <v>56.9</v>
      </c>
      <c r="W275">
        <v>43.1</v>
      </c>
      <c r="X275" t="s">
        <v>765</v>
      </c>
      <c r="Y275" t="s">
        <v>3696</v>
      </c>
      <c r="Z275" t="s">
        <v>4170</v>
      </c>
      <c r="AA275" t="s">
        <v>456</v>
      </c>
      <c r="AB275" t="s">
        <v>2119</v>
      </c>
      <c r="AC275" t="s">
        <v>2119</v>
      </c>
      <c r="AD275" t="s">
        <v>2120</v>
      </c>
      <c r="AE275" t="s">
        <v>2119</v>
      </c>
      <c r="AF275" t="s">
        <v>2120</v>
      </c>
      <c r="AG275" t="s">
        <v>2120</v>
      </c>
      <c r="AH275" t="s">
        <v>2119</v>
      </c>
      <c r="AI275" t="s">
        <v>2120</v>
      </c>
      <c r="AJ275" t="s">
        <v>2119</v>
      </c>
      <c r="AK275" t="s">
        <v>2119</v>
      </c>
      <c r="AL275" t="s">
        <v>2119</v>
      </c>
      <c r="AM275" t="s">
        <v>2119</v>
      </c>
      <c r="AN275" t="s">
        <v>2120</v>
      </c>
      <c r="AO275" t="s">
        <v>2120</v>
      </c>
      <c r="AP275" t="s">
        <v>2119</v>
      </c>
      <c r="AQ275" t="s">
        <v>2120</v>
      </c>
    </row>
    <row r="276" spans="2:43" x14ac:dyDescent="0.2">
      <c r="B276" t="s">
        <v>466</v>
      </c>
      <c r="C276" t="s">
        <v>490</v>
      </c>
      <c r="D276">
        <v>0.83333333333333337</v>
      </c>
      <c r="E276" t="s">
        <v>767</v>
      </c>
      <c r="F276" t="s">
        <v>768</v>
      </c>
      <c r="H276">
        <v>48.6</v>
      </c>
      <c r="I276">
        <v>26.5</v>
      </c>
      <c r="J276">
        <v>24.9</v>
      </c>
      <c r="K276">
        <v>75.099999999999994</v>
      </c>
      <c r="L276">
        <v>51.4</v>
      </c>
      <c r="M276">
        <v>73.5</v>
      </c>
      <c r="N276">
        <v>39.700000000000003</v>
      </c>
      <c r="O276">
        <v>41.8</v>
      </c>
      <c r="P276">
        <v>18.5</v>
      </c>
      <c r="Q276">
        <v>70.5</v>
      </c>
      <c r="R276">
        <v>79.8</v>
      </c>
      <c r="S276">
        <v>55.6</v>
      </c>
      <c r="T276">
        <v>44.4</v>
      </c>
      <c r="U276">
        <v>50.6</v>
      </c>
      <c r="V276">
        <v>58.3</v>
      </c>
      <c r="W276">
        <v>41.7</v>
      </c>
      <c r="X276" t="s">
        <v>767</v>
      </c>
      <c r="Y276" t="s">
        <v>768</v>
      </c>
      <c r="Z276" t="s">
        <v>4171</v>
      </c>
      <c r="AA276" t="s">
        <v>2174</v>
      </c>
      <c r="AB276" t="s">
        <v>2120</v>
      </c>
      <c r="AC276" t="s">
        <v>2119</v>
      </c>
      <c r="AD276" t="s">
        <v>2119</v>
      </c>
      <c r="AE276" t="s">
        <v>2120</v>
      </c>
      <c r="AF276" t="s">
        <v>2119</v>
      </c>
      <c r="AG276" t="s">
        <v>2120</v>
      </c>
      <c r="AH276" t="s">
        <v>2120</v>
      </c>
      <c r="AI276" t="s">
        <v>2119</v>
      </c>
      <c r="AJ276" t="s">
        <v>2119</v>
      </c>
      <c r="AK276" t="s">
        <v>2120</v>
      </c>
      <c r="AL276" t="s">
        <v>2120</v>
      </c>
      <c r="AM276" t="s">
        <v>2120</v>
      </c>
      <c r="AN276" t="s">
        <v>2119</v>
      </c>
      <c r="AO276" t="s">
        <v>2119</v>
      </c>
      <c r="AP276" t="s">
        <v>2119</v>
      </c>
      <c r="AQ276" t="s">
        <v>2120</v>
      </c>
    </row>
    <row r="277" spans="2:43" x14ac:dyDescent="0.2">
      <c r="B277" t="s">
        <v>466</v>
      </c>
      <c r="C277" t="s">
        <v>490</v>
      </c>
      <c r="D277">
        <v>0.83333333333333337</v>
      </c>
      <c r="E277" t="s">
        <v>769</v>
      </c>
      <c r="F277" t="s">
        <v>770</v>
      </c>
      <c r="H277">
        <v>37.6</v>
      </c>
      <c r="I277">
        <v>26.7</v>
      </c>
      <c r="J277">
        <v>35.700000000000003</v>
      </c>
      <c r="K277">
        <v>64.3</v>
      </c>
      <c r="L277">
        <v>62.4</v>
      </c>
      <c r="M277">
        <v>73.3</v>
      </c>
      <c r="N277">
        <v>22.8</v>
      </c>
      <c r="O277">
        <v>41.9</v>
      </c>
      <c r="P277">
        <v>35.299999999999997</v>
      </c>
      <c r="Q277">
        <v>72</v>
      </c>
      <c r="R277">
        <v>84</v>
      </c>
      <c r="S277">
        <v>62.1</v>
      </c>
      <c r="T277">
        <v>37.9</v>
      </c>
      <c r="U277">
        <v>43.5</v>
      </c>
      <c r="V277">
        <v>65.099999999999994</v>
      </c>
      <c r="W277">
        <v>34.9</v>
      </c>
      <c r="X277" t="s">
        <v>3714</v>
      </c>
      <c r="Y277" t="s">
        <v>770</v>
      </c>
      <c r="Z277" t="s">
        <v>4172</v>
      </c>
      <c r="AA277" t="s">
        <v>2165</v>
      </c>
      <c r="AB277" t="s">
        <v>2120</v>
      </c>
      <c r="AC277" t="s">
        <v>2119</v>
      </c>
      <c r="AD277" t="s">
        <v>2119</v>
      </c>
      <c r="AE277" t="s">
        <v>2120</v>
      </c>
      <c r="AF277" t="s">
        <v>2119</v>
      </c>
      <c r="AG277" t="s">
        <v>2120</v>
      </c>
      <c r="AH277" t="s">
        <v>2119</v>
      </c>
      <c r="AI277" t="s">
        <v>2120</v>
      </c>
      <c r="AJ277" t="s">
        <v>2119</v>
      </c>
      <c r="AK277" t="s">
        <v>2119</v>
      </c>
      <c r="AL277" t="s">
        <v>2120</v>
      </c>
      <c r="AM277" t="s">
        <v>2120</v>
      </c>
      <c r="AN277" t="s">
        <v>2119</v>
      </c>
      <c r="AO277" t="s">
        <v>2120</v>
      </c>
      <c r="AP277" t="s">
        <v>2119</v>
      </c>
      <c r="AQ277" t="s">
        <v>2120</v>
      </c>
    </row>
    <row r="278" spans="2:43" x14ac:dyDescent="0.2">
      <c r="B278" t="s">
        <v>487</v>
      </c>
      <c r="C278" t="s">
        <v>490</v>
      </c>
      <c r="D278">
        <v>0.84027777777777779</v>
      </c>
      <c r="E278" t="s">
        <v>771</v>
      </c>
      <c r="F278" t="s">
        <v>772</v>
      </c>
      <c r="H278">
        <v>44.2</v>
      </c>
      <c r="I278">
        <v>28.7</v>
      </c>
      <c r="J278">
        <v>27.2</v>
      </c>
      <c r="K278">
        <v>72.8</v>
      </c>
      <c r="L278">
        <v>55.8</v>
      </c>
      <c r="M278">
        <v>71.3</v>
      </c>
      <c r="N278">
        <v>32.5</v>
      </c>
      <c r="O278">
        <v>44.7</v>
      </c>
      <c r="P278">
        <v>22.8</v>
      </c>
      <c r="Q278">
        <v>67.400000000000006</v>
      </c>
      <c r="R278">
        <v>74</v>
      </c>
      <c r="S278">
        <v>47.5</v>
      </c>
      <c r="T278">
        <v>52.5</v>
      </c>
      <c r="U278">
        <v>58.3</v>
      </c>
      <c r="V278">
        <v>52.8</v>
      </c>
      <c r="W278">
        <v>47.2</v>
      </c>
      <c r="X278" t="s">
        <v>3138</v>
      </c>
      <c r="Y278" t="s">
        <v>3139</v>
      </c>
      <c r="Z278" t="s">
        <v>4173</v>
      </c>
      <c r="AA278" t="s">
        <v>456</v>
      </c>
      <c r="AB278" t="s">
        <v>2119</v>
      </c>
      <c r="AC278" t="s">
        <v>2119</v>
      </c>
      <c r="AD278" t="s">
        <v>2120</v>
      </c>
      <c r="AE278" t="s">
        <v>2119</v>
      </c>
      <c r="AF278" t="s">
        <v>2120</v>
      </c>
      <c r="AG278" t="s">
        <v>2120</v>
      </c>
      <c r="AH278" t="s">
        <v>2119</v>
      </c>
      <c r="AI278" t="s">
        <v>2120</v>
      </c>
      <c r="AJ278" t="s">
        <v>2119</v>
      </c>
      <c r="AK278" t="s">
        <v>2119</v>
      </c>
      <c r="AL278" t="s">
        <v>2119</v>
      </c>
      <c r="AM278" t="s">
        <v>2119</v>
      </c>
      <c r="AN278" t="s">
        <v>2120</v>
      </c>
      <c r="AO278" t="s">
        <v>2120</v>
      </c>
      <c r="AP278" t="s">
        <v>2119</v>
      </c>
      <c r="AQ278" t="s">
        <v>2120</v>
      </c>
    </row>
    <row r="279" spans="2:43" x14ac:dyDescent="0.2">
      <c r="B279" t="s">
        <v>489</v>
      </c>
      <c r="C279" t="s">
        <v>490</v>
      </c>
      <c r="D279">
        <v>0.84375</v>
      </c>
      <c r="E279" t="s">
        <v>773</v>
      </c>
      <c r="F279" t="s">
        <v>774</v>
      </c>
      <c r="H279">
        <v>42.5</v>
      </c>
      <c r="I279">
        <v>27.7</v>
      </c>
      <c r="J279">
        <v>29.9</v>
      </c>
      <c r="K279">
        <v>70.099999999999994</v>
      </c>
      <c r="L279">
        <v>57.5</v>
      </c>
      <c r="M279">
        <v>72.3</v>
      </c>
      <c r="N279">
        <v>42.5</v>
      </c>
      <c r="O279">
        <v>41.6</v>
      </c>
      <c r="P279">
        <v>15.9</v>
      </c>
      <c r="Q279">
        <v>69.599999999999994</v>
      </c>
      <c r="R279">
        <v>78.7</v>
      </c>
      <c r="S279">
        <v>53.9</v>
      </c>
      <c r="T279">
        <v>46.1</v>
      </c>
      <c r="U279">
        <v>51.8</v>
      </c>
      <c r="V279">
        <v>58.3</v>
      </c>
      <c r="W279">
        <v>41.7</v>
      </c>
      <c r="X279" t="s">
        <v>1212</v>
      </c>
      <c r="Y279" t="s">
        <v>774</v>
      </c>
      <c r="Z279" t="s">
        <v>4174</v>
      </c>
      <c r="AA279" t="s">
        <v>447</v>
      </c>
      <c r="AB279" t="s">
        <v>2119</v>
      </c>
      <c r="AC279" t="s">
        <v>2120</v>
      </c>
      <c r="AD279" t="s">
        <v>2119</v>
      </c>
      <c r="AE279" t="s">
        <v>2120</v>
      </c>
      <c r="AF279" t="s">
        <v>2120</v>
      </c>
      <c r="AG279" t="s">
        <v>2119</v>
      </c>
      <c r="AH279" t="s">
        <v>2119</v>
      </c>
      <c r="AI279" t="s">
        <v>2120</v>
      </c>
      <c r="AJ279" t="s">
        <v>2119</v>
      </c>
      <c r="AK279" t="s">
        <v>2119</v>
      </c>
      <c r="AL279" t="s">
        <v>2119</v>
      </c>
      <c r="AM279" t="s">
        <v>2119</v>
      </c>
      <c r="AN279" t="s">
        <v>2120</v>
      </c>
      <c r="AO279" t="s">
        <v>2120</v>
      </c>
      <c r="AP279" t="s">
        <v>2119</v>
      </c>
      <c r="AQ279" t="s">
        <v>2120</v>
      </c>
    </row>
    <row r="280" spans="2:43" x14ac:dyDescent="0.2">
      <c r="B280" t="s">
        <v>457</v>
      </c>
      <c r="C280" t="s">
        <v>490</v>
      </c>
      <c r="D280">
        <v>0.85416666666666663</v>
      </c>
      <c r="E280" t="s">
        <v>236</v>
      </c>
      <c r="F280" t="s">
        <v>775</v>
      </c>
      <c r="H280">
        <v>44.1</v>
      </c>
      <c r="I280">
        <v>27.1</v>
      </c>
      <c r="J280">
        <v>28.8</v>
      </c>
      <c r="K280">
        <v>71.2</v>
      </c>
      <c r="L280">
        <v>55.9</v>
      </c>
      <c r="M280">
        <v>72.900000000000006</v>
      </c>
      <c r="N280">
        <v>32</v>
      </c>
      <c r="O280">
        <v>43.2</v>
      </c>
      <c r="P280">
        <v>24.8</v>
      </c>
      <c r="Q280">
        <v>69.900000000000006</v>
      </c>
      <c r="R280">
        <v>80.099999999999994</v>
      </c>
      <c r="S280">
        <v>56</v>
      </c>
      <c r="T280">
        <v>44</v>
      </c>
      <c r="U280">
        <v>49.9</v>
      </c>
      <c r="V280">
        <v>59.6</v>
      </c>
      <c r="W280">
        <v>40.4</v>
      </c>
      <c r="X280" t="s">
        <v>236</v>
      </c>
      <c r="Y280" t="s">
        <v>775</v>
      </c>
      <c r="Z280" t="s">
        <v>4175</v>
      </c>
      <c r="AA280" t="s">
        <v>460</v>
      </c>
      <c r="AB280" t="s">
        <v>2119</v>
      </c>
      <c r="AC280" t="s">
        <v>2119</v>
      </c>
      <c r="AD280" t="s">
        <v>2120</v>
      </c>
      <c r="AE280" t="s">
        <v>2119</v>
      </c>
      <c r="AF280" t="s">
        <v>2120</v>
      </c>
      <c r="AG280" t="s">
        <v>2120</v>
      </c>
      <c r="AH280" t="s">
        <v>2119</v>
      </c>
      <c r="AI280" t="s">
        <v>2119</v>
      </c>
      <c r="AJ280" t="s">
        <v>2120</v>
      </c>
      <c r="AK280" t="s">
        <v>2120</v>
      </c>
      <c r="AL280" t="s">
        <v>2120</v>
      </c>
      <c r="AM280" t="s">
        <v>2120</v>
      </c>
      <c r="AN280" t="s">
        <v>2119</v>
      </c>
      <c r="AO280" t="s">
        <v>2120</v>
      </c>
      <c r="AP280" t="s">
        <v>2120</v>
      </c>
      <c r="AQ280" t="s">
        <v>2119</v>
      </c>
    </row>
    <row r="281" spans="2:43" x14ac:dyDescent="0.2">
      <c r="B281" t="s">
        <v>454</v>
      </c>
      <c r="C281" t="s">
        <v>490</v>
      </c>
      <c r="D281">
        <v>0.85416666666666663</v>
      </c>
      <c r="E281" t="s">
        <v>776</v>
      </c>
      <c r="F281" t="s">
        <v>777</v>
      </c>
      <c r="H281">
        <v>42.3</v>
      </c>
      <c r="I281">
        <v>28.7</v>
      </c>
      <c r="J281">
        <v>29</v>
      </c>
      <c r="K281">
        <v>71</v>
      </c>
      <c r="L281">
        <v>57.7</v>
      </c>
      <c r="M281">
        <v>71.3</v>
      </c>
      <c r="N281">
        <v>21.9</v>
      </c>
      <c r="O281">
        <v>46.4</v>
      </c>
      <c r="P281">
        <v>31.7</v>
      </c>
      <c r="Q281">
        <v>65.099999999999994</v>
      </c>
      <c r="R281">
        <v>74.8</v>
      </c>
      <c r="S281">
        <v>48.5</v>
      </c>
      <c r="T281">
        <v>51.5</v>
      </c>
      <c r="U281">
        <v>57.1</v>
      </c>
      <c r="V281">
        <v>54</v>
      </c>
      <c r="W281">
        <v>46</v>
      </c>
      <c r="X281" t="s">
        <v>1861</v>
      </c>
      <c r="Y281" t="s">
        <v>2759</v>
      </c>
      <c r="Z281" t="s">
        <v>4176</v>
      </c>
      <c r="AA281" t="s">
        <v>459</v>
      </c>
      <c r="AB281" t="s">
        <v>2119</v>
      </c>
      <c r="AC281" t="s">
        <v>2120</v>
      </c>
      <c r="AD281" t="s">
        <v>2119</v>
      </c>
      <c r="AE281" t="s">
        <v>2120</v>
      </c>
      <c r="AF281" t="s">
        <v>2120</v>
      </c>
      <c r="AG281" t="s">
        <v>2119</v>
      </c>
      <c r="AH281" t="s">
        <v>2119</v>
      </c>
      <c r="AI281" t="s">
        <v>2119</v>
      </c>
      <c r="AJ281" t="s">
        <v>2120</v>
      </c>
      <c r="AK281" t="s">
        <v>2120</v>
      </c>
      <c r="AL281" t="s">
        <v>2120</v>
      </c>
      <c r="AM281" t="s">
        <v>2119</v>
      </c>
      <c r="AN281" t="s">
        <v>2120</v>
      </c>
      <c r="AO281" t="s">
        <v>2120</v>
      </c>
      <c r="AP281" t="s">
        <v>2120</v>
      </c>
      <c r="AQ281" t="s">
        <v>2119</v>
      </c>
    </row>
    <row r="282" spans="2:43" x14ac:dyDescent="0.2">
      <c r="B282" t="s">
        <v>468</v>
      </c>
      <c r="C282" t="s">
        <v>490</v>
      </c>
      <c r="D282">
        <v>0.85416666666666663</v>
      </c>
      <c r="E282" t="s">
        <v>78</v>
      </c>
      <c r="F282" t="s">
        <v>55</v>
      </c>
      <c r="H282">
        <v>37.1</v>
      </c>
      <c r="I282">
        <v>25.4</v>
      </c>
      <c r="J282">
        <v>37.5</v>
      </c>
      <c r="K282">
        <v>62.5</v>
      </c>
      <c r="L282">
        <v>62.9</v>
      </c>
      <c r="M282">
        <v>74.599999999999994</v>
      </c>
      <c r="N282">
        <v>36.4</v>
      </c>
      <c r="O282">
        <v>34.299999999999997</v>
      </c>
      <c r="P282">
        <v>29.3</v>
      </c>
      <c r="Q282">
        <v>84</v>
      </c>
      <c r="R282">
        <v>91.2</v>
      </c>
      <c r="S282">
        <v>75.400000000000006</v>
      </c>
      <c r="T282">
        <v>24.6</v>
      </c>
      <c r="U282">
        <v>29.5</v>
      </c>
      <c r="V282">
        <v>75.3</v>
      </c>
      <c r="W282">
        <v>24.7</v>
      </c>
      <c r="X282" t="s">
        <v>864</v>
      </c>
      <c r="Y282" t="s">
        <v>55</v>
      </c>
      <c r="Z282" t="s">
        <v>4177</v>
      </c>
      <c r="AA282" t="s">
        <v>456</v>
      </c>
      <c r="AB282" t="s">
        <v>2119</v>
      </c>
      <c r="AC282" t="s">
        <v>2119</v>
      </c>
      <c r="AD282" t="s">
        <v>2120</v>
      </c>
      <c r="AE282" t="s">
        <v>2119</v>
      </c>
      <c r="AF282" t="s">
        <v>2120</v>
      </c>
      <c r="AG282" t="s">
        <v>2120</v>
      </c>
      <c r="AH282" t="s">
        <v>2119</v>
      </c>
      <c r="AI282" t="s">
        <v>2120</v>
      </c>
      <c r="AJ282" t="s">
        <v>2119</v>
      </c>
      <c r="AK282" t="s">
        <v>2119</v>
      </c>
      <c r="AL282" t="s">
        <v>2119</v>
      </c>
      <c r="AM282" t="s">
        <v>2119</v>
      </c>
      <c r="AN282" t="s">
        <v>2120</v>
      </c>
      <c r="AO282" t="s">
        <v>2120</v>
      </c>
      <c r="AP282" t="s">
        <v>2119</v>
      </c>
      <c r="AQ282" t="s">
        <v>2120</v>
      </c>
    </row>
    <row r="283" spans="2:43" x14ac:dyDescent="0.2">
      <c r="B283" t="s">
        <v>468</v>
      </c>
      <c r="C283" t="s">
        <v>490</v>
      </c>
      <c r="D283">
        <v>0.85416666666666663</v>
      </c>
      <c r="E283" t="s">
        <v>76</v>
      </c>
      <c r="F283" t="s">
        <v>58</v>
      </c>
      <c r="H283">
        <v>48</v>
      </c>
      <c r="I283">
        <v>25.6</v>
      </c>
      <c r="J283">
        <v>26.4</v>
      </c>
      <c r="K283">
        <v>73.599999999999994</v>
      </c>
      <c r="L283">
        <v>52</v>
      </c>
      <c r="M283">
        <v>74.400000000000006</v>
      </c>
      <c r="N283">
        <v>42.9</v>
      </c>
      <c r="O283">
        <v>40.5</v>
      </c>
      <c r="P283">
        <v>16.600000000000001</v>
      </c>
      <c r="Q283">
        <v>71.5</v>
      </c>
      <c r="R283">
        <v>84.7</v>
      </c>
      <c r="S283">
        <v>63.4</v>
      </c>
      <c r="T283">
        <v>36.6</v>
      </c>
      <c r="U283">
        <v>42.7</v>
      </c>
      <c r="V283">
        <v>64.599999999999994</v>
      </c>
      <c r="W283">
        <v>35.4</v>
      </c>
      <c r="X283" t="s">
        <v>76</v>
      </c>
      <c r="Y283" t="s">
        <v>58</v>
      </c>
      <c r="Z283" t="s">
        <v>4178</v>
      </c>
      <c r="AA283" t="s">
        <v>462</v>
      </c>
      <c r="AB283" t="s">
        <v>2120</v>
      </c>
      <c r="AC283" t="s">
        <v>2119</v>
      </c>
      <c r="AD283" t="s">
        <v>2119</v>
      </c>
      <c r="AE283" t="s">
        <v>2120</v>
      </c>
      <c r="AF283" t="s">
        <v>2119</v>
      </c>
      <c r="AG283" t="s">
        <v>2120</v>
      </c>
      <c r="AH283" t="s">
        <v>2120</v>
      </c>
      <c r="AI283" t="s">
        <v>2119</v>
      </c>
      <c r="AJ283" t="s">
        <v>2119</v>
      </c>
      <c r="AK283" t="s">
        <v>2120</v>
      </c>
      <c r="AL283" t="s">
        <v>2120</v>
      </c>
      <c r="AM283" t="s">
        <v>2120</v>
      </c>
      <c r="AN283" t="s">
        <v>2119</v>
      </c>
      <c r="AO283" t="s">
        <v>2120</v>
      </c>
      <c r="AP283" t="s">
        <v>2120</v>
      </c>
      <c r="AQ283" t="s">
        <v>2119</v>
      </c>
    </row>
    <row r="284" spans="2:43" x14ac:dyDescent="0.2">
      <c r="B284" t="s">
        <v>468</v>
      </c>
      <c r="C284" t="s">
        <v>490</v>
      </c>
      <c r="D284">
        <v>0.85416666666666663</v>
      </c>
      <c r="E284" t="s">
        <v>57</v>
      </c>
      <c r="F284" t="s">
        <v>64</v>
      </c>
      <c r="H284">
        <v>53.8</v>
      </c>
      <c r="I284">
        <v>26.4</v>
      </c>
      <c r="J284">
        <v>19.8</v>
      </c>
      <c r="K284">
        <v>80.2</v>
      </c>
      <c r="L284">
        <v>46.2</v>
      </c>
      <c r="M284">
        <v>73.599999999999994</v>
      </c>
      <c r="N284">
        <v>28.7</v>
      </c>
      <c r="O284">
        <v>45.7</v>
      </c>
      <c r="P284">
        <v>25.5</v>
      </c>
      <c r="Q284">
        <v>66.3</v>
      </c>
      <c r="R284">
        <v>75.7</v>
      </c>
      <c r="S284">
        <v>49.9</v>
      </c>
      <c r="T284">
        <v>50.1</v>
      </c>
      <c r="U284">
        <v>57</v>
      </c>
      <c r="V284">
        <v>51.7</v>
      </c>
      <c r="W284">
        <v>48.3</v>
      </c>
      <c r="X284" t="s">
        <v>57</v>
      </c>
      <c r="Y284" t="s">
        <v>862</v>
      </c>
      <c r="Z284" t="s">
        <v>4179</v>
      </c>
      <c r="AA284" t="s">
        <v>4045</v>
      </c>
      <c r="AB284" t="s">
        <v>2120</v>
      </c>
      <c r="AC284" t="s">
        <v>2119</v>
      </c>
      <c r="AD284" t="s">
        <v>2119</v>
      </c>
      <c r="AE284" t="s">
        <v>2120</v>
      </c>
      <c r="AF284" t="s">
        <v>2119</v>
      </c>
      <c r="AG284" t="s">
        <v>2120</v>
      </c>
      <c r="AH284" t="s">
        <v>2120</v>
      </c>
      <c r="AI284" t="s">
        <v>2119</v>
      </c>
      <c r="AJ284" t="s">
        <v>2119</v>
      </c>
      <c r="AK284" t="s">
        <v>2120</v>
      </c>
      <c r="AL284" t="s">
        <v>2120</v>
      </c>
      <c r="AM284" t="s">
        <v>2120</v>
      </c>
      <c r="AN284" t="s">
        <v>2119</v>
      </c>
      <c r="AO284" t="s">
        <v>2119</v>
      </c>
      <c r="AP284" t="s">
        <v>2120</v>
      </c>
      <c r="AQ284" t="s">
        <v>2119</v>
      </c>
    </row>
    <row r="285" spans="2:43" x14ac:dyDescent="0.2">
      <c r="B285" t="s">
        <v>468</v>
      </c>
      <c r="C285" t="s">
        <v>490</v>
      </c>
      <c r="D285">
        <v>0.85416666666666663</v>
      </c>
      <c r="E285" t="s">
        <v>52</v>
      </c>
      <c r="F285" t="s">
        <v>56</v>
      </c>
      <c r="H285">
        <v>37.700000000000003</v>
      </c>
      <c r="I285">
        <v>27.4</v>
      </c>
      <c r="J285">
        <v>35</v>
      </c>
      <c r="K285">
        <v>65</v>
      </c>
      <c r="L285">
        <v>62.3</v>
      </c>
      <c r="M285">
        <v>72.599999999999994</v>
      </c>
      <c r="N285">
        <v>33.200000000000003</v>
      </c>
      <c r="O285">
        <v>41.1</v>
      </c>
      <c r="P285">
        <v>25.7</v>
      </c>
      <c r="Q285">
        <v>73.2</v>
      </c>
      <c r="R285">
        <v>81.2</v>
      </c>
      <c r="S285">
        <v>57.6</v>
      </c>
      <c r="T285">
        <v>42.4</v>
      </c>
      <c r="U285">
        <v>48</v>
      </c>
      <c r="V285">
        <v>61.6</v>
      </c>
      <c r="W285">
        <v>38.4</v>
      </c>
      <c r="X285" t="s">
        <v>861</v>
      </c>
      <c r="Y285" t="s">
        <v>56</v>
      </c>
      <c r="Z285" t="s">
        <v>4180</v>
      </c>
      <c r="AA285" t="s">
        <v>2133</v>
      </c>
      <c r="AB285" t="s">
        <v>2120</v>
      </c>
      <c r="AC285" t="s">
        <v>2119</v>
      </c>
      <c r="AD285" t="s">
        <v>2119</v>
      </c>
      <c r="AE285" t="s">
        <v>2120</v>
      </c>
      <c r="AF285" t="s">
        <v>2119</v>
      </c>
      <c r="AG285" t="s">
        <v>2120</v>
      </c>
      <c r="AH285" t="s">
        <v>2120</v>
      </c>
      <c r="AI285" t="s">
        <v>2119</v>
      </c>
      <c r="AJ285" t="s">
        <v>2119</v>
      </c>
      <c r="AK285" t="s">
        <v>2120</v>
      </c>
      <c r="AL285" t="s">
        <v>2120</v>
      </c>
      <c r="AM285" t="s">
        <v>2120</v>
      </c>
      <c r="AN285" t="s">
        <v>2119</v>
      </c>
      <c r="AO285" t="s">
        <v>2119</v>
      </c>
      <c r="AP285" t="s">
        <v>2120</v>
      </c>
      <c r="AQ285" t="s">
        <v>2119</v>
      </c>
    </row>
    <row r="286" spans="2:43" x14ac:dyDescent="0.2">
      <c r="B286" t="s">
        <v>468</v>
      </c>
      <c r="C286" t="s">
        <v>490</v>
      </c>
      <c r="D286">
        <v>0.85416666666666663</v>
      </c>
      <c r="E286" t="s">
        <v>94</v>
      </c>
      <c r="F286" t="s">
        <v>77</v>
      </c>
      <c r="H286">
        <v>22.5</v>
      </c>
      <c r="I286">
        <v>25.7</v>
      </c>
      <c r="J286">
        <v>51.8</v>
      </c>
      <c r="K286">
        <v>48.2</v>
      </c>
      <c r="L286">
        <v>77.5</v>
      </c>
      <c r="M286">
        <v>74.3</v>
      </c>
      <c r="N286">
        <v>24.6</v>
      </c>
      <c r="O286">
        <v>37.799999999999997</v>
      </c>
      <c r="P286">
        <v>37.6</v>
      </c>
      <c r="Q286">
        <v>78.3</v>
      </c>
      <c r="R286">
        <v>85.9</v>
      </c>
      <c r="S286">
        <v>65.5</v>
      </c>
      <c r="T286">
        <v>34.5</v>
      </c>
      <c r="U286">
        <v>40.799999999999997</v>
      </c>
      <c r="V286">
        <v>65.099999999999994</v>
      </c>
      <c r="W286">
        <v>34.9</v>
      </c>
      <c r="X286" t="s">
        <v>868</v>
      </c>
      <c r="Y286" t="s">
        <v>863</v>
      </c>
      <c r="Z286" t="s">
        <v>4181</v>
      </c>
      <c r="AA286" t="s">
        <v>453</v>
      </c>
      <c r="AB286" t="s">
        <v>2120</v>
      </c>
      <c r="AC286" t="s">
        <v>2119</v>
      </c>
      <c r="AD286" t="s">
        <v>2119</v>
      </c>
      <c r="AE286" t="s">
        <v>2120</v>
      </c>
      <c r="AF286" t="s">
        <v>2119</v>
      </c>
      <c r="AG286" t="s">
        <v>2120</v>
      </c>
      <c r="AH286" t="s">
        <v>2119</v>
      </c>
      <c r="AI286" t="s">
        <v>2120</v>
      </c>
      <c r="AJ286" t="s">
        <v>2119</v>
      </c>
      <c r="AK286" t="s">
        <v>2119</v>
      </c>
      <c r="AL286" t="s">
        <v>2119</v>
      </c>
      <c r="AM286" t="s">
        <v>2119</v>
      </c>
      <c r="AN286" t="s">
        <v>2120</v>
      </c>
      <c r="AO286" t="s">
        <v>2120</v>
      </c>
      <c r="AP286" t="s">
        <v>2119</v>
      </c>
      <c r="AQ286" t="s">
        <v>2120</v>
      </c>
    </row>
    <row r="287" spans="2:43" x14ac:dyDescent="0.2">
      <c r="B287" t="s">
        <v>468</v>
      </c>
      <c r="C287" t="s">
        <v>490</v>
      </c>
      <c r="D287">
        <v>0.85416666666666663</v>
      </c>
      <c r="E287" t="s">
        <v>59</v>
      </c>
      <c r="F287" t="s">
        <v>74</v>
      </c>
      <c r="H287">
        <v>37</v>
      </c>
      <c r="I287">
        <v>28.9</v>
      </c>
      <c r="J287">
        <v>34</v>
      </c>
      <c r="K287">
        <v>66</v>
      </c>
      <c r="L287">
        <v>63</v>
      </c>
      <c r="M287">
        <v>71.099999999999994</v>
      </c>
      <c r="N287">
        <v>26</v>
      </c>
      <c r="O287">
        <v>44.6</v>
      </c>
      <c r="P287">
        <v>29.4</v>
      </c>
      <c r="Q287">
        <v>68.2</v>
      </c>
      <c r="R287">
        <v>75.7</v>
      </c>
      <c r="S287">
        <v>49.8</v>
      </c>
      <c r="T287">
        <v>50.2</v>
      </c>
      <c r="U287">
        <v>55.7</v>
      </c>
      <c r="V287">
        <v>55.5</v>
      </c>
      <c r="W287">
        <v>44.5</v>
      </c>
      <c r="X287" t="s">
        <v>59</v>
      </c>
      <c r="Y287" t="s">
        <v>74</v>
      </c>
      <c r="Z287" t="s">
        <v>4182</v>
      </c>
      <c r="AA287" t="s">
        <v>453</v>
      </c>
      <c r="AB287" t="s">
        <v>2120</v>
      </c>
      <c r="AC287" t="s">
        <v>2119</v>
      </c>
      <c r="AD287" t="s">
        <v>2119</v>
      </c>
      <c r="AE287" t="s">
        <v>2120</v>
      </c>
      <c r="AF287" t="s">
        <v>2119</v>
      </c>
      <c r="AG287" t="s">
        <v>2120</v>
      </c>
      <c r="AH287" t="s">
        <v>2120</v>
      </c>
      <c r="AI287" t="s">
        <v>2119</v>
      </c>
      <c r="AJ287" t="s">
        <v>2119</v>
      </c>
      <c r="AK287" t="s">
        <v>2120</v>
      </c>
      <c r="AL287" t="s">
        <v>2119</v>
      </c>
      <c r="AM287" t="s">
        <v>2119</v>
      </c>
      <c r="AN287" t="s">
        <v>2120</v>
      </c>
      <c r="AO287" t="s">
        <v>2120</v>
      </c>
      <c r="AP287" t="s">
        <v>2119</v>
      </c>
      <c r="AQ287" t="s">
        <v>2120</v>
      </c>
    </row>
    <row r="288" spans="2:43" x14ac:dyDescent="0.2">
      <c r="B288" t="s">
        <v>466</v>
      </c>
      <c r="C288" t="s">
        <v>490</v>
      </c>
      <c r="D288">
        <v>0.85416666666666663</v>
      </c>
      <c r="E288" t="s">
        <v>45</v>
      </c>
      <c r="F288" t="s">
        <v>778</v>
      </c>
      <c r="H288">
        <v>37.6</v>
      </c>
      <c r="I288">
        <v>27.7</v>
      </c>
      <c r="J288">
        <v>34.700000000000003</v>
      </c>
      <c r="K288">
        <v>65.3</v>
      </c>
      <c r="L288">
        <v>62.4</v>
      </c>
      <c r="M288">
        <v>72.3</v>
      </c>
      <c r="N288">
        <v>20.8</v>
      </c>
      <c r="O288">
        <v>41.4</v>
      </c>
      <c r="P288">
        <v>37.799999999999997</v>
      </c>
      <c r="Q288">
        <v>72.3</v>
      </c>
      <c r="R288">
        <v>79.900000000000006</v>
      </c>
      <c r="S288">
        <v>55.6</v>
      </c>
      <c r="T288">
        <v>44.4</v>
      </c>
      <c r="U288">
        <v>50</v>
      </c>
      <c r="V288">
        <v>60.1</v>
      </c>
      <c r="W288">
        <v>39.9</v>
      </c>
      <c r="X288" t="s">
        <v>1870</v>
      </c>
      <c r="Y288" t="s">
        <v>778</v>
      </c>
      <c r="Z288" t="s">
        <v>4183</v>
      </c>
      <c r="AA288" t="s">
        <v>2203</v>
      </c>
      <c r="AB288" t="s">
        <v>2119</v>
      </c>
      <c r="AC288" t="s">
        <v>2119</v>
      </c>
      <c r="AD288" t="s">
        <v>2120</v>
      </c>
      <c r="AE288" t="s">
        <v>2119</v>
      </c>
      <c r="AF288" t="s">
        <v>2120</v>
      </c>
      <c r="AG288" t="s">
        <v>2120</v>
      </c>
      <c r="AH288" t="s">
        <v>2119</v>
      </c>
      <c r="AI288" t="s">
        <v>2119</v>
      </c>
      <c r="AJ288" t="s">
        <v>2120</v>
      </c>
      <c r="AK288" t="s">
        <v>2120</v>
      </c>
      <c r="AL288" t="s">
        <v>2120</v>
      </c>
      <c r="AM288" t="s">
        <v>2120</v>
      </c>
      <c r="AN288" t="s">
        <v>2119</v>
      </c>
      <c r="AO288" t="s">
        <v>2119</v>
      </c>
      <c r="AP288" t="s">
        <v>2120</v>
      </c>
      <c r="AQ288" t="s">
        <v>2119</v>
      </c>
    </row>
    <row r="289" spans="2:43" x14ac:dyDescent="0.2">
      <c r="B289" t="s">
        <v>485</v>
      </c>
      <c r="C289" t="s">
        <v>490</v>
      </c>
      <c r="D289">
        <v>0.875</v>
      </c>
      <c r="E289" t="s">
        <v>779</v>
      </c>
      <c r="F289" t="s">
        <v>780</v>
      </c>
      <c r="H289">
        <v>59.5</v>
      </c>
      <c r="I289">
        <v>23.4</v>
      </c>
      <c r="J289">
        <v>17.100000000000001</v>
      </c>
      <c r="K289">
        <v>82.9</v>
      </c>
      <c r="L289">
        <v>40.5</v>
      </c>
      <c r="M289">
        <v>76.599999999999994</v>
      </c>
      <c r="N289">
        <v>35.4</v>
      </c>
      <c r="O289">
        <v>36.1</v>
      </c>
      <c r="P289">
        <v>28.5</v>
      </c>
      <c r="Q289">
        <v>81.099999999999994</v>
      </c>
      <c r="R289">
        <v>86.1</v>
      </c>
      <c r="S289">
        <v>65.8</v>
      </c>
      <c r="T289">
        <v>34.200000000000003</v>
      </c>
      <c r="U289">
        <v>41.5</v>
      </c>
      <c r="V289">
        <v>62.2</v>
      </c>
      <c r="W289">
        <v>37.799999999999997</v>
      </c>
      <c r="X289" t="s">
        <v>3115</v>
      </c>
      <c r="Y289" t="s">
        <v>3116</v>
      </c>
      <c r="Z289" t="s">
        <v>4184</v>
      </c>
      <c r="AA289" t="s">
        <v>4080</v>
      </c>
      <c r="AB289" t="s">
        <v>2119</v>
      </c>
      <c r="AC289" t="s">
        <v>2120</v>
      </c>
      <c r="AD289" t="s">
        <v>2119</v>
      </c>
      <c r="AE289" t="s">
        <v>2120</v>
      </c>
      <c r="AF289" t="s">
        <v>2120</v>
      </c>
      <c r="AG289" t="s">
        <v>2119</v>
      </c>
      <c r="AH289" t="s">
        <v>2120</v>
      </c>
      <c r="AI289" t="s">
        <v>2119</v>
      </c>
      <c r="AJ289" t="s">
        <v>2119</v>
      </c>
      <c r="AK289" t="s">
        <v>2120</v>
      </c>
      <c r="AL289" t="s">
        <v>2120</v>
      </c>
      <c r="AM289" t="s">
        <v>2120</v>
      </c>
      <c r="AN289" t="s">
        <v>2119</v>
      </c>
      <c r="AO289" t="s">
        <v>2119</v>
      </c>
      <c r="AP289" t="s">
        <v>2120</v>
      </c>
      <c r="AQ289" t="s">
        <v>2119</v>
      </c>
    </row>
    <row r="290" spans="2:43" x14ac:dyDescent="0.2">
      <c r="B290" t="s">
        <v>483</v>
      </c>
      <c r="C290" t="s">
        <v>490</v>
      </c>
      <c r="D290">
        <v>0.875</v>
      </c>
      <c r="E290" t="s">
        <v>428</v>
      </c>
      <c r="F290" t="s">
        <v>781</v>
      </c>
      <c r="H290">
        <v>58.2</v>
      </c>
      <c r="I290">
        <v>26.4</v>
      </c>
      <c r="J290">
        <v>15.4</v>
      </c>
      <c r="K290">
        <v>84.6</v>
      </c>
      <c r="L290">
        <v>41.8</v>
      </c>
      <c r="M290">
        <v>73.599999999999994</v>
      </c>
      <c r="N290">
        <v>44.5</v>
      </c>
      <c r="O290">
        <v>43.2</v>
      </c>
      <c r="P290">
        <v>12.3</v>
      </c>
      <c r="Q290">
        <v>65.8</v>
      </c>
      <c r="R290">
        <v>69.8</v>
      </c>
      <c r="S290">
        <v>42.4</v>
      </c>
      <c r="T290">
        <v>57.6</v>
      </c>
      <c r="U290">
        <v>65.2</v>
      </c>
      <c r="V290">
        <v>42.9</v>
      </c>
      <c r="W290">
        <v>57.1</v>
      </c>
      <c r="X290" t="s">
        <v>428</v>
      </c>
      <c r="Y290" t="s">
        <v>781</v>
      </c>
      <c r="Z290" t="s">
        <v>4185</v>
      </c>
      <c r="AA290" t="s">
        <v>2125</v>
      </c>
      <c r="AB290" t="s">
        <v>2120</v>
      </c>
      <c r="AC290" t="s">
        <v>2119</v>
      </c>
      <c r="AD290" t="s">
        <v>2119</v>
      </c>
      <c r="AE290" t="s">
        <v>2120</v>
      </c>
      <c r="AF290" t="s">
        <v>2119</v>
      </c>
      <c r="AG290" t="s">
        <v>2120</v>
      </c>
      <c r="AH290" t="s">
        <v>2120</v>
      </c>
      <c r="AI290" t="s">
        <v>2119</v>
      </c>
      <c r="AJ290" t="s">
        <v>2119</v>
      </c>
      <c r="AK290" t="s">
        <v>2120</v>
      </c>
      <c r="AL290" t="s">
        <v>2120</v>
      </c>
      <c r="AM290" t="s">
        <v>2120</v>
      </c>
      <c r="AN290" t="s">
        <v>2119</v>
      </c>
      <c r="AO290" t="s">
        <v>2119</v>
      </c>
      <c r="AP290" t="s">
        <v>2120</v>
      </c>
      <c r="AQ290" t="s">
        <v>2119</v>
      </c>
    </row>
    <row r="291" spans="2:43" x14ac:dyDescent="0.2">
      <c r="B291" t="s">
        <v>452</v>
      </c>
      <c r="C291" t="s">
        <v>490</v>
      </c>
      <c r="D291">
        <v>0.875</v>
      </c>
      <c r="E291" t="s">
        <v>38</v>
      </c>
      <c r="F291" t="s">
        <v>61</v>
      </c>
      <c r="H291">
        <v>48.7</v>
      </c>
      <c r="I291">
        <v>32.299999999999997</v>
      </c>
      <c r="J291">
        <v>19</v>
      </c>
      <c r="K291">
        <v>81</v>
      </c>
      <c r="L291">
        <v>51.3</v>
      </c>
      <c r="M291">
        <v>67.7</v>
      </c>
      <c r="N291">
        <v>33.9</v>
      </c>
      <c r="O291">
        <v>54.3</v>
      </c>
      <c r="P291">
        <v>11.7</v>
      </c>
      <c r="Q291">
        <v>51.6</v>
      </c>
      <c r="R291">
        <v>56.9</v>
      </c>
      <c r="S291">
        <v>28.7</v>
      </c>
      <c r="T291">
        <v>71.3</v>
      </c>
      <c r="U291">
        <v>76.599999999999994</v>
      </c>
      <c r="V291">
        <v>34.9</v>
      </c>
      <c r="W291">
        <v>65.099999999999994</v>
      </c>
      <c r="X291" t="s">
        <v>38</v>
      </c>
      <c r="Y291" t="s">
        <v>61</v>
      </c>
      <c r="Z291" t="s">
        <v>4186</v>
      </c>
      <c r="AA291" t="s">
        <v>453</v>
      </c>
      <c r="AB291" t="s">
        <v>2120</v>
      </c>
      <c r="AC291" t="s">
        <v>2119</v>
      </c>
      <c r="AD291" t="s">
        <v>2119</v>
      </c>
      <c r="AE291" t="s">
        <v>2120</v>
      </c>
      <c r="AF291" t="s">
        <v>2119</v>
      </c>
      <c r="AG291" t="s">
        <v>2120</v>
      </c>
      <c r="AH291" t="s">
        <v>2119</v>
      </c>
      <c r="AI291" t="s">
        <v>2120</v>
      </c>
      <c r="AJ291" t="s">
        <v>2119</v>
      </c>
      <c r="AK291" t="s">
        <v>2119</v>
      </c>
      <c r="AL291" t="s">
        <v>2119</v>
      </c>
      <c r="AM291" t="s">
        <v>2119</v>
      </c>
      <c r="AN291" t="s">
        <v>2120</v>
      </c>
      <c r="AO291" t="s">
        <v>2120</v>
      </c>
      <c r="AP291" t="s">
        <v>2119</v>
      </c>
      <c r="AQ291" t="s">
        <v>2120</v>
      </c>
    </row>
    <row r="292" spans="2:43" x14ac:dyDescent="0.2">
      <c r="B292" t="s">
        <v>470</v>
      </c>
      <c r="C292" t="s">
        <v>490</v>
      </c>
      <c r="D292">
        <v>0.89583333333333337</v>
      </c>
      <c r="E292" t="s">
        <v>782</v>
      </c>
      <c r="F292" t="s">
        <v>783</v>
      </c>
      <c r="H292">
        <v>43.1</v>
      </c>
      <c r="I292">
        <v>32.9</v>
      </c>
      <c r="J292">
        <v>24.1</v>
      </c>
      <c r="K292">
        <v>75.900000000000006</v>
      </c>
      <c r="L292">
        <v>56.9</v>
      </c>
      <c r="M292">
        <v>67.099999999999994</v>
      </c>
      <c r="N292">
        <v>32.6</v>
      </c>
      <c r="O292">
        <v>54.6</v>
      </c>
      <c r="P292">
        <v>12.8</v>
      </c>
      <c r="Q292">
        <v>51.7</v>
      </c>
      <c r="R292">
        <v>59.5</v>
      </c>
      <c r="S292">
        <v>31.1</v>
      </c>
      <c r="T292">
        <v>68.900000000000006</v>
      </c>
      <c r="U292">
        <v>73.8</v>
      </c>
      <c r="V292">
        <v>39</v>
      </c>
      <c r="W292">
        <v>61</v>
      </c>
      <c r="X292" t="s">
        <v>1878</v>
      </c>
      <c r="Y292" t="s">
        <v>783</v>
      </c>
      <c r="Z292" t="s">
        <v>4187</v>
      </c>
      <c r="AA292" t="s">
        <v>453</v>
      </c>
      <c r="AB292" t="s">
        <v>2120</v>
      </c>
      <c r="AC292" t="s">
        <v>2119</v>
      </c>
      <c r="AD292" t="s">
        <v>2119</v>
      </c>
      <c r="AE292" t="s">
        <v>2120</v>
      </c>
      <c r="AF292" t="s">
        <v>2119</v>
      </c>
      <c r="AG292" t="s">
        <v>2120</v>
      </c>
      <c r="AH292" t="s">
        <v>2119</v>
      </c>
      <c r="AI292" t="s">
        <v>2120</v>
      </c>
      <c r="AJ292" t="s">
        <v>2119</v>
      </c>
      <c r="AK292" t="s">
        <v>2119</v>
      </c>
      <c r="AL292" t="s">
        <v>2119</v>
      </c>
      <c r="AM292" t="s">
        <v>2119</v>
      </c>
      <c r="AN292" t="s">
        <v>2120</v>
      </c>
      <c r="AO292" t="s">
        <v>2120</v>
      </c>
      <c r="AP292" t="s">
        <v>2119</v>
      </c>
      <c r="AQ292" t="s">
        <v>2120</v>
      </c>
    </row>
    <row r="293" spans="2:43" x14ac:dyDescent="0.2">
      <c r="B293" t="s">
        <v>468</v>
      </c>
      <c r="C293" t="s">
        <v>490</v>
      </c>
      <c r="D293">
        <v>0.89583333333333337</v>
      </c>
      <c r="E293" t="s">
        <v>75</v>
      </c>
      <c r="F293" t="s">
        <v>73</v>
      </c>
      <c r="H293">
        <v>49.5</v>
      </c>
      <c r="I293">
        <v>25.8</v>
      </c>
      <c r="J293">
        <v>24.7</v>
      </c>
      <c r="K293">
        <v>75.3</v>
      </c>
      <c r="L293">
        <v>50.5</v>
      </c>
      <c r="M293">
        <v>74.2</v>
      </c>
      <c r="N293">
        <v>28</v>
      </c>
      <c r="O293">
        <v>44.4</v>
      </c>
      <c r="P293">
        <v>27.6</v>
      </c>
      <c r="Q293">
        <v>68.400000000000006</v>
      </c>
      <c r="R293">
        <v>82.5</v>
      </c>
      <c r="S293">
        <v>59.8</v>
      </c>
      <c r="T293">
        <v>40.200000000000003</v>
      </c>
      <c r="U293">
        <v>46.4</v>
      </c>
      <c r="V293">
        <v>61.4</v>
      </c>
      <c r="W293">
        <v>38.6</v>
      </c>
      <c r="X293" t="s">
        <v>75</v>
      </c>
      <c r="Y293" t="s">
        <v>73</v>
      </c>
      <c r="Z293" t="s">
        <v>4188</v>
      </c>
      <c r="AA293" t="s">
        <v>2165</v>
      </c>
      <c r="AB293" t="s">
        <v>2120</v>
      </c>
      <c r="AC293" t="s">
        <v>2119</v>
      </c>
      <c r="AD293" t="s">
        <v>2119</v>
      </c>
      <c r="AE293" t="s">
        <v>2120</v>
      </c>
      <c r="AF293" t="s">
        <v>2119</v>
      </c>
      <c r="AG293" t="s">
        <v>2120</v>
      </c>
      <c r="AH293" t="s">
        <v>2120</v>
      </c>
      <c r="AI293" t="s">
        <v>2119</v>
      </c>
      <c r="AJ293" t="s">
        <v>2119</v>
      </c>
      <c r="AK293" t="s">
        <v>2120</v>
      </c>
      <c r="AL293" t="s">
        <v>2120</v>
      </c>
      <c r="AM293" t="s">
        <v>2120</v>
      </c>
      <c r="AN293" t="s">
        <v>2119</v>
      </c>
      <c r="AO293" t="s">
        <v>2120</v>
      </c>
      <c r="AP293" t="s">
        <v>2119</v>
      </c>
      <c r="AQ293" t="s">
        <v>2120</v>
      </c>
    </row>
    <row r="294" spans="2:43" x14ac:dyDescent="0.2">
      <c r="B294" t="s">
        <v>468</v>
      </c>
      <c r="C294" t="s">
        <v>490</v>
      </c>
      <c r="D294">
        <v>0.89583333333333337</v>
      </c>
      <c r="E294" t="s">
        <v>80</v>
      </c>
      <c r="F294" t="s">
        <v>54</v>
      </c>
      <c r="H294">
        <v>26.7</v>
      </c>
      <c r="I294">
        <v>28</v>
      </c>
      <c r="J294">
        <v>45.3</v>
      </c>
      <c r="K294">
        <v>54.7</v>
      </c>
      <c r="L294">
        <v>73.3</v>
      </c>
      <c r="M294">
        <v>72</v>
      </c>
      <c r="N294">
        <v>18.899999999999999</v>
      </c>
      <c r="O294">
        <v>39.5</v>
      </c>
      <c r="P294">
        <v>41.7</v>
      </c>
      <c r="Q294">
        <v>74.5</v>
      </c>
      <c r="R294">
        <v>78.5</v>
      </c>
      <c r="S294">
        <v>53.7</v>
      </c>
      <c r="T294">
        <v>46.3</v>
      </c>
      <c r="U294">
        <v>52.2</v>
      </c>
      <c r="V294">
        <v>57.5</v>
      </c>
      <c r="W294">
        <v>42.5</v>
      </c>
      <c r="X294" t="s">
        <v>865</v>
      </c>
      <c r="Y294" t="s">
        <v>54</v>
      </c>
      <c r="Z294" t="s">
        <v>4189</v>
      </c>
      <c r="AA294" t="s">
        <v>447</v>
      </c>
      <c r="AB294" t="s">
        <v>2119</v>
      </c>
      <c r="AC294" t="s">
        <v>2120</v>
      </c>
      <c r="AD294" t="s">
        <v>2119</v>
      </c>
      <c r="AE294" t="s">
        <v>2120</v>
      </c>
      <c r="AF294" t="s">
        <v>2120</v>
      </c>
      <c r="AG294" t="s">
        <v>2119</v>
      </c>
      <c r="AH294" t="s">
        <v>2119</v>
      </c>
      <c r="AI294" t="s">
        <v>2120</v>
      </c>
      <c r="AJ294" t="s">
        <v>2119</v>
      </c>
      <c r="AK294" t="s">
        <v>2119</v>
      </c>
      <c r="AL294" t="s">
        <v>2119</v>
      </c>
      <c r="AM294" t="s">
        <v>2119</v>
      </c>
      <c r="AN294" t="s">
        <v>2120</v>
      </c>
      <c r="AO294" t="s">
        <v>2120</v>
      </c>
      <c r="AP294" t="s">
        <v>2119</v>
      </c>
      <c r="AQ294" t="s">
        <v>2120</v>
      </c>
    </row>
    <row r="295" spans="2:43" x14ac:dyDescent="0.2">
      <c r="B295" t="s">
        <v>468</v>
      </c>
      <c r="C295" t="s">
        <v>490</v>
      </c>
      <c r="D295">
        <v>0.89583333333333337</v>
      </c>
      <c r="E295" t="s">
        <v>88</v>
      </c>
      <c r="F295" t="s">
        <v>85</v>
      </c>
      <c r="H295">
        <v>40.9</v>
      </c>
      <c r="I295">
        <v>27.2</v>
      </c>
      <c r="J295">
        <v>31.9</v>
      </c>
      <c r="K295">
        <v>68.099999999999994</v>
      </c>
      <c r="L295">
        <v>59.1</v>
      </c>
      <c r="M295">
        <v>72.8</v>
      </c>
      <c r="N295">
        <v>35</v>
      </c>
      <c r="O295">
        <v>42.9</v>
      </c>
      <c r="P295">
        <v>22.1</v>
      </c>
      <c r="Q295">
        <v>69.900000000000006</v>
      </c>
      <c r="R295">
        <v>81.2</v>
      </c>
      <c r="S295">
        <v>57.7</v>
      </c>
      <c r="T295">
        <v>42.3</v>
      </c>
      <c r="U295">
        <v>48</v>
      </c>
      <c r="V295">
        <v>61.4</v>
      </c>
      <c r="W295">
        <v>38.6</v>
      </c>
      <c r="X295" t="s">
        <v>866</v>
      </c>
      <c r="Y295" t="s">
        <v>85</v>
      </c>
      <c r="Z295" t="s">
        <v>4190</v>
      </c>
      <c r="AA295" t="s">
        <v>453</v>
      </c>
      <c r="AB295" t="s">
        <v>2120</v>
      </c>
      <c r="AC295" t="s">
        <v>2119</v>
      </c>
      <c r="AD295" t="s">
        <v>2119</v>
      </c>
      <c r="AE295" t="s">
        <v>2120</v>
      </c>
      <c r="AF295" t="s">
        <v>2119</v>
      </c>
      <c r="AG295" t="s">
        <v>2120</v>
      </c>
      <c r="AH295" t="s">
        <v>2119</v>
      </c>
      <c r="AI295" t="s">
        <v>2120</v>
      </c>
      <c r="AJ295" t="s">
        <v>2119</v>
      </c>
      <c r="AK295" t="s">
        <v>2119</v>
      </c>
      <c r="AL295" t="s">
        <v>2119</v>
      </c>
      <c r="AM295" t="s">
        <v>2119</v>
      </c>
      <c r="AN295" t="s">
        <v>2120</v>
      </c>
      <c r="AO295" t="s">
        <v>2120</v>
      </c>
      <c r="AP295" t="s">
        <v>2119</v>
      </c>
      <c r="AQ295" t="s">
        <v>2120</v>
      </c>
    </row>
    <row r="296" spans="2:43" x14ac:dyDescent="0.2">
      <c r="B296" t="s">
        <v>467</v>
      </c>
      <c r="C296" t="s">
        <v>490</v>
      </c>
      <c r="D296">
        <v>0.89583333333333337</v>
      </c>
      <c r="E296" t="s">
        <v>784</v>
      </c>
      <c r="F296" t="s">
        <v>47</v>
      </c>
      <c r="H296">
        <v>44</v>
      </c>
      <c r="I296">
        <v>27.7</v>
      </c>
      <c r="J296">
        <v>28.2</v>
      </c>
      <c r="K296">
        <v>71.8</v>
      </c>
      <c r="L296">
        <v>56</v>
      </c>
      <c r="M296">
        <v>72.3</v>
      </c>
      <c r="N296">
        <v>29.3</v>
      </c>
      <c r="O296">
        <v>45.7</v>
      </c>
      <c r="P296">
        <v>25</v>
      </c>
      <c r="Q296">
        <v>66.2</v>
      </c>
      <c r="R296">
        <v>77.599999999999994</v>
      </c>
      <c r="S296">
        <v>52.3</v>
      </c>
      <c r="T296">
        <v>47.7</v>
      </c>
      <c r="U296">
        <v>53.5</v>
      </c>
      <c r="V296">
        <v>56.7</v>
      </c>
      <c r="W296">
        <v>43.3</v>
      </c>
      <c r="X296" t="s">
        <v>3697</v>
      </c>
      <c r="Y296" t="s">
        <v>47</v>
      </c>
      <c r="Z296" t="s">
        <v>4191</v>
      </c>
      <c r="AA296" t="s">
        <v>447</v>
      </c>
      <c r="AB296" t="s">
        <v>2119</v>
      </c>
      <c r="AC296" t="s">
        <v>2120</v>
      </c>
      <c r="AD296" t="s">
        <v>2119</v>
      </c>
      <c r="AE296" t="s">
        <v>2120</v>
      </c>
      <c r="AF296" t="s">
        <v>2120</v>
      </c>
      <c r="AG296" t="s">
        <v>2119</v>
      </c>
      <c r="AH296" t="s">
        <v>2119</v>
      </c>
      <c r="AI296" t="s">
        <v>2120</v>
      </c>
      <c r="AJ296" t="s">
        <v>2119</v>
      </c>
      <c r="AK296" t="s">
        <v>2119</v>
      </c>
      <c r="AL296" t="s">
        <v>2119</v>
      </c>
      <c r="AM296" t="s">
        <v>2119</v>
      </c>
      <c r="AN296" t="s">
        <v>2120</v>
      </c>
      <c r="AO296" t="s">
        <v>2120</v>
      </c>
      <c r="AP296" t="s">
        <v>2119</v>
      </c>
      <c r="AQ296" t="s">
        <v>2120</v>
      </c>
    </row>
    <row r="297" spans="2:43" x14ac:dyDescent="0.2">
      <c r="B297" t="s">
        <v>466</v>
      </c>
      <c r="C297" t="s">
        <v>490</v>
      </c>
      <c r="D297">
        <v>0.90625</v>
      </c>
      <c r="E297" t="s">
        <v>785</v>
      </c>
      <c r="F297" t="s">
        <v>786</v>
      </c>
      <c r="H297">
        <v>51.2</v>
      </c>
      <c r="I297">
        <v>25.4</v>
      </c>
      <c r="J297">
        <v>23.4</v>
      </c>
      <c r="K297">
        <v>76.599999999999994</v>
      </c>
      <c r="L297">
        <v>48.8</v>
      </c>
      <c r="M297">
        <v>74.599999999999994</v>
      </c>
      <c r="N297">
        <v>44.3</v>
      </c>
      <c r="O297">
        <v>36.799999999999997</v>
      </c>
      <c r="P297">
        <v>18.899999999999999</v>
      </c>
      <c r="Q297">
        <v>77.599999999999994</v>
      </c>
      <c r="R297">
        <v>83.4</v>
      </c>
      <c r="S297">
        <v>61.2</v>
      </c>
      <c r="T297">
        <v>38.799999999999997</v>
      </c>
      <c r="U297">
        <v>45.2</v>
      </c>
      <c r="V297">
        <v>62</v>
      </c>
      <c r="W297">
        <v>38</v>
      </c>
      <c r="X297" t="s">
        <v>785</v>
      </c>
      <c r="Y297" t="s">
        <v>786</v>
      </c>
      <c r="Z297" t="s">
        <v>4192</v>
      </c>
      <c r="AA297" t="s">
        <v>2123</v>
      </c>
      <c r="AB297" t="s">
        <v>2119</v>
      </c>
      <c r="AC297" t="s">
        <v>2120</v>
      </c>
      <c r="AD297" t="s">
        <v>2119</v>
      </c>
      <c r="AE297" t="s">
        <v>2120</v>
      </c>
      <c r="AF297" t="s">
        <v>2120</v>
      </c>
      <c r="AG297" t="s">
        <v>2119</v>
      </c>
      <c r="AH297" t="s">
        <v>2119</v>
      </c>
      <c r="AI297" t="s">
        <v>2119</v>
      </c>
      <c r="AJ297" t="s">
        <v>2120</v>
      </c>
      <c r="AK297" t="s">
        <v>2120</v>
      </c>
      <c r="AL297" t="s">
        <v>2120</v>
      </c>
      <c r="AM297" t="s">
        <v>2120</v>
      </c>
      <c r="AN297" t="s">
        <v>2119</v>
      </c>
      <c r="AO297" t="s">
        <v>2119</v>
      </c>
      <c r="AP297" t="s">
        <v>2120</v>
      </c>
      <c r="AQ297" t="s">
        <v>2119</v>
      </c>
    </row>
    <row r="298" spans="2:43" x14ac:dyDescent="0.2">
      <c r="B298" t="s">
        <v>467</v>
      </c>
      <c r="C298" t="s">
        <v>490</v>
      </c>
      <c r="D298">
        <v>0.91666666666666663</v>
      </c>
      <c r="E298" t="s">
        <v>81</v>
      </c>
      <c r="F298" t="s">
        <v>787</v>
      </c>
      <c r="H298">
        <v>41.3</v>
      </c>
      <c r="I298">
        <v>26.4</v>
      </c>
      <c r="J298">
        <v>32.299999999999997</v>
      </c>
      <c r="K298">
        <v>67.7</v>
      </c>
      <c r="L298">
        <v>58.7</v>
      </c>
      <c r="M298">
        <v>73.599999999999994</v>
      </c>
      <c r="N298">
        <v>25.6</v>
      </c>
      <c r="O298">
        <v>44.1</v>
      </c>
      <c r="P298">
        <v>30.3</v>
      </c>
      <c r="Q298">
        <v>68.900000000000006</v>
      </c>
      <c r="R298">
        <v>84.1</v>
      </c>
      <c r="S298">
        <v>62.3</v>
      </c>
      <c r="T298">
        <v>37.700000000000003</v>
      </c>
      <c r="U298">
        <v>43.3</v>
      </c>
      <c r="V298">
        <v>65</v>
      </c>
      <c r="W298">
        <v>35</v>
      </c>
      <c r="X298" t="s">
        <v>1882</v>
      </c>
      <c r="Y298" t="s">
        <v>787</v>
      </c>
      <c r="Z298" t="s">
        <v>4193</v>
      </c>
      <c r="AA298" t="s">
        <v>462</v>
      </c>
      <c r="AB298" t="s">
        <v>2120</v>
      </c>
      <c r="AC298" t="s">
        <v>2119</v>
      </c>
      <c r="AD298" t="s">
        <v>2119</v>
      </c>
      <c r="AE298" t="s">
        <v>2120</v>
      </c>
      <c r="AF298" t="s">
        <v>2119</v>
      </c>
      <c r="AG298" t="s">
        <v>2120</v>
      </c>
      <c r="AH298" t="s">
        <v>2119</v>
      </c>
      <c r="AI298" t="s">
        <v>2120</v>
      </c>
      <c r="AJ298" t="s">
        <v>2119</v>
      </c>
      <c r="AK298" t="s">
        <v>2119</v>
      </c>
      <c r="AL298" t="s">
        <v>2120</v>
      </c>
      <c r="AM298" t="s">
        <v>2120</v>
      </c>
      <c r="AN298" t="s">
        <v>2119</v>
      </c>
      <c r="AO298" t="s">
        <v>2120</v>
      </c>
      <c r="AP298" t="s">
        <v>2120</v>
      </c>
      <c r="AQ298" t="s">
        <v>2119</v>
      </c>
    </row>
    <row r="299" spans="2:43" x14ac:dyDescent="0.2">
      <c r="B299" t="s">
        <v>467</v>
      </c>
      <c r="C299" t="s">
        <v>490</v>
      </c>
      <c r="D299">
        <v>0.91666666666666663</v>
      </c>
      <c r="E299" t="s">
        <v>788</v>
      </c>
      <c r="F299" t="s">
        <v>789</v>
      </c>
      <c r="H299">
        <v>55.8</v>
      </c>
      <c r="I299">
        <v>24</v>
      </c>
      <c r="J299">
        <v>20.2</v>
      </c>
      <c r="K299">
        <v>79.8</v>
      </c>
      <c r="L299">
        <v>44.2</v>
      </c>
      <c r="M299">
        <v>76</v>
      </c>
      <c r="N299">
        <v>45.6</v>
      </c>
      <c r="O299">
        <v>33.5</v>
      </c>
      <c r="P299">
        <v>21</v>
      </c>
      <c r="Q299">
        <v>83.1</v>
      </c>
      <c r="R299">
        <v>90.7</v>
      </c>
      <c r="S299">
        <v>74.599999999999994</v>
      </c>
      <c r="T299">
        <v>25.4</v>
      </c>
      <c r="U299">
        <v>31.5</v>
      </c>
      <c r="V299">
        <v>71.2</v>
      </c>
      <c r="W299">
        <v>28.8</v>
      </c>
      <c r="X299" t="s">
        <v>3698</v>
      </c>
      <c r="Y299" t="s">
        <v>3699</v>
      </c>
      <c r="Z299" t="s">
        <v>4194</v>
      </c>
      <c r="AA299" t="s">
        <v>2128</v>
      </c>
      <c r="AB299" t="s">
        <v>2120</v>
      </c>
      <c r="AC299" t="s">
        <v>2119</v>
      </c>
      <c r="AD299" t="s">
        <v>2119</v>
      </c>
      <c r="AE299" t="s">
        <v>2120</v>
      </c>
      <c r="AF299" t="s">
        <v>2119</v>
      </c>
      <c r="AG299" t="s">
        <v>2120</v>
      </c>
      <c r="AH299" t="s">
        <v>2120</v>
      </c>
      <c r="AI299" t="s">
        <v>2119</v>
      </c>
      <c r="AJ299" t="s">
        <v>2119</v>
      </c>
      <c r="AK299" t="s">
        <v>2120</v>
      </c>
      <c r="AL299" t="s">
        <v>2120</v>
      </c>
      <c r="AM299" t="s">
        <v>2119</v>
      </c>
      <c r="AN299" t="s">
        <v>2120</v>
      </c>
      <c r="AO299" t="s">
        <v>2120</v>
      </c>
      <c r="AP299" t="s">
        <v>2119</v>
      </c>
      <c r="AQ299" t="s">
        <v>2120</v>
      </c>
    </row>
    <row r="300" spans="2:43" x14ac:dyDescent="0.2">
      <c r="B300" t="s">
        <v>482</v>
      </c>
      <c r="C300" t="s">
        <v>490</v>
      </c>
      <c r="D300">
        <v>0.91666666666666663</v>
      </c>
      <c r="E300" t="s">
        <v>790</v>
      </c>
      <c r="F300" t="s">
        <v>791</v>
      </c>
      <c r="H300">
        <v>52.2</v>
      </c>
      <c r="I300">
        <v>25.3</v>
      </c>
      <c r="J300">
        <v>22.5</v>
      </c>
      <c r="K300">
        <v>77.5</v>
      </c>
      <c r="L300">
        <v>47.8</v>
      </c>
      <c r="M300">
        <v>74.7</v>
      </c>
      <c r="N300">
        <v>42.8</v>
      </c>
      <c r="O300">
        <v>39.9</v>
      </c>
      <c r="P300">
        <v>17.3</v>
      </c>
      <c r="Q300">
        <v>72.5</v>
      </c>
      <c r="R300">
        <v>82.8</v>
      </c>
      <c r="S300">
        <v>60.2</v>
      </c>
      <c r="T300">
        <v>39.799999999999997</v>
      </c>
      <c r="U300">
        <v>46.3</v>
      </c>
      <c r="V300">
        <v>60.9</v>
      </c>
      <c r="W300">
        <v>39.1</v>
      </c>
      <c r="X300" t="s">
        <v>3524</v>
      </c>
      <c r="Y300" t="s">
        <v>791</v>
      </c>
      <c r="Z300" t="s">
        <v>4195</v>
      </c>
      <c r="AA300" t="s">
        <v>462</v>
      </c>
      <c r="AB300" t="s">
        <v>2120</v>
      </c>
      <c r="AC300" t="s">
        <v>2119</v>
      </c>
      <c r="AD300" t="s">
        <v>2119</v>
      </c>
      <c r="AE300" t="s">
        <v>2120</v>
      </c>
      <c r="AF300" t="s">
        <v>2119</v>
      </c>
      <c r="AG300" t="s">
        <v>2120</v>
      </c>
      <c r="AH300" t="s">
        <v>2120</v>
      </c>
      <c r="AI300" t="s">
        <v>2119</v>
      </c>
      <c r="AJ300" t="s">
        <v>2119</v>
      </c>
      <c r="AK300" t="s">
        <v>2120</v>
      </c>
      <c r="AL300" t="s">
        <v>2120</v>
      </c>
      <c r="AM300" t="s">
        <v>2120</v>
      </c>
      <c r="AN300" t="s">
        <v>2119</v>
      </c>
      <c r="AO300" t="s">
        <v>2120</v>
      </c>
      <c r="AP300" t="s">
        <v>2120</v>
      </c>
      <c r="AQ300" t="s">
        <v>2119</v>
      </c>
    </row>
    <row r="301" spans="2:43" x14ac:dyDescent="0.2">
      <c r="B301" t="s">
        <v>487</v>
      </c>
      <c r="C301" t="s">
        <v>490</v>
      </c>
      <c r="D301">
        <v>0.92708333333333337</v>
      </c>
      <c r="E301" t="s">
        <v>419</v>
      </c>
      <c r="F301" t="s">
        <v>792</v>
      </c>
      <c r="H301">
        <v>43.1</v>
      </c>
      <c r="I301">
        <v>29.5</v>
      </c>
      <c r="J301">
        <v>27.4</v>
      </c>
      <c r="K301">
        <v>72.599999999999994</v>
      </c>
      <c r="L301">
        <v>56.9</v>
      </c>
      <c r="M301">
        <v>70.5</v>
      </c>
      <c r="N301">
        <v>33.9</v>
      </c>
      <c r="O301">
        <v>43</v>
      </c>
      <c r="P301">
        <v>23.1</v>
      </c>
      <c r="Q301">
        <v>70</v>
      </c>
      <c r="R301">
        <v>71.400000000000006</v>
      </c>
      <c r="S301">
        <v>44.2</v>
      </c>
      <c r="T301">
        <v>55.8</v>
      </c>
      <c r="U301">
        <v>61.4</v>
      </c>
      <c r="V301">
        <v>50.3</v>
      </c>
      <c r="W301">
        <v>49.7</v>
      </c>
      <c r="X301" t="s">
        <v>419</v>
      </c>
      <c r="Y301" t="s">
        <v>1880</v>
      </c>
      <c r="Z301" t="s">
        <v>4196</v>
      </c>
      <c r="AA301" t="s">
        <v>462</v>
      </c>
      <c r="AB301" t="s">
        <v>2120</v>
      </c>
      <c r="AC301" t="s">
        <v>2119</v>
      </c>
      <c r="AD301" t="s">
        <v>2119</v>
      </c>
      <c r="AE301" t="s">
        <v>2120</v>
      </c>
      <c r="AF301" t="s">
        <v>2119</v>
      </c>
      <c r="AG301" t="s">
        <v>2120</v>
      </c>
      <c r="AH301" t="s">
        <v>2120</v>
      </c>
      <c r="AI301" t="s">
        <v>2119</v>
      </c>
      <c r="AJ301" t="s">
        <v>2119</v>
      </c>
      <c r="AK301" t="s">
        <v>2120</v>
      </c>
      <c r="AL301" t="s">
        <v>2120</v>
      </c>
      <c r="AM301" t="s">
        <v>2120</v>
      </c>
      <c r="AN301" t="s">
        <v>2119</v>
      </c>
      <c r="AO301" t="s">
        <v>2120</v>
      </c>
      <c r="AP301" t="s">
        <v>2120</v>
      </c>
      <c r="AQ301" t="s">
        <v>2119</v>
      </c>
    </row>
    <row r="302" spans="2:43" x14ac:dyDescent="0.2">
      <c r="B302" t="s">
        <v>468</v>
      </c>
      <c r="C302" t="s">
        <v>490</v>
      </c>
      <c r="D302">
        <v>0.9375</v>
      </c>
      <c r="E302" t="s">
        <v>86</v>
      </c>
      <c r="F302" t="s">
        <v>92</v>
      </c>
      <c r="H302">
        <v>40.200000000000003</v>
      </c>
      <c r="I302">
        <v>25.8</v>
      </c>
      <c r="J302">
        <v>34.1</v>
      </c>
      <c r="K302">
        <v>65.900000000000006</v>
      </c>
      <c r="L302">
        <v>59.8</v>
      </c>
      <c r="M302">
        <v>74.2</v>
      </c>
      <c r="N302">
        <v>37.700000000000003</v>
      </c>
      <c r="O302">
        <v>32.799999999999997</v>
      </c>
      <c r="P302">
        <v>29.5</v>
      </c>
      <c r="Q302">
        <v>86.1</v>
      </c>
      <c r="R302">
        <v>87.7</v>
      </c>
      <c r="S302">
        <v>68.599999999999994</v>
      </c>
      <c r="T302">
        <v>31.4</v>
      </c>
      <c r="U302">
        <v>36.799999999999997</v>
      </c>
      <c r="V302">
        <v>69.900000000000006</v>
      </c>
      <c r="W302">
        <v>30.1</v>
      </c>
      <c r="X302" t="s">
        <v>86</v>
      </c>
      <c r="Y302" t="s">
        <v>867</v>
      </c>
      <c r="Z302" t="s">
        <v>4197</v>
      </c>
      <c r="AA302" t="s">
        <v>453</v>
      </c>
      <c r="AB302" t="s">
        <v>2120</v>
      </c>
      <c r="AC302" t="s">
        <v>2119</v>
      </c>
      <c r="AD302" t="s">
        <v>2119</v>
      </c>
      <c r="AE302" t="s">
        <v>2120</v>
      </c>
      <c r="AF302" t="s">
        <v>2119</v>
      </c>
      <c r="AG302" t="s">
        <v>2120</v>
      </c>
      <c r="AH302" t="s">
        <v>2119</v>
      </c>
      <c r="AI302" t="s">
        <v>2120</v>
      </c>
      <c r="AJ302" t="s">
        <v>2119</v>
      </c>
      <c r="AK302" t="s">
        <v>2119</v>
      </c>
      <c r="AL302" t="s">
        <v>2119</v>
      </c>
      <c r="AM302" t="s">
        <v>2119</v>
      </c>
      <c r="AN302" t="s">
        <v>2120</v>
      </c>
      <c r="AO302" t="s">
        <v>2120</v>
      </c>
      <c r="AP302" t="s">
        <v>2119</v>
      </c>
      <c r="AQ302" t="s">
        <v>2120</v>
      </c>
    </row>
    <row r="303" spans="2:43" x14ac:dyDescent="0.2">
      <c r="B303" t="s">
        <v>489</v>
      </c>
      <c r="C303" t="s">
        <v>490</v>
      </c>
      <c r="D303">
        <v>0.9375</v>
      </c>
      <c r="E303" t="s">
        <v>793</v>
      </c>
      <c r="F303" t="s">
        <v>794</v>
      </c>
      <c r="H303">
        <v>41.5</v>
      </c>
      <c r="I303">
        <v>27.5</v>
      </c>
      <c r="J303">
        <v>31.1</v>
      </c>
      <c r="K303">
        <v>68.900000000000006</v>
      </c>
      <c r="L303">
        <v>58.5</v>
      </c>
      <c r="M303">
        <v>72.5</v>
      </c>
      <c r="N303">
        <v>34.299999999999997</v>
      </c>
      <c r="O303">
        <v>39</v>
      </c>
      <c r="P303">
        <v>26.6</v>
      </c>
      <c r="Q303">
        <v>76.5</v>
      </c>
      <c r="R303">
        <v>79.8</v>
      </c>
      <c r="S303">
        <v>55.5</v>
      </c>
      <c r="T303">
        <v>44.5</v>
      </c>
      <c r="U303">
        <v>50.2</v>
      </c>
      <c r="V303">
        <v>59.7</v>
      </c>
      <c r="W303">
        <v>40.299999999999997</v>
      </c>
      <c r="X303" t="s">
        <v>3515</v>
      </c>
      <c r="Y303" t="s">
        <v>794</v>
      </c>
      <c r="Z303" t="s">
        <v>4198</v>
      </c>
      <c r="AA303" t="s">
        <v>460</v>
      </c>
      <c r="AB303" t="s">
        <v>2119</v>
      </c>
      <c r="AC303" t="s">
        <v>2119</v>
      </c>
      <c r="AD303" t="s">
        <v>2120</v>
      </c>
      <c r="AE303" t="s">
        <v>2119</v>
      </c>
      <c r="AF303" t="s">
        <v>2120</v>
      </c>
      <c r="AG303" t="s">
        <v>2120</v>
      </c>
      <c r="AH303" t="s">
        <v>2119</v>
      </c>
      <c r="AI303" t="s">
        <v>2119</v>
      </c>
      <c r="AJ303" t="s">
        <v>2120</v>
      </c>
      <c r="AK303" t="s">
        <v>2120</v>
      </c>
      <c r="AL303" t="s">
        <v>2120</v>
      </c>
      <c r="AM303" t="s">
        <v>2120</v>
      </c>
      <c r="AN303" t="s">
        <v>2119</v>
      </c>
      <c r="AO303" t="s">
        <v>2120</v>
      </c>
      <c r="AP303" t="s">
        <v>2120</v>
      </c>
      <c r="AQ303" t="s">
        <v>2119</v>
      </c>
    </row>
    <row r="304" spans="2:43" x14ac:dyDescent="0.2">
      <c r="B304" t="s">
        <v>467</v>
      </c>
      <c r="C304" t="s">
        <v>490</v>
      </c>
      <c r="D304">
        <v>0.95833333333333337</v>
      </c>
      <c r="E304" t="s">
        <v>795</v>
      </c>
      <c r="F304" t="s">
        <v>796</v>
      </c>
      <c r="H304">
        <v>30.1</v>
      </c>
      <c r="I304">
        <v>30.3</v>
      </c>
      <c r="J304">
        <v>39.700000000000003</v>
      </c>
      <c r="K304">
        <v>60.3</v>
      </c>
      <c r="L304">
        <v>69.900000000000006</v>
      </c>
      <c r="M304">
        <v>69.7</v>
      </c>
      <c r="N304">
        <v>20.9</v>
      </c>
      <c r="O304">
        <v>51.1</v>
      </c>
      <c r="P304">
        <v>28.1</v>
      </c>
      <c r="Q304">
        <v>58.3</v>
      </c>
      <c r="R304">
        <v>71.7</v>
      </c>
      <c r="S304">
        <v>44.5</v>
      </c>
      <c r="T304">
        <v>55.5</v>
      </c>
      <c r="U304">
        <v>60.9</v>
      </c>
      <c r="V304">
        <v>51.1</v>
      </c>
      <c r="W304">
        <v>48.9</v>
      </c>
      <c r="X304" t="s">
        <v>3700</v>
      </c>
      <c r="Y304" t="s">
        <v>3701</v>
      </c>
      <c r="Z304" t="s">
        <v>4199</v>
      </c>
      <c r="AA304" t="s">
        <v>460</v>
      </c>
      <c r="AB304" t="s">
        <v>2119</v>
      </c>
      <c r="AC304" t="s">
        <v>2119</v>
      </c>
      <c r="AD304" t="s">
        <v>2120</v>
      </c>
      <c r="AE304" t="s">
        <v>2119</v>
      </c>
      <c r="AF304" t="s">
        <v>2120</v>
      </c>
      <c r="AG304" t="s">
        <v>2120</v>
      </c>
      <c r="AH304" t="s">
        <v>2119</v>
      </c>
      <c r="AI304" t="s">
        <v>2120</v>
      </c>
      <c r="AJ304" t="s">
        <v>2119</v>
      </c>
      <c r="AK304" t="s">
        <v>2119</v>
      </c>
      <c r="AL304" t="s">
        <v>2120</v>
      </c>
      <c r="AM304" t="s">
        <v>2120</v>
      </c>
      <c r="AN304" t="s">
        <v>2119</v>
      </c>
      <c r="AO304" t="s">
        <v>2120</v>
      </c>
      <c r="AP304" t="s">
        <v>2120</v>
      </c>
      <c r="AQ304" t="s">
        <v>2119</v>
      </c>
    </row>
    <row r="305" spans="2:43" x14ac:dyDescent="0.2">
      <c r="B305" t="s">
        <v>467</v>
      </c>
      <c r="C305" t="s">
        <v>490</v>
      </c>
      <c r="D305">
        <v>0.95833333333333337</v>
      </c>
      <c r="E305" t="s">
        <v>48</v>
      </c>
      <c r="F305" t="s">
        <v>797</v>
      </c>
      <c r="H305">
        <v>45.3</v>
      </c>
      <c r="I305">
        <v>28.1</v>
      </c>
      <c r="J305">
        <v>26.6</v>
      </c>
      <c r="K305">
        <v>73.400000000000006</v>
      </c>
      <c r="L305">
        <v>54.7</v>
      </c>
      <c r="M305">
        <v>71.900000000000006</v>
      </c>
      <c r="N305">
        <v>40.6</v>
      </c>
      <c r="O305">
        <v>42.3</v>
      </c>
      <c r="P305">
        <v>17</v>
      </c>
      <c r="Q305">
        <v>69.099999999999994</v>
      </c>
      <c r="R305">
        <v>75.400000000000006</v>
      </c>
      <c r="S305">
        <v>49.4</v>
      </c>
      <c r="T305">
        <v>50.6</v>
      </c>
      <c r="U305">
        <v>56.5</v>
      </c>
      <c r="V305">
        <v>54.1</v>
      </c>
      <c r="W305">
        <v>45.9</v>
      </c>
      <c r="X305" t="s">
        <v>48</v>
      </c>
      <c r="Y305" t="s">
        <v>3702</v>
      </c>
      <c r="Z305" t="s">
        <v>4200</v>
      </c>
      <c r="AA305" t="s">
        <v>2118</v>
      </c>
      <c r="AB305" t="s">
        <v>2119</v>
      </c>
      <c r="AC305" t="s">
        <v>2119</v>
      </c>
      <c r="AD305" t="s">
        <v>2120</v>
      </c>
      <c r="AE305" t="s">
        <v>2119</v>
      </c>
      <c r="AF305" t="s">
        <v>2120</v>
      </c>
      <c r="AG305" t="s">
        <v>2120</v>
      </c>
      <c r="AH305" t="s">
        <v>2119</v>
      </c>
      <c r="AI305" t="s">
        <v>2120</v>
      </c>
      <c r="AJ305" t="s">
        <v>2119</v>
      </c>
      <c r="AK305" t="s">
        <v>2120</v>
      </c>
      <c r="AL305" t="s">
        <v>2120</v>
      </c>
      <c r="AM305" t="s">
        <v>2120</v>
      </c>
      <c r="AN305" t="s">
        <v>2119</v>
      </c>
      <c r="AO305" t="s">
        <v>2119</v>
      </c>
      <c r="AP305" t="s">
        <v>2120</v>
      </c>
      <c r="AQ305" t="s">
        <v>2119</v>
      </c>
    </row>
    <row r="306" spans="2:43" x14ac:dyDescent="0.2">
      <c r="B306" t="s">
        <v>468</v>
      </c>
      <c r="C306" t="s">
        <v>490</v>
      </c>
      <c r="D306">
        <v>0.97916666666666663</v>
      </c>
      <c r="E306" t="s">
        <v>89</v>
      </c>
      <c r="F306" t="s">
        <v>79</v>
      </c>
      <c r="H306">
        <v>65.3</v>
      </c>
      <c r="I306">
        <v>22.1</v>
      </c>
      <c r="J306">
        <v>12.6</v>
      </c>
      <c r="K306">
        <v>87.4</v>
      </c>
      <c r="L306">
        <v>34.700000000000003</v>
      </c>
      <c r="M306">
        <v>77.900000000000006</v>
      </c>
      <c r="N306">
        <v>54.8</v>
      </c>
      <c r="O306">
        <v>33.4</v>
      </c>
      <c r="P306">
        <v>11.8</v>
      </c>
      <c r="Q306">
        <v>78.2</v>
      </c>
      <c r="R306">
        <v>85.2</v>
      </c>
      <c r="S306">
        <v>64.5</v>
      </c>
      <c r="T306">
        <v>35.5</v>
      </c>
      <c r="U306">
        <v>44.2</v>
      </c>
      <c r="V306">
        <v>57.3</v>
      </c>
      <c r="W306">
        <v>42.7</v>
      </c>
      <c r="X306" t="s">
        <v>89</v>
      </c>
      <c r="Y306" t="s">
        <v>79</v>
      </c>
      <c r="Z306" t="s">
        <v>4201</v>
      </c>
      <c r="AA306" t="s">
        <v>2174</v>
      </c>
      <c r="AB306" t="s">
        <v>2120</v>
      </c>
      <c r="AC306" t="s">
        <v>2119</v>
      </c>
      <c r="AD306" t="s">
        <v>2119</v>
      </c>
      <c r="AE306" t="s">
        <v>2120</v>
      </c>
      <c r="AF306" t="s">
        <v>2119</v>
      </c>
      <c r="AG306" t="s">
        <v>2120</v>
      </c>
      <c r="AH306" t="s">
        <v>2120</v>
      </c>
      <c r="AI306" t="s">
        <v>2119</v>
      </c>
      <c r="AJ306" t="s">
        <v>2119</v>
      </c>
      <c r="AK306" t="s">
        <v>2120</v>
      </c>
      <c r="AL306" t="s">
        <v>2120</v>
      </c>
      <c r="AM306" t="s">
        <v>2120</v>
      </c>
      <c r="AN306" t="s">
        <v>2119</v>
      </c>
      <c r="AO306" t="s">
        <v>2119</v>
      </c>
      <c r="AP306" t="s">
        <v>2119</v>
      </c>
      <c r="AQ306" t="s">
        <v>2120</v>
      </c>
    </row>
    <row r="307" spans="2:43" x14ac:dyDescent="0.2">
      <c r="B307" t="s">
        <v>468</v>
      </c>
      <c r="C307" t="s">
        <v>490</v>
      </c>
      <c r="D307">
        <v>0.97916666666666663</v>
      </c>
      <c r="E307" t="s">
        <v>91</v>
      </c>
      <c r="F307" t="s">
        <v>90</v>
      </c>
      <c r="H307">
        <v>41.4</v>
      </c>
      <c r="I307">
        <v>25.9</v>
      </c>
      <c r="J307">
        <v>32.700000000000003</v>
      </c>
      <c r="K307">
        <v>67.3</v>
      </c>
      <c r="L307">
        <v>58.6</v>
      </c>
      <c r="M307">
        <v>74.099999999999994</v>
      </c>
      <c r="N307">
        <v>30.9</v>
      </c>
      <c r="O307">
        <v>34.5</v>
      </c>
      <c r="P307">
        <v>34.6</v>
      </c>
      <c r="Q307">
        <v>83.9</v>
      </c>
      <c r="R307">
        <v>86.7</v>
      </c>
      <c r="S307">
        <v>66.8</v>
      </c>
      <c r="T307">
        <v>33.200000000000003</v>
      </c>
      <c r="U307">
        <v>38.700000000000003</v>
      </c>
      <c r="V307">
        <v>68.400000000000006</v>
      </c>
      <c r="W307">
        <v>31.6</v>
      </c>
      <c r="X307" t="s">
        <v>91</v>
      </c>
      <c r="Y307" t="s">
        <v>90</v>
      </c>
      <c r="Z307" t="s">
        <v>4202</v>
      </c>
      <c r="AA307" t="s">
        <v>462</v>
      </c>
      <c r="AB307" t="s">
        <v>2120</v>
      </c>
      <c r="AC307" t="s">
        <v>2119</v>
      </c>
      <c r="AD307" t="s">
        <v>2119</v>
      </c>
      <c r="AE307" t="s">
        <v>2120</v>
      </c>
      <c r="AF307" t="s">
        <v>2119</v>
      </c>
      <c r="AG307" t="s">
        <v>2120</v>
      </c>
      <c r="AH307" t="s">
        <v>2119</v>
      </c>
      <c r="AI307" t="s">
        <v>2119</v>
      </c>
      <c r="AJ307" t="s">
        <v>2120</v>
      </c>
      <c r="AK307" t="s">
        <v>2120</v>
      </c>
      <c r="AL307" t="s">
        <v>2120</v>
      </c>
      <c r="AM307" t="s">
        <v>2120</v>
      </c>
      <c r="AN307" t="s">
        <v>2119</v>
      </c>
      <c r="AO307" t="s">
        <v>2120</v>
      </c>
      <c r="AP307" t="s">
        <v>2120</v>
      </c>
      <c r="AQ307" t="s">
        <v>2119</v>
      </c>
    </row>
    <row r="308" spans="2:43" x14ac:dyDescent="0.2">
      <c r="B308" t="s">
        <v>468</v>
      </c>
      <c r="C308" t="s">
        <v>490</v>
      </c>
      <c r="D308">
        <v>0.97916666666666663</v>
      </c>
      <c r="E308" t="s">
        <v>93</v>
      </c>
      <c r="F308" t="s">
        <v>87</v>
      </c>
      <c r="H308">
        <v>60</v>
      </c>
      <c r="I308">
        <v>23.5</v>
      </c>
      <c r="J308">
        <v>16.5</v>
      </c>
      <c r="K308">
        <v>83.5</v>
      </c>
      <c r="L308">
        <v>40</v>
      </c>
      <c r="M308">
        <v>76.5</v>
      </c>
      <c r="N308">
        <v>46.8</v>
      </c>
      <c r="O308">
        <v>36</v>
      </c>
      <c r="P308">
        <v>17.2</v>
      </c>
      <c r="Q308">
        <v>77.900000000000006</v>
      </c>
      <c r="R308">
        <v>84.2</v>
      </c>
      <c r="S308">
        <v>62.7</v>
      </c>
      <c r="T308">
        <v>37.299999999999997</v>
      </c>
      <c r="U308">
        <v>44.9</v>
      </c>
      <c r="V308">
        <v>59.4</v>
      </c>
      <c r="W308">
        <v>40.6</v>
      </c>
      <c r="X308" t="s">
        <v>93</v>
      </c>
      <c r="Y308" t="s">
        <v>87</v>
      </c>
      <c r="Z308" t="s">
        <v>4203</v>
      </c>
      <c r="AA308" t="s">
        <v>459</v>
      </c>
      <c r="AB308" t="s">
        <v>2119</v>
      </c>
      <c r="AC308" t="s">
        <v>2120</v>
      </c>
      <c r="AD308" t="s">
        <v>2119</v>
      </c>
      <c r="AE308" t="s">
        <v>2120</v>
      </c>
      <c r="AF308" t="s">
        <v>2120</v>
      </c>
      <c r="AG308" t="s">
        <v>2119</v>
      </c>
      <c r="AH308" t="s">
        <v>2119</v>
      </c>
      <c r="AI308" t="s">
        <v>2119</v>
      </c>
      <c r="AJ308" t="s">
        <v>2120</v>
      </c>
      <c r="AK308" t="s">
        <v>2120</v>
      </c>
      <c r="AL308" t="s">
        <v>2120</v>
      </c>
      <c r="AM308" t="s">
        <v>2119</v>
      </c>
      <c r="AN308" t="s">
        <v>2120</v>
      </c>
      <c r="AO308" t="s">
        <v>2120</v>
      </c>
      <c r="AP308" t="s">
        <v>2120</v>
      </c>
      <c r="AQ308" t="s">
        <v>2119</v>
      </c>
    </row>
    <row r="309" spans="2:43" x14ac:dyDescent="0.2">
      <c r="B309" t="s">
        <v>467</v>
      </c>
      <c r="C309" t="s">
        <v>490</v>
      </c>
      <c r="D309">
        <v>0.97916666666666663</v>
      </c>
      <c r="E309" t="s">
        <v>798</v>
      </c>
      <c r="F309" t="s">
        <v>799</v>
      </c>
      <c r="H309">
        <v>43.4</v>
      </c>
      <c r="I309">
        <v>29.8</v>
      </c>
      <c r="J309">
        <v>26.8</v>
      </c>
      <c r="K309">
        <v>73.2</v>
      </c>
      <c r="L309">
        <v>56.6</v>
      </c>
      <c r="M309">
        <v>70.2</v>
      </c>
      <c r="N309">
        <v>28.4</v>
      </c>
      <c r="O309">
        <v>48.8</v>
      </c>
      <c r="P309">
        <v>22.9</v>
      </c>
      <c r="Q309">
        <v>61.6</v>
      </c>
      <c r="R309">
        <v>70.099999999999994</v>
      </c>
      <c r="S309">
        <v>42.7</v>
      </c>
      <c r="T309">
        <v>57.3</v>
      </c>
      <c r="U309">
        <v>62.9</v>
      </c>
      <c r="V309">
        <v>49</v>
      </c>
      <c r="W309">
        <v>51</v>
      </c>
      <c r="X309" t="s">
        <v>798</v>
      </c>
      <c r="Y309" t="s">
        <v>799</v>
      </c>
      <c r="Z309" t="s">
        <v>4204</v>
      </c>
      <c r="AA309" t="s">
        <v>447</v>
      </c>
      <c r="AB309" t="s">
        <v>2119</v>
      </c>
      <c r="AC309" t="s">
        <v>2120</v>
      </c>
      <c r="AD309" t="s">
        <v>2119</v>
      </c>
      <c r="AE309" t="s">
        <v>2120</v>
      </c>
      <c r="AF309" t="s">
        <v>2120</v>
      </c>
      <c r="AG309" t="s">
        <v>2119</v>
      </c>
      <c r="AH309" t="s">
        <v>2119</v>
      </c>
      <c r="AI309" t="s">
        <v>2120</v>
      </c>
      <c r="AJ309" t="s">
        <v>2119</v>
      </c>
      <c r="AK309" t="s">
        <v>2119</v>
      </c>
      <c r="AL309" t="s">
        <v>2119</v>
      </c>
      <c r="AM309" t="s">
        <v>2119</v>
      </c>
      <c r="AN309" t="s">
        <v>2120</v>
      </c>
      <c r="AO309" t="s">
        <v>2120</v>
      </c>
      <c r="AP309" t="s">
        <v>2119</v>
      </c>
      <c r="AQ309" t="s">
        <v>2120</v>
      </c>
    </row>
  </sheetData>
  <autoFilter ref="A2:AQ121" xr:uid="{E7E074E3-F409-4539-B73D-61BC4D7AB353}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E5E62-AFCA-4A0B-AB09-3A215463A5F4}">
  <dimension ref="A2:BQ41"/>
  <sheetViews>
    <sheetView showGridLines="0" workbookViewId="0">
      <pane xSplit="2" ySplit="21" topLeftCell="C22" activePane="bottomRight" state="frozen"/>
      <selection pane="topRight" activeCell="C1" sqref="C1"/>
      <selection pane="bottomLeft" activeCell="A22" sqref="A22"/>
      <selection pane="bottomRight" activeCell="O6" sqref="O6"/>
    </sheetView>
  </sheetViews>
  <sheetFormatPr baseColWidth="10" defaultColWidth="8.83203125" defaultRowHeight="15" x14ac:dyDescent="0.2"/>
  <cols>
    <col min="1" max="1" width="12" bestFit="1" customWidth="1"/>
    <col min="2" max="4" width="9.6640625" bestFit="1" customWidth="1"/>
    <col min="5" max="5" width="8.1640625" bestFit="1" customWidth="1"/>
    <col min="6" max="7" width="7.33203125" bestFit="1" customWidth="1"/>
    <col min="8" max="8" width="8.1640625" bestFit="1" customWidth="1"/>
    <col min="9" max="10" width="9.1640625" bestFit="1" customWidth="1"/>
    <col min="11" max="11" width="8.1640625" bestFit="1" customWidth="1"/>
    <col min="12" max="13" width="7" bestFit="1" customWidth="1"/>
    <col min="14" max="14" width="8.1640625" bestFit="1" customWidth="1"/>
    <col min="15" max="16" width="7" bestFit="1" customWidth="1"/>
    <col min="17" max="17" width="8.1640625" bestFit="1" customWidth="1"/>
    <col min="18" max="19" width="7.1640625" bestFit="1" customWidth="1"/>
    <col min="20" max="20" width="8.1640625" bestFit="1" customWidth="1"/>
    <col min="21" max="22" width="8.33203125" bestFit="1" customWidth="1"/>
    <col min="23" max="23" width="8.1640625" bestFit="1" customWidth="1"/>
    <col min="24" max="25" width="8.33203125" bestFit="1" customWidth="1"/>
    <col min="26" max="26" width="8.1640625" bestFit="1" customWidth="1"/>
    <col min="27" max="28" width="8.33203125" bestFit="1" customWidth="1"/>
    <col min="29" max="29" width="8.1640625" bestFit="1" customWidth="1"/>
    <col min="30" max="31" width="11.33203125" bestFit="1" customWidth="1"/>
    <col min="32" max="32" width="8.1640625" bestFit="1" customWidth="1"/>
    <col min="33" max="34" width="9" bestFit="1" customWidth="1"/>
    <col min="35" max="35" width="8.1640625" bestFit="1" customWidth="1"/>
    <col min="36" max="37" width="9" bestFit="1" customWidth="1"/>
    <col min="38" max="38" width="8.1640625" bestFit="1" customWidth="1"/>
    <col min="39" max="40" width="9" bestFit="1" customWidth="1"/>
    <col min="41" max="41" width="8.1640625" bestFit="1" customWidth="1"/>
    <col min="42" max="43" width="9" bestFit="1" customWidth="1"/>
    <col min="44" max="44" width="8.1640625" bestFit="1" customWidth="1"/>
    <col min="45" max="46" width="11.5" bestFit="1" customWidth="1"/>
    <col min="47" max="47" width="8.1640625" bestFit="1" customWidth="1"/>
    <col min="48" max="49" width="11" bestFit="1" customWidth="1"/>
    <col min="50" max="50" width="8.1640625" bestFit="1" customWidth="1"/>
    <col min="52" max="52" width="12.1640625" bestFit="1" customWidth="1"/>
    <col min="53" max="53" width="9.6640625" bestFit="1" customWidth="1"/>
    <col min="54" max="54" width="5.83203125" bestFit="1" customWidth="1"/>
    <col min="55" max="55" width="4.5" bestFit="1" customWidth="1"/>
    <col min="56" max="59" width="5.5" bestFit="1" customWidth="1"/>
    <col min="60" max="62" width="4.5" bestFit="1" customWidth="1"/>
    <col min="63" max="63" width="7.5" bestFit="1" customWidth="1"/>
    <col min="64" max="64" width="5.5" bestFit="1" customWidth="1"/>
    <col min="65" max="65" width="5.1640625" bestFit="1" customWidth="1"/>
    <col min="66" max="67" width="5.5" bestFit="1" customWidth="1"/>
    <col min="68" max="68" width="7.6640625" bestFit="1" customWidth="1"/>
    <col min="69" max="69" width="7.1640625" bestFit="1" customWidth="1"/>
  </cols>
  <sheetData>
    <row r="2" spans="1:3" x14ac:dyDescent="0.2">
      <c r="A2" s="33" t="s">
        <v>2215</v>
      </c>
      <c r="B2" s="33" t="s">
        <v>2216</v>
      </c>
      <c r="C2" s="33" t="s">
        <v>2217</v>
      </c>
    </row>
    <row r="3" spans="1:3" x14ac:dyDescent="0.2">
      <c r="A3" s="37" t="s">
        <v>439</v>
      </c>
      <c r="B3" s="36">
        <v>0.42834567901234555</v>
      </c>
      <c r="C3" s="36">
        <v>0.48148148148148145</v>
      </c>
    </row>
    <row r="4" spans="1:3" x14ac:dyDescent="0.2">
      <c r="A4" s="37" t="s">
        <v>4</v>
      </c>
      <c r="B4" s="36">
        <v>0.28043209876543218</v>
      </c>
      <c r="C4" s="36">
        <v>0.22222222222222221</v>
      </c>
    </row>
    <row r="5" spans="1:3" x14ac:dyDescent="0.2">
      <c r="A5" s="37" t="s">
        <v>440</v>
      </c>
      <c r="B5" s="36">
        <v>0.29116049382716047</v>
      </c>
      <c r="C5" s="36">
        <v>0.29629629629629628</v>
      </c>
    </row>
    <row r="6" spans="1:3" x14ac:dyDescent="0.2">
      <c r="A6" s="37" t="s">
        <v>5</v>
      </c>
      <c r="B6" s="36">
        <v>0.70883950617283953</v>
      </c>
      <c r="C6" s="36">
        <v>0.70370370370370372</v>
      </c>
    </row>
    <row r="7" spans="1:3" x14ac:dyDescent="0.2">
      <c r="A7" s="37" t="s">
        <v>6</v>
      </c>
      <c r="B7" s="36">
        <v>0.57165432098765434</v>
      </c>
      <c r="C7" s="36">
        <v>0.51851851851851849</v>
      </c>
    </row>
    <row r="8" spans="1:3" x14ac:dyDescent="0.2">
      <c r="A8" s="37" t="s">
        <v>441</v>
      </c>
      <c r="B8" s="36">
        <v>0.71956790123456793</v>
      </c>
      <c r="C8" s="36">
        <v>0.77777777777777779</v>
      </c>
    </row>
    <row r="9" spans="1:3" x14ac:dyDescent="0.2">
      <c r="A9" s="37" t="s">
        <v>7</v>
      </c>
      <c r="B9" s="36">
        <v>0.3221234567901235</v>
      </c>
      <c r="C9" s="36">
        <v>0.34567901234567899</v>
      </c>
    </row>
    <row r="10" spans="1:3" x14ac:dyDescent="0.2">
      <c r="A10" s="37" t="s">
        <v>8</v>
      </c>
      <c r="B10" s="36">
        <v>0.4315679012345679</v>
      </c>
      <c r="C10" s="36">
        <v>0.38271604938271603</v>
      </c>
    </row>
    <row r="11" spans="1:3" x14ac:dyDescent="0.2">
      <c r="A11" s="37" t="s">
        <v>9</v>
      </c>
      <c r="B11" s="36">
        <v>0.24627160493827169</v>
      </c>
      <c r="C11" s="36">
        <v>0.27160493827160492</v>
      </c>
    </row>
    <row r="12" spans="1:3" x14ac:dyDescent="0.2">
      <c r="A12" s="37" t="s">
        <v>10</v>
      </c>
      <c r="B12" s="36">
        <v>0.69177777777777782</v>
      </c>
      <c r="C12" s="36">
        <v>0.81481481481481477</v>
      </c>
    </row>
    <row r="13" spans="1:3" x14ac:dyDescent="0.2">
      <c r="A13" s="37" t="s">
        <v>11</v>
      </c>
      <c r="B13" s="36">
        <v>0.76514814814814813</v>
      </c>
      <c r="C13" s="36">
        <v>0.85185185185185186</v>
      </c>
    </row>
    <row r="14" spans="1:3" x14ac:dyDescent="0.2">
      <c r="A14" s="37" t="s">
        <v>12</v>
      </c>
      <c r="B14" s="36">
        <v>0.52598765432098749</v>
      </c>
      <c r="C14" s="36">
        <v>0.65432098765432101</v>
      </c>
    </row>
    <row r="15" spans="1:3" x14ac:dyDescent="0.2">
      <c r="A15" s="37" t="s">
        <v>13</v>
      </c>
      <c r="B15" s="36">
        <v>0.4740123456790124</v>
      </c>
      <c r="C15" s="36">
        <v>0.34567901234567899</v>
      </c>
    </row>
    <row r="16" spans="1:3" x14ac:dyDescent="0.2">
      <c r="A16" s="37" t="s">
        <v>14</v>
      </c>
      <c r="B16" s="36">
        <v>0.53224691358024701</v>
      </c>
      <c r="C16" s="36">
        <v>0.62962962962962965</v>
      </c>
    </row>
    <row r="17" spans="1:69" x14ac:dyDescent="0.2">
      <c r="A17" s="37" t="s">
        <v>15</v>
      </c>
      <c r="B17" s="36">
        <v>0.55651851851851841</v>
      </c>
      <c r="C17" s="36">
        <v>0.65432098765432101</v>
      </c>
    </row>
    <row r="18" spans="1:69" x14ac:dyDescent="0.2">
      <c r="A18" s="37" t="s">
        <v>16</v>
      </c>
      <c r="B18" s="36">
        <v>0.44348148148148148</v>
      </c>
      <c r="C18" s="36">
        <v>0.34567901234567899</v>
      </c>
    </row>
    <row r="20" spans="1:69" x14ac:dyDescent="0.2">
      <c r="A20" s="4"/>
      <c r="AZ20" s="41" t="s">
        <v>2221</v>
      </c>
    </row>
    <row r="21" spans="1:69" x14ac:dyDescent="0.2">
      <c r="A21" s="37" t="s">
        <v>2218</v>
      </c>
      <c r="B21" s="33" t="s">
        <v>2219</v>
      </c>
      <c r="C21" s="51" t="s">
        <v>4210</v>
      </c>
      <c r="D21" s="50" t="s">
        <v>4226</v>
      </c>
      <c r="E21" s="53" t="s">
        <v>4242</v>
      </c>
      <c r="F21" s="51" t="s">
        <v>4211</v>
      </c>
      <c r="G21" s="50" t="s">
        <v>4227</v>
      </c>
      <c r="H21" s="53" t="s">
        <v>4242</v>
      </c>
      <c r="I21" s="51" t="s">
        <v>4212</v>
      </c>
      <c r="J21" s="50" t="s">
        <v>4228</v>
      </c>
      <c r="K21" s="53" t="s">
        <v>4242</v>
      </c>
      <c r="L21" s="51" t="s">
        <v>4213</v>
      </c>
      <c r="M21" s="50" t="s">
        <v>4229</v>
      </c>
      <c r="N21" s="53" t="s">
        <v>4242</v>
      </c>
      <c r="O21" s="51" t="s">
        <v>4214</v>
      </c>
      <c r="P21" s="50" t="s">
        <v>4230</v>
      </c>
      <c r="Q21" s="53" t="s">
        <v>4242</v>
      </c>
      <c r="R21" s="51" t="s">
        <v>4215</v>
      </c>
      <c r="S21" s="50" t="s">
        <v>4231</v>
      </c>
      <c r="T21" s="53" t="s">
        <v>4242</v>
      </c>
      <c r="U21" s="51" t="s">
        <v>4216</v>
      </c>
      <c r="V21" s="50" t="s">
        <v>4232</v>
      </c>
      <c r="W21" s="53" t="s">
        <v>4242</v>
      </c>
      <c r="X21" s="51" t="s">
        <v>4217</v>
      </c>
      <c r="Y21" s="50" t="s">
        <v>4233</v>
      </c>
      <c r="Z21" s="53" t="s">
        <v>4242</v>
      </c>
      <c r="AA21" s="51" t="s">
        <v>4218</v>
      </c>
      <c r="AB21" s="50" t="s">
        <v>4234</v>
      </c>
      <c r="AC21" s="53" t="s">
        <v>4242</v>
      </c>
      <c r="AD21" s="51" t="s">
        <v>4219</v>
      </c>
      <c r="AE21" s="50" t="s">
        <v>4235</v>
      </c>
      <c r="AF21" s="53" t="s">
        <v>4242</v>
      </c>
      <c r="AG21" s="51" t="s">
        <v>4220</v>
      </c>
      <c r="AH21" s="50" t="s">
        <v>4236</v>
      </c>
      <c r="AI21" s="53" t="s">
        <v>4242</v>
      </c>
      <c r="AJ21" s="51" t="s">
        <v>4221</v>
      </c>
      <c r="AK21" s="50" t="s">
        <v>4237</v>
      </c>
      <c r="AL21" s="53" t="s">
        <v>4242</v>
      </c>
      <c r="AM21" s="51" t="s">
        <v>4222</v>
      </c>
      <c r="AN21" s="50" t="s">
        <v>4238</v>
      </c>
      <c r="AO21" s="53" t="s">
        <v>4242</v>
      </c>
      <c r="AP21" s="51" t="s">
        <v>4223</v>
      </c>
      <c r="AQ21" s="50" t="s">
        <v>4239</v>
      </c>
      <c r="AR21" s="53" t="s">
        <v>4242</v>
      </c>
      <c r="AS21" s="51" t="s">
        <v>4224</v>
      </c>
      <c r="AT21" s="50" t="s">
        <v>4240</v>
      </c>
      <c r="AU21" s="53" t="s">
        <v>4242</v>
      </c>
      <c r="AV21" s="51" t="s">
        <v>4225</v>
      </c>
      <c r="AW21" s="50" t="s">
        <v>4241</v>
      </c>
      <c r="AX21" s="53" t="s">
        <v>4242</v>
      </c>
      <c r="AZ21" s="37" t="s">
        <v>2218</v>
      </c>
      <c r="BA21" s="33" t="s">
        <v>2219</v>
      </c>
      <c r="BB21" s="50" t="s">
        <v>4205</v>
      </c>
      <c r="BC21" s="50" t="s">
        <v>4206</v>
      </c>
      <c r="BD21" s="50" t="s">
        <v>4207</v>
      </c>
      <c r="BE21" s="50" t="s">
        <v>5</v>
      </c>
      <c r="BF21" s="50" t="s">
        <v>6</v>
      </c>
      <c r="BG21" s="50" t="s">
        <v>2220</v>
      </c>
      <c r="BH21" s="50" t="s">
        <v>7</v>
      </c>
      <c r="BI21" s="50" t="s">
        <v>8</v>
      </c>
      <c r="BJ21" s="50" t="s">
        <v>9</v>
      </c>
      <c r="BK21" s="50" t="s">
        <v>2112</v>
      </c>
      <c r="BL21" s="50" t="s">
        <v>2113</v>
      </c>
      <c r="BM21" s="50" t="s">
        <v>2114</v>
      </c>
      <c r="BN21" s="50" t="s">
        <v>2115</v>
      </c>
      <c r="BO21" s="50" t="s">
        <v>2116</v>
      </c>
      <c r="BP21" s="50" t="s">
        <v>4208</v>
      </c>
      <c r="BQ21" s="50" t="s">
        <v>4209</v>
      </c>
    </row>
    <row r="22" spans="1:69" x14ac:dyDescent="0.2">
      <c r="A22" s="38">
        <v>0</v>
      </c>
      <c r="B22" s="39">
        <v>5</v>
      </c>
      <c r="C22" s="34">
        <f>COUNTIFS('Solid-Results'!H:H,"&gt;="&amp;Dashboard!$A22,'Solid-Results'!H:H,"&lt;="&amp;Dashboard!$B22)</f>
        <v>1</v>
      </c>
      <c r="D22" s="34">
        <f>COUNTIFS('Solid-Results'!H:H,"&gt;="&amp;Dashboard!$A22,'Solid-Results'!H:H,"&lt;="&amp;Dashboard!$B22,'Solid-Results'!AB:AB,"Green")</f>
        <v>0</v>
      </c>
      <c r="E22" s="54">
        <f>IFERROR(D22/C22,0)</f>
        <v>0</v>
      </c>
      <c r="F22" s="34">
        <f>COUNTIFS('Solid-Results'!I:I,"&gt;="&amp;Dashboard!$A22,'Solid-Results'!I:I,"&lt;="&amp;Dashboard!$B22)</f>
        <v>1</v>
      </c>
      <c r="G22" s="34">
        <f>COUNTIFS('Solid-Results'!I:I,"&gt;="&amp;Dashboard!$A22,'Solid-Results'!I:I,"&lt;="&amp;Dashboard!$B22,'Solid-Results'!AC:AC,"Green")</f>
        <v>0</v>
      </c>
      <c r="H22" s="54">
        <f>IFERROR(G22/F22,0)</f>
        <v>0</v>
      </c>
      <c r="I22" s="34">
        <f>COUNTIFS('Solid-Results'!J:J,"&gt;="&amp;Dashboard!$A22,'Solid-Results'!J:J,"&lt;="&amp;Dashboard!$B22)</f>
        <v>1</v>
      </c>
      <c r="J22" s="34">
        <f>COUNTIFS('Solid-Results'!J:J,"&gt;="&amp;Dashboard!$A22,'Solid-Results'!J:J,"&lt;="&amp;Dashboard!$B22,'Solid-Results'!AD:AD,"Green")</f>
        <v>0</v>
      </c>
      <c r="K22" s="54">
        <f>IFERROR(J22/I22,0)</f>
        <v>0</v>
      </c>
      <c r="L22" s="34">
        <f>COUNTIFS('Solid-Results'!K:K,"&gt;="&amp;Dashboard!$A22,'Solid-Results'!K:K,"&lt;="&amp;Dashboard!$B22)</f>
        <v>1</v>
      </c>
      <c r="M22" s="34">
        <f>COUNTIFS('Solid-Results'!K:K,"&gt;="&amp;Dashboard!$A22,'Solid-Results'!K:K,"&lt;="&amp;Dashboard!$B22,'Solid-Results'!AE:AE,"Green")</f>
        <v>0</v>
      </c>
      <c r="N22" s="54">
        <f>IFERROR(M22/L22,0)</f>
        <v>0</v>
      </c>
      <c r="O22" s="34">
        <f>COUNTIFS('Solid-Results'!L:L,"&gt;="&amp;Dashboard!$A22,'Solid-Results'!L:L,"&lt;="&amp;Dashboard!$B22)</f>
        <v>1</v>
      </c>
      <c r="P22" s="34">
        <f>COUNTIFS('Solid-Results'!L:L,"&gt;="&amp;Dashboard!$A22,'Solid-Results'!L:L,"&lt;="&amp;Dashboard!$B22,'Solid-Results'!AF:AF,"Green")</f>
        <v>0</v>
      </c>
      <c r="Q22" s="54">
        <f>IFERROR(P22/O22,0)</f>
        <v>0</v>
      </c>
      <c r="R22" s="34">
        <f>COUNTIFS('Solid-Results'!M:M,"&gt;="&amp;Dashboard!$A22,'Solid-Results'!M:M,"&lt;="&amp;Dashboard!$B22)</f>
        <v>1</v>
      </c>
      <c r="S22" s="34">
        <f>COUNTIFS('Solid-Results'!M:M,"&gt;="&amp;Dashboard!$A22,'Solid-Results'!M:M,"&lt;="&amp;Dashboard!$B22,'Solid-Results'!AG:AG,"Green")</f>
        <v>0</v>
      </c>
      <c r="T22" s="54">
        <f>IFERROR(S22/R22,0)</f>
        <v>0</v>
      </c>
      <c r="U22" s="34">
        <f>COUNTIFS('Solid-Results'!N:N,"&gt;="&amp;Dashboard!$A22,'Solid-Results'!N:N,"&lt;="&amp;Dashboard!$B22)</f>
        <v>1</v>
      </c>
      <c r="V22" s="34">
        <f>COUNTIFS('Solid-Results'!N:N,"&gt;="&amp;Dashboard!$A22,'Solid-Results'!N:N,"&lt;="&amp;Dashboard!$B22,'Solid-Results'!AH:AH,"Green")</f>
        <v>0</v>
      </c>
      <c r="W22" s="54">
        <f>IFERROR(V22/U22,0)</f>
        <v>0</v>
      </c>
      <c r="X22" s="34">
        <f>COUNTIFS('Solid-Results'!O:O,"&gt;="&amp;Dashboard!$A22,'Solid-Results'!O:O,"&lt;="&amp;Dashboard!$B22)</f>
        <v>1</v>
      </c>
      <c r="Y22" s="34">
        <f>COUNTIFS('Solid-Results'!O:O,"&gt;="&amp;Dashboard!$A22,'Solid-Results'!O:O,"&lt;="&amp;Dashboard!$B22,'Solid-Results'!AI:AI,"Green")</f>
        <v>0</v>
      </c>
      <c r="Z22" s="54">
        <f>IFERROR(Y22/X22,0)</f>
        <v>0</v>
      </c>
      <c r="AA22" s="34">
        <f>COUNTIFS('Solid-Results'!P:P,"&gt;="&amp;Dashboard!$A22,'Solid-Results'!P:P,"&lt;="&amp;Dashboard!$B22)</f>
        <v>1</v>
      </c>
      <c r="AB22" s="34">
        <f>COUNTIFS('Solid-Results'!P:P,"&gt;="&amp;Dashboard!$A22,'Solid-Results'!P:P,"&lt;="&amp;Dashboard!$B22,'Solid-Results'!AJ:AJ,"Green")</f>
        <v>0</v>
      </c>
      <c r="AC22" s="54">
        <f>IFERROR(AB22/AA22,0)</f>
        <v>0</v>
      </c>
      <c r="AD22" s="34">
        <f>COUNTIFS('Solid-Results'!Q:Q,"&gt;="&amp;Dashboard!$A22,'Solid-Results'!Q:Q,"&lt;="&amp;Dashboard!$B22)</f>
        <v>1</v>
      </c>
      <c r="AE22" s="34">
        <f>COUNTIFS('Solid-Results'!Q:Q,"&gt;="&amp;Dashboard!$A22,'Solid-Results'!Q:Q,"&lt;="&amp;Dashboard!$B22,'Solid-Results'!AK:AK,"Green")</f>
        <v>0</v>
      </c>
      <c r="AF22" s="54">
        <f>IFERROR(AE22/AD22,0)</f>
        <v>0</v>
      </c>
      <c r="AG22" s="34">
        <f>COUNTIFS('Solid-Results'!R:R,"&gt;="&amp;Dashboard!$A22,'Solid-Results'!R:R,"&lt;="&amp;Dashboard!$B22)</f>
        <v>1</v>
      </c>
      <c r="AH22" s="34">
        <f>COUNTIFS('Solid-Results'!R:R,"&gt;="&amp;Dashboard!$A22,'Solid-Results'!R:R,"&lt;="&amp;Dashboard!$B22,'Solid-Results'!AL:AL,"Green")</f>
        <v>0</v>
      </c>
      <c r="AI22" s="54">
        <f>IFERROR(AH22/AG22,0)</f>
        <v>0</v>
      </c>
      <c r="AJ22" s="34">
        <f>COUNTIFS('Solid-Results'!S:S,"&gt;="&amp;Dashboard!$A22,'Solid-Results'!S:S,"&lt;="&amp;Dashboard!$B22)</f>
        <v>1</v>
      </c>
      <c r="AK22" s="34">
        <f>COUNTIFS('Solid-Results'!S:S,"&gt;="&amp;Dashboard!$A22,'Solid-Results'!S:S,"&lt;="&amp;Dashboard!$B22,'Solid-Results'!AM:AM,"Green")</f>
        <v>0</v>
      </c>
      <c r="AL22" s="54">
        <f>IFERROR(AK22/AJ22,0)</f>
        <v>0</v>
      </c>
      <c r="AM22" s="34">
        <f>COUNTIFS('Solid-Results'!T:T,"&gt;="&amp;Dashboard!$A22,'Solid-Results'!T:T,"&lt;="&amp;Dashboard!$B22)</f>
        <v>1</v>
      </c>
      <c r="AN22" s="34">
        <f>COUNTIFS('Solid-Results'!T:T,"&gt;="&amp;Dashboard!$A22,'Solid-Results'!T:T,"&lt;="&amp;Dashboard!$B22,'Solid-Results'!AN:AN,"Green")</f>
        <v>0</v>
      </c>
      <c r="AO22" s="54">
        <f>IFERROR(AN22/AM22,0)</f>
        <v>0</v>
      </c>
      <c r="AP22" s="34">
        <f>COUNTIFS('Solid-Results'!U:U,"&gt;="&amp;Dashboard!$A22,'Solid-Results'!U:U,"&lt;="&amp;Dashboard!$B22)</f>
        <v>1</v>
      </c>
      <c r="AQ22" s="34">
        <f>COUNTIFS('Solid-Results'!U:U,"&gt;="&amp;Dashboard!$A22,'Solid-Results'!U:U,"&lt;="&amp;Dashboard!$B22,'Solid-Results'!AO:AO,"Green")</f>
        <v>0</v>
      </c>
      <c r="AR22" s="54">
        <f>IFERROR(AQ22/AP22,0)</f>
        <v>0</v>
      </c>
      <c r="AS22" s="34">
        <f>COUNTIFS('Solid-Results'!V:V,"&gt;="&amp;Dashboard!$A22,'Solid-Results'!V:V,"&lt;="&amp;Dashboard!$B22)</f>
        <v>1</v>
      </c>
      <c r="AT22" s="34">
        <f>COUNTIFS('Solid-Results'!V:V,"&gt;="&amp;Dashboard!$A22,'Solid-Results'!V:V,"&lt;="&amp;Dashboard!$B22,'Solid-Results'!AP:AP,"Green")</f>
        <v>0</v>
      </c>
      <c r="AU22" s="54">
        <f>IFERROR(AT22/AS22,0)</f>
        <v>0</v>
      </c>
      <c r="AV22" s="34">
        <f>COUNTIFS('Solid-Results'!W:W,"&gt;="&amp;Dashboard!$A22,'Solid-Results'!W:W,"&lt;="&amp;Dashboard!$B22)</f>
        <v>1</v>
      </c>
      <c r="AW22" s="34">
        <f>COUNTIFS('Solid-Results'!W:W,"&gt;="&amp;Dashboard!$A22,'Solid-Results'!W:W,"&lt;="&amp;Dashboard!$B22,'Solid-Results'!AQ:AQ,"Green")</f>
        <v>0</v>
      </c>
      <c r="AX22" s="54">
        <f>IFERROR(AW22/AV22,0)</f>
        <v>0</v>
      </c>
      <c r="AZ22" s="52">
        <v>0</v>
      </c>
      <c r="BA22" s="39">
        <v>5</v>
      </c>
      <c r="BB22" s="35">
        <f>IFERROR(D22/C22,0)</f>
        <v>0</v>
      </c>
      <c r="BC22" s="35">
        <f>IFERROR(G22/F22,0)</f>
        <v>0</v>
      </c>
      <c r="BD22" s="35">
        <f>IFERROR(J22/I22,0)</f>
        <v>0</v>
      </c>
      <c r="BE22" s="35">
        <f>IFERROR(M22/L22,0)</f>
        <v>0</v>
      </c>
      <c r="BF22" s="35">
        <f>IFERROR(P22/O22,0)</f>
        <v>0</v>
      </c>
      <c r="BG22" s="35">
        <f>IFERROR(S22/R22,0)</f>
        <v>0</v>
      </c>
      <c r="BH22" s="35">
        <f>IFERROR(V22/U22,0)</f>
        <v>0</v>
      </c>
      <c r="BI22" s="35">
        <f>IFERROR(Y22/X22,0)</f>
        <v>0</v>
      </c>
      <c r="BJ22" s="35">
        <f>IFERROR(AB22/AA22,0)</f>
        <v>0</v>
      </c>
      <c r="BK22" s="35">
        <f>IFERROR(AE22/AD22,0)</f>
        <v>0</v>
      </c>
      <c r="BL22" s="35">
        <f>IFERROR(AH22/AG22,0)</f>
        <v>0</v>
      </c>
      <c r="BM22" s="35">
        <f>IFERROR(AK22/AJ22,0)</f>
        <v>0</v>
      </c>
      <c r="BN22" s="35">
        <f>IFERROR(AN22/AM22,0)</f>
        <v>0</v>
      </c>
      <c r="BO22" s="35">
        <f>IFERROR(AQ22/AP22,0)</f>
        <v>0</v>
      </c>
      <c r="BP22" s="35">
        <f>IFERROR(AT22/AS22,0)</f>
        <v>0</v>
      </c>
      <c r="BQ22" s="35">
        <f>IFERROR(AW22/AV22,0)</f>
        <v>0</v>
      </c>
    </row>
    <row r="23" spans="1:69" x14ac:dyDescent="0.2">
      <c r="A23" s="40">
        <f>B22+0.01</f>
        <v>5.01</v>
      </c>
      <c r="B23" s="39">
        <f>B22+5</f>
        <v>10</v>
      </c>
      <c r="C23" s="34">
        <f>COUNTIFS('Solid-Results'!H:H,"&gt;="&amp;Dashboard!$A23,'Solid-Results'!H:H,"&lt;="&amp;Dashboard!$B23)</f>
        <v>0</v>
      </c>
      <c r="D23" s="34">
        <f>COUNTIFS('Solid-Results'!H:H,"&gt;="&amp;Dashboard!$A23,'Solid-Results'!H:H,"&lt;="&amp;Dashboard!$B23,'Solid-Results'!AB:AB,"Green")</f>
        <v>0</v>
      </c>
      <c r="E23" s="54">
        <f t="shared" ref="E23:E41" si="0">IFERROR(D23/C23,0)</f>
        <v>0</v>
      </c>
      <c r="F23" s="34">
        <f>COUNTIFS('Solid-Results'!I:I,"&gt;="&amp;Dashboard!$A23,'Solid-Results'!I:I,"&lt;="&amp;Dashboard!$B23)</f>
        <v>0</v>
      </c>
      <c r="G23" s="34">
        <f>COUNTIFS('Solid-Results'!I:I,"&gt;="&amp;Dashboard!$A23,'Solid-Results'!I:I,"&lt;="&amp;Dashboard!$B23,'Solid-Results'!AC:AC,"Green")</f>
        <v>0</v>
      </c>
      <c r="H23" s="54">
        <f t="shared" ref="H23:H41" si="1">IFERROR(G23/F23,0)</f>
        <v>0</v>
      </c>
      <c r="I23" s="34">
        <f>COUNTIFS('Solid-Results'!J:J,"&gt;="&amp;Dashboard!$A23,'Solid-Results'!J:J,"&lt;="&amp;Dashboard!$B23)</f>
        <v>3</v>
      </c>
      <c r="J23" s="34">
        <f>COUNTIFS('Solid-Results'!J:J,"&gt;="&amp;Dashboard!$A23,'Solid-Results'!J:J,"&lt;="&amp;Dashboard!$B23,'Solid-Results'!AD:AD,"Green")</f>
        <v>0</v>
      </c>
      <c r="K23" s="54">
        <f t="shared" ref="K23:K41" si="2">IFERROR(J23/I23,0)</f>
        <v>0</v>
      </c>
      <c r="L23" s="34">
        <f>COUNTIFS('Solid-Results'!K:K,"&gt;="&amp;Dashboard!$A23,'Solid-Results'!K:K,"&lt;="&amp;Dashboard!$B23)</f>
        <v>0</v>
      </c>
      <c r="M23" s="34">
        <f>COUNTIFS('Solid-Results'!K:K,"&gt;="&amp;Dashboard!$A23,'Solid-Results'!K:K,"&lt;="&amp;Dashboard!$B23,'Solid-Results'!AE:AE,"Green")</f>
        <v>0</v>
      </c>
      <c r="N23" s="54">
        <f t="shared" ref="N23:N41" si="3">IFERROR(M23/L23,0)</f>
        <v>0</v>
      </c>
      <c r="O23" s="34">
        <f>COUNTIFS('Solid-Results'!L:L,"&gt;="&amp;Dashboard!$A23,'Solid-Results'!L:L,"&lt;="&amp;Dashboard!$B23)</f>
        <v>0</v>
      </c>
      <c r="P23" s="34">
        <f>COUNTIFS('Solid-Results'!L:L,"&gt;="&amp;Dashboard!$A23,'Solid-Results'!L:L,"&lt;="&amp;Dashboard!$B23,'Solid-Results'!AF:AF,"Green")</f>
        <v>0</v>
      </c>
      <c r="Q23" s="54">
        <f t="shared" ref="Q23:Q41" si="4">IFERROR(P23/O23,0)</f>
        <v>0</v>
      </c>
      <c r="R23" s="34">
        <f>COUNTIFS('Solid-Results'!M:M,"&gt;="&amp;Dashboard!$A23,'Solid-Results'!M:M,"&lt;="&amp;Dashboard!$B23)</f>
        <v>0</v>
      </c>
      <c r="S23" s="34">
        <f>COUNTIFS('Solid-Results'!M:M,"&gt;="&amp;Dashboard!$A23,'Solid-Results'!M:M,"&lt;="&amp;Dashboard!$B23,'Solid-Results'!AG:AG,"Green")</f>
        <v>0</v>
      </c>
      <c r="T23" s="54">
        <f t="shared" ref="T23:T41" si="5">IFERROR(S23/R23,0)</f>
        <v>0</v>
      </c>
      <c r="U23" s="34">
        <f>COUNTIFS('Solid-Results'!N:N,"&gt;="&amp;Dashboard!$A23,'Solid-Results'!N:N,"&lt;="&amp;Dashboard!$B23)</f>
        <v>0</v>
      </c>
      <c r="V23" s="34">
        <f>COUNTIFS('Solid-Results'!N:N,"&gt;="&amp;Dashboard!$A23,'Solid-Results'!N:N,"&lt;="&amp;Dashboard!$B23,'Solid-Results'!AH:AH,"Green")</f>
        <v>0</v>
      </c>
      <c r="W23" s="54">
        <f t="shared" ref="W23:W41" si="6">IFERROR(V23/U23,0)</f>
        <v>0</v>
      </c>
      <c r="X23" s="34">
        <f>COUNTIFS('Solid-Results'!O:O,"&gt;="&amp;Dashboard!$A23,'Solid-Results'!O:O,"&lt;="&amp;Dashboard!$B23)</f>
        <v>0</v>
      </c>
      <c r="Y23" s="34">
        <f>COUNTIFS('Solid-Results'!O:O,"&gt;="&amp;Dashboard!$A23,'Solid-Results'!O:O,"&lt;="&amp;Dashboard!$B23,'Solid-Results'!AI:AI,"Green")</f>
        <v>0</v>
      </c>
      <c r="Z23" s="54">
        <f t="shared" ref="Z23:Z41" si="7">IFERROR(Y23/X23,0)</f>
        <v>0</v>
      </c>
      <c r="AA23" s="34">
        <f>COUNTIFS('Solid-Results'!P:P,"&gt;="&amp;Dashboard!$A23,'Solid-Results'!P:P,"&lt;="&amp;Dashboard!$B23)</f>
        <v>5</v>
      </c>
      <c r="AB23" s="34">
        <f>COUNTIFS('Solid-Results'!P:P,"&gt;="&amp;Dashboard!$A23,'Solid-Results'!P:P,"&lt;="&amp;Dashboard!$B23,'Solid-Results'!AJ:AJ,"Green")</f>
        <v>0</v>
      </c>
      <c r="AC23" s="54">
        <f t="shared" ref="AC23:AC41" si="8">IFERROR(AB23/AA23,0)</f>
        <v>0</v>
      </c>
      <c r="AD23" s="34">
        <f>COUNTIFS('Solid-Results'!Q:Q,"&gt;="&amp;Dashboard!$A23,'Solid-Results'!Q:Q,"&lt;="&amp;Dashboard!$B23)</f>
        <v>0</v>
      </c>
      <c r="AE23" s="34">
        <f>COUNTIFS('Solid-Results'!Q:Q,"&gt;="&amp;Dashboard!$A23,'Solid-Results'!Q:Q,"&lt;="&amp;Dashboard!$B23,'Solid-Results'!AK:AK,"Green")</f>
        <v>0</v>
      </c>
      <c r="AF23" s="54">
        <f t="shared" ref="AF23:AF41" si="9">IFERROR(AE23/AD23,0)</f>
        <v>0</v>
      </c>
      <c r="AG23" s="34">
        <f>COUNTIFS('Solid-Results'!R:R,"&gt;="&amp;Dashboard!$A23,'Solid-Results'!R:R,"&lt;="&amp;Dashboard!$B23)</f>
        <v>0</v>
      </c>
      <c r="AH23" s="34">
        <f>COUNTIFS('Solid-Results'!R:R,"&gt;="&amp;Dashboard!$A23,'Solid-Results'!R:R,"&lt;="&amp;Dashboard!$B23,'Solid-Results'!AL:AL,"Green")</f>
        <v>0</v>
      </c>
      <c r="AI23" s="54">
        <f t="shared" ref="AI23:AI41" si="10">IFERROR(AH23/AG23,0)</f>
        <v>0</v>
      </c>
      <c r="AJ23" s="34">
        <f>COUNTIFS('Solid-Results'!S:S,"&gt;="&amp;Dashboard!$A23,'Solid-Results'!S:S,"&lt;="&amp;Dashboard!$B23)</f>
        <v>0</v>
      </c>
      <c r="AK23" s="34">
        <f>COUNTIFS('Solid-Results'!S:S,"&gt;="&amp;Dashboard!$A23,'Solid-Results'!S:S,"&lt;="&amp;Dashboard!$B23,'Solid-Results'!AM:AM,"Green")</f>
        <v>0</v>
      </c>
      <c r="AL23" s="54">
        <f t="shared" ref="AL23:AL41" si="11">IFERROR(AK23/AJ23,0)</f>
        <v>0</v>
      </c>
      <c r="AM23" s="34">
        <f>COUNTIFS('Solid-Results'!T:T,"&gt;="&amp;Dashboard!$A23,'Solid-Results'!T:T,"&lt;="&amp;Dashboard!$B23)</f>
        <v>0</v>
      </c>
      <c r="AN23" s="34">
        <f>COUNTIFS('Solid-Results'!T:T,"&gt;="&amp;Dashboard!$A23,'Solid-Results'!T:T,"&lt;="&amp;Dashboard!$B23,'Solid-Results'!AN:AN,"Green")</f>
        <v>0</v>
      </c>
      <c r="AO23" s="54">
        <f t="shared" ref="AO23:AO41" si="12">IFERROR(AN23/AM23,0)</f>
        <v>0</v>
      </c>
      <c r="AP23" s="34">
        <f>COUNTIFS('Solid-Results'!U:U,"&gt;="&amp;Dashboard!$A23,'Solid-Results'!U:U,"&lt;="&amp;Dashboard!$B23)</f>
        <v>0</v>
      </c>
      <c r="AQ23" s="34">
        <f>COUNTIFS('Solid-Results'!U:U,"&gt;="&amp;Dashboard!$A23,'Solid-Results'!U:U,"&lt;="&amp;Dashboard!$B23,'Solid-Results'!AO:AO,"Green")</f>
        <v>0</v>
      </c>
      <c r="AR23" s="54">
        <f t="shared" ref="AR23:AR41" si="13">IFERROR(AQ23/AP23,0)</f>
        <v>0</v>
      </c>
      <c r="AS23" s="34">
        <f>COUNTIFS('Solid-Results'!V:V,"&gt;="&amp;Dashboard!$A23,'Solid-Results'!V:V,"&lt;="&amp;Dashboard!$B23)</f>
        <v>0</v>
      </c>
      <c r="AT23" s="34">
        <f>COUNTIFS('Solid-Results'!V:V,"&gt;="&amp;Dashboard!$A23,'Solid-Results'!V:V,"&lt;="&amp;Dashboard!$B23,'Solid-Results'!AP:AP,"Green")</f>
        <v>0</v>
      </c>
      <c r="AU23" s="54">
        <f t="shared" ref="AU23:AU41" si="14">IFERROR(AT23/AS23,0)</f>
        <v>0</v>
      </c>
      <c r="AV23" s="34">
        <f>COUNTIFS('Solid-Results'!W:W,"&gt;="&amp;Dashboard!$A23,'Solid-Results'!W:W,"&lt;="&amp;Dashboard!$B23)</f>
        <v>0</v>
      </c>
      <c r="AW23" s="34">
        <f>COUNTIFS('Solid-Results'!W:W,"&gt;="&amp;Dashboard!$A23,'Solid-Results'!W:W,"&lt;="&amp;Dashboard!$B23,'Solid-Results'!AQ:AQ,"Green")</f>
        <v>0</v>
      </c>
      <c r="AX23" s="54">
        <f t="shared" ref="AX23:AX41" si="15">IFERROR(AW23/AV23,0)</f>
        <v>0</v>
      </c>
      <c r="AZ23" s="40">
        <f>BA22+0.01</f>
        <v>5.01</v>
      </c>
      <c r="BA23" s="39">
        <f>BA22+5</f>
        <v>10</v>
      </c>
      <c r="BB23" s="35">
        <f>IFERROR(D23/C23,0)</f>
        <v>0</v>
      </c>
      <c r="BC23" s="35">
        <f>IFERROR(G23/F23,0)</f>
        <v>0</v>
      </c>
      <c r="BD23" s="35">
        <f>IFERROR(J23/I23,0)</f>
        <v>0</v>
      </c>
      <c r="BE23" s="35">
        <f>IFERROR(M23/L23,0)</f>
        <v>0</v>
      </c>
      <c r="BF23" s="35">
        <f>IFERROR(P23/O23,0)</f>
        <v>0</v>
      </c>
      <c r="BG23" s="35">
        <f>IFERROR(S23/R23,0)</f>
        <v>0</v>
      </c>
      <c r="BH23" s="35">
        <f>IFERROR(V23/U23,0)</f>
        <v>0</v>
      </c>
      <c r="BI23" s="35">
        <f>IFERROR(Y23/X23,0)</f>
        <v>0</v>
      </c>
      <c r="BJ23" s="35">
        <f>IFERROR(AB23/AA23,0)</f>
        <v>0</v>
      </c>
      <c r="BK23" s="35">
        <f>IFERROR(AE23/AD23,0)</f>
        <v>0</v>
      </c>
      <c r="BL23" s="35">
        <f>IFERROR(AH23/AG23,0)</f>
        <v>0</v>
      </c>
      <c r="BM23" s="35">
        <f>IFERROR(AK23/AJ23,0)</f>
        <v>0</v>
      </c>
      <c r="BN23" s="35">
        <f>IFERROR(AN23/AM23,0)</f>
        <v>0</v>
      </c>
      <c r="BO23" s="35">
        <f>IFERROR(AQ23/AP23,0)</f>
        <v>0</v>
      </c>
      <c r="BP23" s="35">
        <f>IFERROR(AT23/AS23,0)</f>
        <v>0</v>
      </c>
      <c r="BQ23" s="35">
        <f>IFERROR(AW23/AV23,0)</f>
        <v>0</v>
      </c>
    </row>
    <row r="24" spans="1:69" x14ac:dyDescent="0.2">
      <c r="A24" s="40">
        <f>B23+0.01</f>
        <v>10.01</v>
      </c>
      <c r="B24" s="39">
        <f>B23+5</f>
        <v>15</v>
      </c>
      <c r="C24" s="34">
        <f>COUNTIFS('Solid-Results'!H:H,"&gt;="&amp;Dashboard!$A24,'Solid-Results'!H:H,"&lt;="&amp;Dashboard!$B24)</f>
        <v>2</v>
      </c>
      <c r="D24" s="34">
        <f>COUNTIFS('Solid-Results'!H:H,"&gt;="&amp;Dashboard!$A24,'Solid-Results'!H:H,"&lt;="&amp;Dashboard!$B24,'Solid-Results'!AB:AB,"Green")</f>
        <v>0</v>
      </c>
      <c r="E24" s="54">
        <f t="shared" si="0"/>
        <v>0</v>
      </c>
      <c r="F24" s="34">
        <f>COUNTIFS('Solid-Results'!I:I,"&gt;="&amp;Dashboard!$A24,'Solid-Results'!I:I,"&lt;="&amp;Dashboard!$B24)</f>
        <v>0</v>
      </c>
      <c r="G24" s="34">
        <f>COUNTIFS('Solid-Results'!I:I,"&gt;="&amp;Dashboard!$A24,'Solid-Results'!I:I,"&lt;="&amp;Dashboard!$B24,'Solid-Results'!AC:AC,"Green")</f>
        <v>0</v>
      </c>
      <c r="H24" s="54">
        <f t="shared" si="1"/>
        <v>0</v>
      </c>
      <c r="I24" s="34">
        <f>COUNTIFS('Solid-Results'!J:J,"&gt;="&amp;Dashboard!$A24,'Solid-Results'!J:J,"&lt;="&amp;Dashboard!$B24)</f>
        <v>11</v>
      </c>
      <c r="J24" s="34">
        <f>COUNTIFS('Solid-Results'!J:J,"&gt;="&amp;Dashboard!$A24,'Solid-Results'!J:J,"&lt;="&amp;Dashboard!$B24,'Solid-Results'!AD:AD,"Green")</f>
        <v>1</v>
      </c>
      <c r="K24" s="54">
        <f t="shared" si="2"/>
        <v>9.0909090909090912E-2</v>
      </c>
      <c r="L24" s="34">
        <f>COUNTIFS('Solid-Results'!K:K,"&gt;="&amp;Dashboard!$A24,'Solid-Results'!K:K,"&lt;="&amp;Dashboard!$B24)</f>
        <v>0</v>
      </c>
      <c r="M24" s="34">
        <f>COUNTIFS('Solid-Results'!K:K,"&gt;="&amp;Dashboard!$A24,'Solid-Results'!K:K,"&lt;="&amp;Dashboard!$B24,'Solid-Results'!AE:AE,"Green")</f>
        <v>0</v>
      </c>
      <c r="N24" s="54">
        <f t="shared" si="3"/>
        <v>0</v>
      </c>
      <c r="O24" s="34">
        <f>COUNTIFS('Solid-Results'!L:L,"&gt;="&amp;Dashboard!$A24,'Solid-Results'!L:L,"&lt;="&amp;Dashboard!$B24)</f>
        <v>0</v>
      </c>
      <c r="P24" s="34">
        <f>COUNTIFS('Solid-Results'!L:L,"&gt;="&amp;Dashboard!$A24,'Solid-Results'!L:L,"&lt;="&amp;Dashboard!$B24,'Solid-Results'!AF:AF,"Green")</f>
        <v>0</v>
      </c>
      <c r="Q24" s="54">
        <f t="shared" si="4"/>
        <v>0</v>
      </c>
      <c r="R24" s="34">
        <f>COUNTIFS('Solid-Results'!M:M,"&gt;="&amp;Dashboard!$A24,'Solid-Results'!M:M,"&lt;="&amp;Dashboard!$B24)</f>
        <v>0</v>
      </c>
      <c r="S24" s="34">
        <f>COUNTIFS('Solid-Results'!M:M,"&gt;="&amp;Dashboard!$A24,'Solid-Results'!M:M,"&lt;="&amp;Dashboard!$B24,'Solid-Results'!AG:AG,"Green")</f>
        <v>0</v>
      </c>
      <c r="T24" s="54">
        <f t="shared" si="5"/>
        <v>0</v>
      </c>
      <c r="U24" s="34">
        <f>COUNTIFS('Solid-Results'!N:N,"&gt;="&amp;Dashboard!$A24,'Solid-Results'!N:N,"&lt;="&amp;Dashboard!$B24)</f>
        <v>3</v>
      </c>
      <c r="V24" s="34">
        <f>COUNTIFS('Solid-Results'!N:N,"&gt;="&amp;Dashboard!$A24,'Solid-Results'!N:N,"&lt;="&amp;Dashboard!$B24,'Solid-Results'!AH:AH,"Green")</f>
        <v>1</v>
      </c>
      <c r="W24" s="54">
        <f t="shared" si="6"/>
        <v>0.33333333333333331</v>
      </c>
      <c r="X24" s="34">
        <f>COUNTIFS('Solid-Results'!O:O,"&gt;="&amp;Dashboard!$A24,'Solid-Results'!O:O,"&lt;="&amp;Dashboard!$B24)</f>
        <v>0</v>
      </c>
      <c r="Y24" s="34">
        <f>COUNTIFS('Solid-Results'!O:O,"&gt;="&amp;Dashboard!$A24,'Solid-Results'!O:O,"&lt;="&amp;Dashboard!$B24,'Solid-Results'!AI:AI,"Green")</f>
        <v>0</v>
      </c>
      <c r="Z24" s="54">
        <f t="shared" si="7"/>
        <v>0</v>
      </c>
      <c r="AA24" s="34">
        <f>COUNTIFS('Solid-Results'!P:P,"&gt;="&amp;Dashboard!$A24,'Solid-Results'!P:P,"&lt;="&amp;Dashboard!$B24)</f>
        <v>37</v>
      </c>
      <c r="AB24" s="34">
        <f>COUNTIFS('Solid-Results'!P:P,"&gt;="&amp;Dashboard!$A24,'Solid-Results'!P:P,"&lt;="&amp;Dashboard!$B24,'Solid-Results'!AJ:AJ,"Green")</f>
        <v>8</v>
      </c>
      <c r="AC24" s="54">
        <f t="shared" si="8"/>
        <v>0.21621621621621623</v>
      </c>
      <c r="AD24" s="34">
        <f>COUNTIFS('Solid-Results'!Q:Q,"&gt;="&amp;Dashboard!$A24,'Solid-Results'!Q:Q,"&lt;="&amp;Dashboard!$B24)</f>
        <v>0</v>
      </c>
      <c r="AE24" s="34">
        <f>COUNTIFS('Solid-Results'!Q:Q,"&gt;="&amp;Dashboard!$A24,'Solid-Results'!Q:Q,"&lt;="&amp;Dashboard!$B24,'Solid-Results'!AK:AK,"Green")</f>
        <v>0</v>
      </c>
      <c r="AF24" s="54">
        <f t="shared" si="9"/>
        <v>0</v>
      </c>
      <c r="AG24" s="34">
        <f>COUNTIFS('Solid-Results'!R:R,"&gt;="&amp;Dashboard!$A24,'Solid-Results'!R:R,"&lt;="&amp;Dashboard!$B24)</f>
        <v>0</v>
      </c>
      <c r="AH24" s="34">
        <f>COUNTIFS('Solid-Results'!R:R,"&gt;="&amp;Dashboard!$A24,'Solid-Results'!R:R,"&lt;="&amp;Dashboard!$B24,'Solid-Results'!AL:AL,"Green")</f>
        <v>0</v>
      </c>
      <c r="AI24" s="54">
        <f t="shared" si="10"/>
        <v>0</v>
      </c>
      <c r="AJ24" s="34">
        <f>COUNTIFS('Solid-Results'!S:S,"&gt;="&amp;Dashboard!$A24,'Solid-Results'!S:S,"&lt;="&amp;Dashboard!$B24)</f>
        <v>0</v>
      </c>
      <c r="AK24" s="34">
        <f>COUNTIFS('Solid-Results'!S:S,"&gt;="&amp;Dashboard!$A24,'Solid-Results'!S:S,"&lt;="&amp;Dashboard!$B24,'Solid-Results'!AM:AM,"Green")</f>
        <v>0</v>
      </c>
      <c r="AL24" s="54">
        <f t="shared" si="11"/>
        <v>0</v>
      </c>
      <c r="AM24" s="34">
        <f>COUNTIFS('Solid-Results'!T:T,"&gt;="&amp;Dashboard!$A24,'Solid-Results'!T:T,"&lt;="&amp;Dashboard!$B24)</f>
        <v>1</v>
      </c>
      <c r="AN24" s="34">
        <f>COUNTIFS('Solid-Results'!T:T,"&gt;="&amp;Dashboard!$A24,'Solid-Results'!T:T,"&lt;="&amp;Dashboard!$B24,'Solid-Results'!AN:AN,"Green")</f>
        <v>1</v>
      </c>
      <c r="AO24" s="54">
        <f t="shared" si="12"/>
        <v>1</v>
      </c>
      <c r="AP24" s="34">
        <f>COUNTIFS('Solid-Results'!U:U,"&gt;="&amp;Dashboard!$A24,'Solid-Results'!U:U,"&lt;="&amp;Dashboard!$B24)</f>
        <v>0</v>
      </c>
      <c r="AQ24" s="34">
        <f>COUNTIFS('Solid-Results'!U:U,"&gt;="&amp;Dashboard!$A24,'Solid-Results'!U:U,"&lt;="&amp;Dashboard!$B24,'Solid-Results'!AO:AO,"Green")</f>
        <v>0</v>
      </c>
      <c r="AR24" s="54">
        <f t="shared" si="13"/>
        <v>0</v>
      </c>
      <c r="AS24" s="34">
        <f>COUNTIFS('Solid-Results'!V:V,"&gt;="&amp;Dashboard!$A24,'Solid-Results'!V:V,"&lt;="&amp;Dashboard!$B24)</f>
        <v>0</v>
      </c>
      <c r="AT24" s="34">
        <f>COUNTIFS('Solid-Results'!V:V,"&gt;="&amp;Dashboard!$A24,'Solid-Results'!V:V,"&lt;="&amp;Dashboard!$B24,'Solid-Results'!AP:AP,"Green")</f>
        <v>0</v>
      </c>
      <c r="AU24" s="54">
        <f t="shared" si="14"/>
        <v>0</v>
      </c>
      <c r="AV24" s="34">
        <f>COUNTIFS('Solid-Results'!W:W,"&gt;="&amp;Dashboard!$A24,'Solid-Results'!W:W,"&lt;="&amp;Dashboard!$B24)</f>
        <v>0</v>
      </c>
      <c r="AW24" s="34">
        <f>COUNTIFS('Solid-Results'!W:W,"&gt;="&amp;Dashboard!$A24,'Solid-Results'!W:W,"&lt;="&amp;Dashboard!$B24,'Solid-Results'!AQ:AQ,"Green")</f>
        <v>0</v>
      </c>
      <c r="AX24" s="54">
        <f t="shared" si="15"/>
        <v>0</v>
      </c>
      <c r="AZ24" s="40">
        <f>BA23+0.01</f>
        <v>10.01</v>
      </c>
      <c r="BA24" s="39">
        <f>BA23+5</f>
        <v>15</v>
      </c>
      <c r="BB24" s="35">
        <f>IFERROR(D24/C24,0)</f>
        <v>0</v>
      </c>
      <c r="BC24" s="35">
        <f>IFERROR(G24/F24,0)</f>
        <v>0</v>
      </c>
      <c r="BD24" s="35">
        <f>IFERROR(J24/I24,0)</f>
        <v>9.0909090909090912E-2</v>
      </c>
      <c r="BE24" s="35">
        <f>IFERROR(M24/L24,0)</f>
        <v>0</v>
      </c>
      <c r="BF24" s="35">
        <f>IFERROR(P24/O24,0)</f>
        <v>0</v>
      </c>
      <c r="BG24" s="35">
        <f>IFERROR(S24/R24,0)</f>
        <v>0</v>
      </c>
      <c r="BH24" s="35">
        <f>IFERROR(V24/U24,0)</f>
        <v>0.33333333333333331</v>
      </c>
      <c r="BI24" s="35">
        <f>IFERROR(Y24/X24,0)</f>
        <v>0</v>
      </c>
      <c r="BJ24" s="35">
        <f>IFERROR(AB24/AA24,0)</f>
        <v>0.21621621621621623</v>
      </c>
      <c r="BK24" s="35">
        <f>IFERROR(AE24/AD24,0)</f>
        <v>0</v>
      </c>
      <c r="BL24" s="35">
        <f>IFERROR(AH24/AG24,0)</f>
        <v>0</v>
      </c>
      <c r="BM24" s="35">
        <f>IFERROR(AK24/AJ24,0)</f>
        <v>0</v>
      </c>
      <c r="BN24" s="35">
        <f>IFERROR(AN24/AM24,0)</f>
        <v>1</v>
      </c>
      <c r="BO24" s="35">
        <f>IFERROR(AQ24/AP24,0)</f>
        <v>0</v>
      </c>
      <c r="BP24" s="35">
        <f>IFERROR(AT24/AS24,0)</f>
        <v>0</v>
      </c>
      <c r="BQ24" s="35">
        <f>IFERROR(AW24/AV24,0)</f>
        <v>0</v>
      </c>
    </row>
    <row r="25" spans="1:69" x14ac:dyDescent="0.2">
      <c r="A25" s="40">
        <f t="shared" ref="A25:A41" si="16">B24+0.01</f>
        <v>15.01</v>
      </c>
      <c r="B25" s="39">
        <f t="shared" ref="B25:B41" si="17">B24+5</f>
        <v>20</v>
      </c>
      <c r="C25" s="34">
        <f>COUNTIFS('Solid-Results'!H:H,"&gt;="&amp;Dashboard!$A25,'Solid-Results'!H:H,"&lt;="&amp;Dashboard!$B25)</f>
        <v>0</v>
      </c>
      <c r="D25" s="34">
        <f>COUNTIFS('Solid-Results'!H:H,"&gt;="&amp;Dashboard!$A25,'Solid-Results'!H:H,"&lt;="&amp;Dashboard!$B25,'Solid-Results'!AB:AB,"Green")</f>
        <v>0</v>
      </c>
      <c r="E25" s="54">
        <f t="shared" si="0"/>
        <v>0</v>
      </c>
      <c r="F25" s="34">
        <f>COUNTIFS('Solid-Results'!I:I,"&gt;="&amp;Dashboard!$A25,'Solid-Results'!I:I,"&lt;="&amp;Dashboard!$B25)</f>
        <v>1</v>
      </c>
      <c r="G25" s="34">
        <f>COUNTIFS('Solid-Results'!I:I,"&gt;="&amp;Dashboard!$A25,'Solid-Results'!I:I,"&lt;="&amp;Dashboard!$B25,'Solid-Results'!AC:AC,"Green")</f>
        <v>0</v>
      </c>
      <c r="H25" s="54">
        <f t="shared" si="1"/>
        <v>0</v>
      </c>
      <c r="I25" s="34">
        <f>COUNTIFS('Solid-Results'!J:J,"&gt;="&amp;Dashboard!$A25,'Solid-Results'!J:J,"&lt;="&amp;Dashboard!$B25)</f>
        <v>38</v>
      </c>
      <c r="J25" s="34">
        <f>COUNTIFS('Solid-Results'!J:J,"&gt;="&amp;Dashboard!$A25,'Solid-Results'!J:J,"&lt;="&amp;Dashboard!$B25,'Solid-Results'!AD:AD,"Green")</f>
        <v>9</v>
      </c>
      <c r="K25" s="54">
        <f t="shared" si="2"/>
        <v>0.23684210526315788</v>
      </c>
      <c r="L25" s="34">
        <f>COUNTIFS('Solid-Results'!K:K,"&gt;="&amp;Dashboard!$A25,'Solid-Results'!K:K,"&lt;="&amp;Dashboard!$B25)</f>
        <v>0</v>
      </c>
      <c r="M25" s="34">
        <f>COUNTIFS('Solid-Results'!K:K,"&gt;="&amp;Dashboard!$A25,'Solid-Results'!K:K,"&lt;="&amp;Dashboard!$B25,'Solid-Results'!AE:AE,"Green")</f>
        <v>0</v>
      </c>
      <c r="N25" s="54">
        <f t="shared" si="3"/>
        <v>0</v>
      </c>
      <c r="O25" s="34">
        <f>COUNTIFS('Solid-Results'!L:L,"&gt;="&amp;Dashboard!$A25,'Solid-Results'!L:L,"&lt;="&amp;Dashboard!$B25)</f>
        <v>0</v>
      </c>
      <c r="P25" s="34">
        <f>COUNTIFS('Solid-Results'!L:L,"&gt;="&amp;Dashboard!$A25,'Solid-Results'!L:L,"&lt;="&amp;Dashboard!$B25,'Solid-Results'!AF:AF,"Green")</f>
        <v>0</v>
      </c>
      <c r="Q25" s="54">
        <f t="shared" si="4"/>
        <v>0</v>
      </c>
      <c r="R25" s="34">
        <f>COUNTIFS('Solid-Results'!M:M,"&gt;="&amp;Dashboard!$A25,'Solid-Results'!M:M,"&lt;="&amp;Dashboard!$B25)</f>
        <v>0</v>
      </c>
      <c r="S25" s="34">
        <f>COUNTIFS('Solid-Results'!M:M,"&gt;="&amp;Dashboard!$A25,'Solid-Results'!M:M,"&lt;="&amp;Dashboard!$B25,'Solid-Results'!AG:AG,"Green")</f>
        <v>0</v>
      </c>
      <c r="T25" s="54">
        <f t="shared" si="5"/>
        <v>0</v>
      </c>
      <c r="U25" s="34">
        <f>COUNTIFS('Solid-Results'!N:N,"&gt;="&amp;Dashboard!$A25,'Solid-Results'!N:N,"&lt;="&amp;Dashboard!$B25)</f>
        <v>24</v>
      </c>
      <c r="V25" s="34">
        <f>COUNTIFS('Solid-Results'!N:N,"&gt;="&amp;Dashboard!$A25,'Solid-Results'!N:N,"&lt;="&amp;Dashboard!$B25,'Solid-Results'!AH:AH,"Green")</f>
        <v>4</v>
      </c>
      <c r="W25" s="54">
        <f t="shared" si="6"/>
        <v>0.16666666666666666</v>
      </c>
      <c r="X25" s="34">
        <f>COUNTIFS('Solid-Results'!O:O,"&gt;="&amp;Dashboard!$A25,'Solid-Results'!O:O,"&lt;="&amp;Dashboard!$B25)</f>
        <v>0</v>
      </c>
      <c r="Y25" s="34">
        <f>COUNTIFS('Solid-Results'!O:O,"&gt;="&amp;Dashboard!$A25,'Solid-Results'!O:O,"&lt;="&amp;Dashboard!$B25,'Solid-Results'!AI:AI,"Green")</f>
        <v>0</v>
      </c>
      <c r="Z25" s="54">
        <f t="shared" si="7"/>
        <v>0</v>
      </c>
      <c r="AA25" s="34">
        <f>COUNTIFS('Solid-Results'!P:P,"&gt;="&amp;Dashboard!$A25,'Solid-Results'!P:P,"&lt;="&amp;Dashboard!$B25)</f>
        <v>58</v>
      </c>
      <c r="AB25" s="34">
        <f>COUNTIFS('Solid-Results'!P:P,"&gt;="&amp;Dashboard!$A25,'Solid-Results'!P:P,"&lt;="&amp;Dashboard!$B25,'Solid-Results'!AJ:AJ,"Green")</f>
        <v>11</v>
      </c>
      <c r="AC25" s="54">
        <f t="shared" si="8"/>
        <v>0.18965517241379309</v>
      </c>
      <c r="AD25" s="34">
        <f>COUNTIFS('Solid-Results'!Q:Q,"&gt;="&amp;Dashboard!$A25,'Solid-Results'!Q:Q,"&lt;="&amp;Dashboard!$B25)</f>
        <v>0</v>
      </c>
      <c r="AE25" s="34">
        <f>COUNTIFS('Solid-Results'!Q:Q,"&gt;="&amp;Dashboard!$A25,'Solid-Results'!Q:Q,"&lt;="&amp;Dashboard!$B25,'Solid-Results'!AK:AK,"Green")</f>
        <v>0</v>
      </c>
      <c r="AF25" s="54">
        <f t="shared" si="9"/>
        <v>0</v>
      </c>
      <c r="AG25" s="34">
        <f>COUNTIFS('Solid-Results'!R:R,"&gt;="&amp;Dashboard!$A25,'Solid-Results'!R:R,"&lt;="&amp;Dashboard!$B25)</f>
        <v>0</v>
      </c>
      <c r="AH25" s="34">
        <f>COUNTIFS('Solid-Results'!R:R,"&gt;="&amp;Dashboard!$A25,'Solid-Results'!R:R,"&lt;="&amp;Dashboard!$B25,'Solid-Results'!AL:AL,"Green")</f>
        <v>0</v>
      </c>
      <c r="AI25" s="54">
        <f t="shared" si="10"/>
        <v>0</v>
      </c>
      <c r="AJ25" s="34">
        <f>COUNTIFS('Solid-Results'!S:S,"&gt;="&amp;Dashboard!$A25,'Solid-Results'!S:S,"&lt;="&amp;Dashboard!$B25)</f>
        <v>3</v>
      </c>
      <c r="AK25" s="34">
        <f>COUNTIFS('Solid-Results'!S:S,"&gt;="&amp;Dashboard!$A25,'Solid-Results'!S:S,"&lt;="&amp;Dashboard!$B25,'Solid-Results'!AM:AM,"Green")</f>
        <v>0</v>
      </c>
      <c r="AL25" s="54">
        <f t="shared" si="11"/>
        <v>0</v>
      </c>
      <c r="AM25" s="34">
        <f>COUNTIFS('Solid-Results'!T:T,"&gt;="&amp;Dashboard!$A25,'Solid-Results'!T:T,"&lt;="&amp;Dashboard!$B25)</f>
        <v>5</v>
      </c>
      <c r="AN25" s="34">
        <f>COUNTIFS('Solid-Results'!T:T,"&gt;="&amp;Dashboard!$A25,'Solid-Results'!T:T,"&lt;="&amp;Dashboard!$B25,'Solid-Results'!AN:AN,"Green")</f>
        <v>1</v>
      </c>
      <c r="AO25" s="54">
        <f t="shared" si="12"/>
        <v>0.2</v>
      </c>
      <c r="AP25" s="34">
        <f>COUNTIFS('Solid-Results'!U:U,"&gt;="&amp;Dashboard!$A25,'Solid-Results'!U:U,"&lt;="&amp;Dashboard!$B25)</f>
        <v>1</v>
      </c>
      <c r="AQ25" s="34">
        <f>COUNTIFS('Solid-Results'!U:U,"&gt;="&amp;Dashboard!$A25,'Solid-Results'!U:U,"&lt;="&amp;Dashboard!$B25,'Solid-Results'!AO:AO,"Green")</f>
        <v>1</v>
      </c>
      <c r="AR25" s="54">
        <f t="shared" si="13"/>
        <v>1</v>
      </c>
      <c r="AS25" s="34">
        <f>COUNTIFS('Solid-Results'!V:V,"&gt;="&amp;Dashboard!$A25,'Solid-Results'!V:V,"&lt;="&amp;Dashboard!$B25)</f>
        <v>0</v>
      </c>
      <c r="AT25" s="34">
        <f>COUNTIFS('Solid-Results'!V:V,"&gt;="&amp;Dashboard!$A25,'Solid-Results'!V:V,"&lt;="&amp;Dashboard!$B25,'Solid-Results'!AP:AP,"Green")</f>
        <v>0</v>
      </c>
      <c r="AU25" s="54">
        <f t="shared" si="14"/>
        <v>0</v>
      </c>
      <c r="AV25" s="34">
        <f>COUNTIFS('Solid-Results'!W:W,"&gt;="&amp;Dashboard!$A25,'Solid-Results'!W:W,"&lt;="&amp;Dashboard!$B25)</f>
        <v>1</v>
      </c>
      <c r="AW25" s="34">
        <f>COUNTIFS('Solid-Results'!W:W,"&gt;="&amp;Dashboard!$A25,'Solid-Results'!W:W,"&lt;="&amp;Dashboard!$B25,'Solid-Results'!AQ:AQ,"Green")</f>
        <v>0</v>
      </c>
      <c r="AX25" s="54">
        <f t="shared" si="15"/>
        <v>0</v>
      </c>
      <c r="AZ25" s="40">
        <f t="shared" ref="AZ25:AZ41" si="18">BA24+0.01</f>
        <v>15.01</v>
      </c>
      <c r="BA25" s="39">
        <f t="shared" ref="BA25:BA41" si="19">BA24+5</f>
        <v>20</v>
      </c>
      <c r="BB25" s="35">
        <f>IFERROR(D25/C25,0)</f>
        <v>0</v>
      </c>
      <c r="BC25" s="35">
        <f>IFERROR(G25/F25,0)</f>
        <v>0</v>
      </c>
      <c r="BD25" s="35">
        <f>IFERROR(J25/I25,0)</f>
        <v>0.23684210526315788</v>
      </c>
      <c r="BE25" s="35">
        <f>IFERROR(M25/L25,0)</f>
        <v>0</v>
      </c>
      <c r="BF25" s="35">
        <f>IFERROR(P25/O25,0)</f>
        <v>0</v>
      </c>
      <c r="BG25" s="35">
        <f>IFERROR(S25/R25,0)</f>
        <v>0</v>
      </c>
      <c r="BH25" s="35">
        <f>IFERROR(V25/U25,0)</f>
        <v>0.16666666666666666</v>
      </c>
      <c r="BI25" s="35">
        <f>IFERROR(Y25/X25,0)</f>
        <v>0</v>
      </c>
      <c r="BJ25" s="35">
        <f>IFERROR(AB25/AA25,0)</f>
        <v>0.18965517241379309</v>
      </c>
      <c r="BK25" s="35">
        <f>IFERROR(AE25/AD25,0)</f>
        <v>0</v>
      </c>
      <c r="BL25" s="35">
        <f>IFERROR(AH25/AG25,0)</f>
        <v>0</v>
      </c>
      <c r="BM25" s="35">
        <f>IFERROR(AK25/AJ25,0)</f>
        <v>0</v>
      </c>
      <c r="BN25" s="35">
        <f>IFERROR(AN25/AM25,0)</f>
        <v>0.2</v>
      </c>
      <c r="BO25" s="35">
        <f>IFERROR(AQ25/AP25,0)</f>
        <v>1</v>
      </c>
      <c r="BP25" s="35">
        <f>IFERROR(AT25/AS25,0)</f>
        <v>0</v>
      </c>
      <c r="BQ25" s="35">
        <f>IFERROR(AW25/AV25,0)</f>
        <v>0</v>
      </c>
    </row>
    <row r="26" spans="1:69" x14ac:dyDescent="0.2">
      <c r="A26" s="40">
        <f t="shared" si="16"/>
        <v>20.010000000000002</v>
      </c>
      <c r="B26" s="39">
        <f t="shared" si="17"/>
        <v>25</v>
      </c>
      <c r="C26" s="34">
        <f>COUNTIFS('Solid-Results'!H:H,"&gt;="&amp;Dashboard!$A26,'Solid-Results'!H:H,"&lt;="&amp;Dashboard!$B26)</f>
        <v>14</v>
      </c>
      <c r="D26" s="34">
        <f>COUNTIFS('Solid-Results'!H:H,"&gt;="&amp;Dashboard!$A26,'Solid-Results'!H:H,"&lt;="&amp;Dashboard!$B26,'Solid-Results'!AB:AB,"Green")</f>
        <v>3</v>
      </c>
      <c r="E26" s="54">
        <f t="shared" si="0"/>
        <v>0.21428571428571427</v>
      </c>
      <c r="F26" s="34">
        <f>COUNTIFS('Solid-Results'!I:I,"&gt;="&amp;Dashboard!$A26,'Solid-Results'!I:I,"&lt;="&amp;Dashboard!$B26)</f>
        <v>42</v>
      </c>
      <c r="G26" s="34">
        <f>COUNTIFS('Solid-Results'!I:I,"&gt;="&amp;Dashboard!$A26,'Solid-Results'!I:I,"&lt;="&amp;Dashboard!$B26,'Solid-Results'!AC:AC,"Green")</f>
        <v>12</v>
      </c>
      <c r="H26" s="54">
        <f t="shared" si="1"/>
        <v>0.2857142857142857</v>
      </c>
      <c r="I26" s="34">
        <f>COUNTIFS('Solid-Results'!J:J,"&gt;="&amp;Dashboard!$A26,'Solid-Results'!J:J,"&lt;="&amp;Dashboard!$B26)</f>
        <v>59</v>
      </c>
      <c r="J26" s="34">
        <f>COUNTIFS('Solid-Results'!J:J,"&gt;="&amp;Dashboard!$A26,'Solid-Results'!J:J,"&lt;="&amp;Dashboard!$B26,'Solid-Results'!AD:AD,"Green")</f>
        <v>12</v>
      </c>
      <c r="K26" s="54">
        <f t="shared" si="2"/>
        <v>0.20338983050847459</v>
      </c>
      <c r="L26" s="34">
        <f>COUNTIFS('Solid-Results'!K:K,"&gt;="&amp;Dashboard!$A26,'Solid-Results'!K:K,"&lt;="&amp;Dashboard!$B26)</f>
        <v>0</v>
      </c>
      <c r="M26" s="34">
        <f>COUNTIFS('Solid-Results'!K:K,"&gt;="&amp;Dashboard!$A26,'Solid-Results'!K:K,"&lt;="&amp;Dashboard!$B26,'Solid-Results'!AE:AE,"Green")</f>
        <v>0</v>
      </c>
      <c r="N26" s="54">
        <f t="shared" si="3"/>
        <v>0</v>
      </c>
      <c r="O26" s="34">
        <f>COUNTIFS('Solid-Results'!L:L,"&gt;="&amp;Dashboard!$A26,'Solid-Results'!L:L,"&lt;="&amp;Dashboard!$B26)</f>
        <v>0</v>
      </c>
      <c r="P26" s="34">
        <f>COUNTIFS('Solid-Results'!L:L,"&gt;="&amp;Dashboard!$A26,'Solid-Results'!L:L,"&lt;="&amp;Dashboard!$B26,'Solid-Results'!AF:AF,"Green")</f>
        <v>0</v>
      </c>
      <c r="Q26" s="54">
        <f t="shared" si="4"/>
        <v>0</v>
      </c>
      <c r="R26" s="34">
        <f>COUNTIFS('Solid-Results'!M:M,"&gt;="&amp;Dashboard!$A26,'Solid-Results'!M:M,"&lt;="&amp;Dashboard!$B26)</f>
        <v>0</v>
      </c>
      <c r="S26" s="34">
        <f>COUNTIFS('Solid-Results'!M:M,"&gt;="&amp;Dashboard!$A26,'Solid-Results'!M:M,"&lt;="&amp;Dashboard!$B26,'Solid-Results'!AG:AG,"Green")</f>
        <v>0</v>
      </c>
      <c r="T26" s="54">
        <f t="shared" si="5"/>
        <v>0</v>
      </c>
      <c r="U26" s="34">
        <f>COUNTIFS('Solid-Results'!N:N,"&gt;="&amp;Dashboard!$A26,'Solid-Results'!N:N,"&lt;="&amp;Dashboard!$B26)</f>
        <v>40</v>
      </c>
      <c r="V26" s="34">
        <f>COUNTIFS('Solid-Results'!N:N,"&gt;="&amp;Dashboard!$A26,'Solid-Results'!N:N,"&lt;="&amp;Dashboard!$B26,'Solid-Results'!AH:AH,"Green")</f>
        <v>9</v>
      </c>
      <c r="W26" s="54">
        <f t="shared" si="6"/>
        <v>0.22500000000000001</v>
      </c>
      <c r="X26" s="34">
        <f>COUNTIFS('Solid-Results'!O:O,"&gt;="&amp;Dashboard!$A26,'Solid-Results'!O:O,"&lt;="&amp;Dashboard!$B26)</f>
        <v>0</v>
      </c>
      <c r="Y26" s="34">
        <f>COUNTIFS('Solid-Results'!O:O,"&gt;="&amp;Dashboard!$A26,'Solid-Results'!O:O,"&lt;="&amp;Dashboard!$B26,'Solid-Results'!AI:AI,"Green")</f>
        <v>0</v>
      </c>
      <c r="Z26" s="54">
        <f t="shared" si="7"/>
        <v>0</v>
      </c>
      <c r="AA26" s="34">
        <f>COUNTIFS('Solid-Results'!P:P,"&gt;="&amp;Dashboard!$A26,'Solid-Results'!P:P,"&lt;="&amp;Dashboard!$B26)</f>
        <v>85</v>
      </c>
      <c r="AB26" s="34">
        <f>COUNTIFS('Solid-Results'!P:P,"&gt;="&amp;Dashboard!$A26,'Solid-Results'!P:P,"&lt;="&amp;Dashboard!$B26,'Solid-Results'!AJ:AJ,"Green")</f>
        <v>22</v>
      </c>
      <c r="AC26" s="54">
        <f t="shared" si="8"/>
        <v>0.25882352941176473</v>
      </c>
      <c r="AD26" s="34">
        <f>COUNTIFS('Solid-Results'!Q:Q,"&gt;="&amp;Dashboard!$A26,'Solid-Results'!Q:Q,"&lt;="&amp;Dashboard!$B26)</f>
        <v>0</v>
      </c>
      <c r="AE26" s="34">
        <f>COUNTIFS('Solid-Results'!Q:Q,"&gt;="&amp;Dashboard!$A26,'Solid-Results'!Q:Q,"&lt;="&amp;Dashboard!$B26,'Solid-Results'!AK:AK,"Green")</f>
        <v>0</v>
      </c>
      <c r="AF26" s="54">
        <f t="shared" si="9"/>
        <v>0</v>
      </c>
      <c r="AG26" s="34">
        <f>COUNTIFS('Solid-Results'!R:R,"&gt;="&amp;Dashboard!$A26,'Solid-Results'!R:R,"&lt;="&amp;Dashboard!$B26)</f>
        <v>0</v>
      </c>
      <c r="AH26" s="34">
        <f>COUNTIFS('Solid-Results'!R:R,"&gt;="&amp;Dashboard!$A26,'Solid-Results'!R:R,"&lt;="&amp;Dashboard!$B26,'Solid-Results'!AL:AL,"Green")</f>
        <v>0</v>
      </c>
      <c r="AI26" s="54">
        <f t="shared" si="10"/>
        <v>0</v>
      </c>
      <c r="AJ26" s="34">
        <f>COUNTIFS('Solid-Results'!S:S,"&gt;="&amp;Dashboard!$A26,'Solid-Results'!S:S,"&lt;="&amp;Dashboard!$B26)</f>
        <v>7</v>
      </c>
      <c r="AK26" s="34">
        <f>COUNTIFS('Solid-Results'!S:S,"&gt;="&amp;Dashboard!$A26,'Solid-Results'!S:S,"&lt;="&amp;Dashboard!$B26,'Solid-Results'!AM:AM,"Green")</f>
        <v>1</v>
      </c>
      <c r="AL26" s="54">
        <f t="shared" si="11"/>
        <v>0.14285714285714285</v>
      </c>
      <c r="AM26" s="34">
        <f>COUNTIFS('Solid-Results'!T:T,"&gt;="&amp;Dashboard!$A26,'Solid-Results'!T:T,"&lt;="&amp;Dashboard!$B26)</f>
        <v>15</v>
      </c>
      <c r="AN26" s="34">
        <f>COUNTIFS('Solid-Results'!T:T,"&gt;="&amp;Dashboard!$A26,'Solid-Results'!T:T,"&lt;="&amp;Dashboard!$B26,'Solid-Results'!AN:AN,"Green")</f>
        <v>6</v>
      </c>
      <c r="AO26" s="54">
        <f t="shared" si="12"/>
        <v>0.4</v>
      </c>
      <c r="AP26" s="34">
        <f>COUNTIFS('Solid-Results'!U:U,"&gt;="&amp;Dashboard!$A26,'Solid-Results'!U:U,"&lt;="&amp;Dashboard!$B26)</f>
        <v>5</v>
      </c>
      <c r="AQ26" s="34">
        <f>COUNTIFS('Solid-Results'!U:U,"&gt;="&amp;Dashboard!$A26,'Solid-Results'!U:U,"&lt;="&amp;Dashboard!$B26,'Solid-Results'!AO:AO,"Green")</f>
        <v>2</v>
      </c>
      <c r="AR26" s="54">
        <f t="shared" si="13"/>
        <v>0.4</v>
      </c>
      <c r="AS26" s="34">
        <f>COUNTIFS('Solid-Results'!V:V,"&gt;="&amp;Dashboard!$A26,'Solid-Results'!V:V,"&lt;="&amp;Dashboard!$B26)</f>
        <v>1</v>
      </c>
      <c r="AT26" s="34">
        <f>COUNTIFS('Solid-Results'!V:V,"&gt;="&amp;Dashboard!$A26,'Solid-Results'!V:V,"&lt;="&amp;Dashboard!$B26,'Solid-Results'!AP:AP,"Green")</f>
        <v>0</v>
      </c>
      <c r="AU26" s="54">
        <f t="shared" si="14"/>
        <v>0</v>
      </c>
      <c r="AV26" s="34">
        <f>COUNTIFS('Solid-Results'!W:W,"&gt;="&amp;Dashboard!$A26,'Solid-Results'!W:W,"&lt;="&amp;Dashboard!$B26)</f>
        <v>12</v>
      </c>
      <c r="AW26" s="34">
        <f>COUNTIFS('Solid-Results'!W:W,"&gt;="&amp;Dashboard!$A26,'Solid-Results'!W:W,"&lt;="&amp;Dashboard!$B26,'Solid-Results'!AQ:AQ,"Green")</f>
        <v>6</v>
      </c>
      <c r="AX26" s="54">
        <f t="shared" si="15"/>
        <v>0.5</v>
      </c>
      <c r="AZ26" s="40">
        <f t="shared" si="18"/>
        <v>20.010000000000002</v>
      </c>
      <c r="BA26" s="39">
        <f t="shared" si="19"/>
        <v>25</v>
      </c>
      <c r="BB26" s="35">
        <f>IFERROR(D26/C26,0)</f>
        <v>0.21428571428571427</v>
      </c>
      <c r="BC26" s="35">
        <f>IFERROR(G26/F26,0)</f>
        <v>0.2857142857142857</v>
      </c>
      <c r="BD26" s="35">
        <f>IFERROR(J26/I26,0)</f>
        <v>0.20338983050847459</v>
      </c>
      <c r="BE26" s="35">
        <f>IFERROR(M26/L26,0)</f>
        <v>0</v>
      </c>
      <c r="BF26" s="35">
        <f>IFERROR(P26/O26,0)</f>
        <v>0</v>
      </c>
      <c r="BG26" s="35">
        <f>IFERROR(S26/R26,0)</f>
        <v>0</v>
      </c>
      <c r="BH26" s="35">
        <f>IFERROR(V26/U26,0)</f>
        <v>0.22500000000000001</v>
      </c>
      <c r="BI26" s="35">
        <f>IFERROR(Y26/X26,0)</f>
        <v>0</v>
      </c>
      <c r="BJ26" s="35">
        <f>IFERROR(AB26/AA26,0)</f>
        <v>0.25882352941176473</v>
      </c>
      <c r="BK26" s="35">
        <f>IFERROR(AE26/AD26,0)</f>
        <v>0</v>
      </c>
      <c r="BL26" s="35">
        <f>IFERROR(AH26/AG26,0)</f>
        <v>0</v>
      </c>
      <c r="BM26" s="35">
        <f>IFERROR(AK26/AJ26,0)</f>
        <v>0.14285714285714285</v>
      </c>
      <c r="BN26" s="35">
        <f>IFERROR(AN26/AM26,0)</f>
        <v>0.4</v>
      </c>
      <c r="BO26" s="35">
        <f>IFERROR(AQ26/AP26,0)</f>
        <v>0.4</v>
      </c>
      <c r="BP26" s="35">
        <f>IFERROR(AT26/AS26,0)</f>
        <v>0</v>
      </c>
      <c r="BQ26" s="35">
        <f>IFERROR(AW26/AV26,0)</f>
        <v>0.5</v>
      </c>
    </row>
    <row r="27" spans="1:69" x14ac:dyDescent="0.2">
      <c r="A27" s="40">
        <f t="shared" si="16"/>
        <v>25.01</v>
      </c>
      <c r="B27" s="39">
        <f t="shared" si="17"/>
        <v>30</v>
      </c>
      <c r="C27" s="34">
        <f>COUNTIFS('Solid-Results'!H:H,"&gt;="&amp;Dashboard!$A27,'Solid-Results'!H:H,"&lt;="&amp;Dashboard!$B27)</f>
        <v>12</v>
      </c>
      <c r="D27" s="34">
        <f>COUNTIFS('Solid-Results'!H:H,"&gt;="&amp;Dashboard!$A27,'Solid-Results'!H:H,"&lt;="&amp;Dashboard!$B27,'Solid-Results'!AB:AB,"Green")</f>
        <v>3</v>
      </c>
      <c r="E27" s="54">
        <f t="shared" si="0"/>
        <v>0.25</v>
      </c>
      <c r="F27" s="34">
        <f>COUNTIFS('Solid-Results'!I:I,"&gt;="&amp;Dashboard!$A27,'Solid-Results'!I:I,"&lt;="&amp;Dashboard!$B27)</f>
        <v>176</v>
      </c>
      <c r="G27" s="34">
        <f>COUNTIFS('Solid-Results'!I:I,"&gt;="&amp;Dashboard!$A27,'Solid-Results'!I:I,"&lt;="&amp;Dashboard!$B27,'Solid-Results'!AC:AC,"Green")</f>
        <v>43</v>
      </c>
      <c r="H27" s="54">
        <f t="shared" si="1"/>
        <v>0.24431818181818182</v>
      </c>
      <c r="I27" s="34">
        <f>COUNTIFS('Solid-Results'!J:J,"&gt;="&amp;Dashboard!$A27,'Solid-Results'!J:J,"&lt;="&amp;Dashboard!$B27)</f>
        <v>77</v>
      </c>
      <c r="J27" s="34">
        <f>COUNTIFS('Solid-Results'!J:J,"&gt;="&amp;Dashboard!$A27,'Solid-Results'!J:J,"&lt;="&amp;Dashboard!$B27,'Solid-Results'!AD:AD,"Green")</f>
        <v>25</v>
      </c>
      <c r="K27" s="54">
        <f t="shared" si="2"/>
        <v>0.32467532467532467</v>
      </c>
      <c r="L27" s="34">
        <f>COUNTIFS('Solid-Results'!K:K,"&gt;="&amp;Dashboard!$A27,'Solid-Results'!K:K,"&lt;="&amp;Dashboard!$B27)</f>
        <v>0</v>
      </c>
      <c r="M27" s="34">
        <f>COUNTIFS('Solid-Results'!K:K,"&gt;="&amp;Dashboard!$A27,'Solid-Results'!K:K,"&lt;="&amp;Dashboard!$B27,'Solid-Results'!AE:AE,"Green")</f>
        <v>0</v>
      </c>
      <c r="N27" s="54">
        <f t="shared" si="3"/>
        <v>0</v>
      </c>
      <c r="O27" s="34">
        <f>COUNTIFS('Solid-Results'!L:L,"&gt;="&amp;Dashboard!$A27,'Solid-Results'!L:L,"&lt;="&amp;Dashboard!$B27)</f>
        <v>2</v>
      </c>
      <c r="P27" s="34">
        <f>COUNTIFS('Solid-Results'!L:L,"&gt;="&amp;Dashboard!$A27,'Solid-Results'!L:L,"&lt;="&amp;Dashboard!$B27,'Solid-Results'!AF:AF,"Green")</f>
        <v>0</v>
      </c>
      <c r="Q27" s="54">
        <f t="shared" si="4"/>
        <v>0</v>
      </c>
      <c r="R27" s="34">
        <f>COUNTIFS('Solid-Results'!M:M,"&gt;="&amp;Dashboard!$A27,'Solid-Results'!M:M,"&lt;="&amp;Dashboard!$B27)</f>
        <v>0</v>
      </c>
      <c r="S27" s="34">
        <f>COUNTIFS('Solid-Results'!M:M,"&gt;="&amp;Dashboard!$A27,'Solid-Results'!M:M,"&lt;="&amp;Dashboard!$B27,'Solid-Results'!AG:AG,"Green")</f>
        <v>0</v>
      </c>
      <c r="T27" s="54">
        <f t="shared" si="5"/>
        <v>0</v>
      </c>
      <c r="U27" s="34">
        <f>COUNTIFS('Solid-Results'!N:N,"&gt;="&amp;Dashboard!$A27,'Solid-Results'!N:N,"&lt;="&amp;Dashboard!$B27)</f>
        <v>58</v>
      </c>
      <c r="V27" s="34">
        <f>COUNTIFS('Solid-Results'!N:N,"&gt;="&amp;Dashboard!$A27,'Solid-Results'!N:N,"&lt;="&amp;Dashboard!$B27,'Solid-Results'!AH:AH,"Green")</f>
        <v>18</v>
      </c>
      <c r="W27" s="54">
        <f t="shared" si="6"/>
        <v>0.31034482758620691</v>
      </c>
      <c r="X27" s="34">
        <f>COUNTIFS('Solid-Results'!O:O,"&gt;="&amp;Dashboard!$A27,'Solid-Results'!O:O,"&lt;="&amp;Dashboard!$B27)</f>
        <v>4</v>
      </c>
      <c r="Y27" s="34">
        <f>COUNTIFS('Solid-Results'!O:O,"&gt;="&amp;Dashboard!$A27,'Solid-Results'!O:O,"&lt;="&amp;Dashboard!$B27,'Solid-Results'!AI:AI,"Green")</f>
        <v>2</v>
      </c>
      <c r="Z27" s="54">
        <f t="shared" si="7"/>
        <v>0.5</v>
      </c>
      <c r="AA27" s="34">
        <f>COUNTIFS('Solid-Results'!P:P,"&gt;="&amp;Dashboard!$A27,'Solid-Results'!P:P,"&lt;="&amp;Dashboard!$B27)</f>
        <v>70</v>
      </c>
      <c r="AB27" s="34">
        <f>COUNTIFS('Solid-Results'!P:P,"&gt;="&amp;Dashboard!$A27,'Solid-Results'!P:P,"&lt;="&amp;Dashboard!$B27,'Solid-Results'!AJ:AJ,"Green")</f>
        <v>11</v>
      </c>
      <c r="AC27" s="54">
        <f t="shared" si="8"/>
        <v>0.15714285714285714</v>
      </c>
      <c r="AD27" s="34">
        <f>COUNTIFS('Solid-Results'!Q:Q,"&gt;="&amp;Dashboard!$A27,'Solid-Results'!Q:Q,"&lt;="&amp;Dashboard!$B27)</f>
        <v>0</v>
      </c>
      <c r="AE27" s="34">
        <f>COUNTIFS('Solid-Results'!Q:Q,"&gt;="&amp;Dashboard!$A27,'Solid-Results'!Q:Q,"&lt;="&amp;Dashboard!$B27,'Solid-Results'!AK:AK,"Green")</f>
        <v>0</v>
      </c>
      <c r="AF27" s="54">
        <f t="shared" si="9"/>
        <v>0</v>
      </c>
      <c r="AG27" s="34">
        <f>COUNTIFS('Solid-Results'!R:R,"&gt;="&amp;Dashboard!$A27,'Solid-Results'!R:R,"&lt;="&amp;Dashboard!$B27)</f>
        <v>0</v>
      </c>
      <c r="AH27" s="34">
        <f>COUNTIFS('Solid-Results'!R:R,"&gt;="&amp;Dashboard!$A27,'Solid-Results'!R:R,"&lt;="&amp;Dashboard!$B27,'Solid-Results'!AL:AL,"Green")</f>
        <v>0</v>
      </c>
      <c r="AI27" s="54">
        <f t="shared" si="10"/>
        <v>0</v>
      </c>
      <c r="AJ27" s="34">
        <f>COUNTIFS('Solid-Results'!S:S,"&gt;="&amp;Dashboard!$A27,'Solid-Results'!S:S,"&lt;="&amp;Dashboard!$B27)</f>
        <v>20</v>
      </c>
      <c r="AK27" s="34">
        <f>COUNTIFS('Solid-Results'!S:S,"&gt;="&amp;Dashboard!$A27,'Solid-Results'!S:S,"&lt;="&amp;Dashboard!$B27,'Solid-Results'!AM:AM,"Green")</f>
        <v>4</v>
      </c>
      <c r="AL27" s="54">
        <f t="shared" si="11"/>
        <v>0.2</v>
      </c>
      <c r="AM27" s="34">
        <f>COUNTIFS('Solid-Results'!T:T,"&gt;="&amp;Dashboard!$A27,'Solid-Results'!T:T,"&lt;="&amp;Dashboard!$B27)</f>
        <v>22</v>
      </c>
      <c r="AN27" s="34">
        <f>COUNTIFS('Solid-Results'!T:T,"&gt;="&amp;Dashboard!$A27,'Solid-Results'!T:T,"&lt;="&amp;Dashboard!$B27,'Solid-Results'!AN:AN,"Green")</f>
        <v>7</v>
      </c>
      <c r="AO27" s="54">
        <f t="shared" si="12"/>
        <v>0.31818181818181818</v>
      </c>
      <c r="AP27" s="34">
        <f>COUNTIFS('Solid-Results'!U:U,"&gt;="&amp;Dashboard!$A27,'Solid-Results'!U:U,"&lt;="&amp;Dashboard!$B27)</f>
        <v>12</v>
      </c>
      <c r="AQ27" s="34">
        <f>COUNTIFS('Solid-Results'!U:U,"&gt;="&amp;Dashboard!$A27,'Solid-Results'!U:U,"&lt;="&amp;Dashboard!$B27,'Solid-Results'!AO:AO,"Green")</f>
        <v>8</v>
      </c>
      <c r="AR27" s="54">
        <f t="shared" si="13"/>
        <v>0.66666666666666663</v>
      </c>
      <c r="AS27" s="34">
        <f>COUNTIFS('Solid-Results'!V:V,"&gt;="&amp;Dashboard!$A27,'Solid-Results'!V:V,"&lt;="&amp;Dashboard!$B27)</f>
        <v>3</v>
      </c>
      <c r="AT27" s="34">
        <f>COUNTIFS('Solid-Results'!V:V,"&gt;="&amp;Dashboard!$A27,'Solid-Results'!V:V,"&lt;="&amp;Dashboard!$B27,'Solid-Results'!AP:AP,"Green")</f>
        <v>1</v>
      </c>
      <c r="AU27" s="54">
        <f t="shared" si="14"/>
        <v>0.33333333333333331</v>
      </c>
      <c r="AV27" s="34">
        <f>COUNTIFS('Solid-Results'!W:W,"&gt;="&amp;Dashboard!$A27,'Solid-Results'!W:W,"&lt;="&amp;Dashboard!$B27)</f>
        <v>23</v>
      </c>
      <c r="AW27" s="34">
        <f>COUNTIFS('Solid-Results'!W:W,"&gt;="&amp;Dashboard!$A27,'Solid-Results'!W:W,"&lt;="&amp;Dashboard!$B27,'Solid-Results'!AQ:AQ,"Green")</f>
        <v>7</v>
      </c>
      <c r="AX27" s="54">
        <f t="shared" si="15"/>
        <v>0.30434782608695654</v>
      </c>
      <c r="AZ27" s="40">
        <f t="shared" si="18"/>
        <v>25.01</v>
      </c>
      <c r="BA27" s="39">
        <f t="shared" si="19"/>
        <v>30</v>
      </c>
      <c r="BB27" s="35">
        <f>IFERROR(D27/C27,0)</f>
        <v>0.25</v>
      </c>
      <c r="BC27" s="35">
        <f>IFERROR(G27/F27,0)</f>
        <v>0.24431818181818182</v>
      </c>
      <c r="BD27" s="35">
        <f>IFERROR(J27/I27,0)</f>
        <v>0.32467532467532467</v>
      </c>
      <c r="BE27" s="35">
        <f>IFERROR(M27/L27,0)</f>
        <v>0</v>
      </c>
      <c r="BF27" s="35">
        <f>IFERROR(P27/O27,0)</f>
        <v>0</v>
      </c>
      <c r="BG27" s="35">
        <f>IFERROR(S27/R27,0)</f>
        <v>0</v>
      </c>
      <c r="BH27" s="35">
        <f>IFERROR(V27/U27,0)</f>
        <v>0.31034482758620691</v>
      </c>
      <c r="BI27" s="35">
        <f>IFERROR(Y27/X27,0)</f>
        <v>0.5</v>
      </c>
      <c r="BJ27" s="35">
        <f>IFERROR(AB27/AA27,0)</f>
        <v>0.15714285714285714</v>
      </c>
      <c r="BK27" s="35">
        <f>IFERROR(AE27/AD27,0)</f>
        <v>0</v>
      </c>
      <c r="BL27" s="35">
        <f>IFERROR(AH27/AG27,0)</f>
        <v>0</v>
      </c>
      <c r="BM27" s="35">
        <f>IFERROR(AK27/AJ27,0)</f>
        <v>0.2</v>
      </c>
      <c r="BN27" s="35">
        <f>IFERROR(AN27/AM27,0)</f>
        <v>0.31818181818181818</v>
      </c>
      <c r="BO27" s="35">
        <f>IFERROR(AQ27/AP27,0)</f>
        <v>0.66666666666666663</v>
      </c>
      <c r="BP27" s="35">
        <f>IFERROR(AT27/AS27,0)</f>
        <v>0.33333333333333331</v>
      </c>
      <c r="BQ27" s="35">
        <f>IFERROR(AW27/AV27,0)</f>
        <v>0.30434782608695654</v>
      </c>
    </row>
    <row r="28" spans="1:69" x14ac:dyDescent="0.2">
      <c r="A28" s="40">
        <f t="shared" si="16"/>
        <v>30.01</v>
      </c>
      <c r="B28" s="39">
        <f t="shared" si="17"/>
        <v>35</v>
      </c>
      <c r="C28" s="34">
        <f>COUNTIFS('Solid-Results'!H:H,"&gt;="&amp;Dashboard!$A28,'Solid-Results'!H:H,"&lt;="&amp;Dashboard!$B28)</f>
        <v>33</v>
      </c>
      <c r="D28" s="34">
        <f>COUNTIFS('Solid-Results'!H:H,"&gt;="&amp;Dashboard!$A28,'Solid-Results'!H:H,"&lt;="&amp;Dashboard!$B28,'Solid-Results'!AB:AB,"Green")</f>
        <v>13</v>
      </c>
      <c r="E28" s="54">
        <f t="shared" si="0"/>
        <v>0.39393939393939392</v>
      </c>
      <c r="F28" s="34">
        <f>COUNTIFS('Solid-Results'!I:I,"&gt;="&amp;Dashboard!$A28,'Solid-Results'!I:I,"&lt;="&amp;Dashboard!$B28)</f>
        <v>72</v>
      </c>
      <c r="G28" s="34">
        <f>COUNTIFS('Solid-Results'!I:I,"&gt;="&amp;Dashboard!$A28,'Solid-Results'!I:I,"&lt;="&amp;Dashboard!$B28,'Solid-Results'!AC:AC,"Green")</f>
        <v>19</v>
      </c>
      <c r="H28" s="54">
        <f t="shared" si="1"/>
        <v>0.2638888888888889</v>
      </c>
      <c r="I28" s="34">
        <f>COUNTIFS('Solid-Results'!J:J,"&gt;="&amp;Dashboard!$A28,'Solid-Results'!J:J,"&lt;="&amp;Dashboard!$B28)</f>
        <v>54</v>
      </c>
      <c r="J28" s="34">
        <f>COUNTIFS('Solid-Results'!J:J,"&gt;="&amp;Dashboard!$A28,'Solid-Results'!J:J,"&lt;="&amp;Dashboard!$B28,'Solid-Results'!AD:AD,"Green")</f>
        <v>18</v>
      </c>
      <c r="K28" s="54">
        <f t="shared" si="2"/>
        <v>0.33333333333333331</v>
      </c>
      <c r="L28" s="34">
        <f>COUNTIFS('Solid-Results'!K:K,"&gt;="&amp;Dashboard!$A28,'Solid-Results'!K:K,"&lt;="&amp;Dashboard!$B28)</f>
        <v>1</v>
      </c>
      <c r="M28" s="34">
        <f>COUNTIFS('Solid-Results'!K:K,"&gt;="&amp;Dashboard!$A28,'Solid-Results'!K:K,"&lt;="&amp;Dashboard!$B28,'Solid-Results'!AE:AE,"Green")</f>
        <v>0</v>
      </c>
      <c r="N28" s="54">
        <f t="shared" si="3"/>
        <v>0</v>
      </c>
      <c r="O28" s="34">
        <f>COUNTIFS('Solid-Results'!L:L,"&gt;="&amp;Dashboard!$A28,'Solid-Results'!L:L,"&lt;="&amp;Dashboard!$B28)</f>
        <v>4</v>
      </c>
      <c r="P28" s="34">
        <f>COUNTIFS('Solid-Results'!L:L,"&gt;="&amp;Dashboard!$A28,'Solid-Results'!L:L,"&lt;="&amp;Dashboard!$B28,'Solid-Results'!AF:AF,"Green")</f>
        <v>1</v>
      </c>
      <c r="Q28" s="54">
        <f t="shared" si="4"/>
        <v>0.25</v>
      </c>
      <c r="R28" s="34">
        <f>COUNTIFS('Solid-Results'!M:M,"&gt;="&amp;Dashboard!$A28,'Solid-Results'!M:M,"&lt;="&amp;Dashboard!$B28)</f>
        <v>0</v>
      </c>
      <c r="S28" s="34">
        <f>COUNTIFS('Solid-Results'!M:M,"&gt;="&amp;Dashboard!$A28,'Solid-Results'!M:M,"&lt;="&amp;Dashboard!$B28,'Solid-Results'!AG:AG,"Green")</f>
        <v>0</v>
      </c>
      <c r="T28" s="54">
        <f t="shared" si="5"/>
        <v>0</v>
      </c>
      <c r="U28" s="34">
        <f>COUNTIFS('Solid-Results'!N:N,"&gt;="&amp;Dashboard!$A28,'Solid-Results'!N:N,"&lt;="&amp;Dashboard!$B28)</f>
        <v>71</v>
      </c>
      <c r="V28" s="34">
        <f>COUNTIFS('Solid-Results'!N:N,"&gt;="&amp;Dashboard!$A28,'Solid-Results'!N:N,"&lt;="&amp;Dashboard!$B28,'Solid-Results'!AH:AH,"Green")</f>
        <v>23</v>
      </c>
      <c r="W28" s="54">
        <f t="shared" si="6"/>
        <v>0.323943661971831</v>
      </c>
      <c r="X28" s="34">
        <f>COUNTIFS('Solid-Results'!O:O,"&gt;="&amp;Dashboard!$A28,'Solid-Results'!O:O,"&lt;="&amp;Dashboard!$B28)</f>
        <v>30</v>
      </c>
      <c r="Y28" s="34">
        <f>COUNTIFS('Solid-Results'!O:O,"&gt;="&amp;Dashboard!$A28,'Solid-Results'!O:O,"&lt;="&amp;Dashboard!$B28,'Solid-Results'!AI:AI,"Green")</f>
        <v>11</v>
      </c>
      <c r="Z28" s="54">
        <f t="shared" si="7"/>
        <v>0.36666666666666664</v>
      </c>
      <c r="AA28" s="34">
        <f>COUNTIFS('Solid-Results'!P:P,"&gt;="&amp;Dashboard!$A28,'Solid-Results'!P:P,"&lt;="&amp;Dashboard!$B28)</f>
        <v>32</v>
      </c>
      <c r="AB28" s="34">
        <f>COUNTIFS('Solid-Results'!P:P,"&gt;="&amp;Dashboard!$A28,'Solid-Results'!P:P,"&lt;="&amp;Dashboard!$B28,'Solid-Results'!AJ:AJ,"Green")</f>
        <v>7</v>
      </c>
      <c r="AC28" s="54">
        <f t="shared" si="8"/>
        <v>0.21875</v>
      </c>
      <c r="AD28" s="34">
        <f>COUNTIFS('Solid-Results'!Q:Q,"&gt;="&amp;Dashboard!$A28,'Solid-Results'!Q:Q,"&lt;="&amp;Dashboard!$B28)</f>
        <v>0</v>
      </c>
      <c r="AE28" s="34">
        <f>COUNTIFS('Solid-Results'!Q:Q,"&gt;="&amp;Dashboard!$A28,'Solid-Results'!Q:Q,"&lt;="&amp;Dashboard!$B28,'Solid-Results'!AK:AK,"Green")</f>
        <v>0</v>
      </c>
      <c r="AF28" s="54">
        <f t="shared" si="9"/>
        <v>0</v>
      </c>
      <c r="AG28" s="34">
        <f>COUNTIFS('Solid-Results'!R:R,"&gt;="&amp;Dashboard!$A28,'Solid-Results'!R:R,"&lt;="&amp;Dashboard!$B28)</f>
        <v>0</v>
      </c>
      <c r="AH28" s="34">
        <f>COUNTIFS('Solid-Results'!R:R,"&gt;="&amp;Dashboard!$A28,'Solid-Results'!R:R,"&lt;="&amp;Dashboard!$B28,'Solid-Results'!AL:AL,"Green")</f>
        <v>0</v>
      </c>
      <c r="AI28" s="54">
        <f t="shared" si="10"/>
        <v>0</v>
      </c>
      <c r="AJ28" s="34">
        <f>COUNTIFS('Solid-Results'!S:S,"&gt;="&amp;Dashboard!$A28,'Solid-Results'!S:S,"&lt;="&amp;Dashboard!$B28)</f>
        <v>29</v>
      </c>
      <c r="AK28" s="34">
        <f>COUNTIFS('Solid-Results'!S:S,"&gt;="&amp;Dashboard!$A28,'Solid-Results'!S:S,"&lt;="&amp;Dashboard!$B28,'Solid-Results'!AM:AM,"Green")</f>
        <v>6</v>
      </c>
      <c r="AL28" s="54">
        <f t="shared" si="11"/>
        <v>0.20689655172413793</v>
      </c>
      <c r="AM28" s="34">
        <f>COUNTIFS('Solid-Results'!T:T,"&gt;="&amp;Dashboard!$A28,'Solid-Results'!T:T,"&lt;="&amp;Dashboard!$B28)</f>
        <v>20</v>
      </c>
      <c r="AN28" s="34">
        <f>COUNTIFS('Solid-Results'!T:T,"&gt;="&amp;Dashboard!$A28,'Solid-Results'!T:T,"&lt;="&amp;Dashboard!$B28,'Solid-Results'!AN:AN,"Green")</f>
        <v>11</v>
      </c>
      <c r="AO28" s="54">
        <f t="shared" si="12"/>
        <v>0.55000000000000004</v>
      </c>
      <c r="AP28" s="34">
        <f>COUNTIFS('Solid-Results'!U:U,"&gt;="&amp;Dashboard!$A28,'Solid-Results'!U:U,"&lt;="&amp;Dashboard!$B28)</f>
        <v>22</v>
      </c>
      <c r="AQ28" s="34">
        <f>COUNTIFS('Solid-Results'!U:U,"&gt;="&amp;Dashboard!$A28,'Solid-Results'!U:U,"&lt;="&amp;Dashboard!$B28,'Solid-Results'!AO:AO,"Green")</f>
        <v>10</v>
      </c>
      <c r="AR28" s="54">
        <f t="shared" si="13"/>
        <v>0.45454545454545453</v>
      </c>
      <c r="AS28" s="34">
        <f>COUNTIFS('Solid-Results'!V:V,"&gt;="&amp;Dashboard!$A28,'Solid-Results'!V:V,"&lt;="&amp;Dashboard!$B28)</f>
        <v>11</v>
      </c>
      <c r="AT28" s="34">
        <f>COUNTIFS('Solid-Results'!V:V,"&gt;="&amp;Dashboard!$A28,'Solid-Results'!V:V,"&lt;="&amp;Dashboard!$B28,'Solid-Results'!AP:AP,"Green")</f>
        <v>6</v>
      </c>
      <c r="AU28" s="54">
        <f t="shared" si="14"/>
        <v>0.54545454545454541</v>
      </c>
      <c r="AV28" s="34">
        <f>COUNTIFS('Solid-Results'!W:W,"&gt;="&amp;Dashboard!$A28,'Solid-Results'!W:W,"&lt;="&amp;Dashboard!$B28)</f>
        <v>29</v>
      </c>
      <c r="AW28" s="34">
        <f>COUNTIFS('Solid-Results'!W:W,"&gt;="&amp;Dashboard!$A28,'Solid-Results'!W:W,"&lt;="&amp;Dashboard!$B28,'Solid-Results'!AQ:AQ,"Green")</f>
        <v>15</v>
      </c>
      <c r="AX28" s="54">
        <f t="shared" si="15"/>
        <v>0.51724137931034486</v>
      </c>
      <c r="AZ28" s="40">
        <f t="shared" si="18"/>
        <v>30.01</v>
      </c>
      <c r="BA28" s="39">
        <f t="shared" si="19"/>
        <v>35</v>
      </c>
      <c r="BB28" s="35">
        <f>IFERROR(D28/C28,0)</f>
        <v>0.39393939393939392</v>
      </c>
      <c r="BC28" s="35">
        <f>IFERROR(G28/F28,0)</f>
        <v>0.2638888888888889</v>
      </c>
      <c r="BD28" s="35">
        <f>IFERROR(J28/I28,0)</f>
        <v>0.33333333333333331</v>
      </c>
      <c r="BE28" s="35">
        <f>IFERROR(M28/L28,0)</f>
        <v>0</v>
      </c>
      <c r="BF28" s="35">
        <f>IFERROR(P28/O28,0)</f>
        <v>0.25</v>
      </c>
      <c r="BG28" s="35">
        <f>IFERROR(S28/R28,0)</f>
        <v>0</v>
      </c>
      <c r="BH28" s="35">
        <f>IFERROR(V28/U28,0)</f>
        <v>0.323943661971831</v>
      </c>
      <c r="BI28" s="35">
        <f>IFERROR(Y28/X28,0)</f>
        <v>0.36666666666666664</v>
      </c>
      <c r="BJ28" s="35">
        <f>IFERROR(AB28/AA28,0)</f>
        <v>0.21875</v>
      </c>
      <c r="BK28" s="35">
        <f>IFERROR(AE28/AD28,0)</f>
        <v>0</v>
      </c>
      <c r="BL28" s="35">
        <f>IFERROR(AH28/AG28,0)</f>
        <v>0</v>
      </c>
      <c r="BM28" s="35">
        <f>IFERROR(AK28/AJ28,0)</f>
        <v>0.20689655172413793</v>
      </c>
      <c r="BN28" s="35">
        <f>IFERROR(AN28/AM28,0)</f>
        <v>0.55000000000000004</v>
      </c>
      <c r="BO28" s="35">
        <f>IFERROR(AQ28/AP28,0)</f>
        <v>0.45454545454545453</v>
      </c>
      <c r="BP28" s="35">
        <f>IFERROR(AT28/AS28,0)</f>
        <v>0.54545454545454541</v>
      </c>
      <c r="BQ28" s="35">
        <f>IFERROR(AW28/AV28,0)</f>
        <v>0.51724137931034486</v>
      </c>
    </row>
    <row r="29" spans="1:69" x14ac:dyDescent="0.2">
      <c r="A29" s="40">
        <f t="shared" si="16"/>
        <v>35.01</v>
      </c>
      <c r="B29" s="39">
        <f t="shared" si="17"/>
        <v>40</v>
      </c>
      <c r="C29" s="34">
        <f>COUNTIFS('Solid-Results'!H:H,"&gt;="&amp;Dashboard!$A29,'Solid-Results'!H:H,"&lt;="&amp;Dashboard!$B29)</f>
        <v>55</v>
      </c>
      <c r="D29" s="34">
        <f>COUNTIFS('Solid-Results'!H:H,"&gt;="&amp;Dashboard!$A29,'Solid-Results'!H:H,"&lt;="&amp;Dashboard!$B29,'Solid-Results'!AB:AB,"Green")</f>
        <v>20</v>
      </c>
      <c r="E29" s="54">
        <f t="shared" si="0"/>
        <v>0.36363636363636365</v>
      </c>
      <c r="F29" s="34">
        <f>COUNTIFS('Solid-Results'!I:I,"&gt;="&amp;Dashboard!$A29,'Solid-Results'!I:I,"&lt;="&amp;Dashboard!$B29)</f>
        <v>16</v>
      </c>
      <c r="G29" s="34">
        <f>COUNTIFS('Solid-Results'!I:I,"&gt;="&amp;Dashboard!$A29,'Solid-Results'!I:I,"&lt;="&amp;Dashboard!$B29,'Solid-Results'!AC:AC,"Green")</f>
        <v>7</v>
      </c>
      <c r="H29" s="54">
        <f t="shared" si="1"/>
        <v>0.4375</v>
      </c>
      <c r="I29" s="34">
        <f>COUNTIFS('Solid-Results'!J:J,"&gt;="&amp;Dashboard!$A29,'Solid-Results'!J:J,"&lt;="&amp;Dashboard!$B29)</f>
        <v>36</v>
      </c>
      <c r="J29" s="34">
        <f>COUNTIFS('Solid-Results'!J:J,"&gt;="&amp;Dashboard!$A29,'Solid-Results'!J:J,"&lt;="&amp;Dashboard!$B29,'Solid-Results'!AD:AD,"Green")</f>
        <v>12</v>
      </c>
      <c r="K29" s="54">
        <f t="shared" si="2"/>
        <v>0.33333333333333331</v>
      </c>
      <c r="L29" s="34">
        <f>COUNTIFS('Solid-Results'!K:K,"&gt;="&amp;Dashboard!$A29,'Solid-Results'!K:K,"&lt;="&amp;Dashboard!$B29)</f>
        <v>1</v>
      </c>
      <c r="M29" s="34">
        <f>COUNTIFS('Solid-Results'!K:K,"&gt;="&amp;Dashboard!$A29,'Solid-Results'!K:K,"&lt;="&amp;Dashboard!$B29,'Solid-Results'!AE:AE,"Green")</f>
        <v>0</v>
      </c>
      <c r="N29" s="54">
        <f t="shared" si="3"/>
        <v>0</v>
      </c>
      <c r="O29" s="34">
        <f>COUNTIFS('Solid-Results'!L:L,"&gt;="&amp;Dashboard!$A29,'Solid-Results'!L:L,"&lt;="&amp;Dashboard!$B29)</f>
        <v>14</v>
      </c>
      <c r="P29" s="34">
        <f>COUNTIFS('Solid-Results'!L:L,"&gt;="&amp;Dashboard!$A29,'Solid-Results'!L:L,"&lt;="&amp;Dashboard!$B29,'Solid-Results'!AF:AF,"Green")</f>
        <v>7</v>
      </c>
      <c r="Q29" s="54">
        <f t="shared" si="4"/>
        <v>0.5</v>
      </c>
      <c r="R29" s="34">
        <f>COUNTIFS('Solid-Results'!M:M,"&gt;="&amp;Dashboard!$A29,'Solid-Results'!M:M,"&lt;="&amp;Dashboard!$B29)</f>
        <v>0</v>
      </c>
      <c r="S29" s="34">
        <f>COUNTIFS('Solid-Results'!M:M,"&gt;="&amp;Dashboard!$A29,'Solid-Results'!M:M,"&lt;="&amp;Dashboard!$B29,'Solid-Results'!AG:AG,"Green")</f>
        <v>0</v>
      </c>
      <c r="T29" s="54">
        <f t="shared" si="5"/>
        <v>0</v>
      </c>
      <c r="U29" s="34">
        <f>COUNTIFS('Solid-Results'!N:N,"&gt;="&amp;Dashboard!$A29,'Solid-Results'!N:N,"&lt;="&amp;Dashboard!$B29)</f>
        <v>53</v>
      </c>
      <c r="V29" s="34">
        <f>COUNTIFS('Solid-Results'!N:N,"&gt;="&amp;Dashboard!$A29,'Solid-Results'!N:N,"&lt;="&amp;Dashboard!$B29,'Solid-Results'!AH:AH,"Green")</f>
        <v>18</v>
      </c>
      <c r="W29" s="54">
        <f t="shared" si="6"/>
        <v>0.33962264150943394</v>
      </c>
      <c r="X29" s="34">
        <f>COUNTIFS('Solid-Results'!O:O,"&gt;="&amp;Dashboard!$A29,'Solid-Results'!O:O,"&lt;="&amp;Dashboard!$B29)</f>
        <v>57</v>
      </c>
      <c r="Y29" s="34">
        <f>COUNTIFS('Solid-Results'!O:O,"&gt;="&amp;Dashboard!$A29,'Solid-Results'!O:O,"&lt;="&amp;Dashboard!$B29,'Solid-Results'!AI:AI,"Green")</f>
        <v>20</v>
      </c>
      <c r="Z29" s="54">
        <f t="shared" si="7"/>
        <v>0.35087719298245612</v>
      </c>
      <c r="AA29" s="34">
        <f>COUNTIFS('Solid-Results'!P:P,"&gt;="&amp;Dashboard!$A29,'Solid-Results'!P:P,"&lt;="&amp;Dashboard!$B29)</f>
        <v>11</v>
      </c>
      <c r="AB29" s="34">
        <f>COUNTIFS('Solid-Results'!P:P,"&gt;="&amp;Dashboard!$A29,'Solid-Results'!P:P,"&lt;="&amp;Dashboard!$B29,'Solid-Results'!AJ:AJ,"Green")</f>
        <v>4</v>
      </c>
      <c r="AC29" s="54">
        <f t="shared" si="8"/>
        <v>0.36363636363636365</v>
      </c>
      <c r="AD29" s="34">
        <f>COUNTIFS('Solid-Results'!Q:Q,"&gt;="&amp;Dashboard!$A29,'Solid-Results'!Q:Q,"&lt;="&amp;Dashboard!$B29)</f>
        <v>0</v>
      </c>
      <c r="AE29" s="34">
        <f>COUNTIFS('Solid-Results'!Q:Q,"&gt;="&amp;Dashboard!$A29,'Solid-Results'!Q:Q,"&lt;="&amp;Dashboard!$B29,'Solid-Results'!AK:AK,"Green")</f>
        <v>0</v>
      </c>
      <c r="AF29" s="54">
        <f t="shared" si="9"/>
        <v>0</v>
      </c>
      <c r="AG29" s="34">
        <f>COUNTIFS('Solid-Results'!R:R,"&gt;="&amp;Dashboard!$A29,'Solid-Results'!R:R,"&lt;="&amp;Dashboard!$B29)</f>
        <v>0</v>
      </c>
      <c r="AH29" s="34">
        <f>COUNTIFS('Solid-Results'!R:R,"&gt;="&amp;Dashboard!$A29,'Solid-Results'!R:R,"&lt;="&amp;Dashboard!$B29,'Solid-Results'!AL:AL,"Green")</f>
        <v>0</v>
      </c>
      <c r="AI29" s="54">
        <f t="shared" si="10"/>
        <v>0</v>
      </c>
      <c r="AJ29" s="34">
        <f>COUNTIFS('Solid-Results'!S:S,"&gt;="&amp;Dashboard!$A29,'Solid-Results'!S:S,"&lt;="&amp;Dashboard!$B29)</f>
        <v>21</v>
      </c>
      <c r="AK29" s="34">
        <f>COUNTIFS('Solid-Results'!S:S,"&gt;="&amp;Dashboard!$A29,'Solid-Results'!S:S,"&lt;="&amp;Dashboard!$B29,'Solid-Results'!AM:AM,"Green")</f>
        <v>8</v>
      </c>
      <c r="AL29" s="54">
        <f t="shared" si="11"/>
        <v>0.38095238095238093</v>
      </c>
      <c r="AM29" s="34">
        <f>COUNTIFS('Solid-Results'!T:T,"&gt;="&amp;Dashboard!$A29,'Solid-Results'!T:T,"&lt;="&amp;Dashboard!$B29)</f>
        <v>29</v>
      </c>
      <c r="AN29" s="34">
        <f>COUNTIFS('Solid-Results'!T:T,"&gt;="&amp;Dashboard!$A29,'Solid-Results'!T:T,"&lt;="&amp;Dashboard!$B29,'Solid-Results'!AN:AN,"Green")</f>
        <v>9</v>
      </c>
      <c r="AO29" s="54">
        <f t="shared" si="12"/>
        <v>0.31034482758620691</v>
      </c>
      <c r="AP29" s="34">
        <f>COUNTIFS('Solid-Results'!U:U,"&gt;="&amp;Dashboard!$A29,'Solid-Results'!U:U,"&lt;="&amp;Dashboard!$B29)</f>
        <v>16</v>
      </c>
      <c r="AQ29" s="34">
        <f>COUNTIFS('Solid-Results'!U:U,"&gt;="&amp;Dashboard!$A29,'Solid-Results'!U:U,"&lt;="&amp;Dashboard!$B29,'Solid-Results'!AO:AO,"Green")</f>
        <v>15</v>
      </c>
      <c r="AR29" s="54">
        <f t="shared" si="13"/>
        <v>0.9375</v>
      </c>
      <c r="AS29" s="34">
        <f>COUNTIFS('Solid-Results'!V:V,"&gt;="&amp;Dashboard!$A29,'Solid-Results'!V:V,"&lt;="&amp;Dashboard!$B29)</f>
        <v>34</v>
      </c>
      <c r="AT29" s="34">
        <f>COUNTIFS('Solid-Results'!V:V,"&gt;="&amp;Dashboard!$A29,'Solid-Results'!V:V,"&lt;="&amp;Dashboard!$B29,'Solid-Results'!AP:AP,"Green")</f>
        <v>9</v>
      </c>
      <c r="AU29" s="54">
        <f t="shared" si="14"/>
        <v>0.26470588235294118</v>
      </c>
      <c r="AV29" s="34">
        <f>COUNTIFS('Solid-Results'!W:W,"&gt;="&amp;Dashboard!$A29,'Solid-Results'!W:W,"&lt;="&amp;Dashboard!$B29)</f>
        <v>37</v>
      </c>
      <c r="AW29" s="34">
        <f>COUNTIFS('Solid-Results'!W:W,"&gt;="&amp;Dashboard!$A29,'Solid-Results'!W:W,"&lt;="&amp;Dashboard!$B29,'Solid-Results'!AQ:AQ,"Green")</f>
        <v>16</v>
      </c>
      <c r="AX29" s="54">
        <f t="shared" si="15"/>
        <v>0.43243243243243246</v>
      </c>
      <c r="AZ29" s="40">
        <f t="shared" si="18"/>
        <v>35.01</v>
      </c>
      <c r="BA29" s="39">
        <f t="shared" si="19"/>
        <v>40</v>
      </c>
      <c r="BB29" s="35">
        <f>IFERROR(D29/C29,0)</f>
        <v>0.36363636363636365</v>
      </c>
      <c r="BC29" s="35">
        <f>IFERROR(G29/F29,0)</f>
        <v>0.4375</v>
      </c>
      <c r="BD29" s="35">
        <f>IFERROR(J29/I29,0)</f>
        <v>0.33333333333333331</v>
      </c>
      <c r="BE29" s="35">
        <f>IFERROR(M29/L29,0)</f>
        <v>0</v>
      </c>
      <c r="BF29" s="35">
        <f>IFERROR(P29/O29,0)</f>
        <v>0.5</v>
      </c>
      <c r="BG29" s="35">
        <f>IFERROR(S29/R29,0)</f>
        <v>0</v>
      </c>
      <c r="BH29" s="35">
        <f>IFERROR(V29/U29,0)</f>
        <v>0.33962264150943394</v>
      </c>
      <c r="BI29" s="35">
        <f>IFERROR(Y29/X29,0)</f>
        <v>0.35087719298245612</v>
      </c>
      <c r="BJ29" s="35">
        <f>IFERROR(AB29/AA29,0)</f>
        <v>0.36363636363636365</v>
      </c>
      <c r="BK29" s="35">
        <f>IFERROR(AE29/AD29,0)</f>
        <v>0</v>
      </c>
      <c r="BL29" s="35">
        <f>IFERROR(AH29/AG29,0)</f>
        <v>0</v>
      </c>
      <c r="BM29" s="35">
        <f>IFERROR(AK29/AJ29,0)</f>
        <v>0.38095238095238093</v>
      </c>
      <c r="BN29" s="35">
        <f>IFERROR(AN29/AM29,0)</f>
        <v>0.31034482758620691</v>
      </c>
      <c r="BO29" s="35">
        <f>IFERROR(AQ29/AP29,0)</f>
        <v>0.9375</v>
      </c>
      <c r="BP29" s="35">
        <f>IFERROR(AT29/AS29,0)</f>
        <v>0.26470588235294118</v>
      </c>
      <c r="BQ29" s="35">
        <f>IFERROR(AW29/AV29,0)</f>
        <v>0.43243243243243246</v>
      </c>
    </row>
    <row r="30" spans="1:69" x14ac:dyDescent="0.2">
      <c r="A30" s="40">
        <f t="shared" si="16"/>
        <v>40.01</v>
      </c>
      <c r="B30" s="39">
        <f t="shared" si="17"/>
        <v>45</v>
      </c>
      <c r="C30" s="34">
        <f>COUNTIFS('Solid-Results'!H:H,"&gt;="&amp;Dashboard!$A30,'Solid-Results'!H:H,"&lt;="&amp;Dashboard!$B30)</f>
        <v>70</v>
      </c>
      <c r="D30" s="34">
        <f>COUNTIFS('Solid-Results'!H:H,"&gt;="&amp;Dashboard!$A30,'Solid-Results'!H:H,"&lt;="&amp;Dashboard!$B30,'Solid-Results'!AB:AB,"Green")</f>
        <v>32</v>
      </c>
      <c r="E30" s="54">
        <f t="shared" si="0"/>
        <v>0.45714285714285713</v>
      </c>
      <c r="F30" s="34">
        <f>COUNTIFS('Solid-Results'!I:I,"&gt;="&amp;Dashboard!$A30,'Solid-Results'!I:I,"&lt;="&amp;Dashboard!$B30)</f>
        <v>0</v>
      </c>
      <c r="G30" s="34">
        <f>COUNTIFS('Solid-Results'!I:I,"&gt;="&amp;Dashboard!$A30,'Solid-Results'!I:I,"&lt;="&amp;Dashboard!$B30,'Solid-Results'!AC:AC,"Green")</f>
        <v>0</v>
      </c>
      <c r="H30" s="54">
        <f t="shared" si="1"/>
        <v>0</v>
      </c>
      <c r="I30" s="34">
        <f>COUNTIFS('Solid-Results'!J:J,"&gt;="&amp;Dashboard!$A30,'Solid-Results'!J:J,"&lt;="&amp;Dashboard!$B30)</f>
        <v>14</v>
      </c>
      <c r="J30" s="34">
        <f>COUNTIFS('Solid-Results'!J:J,"&gt;="&amp;Dashboard!$A30,'Solid-Results'!J:J,"&lt;="&amp;Dashboard!$B30,'Solid-Results'!AD:AD,"Green")</f>
        <v>2</v>
      </c>
      <c r="K30" s="54">
        <f t="shared" si="2"/>
        <v>0.14285714285714285</v>
      </c>
      <c r="L30" s="34">
        <f>COUNTIFS('Solid-Results'!K:K,"&gt;="&amp;Dashboard!$A30,'Solid-Results'!K:K,"&lt;="&amp;Dashboard!$B30)</f>
        <v>0</v>
      </c>
      <c r="M30" s="34">
        <f>COUNTIFS('Solid-Results'!K:K,"&gt;="&amp;Dashboard!$A30,'Solid-Results'!K:K,"&lt;="&amp;Dashboard!$B30,'Solid-Results'!AE:AE,"Green")</f>
        <v>0</v>
      </c>
      <c r="N30" s="54">
        <f t="shared" si="3"/>
        <v>0</v>
      </c>
      <c r="O30" s="34">
        <f>COUNTIFS('Solid-Results'!L:L,"&gt;="&amp;Dashboard!$A30,'Solid-Results'!L:L,"&lt;="&amp;Dashboard!$B30)</f>
        <v>18</v>
      </c>
      <c r="P30" s="34">
        <f>COUNTIFS('Solid-Results'!L:L,"&gt;="&amp;Dashboard!$A30,'Solid-Results'!L:L,"&lt;="&amp;Dashboard!$B30,'Solid-Results'!AF:AF,"Green")</f>
        <v>9</v>
      </c>
      <c r="Q30" s="54">
        <f t="shared" si="4"/>
        <v>0.5</v>
      </c>
      <c r="R30" s="34">
        <f>COUNTIFS('Solid-Results'!M:M,"&gt;="&amp;Dashboard!$A30,'Solid-Results'!M:M,"&lt;="&amp;Dashboard!$B30)</f>
        <v>0</v>
      </c>
      <c r="S30" s="34">
        <f>COUNTIFS('Solid-Results'!M:M,"&gt;="&amp;Dashboard!$A30,'Solid-Results'!M:M,"&lt;="&amp;Dashboard!$B30,'Solid-Results'!AG:AG,"Green")</f>
        <v>0</v>
      </c>
      <c r="T30" s="54">
        <f t="shared" si="5"/>
        <v>0</v>
      </c>
      <c r="U30" s="34">
        <f>COUNTIFS('Solid-Results'!N:N,"&gt;="&amp;Dashboard!$A30,'Solid-Results'!N:N,"&lt;="&amp;Dashboard!$B30)</f>
        <v>28</v>
      </c>
      <c r="V30" s="34">
        <f>COUNTIFS('Solid-Results'!N:N,"&gt;="&amp;Dashboard!$A30,'Solid-Results'!N:N,"&lt;="&amp;Dashboard!$B30,'Solid-Results'!AH:AH,"Green")</f>
        <v>10</v>
      </c>
      <c r="W30" s="54">
        <f t="shared" si="6"/>
        <v>0.35714285714285715</v>
      </c>
      <c r="X30" s="34">
        <f>COUNTIFS('Solid-Results'!O:O,"&gt;="&amp;Dashboard!$A30,'Solid-Results'!O:O,"&lt;="&amp;Dashboard!$B30)</f>
        <v>82</v>
      </c>
      <c r="Y30" s="34">
        <f>COUNTIFS('Solid-Results'!O:O,"&gt;="&amp;Dashboard!$A30,'Solid-Results'!O:O,"&lt;="&amp;Dashboard!$B30,'Solid-Results'!AI:AI,"Green")</f>
        <v>33</v>
      </c>
      <c r="Z30" s="54">
        <f t="shared" si="7"/>
        <v>0.40243902439024393</v>
      </c>
      <c r="AA30" s="34">
        <f>COUNTIFS('Solid-Results'!P:P,"&gt;="&amp;Dashboard!$A30,'Solid-Results'!P:P,"&lt;="&amp;Dashboard!$B30)</f>
        <v>5</v>
      </c>
      <c r="AB30" s="34">
        <f>COUNTIFS('Solid-Results'!P:P,"&gt;="&amp;Dashboard!$A30,'Solid-Results'!P:P,"&lt;="&amp;Dashboard!$B30,'Solid-Results'!AJ:AJ,"Green")</f>
        <v>4</v>
      </c>
      <c r="AC30" s="54">
        <f t="shared" si="8"/>
        <v>0.8</v>
      </c>
      <c r="AD30" s="34">
        <f>COUNTIFS('Solid-Results'!Q:Q,"&gt;="&amp;Dashboard!$A30,'Solid-Results'!Q:Q,"&lt;="&amp;Dashboard!$B30)</f>
        <v>2</v>
      </c>
      <c r="AE30" s="34">
        <f>COUNTIFS('Solid-Results'!Q:Q,"&gt;="&amp;Dashboard!$A30,'Solid-Results'!Q:Q,"&lt;="&amp;Dashboard!$B30,'Solid-Results'!AK:AK,"Green")</f>
        <v>1</v>
      </c>
      <c r="AF30" s="54">
        <f t="shared" si="9"/>
        <v>0.5</v>
      </c>
      <c r="AG30" s="34">
        <f>COUNTIFS('Solid-Results'!R:R,"&gt;="&amp;Dashboard!$A30,'Solid-Results'!R:R,"&lt;="&amp;Dashboard!$B30)</f>
        <v>0</v>
      </c>
      <c r="AH30" s="34">
        <f>COUNTIFS('Solid-Results'!R:R,"&gt;="&amp;Dashboard!$A30,'Solid-Results'!R:R,"&lt;="&amp;Dashboard!$B30,'Solid-Results'!AL:AL,"Green")</f>
        <v>0</v>
      </c>
      <c r="AI30" s="54">
        <f t="shared" si="10"/>
        <v>0</v>
      </c>
      <c r="AJ30" s="34">
        <f>COUNTIFS('Solid-Results'!S:S,"&gt;="&amp;Dashboard!$A30,'Solid-Results'!S:S,"&lt;="&amp;Dashboard!$B30)</f>
        <v>34</v>
      </c>
      <c r="AK30" s="34">
        <f>COUNTIFS('Solid-Results'!S:S,"&gt;="&amp;Dashboard!$A30,'Solid-Results'!S:S,"&lt;="&amp;Dashboard!$B30,'Solid-Results'!AM:AM,"Green")</f>
        <v>16</v>
      </c>
      <c r="AL30" s="54">
        <f t="shared" si="11"/>
        <v>0.47058823529411764</v>
      </c>
      <c r="AM30" s="34">
        <f>COUNTIFS('Solid-Results'!T:T,"&gt;="&amp;Dashboard!$A30,'Solid-Results'!T:T,"&lt;="&amp;Dashboard!$B30)</f>
        <v>30</v>
      </c>
      <c r="AN30" s="34">
        <f>COUNTIFS('Solid-Results'!T:T,"&gt;="&amp;Dashboard!$A30,'Solid-Results'!T:T,"&lt;="&amp;Dashboard!$B30,'Solid-Results'!AN:AN,"Green")</f>
        <v>12</v>
      </c>
      <c r="AO30" s="54">
        <f t="shared" si="12"/>
        <v>0.4</v>
      </c>
      <c r="AP30" s="34">
        <f>COUNTIFS('Solid-Results'!U:U,"&gt;="&amp;Dashboard!$A30,'Solid-Results'!U:U,"&lt;="&amp;Dashboard!$B30)</f>
        <v>25</v>
      </c>
      <c r="AQ30" s="34">
        <f>COUNTIFS('Solid-Results'!U:U,"&gt;="&amp;Dashboard!$A30,'Solid-Results'!U:U,"&lt;="&amp;Dashboard!$B30,'Solid-Results'!AO:AO,"Green")</f>
        <v>12</v>
      </c>
      <c r="AR30" s="54">
        <f t="shared" si="13"/>
        <v>0.48</v>
      </c>
      <c r="AS30" s="34">
        <f>COUNTIFS('Solid-Results'!V:V,"&gt;="&amp;Dashboard!$A30,'Solid-Results'!V:V,"&lt;="&amp;Dashboard!$B30)</f>
        <v>25</v>
      </c>
      <c r="AT30" s="34">
        <f>COUNTIFS('Solid-Results'!V:V,"&gt;="&amp;Dashboard!$A30,'Solid-Results'!V:V,"&lt;="&amp;Dashboard!$B30,'Solid-Results'!AP:AP,"Green")</f>
        <v>10</v>
      </c>
      <c r="AU30" s="54">
        <f t="shared" si="14"/>
        <v>0.4</v>
      </c>
      <c r="AV30" s="34">
        <f>COUNTIFS('Solid-Results'!W:W,"&gt;="&amp;Dashboard!$A30,'Solid-Results'!W:W,"&lt;="&amp;Dashboard!$B30)</f>
        <v>44</v>
      </c>
      <c r="AW30" s="34">
        <f>COUNTIFS('Solid-Results'!W:W,"&gt;="&amp;Dashboard!$A30,'Solid-Results'!W:W,"&lt;="&amp;Dashboard!$B30,'Solid-Results'!AQ:AQ,"Green")</f>
        <v>20</v>
      </c>
      <c r="AX30" s="54">
        <f t="shared" si="15"/>
        <v>0.45454545454545453</v>
      </c>
      <c r="AZ30" s="40">
        <f t="shared" si="18"/>
        <v>40.01</v>
      </c>
      <c r="BA30" s="39">
        <f t="shared" si="19"/>
        <v>45</v>
      </c>
      <c r="BB30" s="35">
        <f>IFERROR(D30/C30,0)</f>
        <v>0.45714285714285713</v>
      </c>
      <c r="BC30" s="35">
        <f>IFERROR(G30/F30,0)</f>
        <v>0</v>
      </c>
      <c r="BD30" s="35">
        <f>IFERROR(J30/I30,0)</f>
        <v>0.14285714285714285</v>
      </c>
      <c r="BE30" s="35">
        <f>IFERROR(M30/L30,0)</f>
        <v>0</v>
      </c>
      <c r="BF30" s="35">
        <f>IFERROR(P30/O30,0)</f>
        <v>0.5</v>
      </c>
      <c r="BG30" s="35">
        <f>IFERROR(S30/R30,0)</f>
        <v>0</v>
      </c>
      <c r="BH30" s="35">
        <f>IFERROR(V30/U30,0)</f>
        <v>0.35714285714285715</v>
      </c>
      <c r="BI30" s="35">
        <f>IFERROR(Y30/X30,0)</f>
        <v>0.40243902439024393</v>
      </c>
      <c r="BJ30" s="35">
        <f>IFERROR(AB30/AA30,0)</f>
        <v>0.8</v>
      </c>
      <c r="BK30" s="35">
        <f>IFERROR(AE30/AD30,0)</f>
        <v>0.5</v>
      </c>
      <c r="BL30" s="35">
        <f>IFERROR(AH30/AG30,0)</f>
        <v>0</v>
      </c>
      <c r="BM30" s="35">
        <f>IFERROR(AK30/AJ30,0)</f>
        <v>0.47058823529411764</v>
      </c>
      <c r="BN30" s="35">
        <f>IFERROR(AN30/AM30,0)</f>
        <v>0.4</v>
      </c>
      <c r="BO30" s="35">
        <f>IFERROR(AQ30/AP30,0)</f>
        <v>0.48</v>
      </c>
      <c r="BP30" s="35">
        <f>IFERROR(AT30/AS30,0)</f>
        <v>0.4</v>
      </c>
      <c r="BQ30" s="35">
        <f>IFERROR(AW30/AV30,0)</f>
        <v>0.45454545454545453</v>
      </c>
    </row>
    <row r="31" spans="1:69" x14ac:dyDescent="0.2">
      <c r="A31" s="40">
        <f t="shared" si="16"/>
        <v>45.01</v>
      </c>
      <c r="B31" s="39">
        <f t="shared" si="17"/>
        <v>50</v>
      </c>
      <c r="C31" s="34">
        <f>COUNTIFS('Solid-Results'!H:H,"&gt;="&amp;Dashboard!$A31,'Solid-Results'!H:H,"&lt;="&amp;Dashboard!$B31)</f>
        <v>52</v>
      </c>
      <c r="D31" s="34">
        <f>COUNTIFS('Solid-Results'!H:H,"&gt;="&amp;Dashboard!$A31,'Solid-Results'!H:H,"&lt;="&amp;Dashboard!$B31,'Solid-Results'!AB:AB,"Green")</f>
        <v>23</v>
      </c>
      <c r="E31" s="54">
        <f t="shared" si="0"/>
        <v>0.44230769230769229</v>
      </c>
      <c r="F31" s="34">
        <f>COUNTIFS('Solid-Results'!I:I,"&gt;="&amp;Dashboard!$A31,'Solid-Results'!I:I,"&lt;="&amp;Dashboard!$B31)</f>
        <v>0</v>
      </c>
      <c r="G31" s="34">
        <f>COUNTIFS('Solid-Results'!I:I,"&gt;="&amp;Dashboard!$A31,'Solid-Results'!I:I,"&lt;="&amp;Dashboard!$B31,'Solid-Results'!AC:AC,"Green")</f>
        <v>0</v>
      </c>
      <c r="H31" s="54">
        <f t="shared" si="1"/>
        <v>0</v>
      </c>
      <c r="I31" s="34">
        <f>COUNTIFS('Solid-Results'!J:J,"&gt;="&amp;Dashboard!$A31,'Solid-Results'!J:J,"&lt;="&amp;Dashboard!$B31)</f>
        <v>9</v>
      </c>
      <c r="J31" s="34">
        <f>COUNTIFS('Solid-Results'!J:J,"&gt;="&amp;Dashboard!$A31,'Solid-Results'!J:J,"&lt;="&amp;Dashboard!$B31,'Solid-Results'!AD:AD,"Green")</f>
        <v>4</v>
      </c>
      <c r="K31" s="54">
        <f t="shared" si="2"/>
        <v>0.44444444444444442</v>
      </c>
      <c r="L31" s="34">
        <f>COUNTIFS('Solid-Results'!K:K,"&gt;="&amp;Dashboard!$A31,'Solid-Results'!K:K,"&lt;="&amp;Dashboard!$B31)</f>
        <v>4</v>
      </c>
      <c r="M31" s="34">
        <f>COUNTIFS('Solid-Results'!K:K,"&gt;="&amp;Dashboard!$A31,'Solid-Results'!K:K,"&lt;="&amp;Dashboard!$B31,'Solid-Results'!AE:AE,"Green")</f>
        <v>2</v>
      </c>
      <c r="N31" s="54">
        <f t="shared" si="3"/>
        <v>0.5</v>
      </c>
      <c r="O31" s="34">
        <f>COUNTIFS('Solid-Results'!L:L,"&gt;="&amp;Dashboard!$A31,'Solid-Results'!L:L,"&lt;="&amp;Dashboard!$B31)</f>
        <v>33</v>
      </c>
      <c r="P31" s="34">
        <f>COUNTIFS('Solid-Results'!L:L,"&gt;="&amp;Dashboard!$A31,'Solid-Results'!L:L,"&lt;="&amp;Dashboard!$B31,'Solid-Results'!AF:AF,"Green")</f>
        <v>18</v>
      </c>
      <c r="Q31" s="54">
        <f t="shared" si="4"/>
        <v>0.54545454545454541</v>
      </c>
      <c r="R31" s="34">
        <f>COUNTIFS('Solid-Results'!M:M,"&gt;="&amp;Dashboard!$A31,'Solid-Results'!M:M,"&lt;="&amp;Dashboard!$B31)</f>
        <v>0</v>
      </c>
      <c r="S31" s="34">
        <f>COUNTIFS('Solid-Results'!M:M,"&gt;="&amp;Dashboard!$A31,'Solid-Results'!M:M,"&lt;="&amp;Dashboard!$B31,'Solid-Results'!AG:AG,"Green")</f>
        <v>0</v>
      </c>
      <c r="T31" s="54">
        <f t="shared" si="5"/>
        <v>0</v>
      </c>
      <c r="U31" s="34">
        <f>COUNTIFS('Solid-Results'!N:N,"&gt;="&amp;Dashboard!$A31,'Solid-Results'!N:N,"&lt;="&amp;Dashboard!$B31)</f>
        <v>16</v>
      </c>
      <c r="V31" s="34">
        <f>COUNTIFS('Solid-Results'!N:N,"&gt;="&amp;Dashboard!$A31,'Solid-Results'!N:N,"&lt;="&amp;Dashboard!$B31,'Solid-Results'!AH:AH,"Green")</f>
        <v>6</v>
      </c>
      <c r="W31" s="54">
        <f t="shared" si="6"/>
        <v>0.375</v>
      </c>
      <c r="X31" s="34">
        <f>COUNTIFS('Solid-Results'!O:O,"&gt;="&amp;Dashboard!$A31,'Solid-Results'!O:O,"&lt;="&amp;Dashboard!$B31)</f>
        <v>67</v>
      </c>
      <c r="Y31" s="34">
        <f>COUNTIFS('Solid-Results'!O:O,"&gt;="&amp;Dashboard!$A31,'Solid-Results'!O:O,"&lt;="&amp;Dashboard!$B31,'Solid-Results'!AI:AI,"Green")</f>
        <v>28</v>
      </c>
      <c r="Z31" s="54">
        <f t="shared" si="7"/>
        <v>0.41791044776119401</v>
      </c>
      <c r="AA31" s="34">
        <f>COUNTIFS('Solid-Results'!P:P,"&gt;="&amp;Dashboard!$A31,'Solid-Results'!P:P,"&lt;="&amp;Dashboard!$B31)</f>
        <v>2</v>
      </c>
      <c r="AB31" s="34">
        <f>COUNTIFS('Solid-Results'!P:P,"&gt;="&amp;Dashboard!$A31,'Solid-Results'!P:P,"&lt;="&amp;Dashboard!$B31,'Solid-Results'!AJ:AJ,"Green")</f>
        <v>1</v>
      </c>
      <c r="AC31" s="54">
        <f t="shared" si="8"/>
        <v>0.5</v>
      </c>
      <c r="AD31" s="34">
        <f>COUNTIFS('Solid-Results'!Q:Q,"&gt;="&amp;Dashboard!$A31,'Solid-Results'!Q:Q,"&lt;="&amp;Dashboard!$B31)</f>
        <v>7</v>
      </c>
      <c r="AE31" s="34">
        <f>COUNTIFS('Solid-Results'!Q:Q,"&gt;="&amp;Dashboard!$A31,'Solid-Results'!Q:Q,"&lt;="&amp;Dashboard!$B31,'Solid-Results'!AK:AK,"Green")</f>
        <v>4</v>
      </c>
      <c r="AF31" s="54">
        <f t="shared" si="9"/>
        <v>0.5714285714285714</v>
      </c>
      <c r="AG31" s="34">
        <f>COUNTIFS('Solid-Results'!R:R,"&gt;="&amp;Dashboard!$A31,'Solid-Results'!R:R,"&lt;="&amp;Dashboard!$B31)</f>
        <v>6</v>
      </c>
      <c r="AH31" s="34">
        <f>COUNTIFS('Solid-Results'!R:R,"&gt;="&amp;Dashboard!$A31,'Solid-Results'!R:R,"&lt;="&amp;Dashboard!$B31,'Solid-Results'!AL:AL,"Green")</f>
        <v>4</v>
      </c>
      <c r="AI31" s="54">
        <f t="shared" si="10"/>
        <v>0.66666666666666663</v>
      </c>
      <c r="AJ31" s="34">
        <f>COUNTIFS('Solid-Results'!S:S,"&gt;="&amp;Dashboard!$A31,'Solid-Results'!S:S,"&lt;="&amp;Dashboard!$B31)</f>
        <v>35</v>
      </c>
      <c r="AK31" s="34">
        <f>COUNTIFS('Solid-Results'!S:S,"&gt;="&amp;Dashboard!$A31,'Solid-Results'!S:S,"&lt;="&amp;Dashboard!$B31,'Solid-Results'!AM:AM,"Green")</f>
        <v>22</v>
      </c>
      <c r="AL31" s="54">
        <f t="shared" si="11"/>
        <v>0.62857142857142856</v>
      </c>
      <c r="AM31" s="34">
        <f>COUNTIFS('Solid-Results'!T:T,"&gt;="&amp;Dashboard!$A31,'Solid-Results'!T:T,"&lt;="&amp;Dashboard!$B31)</f>
        <v>36</v>
      </c>
      <c r="AN31" s="34">
        <f>COUNTIFS('Solid-Results'!T:T,"&gt;="&amp;Dashboard!$A31,'Solid-Results'!T:T,"&lt;="&amp;Dashboard!$B31,'Solid-Results'!AN:AN,"Green")</f>
        <v>20</v>
      </c>
      <c r="AO31" s="54">
        <f t="shared" si="12"/>
        <v>0.55555555555555558</v>
      </c>
      <c r="AP31" s="34">
        <f>COUNTIFS('Solid-Results'!U:U,"&gt;="&amp;Dashboard!$A31,'Solid-Results'!U:U,"&lt;="&amp;Dashboard!$B31)</f>
        <v>33</v>
      </c>
      <c r="AQ31" s="34">
        <f>COUNTIFS('Solid-Results'!U:U,"&gt;="&amp;Dashboard!$A31,'Solid-Results'!U:U,"&lt;="&amp;Dashboard!$B31,'Solid-Results'!AO:AO,"Green")</f>
        <v>21</v>
      </c>
      <c r="AR31" s="54">
        <f t="shared" si="13"/>
        <v>0.63636363636363635</v>
      </c>
      <c r="AS31" s="34">
        <f>COUNTIFS('Solid-Results'!V:V,"&gt;="&amp;Dashboard!$A31,'Solid-Results'!V:V,"&lt;="&amp;Dashboard!$B31)</f>
        <v>36</v>
      </c>
      <c r="AT31" s="34">
        <f>COUNTIFS('Solid-Results'!V:V,"&gt;="&amp;Dashboard!$A31,'Solid-Results'!V:V,"&lt;="&amp;Dashboard!$B31,'Solid-Results'!AP:AP,"Green")</f>
        <v>18</v>
      </c>
      <c r="AU31" s="54">
        <f t="shared" si="14"/>
        <v>0.5</v>
      </c>
      <c r="AV31" s="34">
        <f>COUNTIFS('Solid-Results'!W:W,"&gt;="&amp;Dashboard!$A31,'Solid-Results'!W:W,"&lt;="&amp;Dashboard!$B31)</f>
        <v>51</v>
      </c>
      <c r="AW31" s="34">
        <f>COUNTIFS('Solid-Results'!W:W,"&gt;="&amp;Dashboard!$A31,'Solid-Results'!W:W,"&lt;="&amp;Dashboard!$B31,'Solid-Results'!AQ:AQ,"Green")</f>
        <v>18</v>
      </c>
      <c r="AX31" s="54">
        <f t="shared" si="15"/>
        <v>0.35294117647058826</v>
      </c>
      <c r="AZ31" s="40">
        <f t="shared" si="18"/>
        <v>45.01</v>
      </c>
      <c r="BA31" s="39">
        <f t="shared" si="19"/>
        <v>50</v>
      </c>
      <c r="BB31" s="35">
        <f>IFERROR(D31/C31,0)</f>
        <v>0.44230769230769229</v>
      </c>
      <c r="BC31" s="35">
        <f>IFERROR(G31/F31,0)</f>
        <v>0</v>
      </c>
      <c r="BD31" s="35">
        <f>IFERROR(J31/I31,0)</f>
        <v>0.44444444444444442</v>
      </c>
      <c r="BE31" s="35">
        <f>IFERROR(M31/L31,0)</f>
        <v>0.5</v>
      </c>
      <c r="BF31" s="35">
        <f>IFERROR(P31/O31,0)</f>
        <v>0.54545454545454541</v>
      </c>
      <c r="BG31" s="35">
        <f>IFERROR(S31/R31,0)</f>
        <v>0</v>
      </c>
      <c r="BH31" s="35">
        <f>IFERROR(V31/U31,0)</f>
        <v>0.375</v>
      </c>
      <c r="BI31" s="35">
        <f>IFERROR(Y31/X31,0)</f>
        <v>0.41791044776119401</v>
      </c>
      <c r="BJ31" s="35">
        <f>IFERROR(AB31/AA31,0)</f>
        <v>0.5</v>
      </c>
      <c r="BK31" s="35">
        <f>IFERROR(AE31/AD31,0)</f>
        <v>0.5714285714285714</v>
      </c>
      <c r="BL31" s="35">
        <f>IFERROR(AH31/AG31,0)</f>
        <v>0.66666666666666663</v>
      </c>
      <c r="BM31" s="35">
        <f>IFERROR(AK31/AJ31,0)</f>
        <v>0.62857142857142856</v>
      </c>
      <c r="BN31" s="35">
        <f>IFERROR(AN31/AM31,0)</f>
        <v>0.55555555555555558</v>
      </c>
      <c r="BO31" s="35">
        <f>IFERROR(AQ31/AP31,0)</f>
        <v>0.63636363636363635</v>
      </c>
      <c r="BP31" s="35">
        <f>IFERROR(AT31/AS31,0)</f>
        <v>0.5</v>
      </c>
      <c r="BQ31" s="35">
        <f>IFERROR(AW31/AV31,0)</f>
        <v>0.35294117647058826</v>
      </c>
    </row>
    <row r="32" spans="1:69" x14ac:dyDescent="0.2">
      <c r="A32" s="40">
        <f t="shared" si="16"/>
        <v>50.01</v>
      </c>
      <c r="B32" s="39">
        <f t="shared" si="17"/>
        <v>55</v>
      </c>
      <c r="C32" s="34">
        <f>COUNTIFS('Solid-Results'!H:H,"&gt;="&amp;Dashboard!$A32,'Solid-Results'!H:H,"&lt;="&amp;Dashboard!$B32)</f>
        <v>32</v>
      </c>
      <c r="D32" s="34">
        <f>COUNTIFS('Solid-Results'!H:H,"&gt;="&amp;Dashboard!$A32,'Solid-Results'!H:H,"&lt;="&amp;Dashboard!$B32,'Solid-Results'!AB:AB,"Green")</f>
        <v>13</v>
      </c>
      <c r="E32" s="54">
        <f t="shared" si="0"/>
        <v>0.40625</v>
      </c>
      <c r="F32" s="34">
        <f>COUNTIFS('Solid-Results'!I:I,"&gt;="&amp;Dashboard!$A32,'Solid-Results'!I:I,"&lt;="&amp;Dashboard!$B32)</f>
        <v>0</v>
      </c>
      <c r="G32" s="34">
        <f>COUNTIFS('Solid-Results'!I:I,"&gt;="&amp;Dashboard!$A32,'Solid-Results'!I:I,"&lt;="&amp;Dashboard!$B32,'Solid-Results'!AC:AC,"Green")</f>
        <v>0</v>
      </c>
      <c r="H32" s="54">
        <f t="shared" si="1"/>
        <v>0</v>
      </c>
      <c r="I32" s="34">
        <f>COUNTIFS('Solid-Results'!J:J,"&gt;="&amp;Dashboard!$A32,'Solid-Results'!J:J,"&lt;="&amp;Dashboard!$B32)</f>
        <v>4</v>
      </c>
      <c r="J32" s="34">
        <f>COUNTIFS('Solid-Results'!J:J,"&gt;="&amp;Dashboard!$A32,'Solid-Results'!J:J,"&lt;="&amp;Dashboard!$B32,'Solid-Results'!AD:AD,"Green")</f>
        <v>2</v>
      </c>
      <c r="K32" s="54">
        <f t="shared" si="2"/>
        <v>0.5</v>
      </c>
      <c r="L32" s="34">
        <f>COUNTIFS('Solid-Results'!K:K,"&gt;="&amp;Dashboard!$A32,'Solid-Results'!K:K,"&lt;="&amp;Dashboard!$B32)</f>
        <v>9</v>
      </c>
      <c r="M32" s="34">
        <f>COUNTIFS('Solid-Results'!K:K,"&gt;="&amp;Dashboard!$A32,'Solid-Results'!K:K,"&lt;="&amp;Dashboard!$B32,'Solid-Results'!AE:AE,"Green")</f>
        <v>5</v>
      </c>
      <c r="N32" s="54">
        <f t="shared" si="3"/>
        <v>0.55555555555555558</v>
      </c>
      <c r="O32" s="34">
        <f>COUNTIFS('Solid-Results'!L:L,"&gt;="&amp;Dashboard!$A32,'Solid-Results'!L:L,"&lt;="&amp;Dashboard!$B32)</f>
        <v>51</v>
      </c>
      <c r="P32" s="34">
        <f>COUNTIFS('Solid-Results'!L:L,"&gt;="&amp;Dashboard!$A32,'Solid-Results'!L:L,"&lt;="&amp;Dashboard!$B32,'Solid-Results'!AF:AF,"Green")</f>
        <v>28</v>
      </c>
      <c r="Q32" s="54">
        <f t="shared" si="4"/>
        <v>0.5490196078431373</v>
      </c>
      <c r="R32" s="34">
        <f>COUNTIFS('Solid-Results'!M:M,"&gt;="&amp;Dashboard!$A32,'Solid-Results'!M:M,"&lt;="&amp;Dashboard!$B32)</f>
        <v>0</v>
      </c>
      <c r="S32" s="34">
        <f>COUNTIFS('Solid-Results'!M:M,"&gt;="&amp;Dashboard!$A32,'Solid-Results'!M:M,"&lt;="&amp;Dashboard!$B32,'Solid-Results'!AG:AG,"Green")</f>
        <v>0</v>
      </c>
      <c r="T32" s="54">
        <f t="shared" si="5"/>
        <v>0</v>
      </c>
      <c r="U32" s="34">
        <f>COUNTIFS('Solid-Results'!N:N,"&gt;="&amp;Dashboard!$A32,'Solid-Results'!N:N,"&lt;="&amp;Dashboard!$B32)</f>
        <v>8</v>
      </c>
      <c r="V32" s="34">
        <f>COUNTIFS('Solid-Results'!N:N,"&gt;="&amp;Dashboard!$A32,'Solid-Results'!N:N,"&lt;="&amp;Dashboard!$B32,'Solid-Results'!AH:AH,"Green")</f>
        <v>6</v>
      </c>
      <c r="W32" s="54">
        <f t="shared" si="6"/>
        <v>0.75</v>
      </c>
      <c r="X32" s="34">
        <f>COUNTIFS('Solid-Results'!O:O,"&gt;="&amp;Dashboard!$A32,'Solid-Results'!O:O,"&lt;="&amp;Dashboard!$B32)</f>
        <v>47</v>
      </c>
      <c r="Y32" s="34">
        <f>COUNTIFS('Solid-Results'!O:O,"&gt;="&amp;Dashboard!$A32,'Solid-Results'!O:O,"&lt;="&amp;Dashboard!$B32,'Solid-Results'!AI:AI,"Green")</f>
        <v>23</v>
      </c>
      <c r="Z32" s="54">
        <f t="shared" si="7"/>
        <v>0.48936170212765956</v>
      </c>
      <c r="AA32" s="34">
        <f>COUNTIFS('Solid-Results'!P:P,"&gt;="&amp;Dashboard!$A32,'Solid-Results'!P:P,"&lt;="&amp;Dashboard!$B32)</f>
        <v>1</v>
      </c>
      <c r="AB32" s="34">
        <f>COUNTIFS('Solid-Results'!P:P,"&gt;="&amp;Dashboard!$A32,'Solid-Results'!P:P,"&lt;="&amp;Dashboard!$B32,'Solid-Results'!AJ:AJ,"Green")</f>
        <v>0</v>
      </c>
      <c r="AC32" s="54">
        <f t="shared" si="8"/>
        <v>0</v>
      </c>
      <c r="AD32" s="34">
        <f>COUNTIFS('Solid-Results'!Q:Q,"&gt;="&amp;Dashboard!$A32,'Solid-Results'!Q:Q,"&lt;="&amp;Dashboard!$B32)</f>
        <v>28</v>
      </c>
      <c r="AE32" s="34">
        <f>COUNTIFS('Solid-Results'!Q:Q,"&gt;="&amp;Dashboard!$A32,'Solid-Results'!Q:Q,"&lt;="&amp;Dashboard!$B32,'Solid-Results'!AK:AK,"Green")</f>
        <v>14</v>
      </c>
      <c r="AF32" s="54">
        <f t="shared" si="9"/>
        <v>0.5</v>
      </c>
      <c r="AG32" s="34">
        <f>COUNTIFS('Solid-Results'!R:R,"&gt;="&amp;Dashboard!$A32,'Solid-Results'!R:R,"&lt;="&amp;Dashboard!$B32)</f>
        <v>10</v>
      </c>
      <c r="AH32" s="34">
        <f>COUNTIFS('Solid-Results'!R:R,"&gt;="&amp;Dashboard!$A32,'Solid-Results'!R:R,"&lt;="&amp;Dashboard!$B32,'Solid-Results'!AL:AL,"Green")</f>
        <v>6</v>
      </c>
      <c r="AI32" s="54">
        <f t="shared" si="10"/>
        <v>0.6</v>
      </c>
      <c r="AJ32" s="34">
        <f>COUNTIFS('Solid-Results'!S:S,"&gt;="&amp;Dashboard!$A32,'Solid-Results'!S:S,"&lt;="&amp;Dashboard!$B32)</f>
        <v>37</v>
      </c>
      <c r="AK32" s="34">
        <f>COUNTIFS('Solid-Results'!S:S,"&gt;="&amp;Dashboard!$A32,'Solid-Results'!S:S,"&lt;="&amp;Dashboard!$B32,'Solid-Results'!AM:AM,"Green")</f>
        <v>17</v>
      </c>
      <c r="AL32" s="54">
        <f t="shared" si="11"/>
        <v>0.45945945945945948</v>
      </c>
      <c r="AM32" s="34">
        <f>COUNTIFS('Solid-Results'!T:T,"&gt;="&amp;Dashboard!$A32,'Solid-Results'!T:T,"&lt;="&amp;Dashboard!$B32)</f>
        <v>35</v>
      </c>
      <c r="AN32" s="34">
        <f>COUNTIFS('Solid-Results'!T:T,"&gt;="&amp;Dashboard!$A32,'Solid-Results'!T:T,"&lt;="&amp;Dashboard!$B32,'Solid-Results'!AN:AN,"Green")</f>
        <v>13</v>
      </c>
      <c r="AO32" s="54">
        <f t="shared" si="12"/>
        <v>0.37142857142857144</v>
      </c>
      <c r="AP32" s="34">
        <f>COUNTIFS('Solid-Results'!U:U,"&gt;="&amp;Dashboard!$A32,'Solid-Results'!U:U,"&lt;="&amp;Dashboard!$B32)</f>
        <v>39</v>
      </c>
      <c r="AQ32" s="34">
        <f>COUNTIFS('Solid-Results'!U:U,"&gt;="&amp;Dashboard!$A32,'Solid-Results'!U:U,"&lt;="&amp;Dashboard!$B32,'Solid-Results'!AO:AO,"Green")</f>
        <v>26</v>
      </c>
      <c r="AR32" s="54">
        <f t="shared" si="13"/>
        <v>0.66666666666666663</v>
      </c>
      <c r="AS32" s="34">
        <f>COUNTIFS('Solid-Results'!V:V,"&gt;="&amp;Dashboard!$A32,'Solid-Results'!V:V,"&lt;="&amp;Dashboard!$B32)</f>
        <v>52</v>
      </c>
      <c r="AT32" s="34">
        <f>COUNTIFS('Solid-Results'!V:V,"&gt;="&amp;Dashboard!$A32,'Solid-Results'!V:V,"&lt;="&amp;Dashboard!$B32,'Solid-Results'!AP:AP,"Green")</f>
        <v>33</v>
      </c>
      <c r="AU32" s="54">
        <f t="shared" si="14"/>
        <v>0.63461538461538458</v>
      </c>
      <c r="AV32" s="34">
        <f>COUNTIFS('Solid-Results'!W:W,"&gt;="&amp;Dashboard!$A32,'Solid-Results'!W:W,"&lt;="&amp;Dashboard!$B32)</f>
        <v>37</v>
      </c>
      <c r="AW32" s="34">
        <f>COUNTIFS('Solid-Results'!W:W,"&gt;="&amp;Dashboard!$A32,'Solid-Results'!W:W,"&lt;="&amp;Dashboard!$B32,'Solid-Results'!AQ:AQ,"Green")</f>
        <v>17</v>
      </c>
      <c r="AX32" s="54">
        <f t="shared" si="15"/>
        <v>0.45945945945945948</v>
      </c>
      <c r="AZ32" s="40">
        <f t="shared" si="18"/>
        <v>50.01</v>
      </c>
      <c r="BA32" s="39">
        <f t="shared" si="19"/>
        <v>55</v>
      </c>
      <c r="BB32" s="35">
        <f>IFERROR(D32/C32,0)</f>
        <v>0.40625</v>
      </c>
      <c r="BC32" s="35">
        <f>IFERROR(G32/F32,0)</f>
        <v>0</v>
      </c>
      <c r="BD32" s="35">
        <f>IFERROR(J32/I32,0)</f>
        <v>0.5</v>
      </c>
      <c r="BE32" s="35">
        <f>IFERROR(M32/L32,0)</f>
        <v>0.55555555555555558</v>
      </c>
      <c r="BF32" s="35">
        <f>IFERROR(P32/O32,0)</f>
        <v>0.5490196078431373</v>
      </c>
      <c r="BG32" s="35">
        <f>IFERROR(S32/R32,0)</f>
        <v>0</v>
      </c>
      <c r="BH32" s="35">
        <f>IFERROR(V32/U32,0)</f>
        <v>0.75</v>
      </c>
      <c r="BI32" s="35">
        <f>IFERROR(Y32/X32,0)</f>
        <v>0.48936170212765956</v>
      </c>
      <c r="BJ32" s="35">
        <f>IFERROR(AB32/AA32,0)</f>
        <v>0</v>
      </c>
      <c r="BK32" s="35">
        <f>IFERROR(AE32/AD32,0)</f>
        <v>0.5</v>
      </c>
      <c r="BL32" s="35">
        <f>IFERROR(AH32/AG32,0)</f>
        <v>0.6</v>
      </c>
      <c r="BM32" s="35">
        <f>IFERROR(AK32/AJ32,0)</f>
        <v>0.45945945945945948</v>
      </c>
      <c r="BN32" s="35">
        <f>IFERROR(AN32/AM32,0)</f>
        <v>0.37142857142857144</v>
      </c>
      <c r="BO32" s="35">
        <f>IFERROR(AQ32/AP32,0)</f>
        <v>0.66666666666666663</v>
      </c>
      <c r="BP32" s="35">
        <f>IFERROR(AT32/AS32,0)</f>
        <v>0.63461538461538458</v>
      </c>
      <c r="BQ32" s="35">
        <f>IFERROR(AW32/AV32,0)</f>
        <v>0.45945945945945948</v>
      </c>
    </row>
    <row r="33" spans="1:69" x14ac:dyDescent="0.2">
      <c r="A33" s="40">
        <f t="shared" si="16"/>
        <v>55.01</v>
      </c>
      <c r="B33" s="39">
        <f t="shared" si="17"/>
        <v>60</v>
      </c>
      <c r="C33" s="34">
        <f>COUNTIFS('Solid-Results'!H:H,"&gt;="&amp;Dashboard!$A33,'Solid-Results'!H:H,"&lt;="&amp;Dashboard!$B33)</f>
        <v>19</v>
      </c>
      <c r="D33" s="34">
        <f>COUNTIFS('Solid-Results'!H:H,"&gt;="&amp;Dashboard!$A33,'Solid-Results'!H:H,"&lt;="&amp;Dashboard!$B33,'Solid-Results'!AB:AB,"Green")</f>
        <v>8</v>
      </c>
      <c r="E33" s="54">
        <f t="shared" si="0"/>
        <v>0.42105263157894735</v>
      </c>
      <c r="F33" s="34">
        <f>COUNTIFS('Solid-Results'!I:I,"&gt;="&amp;Dashboard!$A33,'Solid-Results'!I:I,"&lt;="&amp;Dashboard!$B33)</f>
        <v>0</v>
      </c>
      <c r="G33" s="34">
        <f>COUNTIFS('Solid-Results'!I:I,"&gt;="&amp;Dashboard!$A33,'Solid-Results'!I:I,"&lt;="&amp;Dashboard!$B33,'Solid-Results'!AC:AC,"Green")</f>
        <v>0</v>
      </c>
      <c r="H33" s="54">
        <f t="shared" si="1"/>
        <v>0</v>
      </c>
      <c r="I33" s="34">
        <f>COUNTIFS('Solid-Results'!J:J,"&gt;="&amp;Dashboard!$A33,'Solid-Results'!J:J,"&lt;="&amp;Dashboard!$B33)</f>
        <v>0</v>
      </c>
      <c r="J33" s="34">
        <f>COUNTIFS('Solid-Results'!J:J,"&gt;="&amp;Dashboard!$A33,'Solid-Results'!J:J,"&lt;="&amp;Dashboard!$B33,'Solid-Results'!AD:AD,"Green")</f>
        <v>0</v>
      </c>
      <c r="K33" s="54">
        <f t="shared" si="2"/>
        <v>0</v>
      </c>
      <c r="L33" s="34">
        <f>COUNTIFS('Solid-Results'!K:K,"&gt;="&amp;Dashboard!$A33,'Solid-Results'!K:K,"&lt;="&amp;Dashboard!$B33)</f>
        <v>14</v>
      </c>
      <c r="M33" s="34">
        <f>COUNTIFS('Solid-Results'!K:K,"&gt;="&amp;Dashboard!$A33,'Solid-Results'!K:K,"&lt;="&amp;Dashboard!$B33,'Solid-Results'!AE:AE,"Green")</f>
        <v>11</v>
      </c>
      <c r="N33" s="54">
        <f t="shared" si="3"/>
        <v>0.7857142857142857</v>
      </c>
      <c r="O33" s="34">
        <f>COUNTIFS('Solid-Results'!L:L,"&gt;="&amp;Dashboard!$A33,'Solid-Results'!L:L,"&lt;="&amp;Dashboard!$B33)</f>
        <v>71</v>
      </c>
      <c r="P33" s="34">
        <f>COUNTIFS('Solid-Results'!L:L,"&gt;="&amp;Dashboard!$A33,'Solid-Results'!L:L,"&lt;="&amp;Dashboard!$B33,'Solid-Results'!AF:AF,"Green")</f>
        <v>36</v>
      </c>
      <c r="Q33" s="54">
        <f t="shared" si="4"/>
        <v>0.50704225352112675</v>
      </c>
      <c r="R33" s="34">
        <f>COUNTIFS('Solid-Results'!M:M,"&gt;="&amp;Dashboard!$A33,'Solid-Results'!M:M,"&lt;="&amp;Dashboard!$B33)</f>
        <v>0</v>
      </c>
      <c r="S33" s="34">
        <f>COUNTIFS('Solid-Results'!M:M,"&gt;="&amp;Dashboard!$A33,'Solid-Results'!M:M,"&lt;="&amp;Dashboard!$B33,'Solid-Results'!AG:AG,"Green")</f>
        <v>0</v>
      </c>
      <c r="T33" s="54">
        <f t="shared" si="5"/>
        <v>0</v>
      </c>
      <c r="U33" s="34">
        <f>COUNTIFS('Solid-Results'!N:N,"&gt;="&amp;Dashboard!$A33,'Solid-Results'!N:N,"&lt;="&amp;Dashboard!$B33)</f>
        <v>3</v>
      </c>
      <c r="V33" s="34">
        <f>COUNTIFS('Solid-Results'!N:N,"&gt;="&amp;Dashboard!$A33,'Solid-Results'!N:N,"&lt;="&amp;Dashboard!$B33,'Solid-Results'!AH:AH,"Green")</f>
        <v>1</v>
      </c>
      <c r="W33" s="54">
        <f t="shared" si="6"/>
        <v>0.33333333333333331</v>
      </c>
      <c r="X33" s="34">
        <f>COUNTIFS('Solid-Results'!O:O,"&gt;="&amp;Dashboard!$A33,'Solid-Results'!O:O,"&lt;="&amp;Dashboard!$B33)</f>
        <v>17</v>
      </c>
      <c r="Y33" s="34">
        <f>COUNTIFS('Solid-Results'!O:O,"&gt;="&amp;Dashboard!$A33,'Solid-Results'!O:O,"&lt;="&amp;Dashboard!$B33,'Solid-Results'!AI:AI,"Green")</f>
        <v>11</v>
      </c>
      <c r="Z33" s="54">
        <f t="shared" si="7"/>
        <v>0.6470588235294118</v>
      </c>
      <c r="AA33" s="34">
        <f>COUNTIFS('Solid-Results'!P:P,"&gt;="&amp;Dashboard!$A33,'Solid-Results'!P:P,"&lt;="&amp;Dashboard!$B33)</f>
        <v>0</v>
      </c>
      <c r="AB33" s="34">
        <f>COUNTIFS('Solid-Results'!P:P,"&gt;="&amp;Dashboard!$A33,'Solid-Results'!P:P,"&lt;="&amp;Dashboard!$B33,'Solid-Results'!AJ:AJ,"Green")</f>
        <v>0</v>
      </c>
      <c r="AC33" s="54">
        <f t="shared" si="8"/>
        <v>0</v>
      </c>
      <c r="AD33" s="34">
        <f>COUNTIFS('Solid-Results'!Q:Q,"&gt;="&amp;Dashboard!$A33,'Solid-Results'!Q:Q,"&lt;="&amp;Dashboard!$B33)</f>
        <v>33</v>
      </c>
      <c r="AE33" s="34">
        <f>COUNTIFS('Solid-Results'!Q:Q,"&gt;="&amp;Dashboard!$A33,'Solid-Results'!Q:Q,"&lt;="&amp;Dashboard!$B33,'Solid-Results'!AK:AK,"Green")</f>
        <v>16</v>
      </c>
      <c r="AF33" s="54">
        <f t="shared" si="9"/>
        <v>0.48484848484848486</v>
      </c>
      <c r="AG33" s="34">
        <f>COUNTIFS('Solid-Results'!R:R,"&gt;="&amp;Dashboard!$A33,'Solid-Results'!R:R,"&lt;="&amp;Dashboard!$B33)</f>
        <v>24</v>
      </c>
      <c r="AH33" s="34">
        <f>COUNTIFS('Solid-Results'!R:R,"&gt;="&amp;Dashboard!$A33,'Solid-Results'!R:R,"&lt;="&amp;Dashboard!$B33,'Solid-Results'!AL:AL,"Green")</f>
        <v>7</v>
      </c>
      <c r="AI33" s="54">
        <f t="shared" si="10"/>
        <v>0.29166666666666669</v>
      </c>
      <c r="AJ33" s="34">
        <f>COUNTIFS('Solid-Results'!S:S,"&gt;="&amp;Dashboard!$A33,'Solid-Results'!S:S,"&lt;="&amp;Dashboard!$B33)</f>
        <v>31</v>
      </c>
      <c r="AK33" s="34">
        <f>COUNTIFS('Solid-Results'!S:S,"&gt;="&amp;Dashboard!$A33,'Solid-Results'!S:S,"&lt;="&amp;Dashboard!$B33,'Solid-Results'!AM:AM,"Green")</f>
        <v>19</v>
      </c>
      <c r="AL33" s="54">
        <f t="shared" si="11"/>
        <v>0.61290322580645162</v>
      </c>
      <c r="AM33" s="34">
        <f>COUNTIFS('Solid-Results'!T:T,"&gt;="&amp;Dashboard!$A33,'Solid-Results'!T:T,"&lt;="&amp;Dashboard!$B33)</f>
        <v>34</v>
      </c>
      <c r="AN33" s="34">
        <f>COUNTIFS('Solid-Results'!T:T,"&gt;="&amp;Dashboard!$A33,'Solid-Results'!T:T,"&lt;="&amp;Dashboard!$B33,'Solid-Results'!AN:AN,"Green")</f>
        <v>15</v>
      </c>
      <c r="AO33" s="54">
        <f t="shared" si="12"/>
        <v>0.44117647058823528</v>
      </c>
      <c r="AP33" s="34">
        <f>COUNTIFS('Solid-Results'!U:U,"&gt;="&amp;Dashboard!$A33,'Solid-Results'!U:U,"&lt;="&amp;Dashboard!$B33)</f>
        <v>38</v>
      </c>
      <c r="AQ33" s="34">
        <f>COUNTIFS('Solid-Results'!U:U,"&gt;="&amp;Dashboard!$A33,'Solid-Results'!U:U,"&lt;="&amp;Dashboard!$B33,'Solid-Results'!AO:AO,"Green")</f>
        <v>28</v>
      </c>
      <c r="AR33" s="54">
        <f t="shared" si="13"/>
        <v>0.73684210526315785</v>
      </c>
      <c r="AS33" s="34">
        <f>COUNTIFS('Solid-Results'!V:V,"&gt;="&amp;Dashboard!$A33,'Solid-Results'!V:V,"&lt;="&amp;Dashboard!$B33)</f>
        <v>44</v>
      </c>
      <c r="AT33" s="34">
        <f>COUNTIFS('Solid-Results'!V:V,"&gt;="&amp;Dashboard!$A33,'Solid-Results'!V:V,"&lt;="&amp;Dashboard!$B33,'Solid-Results'!AP:AP,"Green")</f>
        <v>24</v>
      </c>
      <c r="AU33" s="54">
        <f t="shared" si="14"/>
        <v>0.54545454545454541</v>
      </c>
      <c r="AV33" s="34">
        <f>COUNTIFS('Solid-Results'!W:W,"&gt;="&amp;Dashboard!$A33,'Solid-Results'!W:W,"&lt;="&amp;Dashboard!$B33)</f>
        <v>24</v>
      </c>
      <c r="AW33" s="34">
        <f>COUNTIFS('Solid-Results'!W:W,"&gt;="&amp;Dashboard!$A33,'Solid-Results'!W:W,"&lt;="&amp;Dashboard!$B33,'Solid-Results'!AQ:AQ,"Green")</f>
        <v>10</v>
      </c>
      <c r="AX33" s="54">
        <f t="shared" si="15"/>
        <v>0.41666666666666669</v>
      </c>
      <c r="AZ33" s="40">
        <f t="shared" si="18"/>
        <v>55.01</v>
      </c>
      <c r="BA33" s="39">
        <f t="shared" si="19"/>
        <v>60</v>
      </c>
      <c r="BB33" s="35">
        <f>IFERROR(D33/C33,0)</f>
        <v>0.42105263157894735</v>
      </c>
      <c r="BC33" s="35">
        <f>IFERROR(G33/F33,0)</f>
        <v>0</v>
      </c>
      <c r="BD33" s="35">
        <f>IFERROR(J33/I33,0)</f>
        <v>0</v>
      </c>
      <c r="BE33" s="35">
        <f>IFERROR(M33/L33,0)</f>
        <v>0.7857142857142857</v>
      </c>
      <c r="BF33" s="35">
        <f>IFERROR(P33/O33,0)</f>
        <v>0.50704225352112675</v>
      </c>
      <c r="BG33" s="35">
        <f>IFERROR(S33/R33,0)</f>
        <v>0</v>
      </c>
      <c r="BH33" s="35">
        <f>IFERROR(V33/U33,0)</f>
        <v>0.33333333333333331</v>
      </c>
      <c r="BI33" s="35">
        <f>IFERROR(Y33/X33,0)</f>
        <v>0.6470588235294118</v>
      </c>
      <c r="BJ33" s="35">
        <f>IFERROR(AB33/AA33,0)</f>
        <v>0</v>
      </c>
      <c r="BK33" s="35">
        <f>IFERROR(AE33/AD33,0)</f>
        <v>0.48484848484848486</v>
      </c>
      <c r="BL33" s="35">
        <f>IFERROR(AH33/AG33,0)</f>
        <v>0.29166666666666669</v>
      </c>
      <c r="BM33" s="35">
        <f>IFERROR(AK33/AJ33,0)</f>
        <v>0.61290322580645162</v>
      </c>
      <c r="BN33" s="35">
        <f>IFERROR(AN33/AM33,0)</f>
        <v>0.44117647058823528</v>
      </c>
      <c r="BO33" s="35">
        <f>IFERROR(AQ33/AP33,0)</f>
        <v>0.73684210526315785</v>
      </c>
      <c r="BP33" s="35">
        <f>IFERROR(AT33/AS33,0)</f>
        <v>0.54545454545454541</v>
      </c>
      <c r="BQ33" s="35">
        <f>IFERROR(AW33/AV33,0)</f>
        <v>0.41666666666666669</v>
      </c>
    </row>
    <row r="34" spans="1:69" x14ac:dyDescent="0.2">
      <c r="A34" s="40">
        <f t="shared" si="16"/>
        <v>60.01</v>
      </c>
      <c r="B34" s="39">
        <f t="shared" si="17"/>
        <v>65</v>
      </c>
      <c r="C34" s="34">
        <f>COUNTIFS('Solid-Results'!H:H,"&gt;="&amp;Dashboard!$A34,'Solid-Results'!H:H,"&lt;="&amp;Dashboard!$B34)</f>
        <v>12</v>
      </c>
      <c r="D34" s="34">
        <f>COUNTIFS('Solid-Results'!H:H,"&gt;="&amp;Dashboard!$A34,'Solid-Results'!H:H,"&lt;="&amp;Dashboard!$B34,'Solid-Results'!AB:AB,"Green")</f>
        <v>7</v>
      </c>
      <c r="E34" s="54">
        <f t="shared" si="0"/>
        <v>0.58333333333333337</v>
      </c>
      <c r="F34" s="34">
        <f>COUNTIFS('Solid-Results'!I:I,"&gt;="&amp;Dashboard!$A34,'Solid-Results'!I:I,"&lt;="&amp;Dashboard!$B34)</f>
        <v>0</v>
      </c>
      <c r="G34" s="34">
        <f>COUNTIFS('Solid-Results'!I:I,"&gt;="&amp;Dashboard!$A34,'Solid-Results'!I:I,"&lt;="&amp;Dashboard!$B34,'Solid-Results'!AC:AC,"Green")</f>
        <v>0</v>
      </c>
      <c r="H34" s="54">
        <f t="shared" si="1"/>
        <v>0</v>
      </c>
      <c r="I34" s="34">
        <f>COUNTIFS('Solid-Results'!J:J,"&gt;="&amp;Dashboard!$A34,'Solid-Results'!J:J,"&lt;="&amp;Dashboard!$B34)</f>
        <v>1</v>
      </c>
      <c r="J34" s="34">
        <f>COUNTIFS('Solid-Results'!J:J,"&gt;="&amp;Dashboard!$A34,'Solid-Results'!J:J,"&lt;="&amp;Dashboard!$B34,'Solid-Results'!AD:AD,"Green")</f>
        <v>1</v>
      </c>
      <c r="K34" s="54">
        <f t="shared" si="2"/>
        <v>1</v>
      </c>
      <c r="L34" s="34">
        <f>COUNTIFS('Solid-Results'!K:K,"&gt;="&amp;Dashboard!$A34,'Solid-Results'!K:K,"&lt;="&amp;Dashboard!$B34)</f>
        <v>38</v>
      </c>
      <c r="M34" s="34">
        <f>COUNTIFS('Solid-Results'!K:K,"&gt;="&amp;Dashboard!$A34,'Solid-Results'!K:K,"&lt;="&amp;Dashboard!$B34,'Solid-Results'!AE:AE,"Green")</f>
        <v>26</v>
      </c>
      <c r="N34" s="54">
        <f t="shared" si="3"/>
        <v>0.68421052631578949</v>
      </c>
      <c r="O34" s="34">
        <f>COUNTIFS('Solid-Results'!L:L,"&gt;="&amp;Dashboard!$A34,'Solid-Results'!L:L,"&lt;="&amp;Dashboard!$B34)</f>
        <v>53</v>
      </c>
      <c r="P34" s="34">
        <f>COUNTIFS('Solid-Results'!L:L,"&gt;="&amp;Dashboard!$A34,'Solid-Results'!L:L,"&lt;="&amp;Dashboard!$B34,'Solid-Results'!AF:AF,"Green")</f>
        <v>30</v>
      </c>
      <c r="Q34" s="54">
        <f t="shared" si="4"/>
        <v>0.56603773584905659</v>
      </c>
      <c r="R34" s="34">
        <f>COUNTIFS('Solid-Results'!M:M,"&gt;="&amp;Dashboard!$A34,'Solid-Results'!M:M,"&lt;="&amp;Dashboard!$B34)</f>
        <v>16</v>
      </c>
      <c r="S34" s="34">
        <f>COUNTIFS('Solid-Results'!M:M,"&gt;="&amp;Dashboard!$A34,'Solid-Results'!M:M,"&lt;="&amp;Dashboard!$B34,'Solid-Results'!AG:AG,"Green")</f>
        <v>8</v>
      </c>
      <c r="T34" s="54">
        <f t="shared" si="5"/>
        <v>0.5</v>
      </c>
      <c r="U34" s="34">
        <f>COUNTIFS('Solid-Results'!N:N,"&gt;="&amp;Dashboard!$A34,'Solid-Results'!N:N,"&lt;="&amp;Dashboard!$B34)</f>
        <v>2</v>
      </c>
      <c r="V34" s="34">
        <f>COUNTIFS('Solid-Results'!N:N,"&gt;="&amp;Dashboard!$A34,'Solid-Results'!N:N,"&lt;="&amp;Dashboard!$B34,'Solid-Results'!AH:AH,"Green")</f>
        <v>1</v>
      </c>
      <c r="W34" s="54">
        <f t="shared" si="6"/>
        <v>0.5</v>
      </c>
      <c r="X34" s="34">
        <f>COUNTIFS('Solid-Results'!O:O,"&gt;="&amp;Dashboard!$A34,'Solid-Results'!O:O,"&lt;="&amp;Dashboard!$B34)</f>
        <v>2</v>
      </c>
      <c r="Y34" s="34">
        <f>COUNTIFS('Solid-Results'!O:O,"&gt;="&amp;Dashboard!$A34,'Solid-Results'!O:O,"&lt;="&amp;Dashboard!$B34,'Solid-Results'!AI:AI,"Green")</f>
        <v>1</v>
      </c>
      <c r="Z34" s="54">
        <f t="shared" si="7"/>
        <v>0.5</v>
      </c>
      <c r="AA34" s="34">
        <f>COUNTIFS('Solid-Results'!P:P,"&gt;="&amp;Dashboard!$A34,'Solid-Results'!P:P,"&lt;="&amp;Dashboard!$B34)</f>
        <v>0</v>
      </c>
      <c r="AB34" s="34">
        <f>COUNTIFS('Solid-Results'!P:P,"&gt;="&amp;Dashboard!$A34,'Solid-Results'!P:P,"&lt;="&amp;Dashboard!$B34,'Solid-Results'!AJ:AJ,"Green")</f>
        <v>0</v>
      </c>
      <c r="AC34" s="54">
        <f t="shared" si="8"/>
        <v>0</v>
      </c>
      <c r="AD34" s="34">
        <f>COUNTIFS('Solid-Results'!Q:Q,"&gt;="&amp;Dashboard!$A34,'Solid-Results'!Q:Q,"&lt;="&amp;Dashboard!$B34)</f>
        <v>43</v>
      </c>
      <c r="AE34" s="34">
        <f>COUNTIFS('Solid-Results'!Q:Q,"&gt;="&amp;Dashboard!$A34,'Solid-Results'!Q:Q,"&lt;="&amp;Dashboard!$B34,'Solid-Results'!AK:AK,"Green")</f>
        <v>30</v>
      </c>
      <c r="AF34" s="54">
        <f t="shared" si="9"/>
        <v>0.69767441860465118</v>
      </c>
      <c r="AG34" s="34">
        <f>COUNTIFS('Solid-Results'!R:R,"&gt;="&amp;Dashboard!$A34,'Solid-Results'!R:R,"&lt;="&amp;Dashboard!$B34)</f>
        <v>24</v>
      </c>
      <c r="AH34" s="34">
        <f>COUNTIFS('Solid-Results'!R:R,"&gt;="&amp;Dashboard!$A34,'Solid-Results'!R:R,"&lt;="&amp;Dashboard!$B34,'Solid-Results'!AL:AL,"Green")</f>
        <v>10</v>
      </c>
      <c r="AI34" s="54">
        <f t="shared" si="10"/>
        <v>0.41666666666666669</v>
      </c>
      <c r="AJ34" s="34">
        <f>COUNTIFS('Solid-Results'!S:S,"&gt;="&amp;Dashboard!$A34,'Solid-Results'!S:S,"&lt;="&amp;Dashboard!$B34)</f>
        <v>27</v>
      </c>
      <c r="AK34" s="34">
        <f>COUNTIFS('Solid-Results'!S:S,"&gt;="&amp;Dashboard!$A34,'Solid-Results'!S:S,"&lt;="&amp;Dashboard!$B34,'Solid-Results'!AM:AM,"Green")</f>
        <v>18</v>
      </c>
      <c r="AL34" s="54">
        <f t="shared" si="11"/>
        <v>0.66666666666666663</v>
      </c>
      <c r="AM34" s="34">
        <f>COUNTIFS('Solid-Results'!T:T,"&gt;="&amp;Dashboard!$A34,'Solid-Results'!T:T,"&lt;="&amp;Dashboard!$B34)</f>
        <v>22</v>
      </c>
      <c r="AN34" s="34">
        <f>COUNTIFS('Solid-Results'!T:T,"&gt;="&amp;Dashboard!$A34,'Solid-Results'!T:T,"&lt;="&amp;Dashboard!$B34,'Solid-Results'!AN:AN,"Green")</f>
        <v>13</v>
      </c>
      <c r="AO34" s="54">
        <f t="shared" si="12"/>
        <v>0.59090909090909094</v>
      </c>
      <c r="AP34" s="34">
        <f>COUNTIFS('Solid-Results'!U:U,"&gt;="&amp;Dashboard!$A34,'Solid-Results'!U:U,"&lt;="&amp;Dashboard!$B34)</f>
        <v>32</v>
      </c>
      <c r="AQ34" s="34">
        <f>COUNTIFS('Solid-Results'!U:U,"&gt;="&amp;Dashboard!$A34,'Solid-Results'!U:U,"&lt;="&amp;Dashboard!$B34,'Solid-Results'!AO:AO,"Green")</f>
        <v>25</v>
      </c>
      <c r="AR34" s="54">
        <f t="shared" si="13"/>
        <v>0.78125</v>
      </c>
      <c r="AS34" s="34">
        <f>COUNTIFS('Solid-Results'!V:V,"&gt;="&amp;Dashboard!$A34,'Solid-Results'!V:V,"&lt;="&amp;Dashboard!$B34)</f>
        <v>37</v>
      </c>
      <c r="AT34" s="34">
        <f>COUNTIFS('Solid-Results'!V:V,"&gt;="&amp;Dashboard!$A34,'Solid-Results'!V:V,"&lt;="&amp;Dashboard!$B34,'Solid-Results'!AP:AP,"Green")</f>
        <v>21</v>
      </c>
      <c r="AU34" s="54">
        <f t="shared" si="14"/>
        <v>0.56756756756756754</v>
      </c>
      <c r="AV34" s="34">
        <f>COUNTIFS('Solid-Results'!W:W,"&gt;="&amp;Dashboard!$A34,'Solid-Results'!W:W,"&lt;="&amp;Dashboard!$B34)</f>
        <v>34</v>
      </c>
      <c r="AW34" s="34">
        <f>COUNTIFS('Solid-Results'!W:W,"&gt;="&amp;Dashboard!$A34,'Solid-Results'!W:W,"&lt;="&amp;Dashboard!$B34,'Solid-Results'!AQ:AQ,"Green")</f>
        <v>21</v>
      </c>
      <c r="AX34" s="54">
        <f t="shared" si="15"/>
        <v>0.61764705882352944</v>
      </c>
      <c r="AZ34" s="40">
        <f t="shared" si="18"/>
        <v>60.01</v>
      </c>
      <c r="BA34" s="39">
        <f t="shared" si="19"/>
        <v>65</v>
      </c>
      <c r="BB34" s="35">
        <f>IFERROR(D34/C34,0)</f>
        <v>0.58333333333333337</v>
      </c>
      <c r="BC34" s="35">
        <f>IFERROR(G34/F34,0)</f>
        <v>0</v>
      </c>
      <c r="BD34" s="35">
        <f>IFERROR(J34/I34,0)</f>
        <v>1</v>
      </c>
      <c r="BE34" s="35">
        <f>IFERROR(M34/L34,0)</f>
        <v>0.68421052631578949</v>
      </c>
      <c r="BF34" s="35">
        <f>IFERROR(P34/O34,0)</f>
        <v>0.56603773584905659</v>
      </c>
      <c r="BG34" s="35">
        <f>IFERROR(S34/R34,0)</f>
        <v>0.5</v>
      </c>
      <c r="BH34" s="35">
        <f>IFERROR(V34/U34,0)</f>
        <v>0.5</v>
      </c>
      <c r="BI34" s="35">
        <f>IFERROR(Y34/X34,0)</f>
        <v>0.5</v>
      </c>
      <c r="BJ34" s="35">
        <f>IFERROR(AB34/AA34,0)</f>
        <v>0</v>
      </c>
      <c r="BK34" s="35">
        <f>IFERROR(AE34/AD34,0)</f>
        <v>0.69767441860465118</v>
      </c>
      <c r="BL34" s="35">
        <f>IFERROR(AH34/AG34,0)</f>
        <v>0.41666666666666669</v>
      </c>
      <c r="BM34" s="35">
        <f>IFERROR(AK34/AJ34,0)</f>
        <v>0.66666666666666663</v>
      </c>
      <c r="BN34" s="35">
        <f>IFERROR(AN34/AM34,0)</f>
        <v>0.59090909090909094</v>
      </c>
      <c r="BO34" s="35">
        <f>IFERROR(AQ34/AP34,0)</f>
        <v>0.78125</v>
      </c>
      <c r="BP34" s="35">
        <f>IFERROR(AT34/AS34,0)</f>
        <v>0.56756756756756754</v>
      </c>
      <c r="BQ34" s="35">
        <f>IFERROR(AW34/AV34,0)</f>
        <v>0.61764705882352944</v>
      </c>
    </row>
    <row r="35" spans="1:69" x14ac:dyDescent="0.2">
      <c r="A35" s="40">
        <f t="shared" si="16"/>
        <v>65.010000000000005</v>
      </c>
      <c r="B35" s="39">
        <f t="shared" si="17"/>
        <v>70</v>
      </c>
      <c r="C35" s="34">
        <f>COUNTIFS('Solid-Results'!H:H,"&gt;="&amp;Dashboard!$A35,'Solid-Results'!H:H,"&lt;="&amp;Dashboard!$B35)</f>
        <v>4</v>
      </c>
      <c r="D35" s="34">
        <f>COUNTIFS('Solid-Results'!H:H,"&gt;="&amp;Dashboard!$A35,'Solid-Results'!H:H,"&lt;="&amp;Dashboard!$B35,'Solid-Results'!AB:AB,"Green")</f>
        <v>3</v>
      </c>
      <c r="E35" s="54">
        <f t="shared" si="0"/>
        <v>0.75</v>
      </c>
      <c r="F35" s="34">
        <f>COUNTIFS('Solid-Results'!I:I,"&gt;="&amp;Dashboard!$A35,'Solid-Results'!I:I,"&lt;="&amp;Dashboard!$B35)</f>
        <v>0</v>
      </c>
      <c r="G35" s="34">
        <f>COUNTIFS('Solid-Results'!I:I,"&gt;="&amp;Dashboard!$A35,'Solid-Results'!I:I,"&lt;="&amp;Dashboard!$B35,'Solid-Results'!AC:AC,"Green")</f>
        <v>0</v>
      </c>
      <c r="H35" s="54">
        <f t="shared" si="1"/>
        <v>0</v>
      </c>
      <c r="I35" s="34">
        <f>COUNTIFS('Solid-Results'!J:J,"&gt;="&amp;Dashboard!$A35,'Solid-Results'!J:J,"&lt;="&amp;Dashboard!$B35)</f>
        <v>1</v>
      </c>
      <c r="J35" s="34">
        <f>COUNTIFS('Solid-Results'!J:J,"&gt;="&amp;Dashboard!$A35,'Solid-Results'!J:J,"&lt;="&amp;Dashboard!$B35,'Solid-Results'!AD:AD,"Green")</f>
        <v>1</v>
      </c>
      <c r="K35" s="54">
        <f t="shared" si="2"/>
        <v>1</v>
      </c>
      <c r="L35" s="34">
        <f>COUNTIFS('Solid-Results'!K:K,"&gt;="&amp;Dashboard!$A35,'Solid-Results'!K:K,"&lt;="&amp;Dashboard!$B35)</f>
        <v>52</v>
      </c>
      <c r="M35" s="34">
        <f>COUNTIFS('Solid-Results'!K:K,"&gt;="&amp;Dashboard!$A35,'Solid-Results'!K:K,"&lt;="&amp;Dashboard!$B35,'Solid-Results'!AE:AE,"Green")</f>
        <v>31</v>
      </c>
      <c r="N35" s="54">
        <f t="shared" si="3"/>
        <v>0.59615384615384615</v>
      </c>
      <c r="O35" s="34">
        <f>COUNTIFS('Solid-Results'!L:L,"&gt;="&amp;Dashboard!$A35,'Solid-Results'!L:L,"&lt;="&amp;Dashboard!$B35)</f>
        <v>33</v>
      </c>
      <c r="P35" s="34">
        <f>COUNTIFS('Solid-Results'!L:L,"&gt;="&amp;Dashboard!$A35,'Solid-Results'!L:L,"&lt;="&amp;Dashboard!$B35,'Solid-Results'!AF:AF,"Green")</f>
        <v>18</v>
      </c>
      <c r="Q35" s="54">
        <f t="shared" si="4"/>
        <v>0.54545454545454541</v>
      </c>
      <c r="R35" s="34">
        <f>COUNTIFS('Solid-Results'!M:M,"&gt;="&amp;Dashboard!$A35,'Solid-Results'!M:M,"&lt;="&amp;Dashboard!$B35)</f>
        <v>74</v>
      </c>
      <c r="S35" s="34">
        <f>COUNTIFS('Solid-Results'!M:M,"&gt;="&amp;Dashboard!$A35,'Solid-Results'!M:M,"&lt;="&amp;Dashboard!$B35,'Solid-Results'!AG:AG,"Green")</f>
        <v>44</v>
      </c>
      <c r="T35" s="54">
        <f t="shared" si="5"/>
        <v>0.59459459459459463</v>
      </c>
      <c r="U35" s="34">
        <f>COUNTIFS('Solid-Results'!N:N,"&gt;="&amp;Dashboard!$A35,'Solid-Results'!N:N,"&lt;="&amp;Dashboard!$B35)</f>
        <v>0</v>
      </c>
      <c r="V35" s="34">
        <f>COUNTIFS('Solid-Results'!N:N,"&gt;="&amp;Dashboard!$A35,'Solid-Results'!N:N,"&lt;="&amp;Dashboard!$B35,'Solid-Results'!AH:AH,"Green")</f>
        <v>0</v>
      </c>
      <c r="W35" s="54">
        <f t="shared" si="6"/>
        <v>0</v>
      </c>
      <c r="X35" s="34">
        <f>COUNTIFS('Solid-Results'!O:O,"&gt;="&amp;Dashboard!$A35,'Solid-Results'!O:O,"&lt;="&amp;Dashboard!$B35)</f>
        <v>0</v>
      </c>
      <c r="Y35" s="34">
        <f>COUNTIFS('Solid-Results'!O:O,"&gt;="&amp;Dashboard!$A35,'Solid-Results'!O:O,"&lt;="&amp;Dashboard!$B35,'Solid-Results'!AI:AI,"Green")</f>
        <v>0</v>
      </c>
      <c r="Z35" s="54">
        <f t="shared" si="7"/>
        <v>0</v>
      </c>
      <c r="AA35" s="34">
        <f>COUNTIFS('Solid-Results'!P:P,"&gt;="&amp;Dashboard!$A35,'Solid-Results'!P:P,"&lt;="&amp;Dashboard!$B35)</f>
        <v>0</v>
      </c>
      <c r="AB35" s="34">
        <f>COUNTIFS('Solid-Results'!P:P,"&gt;="&amp;Dashboard!$A35,'Solid-Results'!P:P,"&lt;="&amp;Dashboard!$B35,'Solid-Results'!AJ:AJ,"Green")</f>
        <v>0</v>
      </c>
      <c r="AC35" s="54">
        <f t="shared" si="8"/>
        <v>0</v>
      </c>
      <c r="AD35" s="34">
        <f>COUNTIFS('Solid-Results'!Q:Q,"&gt;="&amp;Dashboard!$A35,'Solid-Results'!Q:Q,"&lt;="&amp;Dashboard!$B35)</f>
        <v>63</v>
      </c>
      <c r="AE35" s="34">
        <f>COUNTIFS('Solid-Results'!Q:Q,"&gt;="&amp;Dashboard!$A35,'Solid-Results'!Q:Q,"&lt;="&amp;Dashboard!$B35,'Solid-Results'!AK:AK,"Green")</f>
        <v>42</v>
      </c>
      <c r="AF35" s="54">
        <f t="shared" si="9"/>
        <v>0.66666666666666663</v>
      </c>
      <c r="AG35" s="34">
        <f>COUNTIFS('Solid-Results'!R:R,"&gt;="&amp;Dashboard!$A35,'Solid-Results'!R:R,"&lt;="&amp;Dashboard!$B35)</f>
        <v>33</v>
      </c>
      <c r="AH35" s="34">
        <f>COUNTIFS('Solid-Results'!R:R,"&gt;="&amp;Dashboard!$A35,'Solid-Results'!R:R,"&lt;="&amp;Dashboard!$B35,'Solid-Results'!AL:AL,"Green")</f>
        <v>22</v>
      </c>
      <c r="AI35" s="54">
        <f t="shared" si="10"/>
        <v>0.66666666666666663</v>
      </c>
      <c r="AJ35" s="34">
        <f>COUNTIFS('Solid-Results'!S:S,"&gt;="&amp;Dashboard!$A35,'Solid-Results'!S:S,"&lt;="&amp;Dashboard!$B35)</f>
        <v>21</v>
      </c>
      <c r="AK35" s="34">
        <f>COUNTIFS('Solid-Results'!S:S,"&gt;="&amp;Dashboard!$A35,'Solid-Results'!S:S,"&lt;="&amp;Dashboard!$B35,'Solid-Results'!AM:AM,"Green")</f>
        <v>10</v>
      </c>
      <c r="AL35" s="54">
        <f t="shared" si="11"/>
        <v>0.47619047619047616</v>
      </c>
      <c r="AM35" s="34">
        <f>COUNTIFS('Solid-Results'!T:T,"&gt;="&amp;Dashboard!$A35,'Solid-Results'!T:T,"&lt;="&amp;Dashboard!$B35)</f>
        <v>28</v>
      </c>
      <c r="AN35" s="34">
        <f>COUNTIFS('Solid-Results'!T:T,"&gt;="&amp;Dashboard!$A35,'Solid-Results'!T:T,"&lt;="&amp;Dashboard!$B35,'Solid-Results'!AN:AN,"Green")</f>
        <v>16</v>
      </c>
      <c r="AO35" s="54">
        <f t="shared" si="12"/>
        <v>0.5714285714285714</v>
      </c>
      <c r="AP35" s="34">
        <f>COUNTIFS('Solid-Results'!U:U,"&gt;="&amp;Dashboard!$A35,'Solid-Results'!U:U,"&lt;="&amp;Dashboard!$B35)</f>
        <v>24</v>
      </c>
      <c r="AQ35" s="34">
        <f>COUNTIFS('Solid-Results'!U:U,"&gt;="&amp;Dashboard!$A35,'Solid-Results'!U:U,"&lt;="&amp;Dashboard!$B35,'Solid-Results'!AO:AO,"Green")</f>
        <v>20</v>
      </c>
      <c r="AR35" s="54">
        <f t="shared" si="13"/>
        <v>0.83333333333333337</v>
      </c>
      <c r="AS35" s="34">
        <f>COUNTIFS('Solid-Results'!V:V,"&gt;="&amp;Dashboard!$A35,'Solid-Results'!V:V,"&lt;="&amp;Dashboard!$B35)</f>
        <v>28</v>
      </c>
      <c r="AT35" s="34">
        <f>COUNTIFS('Solid-Results'!V:V,"&gt;="&amp;Dashboard!$A35,'Solid-Results'!V:V,"&lt;="&amp;Dashboard!$B35,'Solid-Results'!AP:AP,"Green")</f>
        <v>13</v>
      </c>
      <c r="AU35" s="54">
        <f t="shared" si="14"/>
        <v>0.4642857142857143</v>
      </c>
      <c r="AV35" s="34">
        <f>COUNTIFS('Solid-Results'!W:W,"&gt;="&amp;Dashboard!$A35,'Solid-Results'!W:W,"&lt;="&amp;Dashboard!$B35)</f>
        <v>11</v>
      </c>
      <c r="AW35" s="34">
        <f>COUNTIFS('Solid-Results'!W:W,"&gt;="&amp;Dashboard!$A35,'Solid-Results'!W:W,"&lt;="&amp;Dashboard!$B35,'Solid-Results'!AQ:AQ,"Green")</f>
        <v>5</v>
      </c>
      <c r="AX35" s="54">
        <f t="shared" si="15"/>
        <v>0.45454545454545453</v>
      </c>
      <c r="AZ35" s="40">
        <f t="shared" si="18"/>
        <v>65.010000000000005</v>
      </c>
      <c r="BA35" s="39">
        <f t="shared" si="19"/>
        <v>70</v>
      </c>
      <c r="BB35" s="35">
        <f>IFERROR(D35/C35,0)</f>
        <v>0.75</v>
      </c>
      <c r="BC35" s="35">
        <f>IFERROR(G35/F35,0)</f>
        <v>0</v>
      </c>
      <c r="BD35" s="35">
        <f>IFERROR(J35/I35,0)</f>
        <v>1</v>
      </c>
      <c r="BE35" s="35">
        <f>IFERROR(M35/L35,0)</f>
        <v>0.59615384615384615</v>
      </c>
      <c r="BF35" s="35">
        <f>IFERROR(P35/O35,0)</f>
        <v>0.54545454545454541</v>
      </c>
      <c r="BG35" s="35">
        <f>IFERROR(S35/R35,0)</f>
        <v>0.59459459459459463</v>
      </c>
      <c r="BH35" s="35">
        <f>IFERROR(V35/U35,0)</f>
        <v>0</v>
      </c>
      <c r="BI35" s="35">
        <f>IFERROR(Y35/X35,0)</f>
        <v>0</v>
      </c>
      <c r="BJ35" s="35">
        <f>IFERROR(AB35/AA35,0)</f>
        <v>0</v>
      </c>
      <c r="BK35" s="35">
        <f>IFERROR(AE35/AD35,0)</f>
        <v>0.66666666666666663</v>
      </c>
      <c r="BL35" s="35">
        <f>IFERROR(AH35/AG35,0)</f>
        <v>0.66666666666666663</v>
      </c>
      <c r="BM35" s="35">
        <f>IFERROR(AK35/AJ35,0)</f>
        <v>0.47619047619047616</v>
      </c>
      <c r="BN35" s="35">
        <f>IFERROR(AN35/AM35,0)</f>
        <v>0.5714285714285714</v>
      </c>
      <c r="BO35" s="35">
        <f>IFERROR(AQ35/AP35,0)</f>
        <v>0.83333333333333337</v>
      </c>
      <c r="BP35" s="35">
        <f>IFERROR(AT35/AS35,0)</f>
        <v>0.4642857142857143</v>
      </c>
      <c r="BQ35" s="35">
        <f>IFERROR(AW35/AV35,0)</f>
        <v>0.45454545454545453</v>
      </c>
    </row>
    <row r="36" spans="1:69" x14ac:dyDescent="0.2">
      <c r="A36" s="40">
        <f t="shared" si="16"/>
        <v>70.010000000000005</v>
      </c>
      <c r="B36" s="39">
        <f t="shared" si="17"/>
        <v>75</v>
      </c>
      <c r="C36" s="34">
        <f>COUNTIFS('Solid-Results'!H:H,"&gt;="&amp;Dashboard!$A36,'Solid-Results'!H:H,"&lt;="&amp;Dashboard!$B36)</f>
        <v>2</v>
      </c>
      <c r="D36" s="34">
        <f>COUNTIFS('Solid-Results'!H:H,"&gt;="&amp;Dashboard!$A36,'Solid-Results'!H:H,"&lt;="&amp;Dashboard!$B36,'Solid-Results'!AB:AB,"Green")</f>
        <v>2</v>
      </c>
      <c r="E36" s="54">
        <f t="shared" si="0"/>
        <v>1</v>
      </c>
      <c r="F36" s="34">
        <f>COUNTIFS('Solid-Results'!I:I,"&gt;="&amp;Dashboard!$A36,'Solid-Results'!I:I,"&lt;="&amp;Dashboard!$B36)</f>
        <v>0</v>
      </c>
      <c r="G36" s="34">
        <f>COUNTIFS('Solid-Results'!I:I,"&gt;="&amp;Dashboard!$A36,'Solid-Results'!I:I,"&lt;="&amp;Dashboard!$B36,'Solid-Results'!AC:AC,"Green")</f>
        <v>0</v>
      </c>
      <c r="H36" s="54">
        <f t="shared" si="1"/>
        <v>0</v>
      </c>
      <c r="I36" s="34">
        <f>COUNTIFS('Solid-Results'!J:J,"&gt;="&amp;Dashboard!$A36,'Solid-Results'!J:J,"&lt;="&amp;Dashboard!$B36)</f>
        <v>0</v>
      </c>
      <c r="J36" s="34">
        <f>COUNTIFS('Solid-Results'!J:J,"&gt;="&amp;Dashboard!$A36,'Solid-Results'!J:J,"&lt;="&amp;Dashboard!$B36,'Solid-Results'!AD:AD,"Green")</f>
        <v>0</v>
      </c>
      <c r="K36" s="54">
        <f t="shared" si="2"/>
        <v>0</v>
      </c>
      <c r="L36" s="34">
        <f>COUNTIFS('Solid-Results'!K:K,"&gt;="&amp;Dashboard!$A36,'Solid-Results'!K:K,"&lt;="&amp;Dashboard!$B36)</f>
        <v>79</v>
      </c>
      <c r="M36" s="34">
        <f>COUNTIFS('Solid-Results'!K:K,"&gt;="&amp;Dashboard!$A36,'Solid-Results'!K:K,"&lt;="&amp;Dashboard!$B36,'Solid-Results'!AE:AE,"Green")</f>
        <v>51</v>
      </c>
      <c r="N36" s="54">
        <f t="shared" si="3"/>
        <v>0.64556962025316456</v>
      </c>
      <c r="O36" s="34">
        <f>COUNTIFS('Solid-Results'!L:L,"&gt;="&amp;Dashboard!$A36,'Solid-Results'!L:L,"&lt;="&amp;Dashboard!$B36)</f>
        <v>13</v>
      </c>
      <c r="P36" s="34">
        <f>COUNTIFS('Solid-Results'!L:L,"&gt;="&amp;Dashboard!$A36,'Solid-Results'!L:L,"&lt;="&amp;Dashboard!$B36,'Solid-Results'!AF:AF,"Green")</f>
        <v>9</v>
      </c>
      <c r="Q36" s="54">
        <f t="shared" si="4"/>
        <v>0.69230769230769229</v>
      </c>
      <c r="R36" s="34">
        <f>COUNTIFS('Solid-Results'!M:M,"&gt;="&amp;Dashboard!$A36,'Solid-Results'!M:M,"&lt;="&amp;Dashboard!$B36)</f>
        <v>176</v>
      </c>
      <c r="S36" s="34">
        <f>COUNTIFS('Solid-Results'!M:M,"&gt;="&amp;Dashboard!$A36,'Solid-Results'!M:M,"&lt;="&amp;Dashboard!$B36,'Solid-Results'!AG:AG,"Green")</f>
        <v>132</v>
      </c>
      <c r="T36" s="54">
        <f t="shared" si="5"/>
        <v>0.75</v>
      </c>
      <c r="U36" s="34">
        <f>COUNTIFS('Solid-Results'!N:N,"&gt;="&amp;Dashboard!$A36,'Solid-Results'!N:N,"&lt;="&amp;Dashboard!$B36)</f>
        <v>0</v>
      </c>
      <c r="V36" s="34">
        <f>COUNTIFS('Solid-Results'!N:N,"&gt;="&amp;Dashboard!$A36,'Solid-Results'!N:N,"&lt;="&amp;Dashboard!$B36,'Solid-Results'!AH:AH,"Green")</f>
        <v>0</v>
      </c>
      <c r="W36" s="54">
        <f t="shared" si="6"/>
        <v>0</v>
      </c>
      <c r="X36" s="34">
        <f>COUNTIFS('Solid-Results'!O:O,"&gt;="&amp;Dashboard!$A36,'Solid-Results'!O:O,"&lt;="&amp;Dashboard!$B36)</f>
        <v>0</v>
      </c>
      <c r="Y36" s="34">
        <f>COUNTIFS('Solid-Results'!O:O,"&gt;="&amp;Dashboard!$A36,'Solid-Results'!O:O,"&lt;="&amp;Dashboard!$B36,'Solid-Results'!AI:AI,"Green")</f>
        <v>0</v>
      </c>
      <c r="Z36" s="54">
        <f t="shared" si="7"/>
        <v>0</v>
      </c>
      <c r="AA36" s="34">
        <f>COUNTIFS('Solid-Results'!P:P,"&gt;="&amp;Dashboard!$A36,'Solid-Results'!P:P,"&lt;="&amp;Dashboard!$B36)</f>
        <v>0</v>
      </c>
      <c r="AB36" s="34">
        <f>COUNTIFS('Solid-Results'!P:P,"&gt;="&amp;Dashboard!$A36,'Solid-Results'!P:P,"&lt;="&amp;Dashboard!$B36,'Solid-Results'!AJ:AJ,"Green")</f>
        <v>0</v>
      </c>
      <c r="AC36" s="54">
        <f t="shared" si="8"/>
        <v>0</v>
      </c>
      <c r="AD36" s="34">
        <f>COUNTIFS('Solid-Results'!Q:Q,"&gt;="&amp;Dashboard!$A36,'Solid-Results'!Q:Q,"&lt;="&amp;Dashboard!$B36)</f>
        <v>54</v>
      </c>
      <c r="AE36" s="34">
        <f>COUNTIFS('Solid-Results'!Q:Q,"&gt;="&amp;Dashboard!$A36,'Solid-Results'!Q:Q,"&lt;="&amp;Dashboard!$B36,'Solid-Results'!AK:AK,"Green")</f>
        <v>38</v>
      </c>
      <c r="AF36" s="54">
        <f t="shared" si="9"/>
        <v>0.70370370370370372</v>
      </c>
      <c r="AG36" s="34">
        <f>COUNTIFS('Solid-Results'!R:R,"&gt;="&amp;Dashboard!$A36,'Solid-Results'!R:R,"&lt;="&amp;Dashboard!$B36)</f>
        <v>40</v>
      </c>
      <c r="AH36" s="34">
        <f>COUNTIFS('Solid-Results'!R:R,"&gt;="&amp;Dashboard!$A36,'Solid-Results'!R:R,"&lt;="&amp;Dashboard!$B36,'Solid-Results'!AL:AL,"Green")</f>
        <v>29</v>
      </c>
      <c r="AI36" s="54">
        <f t="shared" si="10"/>
        <v>0.72499999999999998</v>
      </c>
      <c r="AJ36" s="34">
        <f>COUNTIFS('Solid-Results'!S:S,"&gt;="&amp;Dashboard!$A36,'Solid-Results'!S:S,"&lt;="&amp;Dashboard!$B36)</f>
        <v>21</v>
      </c>
      <c r="AK36" s="34">
        <f>COUNTIFS('Solid-Results'!S:S,"&gt;="&amp;Dashboard!$A36,'Solid-Results'!S:S,"&lt;="&amp;Dashboard!$B36,'Solid-Results'!AM:AM,"Green")</f>
        <v>14</v>
      </c>
      <c r="AL36" s="54">
        <f t="shared" si="11"/>
        <v>0.66666666666666663</v>
      </c>
      <c r="AM36" s="34">
        <f>COUNTIFS('Solid-Results'!T:T,"&gt;="&amp;Dashboard!$A36,'Solid-Results'!T:T,"&lt;="&amp;Dashboard!$B36)</f>
        <v>20</v>
      </c>
      <c r="AN36" s="34">
        <f>COUNTIFS('Solid-Results'!T:T,"&gt;="&amp;Dashboard!$A36,'Solid-Results'!T:T,"&lt;="&amp;Dashboard!$B36,'Solid-Results'!AN:AN,"Green")</f>
        <v>15</v>
      </c>
      <c r="AO36" s="54">
        <f t="shared" si="12"/>
        <v>0.75</v>
      </c>
      <c r="AP36" s="34">
        <f>COUNTIFS('Solid-Results'!U:U,"&gt;="&amp;Dashboard!$A36,'Solid-Results'!U:U,"&lt;="&amp;Dashboard!$B36)</f>
        <v>30</v>
      </c>
      <c r="AQ36" s="34">
        <f>COUNTIFS('Solid-Results'!U:U,"&gt;="&amp;Dashboard!$A36,'Solid-Results'!U:U,"&lt;="&amp;Dashboard!$B36,'Solid-Results'!AO:AO,"Green")</f>
        <v>21</v>
      </c>
      <c r="AR36" s="54">
        <f t="shared" si="13"/>
        <v>0.7</v>
      </c>
      <c r="AS36" s="34">
        <f>COUNTIFS('Solid-Results'!V:V,"&gt;="&amp;Dashboard!$A36,'Solid-Results'!V:V,"&lt;="&amp;Dashboard!$B36)</f>
        <v>23</v>
      </c>
      <c r="AT36" s="34">
        <f>COUNTIFS('Solid-Results'!V:V,"&gt;="&amp;Dashboard!$A36,'Solid-Results'!V:V,"&lt;="&amp;Dashboard!$B36,'Solid-Results'!AP:AP,"Green")</f>
        <v>16</v>
      </c>
      <c r="AU36" s="54">
        <f t="shared" si="14"/>
        <v>0.69565217391304346</v>
      </c>
      <c r="AV36" s="34">
        <f>COUNTIFS('Solid-Results'!W:W,"&gt;="&amp;Dashboard!$A36,'Solid-Results'!W:W,"&lt;="&amp;Dashboard!$B36)</f>
        <v>4</v>
      </c>
      <c r="AW36" s="34">
        <f>COUNTIFS('Solid-Results'!W:W,"&gt;="&amp;Dashboard!$A36,'Solid-Results'!W:W,"&lt;="&amp;Dashboard!$B36,'Solid-Results'!AQ:AQ,"Green")</f>
        <v>2</v>
      </c>
      <c r="AX36" s="54">
        <f t="shared" si="15"/>
        <v>0.5</v>
      </c>
      <c r="AZ36" s="40">
        <f t="shared" si="18"/>
        <v>70.010000000000005</v>
      </c>
      <c r="BA36" s="39">
        <f t="shared" si="19"/>
        <v>75</v>
      </c>
      <c r="BB36" s="35">
        <f>IFERROR(D36/C36,0)</f>
        <v>1</v>
      </c>
      <c r="BC36" s="35">
        <f>IFERROR(G36/F36,0)</f>
        <v>0</v>
      </c>
      <c r="BD36" s="35">
        <f>IFERROR(J36/I36,0)</f>
        <v>0</v>
      </c>
      <c r="BE36" s="35">
        <f>IFERROR(M36/L36,0)</f>
        <v>0.64556962025316456</v>
      </c>
      <c r="BF36" s="35">
        <f>IFERROR(P36/O36,0)</f>
        <v>0.69230769230769229</v>
      </c>
      <c r="BG36" s="35">
        <f>IFERROR(S36/R36,0)</f>
        <v>0.75</v>
      </c>
      <c r="BH36" s="35">
        <f>IFERROR(V36/U36,0)</f>
        <v>0</v>
      </c>
      <c r="BI36" s="35">
        <f>IFERROR(Y36/X36,0)</f>
        <v>0</v>
      </c>
      <c r="BJ36" s="35">
        <f>IFERROR(AB36/AA36,0)</f>
        <v>0</v>
      </c>
      <c r="BK36" s="35">
        <f>IFERROR(AE36/AD36,0)</f>
        <v>0.70370370370370372</v>
      </c>
      <c r="BL36" s="35">
        <f>IFERROR(AH36/AG36,0)</f>
        <v>0.72499999999999998</v>
      </c>
      <c r="BM36" s="35">
        <f>IFERROR(AK36/AJ36,0)</f>
        <v>0.66666666666666663</v>
      </c>
      <c r="BN36" s="35">
        <f>IFERROR(AN36/AM36,0)</f>
        <v>0.75</v>
      </c>
      <c r="BO36" s="35">
        <f>IFERROR(AQ36/AP36,0)</f>
        <v>0.7</v>
      </c>
      <c r="BP36" s="35">
        <f>IFERROR(AT36/AS36,0)</f>
        <v>0.69565217391304346</v>
      </c>
      <c r="BQ36" s="35">
        <f>IFERROR(AW36/AV36,0)</f>
        <v>0.5</v>
      </c>
    </row>
    <row r="37" spans="1:69" x14ac:dyDescent="0.2">
      <c r="A37" s="40">
        <f t="shared" si="16"/>
        <v>75.010000000000005</v>
      </c>
      <c r="B37" s="39">
        <f t="shared" si="17"/>
        <v>80</v>
      </c>
      <c r="C37" s="34">
        <f>COUNTIFS('Solid-Results'!H:H,"&gt;="&amp;Dashboard!$A37,'Solid-Results'!H:H,"&lt;="&amp;Dashboard!$B37)</f>
        <v>0</v>
      </c>
      <c r="D37" s="34">
        <f>COUNTIFS('Solid-Results'!H:H,"&gt;="&amp;Dashboard!$A37,'Solid-Results'!H:H,"&lt;="&amp;Dashboard!$B37,'Solid-Results'!AB:AB,"Green")</f>
        <v>0</v>
      </c>
      <c r="E37" s="54">
        <f t="shared" si="0"/>
        <v>0</v>
      </c>
      <c r="F37" s="34">
        <f>COUNTIFS('Solid-Results'!I:I,"&gt;="&amp;Dashboard!$A37,'Solid-Results'!I:I,"&lt;="&amp;Dashboard!$B37)</f>
        <v>0</v>
      </c>
      <c r="G37" s="34">
        <f>COUNTIFS('Solid-Results'!I:I,"&gt;="&amp;Dashboard!$A37,'Solid-Results'!I:I,"&lt;="&amp;Dashboard!$B37,'Solid-Results'!AC:AC,"Green")</f>
        <v>0</v>
      </c>
      <c r="H37" s="54">
        <f t="shared" si="1"/>
        <v>0</v>
      </c>
      <c r="I37" s="34">
        <f>COUNTIFS('Solid-Results'!J:J,"&gt;="&amp;Dashboard!$A37,'Solid-Results'!J:J,"&lt;="&amp;Dashboard!$B37)</f>
        <v>0</v>
      </c>
      <c r="J37" s="34">
        <f>COUNTIFS('Solid-Results'!J:J,"&gt;="&amp;Dashboard!$A37,'Solid-Results'!J:J,"&lt;="&amp;Dashboard!$B37,'Solid-Results'!AD:AD,"Green")</f>
        <v>0</v>
      </c>
      <c r="K37" s="54">
        <f t="shared" si="2"/>
        <v>0</v>
      </c>
      <c r="L37" s="34">
        <f>COUNTIFS('Solid-Results'!K:K,"&gt;="&amp;Dashboard!$A37,'Solid-Results'!K:K,"&lt;="&amp;Dashboard!$B37)</f>
        <v>57</v>
      </c>
      <c r="M37" s="34">
        <f>COUNTIFS('Solid-Results'!K:K,"&gt;="&amp;Dashboard!$A37,'Solid-Results'!K:K,"&lt;="&amp;Dashboard!$B37,'Solid-Results'!AE:AE,"Green")</f>
        <v>42</v>
      </c>
      <c r="N37" s="54">
        <f t="shared" si="3"/>
        <v>0.73684210526315785</v>
      </c>
      <c r="O37" s="34">
        <f>COUNTIFS('Solid-Results'!L:L,"&gt;="&amp;Dashboard!$A37,'Solid-Results'!L:L,"&lt;="&amp;Dashboard!$B37)</f>
        <v>13</v>
      </c>
      <c r="P37" s="34">
        <f>COUNTIFS('Solid-Results'!L:L,"&gt;="&amp;Dashboard!$A37,'Solid-Results'!L:L,"&lt;="&amp;Dashboard!$B37,'Solid-Results'!AF:AF,"Green")</f>
        <v>10</v>
      </c>
      <c r="Q37" s="54">
        <f t="shared" si="4"/>
        <v>0.76923076923076927</v>
      </c>
      <c r="R37" s="34">
        <f>COUNTIFS('Solid-Results'!M:M,"&gt;="&amp;Dashboard!$A37,'Solid-Results'!M:M,"&lt;="&amp;Dashboard!$B37)</f>
        <v>40</v>
      </c>
      <c r="S37" s="34">
        <f>COUNTIFS('Solid-Results'!M:M,"&gt;="&amp;Dashboard!$A37,'Solid-Results'!M:M,"&lt;="&amp;Dashboard!$B37,'Solid-Results'!AG:AG,"Green")</f>
        <v>29</v>
      </c>
      <c r="T37" s="54">
        <f t="shared" si="5"/>
        <v>0.72499999999999998</v>
      </c>
      <c r="U37" s="34">
        <f>COUNTIFS('Solid-Results'!N:N,"&gt;="&amp;Dashboard!$A37,'Solid-Results'!N:N,"&lt;="&amp;Dashboard!$B37)</f>
        <v>0</v>
      </c>
      <c r="V37" s="34">
        <f>COUNTIFS('Solid-Results'!N:N,"&gt;="&amp;Dashboard!$A37,'Solid-Results'!N:N,"&lt;="&amp;Dashboard!$B37,'Solid-Results'!AH:AH,"Green")</f>
        <v>0</v>
      </c>
      <c r="W37" s="54">
        <f t="shared" si="6"/>
        <v>0</v>
      </c>
      <c r="X37" s="34">
        <f>COUNTIFS('Solid-Results'!O:O,"&gt;="&amp;Dashboard!$A37,'Solid-Results'!O:O,"&lt;="&amp;Dashboard!$B37)</f>
        <v>0</v>
      </c>
      <c r="Y37" s="34">
        <f>COUNTIFS('Solid-Results'!O:O,"&gt;="&amp;Dashboard!$A37,'Solid-Results'!O:O,"&lt;="&amp;Dashboard!$B37,'Solid-Results'!AI:AI,"Green")</f>
        <v>0</v>
      </c>
      <c r="Z37" s="54">
        <f t="shared" si="7"/>
        <v>0</v>
      </c>
      <c r="AA37" s="34">
        <f>COUNTIFS('Solid-Results'!P:P,"&gt;="&amp;Dashboard!$A37,'Solid-Results'!P:P,"&lt;="&amp;Dashboard!$B37)</f>
        <v>0</v>
      </c>
      <c r="AB37" s="34">
        <f>COUNTIFS('Solid-Results'!P:P,"&gt;="&amp;Dashboard!$A37,'Solid-Results'!P:P,"&lt;="&amp;Dashboard!$B37,'Solid-Results'!AJ:AJ,"Green")</f>
        <v>0</v>
      </c>
      <c r="AC37" s="54">
        <f t="shared" si="8"/>
        <v>0</v>
      </c>
      <c r="AD37" s="34">
        <f>COUNTIFS('Solid-Results'!Q:Q,"&gt;="&amp;Dashboard!$A37,'Solid-Results'!Q:Q,"&lt;="&amp;Dashboard!$B37)</f>
        <v>34</v>
      </c>
      <c r="AE37" s="34">
        <f>COUNTIFS('Solid-Results'!Q:Q,"&gt;="&amp;Dashboard!$A37,'Solid-Results'!Q:Q,"&lt;="&amp;Dashboard!$B37,'Solid-Results'!AK:AK,"Green")</f>
        <v>26</v>
      </c>
      <c r="AF37" s="54">
        <f t="shared" si="9"/>
        <v>0.76470588235294112</v>
      </c>
      <c r="AG37" s="34">
        <f>COUNTIFS('Solid-Results'!R:R,"&gt;="&amp;Dashboard!$A37,'Solid-Results'!R:R,"&lt;="&amp;Dashboard!$B37)</f>
        <v>57</v>
      </c>
      <c r="AH37" s="34">
        <f>COUNTIFS('Solid-Results'!R:R,"&gt;="&amp;Dashboard!$A37,'Solid-Results'!R:R,"&lt;="&amp;Dashboard!$B37,'Solid-Results'!AL:AL,"Green")</f>
        <v>37</v>
      </c>
      <c r="AI37" s="54">
        <f t="shared" si="10"/>
        <v>0.64912280701754388</v>
      </c>
      <c r="AJ37" s="34">
        <f>COUNTIFS('Solid-Results'!S:S,"&gt;="&amp;Dashboard!$A37,'Solid-Results'!S:S,"&lt;="&amp;Dashboard!$B37)</f>
        <v>16</v>
      </c>
      <c r="AK37" s="34">
        <f>COUNTIFS('Solid-Results'!S:S,"&gt;="&amp;Dashboard!$A37,'Solid-Results'!S:S,"&lt;="&amp;Dashboard!$B37,'Solid-Results'!AM:AM,"Green")</f>
        <v>10</v>
      </c>
      <c r="AL37" s="54">
        <f t="shared" si="11"/>
        <v>0.625</v>
      </c>
      <c r="AM37" s="34">
        <f>COUNTIFS('Solid-Results'!T:T,"&gt;="&amp;Dashboard!$A37,'Solid-Results'!T:T,"&lt;="&amp;Dashboard!$B37)</f>
        <v>7</v>
      </c>
      <c r="AN37" s="34">
        <f>COUNTIFS('Solid-Results'!T:T,"&gt;="&amp;Dashboard!$A37,'Solid-Results'!T:T,"&lt;="&amp;Dashboard!$B37,'Solid-Results'!AN:AN,"Green")</f>
        <v>6</v>
      </c>
      <c r="AO37" s="54">
        <f t="shared" si="12"/>
        <v>0.8571428571428571</v>
      </c>
      <c r="AP37" s="34">
        <f>COUNTIFS('Solid-Results'!U:U,"&gt;="&amp;Dashboard!$A37,'Solid-Results'!U:U,"&lt;="&amp;Dashboard!$B37)</f>
        <v>21</v>
      </c>
      <c r="AQ37" s="34">
        <f>COUNTIFS('Solid-Results'!U:U,"&gt;="&amp;Dashboard!$A37,'Solid-Results'!U:U,"&lt;="&amp;Dashboard!$B37,'Solid-Results'!AO:AO,"Green")</f>
        <v>17</v>
      </c>
      <c r="AR37" s="54">
        <f t="shared" si="13"/>
        <v>0.80952380952380953</v>
      </c>
      <c r="AS37" s="34">
        <f>COUNTIFS('Solid-Results'!V:V,"&gt;="&amp;Dashboard!$A37,'Solid-Results'!V:V,"&lt;="&amp;Dashboard!$B37)</f>
        <v>12</v>
      </c>
      <c r="AT37" s="34">
        <f>COUNTIFS('Solid-Results'!V:V,"&gt;="&amp;Dashboard!$A37,'Solid-Results'!V:V,"&lt;="&amp;Dashboard!$B37,'Solid-Results'!AP:AP,"Green")</f>
        <v>6</v>
      </c>
      <c r="AU37" s="54">
        <f t="shared" si="14"/>
        <v>0.5</v>
      </c>
      <c r="AV37" s="34">
        <f>COUNTIFS('Solid-Results'!W:W,"&gt;="&amp;Dashboard!$A37,'Solid-Results'!W:W,"&lt;="&amp;Dashboard!$B37)</f>
        <v>0</v>
      </c>
      <c r="AW37" s="34">
        <f>COUNTIFS('Solid-Results'!W:W,"&gt;="&amp;Dashboard!$A37,'Solid-Results'!W:W,"&lt;="&amp;Dashboard!$B37,'Solid-Results'!AQ:AQ,"Green")</f>
        <v>0</v>
      </c>
      <c r="AX37" s="54">
        <f t="shared" si="15"/>
        <v>0</v>
      </c>
      <c r="AZ37" s="40">
        <f t="shared" si="18"/>
        <v>75.010000000000005</v>
      </c>
      <c r="BA37" s="39">
        <f t="shared" si="19"/>
        <v>80</v>
      </c>
      <c r="BB37" s="35">
        <f>IFERROR(D37/C37,0)</f>
        <v>0</v>
      </c>
      <c r="BC37" s="35">
        <f>IFERROR(G37/F37,0)</f>
        <v>0</v>
      </c>
      <c r="BD37" s="35">
        <f>IFERROR(J37/I37,0)</f>
        <v>0</v>
      </c>
      <c r="BE37" s="35">
        <f>IFERROR(M37/L37,0)</f>
        <v>0.73684210526315785</v>
      </c>
      <c r="BF37" s="35">
        <f>IFERROR(P37/O37,0)</f>
        <v>0.76923076923076927</v>
      </c>
      <c r="BG37" s="35">
        <f>IFERROR(S37/R37,0)</f>
        <v>0.72499999999999998</v>
      </c>
      <c r="BH37" s="35">
        <f>IFERROR(V37/U37,0)</f>
        <v>0</v>
      </c>
      <c r="BI37" s="35">
        <f>IFERROR(Y37/X37,0)</f>
        <v>0</v>
      </c>
      <c r="BJ37" s="35">
        <f>IFERROR(AB37/AA37,0)</f>
        <v>0</v>
      </c>
      <c r="BK37" s="35">
        <f>IFERROR(AE37/AD37,0)</f>
        <v>0.76470588235294112</v>
      </c>
      <c r="BL37" s="35">
        <f>IFERROR(AH37/AG37,0)</f>
        <v>0.64912280701754388</v>
      </c>
      <c r="BM37" s="35">
        <f>IFERROR(AK37/AJ37,0)</f>
        <v>0.625</v>
      </c>
      <c r="BN37" s="35">
        <f>IFERROR(AN37/AM37,0)</f>
        <v>0.8571428571428571</v>
      </c>
      <c r="BO37" s="35">
        <f>IFERROR(AQ37/AP37,0)</f>
        <v>0.80952380952380953</v>
      </c>
      <c r="BP37" s="35">
        <f>IFERROR(AT37/AS37,0)</f>
        <v>0.5</v>
      </c>
      <c r="BQ37" s="35">
        <f>IFERROR(AW37/AV37,0)</f>
        <v>0</v>
      </c>
    </row>
    <row r="38" spans="1:69" x14ac:dyDescent="0.2">
      <c r="A38" s="40">
        <f t="shared" si="16"/>
        <v>80.010000000000005</v>
      </c>
      <c r="B38" s="39">
        <f t="shared" si="17"/>
        <v>85</v>
      </c>
      <c r="C38" s="34">
        <f>COUNTIFS('Solid-Results'!H:H,"&gt;="&amp;Dashboard!$A38,'Solid-Results'!H:H,"&lt;="&amp;Dashboard!$B38)</f>
        <v>0</v>
      </c>
      <c r="D38" s="34">
        <f>COUNTIFS('Solid-Results'!H:H,"&gt;="&amp;Dashboard!$A38,'Solid-Results'!H:H,"&lt;="&amp;Dashboard!$B38,'Solid-Results'!AB:AB,"Green")</f>
        <v>0</v>
      </c>
      <c r="E38" s="54">
        <f t="shared" si="0"/>
        <v>0</v>
      </c>
      <c r="F38" s="34">
        <f>COUNTIFS('Solid-Results'!I:I,"&gt;="&amp;Dashboard!$A38,'Solid-Results'!I:I,"&lt;="&amp;Dashboard!$B38)</f>
        <v>0</v>
      </c>
      <c r="G38" s="34">
        <f>COUNTIFS('Solid-Results'!I:I,"&gt;="&amp;Dashboard!$A38,'Solid-Results'!I:I,"&lt;="&amp;Dashboard!$B38,'Solid-Results'!AC:AC,"Green")</f>
        <v>0</v>
      </c>
      <c r="H38" s="54">
        <f t="shared" si="1"/>
        <v>0</v>
      </c>
      <c r="I38" s="34">
        <f>COUNTIFS('Solid-Results'!J:J,"&gt;="&amp;Dashboard!$A38,'Solid-Results'!J:J,"&lt;="&amp;Dashboard!$B38)</f>
        <v>0</v>
      </c>
      <c r="J38" s="34">
        <f>COUNTIFS('Solid-Results'!J:J,"&gt;="&amp;Dashboard!$A38,'Solid-Results'!J:J,"&lt;="&amp;Dashboard!$B38,'Solid-Results'!AD:AD,"Green")</f>
        <v>0</v>
      </c>
      <c r="K38" s="54">
        <f t="shared" si="2"/>
        <v>0</v>
      </c>
      <c r="L38" s="34">
        <f>COUNTIFS('Solid-Results'!K:K,"&gt;="&amp;Dashboard!$A38,'Solid-Results'!K:K,"&lt;="&amp;Dashboard!$B38)</f>
        <v>38</v>
      </c>
      <c r="M38" s="34">
        <f>COUNTIFS('Solid-Results'!K:K,"&gt;="&amp;Dashboard!$A38,'Solid-Results'!K:K,"&lt;="&amp;Dashboard!$B38,'Solid-Results'!AE:AE,"Green")</f>
        <v>27</v>
      </c>
      <c r="N38" s="54">
        <f t="shared" si="3"/>
        <v>0.71052631578947367</v>
      </c>
      <c r="O38" s="34">
        <f>COUNTIFS('Solid-Results'!L:L,"&gt;="&amp;Dashboard!$A38,'Solid-Results'!L:L,"&lt;="&amp;Dashboard!$B38)</f>
        <v>0</v>
      </c>
      <c r="P38" s="34">
        <f>COUNTIFS('Solid-Results'!L:L,"&gt;="&amp;Dashboard!$A38,'Solid-Results'!L:L,"&lt;="&amp;Dashboard!$B38,'Solid-Results'!AF:AF,"Green")</f>
        <v>0</v>
      </c>
      <c r="Q38" s="54">
        <f t="shared" si="4"/>
        <v>0</v>
      </c>
      <c r="R38" s="34">
        <f>COUNTIFS('Solid-Results'!M:M,"&gt;="&amp;Dashboard!$A38,'Solid-Results'!M:M,"&lt;="&amp;Dashboard!$B38)</f>
        <v>1</v>
      </c>
      <c r="S38" s="34">
        <f>COUNTIFS('Solid-Results'!M:M,"&gt;="&amp;Dashboard!$A38,'Solid-Results'!M:M,"&lt;="&amp;Dashboard!$B38,'Solid-Results'!AG:AG,"Green")</f>
        <v>1</v>
      </c>
      <c r="T38" s="54">
        <f t="shared" si="5"/>
        <v>1</v>
      </c>
      <c r="U38" s="34">
        <f>COUNTIFS('Solid-Results'!N:N,"&gt;="&amp;Dashboard!$A38,'Solid-Results'!N:N,"&lt;="&amp;Dashboard!$B38)</f>
        <v>0</v>
      </c>
      <c r="V38" s="34">
        <f>COUNTIFS('Solid-Results'!N:N,"&gt;="&amp;Dashboard!$A38,'Solid-Results'!N:N,"&lt;="&amp;Dashboard!$B38,'Solid-Results'!AH:AH,"Green")</f>
        <v>0</v>
      </c>
      <c r="W38" s="54">
        <f t="shared" si="6"/>
        <v>0</v>
      </c>
      <c r="X38" s="34">
        <f>COUNTIFS('Solid-Results'!O:O,"&gt;="&amp;Dashboard!$A38,'Solid-Results'!O:O,"&lt;="&amp;Dashboard!$B38)</f>
        <v>0</v>
      </c>
      <c r="Y38" s="34">
        <f>COUNTIFS('Solid-Results'!O:O,"&gt;="&amp;Dashboard!$A38,'Solid-Results'!O:O,"&lt;="&amp;Dashboard!$B38,'Solid-Results'!AI:AI,"Green")</f>
        <v>0</v>
      </c>
      <c r="Z38" s="54">
        <f t="shared" si="7"/>
        <v>0</v>
      </c>
      <c r="AA38" s="34">
        <f>COUNTIFS('Solid-Results'!P:P,"&gt;="&amp;Dashboard!$A38,'Solid-Results'!P:P,"&lt;="&amp;Dashboard!$B38)</f>
        <v>0</v>
      </c>
      <c r="AB38" s="34">
        <f>COUNTIFS('Solid-Results'!P:P,"&gt;="&amp;Dashboard!$A38,'Solid-Results'!P:P,"&lt;="&amp;Dashboard!$B38,'Solid-Results'!AJ:AJ,"Green")</f>
        <v>0</v>
      </c>
      <c r="AC38" s="54">
        <f t="shared" si="8"/>
        <v>0</v>
      </c>
      <c r="AD38" s="34">
        <f>COUNTIFS('Solid-Results'!Q:Q,"&gt;="&amp;Dashboard!$A38,'Solid-Results'!Q:Q,"&lt;="&amp;Dashboard!$B38)</f>
        <v>35</v>
      </c>
      <c r="AE38" s="34">
        <f>COUNTIFS('Solid-Results'!Q:Q,"&gt;="&amp;Dashboard!$A38,'Solid-Results'!Q:Q,"&lt;="&amp;Dashboard!$B38,'Solid-Results'!AK:AK,"Green")</f>
        <v>24</v>
      </c>
      <c r="AF38" s="54">
        <f t="shared" si="9"/>
        <v>0.68571428571428572</v>
      </c>
      <c r="AG38" s="34">
        <f>COUNTIFS('Solid-Results'!R:R,"&gt;="&amp;Dashboard!$A38,'Solid-Results'!R:R,"&lt;="&amp;Dashboard!$B38)</f>
        <v>46</v>
      </c>
      <c r="AH38" s="34">
        <f>COUNTIFS('Solid-Results'!R:R,"&gt;="&amp;Dashboard!$A38,'Solid-Results'!R:R,"&lt;="&amp;Dashboard!$B38,'Solid-Results'!AL:AL,"Green")</f>
        <v>40</v>
      </c>
      <c r="AI38" s="54">
        <f t="shared" si="10"/>
        <v>0.86956521739130432</v>
      </c>
      <c r="AJ38" s="34">
        <f>COUNTIFS('Solid-Results'!S:S,"&gt;="&amp;Dashboard!$A38,'Solid-Results'!S:S,"&lt;="&amp;Dashboard!$B38)</f>
        <v>4</v>
      </c>
      <c r="AK38" s="34">
        <f>COUNTIFS('Solid-Results'!S:S,"&gt;="&amp;Dashboard!$A38,'Solid-Results'!S:S,"&lt;="&amp;Dashboard!$B38,'Solid-Results'!AM:AM,"Green")</f>
        <v>3</v>
      </c>
      <c r="AL38" s="54">
        <f t="shared" si="11"/>
        <v>0.75</v>
      </c>
      <c r="AM38" s="34">
        <f>COUNTIFS('Solid-Results'!T:T,"&gt;="&amp;Dashboard!$A38,'Solid-Results'!T:T,"&lt;="&amp;Dashboard!$B38)</f>
        <v>3</v>
      </c>
      <c r="AN38" s="34">
        <f>COUNTIFS('Solid-Results'!T:T,"&gt;="&amp;Dashboard!$A38,'Solid-Results'!T:T,"&lt;="&amp;Dashboard!$B38,'Solid-Results'!AN:AN,"Green")</f>
        <v>2</v>
      </c>
      <c r="AO38" s="54">
        <f t="shared" si="12"/>
        <v>0.66666666666666663</v>
      </c>
      <c r="AP38" s="34">
        <f>COUNTIFS('Solid-Results'!U:U,"&gt;="&amp;Dashboard!$A38,'Solid-Results'!U:U,"&lt;="&amp;Dashboard!$B38)</f>
        <v>8</v>
      </c>
      <c r="AQ38" s="34">
        <f>COUNTIFS('Solid-Results'!U:U,"&gt;="&amp;Dashboard!$A38,'Solid-Results'!U:U,"&lt;="&amp;Dashboard!$B38,'Solid-Results'!AO:AO,"Green")</f>
        <v>8</v>
      </c>
      <c r="AR38" s="54">
        <f t="shared" si="13"/>
        <v>1</v>
      </c>
      <c r="AS38" s="34">
        <f>COUNTIFS('Solid-Results'!V:V,"&gt;="&amp;Dashboard!$A38,'Solid-Results'!V:V,"&lt;="&amp;Dashboard!$B38)</f>
        <v>1</v>
      </c>
      <c r="AT38" s="34">
        <f>COUNTIFS('Solid-Results'!V:V,"&gt;="&amp;Dashboard!$A38,'Solid-Results'!V:V,"&lt;="&amp;Dashboard!$B38,'Solid-Results'!AP:AP,"Green")</f>
        <v>1</v>
      </c>
      <c r="AU38" s="54">
        <f t="shared" si="14"/>
        <v>1</v>
      </c>
      <c r="AV38" s="34">
        <f>COUNTIFS('Solid-Results'!W:W,"&gt;="&amp;Dashboard!$A38,'Solid-Results'!W:W,"&lt;="&amp;Dashboard!$B38)</f>
        <v>0</v>
      </c>
      <c r="AW38" s="34">
        <f>COUNTIFS('Solid-Results'!W:W,"&gt;="&amp;Dashboard!$A38,'Solid-Results'!W:W,"&lt;="&amp;Dashboard!$B38,'Solid-Results'!AQ:AQ,"Green")</f>
        <v>0</v>
      </c>
      <c r="AX38" s="54">
        <f t="shared" si="15"/>
        <v>0</v>
      </c>
      <c r="AZ38" s="40">
        <f t="shared" si="18"/>
        <v>80.010000000000005</v>
      </c>
      <c r="BA38" s="39">
        <f t="shared" si="19"/>
        <v>85</v>
      </c>
      <c r="BB38" s="35">
        <f>IFERROR(D38/C38,0)</f>
        <v>0</v>
      </c>
      <c r="BC38" s="35">
        <f>IFERROR(G38/F38,0)</f>
        <v>0</v>
      </c>
      <c r="BD38" s="35">
        <f>IFERROR(J38/I38,0)</f>
        <v>0</v>
      </c>
      <c r="BE38" s="35">
        <f>IFERROR(M38/L38,0)</f>
        <v>0.71052631578947367</v>
      </c>
      <c r="BF38" s="35">
        <f>IFERROR(P38/O38,0)</f>
        <v>0</v>
      </c>
      <c r="BG38" s="35">
        <f>IFERROR(S38/R38,0)</f>
        <v>1</v>
      </c>
      <c r="BH38" s="35">
        <f>IFERROR(V38/U38,0)</f>
        <v>0</v>
      </c>
      <c r="BI38" s="35">
        <f>IFERROR(Y38/X38,0)</f>
        <v>0</v>
      </c>
      <c r="BJ38" s="35">
        <f>IFERROR(AB38/AA38,0)</f>
        <v>0</v>
      </c>
      <c r="BK38" s="35">
        <f>IFERROR(AE38/AD38,0)</f>
        <v>0.68571428571428572</v>
      </c>
      <c r="BL38" s="35">
        <f>IFERROR(AH38/AG38,0)</f>
        <v>0.86956521739130432</v>
      </c>
      <c r="BM38" s="35">
        <f>IFERROR(AK38/AJ38,0)</f>
        <v>0.75</v>
      </c>
      <c r="BN38" s="35">
        <f>IFERROR(AN38/AM38,0)</f>
        <v>0.66666666666666663</v>
      </c>
      <c r="BO38" s="35">
        <f>IFERROR(AQ38/AP38,0)</f>
        <v>1</v>
      </c>
      <c r="BP38" s="35">
        <f>IFERROR(AT38/AS38,0)</f>
        <v>1</v>
      </c>
      <c r="BQ38" s="35">
        <f>IFERROR(AW38/AV38,0)</f>
        <v>0</v>
      </c>
    </row>
    <row r="39" spans="1:69" x14ac:dyDescent="0.2">
      <c r="A39" s="40">
        <f t="shared" si="16"/>
        <v>85.01</v>
      </c>
      <c r="B39" s="39">
        <f t="shared" si="17"/>
        <v>90</v>
      </c>
      <c r="C39" s="34">
        <f>COUNTIFS('Solid-Results'!H:H,"&gt;="&amp;Dashboard!$A39,'Solid-Results'!H:H,"&lt;="&amp;Dashboard!$B39)</f>
        <v>0</v>
      </c>
      <c r="D39" s="34">
        <f>COUNTIFS('Solid-Results'!H:H,"&gt;="&amp;Dashboard!$A39,'Solid-Results'!H:H,"&lt;="&amp;Dashboard!$B39,'Solid-Results'!AB:AB,"Green")</f>
        <v>0</v>
      </c>
      <c r="E39" s="54">
        <f t="shared" si="0"/>
        <v>0</v>
      </c>
      <c r="F39" s="34">
        <f>COUNTIFS('Solid-Results'!I:I,"&gt;="&amp;Dashboard!$A39,'Solid-Results'!I:I,"&lt;="&amp;Dashboard!$B39)</f>
        <v>0</v>
      </c>
      <c r="G39" s="34">
        <f>COUNTIFS('Solid-Results'!I:I,"&gt;="&amp;Dashboard!$A39,'Solid-Results'!I:I,"&lt;="&amp;Dashboard!$B39,'Solid-Results'!AC:AC,"Green")</f>
        <v>0</v>
      </c>
      <c r="H39" s="54">
        <f t="shared" si="1"/>
        <v>0</v>
      </c>
      <c r="I39" s="34">
        <f>COUNTIFS('Solid-Results'!J:J,"&gt;="&amp;Dashboard!$A39,'Solid-Results'!J:J,"&lt;="&amp;Dashboard!$B39)</f>
        <v>0</v>
      </c>
      <c r="J39" s="34">
        <f>COUNTIFS('Solid-Results'!J:J,"&gt;="&amp;Dashboard!$A39,'Solid-Results'!J:J,"&lt;="&amp;Dashboard!$B39,'Solid-Results'!AD:AD,"Green")</f>
        <v>0</v>
      </c>
      <c r="K39" s="54">
        <f t="shared" si="2"/>
        <v>0</v>
      </c>
      <c r="L39" s="34">
        <f>COUNTIFS('Solid-Results'!K:K,"&gt;="&amp;Dashboard!$A39,'Solid-Results'!K:K,"&lt;="&amp;Dashboard!$B39)</f>
        <v>11</v>
      </c>
      <c r="M39" s="34">
        <f>COUNTIFS('Solid-Results'!K:K,"&gt;="&amp;Dashboard!$A39,'Solid-Results'!K:K,"&lt;="&amp;Dashboard!$B39,'Solid-Results'!AE:AE,"Green")</f>
        <v>10</v>
      </c>
      <c r="N39" s="54">
        <f t="shared" si="3"/>
        <v>0.90909090909090906</v>
      </c>
      <c r="O39" s="34">
        <f>COUNTIFS('Solid-Results'!L:L,"&gt;="&amp;Dashboard!$A39,'Solid-Results'!L:L,"&lt;="&amp;Dashboard!$B39)</f>
        <v>2</v>
      </c>
      <c r="P39" s="34">
        <f>COUNTIFS('Solid-Results'!L:L,"&gt;="&amp;Dashboard!$A39,'Solid-Results'!L:L,"&lt;="&amp;Dashboard!$B39,'Solid-Results'!AF:AF,"Green")</f>
        <v>2</v>
      </c>
      <c r="Q39" s="54">
        <f t="shared" si="4"/>
        <v>1</v>
      </c>
      <c r="R39" s="34">
        <f>COUNTIFS('Solid-Results'!M:M,"&gt;="&amp;Dashboard!$A39,'Solid-Results'!M:M,"&lt;="&amp;Dashboard!$B39)</f>
        <v>0</v>
      </c>
      <c r="S39" s="34">
        <f>COUNTIFS('Solid-Results'!M:M,"&gt;="&amp;Dashboard!$A39,'Solid-Results'!M:M,"&lt;="&amp;Dashboard!$B39,'Solid-Results'!AG:AG,"Green")</f>
        <v>0</v>
      </c>
      <c r="T39" s="54">
        <f t="shared" si="5"/>
        <v>0</v>
      </c>
      <c r="U39" s="34">
        <f>COUNTIFS('Solid-Results'!N:N,"&gt;="&amp;Dashboard!$A39,'Solid-Results'!N:N,"&lt;="&amp;Dashboard!$B39)</f>
        <v>0</v>
      </c>
      <c r="V39" s="34">
        <f>COUNTIFS('Solid-Results'!N:N,"&gt;="&amp;Dashboard!$A39,'Solid-Results'!N:N,"&lt;="&amp;Dashboard!$B39,'Solid-Results'!AH:AH,"Green")</f>
        <v>0</v>
      </c>
      <c r="W39" s="54">
        <f t="shared" si="6"/>
        <v>0</v>
      </c>
      <c r="X39" s="34">
        <f>COUNTIFS('Solid-Results'!O:O,"&gt;="&amp;Dashboard!$A39,'Solid-Results'!O:O,"&lt;="&amp;Dashboard!$B39)</f>
        <v>0</v>
      </c>
      <c r="Y39" s="34">
        <f>COUNTIFS('Solid-Results'!O:O,"&gt;="&amp;Dashboard!$A39,'Solid-Results'!O:O,"&lt;="&amp;Dashboard!$B39,'Solid-Results'!AI:AI,"Green")</f>
        <v>0</v>
      </c>
      <c r="Z39" s="54">
        <f t="shared" si="7"/>
        <v>0</v>
      </c>
      <c r="AA39" s="34">
        <f>COUNTIFS('Solid-Results'!P:P,"&gt;="&amp;Dashboard!$A39,'Solid-Results'!P:P,"&lt;="&amp;Dashboard!$B39)</f>
        <v>0</v>
      </c>
      <c r="AB39" s="34">
        <f>COUNTIFS('Solid-Results'!P:P,"&gt;="&amp;Dashboard!$A39,'Solid-Results'!P:P,"&lt;="&amp;Dashboard!$B39,'Solid-Results'!AJ:AJ,"Green")</f>
        <v>0</v>
      </c>
      <c r="AC39" s="54">
        <f t="shared" si="8"/>
        <v>0</v>
      </c>
      <c r="AD39" s="34">
        <f>COUNTIFS('Solid-Results'!Q:Q,"&gt;="&amp;Dashboard!$A39,'Solid-Results'!Q:Q,"&lt;="&amp;Dashboard!$B39)</f>
        <v>6</v>
      </c>
      <c r="AE39" s="34">
        <f>COUNTIFS('Solid-Results'!Q:Q,"&gt;="&amp;Dashboard!$A39,'Solid-Results'!Q:Q,"&lt;="&amp;Dashboard!$B39,'Solid-Results'!AK:AK,"Green")</f>
        <v>4</v>
      </c>
      <c r="AF39" s="54">
        <f t="shared" si="9"/>
        <v>0.66666666666666663</v>
      </c>
      <c r="AG39" s="34">
        <f>COUNTIFS('Solid-Results'!R:R,"&gt;="&amp;Dashboard!$A39,'Solid-Results'!R:R,"&lt;="&amp;Dashboard!$B39)</f>
        <v>39</v>
      </c>
      <c r="AH39" s="34">
        <f>COUNTIFS('Solid-Results'!R:R,"&gt;="&amp;Dashboard!$A39,'Solid-Results'!R:R,"&lt;="&amp;Dashboard!$B39,'Solid-Results'!AL:AL,"Green")</f>
        <v>28</v>
      </c>
      <c r="AI39" s="54">
        <f t="shared" si="10"/>
        <v>0.71794871794871795</v>
      </c>
      <c r="AJ39" s="34">
        <f>COUNTIFS('Solid-Results'!S:S,"&gt;="&amp;Dashboard!$A39,'Solid-Results'!S:S,"&lt;="&amp;Dashboard!$B39)</f>
        <v>1</v>
      </c>
      <c r="AK39" s="34">
        <f>COUNTIFS('Solid-Results'!S:S,"&gt;="&amp;Dashboard!$A39,'Solid-Results'!S:S,"&lt;="&amp;Dashboard!$B39,'Solid-Results'!AM:AM,"Green")</f>
        <v>0</v>
      </c>
      <c r="AL39" s="54">
        <f t="shared" si="11"/>
        <v>0</v>
      </c>
      <c r="AM39" s="34">
        <f>COUNTIFS('Solid-Results'!T:T,"&gt;="&amp;Dashboard!$A39,'Solid-Results'!T:T,"&lt;="&amp;Dashboard!$B39)</f>
        <v>0</v>
      </c>
      <c r="AN39" s="34">
        <f>COUNTIFS('Solid-Results'!T:T,"&gt;="&amp;Dashboard!$A39,'Solid-Results'!T:T,"&lt;="&amp;Dashboard!$B39,'Solid-Results'!AN:AN,"Green")</f>
        <v>0</v>
      </c>
      <c r="AO39" s="54">
        <f t="shared" si="12"/>
        <v>0</v>
      </c>
      <c r="AP39" s="34">
        <f>COUNTIFS('Solid-Results'!U:U,"&gt;="&amp;Dashboard!$A39,'Solid-Results'!U:U,"&lt;="&amp;Dashboard!$B39)</f>
        <v>1</v>
      </c>
      <c r="AQ39" s="34">
        <f>COUNTIFS('Solid-Results'!U:U,"&gt;="&amp;Dashboard!$A39,'Solid-Results'!U:U,"&lt;="&amp;Dashboard!$B39,'Solid-Results'!AO:AO,"Green")</f>
        <v>0</v>
      </c>
      <c r="AR39" s="54">
        <f t="shared" si="13"/>
        <v>0</v>
      </c>
      <c r="AS39" s="34">
        <f>COUNTIFS('Solid-Results'!V:V,"&gt;="&amp;Dashboard!$A39,'Solid-Results'!V:V,"&lt;="&amp;Dashboard!$B39)</f>
        <v>0</v>
      </c>
      <c r="AT39" s="34">
        <f>COUNTIFS('Solid-Results'!V:V,"&gt;="&amp;Dashboard!$A39,'Solid-Results'!V:V,"&lt;="&amp;Dashboard!$B39,'Solid-Results'!AP:AP,"Green")</f>
        <v>0</v>
      </c>
      <c r="AU39" s="54">
        <f t="shared" si="14"/>
        <v>0</v>
      </c>
      <c r="AV39" s="34">
        <f>COUNTIFS('Solid-Results'!W:W,"&gt;="&amp;Dashboard!$A39,'Solid-Results'!W:W,"&lt;="&amp;Dashboard!$B39)</f>
        <v>0</v>
      </c>
      <c r="AW39" s="34">
        <f>COUNTIFS('Solid-Results'!W:W,"&gt;="&amp;Dashboard!$A39,'Solid-Results'!W:W,"&lt;="&amp;Dashboard!$B39,'Solid-Results'!AQ:AQ,"Green")</f>
        <v>0</v>
      </c>
      <c r="AX39" s="54">
        <f t="shared" si="15"/>
        <v>0</v>
      </c>
      <c r="AZ39" s="40">
        <f t="shared" si="18"/>
        <v>85.01</v>
      </c>
      <c r="BA39" s="39">
        <f t="shared" si="19"/>
        <v>90</v>
      </c>
      <c r="BB39" s="35">
        <f>IFERROR(D39/C39,0)</f>
        <v>0</v>
      </c>
      <c r="BC39" s="35">
        <f>IFERROR(G39/F39,0)</f>
        <v>0</v>
      </c>
      <c r="BD39" s="35">
        <f>IFERROR(J39/I39,0)</f>
        <v>0</v>
      </c>
      <c r="BE39" s="35">
        <f>IFERROR(M39/L39,0)</f>
        <v>0.90909090909090906</v>
      </c>
      <c r="BF39" s="35">
        <f>IFERROR(P39/O39,0)</f>
        <v>1</v>
      </c>
      <c r="BG39" s="35">
        <f>IFERROR(S39/R39,0)</f>
        <v>0</v>
      </c>
      <c r="BH39" s="35">
        <f>IFERROR(V39/U39,0)</f>
        <v>0</v>
      </c>
      <c r="BI39" s="35">
        <f>IFERROR(Y39/X39,0)</f>
        <v>0</v>
      </c>
      <c r="BJ39" s="35">
        <f>IFERROR(AB39/AA39,0)</f>
        <v>0</v>
      </c>
      <c r="BK39" s="35">
        <f>IFERROR(AE39/AD39,0)</f>
        <v>0.66666666666666663</v>
      </c>
      <c r="BL39" s="35">
        <f>IFERROR(AH39/AG39,0)</f>
        <v>0.71794871794871795</v>
      </c>
      <c r="BM39" s="35">
        <f>IFERROR(AK39/AJ39,0)</f>
        <v>0</v>
      </c>
      <c r="BN39" s="35">
        <f>IFERROR(AN39/AM39,0)</f>
        <v>0</v>
      </c>
      <c r="BO39" s="35">
        <f>IFERROR(AQ39/AP39,0)</f>
        <v>0</v>
      </c>
      <c r="BP39" s="35">
        <f>IFERROR(AT39/AS39,0)</f>
        <v>0</v>
      </c>
      <c r="BQ39" s="35">
        <f>IFERROR(AW39/AV39,0)</f>
        <v>0</v>
      </c>
    </row>
    <row r="40" spans="1:69" x14ac:dyDescent="0.2">
      <c r="A40" s="40">
        <f t="shared" si="16"/>
        <v>90.01</v>
      </c>
      <c r="B40" s="39">
        <f t="shared" si="17"/>
        <v>95</v>
      </c>
      <c r="C40" s="34">
        <f>COUNTIFS('Solid-Results'!H:H,"&gt;="&amp;Dashboard!$A40,'Solid-Results'!H:H,"&lt;="&amp;Dashboard!$B40)</f>
        <v>0</v>
      </c>
      <c r="D40" s="34">
        <f>COUNTIFS('Solid-Results'!H:H,"&gt;="&amp;Dashboard!$A40,'Solid-Results'!H:H,"&lt;="&amp;Dashboard!$B40,'Solid-Results'!AB:AB,"Green")</f>
        <v>0</v>
      </c>
      <c r="E40" s="54">
        <f t="shared" si="0"/>
        <v>0</v>
      </c>
      <c r="F40" s="34">
        <f>COUNTIFS('Solid-Results'!I:I,"&gt;="&amp;Dashboard!$A40,'Solid-Results'!I:I,"&lt;="&amp;Dashboard!$B40)</f>
        <v>0</v>
      </c>
      <c r="G40" s="34">
        <f>COUNTIFS('Solid-Results'!I:I,"&gt;="&amp;Dashboard!$A40,'Solid-Results'!I:I,"&lt;="&amp;Dashboard!$B40,'Solid-Results'!AC:AC,"Green")</f>
        <v>0</v>
      </c>
      <c r="H40" s="54">
        <f t="shared" si="1"/>
        <v>0</v>
      </c>
      <c r="I40" s="34">
        <f>COUNTIFS('Solid-Results'!J:J,"&gt;="&amp;Dashboard!$A40,'Solid-Results'!J:J,"&lt;="&amp;Dashboard!$B40)</f>
        <v>0</v>
      </c>
      <c r="J40" s="34">
        <f>COUNTIFS('Solid-Results'!J:J,"&gt;="&amp;Dashboard!$A40,'Solid-Results'!J:J,"&lt;="&amp;Dashboard!$B40,'Solid-Results'!AD:AD,"Green")</f>
        <v>0</v>
      </c>
      <c r="K40" s="54">
        <f t="shared" si="2"/>
        <v>0</v>
      </c>
      <c r="L40" s="34">
        <f>COUNTIFS('Solid-Results'!K:K,"&gt;="&amp;Dashboard!$A40,'Solid-Results'!K:K,"&lt;="&amp;Dashboard!$B40)</f>
        <v>3</v>
      </c>
      <c r="M40" s="34">
        <f>COUNTIFS('Solid-Results'!K:K,"&gt;="&amp;Dashboard!$A40,'Solid-Results'!K:K,"&lt;="&amp;Dashboard!$B40,'Solid-Results'!AE:AE,"Green")</f>
        <v>3</v>
      </c>
      <c r="N40" s="54">
        <f t="shared" si="3"/>
        <v>1</v>
      </c>
      <c r="O40" s="34">
        <f>COUNTIFS('Solid-Results'!L:L,"&gt;="&amp;Dashboard!$A40,'Solid-Results'!L:L,"&lt;="&amp;Dashboard!$B40)</f>
        <v>0</v>
      </c>
      <c r="P40" s="34">
        <f>COUNTIFS('Solid-Results'!L:L,"&gt;="&amp;Dashboard!$A40,'Solid-Results'!L:L,"&lt;="&amp;Dashboard!$B40,'Solid-Results'!AF:AF,"Green")</f>
        <v>0</v>
      </c>
      <c r="Q40" s="54">
        <f t="shared" si="4"/>
        <v>0</v>
      </c>
      <c r="R40" s="34">
        <f>COUNTIFS('Solid-Results'!M:M,"&gt;="&amp;Dashboard!$A40,'Solid-Results'!M:M,"&lt;="&amp;Dashboard!$B40)</f>
        <v>0</v>
      </c>
      <c r="S40" s="34">
        <f>COUNTIFS('Solid-Results'!M:M,"&gt;="&amp;Dashboard!$A40,'Solid-Results'!M:M,"&lt;="&amp;Dashboard!$B40,'Solid-Results'!AG:AG,"Green")</f>
        <v>0</v>
      </c>
      <c r="T40" s="54">
        <f t="shared" si="5"/>
        <v>0</v>
      </c>
      <c r="U40" s="34">
        <f>COUNTIFS('Solid-Results'!N:N,"&gt;="&amp;Dashboard!$A40,'Solid-Results'!N:N,"&lt;="&amp;Dashboard!$B40)</f>
        <v>0</v>
      </c>
      <c r="V40" s="34">
        <f>COUNTIFS('Solid-Results'!N:N,"&gt;="&amp;Dashboard!$A40,'Solid-Results'!N:N,"&lt;="&amp;Dashboard!$B40,'Solid-Results'!AH:AH,"Green")</f>
        <v>0</v>
      </c>
      <c r="W40" s="54">
        <f t="shared" si="6"/>
        <v>0</v>
      </c>
      <c r="X40" s="34">
        <f>COUNTIFS('Solid-Results'!O:O,"&gt;="&amp;Dashboard!$A40,'Solid-Results'!O:O,"&lt;="&amp;Dashboard!$B40)</f>
        <v>0</v>
      </c>
      <c r="Y40" s="34">
        <f>COUNTIFS('Solid-Results'!O:O,"&gt;="&amp;Dashboard!$A40,'Solid-Results'!O:O,"&lt;="&amp;Dashboard!$B40,'Solid-Results'!AI:AI,"Green")</f>
        <v>0</v>
      </c>
      <c r="Z40" s="54">
        <f t="shared" si="7"/>
        <v>0</v>
      </c>
      <c r="AA40" s="34">
        <f>COUNTIFS('Solid-Results'!P:P,"&gt;="&amp;Dashboard!$A40,'Solid-Results'!P:P,"&lt;="&amp;Dashboard!$B40)</f>
        <v>0</v>
      </c>
      <c r="AB40" s="34">
        <f>COUNTIFS('Solid-Results'!P:P,"&gt;="&amp;Dashboard!$A40,'Solid-Results'!P:P,"&lt;="&amp;Dashboard!$B40,'Solid-Results'!AJ:AJ,"Green")</f>
        <v>0</v>
      </c>
      <c r="AC40" s="54">
        <f t="shared" si="8"/>
        <v>0</v>
      </c>
      <c r="AD40" s="34">
        <f>COUNTIFS('Solid-Results'!Q:Q,"&gt;="&amp;Dashboard!$A40,'Solid-Results'!Q:Q,"&lt;="&amp;Dashboard!$B40)</f>
        <v>1</v>
      </c>
      <c r="AE40" s="34">
        <f>COUNTIFS('Solid-Results'!Q:Q,"&gt;="&amp;Dashboard!$A40,'Solid-Results'!Q:Q,"&lt;="&amp;Dashboard!$B40,'Solid-Results'!AK:AK,"Green")</f>
        <v>0</v>
      </c>
      <c r="AF40" s="54">
        <f t="shared" si="9"/>
        <v>0</v>
      </c>
      <c r="AG40" s="34">
        <f>COUNTIFS('Solid-Results'!R:R,"&gt;="&amp;Dashboard!$A40,'Solid-Results'!R:R,"&lt;="&amp;Dashboard!$B40)</f>
        <v>26</v>
      </c>
      <c r="AH40" s="34">
        <f>COUNTIFS('Solid-Results'!R:R,"&gt;="&amp;Dashboard!$A40,'Solid-Results'!R:R,"&lt;="&amp;Dashboard!$B40,'Solid-Results'!AL:AL,"Green")</f>
        <v>22</v>
      </c>
      <c r="AI40" s="54">
        <f t="shared" si="10"/>
        <v>0.84615384615384615</v>
      </c>
      <c r="AJ40" s="34">
        <f>COUNTIFS('Solid-Results'!S:S,"&gt;="&amp;Dashboard!$A40,'Solid-Results'!S:S,"&lt;="&amp;Dashboard!$B40)</f>
        <v>0</v>
      </c>
      <c r="AK40" s="34">
        <f>COUNTIFS('Solid-Results'!S:S,"&gt;="&amp;Dashboard!$A40,'Solid-Results'!S:S,"&lt;="&amp;Dashboard!$B40,'Solid-Results'!AM:AM,"Green")</f>
        <v>0</v>
      </c>
      <c r="AL40" s="54">
        <f t="shared" si="11"/>
        <v>0</v>
      </c>
      <c r="AM40" s="34">
        <f>COUNTIFS('Solid-Results'!T:T,"&gt;="&amp;Dashboard!$A40,'Solid-Results'!T:T,"&lt;="&amp;Dashboard!$B40)</f>
        <v>0</v>
      </c>
      <c r="AN40" s="34">
        <f>COUNTIFS('Solid-Results'!T:T,"&gt;="&amp;Dashboard!$A40,'Solid-Results'!T:T,"&lt;="&amp;Dashboard!$B40,'Solid-Results'!AN:AN,"Green")</f>
        <v>0</v>
      </c>
      <c r="AO40" s="54">
        <f t="shared" si="12"/>
        <v>0</v>
      </c>
      <c r="AP40" s="34">
        <f>COUNTIFS('Solid-Results'!U:U,"&gt;="&amp;Dashboard!$A40,'Solid-Results'!U:U,"&lt;="&amp;Dashboard!$B40)</f>
        <v>0</v>
      </c>
      <c r="AQ40" s="34">
        <f>COUNTIFS('Solid-Results'!U:U,"&gt;="&amp;Dashboard!$A40,'Solid-Results'!U:U,"&lt;="&amp;Dashboard!$B40,'Solid-Results'!AO:AO,"Green")</f>
        <v>0</v>
      </c>
      <c r="AR40" s="54">
        <f t="shared" si="13"/>
        <v>0</v>
      </c>
      <c r="AS40" s="34">
        <f>COUNTIFS('Solid-Results'!V:V,"&gt;="&amp;Dashboard!$A40,'Solid-Results'!V:V,"&lt;="&amp;Dashboard!$B40)</f>
        <v>0</v>
      </c>
      <c r="AT40" s="34">
        <f>COUNTIFS('Solid-Results'!V:V,"&gt;="&amp;Dashboard!$A40,'Solid-Results'!V:V,"&lt;="&amp;Dashboard!$B40,'Solid-Results'!AP:AP,"Green")</f>
        <v>0</v>
      </c>
      <c r="AU40" s="54">
        <f t="shared" si="14"/>
        <v>0</v>
      </c>
      <c r="AV40" s="34">
        <f>COUNTIFS('Solid-Results'!W:W,"&gt;="&amp;Dashboard!$A40,'Solid-Results'!W:W,"&lt;="&amp;Dashboard!$B40)</f>
        <v>0</v>
      </c>
      <c r="AW40" s="34">
        <f>COUNTIFS('Solid-Results'!W:W,"&gt;="&amp;Dashboard!$A40,'Solid-Results'!W:W,"&lt;="&amp;Dashboard!$B40,'Solid-Results'!AQ:AQ,"Green")</f>
        <v>0</v>
      </c>
      <c r="AX40" s="54">
        <f t="shared" si="15"/>
        <v>0</v>
      </c>
      <c r="AZ40" s="40">
        <f t="shared" si="18"/>
        <v>90.01</v>
      </c>
      <c r="BA40" s="39">
        <f t="shared" si="19"/>
        <v>95</v>
      </c>
      <c r="BB40" s="35">
        <f>IFERROR(D40/C40,0)</f>
        <v>0</v>
      </c>
      <c r="BC40" s="35">
        <f>IFERROR(G40/F40,0)</f>
        <v>0</v>
      </c>
      <c r="BD40" s="35">
        <f>IFERROR(J40/I40,0)</f>
        <v>0</v>
      </c>
      <c r="BE40" s="35">
        <f>IFERROR(M40/L40,0)</f>
        <v>1</v>
      </c>
      <c r="BF40" s="35">
        <f>IFERROR(P40/O40,0)</f>
        <v>0</v>
      </c>
      <c r="BG40" s="35">
        <f>IFERROR(S40/R40,0)</f>
        <v>0</v>
      </c>
      <c r="BH40" s="35">
        <f>IFERROR(V40/U40,0)</f>
        <v>0</v>
      </c>
      <c r="BI40" s="35">
        <f>IFERROR(Y40/X40,0)</f>
        <v>0</v>
      </c>
      <c r="BJ40" s="35">
        <f>IFERROR(AB40/AA40,0)</f>
        <v>0</v>
      </c>
      <c r="BK40" s="35">
        <f>IFERROR(AE40/AD40,0)</f>
        <v>0</v>
      </c>
      <c r="BL40" s="35">
        <f>IFERROR(AH40/AG40,0)</f>
        <v>0.84615384615384615</v>
      </c>
      <c r="BM40" s="35">
        <f>IFERROR(AK40/AJ40,0)</f>
        <v>0</v>
      </c>
      <c r="BN40" s="35">
        <f>IFERROR(AN40/AM40,0)</f>
        <v>0</v>
      </c>
      <c r="BO40" s="35">
        <f>IFERROR(AQ40/AP40,0)</f>
        <v>0</v>
      </c>
      <c r="BP40" s="35">
        <f>IFERROR(AT40/AS40,0)</f>
        <v>0</v>
      </c>
      <c r="BQ40" s="35">
        <f>IFERROR(AW40/AV40,0)</f>
        <v>0</v>
      </c>
    </row>
    <row r="41" spans="1:69" x14ac:dyDescent="0.2">
      <c r="A41" s="40">
        <f t="shared" si="16"/>
        <v>95.01</v>
      </c>
      <c r="B41" s="39">
        <f t="shared" si="17"/>
        <v>100</v>
      </c>
      <c r="C41" s="34">
        <f>COUNTIFS('Solid-Results'!H:H,"&gt;="&amp;Dashboard!$A41,'Solid-Results'!H:H,"&lt;="&amp;Dashboard!$B41)</f>
        <v>0</v>
      </c>
      <c r="D41" s="34">
        <f>COUNTIFS('Solid-Results'!H:H,"&gt;="&amp;Dashboard!$A41,'Solid-Results'!H:H,"&lt;="&amp;Dashboard!$B41,'Solid-Results'!AB:AB,"Green")</f>
        <v>0</v>
      </c>
      <c r="E41" s="54">
        <f t="shared" si="0"/>
        <v>0</v>
      </c>
      <c r="F41" s="34">
        <f>COUNTIFS('Solid-Results'!I:I,"&gt;="&amp;Dashboard!$A41,'Solid-Results'!I:I,"&lt;="&amp;Dashboard!$B41)</f>
        <v>0</v>
      </c>
      <c r="G41" s="34">
        <f>COUNTIFS('Solid-Results'!I:I,"&gt;="&amp;Dashboard!$A41,'Solid-Results'!I:I,"&lt;="&amp;Dashboard!$B41,'Solid-Results'!AC:AC,"Green")</f>
        <v>0</v>
      </c>
      <c r="H41" s="54">
        <f t="shared" si="1"/>
        <v>0</v>
      </c>
      <c r="I41" s="34">
        <f>COUNTIFS('Solid-Results'!J:J,"&gt;="&amp;Dashboard!$A41,'Solid-Results'!J:J,"&lt;="&amp;Dashboard!$B41)</f>
        <v>0</v>
      </c>
      <c r="J41" s="34">
        <f>COUNTIFS('Solid-Results'!J:J,"&gt;="&amp;Dashboard!$A41,'Solid-Results'!J:J,"&lt;="&amp;Dashboard!$B41,'Solid-Results'!AD:AD,"Green")</f>
        <v>0</v>
      </c>
      <c r="K41" s="54">
        <f t="shared" si="2"/>
        <v>0</v>
      </c>
      <c r="L41" s="34">
        <f>COUNTIFS('Solid-Results'!K:K,"&gt;="&amp;Dashboard!$A41,'Solid-Results'!K:K,"&lt;="&amp;Dashboard!$B41)</f>
        <v>0</v>
      </c>
      <c r="M41" s="34">
        <f>COUNTIFS('Solid-Results'!K:K,"&gt;="&amp;Dashboard!$A41,'Solid-Results'!K:K,"&lt;="&amp;Dashboard!$B41,'Solid-Results'!AE:AE,"Green")</f>
        <v>0</v>
      </c>
      <c r="N41" s="54">
        <f t="shared" si="3"/>
        <v>0</v>
      </c>
      <c r="O41" s="34">
        <f>COUNTIFS('Solid-Results'!L:L,"&gt;="&amp;Dashboard!$A41,'Solid-Results'!L:L,"&lt;="&amp;Dashboard!$B41)</f>
        <v>0</v>
      </c>
      <c r="P41" s="34">
        <f>COUNTIFS('Solid-Results'!L:L,"&gt;="&amp;Dashboard!$A41,'Solid-Results'!L:L,"&lt;="&amp;Dashboard!$B41,'Solid-Results'!AF:AF,"Green")</f>
        <v>0</v>
      </c>
      <c r="Q41" s="54">
        <f t="shared" si="4"/>
        <v>0</v>
      </c>
      <c r="R41" s="34">
        <f>COUNTIFS('Solid-Results'!M:M,"&gt;="&amp;Dashboard!$A41,'Solid-Results'!M:M,"&lt;="&amp;Dashboard!$B41)</f>
        <v>0</v>
      </c>
      <c r="S41" s="34">
        <f>COUNTIFS('Solid-Results'!M:M,"&gt;="&amp;Dashboard!$A41,'Solid-Results'!M:M,"&lt;="&amp;Dashboard!$B41,'Solid-Results'!AG:AG,"Green")</f>
        <v>0</v>
      </c>
      <c r="T41" s="54">
        <f t="shared" si="5"/>
        <v>0</v>
      </c>
      <c r="U41" s="34">
        <f>COUNTIFS('Solid-Results'!N:N,"&gt;="&amp;Dashboard!$A41,'Solid-Results'!N:N,"&lt;="&amp;Dashboard!$B41)</f>
        <v>0</v>
      </c>
      <c r="V41" s="34">
        <f>COUNTIFS('Solid-Results'!N:N,"&gt;="&amp;Dashboard!$A41,'Solid-Results'!N:N,"&lt;="&amp;Dashboard!$B41,'Solid-Results'!AH:AH,"Green")</f>
        <v>0</v>
      </c>
      <c r="W41" s="54">
        <f t="shared" si="6"/>
        <v>0</v>
      </c>
      <c r="X41" s="34">
        <f>COUNTIFS('Solid-Results'!O:O,"&gt;="&amp;Dashboard!$A41,'Solid-Results'!O:O,"&lt;="&amp;Dashboard!$B41)</f>
        <v>0</v>
      </c>
      <c r="Y41" s="34">
        <f>COUNTIFS('Solid-Results'!O:O,"&gt;="&amp;Dashboard!$A41,'Solid-Results'!O:O,"&lt;="&amp;Dashboard!$B41,'Solid-Results'!AI:AI,"Green")</f>
        <v>0</v>
      </c>
      <c r="Z41" s="54">
        <f t="shared" si="7"/>
        <v>0</v>
      </c>
      <c r="AA41" s="34">
        <f>COUNTIFS('Solid-Results'!P:P,"&gt;="&amp;Dashboard!$A41,'Solid-Results'!P:P,"&lt;="&amp;Dashboard!$B41)</f>
        <v>0</v>
      </c>
      <c r="AB41" s="34">
        <f>COUNTIFS('Solid-Results'!P:P,"&gt;="&amp;Dashboard!$A41,'Solid-Results'!P:P,"&lt;="&amp;Dashboard!$B41,'Solid-Results'!AJ:AJ,"Green")</f>
        <v>0</v>
      </c>
      <c r="AC41" s="54">
        <f t="shared" si="8"/>
        <v>0</v>
      </c>
      <c r="AD41" s="34">
        <f>COUNTIFS('Solid-Results'!Q:Q,"&gt;="&amp;Dashboard!$A41,'Solid-Results'!Q:Q,"&lt;="&amp;Dashboard!$B41)</f>
        <v>0</v>
      </c>
      <c r="AE41" s="34">
        <f>COUNTIFS('Solid-Results'!Q:Q,"&gt;="&amp;Dashboard!$A41,'Solid-Results'!Q:Q,"&lt;="&amp;Dashboard!$B41,'Solid-Results'!AK:AK,"Green")</f>
        <v>0</v>
      </c>
      <c r="AF41" s="54">
        <f t="shared" si="9"/>
        <v>0</v>
      </c>
      <c r="AG41" s="34">
        <f>COUNTIFS('Solid-Results'!R:R,"&gt;="&amp;Dashboard!$A41,'Solid-Results'!R:R,"&lt;="&amp;Dashboard!$B41)</f>
        <v>2</v>
      </c>
      <c r="AH41" s="34">
        <f>COUNTIFS('Solid-Results'!R:R,"&gt;="&amp;Dashboard!$A41,'Solid-Results'!R:R,"&lt;="&amp;Dashboard!$B41,'Solid-Results'!AL:AL,"Green")</f>
        <v>2</v>
      </c>
      <c r="AI41" s="54">
        <f t="shared" si="10"/>
        <v>1</v>
      </c>
      <c r="AJ41" s="34">
        <f>COUNTIFS('Solid-Results'!S:S,"&gt;="&amp;Dashboard!$A41,'Solid-Results'!S:S,"&lt;="&amp;Dashboard!$B41)</f>
        <v>0</v>
      </c>
      <c r="AK41" s="34">
        <f>COUNTIFS('Solid-Results'!S:S,"&gt;="&amp;Dashboard!$A41,'Solid-Results'!S:S,"&lt;="&amp;Dashboard!$B41,'Solid-Results'!AM:AM,"Green")</f>
        <v>0</v>
      </c>
      <c r="AL41" s="54">
        <f t="shared" si="11"/>
        <v>0</v>
      </c>
      <c r="AM41" s="34">
        <f>COUNTIFS('Solid-Results'!T:T,"&gt;="&amp;Dashboard!$A41,'Solid-Results'!T:T,"&lt;="&amp;Dashboard!$B41)</f>
        <v>0</v>
      </c>
      <c r="AN41" s="34">
        <f>COUNTIFS('Solid-Results'!T:T,"&gt;="&amp;Dashboard!$A41,'Solid-Results'!T:T,"&lt;="&amp;Dashboard!$B41,'Solid-Results'!AN:AN,"Green")</f>
        <v>0</v>
      </c>
      <c r="AO41" s="54">
        <f t="shared" si="12"/>
        <v>0</v>
      </c>
      <c r="AP41" s="34">
        <f>COUNTIFS('Solid-Results'!U:U,"&gt;="&amp;Dashboard!$A41,'Solid-Results'!U:U,"&lt;="&amp;Dashboard!$B41)</f>
        <v>0</v>
      </c>
      <c r="AQ41" s="34">
        <f>COUNTIFS('Solid-Results'!U:U,"&gt;="&amp;Dashboard!$A41,'Solid-Results'!U:U,"&lt;="&amp;Dashboard!$B41,'Solid-Results'!AO:AO,"Green")</f>
        <v>0</v>
      </c>
      <c r="AR41" s="54">
        <f t="shared" si="13"/>
        <v>0</v>
      </c>
      <c r="AS41" s="34">
        <f>COUNTIFS('Solid-Results'!V:V,"&gt;="&amp;Dashboard!$A41,'Solid-Results'!V:V,"&lt;="&amp;Dashboard!$B41)</f>
        <v>0</v>
      </c>
      <c r="AT41" s="34">
        <f>COUNTIFS('Solid-Results'!V:V,"&gt;="&amp;Dashboard!$A41,'Solid-Results'!V:V,"&lt;="&amp;Dashboard!$B41,'Solid-Results'!AP:AP,"Green")</f>
        <v>0</v>
      </c>
      <c r="AU41" s="54">
        <f t="shared" si="14"/>
        <v>0</v>
      </c>
      <c r="AV41" s="34">
        <f>COUNTIFS('Solid-Results'!W:W,"&gt;="&amp;Dashboard!$A41,'Solid-Results'!W:W,"&lt;="&amp;Dashboard!$B41)</f>
        <v>0</v>
      </c>
      <c r="AW41" s="34">
        <f>COUNTIFS('Solid-Results'!W:W,"&gt;="&amp;Dashboard!$A41,'Solid-Results'!W:W,"&lt;="&amp;Dashboard!$B41,'Solid-Results'!AQ:AQ,"Green")</f>
        <v>0</v>
      </c>
      <c r="AX41" s="54">
        <f t="shared" si="15"/>
        <v>0</v>
      </c>
      <c r="AZ41" s="40">
        <f t="shared" si="18"/>
        <v>95.01</v>
      </c>
      <c r="BA41" s="39">
        <f t="shared" si="19"/>
        <v>100</v>
      </c>
      <c r="BB41" s="35">
        <f>IFERROR(D41/C41,0)</f>
        <v>0</v>
      </c>
      <c r="BC41" s="35">
        <f>IFERROR(G41/F41,0)</f>
        <v>0</v>
      </c>
      <c r="BD41" s="35">
        <f>IFERROR(J41/I41,0)</f>
        <v>0</v>
      </c>
      <c r="BE41" s="35">
        <f>IFERROR(M41/L41,0)</f>
        <v>0</v>
      </c>
      <c r="BF41" s="35">
        <f>IFERROR(P41/O41,0)</f>
        <v>0</v>
      </c>
      <c r="BG41" s="35">
        <f>IFERROR(S41/R41,0)</f>
        <v>0</v>
      </c>
      <c r="BH41" s="35">
        <f>IFERROR(V41/U41,0)</f>
        <v>0</v>
      </c>
      <c r="BI41" s="35">
        <f>IFERROR(Y41/X41,0)</f>
        <v>0</v>
      </c>
      <c r="BJ41" s="35">
        <f>IFERROR(AB41/AA41,0)</f>
        <v>0</v>
      </c>
      <c r="BK41" s="35">
        <f>IFERROR(AE41/AD41,0)</f>
        <v>0</v>
      </c>
      <c r="BL41" s="35">
        <f>IFERROR(AH41/AG41,0)</f>
        <v>1</v>
      </c>
      <c r="BM41" s="35">
        <f>IFERROR(AK41/AJ41,0)</f>
        <v>0</v>
      </c>
      <c r="BN41" s="35">
        <f>IFERROR(AN41/AM41,0)</f>
        <v>0</v>
      </c>
      <c r="BO41" s="35">
        <f>IFERROR(AQ41/AP41,0)</f>
        <v>0</v>
      </c>
      <c r="BP41" s="35">
        <f>IFERROR(AT41/AS41,0)</f>
        <v>0</v>
      </c>
      <c r="BQ41" s="35">
        <f>IFERROR(AW41/AV41,0)</f>
        <v>0</v>
      </c>
    </row>
  </sheetData>
  <conditionalFormatting sqref="BB22:BQ41">
    <cfRule type="cellIs" dxfId="0" priority="1" operator="greaterThan">
      <formula>0.5</formula>
    </cfRule>
  </conditionalFormatting>
  <pageMargins left="0.7" right="0.7" top="0.75" bottom="0.75" header="0.3" footer="0.3"/>
  <ignoredErrors>
    <ignoredError sqref="A3 A5 A8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2F9293-5D32-4EEC-88B2-8ECD01AACF7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General-lacasa</vt:lpstr>
      <vt:lpstr>matches-results-oddspedia (old)</vt:lpstr>
      <vt:lpstr>oddspedia-matches</vt:lpstr>
      <vt:lpstr>Transform table</vt:lpstr>
      <vt:lpstr>Solid-Results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Renan De Alencar Queiroz</cp:lastModifiedBy>
  <dcterms:modified xsi:type="dcterms:W3CDTF">2026-07-26T22:48:48Z</dcterms:modified>
</cp:coreProperties>
</file>